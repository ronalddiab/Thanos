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5" activeTab="6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E32" i="26"/>
  <c r="F32"/>
  <c r="G32"/>
  <c r="I32"/>
  <c r="K32"/>
  <c r="D46" i="3"/>
  <c r="F46"/>
  <c r="H46"/>
  <c r="J46"/>
  <c r="B13" i="14"/>
  <c r="B14"/>
  <c r="B15"/>
  <c r="B16"/>
  <c r="D9" i="1"/>
  <c r="AC19" i="13" l="1"/>
  <c r="AC20"/>
  <c r="H19" i="23" s="1"/>
  <c r="AC21" i="13"/>
  <c r="H20" i="23" s="1"/>
  <c r="AC22" i="13"/>
  <c r="L15" i="3"/>
  <c r="L16"/>
  <c r="L17"/>
  <c r="L18"/>
  <c r="L19"/>
  <c r="L20"/>
  <c r="L21"/>
  <c r="L22"/>
  <c r="I77" i="22"/>
  <c r="K77" s="1"/>
  <c r="G77"/>
  <c r="B77"/>
  <c r="D77" s="1"/>
  <c r="G76"/>
  <c r="I76" s="1"/>
  <c r="D76"/>
  <c r="F76" s="1"/>
  <c r="B76"/>
  <c r="I75"/>
  <c r="K75" s="1"/>
  <c r="G75"/>
  <c r="B75"/>
  <c r="D75" s="1"/>
  <c r="F75" s="1"/>
  <c r="G74"/>
  <c r="I74" s="1"/>
  <c r="D74"/>
  <c r="F74" s="1"/>
  <c r="B74"/>
  <c r="I73"/>
  <c r="K73" s="1"/>
  <c r="G73"/>
  <c r="B73"/>
  <c r="D73" s="1"/>
  <c r="G72"/>
  <c r="I72" s="1"/>
  <c r="D72"/>
  <c r="F72" s="1"/>
  <c r="B72"/>
  <c r="I71"/>
  <c r="K71" s="1"/>
  <c r="G71"/>
  <c r="B71"/>
  <c r="D71" s="1"/>
  <c r="F71" s="1"/>
  <c r="G70"/>
  <c r="I70" s="1"/>
  <c r="D70"/>
  <c r="F70" s="1"/>
  <c r="B70"/>
  <c r="I69"/>
  <c r="K69" s="1"/>
  <c r="G69"/>
  <c r="B69"/>
  <c r="D69" s="1"/>
  <c r="G68"/>
  <c r="I68" s="1"/>
  <c r="D68"/>
  <c r="F68" s="1"/>
  <c r="B68"/>
  <c r="I67"/>
  <c r="K67" s="1"/>
  <c r="G67"/>
  <c r="B67"/>
  <c r="D67" s="1"/>
  <c r="F67" s="1"/>
  <c r="G66"/>
  <c r="I66" s="1"/>
  <c r="D66"/>
  <c r="F66" s="1"/>
  <c r="B66"/>
  <c r="I65"/>
  <c r="K65" s="1"/>
  <c r="G65"/>
  <c r="B65"/>
  <c r="D65" s="1"/>
  <c r="G64"/>
  <c r="I64" s="1"/>
  <c r="D64"/>
  <c r="F64" s="1"/>
  <c r="B64"/>
  <c r="I63"/>
  <c r="K63" s="1"/>
  <c r="G63"/>
  <c r="B63"/>
  <c r="D63" s="1"/>
  <c r="F63" s="1"/>
  <c r="G62"/>
  <c r="I62" s="1"/>
  <c r="D62"/>
  <c r="F62" s="1"/>
  <c r="B62"/>
  <c r="I61"/>
  <c r="K61" s="1"/>
  <c r="G61"/>
  <c r="B61"/>
  <c r="D61" s="1"/>
  <c r="G60"/>
  <c r="I60" s="1"/>
  <c r="D60"/>
  <c r="F60" s="1"/>
  <c r="B60"/>
  <c r="I59"/>
  <c r="K59" s="1"/>
  <c r="G59"/>
  <c r="B59"/>
  <c r="D59" s="1"/>
  <c r="F59" s="1"/>
  <c r="G58"/>
  <c r="I58" s="1"/>
  <c r="D58"/>
  <c r="F58" s="1"/>
  <c r="B58"/>
  <c r="I57"/>
  <c r="K57" s="1"/>
  <c r="G57"/>
  <c r="B57"/>
  <c r="D57" s="1"/>
  <c r="G56"/>
  <c r="I56" s="1"/>
  <c r="D56"/>
  <c r="F56" s="1"/>
  <c r="B56"/>
  <c r="I55"/>
  <c r="K55" s="1"/>
  <c r="G55"/>
  <c r="B55"/>
  <c r="D55" s="1"/>
  <c r="F55" s="1"/>
  <c r="G54"/>
  <c r="I54" s="1"/>
  <c r="D54"/>
  <c r="F54" s="1"/>
  <c r="B54"/>
  <c r="I53"/>
  <c r="K53" s="1"/>
  <c r="G53"/>
  <c r="B53"/>
  <c r="D53" s="1"/>
  <c r="G52"/>
  <c r="I52" s="1"/>
  <c r="D52"/>
  <c r="F52" s="1"/>
  <c r="B52"/>
  <c r="I51"/>
  <c r="K51" s="1"/>
  <c r="G51"/>
  <c r="B51"/>
  <c r="D51" s="1"/>
  <c r="F51" s="1"/>
  <c r="G50"/>
  <c r="I50" s="1"/>
  <c r="D50"/>
  <c r="F50" s="1"/>
  <c r="B50"/>
  <c r="I49"/>
  <c r="K49" s="1"/>
  <c r="G49"/>
  <c r="B49"/>
  <c r="D49" s="1"/>
  <c r="G48"/>
  <c r="I48" s="1"/>
  <c r="D48"/>
  <c r="F48" s="1"/>
  <c r="B48"/>
  <c r="G47"/>
  <c r="I47" s="1"/>
  <c r="K47" s="1"/>
  <c r="B47"/>
  <c r="D47" s="1"/>
  <c r="F47" s="1"/>
  <c r="G46"/>
  <c r="I46" s="1"/>
  <c r="D46"/>
  <c r="F46" s="1"/>
  <c r="B46"/>
  <c r="I45"/>
  <c r="K45" s="1"/>
  <c r="G45"/>
  <c r="B45"/>
  <c r="D45" s="1"/>
  <c r="G44"/>
  <c r="I44" s="1"/>
  <c r="D44"/>
  <c r="F44" s="1"/>
  <c r="B44"/>
  <c r="I43"/>
  <c r="K43" s="1"/>
  <c r="G43"/>
  <c r="B43"/>
  <c r="D43" s="1"/>
  <c r="F43" s="1"/>
  <c r="G42"/>
  <c r="I42" s="1"/>
  <c r="D42"/>
  <c r="F42" s="1"/>
  <c r="B42"/>
  <c r="I41"/>
  <c r="K41" s="1"/>
  <c r="G41"/>
  <c r="B41"/>
  <c r="D41" s="1"/>
  <c r="G40"/>
  <c r="I40" s="1"/>
  <c r="D40"/>
  <c r="F40" s="1"/>
  <c r="B40"/>
  <c r="I39"/>
  <c r="K39" s="1"/>
  <c r="G39"/>
  <c r="B39"/>
  <c r="D39" s="1"/>
  <c r="F39" s="1"/>
  <c r="G38"/>
  <c r="I38" s="1"/>
  <c r="D38"/>
  <c r="F38" s="1"/>
  <c r="B38"/>
  <c r="I37"/>
  <c r="K37" s="1"/>
  <c r="G37"/>
  <c r="B37"/>
  <c r="D37" s="1"/>
  <c r="G36"/>
  <c r="I36" s="1"/>
  <c r="D36"/>
  <c r="F36" s="1"/>
  <c r="B36"/>
  <c r="I35"/>
  <c r="K35" s="1"/>
  <c r="G35"/>
  <c r="B35"/>
  <c r="D35" s="1"/>
  <c r="F35" s="1"/>
  <c r="G34"/>
  <c r="I34" s="1"/>
  <c r="D34"/>
  <c r="F34" s="1"/>
  <c r="B34"/>
  <c r="I33"/>
  <c r="K33" s="1"/>
  <c r="G33"/>
  <c r="B33"/>
  <c r="D33" s="1"/>
  <c r="G32"/>
  <c r="I32" s="1"/>
  <c r="D32"/>
  <c r="F32" s="1"/>
  <c r="B32"/>
  <c r="I31"/>
  <c r="K31" s="1"/>
  <c r="G31"/>
  <c r="B31"/>
  <c r="D31" s="1"/>
  <c r="F31" s="1"/>
  <c r="G30"/>
  <c r="I30" s="1"/>
  <c r="D30"/>
  <c r="F30" s="1"/>
  <c r="B30"/>
  <c r="I29"/>
  <c r="K29" s="1"/>
  <c r="G29"/>
  <c r="B29"/>
  <c r="D29" s="1"/>
  <c r="G28"/>
  <c r="I28" s="1"/>
  <c r="D28"/>
  <c r="F28" s="1"/>
  <c r="B28"/>
  <c r="I27"/>
  <c r="K27" s="1"/>
  <c r="G27"/>
  <c r="B27"/>
  <c r="D27" s="1"/>
  <c r="F27" s="1"/>
  <c r="G26"/>
  <c r="I26" s="1"/>
  <c r="D26"/>
  <c r="F26" s="1"/>
  <c r="B26"/>
  <c r="I25"/>
  <c r="K25" s="1"/>
  <c r="G25"/>
  <c r="B25"/>
  <c r="D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I21"/>
  <c r="K21" s="1"/>
  <c r="G21"/>
  <c r="B21"/>
  <c r="D21" s="1"/>
  <c r="G20"/>
  <c r="I20" s="1"/>
  <c r="D20"/>
  <c r="F20" s="1"/>
  <c r="B20"/>
  <c r="I19"/>
  <c r="K19" s="1"/>
  <c r="G19"/>
  <c r="B19"/>
  <c r="D19" s="1"/>
  <c r="F19" s="1"/>
  <c r="G18"/>
  <c r="I18" s="1"/>
  <c r="D18"/>
  <c r="F18" s="1"/>
  <c r="B18"/>
  <c r="I17"/>
  <c r="K17" s="1"/>
  <c r="G17"/>
  <c r="B17"/>
  <c r="D17" s="1"/>
  <c r="G16"/>
  <c r="I16" s="1"/>
  <c r="D16"/>
  <c r="F16" s="1"/>
  <c r="B16"/>
  <c r="I15"/>
  <c r="K15" s="1"/>
  <c r="G15"/>
  <c r="B15"/>
  <c r="D15" s="1"/>
  <c r="F15" s="1"/>
  <c r="G14"/>
  <c r="I14" s="1"/>
  <c r="D14"/>
  <c r="F14" s="1"/>
  <c r="B14"/>
  <c r="I13"/>
  <c r="K13" s="1"/>
  <c r="G13"/>
  <c r="B13"/>
  <c r="D13" s="1"/>
  <c r="G12"/>
  <c r="I12" s="1"/>
  <c r="D12"/>
  <c r="F12" s="1"/>
  <c r="B12"/>
  <c r="I11"/>
  <c r="K11" s="1"/>
  <c r="G11"/>
  <c r="B11"/>
  <c r="D11" s="1"/>
  <c r="F11" s="1"/>
  <c r="G10"/>
  <c r="I10" s="1"/>
  <c r="D10"/>
  <c r="F10" s="1"/>
  <c r="B10"/>
  <c r="K9"/>
  <c r="I9"/>
  <c r="B9"/>
  <c r="D9" s="1"/>
  <c r="F9" s="1"/>
  <c r="I8"/>
  <c r="K8" s="1"/>
  <c r="G8"/>
  <c r="B8"/>
  <c r="D8" s="1"/>
  <c r="F8" s="1"/>
  <c r="I7"/>
  <c r="K7" s="1"/>
  <c r="G7"/>
  <c r="B7"/>
  <c r="D7" s="1"/>
  <c r="F7" s="1"/>
  <c r="I6"/>
  <c r="K6" s="1"/>
  <c r="G6"/>
  <c r="B6"/>
  <c r="D6" s="1"/>
  <c r="F6" s="1"/>
  <c r="I5"/>
  <c r="K5" s="1"/>
  <c r="G5"/>
  <c r="B5"/>
  <c r="D5" s="1"/>
  <c r="F5" s="1"/>
  <c r="I4"/>
  <c r="K4" s="1"/>
  <c r="G4"/>
  <c r="B4"/>
  <c r="D4" s="1"/>
  <c r="F4" s="1"/>
  <c r="I3"/>
  <c r="K3" s="1"/>
  <c r="D3"/>
  <c r="F3" s="1"/>
  <c r="L21" l="1"/>
  <c r="F21"/>
  <c r="F25"/>
  <c r="L25"/>
  <c r="L37"/>
  <c r="F37"/>
  <c r="L73"/>
  <c r="F73"/>
  <c r="L28"/>
  <c r="K28"/>
  <c r="K10"/>
  <c r="L10"/>
  <c r="K14"/>
  <c r="L14"/>
  <c r="K18"/>
  <c r="L18"/>
  <c r="K22"/>
  <c r="L22"/>
  <c r="K26"/>
  <c r="L26"/>
  <c r="K30"/>
  <c r="L30"/>
  <c r="K34"/>
  <c r="L34"/>
  <c r="K38"/>
  <c r="L38"/>
  <c r="K42"/>
  <c r="L42"/>
  <c r="K46"/>
  <c r="L46"/>
  <c r="K50"/>
  <c r="L50"/>
  <c r="K54"/>
  <c r="L54"/>
  <c r="K58"/>
  <c r="L58"/>
  <c r="K62"/>
  <c r="L62"/>
  <c r="K66"/>
  <c r="L66"/>
  <c r="K70"/>
  <c r="L70"/>
  <c r="K74"/>
  <c r="L74"/>
  <c r="F29"/>
  <c r="L29"/>
  <c r="L33"/>
  <c r="F33"/>
  <c r="L53"/>
  <c r="F53"/>
  <c r="L57"/>
  <c r="F57"/>
  <c r="L65"/>
  <c r="F65"/>
  <c r="L69"/>
  <c r="F69"/>
  <c r="F13"/>
  <c r="L13"/>
  <c r="F17"/>
  <c r="L17"/>
  <c r="L41"/>
  <c r="F41"/>
  <c r="L45"/>
  <c r="F45"/>
  <c r="L49"/>
  <c r="F49"/>
  <c r="L61"/>
  <c r="F61"/>
  <c r="L77"/>
  <c r="F77"/>
  <c r="L12"/>
  <c r="K12"/>
  <c r="L16"/>
  <c r="K16"/>
  <c r="L20"/>
  <c r="K20"/>
  <c r="L24"/>
  <c r="K24"/>
  <c r="L32"/>
  <c r="K32"/>
  <c r="L36"/>
  <c r="K36"/>
  <c r="L40"/>
  <c r="K40"/>
  <c r="L44"/>
  <c r="K44"/>
  <c r="L48"/>
  <c r="K48"/>
  <c r="L52"/>
  <c r="K52"/>
  <c r="L56"/>
  <c r="K56"/>
  <c r="L60"/>
  <c r="K60"/>
  <c r="L64"/>
  <c r="K64"/>
  <c r="L68"/>
  <c r="K68"/>
  <c r="L72"/>
  <c r="K72"/>
  <c r="L76"/>
  <c r="K76"/>
  <c r="L31"/>
  <c r="L39"/>
  <c r="L43"/>
  <c r="L47"/>
  <c r="L51"/>
  <c r="L55"/>
  <c r="L59"/>
  <c r="L63"/>
  <c r="L67"/>
  <c r="L71"/>
  <c r="L75"/>
  <c r="L11"/>
  <c r="L15"/>
  <c r="L19"/>
  <c r="L23"/>
  <c r="L27"/>
  <c r="L35"/>
  <c r="G10" i="15" l="1"/>
  <c r="G11"/>
  <c r="G12"/>
  <c r="G13"/>
  <c r="G14"/>
  <c r="AJ7" i="3" l="1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AH6"/>
  <c r="O4" i="18" l="1"/>
  <c r="O5"/>
  <c r="O6"/>
  <c r="Q7" s="1"/>
  <c r="O7"/>
  <c r="Q8" s="1"/>
  <c r="O8"/>
  <c r="O9"/>
  <c r="O10"/>
  <c r="Q11" s="1"/>
  <c r="O11"/>
  <c r="Q12" s="1"/>
  <c r="O12"/>
  <c r="O13"/>
  <c r="O14"/>
  <c r="Q15" s="1"/>
  <c r="O15"/>
  <c r="Q16" s="1"/>
  <c r="O16"/>
  <c r="O17"/>
  <c r="O18"/>
  <c r="Q19" s="1"/>
  <c r="O19"/>
  <c r="O20"/>
  <c r="O21"/>
  <c r="O22"/>
  <c r="O23"/>
  <c r="O24"/>
  <c r="O25"/>
  <c r="O26"/>
  <c r="O27"/>
  <c r="O28"/>
  <c r="O29"/>
  <c r="O30"/>
  <c r="O31"/>
  <c r="O32"/>
  <c r="O33"/>
  <c r="O34"/>
  <c r="O3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K6"/>
  <c r="N7"/>
  <c r="J4" i="18"/>
  <c r="J3"/>
  <c r="F21" i="10"/>
  <c r="F22"/>
  <c r="F23"/>
  <c r="F24"/>
  <c r="F25"/>
  <c r="F26"/>
  <c r="F27"/>
  <c r="F28"/>
  <c r="F29"/>
  <c r="F30"/>
  <c r="F31"/>
  <c r="F32"/>
  <c r="F33"/>
  <c r="F34"/>
  <c r="F3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K36"/>
  <c r="L7"/>
  <c r="L8"/>
  <c r="L9"/>
  <c r="L22"/>
  <c r="L23"/>
  <c r="L24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21"/>
  <c r="K22"/>
  <c r="K23"/>
  <c r="K24"/>
  <c r="K25"/>
  <c r="K26"/>
  <c r="K27"/>
  <c r="K28"/>
  <c r="K29"/>
  <c r="K30"/>
  <c r="K31"/>
  <c r="K32"/>
  <c r="K33"/>
  <c r="K34"/>
  <c r="K35"/>
  <c r="A3" i="18"/>
  <c r="Q5"/>
  <c r="Q6"/>
  <c r="Q9"/>
  <c r="Q10"/>
  <c r="Q13"/>
  <c r="Q14"/>
  <c r="Q17"/>
  <c r="Q18"/>
  <c r="Q20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N6" l="1"/>
  <c r="F31"/>
  <c r="T12" i="1"/>
  <c r="G6" i="10" s="1"/>
  <c r="T13" i="1"/>
  <c r="G7" i="10" s="1"/>
  <c r="T14" i="1"/>
  <c r="G8" i="10" s="1"/>
  <c r="T15" i="1"/>
  <c r="G9" i="10" s="1"/>
  <c r="T16" i="1"/>
  <c r="G10" i="10" s="1"/>
  <c r="T17" i="1"/>
  <c r="G11" i="10" s="1"/>
  <c r="T18" i="1"/>
  <c r="G12" i="10" s="1"/>
  <c r="T19" i="1"/>
  <c r="G13" i="10" s="1"/>
  <c r="T20" i="1"/>
  <c r="G14" i="10" s="1"/>
  <c r="T21" i="1"/>
  <c r="G15" i="10" s="1"/>
  <c r="T22" i="1"/>
  <c r="G16" i="10" s="1"/>
  <c r="T23" i="1"/>
  <c r="G17" i="10" s="1"/>
  <c r="T24" i="1"/>
  <c r="G18" i="10" s="1"/>
  <c r="T25" i="1"/>
  <c r="G19" i="10" s="1"/>
  <c r="T26" i="1"/>
  <c r="G20" i="10" s="1"/>
  <c r="T27" i="1"/>
  <c r="G21" i="10" s="1"/>
  <c r="T28" i="1"/>
  <c r="G22" i="10" s="1"/>
  <c r="T29" i="1"/>
  <c r="G23" i="10" s="1"/>
  <c r="T30" i="1"/>
  <c r="G24" i="10" s="1"/>
  <c r="T31" i="1"/>
  <c r="G25" i="10" s="1"/>
  <c r="T32" i="1"/>
  <c r="G26" i="10" s="1"/>
  <c r="T33" i="1"/>
  <c r="G27" i="10" s="1"/>
  <c r="T34" i="1"/>
  <c r="G28" i="10" s="1"/>
  <c r="T35" i="1"/>
  <c r="G29" i="10" s="1"/>
  <c r="T36" i="1"/>
  <c r="G30" i="10" s="1"/>
  <c r="T37" i="1"/>
  <c r="G31" i="10" s="1"/>
  <c r="T38" i="1"/>
  <c r="G32" i="10" s="1"/>
  <c r="T39" i="1"/>
  <c r="G33" i="10" s="1"/>
  <c r="T40" i="1"/>
  <c r="G34" i="10" s="1"/>
  <c r="T41" i="1"/>
  <c r="G35" i="10" s="1"/>
  <c r="T42" i="1"/>
  <c r="T43"/>
  <c r="T44"/>
  <c r="G34" i="15"/>
  <c r="G35"/>
  <c r="U36" i="1"/>
  <c r="U35"/>
  <c r="F30" i="3"/>
  <c r="G32" i="15"/>
  <c r="F29" i="3"/>
  <c r="F28" l="1"/>
  <c r="F27"/>
  <c r="H26"/>
  <c r="AE20"/>
  <c r="AE19"/>
  <c r="H18" i="23"/>
  <c r="AE18" i="3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H27" l="1"/>
  <c r="AE13"/>
  <c r="AC4" i="18"/>
  <c r="Q21"/>
  <c r="Q22"/>
  <c r="Q23"/>
  <c r="Q24"/>
  <c r="Q25"/>
  <c r="Q26"/>
  <c r="Q27"/>
  <c r="Q28"/>
  <c r="Q29"/>
  <c r="Q30"/>
  <c r="Q31"/>
  <c r="Q32"/>
  <c r="Q33"/>
  <c r="Q34"/>
  <c r="Q35"/>
  <c r="Q4"/>
  <c r="AB6" i="3"/>
  <c r="AB7" l="1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H21" i="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C14" s="1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8" i="20"/>
  <c r="G78" s="1"/>
  <c r="B78"/>
  <c r="D78" s="1"/>
  <c r="E77"/>
  <c r="G77" s="1"/>
  <c r="B77"/>
  <c r="D77" s="1"/>
  <c r="E76"/>
  <c r="G76" s="1"/>
  <c r="B76"/>
  <c r="D76" s="1"/>
  <c r="E75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D65"/>
  <c r="B65"/>
  <c r="E64"/>
  <c r="G64" s="1"/>
  <c r="B64"/>
  <c r="D64" s="1"/>
  <c r="E63"/>
  <c r="G63" s="1"/>
  <c r="B63"/>
  <c r="D63" s="1"/>
  <c r="E62"/>
  <c r="G62" s="1"/>
  <c r="B62"/>
  <c r="D62" s="1"/>
  <c r="E61"/>
  <c r="G61" s="1"/>
  <c r="B61"/>
  <c r="D61" s="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B56"/>
  <c r="D56" s="1"/>
  <c r="E55"/>
  <c r="G55" s="1"/>
  <c r="B55"/>
  <c r="D55" s="1"/>
  <c r="E54"/>
  <c r="G54" s="1"/>
  <c r="B54"/>
  <c r="D54" s="1"/>
  <c r="E53"/>
  <c r="G53" s="1"/>
  <c r="B53"/>
  <c r="D53" s="1"/>
  <c r="E52"/>
  <c r="G52" s="1"/>
  <c r="B52"/>
  <c r="D52" s="1"/>
  <c r="E51"/>
  <c r="G51" s="1"/>
  <c r="B51"/>
  <c r="D51" s="1"/>
  <c r="E50"/>
  <c r="G50" s="1"/>
  <c r="B50"/>
  <c r="D50" s="1"/>
  <c r="E49"/>
  <c r="G49" s="1"/>
  <c r="B49"/>
  <c r="D49" s="1"/>
  <c r="E48"/>
  <c r="G48" s="1"/>
  <c r="B48"/>
  <c r="D48" s="1"/>
  <c r="E47"/>
  <c r="G47" s="1"/>
  <c r="B47"/>
  <c r="D47" s="1"/>
  <c r="E46"/>
  <c r="G46" s="1"/>
  <c r="B46"/>
  <c r="D46" s="1"/>
  <c r="E45"/>
  <c r="G45" s="1"/>
  <c r="D45"/>
  <c r="B45"/>
  <c r="E44"/>
  <c r="G44" s="1"/>
  <c r="B44"/>
  <c r="D44" s="1"/>
  <c r="E43"/>
  <c r="G43" s="1"/>
  <c r="B43"/>
  <c r="D43" s="1"/>
  <c r="E42"/>
  <c r="G42" s="1"/>
  <c r="D42"/>
  <c r="B42"/>
  <c r="E41"/>
  <c r="G41" s="1"/>
  <c r="B41"/>
  <c r="D41" s="1"/>
  <c r="E40"/>
  <c r="G40" s="1"/>
  <c r="B40"/>
  <c r="D40" s="1"/>
  <c r="E39"/>
  <c r="G39" s="1"/>
  <c r="B39"/>
  <c r="D39" s="1"/>
  <c r="E38"/>
  <c r="G38" s="1"/>
  <c r="B38"/>
  <c r="D38" s="1"/>
  <c r="E37"/>
  <c r="G37" s="1"/>
  <c r="B37"/>
  <c r="D37" s="1"/>
  <c r="E36"/>
  <c r="G36" s="1"/>
  <c r="B36"/>
  <c r="D36" s="1"/>
  <c r="E35"/>
  <c r="G35" s="1"/>
  <c r="B35"/>
  <c r="D35" s="1"/>
  <c r="E34"/>
  <c r="G34" s="1"/>
  <c r="B34"/>
  <c r="D34" s="1"/>
  <c r="E33"/>
  <c r="G33" s="1"/>
  <c r="D33"/>
  <c r="B33"/>
  <c r="E32"/>
  <c r="G32" s="1"/>
  <c r="B32"/>
  <c r="D32" s="1"/>
  <c r="E31"/>
  <c r="G31" s="1"/>
  <c r="B31"/>
  <c r="D31" s="1"/>
  <c r="E30"/>
  <c r="G30" s="1"/>
  <c r="B30"/>
  <c r="D30" s="1"/>
  <c r="E29"/>
  <c r="G29" s="1"/>
  <c r="D29"/>
  <c r="B29"/>
  <c r="E28"/>
  <c r="G28" s="1"/>
  <c r="B28"/>
  <c r="D28" s="1"/>
  <c r="E27"/>
  <c r="G27" s="1"/>
  <c r="B27"/>
  <c r="D27" s="1"/>
  <c r="E26"/>
  <c r="G26" s="1"/>
  <c r="D26"/>
  <c r="B26"/>
  <c r="E25"/>
  <c r="G25" s="1"/>
  <c r="D25"/>
  <c r="B25"/>
  <c r="E24"/>
  <c r="G24" s="1"/>
  <c r="B24"/>
  <c r="D24" s="1"/>
  <c r="E23"/>
  <c r="G23" s="1"/>
  <c r="D23"/>
  <c r="B23"/>
  <c r="E22"/>
  <c r="G22" s="1"/>
  <c r="D22"/>
  <c r="B22"/>
  <c r="E21"/>
  <c r="G21" s="1"/>
  <c r="B21"/>
  <c r="D21" s="1"/>
  <c r="E20"/>
  <c r="G20" s="1"/>
  <c r="B20"/>
  <c r="D20" s="1"/>
  <c r="E19"/>
  <c r="G19" s="1"/>
  <c r="D19"/>
  <c r="B19"/>
  <c r="E18"/>
  <c r="G18" s="1"/>
  <c r="B18"/>
  <c r="D18" s="1"/>
  <c r="E17"/>
  <c r="G17" s="1"/>
  <c r="D17"/>
  <c r="B17"/>
  <c r="E16"/>
  <c r="G16" s="1"/>
  <c r="B16"/>
  <c r="D16" s="1"/>
  <c r="E15"/>
  <c r="G15" s="1"/>
  <c r="B15"/>
  <c r="D15" s="1"/>
  <c r="E14"/>
  <c r="G14" s="1"/>
  <c r="D14"/>
  <c r="B14"/>
  <c r="E13"/>
  <c r="G13" s="1"/>
  <c r="B13"/>
  <c r="D13" s="1"/>
  <c r="E12"/>
  <c r="G12" s="1"/>
  <c r="B12"/>
  <c r="D12" s="1"/>
  <c r="E11"/>
  <c r="G11" s="1"/>
  <c r="B11"/>
  <c r="D11" s="1"/>
  <c r="E10"/>
  <c r="G10" s="1"/>
  <c r="D10"/>
  <c r="B10"/>
  <c r="E9"/>
  <c r="G9" s="1"/>
  <c r="D9"/>
  <c r="B9"/>
  <c r="E8"/>
  <c r="G8" s="1"/>
  <c r="B8"/>
  <c r="D8" s="1"/>
  <c r="E7"/>
  <c r="G7" s="1"/>
  <c r="D7"/>
  <c r="B7"/>
  <c r="E6"/>
  <c r="G6" s="1"/>
  <c r="D6"/>
  <c r="B6"/>
  <c r="E5"/>
  <c r="G5" s="1"/>
  <c r="B5"/>
  <c r="D5" s="1"/>
  <c r="G4"/>
  <c r="D4"/>
  <c r="U22" i="13"/>
  <c r="U23"/>
  <c r="AK44" i="1"/>
  <c r="AS44" s="1"/>
  <c r="AT44" s="1"/>
  <c r="K18" i="14" l="1"/>
  <c r="K19"/>
  <c r="K20"/>
  <c r="D58" i="3"/>
  <c r="N17" i="12"/>
  <c r="P17" s="1"/>
  <c r="E16" i="3"/>
  <c r="K15" i="10" s="1"/>
  <c r="K10" i="3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D47" i="3"/>
  <c r="D48"/>
  <c r="D49"/>
  <c r="D50"/>
  <c r="D51"/>
  <c r="D52"/>
  <c r="D53"/>
  <c r="D54"/>
  <c r="D55"/>
  <c r="D56"/>
  <c r="D57"/>
  <c r="D59"/>
  <c r="D60"/>
  <c r="D61"/>
  <c r="D62"/>
  <c r="D63"/>
  <c r="D64"/>
  <c r="D65"/>
  <c r="D66"/>
  <c r="D67"/>
  <c r="D68"/>
  <c r="D69"/>
  <c r="D70"/>
  <c r="D71"/>
  <c r="D72"/>
  <c r="S14" i="18" l="1"/>
  <c r="S12"/>
  <c r="S9"/>
  <c r="S10"/>
  <c r="S8"/>
  <c r="S7"/>
  <c r="A6" i="14" l="1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S15" l="1"/>
  <c r="D16" i="23"/>
  <c r="S34" i="18"/>
  <c r="K9" i="12"/>
  <c r="M9" s="1"/>
  <c r="AK15" i="1"/>
  <c r="C9" i="23" s="1"/>
  <c r="AK16" i="1"/>
  <c r="C10" i="23" s="1"/>
  <c r="AK13" i="1"/>
  <c r="C7" i="23" s="1"/>
  <c r="AK14" i="1"/>
  <c r="C8" i="23" s="1"/>
  <c r="S6" i="18" l="1"/>
  <c r="L6" i="10"/>
  <c r="S5" i="18"/>
  <c r="T11" i="1"/>
  <c r="G5" i="10" s="1"/>
  <c r="B34" i="24"/>
  <c r="C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S4" i="18" l="1"/>
  <c r="T46" i="1"/>
  <c r="E34" i="24"/>
  <c r="S35" i="18"/>
  <c r="I45" i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AK11"/>
  <c r="U12"/>
  <c r="AK12"/>
  <c r="U13"/>
  <c r="AS13"/>
  <c r="AT13" s="1"/>
  <c r="U14"/>
  <c r="U15"/>
  <c r="F9" i="10" s="1"/>
  <c r="U16" i="1"/>
  <c r="AS16"/>
  <c r="AT16" s="1"/>
  <c r="U17"/>
  <c r="F11" i="10" s="1"/>
  <c r="AK17" i="1"/>
  <c r="U18"/>
  <c r="F12" i="10" s="1"/>
  <c r="AK18" i="1"/>
  <c r="C12" i="23" s="1"/>
  <c r="U19" i="1"/>
  <c r="AK19"/>
  <c r="C13" i="23" s="1"/>
  <c r="U20" i="1"/>
  <c r="F14" i="10" s="1"/>
  <c r="AK20" i="1"/>
  <c r="C14" i="23" s="1"/>
  <c r="U21" i="1"/>
  <c r="F15" i="10" s="1"/>
  <c r="AK21" i="1"/>
  <c r="U22"/>
  <c r="F16" i="10" s="1"/>
  <c r="AK22" i="1"/>
  <c r="C16" i="23" s="1"/>
  <c r="U23" i="1"/>
  <c r="AK23"/>
  <c r="C17" i="23" s="1"/>
  <c r="U24" i="1"/>
  <c r="F18" i="10" s="1"/>
  <c r="AK24" i="1"/>
  <c r="C18" i="23" s="1"/>
  <c r="U25" i="1"/>
  <c r="F19" i="10" s="1"/>
  <c r="AK25" i="1"/>
  <c r="C19" i="23" s="1"/>
  <c r="U26" i="1"/>
  <c r="F20" i="10" s="1"/>
  <c r="AK26" i="1"/>
  <c r="C20" i="23" s="1"/>
  <c r="U27" i="1"/>
  <c r="V27" s="1"/>
  <c r="AK27"/>
  <c r="C21" i="23" s="1"/>
  <c r="U28" i="1"/>
  <c r="AK28"/>
  <c r="C22" i="23" s="1"/>
  <c r="U29" i="1"/>
  <c r="V29" s="1"/>
  <c r="AK29"/>
  <c r="U30"/>
  <c r="V30" s="1"/>
  <c r="AK30"/>
  <c r="C24" i="23" s="1"/>
  <c r="U31" i="1"/>
  <c r="V31" s="1"/>
  <c r="AK31"/>
  <c r="C25" i="23" s="1"/>
  <c r="U32" i="1"/>
  <c r="V32" s="1"/>
  <c r="AK32"/>
  <c r="C26" i="23" s="1"/>
  <c r="U33" i="1"/>
  <c r="V33" s="1"/>
  <c r="AK33"/>
  <c r="C27" i="23" s="1"/>
  <c r="U34" i="1"/>
  <c r="V34" s="1"/>
  <c r="AK34"/>
  <c r="C28" i="23" s="1"/>
  <c r="AK35" i="1"/>
  <c r="C29" i="23" s="1"/>
  <c r="AK36" i="1"/>
  <c r="U37"/>
  <c r="V37" s="1"/>
  <c r="AK37"/>
  <c r="C31" i="23" s="1"/>
  <c r="U38" i="1"/>
  <c r="V38" s="1"/>
  <c r="AK38"/>
  <c r="C32" i="23" s="1"/>
  <c r="U39" i="1"/>
  <c r="AK39"/>
  <c r="C33" i="23" s="1"/>
  <c r="U40" i="1"/>
  <c r="AK40"/>
  <c r="U41"/>
  <c r="AK41"/>
  <c r="C35" i="23" s="1"/>
  <c r="U42" i="1"/>
  <c r="F34" i="24" s="1"/>
  <c r="AK42" i="1"/>
  <c r="I34" i="24" s="1"/>
  <c r="U43" i="1"/>
  <c r="AK43"/>
  <c r="W45"/>
  <c r="X45"/>
  <c r="Y45"/>
  <c r="Z45"/>
  <c r="AA45"/>
  <c r="AB45"/>
  <c r="AC45"/>
  <c r="AD45"/>
  <c r="AE45"/>
  <c r="AF45"/>
  <c r="AG45"/>
  <c r="AH45"/>
  <c r="AI45"/>
  <c r="AJ45"/>
  <c r="V23" l="1"/>
  <c r="F17" i="10"/>
  <c r="V19" i="1"/>
  <c r="F13" i="10"/>
  <c r="V16" i="1"/>
  <c r="F10" i="10"/>
  <c r="V14" i="1"/>
  <c r="F8" i="10"/>
  <c r="V13" i="1"/>
  <c r="F7" i="10"/>
  <c r="V12" i="1"/>
  <c r="F6" i="10"/>
  <c r="V11" i="1"/>
  <c r="F5" i="10"/>
  <c r="AS40" i="1"/>
  <c r="C34" i="23"/>
  <c r="AS21" i="1"/>
  <c r="AT21" s="1"/>
  <c r="C15" i="23"/>
  <c r="AS36" i="1"/>
  <c r="C30" i="23"/>
  <c r="AS29" i="1"/>
  <c r="AT29" s="1"/>
  <c r="C23" i="23"/>
  <c r="AS17" i="1"/>
  <c r="AT17" s="1"/>
  <c r="C11" i="23"/>
  <c r="AS12" i="1"/>
  <c r="AT12" s="1"/>
  <c r="C6" i="23"/>
  <c r="U45" i="1"/>
  <c r="AS32"/>
  <c r="AT32" s="1"/>
  <c r="AS31"/>
  <c r="AT31" s="1"/>
  <c r="AS30"/>
  <c r="AT30" s="1"/>
  <c r="AS11"/>
  <c r="AT11" s="1"/>
  <c r="AS41"/>
  <c r="V40"/>
  <c r="AS33"/>
  <c r="AS35"/>
  <c r="AS25"/>
  <c r="AT25" s="1"/>
  <c r="AS42"/>
  <c r="AT42" s="1"/>
  <c r="AS38"/>
  <c r="V36"/>
  <c r="AS34"/>
  <c r="V28"/>
  <c r="AS26"/>
  <c r="AT26" s="1"/>
  <c r="V24"/>
  <c r="AS22"/>
  <c r="AT22" s="1"/>
  <c r="V20"/>
  <c r="AS18"/>
  <c r="AT18" s="1"/>
  <c r="AS14"/>
  <c r="AT14" s="1"/>
  <c r="V15"/>
  <c r="AS15"/>
  <c r="AT15" s="1"/>
  <c r="V39"/>
  <c r="AS39"/>
  <c r="AS43"/>
  <c r="AT43" s="1"/>
  <c r="V41"/>
  <c r="AS37"/>
  <c r="V35"/>
  <c r="AS20"/>
  <c r="AT20" s="1"/>
  <c r="AS19"/>
  <c r="AT19" s="1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V45" l="1"/>
  <c r="AS45"/>
  <c r="AS47" s="1"/>
  <c r="AS48" s="1"/>
  <c r="E14" i="3"/>
  <c r="K13" i="10" s="1"/>
  <c r="E15" i="3"/>
  <c r="K14" i="10" s="1"/>
  <c r="J50" i="3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G16"/>
  <c r="G17"/>
  <c r="G18"/>
  <c r="G19"/>
  <c r="G20"/>
  <c r="G21"/>
  <c r="G22"/>
  <c r="G23"/>
  <c r="G24"/>
  <c r="G25"/>
  <c r="G26"/>
  <c r="G27"/>
  <c r="J27" s="1"/>
  <c r="G28"/>
  <c r="J28" s="1"/>
  <c r="G29"/>
  <c r="G30"/>
  <c r="G31"/>
  <c r="G33"/>
  <c r="G36"/>
  <c r="G37"/>
  <c r="G38"/>
  <c r="G39"/>
  <c r="G40"/>
  <c r="J26" l="1"/>
  <c r="L21" i="10"/>
  <c r="J25" i="15"/>
  <c r="L20" i="10"/>
  <c r="J22" i="15"/>
  <c r="L17" i="10"/>
  <c r="J21" i="15"/>
  <c r="L16" i="10"/>
  <c r="J19" i="15"/>
  <c r="L14" i="10"/>
  <c r="J20" i="15"/>
  <c r="L15" i="10"/>
  <c r="J18" i="15"/>
  <c r="L13" i="10"/>
  <c r="J17" i="15"/>
  <c r="L12" i="10"/>
  <c r="J16" i="15"/>
  <c r="L11" i="10"/>
  <c r="J15" i="15"/>
  <c r="L10" i="10"/>
  <c r="J23" i="15"/>
  <c r="L18" i="10"/>
  <c r="J24" i="15"/>
  <c r="L19" i="10"/>
  <c r="E7" i="3"/>
  <c r="E8"/>
  <c r="E9"/>
  <c r="E6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F8" i="23" l="1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26" l="1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I6" i="3"/>
  <c r="Q6"/>
  <c r="O6"/>
  <c r="Q5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E19"/>
  <c r="E20"/>
  <c r="E21"/>
  <c r="E22"/>
  <c r="F21" i="23" s="1"/>
  <c r="E23" i="3"/>
  <c r="F22" i="23" s="1"/>
  <c r="E24" i="3"/>
  <c r="F23" i="23" s="1"/>
  <c r="E25" i="3"/>
  <c r="F24" i="23" s="1"/>
  <c r="E26" i="3"/>
  <c r="F25" i="23" s="1"/>
  <c r="E27" i="3"/>
  <c r="F26" i="23" s="1"/>
  <c r="E28" i="3"/>
  <c r="F27" i="23" s="1"/>
  <c r="E29" i="3"/>
  <c r="F28" i="23" s="1"/>
  <c r="E30" i="3"/>
  <c r="F29" i="23" s="1"/>
  <c r="E31" i="3"/>
  <c r="F30" i="23" s="1"/>
  <c r="E32" i="3"/>
  <c r="F31" i="23" s="1"/>
  <c r="E33" i="3"/>
  <c r="F32" i="23" s="1"/>
  <c r="E34" i="3"/>
  <c r="F33" i="23" s="1"/>
  <c r="E35" i="3"/>
  <c r="F34" i="23" s="1"/>
  <c r="E36" i="3"/>
  <c r="F35" i="23" s="1"/>
  <c r="E37" i="3"/>
  <c r="E10"/>
  <c r="E11"/>
  <c r="E12"/>
  <c r="E13"/>
  <c r="F13" i="23"/>
  <c r="F14"/>
  <c r="F15"/>
  <c r="E17" i="3"/>
  <c r="F20" i="23" l="1"/>
  <c r="K20" i="10"/>
  <c r="F19" i="23"/>
  <c r="K19" i="10"/>
  <c r="F18" i="23"/>
  <c r="K18" i="10"/>
  <c r="F17" i="23"/>
  <c r="K17" i="10"/>
  <c r="F16" i="23"/>
  <c r="K16" i="10"/>
  <c r="F12" i="23"/>
  <c r="K12" i="10"/>
  <c r="F11" i="23"/>
  <c r="K11" i="10"/>
  <c r="F10" i="23"/>
  <c r="K10" i="10"/>
  <c r="F9" i="23"/>
  <c r="K9" i="10"/>
  <c r="AN29" i="3"/>
  <c r="AN31"/>
  <c r="AN30"/>
  <c r="G34" i="24"/>
  <c r="F36" i="23"/>
  <c r="C43" i="1"/>
  <c r="D21" i="23"/>
  <c r="D22"/>
  <c r="AC23" i="12" l="1"/>
  <c r="AC18"/>
  <c r="D17" i="23"/>
  <c r="AC19" i="12"/>
  <c r="D18" i="23"/>
  <c r="AC20" i="12"/>
  <c r="D19" i="23"/>
  <c r="AC21" i="12"/>
  <c r="D20" i="23"/>
  <c r="AC22" i="12"/>
  <c r="AC15"/>
  <c r="D14" i="23"/>
  <c r="AC13" i="12"/>
  <c r="D12" i="23"/>
  <c r="AC14" i="12"/>
  <c r="D13" i="23"/>
  <c r="AC16" i="12"/>
  <c r="D15" i="23"/>
  <c r="AC17" i="12"/>
  <c r="AC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D35" i="23"/>
  <c r="D3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J36" i="23" s="1"/>
  <c r="D35" i="18"/>
  <c r="B35"/>
  <c r="H35" s="1"/>
  <c r="M35" s="1"/>
  <c r="T35" s="1"/>
  <c r="Y35" s="1"/>
  <c r="A35"/>
  <c r="V34"/>
  <c r="J35" i="23" s="1"/>
  <c r="D34" i="18"/>
  <c r="F34" s="1"/>
  <c r="H34"/>
  <c r="M34" s="1"/>
  <c r="T34" s="1"/>
  <c r="Y34" s="1"/>
  <c r="V33"/>
  <c r="J34" i="23" s="1"/>
  <c r="D33" i="18"/>
  <c r="F33" s="1"/>
  <c r="V32"/>
  <c r="D32"/>
  <c r="F32" s="1"/>
  <c r="V31"/>
  <c r="D31"/>
  <c r="F31" s="1"/>
  <c r="I32" i="23" s="1"/>
  <c r="V30" i="18"/>
  <c r="X30" s="1"/>
  <c r="J31" i="23" s="1"/>
  <c r="D30" i="18"/>
  <c r="F30" s="1"/>
  <c r="V29"/>
  <c r="X29" s="1"/>
  <c r="J30" i="23" s="1"/>
  <c r="D29" i="18"/>
  <c r="F29" s="1"/>
  <c r="I30" i="23" s="1"/>
  <c r="V28" i="18"/>
  <c r="X28" s="1"/>
  <c r="J29" i="23" s="1"/>
  <c r="D28" i="18"/>
  <c r="F28" s="1"/>
  <c r="I29" i="23" s="1"/>
  <c r="V27" i="18"/>
  <c r="X27" s="1"/>
  <c r="J28" i="23" s="1"/>
  <c r="D27" i="18"/>
  <c r="F27" s="1"/>
  <c r="I28" i="23" s="1"/>
  <c r="V26" i="18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H23" i="18"/>
  <c r="M23" s="1"/>
  <c r="T23" s="1"/>
  <c r="Y23" s="1"/>
  <c r="V22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V14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D8"/>
  <c r="F8" s="1"/>
  <c r="V7"/>
  <c r="D7"/>
  <c r="F7" s="1"/>
  <c r="H7"/>
  <c r="M7" s="1"/>
  <c r="T7" s="1"/>
  <c r="Y7" s="1"/>
  <c r="V6"/>
  <c r="D6"/>
  <c r="F6" s="1"/>
  <c r="V5"/>
  <c r="D5"/>
  <c r="F5" s="1"/>
  <c r="I6" i="23" s="1"/>
  <c r="X4" i="18"/>
  <c r="J5" i="23" s="1"/>
  <c r="F4" i="18"/>
  <c r="X3"/>
  <c r="AK37" i="13"/>
  <c r="AE37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T33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S36"/>
  <c r="N32" i="25"/>
  <c r="O36" i="3"/>
  <c r="L36"/>
  <c r="L32" i="25"/>
  <c r="I36" i="3"/>
  <c r="M32" i="25"/>
  <c r="F36" i="3"/>
  <c r="C36"/>
  <c r="AK35"/>
  <c r="AE35"/>
  <c r="Y35"/>
  <c r="V35"/>
  <c r="AN35"/>
  <c r="S35"/>
  <c r="N31" i="25"/>
  <c r="O35" i="3"/>
  <c r="L35"/>
  <c r="L31" i="25"/>
  <c r="I35" i="3"/>
  <c r="M31" i="25"/>
  <c r="F35" i="3"/>
  <c r="C35"/>
  <c r="AK34"/>
  <c r="AE34"/>
  <c r="Y34"/>
  <c r="V34"/>
  <c r="AN34"/>
  <c r="S34"/>
  <c r="N30" i="25"/>
  <c r="O34" i="3"/>
  <c r="L34"/>
  <c r="L30" i="25"/>
  <c r="I34" i="3"/>
  <c r="M30" i="25"/>
  <c r="F34" i="3"/>
  <c r="C34"/>
  <c r="AK33"/>
  <c r="AE33"/>
  <c r="Y33"/>
  <c r="V33"/>
  <c r="AN33"/>
  <c r="S33"/>
  <c r="N29" i="25"/>
  <c r="O33" i="3"/>
  <c r="L33"/>
  <c r="L29" i="25"/>
  <c r="I33" i="3"/>
  <c r="M29" i="25"/>
  <c r="F33" i="3"/>
  <c r="C33"/>
  <c r="AK32"/>
  <c r="AE32"/>
  <c r="Y32"/>
  <c r="V32"/>
  <c r="AN32"/>
  <c r="S32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S28"/>
  <c r="N24" i="25"/>
  <c r="O28" i="3"/>
  <c r="L28"/>
  <c r="L24" i="25"/>
  <c r="I28" i="3"/>
  <c r="M24" i="25"/>
  <c r="C28" i="3"/>
  <c r="AK27"/>
  <c r="AE27"/>
  <c r="Y27"/>
  <c r="V27"/>
  <c r="AN27"/>
  <c r="S27"/>
  <c r="N23" i="25"/>
  <c r="O27" i="3"/>
  <c r="L27"/>
  <c r="L23" i="25"/>
  <c r="I27" i="3"/>
  <c r="M23" i="25"/>
  <c r="C27" i="3"/>
  <c r="AK26"/>
  <c r="AE26"/>
  <c r="Y26"/>
  <c r="V26"/>
  <c r="AN26"/>
  <c r="S26"/>
  <c r="N22" i="25"/>
  <c r="O26" i="3"/>
  <c r="L26"/>
  <c r="L22" i="25"/>
  <c r="I26" i="3"/>
  <c r="M22" i="25"/>
  <c r="F26" i="3"/>
  <c r="C26"/>
  <c r="AK25"/>
  <c r="AE25"/>
  <c r="Y25"/>
  <c r="V25"/>
  <c r="AN25"/>
  <c r="S25"/>
  <c r="N21" i="25"/>
  <c r="L25" i="3"/>
  <c r="L21" i="25"/>
  <c r="I25" i="3"/>
  <c r="M21" i="25"/>
  <c r="F25" i="3"/>
  <c r="C25"/>
  <c r="AK24"/>
  <c r="AE24"/>
  <c r="Y24"/>
  <c r="V24"/>
  <c r="AN24"/>
  <c r="N20" i="25"/>
  <c r="L20"/>
  <c r="M20"/>
  <c r="F24" i="3"/>
  <c r="C24"/>
  <c r="AK23"/>
  <c r="AE23"/>
  <c r="Y23"/>
  <c r="V23"/>
  <c r="AN23"/>
  <c r="N19" i="25"/>
  <c r="L19"/>
  <c r="M19"/>
  <c r="C23" i="3"/>
  <c r="AK22"/>
  <c r="AE22"/>
  <c r="Y22"/>
  <c r="V22"/>
  <c r="AN22"/>
  <c r="N18" i="25"/>
  <c r="L18"/>
  <c r="M18"/>
  <c r="C22" i="3"/>
  <c r="AK21"/>
  <c r="AE21"/>
  <c r="Y21"/>
  <c r="V21"/>
  <c r="AN2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V6"/>
  <c r="N2" i="25"/>
  <c r="L2"/>
  <c r="M2"/>
  <c r="F6" i="3"/>
  <c r="P2" i="25"/>
  <c r="C6" i="3"/>
  <c r="AK5"/>
  <c r="C5"/>
  <c r="H45" i="1"/>
  <c r="G45"/>
  <c r="F45"/>
  <c r="E45"/>
  <c r="C36" i="23"/>
  <c r="C37" i="14"/>
  <c r="C34"/>
  <c r="C33"/>
  <c r="D32" i="23"/>
  <c r="D31"/>
  <c r="C31" i="14"/>
  <c r="D30" i="23"/>
  <c r="C30" i="14"/>
  <c r="C29"/>
  <c r="D28" i="23"/>
  <c r="D27"/>
  <c r="C27" i="14"/>
  <c r="D26" i="23"/>
  <c r="C26" i="14"/>
  <c r="D25" i="23"/>
  <c r="C25" i="14"/>
  <c r="D24" i="23"/>
  <c r="D23"/>
  <c r="C23" i="14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F14" i="11"/>
  <c r="D13" i="14"/>
  <c r="N13" s="1"/>
  <c r="F13" i="11"/>
  <c r="D12" i="14"/>
  <c r="N12" s="1"/>
  <c r="F11" i="11"/>
  <c r="D10" i="14"/>
  <c r="N10" s="1"/>
  <c r="F10" i="11"/>
  <c r="D9" i="14"/>
  <c r="N9" s="1"/>
  <c r="F9" i="11"/>
  <c r="D8" i="14"/>
  <c r="N8" s="1"/>
  <c r="F8" i="11"/>
  <c r="H5"/>
  <c r="C6" i="14"/>
  <c r="AC6" i="12"/>
  <c r="F6" i="11"/>
  <c r="G6"/>
  <c r="F5"/>
  <c r="A1" i="12" l="1"/>
  <c r="I3" i="1"/>
  <c r="J33" i="23"/>
  <c r="X32" i="18"/>
  <c r="X31"/>
  <c r="J32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34" i="23"/>
  <c r="I23" i="10"/>
  <c r="Q23" s="1"/>
  <c r="I31" i="23"/>
  <c r="I33"/>
  <c r="I35"/>
  <c r="W24" i="25"/>
  <c r="G27" i="23"/>
  <c r="W25" i="25"/>
  <c r="G28" i="23"/>
  <c r="W26" i="25"/>
  <c r="G29" i="23"/>
  <c r="W27" i="25"/>
  <c r="G30" i="23"/>
  <c r="W28" i="25"/>
  <c r="G31" i="23"/>
  <c r="W29" i="25"/>
  <c r="G32" i="23"/>
  <c r="W30" i="25"/>
  <c r="G33" i="23"/>
  <c r="W31" i="25"/>
  <c r="G34" i="23"/>
  <c r="W32" i="25"/>
  <c r="G35" i="23"/>
  <c r="AI16" i="13"/>
  <c r="W23" i="25"/>
  <c r="G26" i="23"/>
  <c r="W22" i="25"/>
  <c r="G25" i="23"/>
  <c r="W21" i="25"/>
  <c r="G24" i="23"/>
  <c r="W20" i="25"/>
  <c r="G23" i="23"/>
  <c r="W19" i="25"/>
  <c r="G22" i="23"/>
  <c r="L39" i="14"/>
  <c r="W18" i="25"/>
  <c r="G21" i="23"/>
  <c r="T45" i="1"/>
  <c r="U47" s="1"/>
  <c r="U48" s="1"/>
  <c r="I19" i="10"/>
  <c r="Q19" s="1"/>
  <c r="I26"/>
  <c r="Q26" s="1"/>
  <c r="AT33" i="1"/>
  <c r="S15" i="14"/>
  <c r="S19"/>
  <c r="S30"/>
  <c r="S35"/>
  <c r="S10"/>
  <c r="W17" i="25"/>
  <c r="G20" i="23"/>
  <c r="K39" i="14"/>
  <c r="B39"/>
  <c r="R17"/>
  <c r="I16" i="23"/>
  <c r="I14"/>
  <c r="I13"/>
  <c r="I12"/>
  <c r="E12" i="14"/>
  <c r="O12" s="1"/>
  <c r="J30" i="13"/>
  <c r="D29" i="23"/>
  <c r="G35" i="11"/>
  <c r="D33" i="23"/>
  <c r="AC35" i="12"/>
  <c r="D34" i="23"/>
  <c r="I11"/>
  <c r="G32" i="14"/>
  <c r="H31" i="23"/>
  <c r="G36" i="14"/>
  <c r="H35" i="23"/>
  <c r="G31" i="14"/>
  <c r="H30" i="23"/>
  <c r="G35" i="14"/>
  <c r="H34" i="23"/>
  <c r="G30" i="14"/>
  <c r="H29" i="23"/>
  <c r="G34" i="14"/>
  <c r="H33" i="23"/>
  <c r="G37" i="14"/>
  <c r="H36" i="23"/>
  <c r="G29" i="14"/>
  <c r="H28" i="23"/>
  <c r="G33" i="14"/>
  <c r="H32" i="23"/>
  <c r="I9"/>
  <c r="I8"/>
  <c r="E8" i="14"/>
  <c r="O8" s="1"/>
  <c r="I7" i="23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F35" i="18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J34" i="15"/>
  <c r="J37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J10" i="15"/>
  <c r="J29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J38" i="15"/>
  <c r="J30"/>
  <c r="J33"/>
  <c r="G42"/>
  <c r="R34" i="18"/>
  <c r="R32"/>
  <c r="E7" i="13"/>
  <c r="AI6"/>
  <c r="AJ9" l="1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AT34" i="1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I8" i="11"/>
  <c r="F17" i="14"/>
  <c r="I36" i="23"/>
  <c r="F22" i="14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F6" i="14"/>
  <c r="L33" i="13"/>
  <c r="F36" i="14"/>
  <c r="L6" i="13"/>
  <c r="G6" s="1"/>
  <c r="L8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T35" i="1" l="1"/>
  <c r="F39" i="14"/>
  <c r="U9" i="10"/>
  <c r="X10"/>
  <c r="T9"/>
  <c r="S9"/>
  <c r="Z9" s="1"/>
  <c r="R9"/>
  <c r="V8"/>
  <c r="W8" s="1"/>
  <c r="F8" i="13"/>
  <c r="E9"/>
  <c r="G8"/>
  <c r="AJ37"/>
  <c r="AT36" i="1" l="1"/>
  <c r="V9" i="10"/>
  <c r="W9" s="1"/>
  <c r="X11"/>
  <c r="S10"/>
  <c r="Z10" s="1"/>
  <c r="U10"/>
  <c r="R10"/>
  <c r="T10"/>
  <c r="F9" i="13"/>
  <c r="E10"/>
  <c r="G9"/>
  <c r="AT37" i="1" l="1"/>
  <c r="X12" i="10"/>
  <c r="T11"/>
  <c r="R11"/>
  <c r="U11"/>
  <c r="S11"/>
  <c r="Z11" s="1"/>
  <c r="V10"/>
  <c r="W10" s="1"/>
  <c r="F10" i="13"/>
  <c r="E11"/>
  <c r="G10"/>
  <c r="AT38" i="1" l="1"/>
  <c r="V11" i="10"/>
  <c r="W11" s="1"/>
  <c r="T12"/>
  <c r="U12"/>
  <c r="X13"/>
  <c r="R12"/>
  <c r="S12"/>
  <c r="Z12" s="1"/>
  <c r="F11" i="13"/>
  <c r="E12"/>
  <c r="G11"/>
  <c r="AT39" i="1" l="1"/>
  <c r="U13" i="10"/>
  <c r="X14"/>
  <c r="T13"/>
  <c r="S13"/>
  <c r="Z13" s="1"/>
  <c r="R13"/>
  <c r="V12"/>
  <c r="W12" s="1"/>
  <c r="F12" i="13"/>
  <c r="E13"/>
  <c r="G12"/>
  <c r="V13" i="10" l="1"/>
  <c r="W13" s="1"/>
  <c r="AT41" i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G21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F2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W15" i="25" s="1"/>
  <c r="AN16" i="3"/>
  <c r="G15" i="23" s="1"/>
  <c r="AN20" i="3"/>
  <c r="W16" i="25" s="1"/>
  <c r="AN17" i="3"/>
  <c r="W13" i="25" s="1"/>
  <c r="AN12" i="3"/>
  <c r="G11" i="23" s="1"/>
  <c r="AN18" i="3"/>
  <c r="G17" i="23" s="1"/>
  <c r="AN11" i="3"/>
  <c r="AN15"/>
  <c r="U38"/>
  <c r="AN38" s="1"/>
  <c r="W7" i="25" l="1"/>
  <c r="G10" i="23"/>
  <c r="W11" i="25"/>
  <c r="G14" i="23"/>
  <c r="W2" i="25"/>
  <c r="G8" i="23"/>
  <c r="G19"/>
  <c r="W14" i="25"/>
  <c r="G16" i="23"/>
  <c r="W12" i="25"/>
  <c r="W10"/>
  <c r="AN37" i="3"/>
  <c r="G36" i="23" s="1"/>
  <c r="W8" i="25"/>
  <c r="G18" i="23"/>
  <c r="G9"/>
  <c r="W4" i="25"/>
  <c r="G6" i="23"/>
  <c r="W9" i="25"/>
  <c r="D11" i="1" l="1"/>
  <c r="D12" l="1"/>
  <c r="H6" i="13"/>
  <c r="AU11" i="1"/>
  <c r="E5" i="23"/>
  <c r="H3" i="13"/>
  <c r="J5" i="11"/>
  <c r="AU12" i="1" l="1"/>
  <c r="D13"/>
  <c r="E6" i="23"/>
  <c r="H7" i="13"/>
  <c r="J6" i="11"/>
  <c r="H8" i="13" l="1"/>
  <c r="AU13" i="1"/>
  <c r="D14"/>
  <c r="J7" i="11"/>
  <c r="E7" i="23"/>
  <c r="E8" l="1"/>
  <c r="D15" i="1"/>
  <c r="J8" i="11"/>
  <c r="H9" i="13"/>
  <c r="AU14" i="1"/>
  <c r="AU15" l="1"/>
  <c r="E9" i="23"/>
  <c r="J9" i="11"/>
  <c r="D16" i="1"/>
  <c r="H10" i="13"/>
  <c r="E10" i="23" l="1"/>
  <c r="H11" i="13"/>
  <c r="D17" i="1"/>
  <c r="AU16"/>
  <c r="J10" i="11"/>
  <c r="D18" i="1" l="1"/>
  <c r="E11" i="23"/>
  <c r="J11" i="11"/>
  <c r="AU17" i="1"/>
  <c r="H12" i="13"/>
  <c r="J12" i="11" l="1"/>
  <c r="H13" i="13"/>
  <c r="D19" i="1"/>
  <c r="AU18"/>
  <c r="E12" i="23"/>
  <c r="AU19" i="1" l="1"/>
  <c r="D20"/>
  <c r="E13" i="23"/>
  <c r="H14" i="13"/>
  <c r="J13" i="11"/>
  <c r="D21" i="1" l="1"/>
  <c r="E14" i="23"/>
  <c r="AU20" i="1"/>
  <c r="H15" i="13"/>
  <c r="J14" i="11"/>
  <c r="D22" i="1" l="1"/>
  <c r="AU21"/>
  <c r="H16" i="13"/>
  <c r="J15" i="11"/>
  <c r="E15" i="23"/>
  <c r="E16" l="1"/>
  <c r="J16" i="11"/>
  <c r="AU22" i="1"/>
  <c r="D23"/>
  <c r="H17" i="13"/>
  <c r="H18" l="1"/>
  <c r="J17" i="11"/>
  <c r="AU23" i="1"/>
  <c r="D24"/>
  <c r="E17" i="23"/>
  <c r="E18" l="1"/>
  <c r="H19" i="13"/>
  <c r="J18" i="11"/>
  <c r="AU24" i="1"/>
  <c r="D25"/>
  <c r="H20" i="13" l="1"/>
  <c r="E19" i="23"/>
  <c r="D26" i="1"/>
  <c r="J19" i="11"/>
  <c r="AU25" i="1"/>
  <c r="E20" i="23" l="1"/>
  <c r="H21" i="13"/>
  <c r="J20" i="11"/>
  <c r="AU26" i="1"/>
  <c r="D27"/>
  <c r="E21" i="23" l="1"/>
  <c r="J21" i="11"/>
  <c r="AU27" i="1"/>
  <c r="D28"/>
  <c r="H22" i="13"/>
  <c r="E22" i="23" l="1"/>
  <c r="H23" i="13"/>
  <c r="J22" i="11"/>
  <c r="D29" i="1"/>
  <c r="AU28"/>
  <c r="E23" i="23" l="1"/>
  <c r="H24" i="13"/>
  <c r="AU29" i="1"/>
  <c r="D30"/>
  <c r="J23" i="11"/>
  <c r="H25" i="13" l="1"/>
  <c r="AU30" i="1"/>
  <c r="J24" i="11"/>
  <c r="D31" i="1"/>
  <c r="E24" i="23"/>
  <c r="E25" l="1"/>
  <c r="H26" i="13"/>
  <c r="AU31" i="1"/>
  <c r="D32"/>
  <c r="J25" i="11"/>
  <c r="E26" i="23" l="1"/>
  <c r="J26" i="11"/>
  <c r="D33" i="1"/>
  <c r="H27" i="13"/>
  <c r="AU32" i="1"/>
  <c r="H28" i="13" l="1"/>
  <c r="AU33" i="1"/>
  <c r="E27" i="23"/>
  <c r="D34" i="1"/>
  <c r="J27" i="11"/>
  <c r="E28" i="23" l="1"/>
  <c r="J28" i="11"/>
  <c r="AU34" i="1"/>
  <c r="H29" i="13"/>
  <c r="D35" i="1"/>
  <c r="D36" l="1"/>
  <c r="J29" i="11"/>
  <c r="E29" i="23"/>
  <c r="AU35" i="1"/>
  <c r="H30" i="13"/>
  <c r="J30" i="11" l="1"/>
  <c r="AU36" i="1"/>
  <c r="E30" i="23"/>
  <c r="D37" i="1"/>
  <c r="H31" i="13"/>
  <c r="H32" l="1"/>
  <c r="J31" i="11"/>
  <c r="AU37" i="1"/>
  <c r="E31" i="23"/>
  <c r="D38" i="1"/>
  <c r="D39" l="1"/>
  <c r="E32" i="23"/>
  <c r="H33" i="13"/>
  <c r="J32" i="11"/>
  <c r="AU38" i="1"/>
  <c r="H34" i="13" l="1"/>
  <c r="J33" i="11"/>
  <c r="E33" i="23"/>
  <c r="AU39" i="1"/>
  <c r="D40"/>
  <c r="AU40" l="1"/>
  <c r="E34" i="23"/>
  <c r="J34" i="11"/>
  <c r="H35" i="13"/>
  <c r="D41" i="1"/>
  <c r="H36" i="13" l="1"/>
  <c r="J35" i="11"/>
  <c r="AU41" i="1"/>
  <c r="E35" i="23"/>
  <c r="D42" i="1"/>
  <c r="E36" i="23" l="1"/>
  <c r="AU42" i="1"/>
  <c r="J36" i="11"/>
  <c r="D43" i="1"/>
  <c r="AU43" s="1"/>
</calcChain>
</file>

<file path=xl/comments1.xml><?xml version="1.0" encoding="utf-8"?>
<comments xmlns="http://schemas.openxmlformats.org/spreadsheetml/2006/main">
  <authors>
    <author>john.japhet</author>
  </authors>
  <commentList>
    <comment ref="AJ17" authorId="0">
      <text>
        <r>
          <rPr>
            <b/>
            <sz val="9"/>
            <color indexed="81"/>
            <rFont val="Tahoma"/>
            <charset val="1"/>
          </rPr>
          <t>john.japhet:</t>
        </r>
        <r>
          <rPr>
            <sz val="9"/>
            <color indexed="81"/>
            <rFont val="Tahoma"/>
            <charset val="1"/>
          </rPr>
          <t xml:space="preserve">
Cash paid to T 818 CBX and T 466 DNY. </t>
        </r>
      </text>
    </comment>
  </commentList>
</comments>
</file>

<file path=xl/sharedStrings.xml><?xml version="1.0" encoding="utf-8"?>
<sst xmlns="http://schemas.openxmlformats.org/spreadsheetml/2006/main" count="542" uniqueCount="329">
  <si>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</si>
  <si>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</si>
  <si>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</si>
  <si>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</si>
  <si>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</si>
  <si>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</si>
  <si>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</si>
  <si>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</si>
  <si>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</si>
  <si>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</si>
  <si>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</si>
  <si>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</si>
  <si>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</si>
  <si>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</si>
  <si>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</si>
  <si>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</si>
  <si>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</si>
  <si>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</si>
  <si>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</si>
  <si>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</si>
  <si>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</si>
  <si>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</si>
  <si>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</si>
  <si>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</si>
  <si>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</si>
  <si>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</si>
  <si>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</si>
  <si>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</si>
  <si>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</si>
  <si>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</si>
  <si>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</si>
  <si>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</si>
  <si>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</si>
  <si>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</si>
  <si>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</si>
  <si>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</si>
  <si>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</si>
  <si>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</si>
  <si>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</si>
  <si>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</si>
  <si>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</si>
  <si>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</si>
  <si>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</si>
  <si>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</si>
  <si>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</si>
  <si>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</si>
  <si>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</si>
  <si>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</si>
  <si>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</si>
  <si>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</si>
  <si>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</si>
  <si>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</si>
  <si>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</si>
  <si>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</si>
  <si>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</si>
  <si>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</si>
  <si>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</si>
  <si>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</si>
  <si>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</si>
  <si>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</si>
  <si>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</si>
  <si>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</si>
  <si>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</si>
  <si>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</si>
  <si>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</si>
  <si>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</si>
  <si>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</si>
  <si>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</si>
  <si>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</si>
  <si>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</si>
  <si>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</si>
  <si>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</si>
  <si>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</si>
  <si>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</si>
  <si>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</si>
  <si>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</si>
  <si>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</si>
  <si>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</si>
  <si>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</si>
  <si>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</si>
  <si>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</si>
  <si>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</si>
  <si>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</si>
  <si>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</si>
  <si>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</si>
  <si>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</si>
  <si>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</si>
  <si>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</si>
  <si>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</si>
  <si>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</si>
  <si>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</si>
  <si>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</si>
  <si>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</si>
  <si>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</si>
  <si>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</si>
  <si>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</si>
  <si>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</si>
  <si>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</si>
  <si>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</si>
  <si>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</si>
  <si>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</si>
  <si>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</si>
  <si>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</si>
  <si>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</si>
  <si>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</si>
  <si>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</si>
  <si>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</si>
  <si>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</si>
  <si>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</si>
  <si>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</si>
  <si>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</si>
  <si>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</si>
  <si>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</si>
  <si>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</si>
  <si>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</si>
  <si>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</si>
  <si>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</si>
  <si>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</si>
  <si>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</si>
  <si>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</si>
  <si>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</si>
  <si>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</si>
  <si>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</si>
  <si>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</si>
  <si>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</si>
  <si>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</si>
  <si>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</si>
  <si>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</si>
  <si>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</si>
  <si>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</si>
  <si>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</si>
  <si>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</si>
  <si>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</si>
  <si>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</si>
  <si>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</si>
  <si>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</si>
  <si>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</si>
  <si>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</si>
  <si>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</si>
  <si>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</si>
  <si>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</si>
  <si>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</si>
  <si>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</si>
  <si>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</si>
  <si>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</si>
  <si>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</si>
  <si>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</si>
  <si>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</si>
  <si>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</si>
  <si>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</si>
  <si>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</si>
  <si>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</si>
  <si>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</si>
  <si>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</si>
  <si>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</si>
  <si>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</si>
  <si>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</si>
  <si>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</si>
  <si>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</si>
  <si>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</si>
  <si>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</si>
  <si>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</si>
  <si>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</si>
  <si>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</si>
  <si>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</si>
  <si>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</si>
  <si>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</si>
  <si>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</si>
  <si>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</si>
  <si>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</si>
  <si>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</si>
  <si>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</si>
  <si>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</si>
  <si>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</si>
  <si>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</si>
  <si>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</si>
  <si>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</si>
  <si>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</si>
  <si>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</si>
  <si>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</si>
  <si>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</si>
  <si>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</si>
  <si>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</si>
  <si>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</si>
  <si>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</si>
  <si>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</si>
  <si>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</si>
  <si>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</si>
  <si>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</si>
  <si>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</si>
  <si>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</si>
  <si>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</si>
  <si>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</si>
  <si>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</si>
  <si>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</si>
  <si>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</si>
  <si>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</si>
  <si>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</si>
  <si>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</si>
  <si>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</si>
  <si>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</si>
  <si>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</si>
  <si>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</si>
  <si>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</si>
  <si>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</si>
  <si>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</si>
  <si>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</si>
  <si>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</si>
  <si>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</si>
  <si>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</si>
  <si>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</si>
  <si>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</si>
  <si>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</si>
  <si>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</si>
  <si>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</si>
  <si>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</si>
  <si>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</si>
  <si>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</si>
  <si>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</si>
  <si>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</si>
  <si>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</si>
  <si>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</si>
  <si>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</si>
  <si>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</si>
  <si>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</si>
  <si>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</si>
  <si>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</si>
  <si>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</si>
  <si>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</si>
  <si>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</si>
  <si>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</si>
  <si>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</si>
  <si>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</si>
  <si>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</si>
  <si>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</si>
  <si>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</si>
  <si>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</si>
  <si>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</si>
  <si>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</si>
  <si>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</si>
  <si>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</si>
  <si>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</si>
  <si>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</si>
  <si>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</si>
  <si>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</si>
  <si>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</si>
  <si>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</si>
  <si>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</si>
  <si>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</si>
  <si>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</si>
  <si>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</si>
  <si>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</si>
  <si>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</si>
  <si>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</si>
  <si>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</si>
  <si>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</si>
  <si>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</si>
  <si>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</si>
  <si>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</si>
  <si>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</si>
  <si>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</si>
  <si>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</si>
  <si>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</si>
  <si>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</si>
  <si>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</si>
  <si>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</si>
  <si>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</si>
  <si>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</si>
  <si>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</si>
  <si>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</si>
  <si>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</si>
  <si>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</si>
  <si>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</si>
  <si>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</si>
  <si>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</si>
  <si>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</si>
  <si>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</si>
  <si>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</si>
  <si>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</si>
  <si>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</si>
  <si>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</si>
  <si>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</si>
  <si>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</si>
  <si>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</si>
  <si>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</si>
  <si>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</si>
  <si>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</si>
  <si>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</si>
  <si>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</si>
  <si>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</si>
  <si>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</si>
  <si>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</si>
  <si>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</si>
  <si>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</si>
  <si>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</si>
  <si>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</si>
  <si>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</si>
  <si>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</si>
  <si>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</si>
  <si>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</si>
  <si>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</si>
  <si>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</si>
  <si>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</si>
  <si>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</si>
  <si>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</si>
  <si>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</si>
  <si>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</si>
  <si>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</si>
  <si>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</si>
  <si>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</si>
  <si>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PUMA</t>
  </si>
  <si>
    <t>Occupancy %</t>
  </si>
  <si>
    <t xml:space="preserve">  T 242 AXN</t>
  </si>
  <si>
    <t>DIESEL PUMP 01 READINGS</t>
  </si>
  <si>
    <t>DIESEL PUMP 02 READINGS</t>
  </si>
  <si>
    <t>DAILY UTILITY REPORT AUGUST 2020</t>
  </si>
  <si>
    <t>Generator and Diseal Summry Report  August 2020</t>
  </si>
  <si>
    <t xml:space="preserve"> UTILITY REPORT </t>
  </si>
  <si>
    <t xml:space="preserve">Four Seasons Safari Lodge Serengeti - Water Report </t>
  </si>
  <si>
    <t>Generator and Diseal Summry Report</t>
  </si>
  <si>
    <t xml:space="preserve">HLP REPORT </t>
  </si>
  <si>
    <t>T 880DKQ</t>
  </si>
  <si>
    <t>Emanuel</t>
  </si>
  <si>
    <t>Noel</t>
  </si>
  <si>
    <t xml:space="preserve"> T818 CBX</t>
  </si>
  <si>
    <t>Sita</t>
  </si>
  <si>
    <t>Cssh paid</t>
  </si>
  <si>
    <t>T466DNY</t>
  </si>
  <si>
    <t>Abdullah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</si>
</sst>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09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3" xfId="0" applyFont="1" applyBorder="1" applyAlignment="1">
      <alignment horizontal="center" wrapText="1"/>
    </xf>
    <xf numFmtId="0" fontId="24" fillId="0" borderId="53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3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5" xfId="0" applyFont="1" applyFill="1" applyBorder="1" applyAlignment="1">
      <alignment horizontal="center" vertical="center" wrapText="1"/>
    </xf>
    <xf numFmtId="0" fontId="19" fillId="16" borderId="66" xfId="0" applyFont="1" applyFill="1" applyBorder="1" applyAlignment="1">
      <alignment horizont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68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70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0" fillId="12" borderId="27" xfId="0" applyFill="1" applyBorder="1"/>
    <xf numFmtId="0" fontId="19" fillId="0" borderId="57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4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5" xfId="0" applyNumberFormat="1" applyFill="1" applyBorder="1"/>
    <xf numFmtId="0" fontId="0" fillId="12" borderId="41" xfId="0" applyFill="1" applyBorder="1"/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3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4" xfId="0" applyNumberFormat="1" applyBorder="1" applyAlignment="1">
      <alignment horizontal="center"/>
    </xf>
    <xf numFmtId="0" fontId="0" fillId="0" borderId="53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7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8" xfId="4" applyFont="1" applyFill="1" applyBorder="1" applyAlignment="1">
      <alignment horizontal="center"/>
    </xf>
    <xf numFmtId="0" fontId="19" fillId="7" borderId="79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80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58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6" xfId="1" applyFont="1" applyBorder="1" applyAlignment="1">
      <alignment horizontal="center"/>
    </xf>
    <xf numFmtId="165" fontId="16" fillId="0" borderId="90" xfId="1" applyFont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62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2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2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0" fontId="4" fillId="34" borderId="61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3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2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2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55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2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2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9" xfId="0" applyNumberFormat="1" applyFont="1" applyBorder="1"/>
    <xf numFmtId="0" fontId="25" fillId="0" borderId="92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3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5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2" xfId="1" applyNumberFormat="1" applyFont="1" applyFill="1" applyBorder="1"/>
    <xf numFmtId="166" fontId="2" fillId="12" borderId="55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3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3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2" fontId="12" fillId="16" borderId="26" xfId="1" applyNumberFormat="1" applyFont="1" applyFill="1" applyBorder="1" applyAlignment="1"/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2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2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0" fillId="0" borderId="1" xfId="0" applyFill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0" xfId="0" applyFont="1" applyAlignment="1">
      <alignment horizontal="center"/>
    </xf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7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4" xfId="0" applyFont="1" applyFill="1" applyBorder="1" applyAlignment="1">
      <alignment horizontal="center"/>
    </xf>
    <xf numFmtId="0" fontId="4" fillId="8" borderId="57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2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37" borderId="21" xfId="0" applyFill="1" applyBorder="1" applyAlignment="1">
      <alignment horizontal="center" wrapText="1"/>
    </xf>
    <xf numFmtId="0" fontId="0" fillId="28" borderId="9" xfId="0" applyFill="1" applyBorder="1" applyAlignment="1">
      <alignment horizontal="center" wrapText="1"/>
    </xf>
    <xf numFmtId="0" fontId="0" fillId="34" borderId="10" xfId="0" applyFill="1" applyBorder="1"/>
    <xf numFmtId="0" fontId="0" fillId="33" borderId="21" xfId="0" applyFill="1" applyBorder="1"/>
    <xf numFmtId="0" fontId="0" fillId="9" borderId="9" xfId="0" applyFill="1" applyBorder="1"/>
    <xf numFmtId="0" fontId="0" fillId="34" borderId="9" xfId="0" applyFill="1" applyBorder="1"/>
    <xf numFmtId="0" fontId="0" fillId="38" borderId="10" xfId="0" applyFill="1" applyBorder="1"/>
    <xf numFmtId="165" fontId="16" fillId="16" borderId="56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1" xfId="0" applyFont="1" applyFill="1" applyBorder="1" applyAlignment="1">
      <alignment horizontal="center"/>
    </xf>
    <xf numFmtId="0" fontId="4" fillId="7" borderId="96" xfId="0" applyFont="1" applyFill="1" applyBorder="1" applyAlignment="1">
      <alignment horizontal="center" wrapText="1"/>
    </xf>
    <xf numFmtId="0" fontId="4" fillId="7" borderId="60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6" xfId="0" applyFont="1" applyFill="1" applyBorder="1" applyAlignment="1">
      <alignment horizontal="center"/>
    </xf>
    <xf numFmtId="0" fontId="4" fillId="7" borderId="83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3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2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59" xfId="1" applyFont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1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16" xfId="1" applyFont="1" applyBorder="1" applyAlignment="1">
      <alignment horizontal="center"/>
    </xf>
    <xf numFmtId="0" fontId="4" fillId="0" borderId="94" xfId="0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5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4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9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6" fontId="16" fillId="16" borderId="56" xfId="1" applyNumberFormat="1" applyFont="1" applyFill="1" applyBorder="1" applyAlignment="1">
      <alignment horizontal="center"/>
    </xf>
    <xf numFmtId="165" fontId="16" fillId="0" borderId="17" xfId="1" applyFont="1" applyBorder="1" applyAlignment="1">
      <alignment horizontal="center"/>
    </xf>
    <xf numFmtId="165" fontId="31" fillId="10" borderId="6" xfId="1" applyFont="1" applyFill="1" applyBorder="1" applyAlignment="1">
      <alignment horizontal="center"/>
    </xf>
    <xf numFmtId="165" fontId="31" fillId="10" borderId="54" xfId="1" applyFont="1" applyFill="1" applyBorder="1" applyAlignment="1">
      <alignment horizontal="center"/>
    </xf>
    <xf numFmtId="4" fontId="10" fillId="8" borderId="16" xfId="0" applyNumberFormat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4" fontId="10" fillId="7" borderId="16" xfId="0" applyNumberFormat="1" applyFont="1" applyFill="1" applyBorder="1" applyAlignment="1">
      <alignment horizontal="center"/>
    </xf>
    <xf numFmtId="4" fontId="4" fillId="8" borderId="21" xfId="0" applyNumberFormat="1" applyFont="1" applyFill="1" applyBorder="1" applyAlignment="1">
      <alignment horizontal="center"/>
    </xf>
    <xf numFmtId="165" fontId="16" fillId="10" borderId="9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0" fillId="0" borderId="20" xfId="0" applyBorder="1"/>
    <xf numFmtId="0" fontId="0" fillId="0" borderId="61" xfId="0" applyBorder="1" applyAlignment="1">
      <alignment horizontal="center" vertical="center" wrapText="1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3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7" xfId="0" applyFont="1" applyFill="1" applyBorder="1"/>
    <xf numFmtId="9" fontId="0" fillId="0" borderId="27" xfId="6" applyFont="1" applyBorder="1" applyAlignment="1">
      <alignment wrapText="1"/>
    </xf>
    <xf numFmtId="9" fontId="0" fillId="0" borderId="5" xfId="6" applyFont="1" applyBorder="1" applyAlignment="1">
      <alignment wrapText="1"/>
    </xf>
    <xf numFmtId="0" fontId="25" fillId="0" borderId="22" xfId="0" applyFont="1" applyBorder="1"/>
    <xf numFmtId="18" fontId="25" fillId="0" borderId="22" xfId="0" applyNumberFormat="1" applyFont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17" fillId="0" borderId="7" xfId="0" applyNumberFormat="1" applyFont="1" applyFill="1" applyBorder="1" applyAlignment="1">
      <alignment horizontal="center"/>
    </xf>
    <xf numFmtId="169" fontId="5" fillId="0" borderId="16" xfId="0" applyNumberFormat="1" applyFont="1" applyFill="1" applyBorder="1" applyAlignment="1">
      <alignment horizontal="center"/>
    </xf>
    <xf numFmtId="169" fontId="17" fillId="0" borderId="8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169" fontId="17" fillId="0" borderId="10" xfId="0" applyNumberFormat="1" applyFont="1" applyFill="1" applyBorder="1" applyAlignment="1">
      <alignment horizontal="center"/>
    </xf>
    <xf numFmtId="0" fontId="25" fillId="0" borderId="5" xfId="0" applyFont="1" applyBorder="1"/>
    <xf numFmtId="169" fontId="17" fillId="0" borderId="17" xfId="0" applyNumberFormat="1" applyFont="1" applyFill="1" applyBorder="1" applyAlignment="1">
      <alignment horizontal="center"/>
    </xf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169" fontId="17" fillId="0" borderId="16" xfId="0" applyNumberFormat="1" applyFont="1" applyFill="1" applyBorder="1" applyAlignment="1">
      <alignment horizontal="center"/>
    </xf>
    <xf numFmtId="169" fontId="17" fillId="0" borderId="21" xfId="0" applyNumberFormat="1" applyFont="1" applyFill="1" applyBorder="1" applyAlignment="1">
      <alignment horizontal="center"/>
    </xf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19" fillId="16" borderId="38" xfId="0" applyFont="1" applyFill="1" applyBorder="1" applyAlignment="1">
      <alignment horizontal="center" vertical="center" wrapText="1"/>
    </xf>
    <xf numFmtId="169" fontId="17" fillId="0" borderId="22" xfId="0" applyNumberFormat="1" applyFont="1" applyFill="1" applyBorder="1" applyAlignment="1">
      <alignment horizontal="center"/>
    </xf>
    <xf numFmtId="0" fontId="25" fillId="23" borderId="7" xfId="0" applyFont="1" applyFill="1" applyBorder="1"/>
    <xf numFmtId="0" fontId="26" fillId="0" borderId="9" xfId="0" applyFont="1" applyBorder="1"/>
    <xf numFmtId="0" fontId="25" fillId="0" borderId="39" xfId="0" applyFont="1" applyBorder="1"/>
    <xf numFmtId="3" fontId="0" fillId="28" borderId="96" xfId="0" applyNumberFormat="1" applyFill="1" applyBorder="1" applyAlignment="1">
      <alignment horizontal="center" vertical="center" wrapText="1"/>
    </xf>
    <xf numFmtId="0" fontId="25" fillId="0" borderId="36" xfId="0" applyFont="1" applyBorder="1"/>
    <xf numFmtId="0" fontId="0" fillId="0" borderId="98" xfId="0" applyBorder="1"/>
    <xf numFmtId="169" fontId="17" fillId="0" borderId="39" xfId="0" applyNumberFormat="1" applyFont="1" applyFill="1" applyBorder="1" applyAlignment="1">
      <alignment horizontal="center"/>
    </xf>
    <xf numFmtId="169" fontId="17" fillId="0" borderId="37" xfId="0" applyNumberFormat="1" applyFont="1" applyFill="1" applyBorder="1" applyAlignment="1">
      <alignment horizontal="center"/>
    </xf>
    <xf numFmtId="164" fontId="25" fillId="0" borderId="17" xfId="3" applyFont="1" applyBorder="1"/>
    <xf numFmtId="10" fontId="0" fillId="0" borderId="7" xfId="6" applyNumberFormat="1" applyFont="1" applyBorder="1" applyAlignment="1">
      <alignment horizontal="center" vertical="center" wrapText="1"/>
    </xf>
    <xf numFmtId="164" fontId="25" fillId="0" borderId="16" xfId="3" applyFont="1" applyBorder="1"/>
    <xf numFmtId="10" fontId="0" fillId="0" borderId="8" xfId="6" applyNumberFormat="1" applyFont="1" applyBorder="1" applyAlignment="1">
      <alignment horizontal="center" vertical="center" wrapText="1"/>
    </xf>
    <xf numFmtId="164" fontId="25" fillId="0" borderId="21" xfId="3" applyFont="1" applyBorder="1"/>
    <xf numFmtId="10" fontId="0" fillId="0" borderId="10" xfId="6" applyNumberFormat="1" applyFont="1" applyBorder="1" applyAlignment="1">
      <alignment horizontal="center" vertical="center" wrapText="1"/>
    </xf>
    <xf numFmtId="0" fontId="6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10" fillId="0" borderId="0" xfId="0" applyNumberFormat="1" applyFont="1" applyAlignment="1">
      <alignment horizontal="center"/>
    </xf>
    <xf numFmtId="1" fontId="62" fillId="0" borderId="1" xfId="0" applyNumberFormat="1" applyFont="1" applyBorder="1" applyAlignment="1">
      <alignment horizontal="center" vertical="center" wrapText="1"/>
    </xf>
    <xf numFmtId="166" fontId="16" fillId="34" borderId="56" xfId="1" applyNumberFormat="1" applyFont="1" applyFill="1" applyBorder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9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3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6" xfId="0" applyNumberFormat="1" applyFont="1" applyFill="1" applyBorder="1" applyAlignment="1">
      <alignment horizontal="center"/>
    </xf>
    <xf numFmtId="0" fontId="4" fillId="34" borderId="99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4" xfId="0" applyFont="1" applyFill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3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3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3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1" xfId="0" applyFont="1" applyBorder="1" applyAlignment="1">
      <alignment horizontal="center"/>
    </xf>
    <xf numFmtId="0" fontId="2" fillId="0" borderId="91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3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0" fillId="31" borderId="53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10" fillId="27" borderId="53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3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3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10" fillId="30" borderId="53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3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169" fontId="50" fillId="9" borderId="0" xfId="0" applyNumberFormat="1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5" xfId="0" applyFont="1" applyFill="1" applyBorder="1" applyAlignment="1">
      <alignment horizontal="center" wrapText="1"/>
    </xf>
    <xf numFmtId="0" fontId="2" fillId="28" borderId="90" xfId="0" applyFont="1" applyFill="1" applyBorder="1" applyAlignment="1">
      <alignment horizontal="center" wrapText="1"/>
    </xf>
    <xf numFmtId="0" fontId="37" fillId="11" borderId="53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1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2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76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8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4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2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4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8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1" xfId="0" applyFont="1" applyFill="1" applyBorder="1" applyAlignment="1">
      <alignment horizontal="center" vertical="center"/>
    </xf>
    <xf numFmtId="0" fontId="19" fillId="14" borderId="80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2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821.92000000000007</c:v>
                </c:pt>
                <c:pt idx="1">
                  <c:v>1090.28</c:v>
                </c:pt>
                <c:pt idx="2">
                  <c:v>868.39</c:v>
                </c:pt>
                <c:pt idx="3">
                  <c:v>841.98</c:v>
                </c:pt>
                <c:pt idx="4">
                  <c:v>938.54</c:v>
                </c:pt>
                <c:pt idx="5">
                  <c:v>910.27</c:v>
                </c:pt>
                <c:pt idx="6">
                  <c:v>948.21</c:v>
                </c:pt>
                <c:pt idx="7">
                  <c:v>916.32999999999993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82790656"/>
        <c:axId val="8280064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3</c:v>
                </c:pt>
                <c:pt idx="6">
                  <c:v>7</c:v>
                </c:pt>
                <c:pt idx="7">
                  <c:v>5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82802176"/>
        <c:axId val="82803712"/>
      </c:lineChart>
      <c:catAx>
        <c:axId val="82790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800640"/>
        <c:crosses val="autoZero"/>
        <c:auto val="1"/>
        <c:lblAlgn val="ctr"/>
        <c:lblOffset val="100"/>
      </c:catAx>
      <c:valAx>
        <c:axId val="82800640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790656"/>
        <c:crosses val="autoZero"/>
        <c:crossBetween val="between"/>
        <c:majorUnit val="200"/>
      </c:valAx>
      <c:catAx>
        <c:axId val="82802176"/>
        <c:scaling>
          <c:orientation val="minMax"/>
        </c:scaling>
        <c:delete val="1"/>
        <c:axPos val="b"/>
        <c:tickLblPos val="none"/>
        <c:crossAx val="82803712"/>
        <c:crosses val="autoZero"/>
        <c:auto val="1"/>
        <c:lblAlgn val="ctr"/>
        <c:lblOffset val="100"/>
      </c:catAx>
      <c:valAx>
        <c:axId val="8280371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8021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84480384"/>
        <c:axId val="8448192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84483456"/>
        <c:axId val="84489344"/>
      </c:lineChart>
      <c:catAx>
        <c:axId val="84480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481920"/>
        <c:crosses val="autoZero"/>
        <c:auto val="1"/>
        <c:lblAlgn val="ctr"/>
        <c:lblOffset val="100"/>
      </c:catAx>
      <c:valAx>
        <c:axId val="844819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480384"/>
        <c:crosses val="autoZero"/>
        <c:crossBetween val="between"/>
        <c:majorUnit val="200"/>
      </c:valAx>
      <c:catAx>
        <c:axId val="84483456"/>
        <c:scaling>
          <c:orientation val="minMax"/>
        </c:scaling>
        <c:delete val="1"/>
        <c:axPos val="b"/>
        <c:tickLblPos val="none"/>
        <c:crossAx val="84489344"/>
        <c:crosses val="autoZero"/>
        <c:auto val="1"/>
        <c:lblAlgn val="ctr"/>
        <c:lblOffset val="100"/>
      </c:catAx>
      <c:valAx>
        <c:axId val="8448934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4834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69.209999999999994</c:v>
                </c:pt>
                <c:pt idx="1">
                  <c:v>80.650000000000006</c:v>
                </c:pt>
                <c:pt idx="2">
                  <c:v>901.44999999999993</c:v>
                </c:pt>
                <c:pt idx="3">
                  <c:v>821.92000000000007</c:v>
                </c:pt>
                <c:pt idx="4">
                  <c:v>1117.29</c:v>
                </c:pt>
                <c:pt idx="5">
                  <c:v>868.39</c:v>
                </c:pt>
                <c:pt idx="6">
                  <c:v>1100.1199999999999</c:v>
                </c:pt>
                <c:pt idx="7">
                  <c:v>1061.8399999999999</c:v>
                </c:pt>
                <c:pt idx="8">
                  <c:v>910.27</c:v>
                </c:pt>
                <c:pt idx="9">
                  <c:v>948.21</c:v>
                </c:pt>
                <c:pt idx="10">
                  <c:v>916.32999999999993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84878848"/>
        <c:axId val="84880384"/>
      </c:lineChart>
      <c:catAx>
        <c:axId val="84878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880384"/>
        <c:crosses val="autoZero"/>
        <c:auto val="1"/>
        <c:lblAlgn val="ctr"/>
        <c:lblOffset val="200"/>
        <c:tickLblSkip val="1"/>
      </c:catAx>
      <c:valAx>
        <c:axId val="8488038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878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3.9E-2</c:v>
                </c:pt>
                <c:pt idx="1">
                  <c:v>3.9E-2</c:v>
                </c:pt>
                <c:pt idx="2">
                  <c:v>3.9E-2</c:v>
                </c:pt>
                <c:pt idx="3">
                  <c:v>9.0899999999999995E-2</c:v>
                </c:pt>
                <c:pt idx="4">
                  <c:v>9.0899999999999995E-2</c:v>
                </c:pt>
                <c:pt idx="5">
                  <c:v>9.0899999999999995E-2</c:v>
                </c:pt>
                <c:pt idx="6">
                  <c:v>2.5999999999999999E-2</c:v>
                </c:pt>
                <c:pt idx="7">
                  <c:v>3.9E-2</c:v>
                </c:pt>
                <c:pt idx="8">
                  <c:v>6.5000000000000002E-2</c:v>
                </c:pt>
                <c:pt idx="9">
                  <c:v>1.2999999999999999E-2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84909056"/>
        <c:axId val="85467904"/>
      </c:lineChart>
      <c:catAx>
        <c:axId val="84909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467904"/>
        <c:crosses val="autoZero"/>
        <c:auto val="1"/>
        <c:lblAlgn val="ctr"/>
        <c:lblOffset val="100"/>
      </c:catAx>
      <c:valAx>
        <c:axId val="8546790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909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2111</c:v>
                </c:pt>
                <c:pt idx="3">
                  <c:v>2147</c:v>
                </c:pt>
                <c:pt idx="4">
                  <c:v>2188</c:v>
                </c:pt>
                <c:pt idx="5">
                  <c:v>2448</c:v>
                </c:pt>
                <c:pt idx="6">
                  <c:v>2152</c:v>
                </c:pt>
                <c:pt idx="7">
                  <c:v>2052</c:v>
                </c:pt>
                <c:pt idx="8">
                  <c:v>2010</c:v>
                </c:pt>
                <c:pt idx="9">
                  <c:v>2245</c:v>
                </c:pt>
                <c:pt idx="10">
                  <c:v>2101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85508864"/>
        <c:axId val="85510784"/>
      </c:lineChart>
      <c:catAx>
        <c:axId val="855088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510784"/>
        <c:crosses val="autoZero"/>
        <c:auto val="1"/>
        <c:lblAlgn val="ctr"/>
        <c:lblOffset val="100"/>
      </c:catAx>
      <c:valAx>
        <c:axId val="8551078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50886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56</c:v>
                </c:pt>
                <c:pt idx="1">
                  <c:v>58</c:v>
                </c:pt>
                <c:pt idx="2">
                  <c:v>51</c:v>
                </c:pt>
                <c:pt idx="3">
                  <c:v>54</c:v>
                </c:pt>
                <c:pt idx="4">
                  <c:v>50</c:v>
                </c:pt>
                <c:pt idx="5">
                  <c:v>52</c:v>
                </c:pt>
                <c:pt idx="6">
                  <c:v>58</c:v>
                </c:pt>
                <c:pt idx="7">
                  <c:v>46</c:v>
                </c:pt>
                <c:pt idx="8">
                  <c:v>52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85437440"/>
        <c:axId val="85447808"/>
      </c:lineChart>
      <c:catAx>
        <c:axId val="854374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447808"/>
        <c:crosses val="autoZero"/>
        <c:auto val="1"/>
        <c:lblAlgn val="ctr"/>
        <c:lblOffset val="100"/>
      </c:catAx>
      <c:valAx>
        <c:axId val="8544780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43744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78.980000000051234</c:v>
                </c:pt>
                <c:pt idx="1">
                  <c:v>76.031999999994881</c:v>
                </c:pt>
                <c:pt idx="2">
                  <c:v>58.607999999966708</c:v>
                </c:pt>
                <c:pt idx="3">
                  <c:v>66.263999999989764</c:v>
                </c:pt>
                <c:pt idx="4">
                  <c:v>63.536000000010247</c:v>
                </c:pt>
                <c:pt idx="5">
                  <c:v>50.072000000020495</c:v>
                </c:pt>
                <c:pt idx="6">
                  <c:v>49.588000000017935</c:v>
                </c:pt>
                <c:pt idx="7">
                  <c:v>62.567999999941101</c:v>
                </c:pt>
                <c:pt idx="8">
                  <c:v>54.868000000005125</c:v>
                </c:pt>
                <c:pt idx="9">
                  <c:v>-317645.94400000002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86054400"/>
        <c:axId val="86055936"/>
      </c:lineChart>
      <c:catAx>
        <c:axId val="86054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055936"/>
        <c:crosses val="autoZero"/>
        <c:auto val="1"/>
        <c:lblAlgn val="ctr"/>
        <c:lblOffset val="100"/>
      </c:catAx>
      <c:valAx>
        <c:axId val="860559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054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86089728"/>
        <c:axId val="86091264"/>
      </c:lineChart>
      <c:catAx>
        <c:axId val="86089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091264"/>
        <c:crosses val="autoZero"/>
        <c:auto val="1"/>
        <c:lblAlgn val="ctr"/>
        <c:lblOffset val="100"/>
      </c:catAx>
      <c:valAx>
        <c:axId val="860912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089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891.43</c:v>
                </c:pt>
                <c:pt idx="3">
                  <c:v>821.92000000000007</c:v>
                </c:pt>
                <c:pt idx="4">
                  <c:v>1090.28</c:v>
                </c:pt>
                <c:pt idx="5">
                  <c:v>868.39</c:v>
                </c:pt>
                <c:pt idx="6">
                  <c:v>841.98</c:v>
                </c:pt>
                <c:pt idx="7">
                  <c:v>938.54</c:v>
                </c:pt>
                <c:pt idx="8">
                  <c:v>910.27</c:v>
                </c:pt>
                <c:pt idx="9">
                  <c:v>948.21</c:v>
                </c:pt>
                <c:pt idx="10">
                  <c:v>916.32999999999993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87114880"/>
        <c:axId val="87116416"/>
      </c:lineChart>
      <c:catAx>
        <c:axId val="87114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116416"/>
        <c:crosses val="autoZero"/>
        <c:auto val="1"/>
        <c:lblAlgn val="ctr"/>
        <c:lblOffset val="100"/>
      </c:catAx>
      <c:valAx>
        <c:axId val="871164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114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4173"/>
          <c:y val="7.4713247051112763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87145088"/>
        <c:axId val="87155072"/>
      </c:lineChart>
      <c:catAx>
        <c:axId val="87145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155072"/>
        <c:crosses val="autoZero"/>
        <c:auto val="1"/>
        <c:lblAlgn val="ctr"/>
        <c:lblOffset val="200"/>
        <c:tickLblSkip val="1"/>
      </c:catAx>
      <c:valAx>
        <c:axId val="8715507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145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86938368"/>
        <c:axId val="86939904"/>
      </c:lineChart>
      <c:catAx>
        <c:axId val="86938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939904"/>
        <c:crosses val="autoZero"/>
        <c:auto val="1"/>
        <c:lblAlgn val="ctr"/>
        <c:lblOffset val="100"/>
      </c:catAx>
      <c:valAx>
        <c:axId val="869399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938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86960384"/>
        <c:axId val="87650688"/>
      </c:lineChart>
      <c:catAx>
        <c:axId val="869603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650688"/>
        <c:crosses val="autoZero"/>
        <c:auto val="1"/>
        <c:lblAlgn val="ctr"/>
        <c:lblOffset val="100"/>
      </c:catAx>
      <c:valAx>
        <c:axId val="8765068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96038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87831296"/>
        <c:axId val="87833216"/>
      </c:lineChart>
      <c:catAx>
        <c:axId val="878312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833216"/>
        <c:crosses val="autoZero"/>
        <c:auto val="1"/>
        <c:lblAlgn val="ctr"/>
        <c:lblOffset val="100"/>
      </c:catAx>
      <c:valAx>
        <c:axId val="8783321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83129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87870464"/>
        <c:axId val="87872256"/>
      </c:lineChart>
      <c:catAx>
        <c:axId val="87870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872256"/>
        <c:crosses val="autoZero"/>
        <c:auto val="1"/>
        <c:lblAlgn val="ctr"/>
        <c:lblOffset val="100"/>
      </c:catAx>
      <c:valAx>
        <c:axId val="878722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870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87455232"/>
        <c:axId val="87456768"/>
      </c:lineChart>
      <c:catAx>
        <c:axId val="87455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456768"/>
        <c:crosses val="autoZero"/>
        <c:auto val="1"/>
        <c:lblAlgn val="ctr"/>
        <c:lblOffset val="100"/>
      </c:catAx>
      <c:valAx>
        <c:axId val="874567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455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88152704"/>
        <c:axId val="88158592"/>
      </c:lineChart>
      <c:catAx>
        <c:axId val="88152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158592"/>
        <c:crosses val="autoZero"/>
        <c:auto val="1"/>
        <c:lblAlgn val="ctr"/>
        <c:lblOffset val="100"/>
      </c:catAx>
      <c:valAx>
        <c:axId val="881585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152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4406"/>
          <c:y val="7.4713247051113138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88847104"/>
        <c:axId val="88848640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83034112"/>
        <c:axId val="83035648"/>
      </c:lineChart>
      <c:catAx>
        <c:axId val="8884710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848640"/>
        <c:crosses val="autoZero"/>
        <c:lblAlgn val="ctr"/>
        <c:lblOffset val="100"/>
        <c:tickMarkSkip val="1"/>
      </c:catAx>
      <c:valAx>
        <c:axId val="8884864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847104"/>
        <c:crosses val="autoZero"/>
        <c:crossBetween val="between"/>
      </c:valAx>
      <c:catAx>
        <c:axId val="83034112"/>
        <c:scaling>
          <c:orientation val="minMax"/>
        </c:scaling>
        <c:delete val="1"/>
        <c:axPos val="b"/>
        <c:numFmt formatCode="[$-409]d\-mmm\-yy;@" sourceLinked="1"/>
        <c:tickLblPos val="none"/>
        <c:crossAx val="83035648"/>
        <c:crosses val="autoZero"/>
        <c:lblAlgn val="ctr"/>
        <c:lblOffset val="100"/>
      </c:catAx>
      <c:valAx>
        <c:axId val="83035648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03411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83064320"/>
        <c:axId val="83065856"/>
      </c:lineChart>
      <c:catAx>
        <c:axId val="83064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065856"/>
        <c:crosses val="autoZero"/>
        <c:auto val="1"/>
        <c:lblAlgn val="ctr"/>
        <c:lblOffset val="100"/>
      </c:catAx>
      <c:valAx>
        <c:axId val="8306585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064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83098624"/>
        <c:axId val="88879872"/>
      </c:lineChart>
      <c:catAx>
        <c:axId val="83098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879872"/>
        <c:crosses val="autoZero"/>
        <c:auto val="1"/>
        <c:lblAlgn val="ctr"/>
        <c:lblOffset val="100"/>
      </c:catAx>
      <c:valAx>
        <c:axId val="8887987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098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88931328"/>
        <c:axId val="12301593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23017472"/>
        <c:axId val="123023360"/>
      </c:lineChart>
      <c:catAx>
        <c:axId val="8893132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015936"/>
        <c:crosses val="autoZero"/>
        <c:lblAlgn val="ctr"/>
        <c:lblOffset val="100"/>
        <c:tickMarkSkip val="1"/>
      </c:catAx>
      <c:valAx>
        <c:axId val="1230159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931328"/>
        <c:crosses val="autoZero"/>
        <c:crossBetween val="between"/>
      </c:valAx>
      <c:catAx>
        <c:axId val="123017472"/>
        <c:scaling>
          <c:orientation val="minMax"/>
        </c:scaling>
        <c:delete val="1"/>
        <c:axPos val="b"/>
        <c:numFmt formatCode="General" sourceLinked="1"/>
        <c:tickLblPos val="none"/>
        <c:crossAx val="123023360"/>
        <c:crosses val="autoZero"/>
        <c:lblAlgn val="ctr"/>
        <c:lblOffset val="100"/>
      </c:catAx>
      <c:valAx>
        <c:axId val="12302336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01747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23075968"/>
        <c:axId val="124388480"/>
      </c:lineChart>
      <c:catAx>
        <c:axId val="123075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388480"/>
        <c:crosses val="autoZero"/>
        <c:auto val="1"/>
        <c:lblAlgn val="ctr"/>
        <c:lblOffset val="100"/>
      </c:catAx>
      <c:valAx>
        <c:axId val="1243884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075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24413056"/>
        <c:axId val="124414592"/>
      </c:lineChart>
      <c:catAx>
        <c:axId val="124413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414592"/>
        <c:crosses val="autoZero"/>
        <c:auto val="1"/>
        <c:lblAlgn val="ctr"/>
        <c:lblOffset val="100"/>
      </c:catAx>
      <c:valAx>
        <c:axId val="1244145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413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26309120"/>
        <c:axId val="126310656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26320640"/>
        <c:axId val="126322176"/>
      </c:lineChart>
      <c:catAx>
        <c:axId val="12630912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310656"/>
        <c:crosses val="autoZero"/>
        <c:lblAlgn val="ctr"/>
        <c:lblOffset val="100"/>
        <c:tickMarkSkip val="1"/>
      </c:catAx>
      <c:valAx>
        <c:axId val="12631065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309120"/>
        <c:crosses val="autoZero"/>
        <c:crossBetween val="between"/>
      </c:valAx>
      <c:catAx>
        <c:axId val="126320640"/>
        <c:scaling>
          <c:orientation val="minMax"/>
        </c:scaling>
        <c:delete val="1"/>
        <c:axPos val="b"/>
        <c:numFmt formatCode="[$-409]d\-mmm\-yy;@" sourceLinked="1"/>
        <c:tickLblPos val="none"/>
        <c:crossAx val="126322176"/>
        <c:crosses val="autoZero"/>
        <c:lblAlgn val="ctr"/>
        <c:lblOffset val="100"/>
      </c:catAx>
      <c:valAx>
        <c:axId val="12632217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32064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26352384"/>
        <c:axId val="12773452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27736064"/>
        <c:axId val="127750144"/>
      </c:lineChart>
      <c:catAx>
        <c:axId val="12635238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734528"/>
        <c:crosses val="autoZero"/>
        <c:lblAlgn val="ctr"/>
        <c:lblOffset val="100"/>
        <c:tickMarkSkip val="1"/>
      </c:catAx>
      <c:valAx>
        <c:axId val="1277345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352384"/>
        <c:crosses val="autoZero"/>
        <c:crossBetween val="between"/>
      </c:valAx>
      <c:catAx>
        <c:axId val="127736064"/>
        <c:scaling>
          <c:orientation val="minMax"/>
        </c:scaling>
        <c:delete val="1"/>
        <c:axPos val="b"/>
        <c:numFmt formatCode="General" sourceLinked="1"/>
        <c:tickLblPos val="none"/>
        <c:crossAx val="127750144"/>
        <c:crosses val="autoZero"/>
        <c:lblAlgn val="ctr"/>
        <c:lblOffset val="100"/>
      </c:catAx>
      <c:valAx>
        <c:axId val="12775014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73606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32352256"/>
        <c:axId val="132362240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32363776"/>
        <c:axId val="132365312"/>
      </c:lineChart>
      <c:catAx>
        <c:axId val="13235225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362240"/>
        <c:crosses val="autoZero"/>
        <c:lblAlgn val="ctr"/>
        <c:lblOffset val="100"/>
        <c:tickMarkSkip val="1"/>
      </c:catAx>
      <c:valAx>
        <c:axId val="13236224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352256"/>
        <c:crosses val="autoZero"/>
        <c:crossBetween val="between"/>
      </c:valAx>
      <c:catAx>
        <c:axId val="132363776"/>
        <c:scaling>
          <c:orientation val="minMax"/>
        </c:scaling>
        <c:delete val="1"/>
        <c:axPos val="b"/>
        <c:numFmt formatCode="[$-409]d\-mmm\-yy;@" sourceLinked="1"/>
        <c:tickLblPos val="none"/>
        <c:crossAx val="132365312"/>
        <c:crosses val="autoZero"/>
        <c:lblAlgn val="ctr"/>
        <c:lblOffset val="100"/>
      </c:catAx>
      <c:valAx>
        <c:axId val="13236531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3637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33456640"/>
        <c:axId val="13345817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33459968"/>
        <c:axId val="133461504"/>
      </c:lineChart>
      <c:catAx>
        <c:axId val="13345664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458176"/>
        <c:crosses val="autoZero"/>
        <c:lblAlgn val="ctr"/>
        <c:lblOffset val="100"/>
        <c:tickMarkSkip val="1"/>
      </c:catAx>
      <c:valAx>
        <c:axId val="1334581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456640"/>
        <c:crosses val="autoZero"/>
        <c:crossBetween val="between"/>
      </c:valAx>
      <c:catAx>
        <c:axId val="133459968"/>
        <c:scaling>
          <c:orientation val="minMax"/>
        </c:scaling>
        <c:delete val="1"/>
        <c:axPos val="b"/>
        <c:numFmt formatCode="General" sourceLinked="1"/>
        <c:tickLblPos val="none"/>
        <c:crossAx val="133461504"/>
        <c:crosses val="autoZero"/>
        <c:lblAlgn val="ctr"/>
        <c:lblOffset val="100"/>
      </c:catAx>
      <c:valAx>
        <c:axId val="13346150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4599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2111</c:v>
                </c:pt>
                <c:pt idx="3">
                  <c:v>2147</c:v>
                </c:pt>
                <c:pt idx="4">
                  <c:v>2188</c:v>
                </c:pt>
                <c:pt idx="5">
                  <c:v>2448</c:v>
                </c:pt>
                <c:pt idx="6">
                  <c:v>2152</c:v>
                </c:pt>
                <c:pt idx="7">
                  <c:v>2052</c:v>
                </c:pt>
                <c:pt idx="8">
                  <c:v>2010</c:v>
                </c:pt>
                <c:pt idx="9">
                  <c:v>2245</c:v>
                </c:pt>
                <c:pt idx="10">
                  <c:v>2101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33777280"/>
        <c:axId val="133787648"/>
      </c:lineChart>
      <c:catAx>
        <c:axId val="1337772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787648"/>
        <c:crosses val="autoZero"/>
        <c:auto val="1"/>
        <c:lblAlgn val="ctr"/>
        <c:lblOffset val="100"/>
      </c:catAx>
      <c:valAx>
        <c:axId val="13378764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77728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56</c:v>
                </c:pt>
                <c:pt idx="1">
                  <c:v>58</c:v>
                </c:pt>
                <c:pt idx="2">
                  <c:v>51</c:v>
                </c:pt>
                <c:pt idx="3">
                  <c:v>54</c:v>
                </c:pt>
                <c:pt idx="4">
                  <c:v>50</c:v>
                </c:pt>
                <c:pt idx="5">
                  <c:v>52</c:v>
                </c:pt>
                <c:pt idx="6">
                  <c:v>58</c:v>
                </c:pt>
                <c:pt idx="7">
                  <c:v>46</c:v>
                </c:pt>
                <c:pt idx="8">
                  <c:v>52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33808512"/>
        <c:axId val="133810432"/>
      </c:lineChart>
      <c:catAx>
        <c:axId val="1338085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810432"/>
        <c:crosses val="autoZero"/>
        <c:auto val="1"/>
        <c:lblAlgn val="ctr"/>
        <c:lblOffset val="100"/>
      </c:catAx>
      <c:valAx>
        <c:axId val="13381043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80851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69.209999999999994</c:v>
                </c:pt>
                <c:pt idx="1">
                  <c:v>80.650000000000006</c:v>
                </c:pt>
                <c:pt idx="2">
                  <c:v>901.44999999999993</c:v>
                </c:pt>
                <c:pt idx="3">
                  <c:v>821.92000000000007</c:v>
                </c:pt>
                <c:pt idx="4">
                  <c:v>1117.29</c:v>
                </c:pt>
                <c:pt idx="5">
                  <c:v>868.39</c:v>
                </c:pt>
                <c:pt idx="6">
                  <c:v>1100.1199999999999</c:v>
                </c:pt>
                <c:pt idx="7">
                  <c:v>1061.8399999999999</c:v>
                </c:pt>
                <c:pt idx="8">
                  <c:v>910.27</c:v>
                </c:pt>
                <c:pt idx="9">
                  <c:v>948.21</c:v>
                </c:pt>
                <c:pt idx="10">
                  <c:v>916.32999999999993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27957632"/>
        <c:axId val="127963520"/>
      </c:lineChart>
      <c:catAx>
        <c:axId val="127957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963520"/>
        <c:crosses val="autoZero"/>
        <c:auto val="1"/>
        <c:lblAlgn val="ctr"/>
        <c:lblOffset val="200"/>
        <c:tickLblSkip val="1"/>
      </c:catAx>
      <c:valAx>
        <c:axId val="12796352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957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3.9E-2</c:v>
                </c:pt>
                <c:pt idx="1">
                  <c:v>3.9E-2</c:v>
                </c:pt>
                <c:pt idx="2">
                  <c:v>3.9E-2</c:v>
                </c:pt>
                <c:pt idx="3">
                  <c:v>9.0899999999999995E-2</c:v>
                </c:pt>
                <c:pt idx="4">
                  <c:v>9.0899999999999995E-2</c:v>
                </c:pt>
                <c:pt idx="5">
                  <c:v>9.0899999999999995E-2</c:v>
                </c:pt>
                <c:pt idx="6">
                  <c:v>2.5999999999999999E-2</c:v>
                </c:pt>
                <c:pt idx="7">
                  <c:v>3.9E-2</c:v>
                </c:pt>
                <c:pt idx="8">
                  <c:v>6.5000000000000002E-2</c:v>
                </c:pt>
                <c:pt idx="9">
                  <c:v>1.2999999999999999E-2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34349184"/>
        <c:axId val="134350720"/>
      </c:lineChart>
      <c:catAx>
        <c:axId val="134349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350720"/>
        <c:crosses val="autoZero"/>
        <c:auto val="1"/>
        <c:lblAlgn val="ctr"/>
        <c:lblOffset val="100"/>
      </c:catAx>
      <c:valAx>
        <c:axId val="13435072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349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382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78.980000000051234</c:v>
                </c:pt>
                <c:pt idx="1">
                  <c:v>76.031999999994881</c:v>
                </c:pt>
                <c:pt idx="2">
                  <c:v>58.607999999966708</c:v>
                </c:pt>
                <c:pt idx="3">
                  <c:v>66.263999999989764</c:v>
                </c:pt>
                <c:pt idx="4">
                  <c:v>63.536000000010247</c:v>
                </c:pt>
                <c:pt idx="5">
                  <c:v>50.072000000020495</c:v>
                </c:pt>
                <c:pt idx="6">
                  <c:v>49.588000000017935</c:v>
                </c:pt>
                <c:pt idx="7">
                  <c:v>62.567999999941101</c:v>
                </c:pt>
                <c:pt idx="8">
                  <c:v>54.868000000005125</c:v>
                </c:pt>
                <c:pt idx="9">
                  <c:v>-317645.94400000002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34383488"/>
        <c:axId val="134385024"/>
      </c:lineChart>
      <c:catAx>
        <c:axId val="134383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385024"/>
        <c:crosses val="autoZero"/>
        <c:auto val="1"/>
        <c:lblAlgn val="ctr"/>
        <c:lblOffset val="100"/>
      </c:catAx>
      <c:valAx>
        <c:axId val="1343850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383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2111</c:v>
                </c:pt>
                <c:pt idx="3">
                  <c:v>2147</c:v>
                </c:pt>
                <c:pt idx="4">
                  <c:v>2188</c:v>
                </c:pt>
                <c:pt idx="5">
                  <c:v>2448</c:v>
                </c:pt>
                <c:pt idx="6">
                  <c:v>2152</c:v>
                </c:pt>
                <c:pt idx="7">
                  <c:v>2052</c:v>
                </c:pt>
                <c:pt idx="8">
                  <c:v>2010</c:v>
                </c:pt>
                <c:pt idx="9">
                  <c:v>2245</c:v>
                </c:pt>
                <c:pt idx="10">
                  <c:v>2101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35478656"/>
        <c:axId val="135509504"/>
      </c:lineChart>
      <c:catAx>
        <c:axId val="1354786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509504"/>
        <c:crosses val="autoZero"/>
        <c:auto val="1"/>
        <c:lblAlgn val="ctr"/>
        <c:lblOffset val="100"/>
      </c:catAx>
      <c:valAx>
        <c:axId val="13550950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47865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56</c:v>
                </c:pt>
                <c:pt idx="1">
                  <c:v>58</c:v>
                </c:pt>
                <c:pt idx="2">
                  <c:v>51</c:v>
                </c:pt>
                <c:pt idx="3">
                  <c:v>54</c:v>
                </c:pt>
                <c:pt idx="4">
                  <c:v>50</c:v>
                </c:pt>
                <c:pt idx="5">
                  <c:v>52</c:v>
                </c:pt>
                <c:pt idx="6">
                  <c:v>58</c:v>
                </c:pt>
                <c:pt idx="7">
                  <c:v>46</c:v>
                </c:pt>
                <c:pt idx="8">
                  <c:v>52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35403392"/>
        <c:axId val="135430144"/>
      </c:lineChart>
      <c:catAx>
        <c:axId val="1354033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430144"/>
        <c:crosses val="autoZero"/>
        <c:auto val="1"/>
        <c:lblAlgn val="ctr"/>
        <c:lblOffset val="100"/>
      </c:catAx>
      <c:valAx>
        <c:axId val="13543014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40339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69.209999999999994</c:v>
                </c:pt>
                <c:pt idx="1">
                  <c:v>80.650000000000006</c:v>
                </c:pt>
                <c:pt idx="2">
                  <c:v>901.44999999999993</c:v>
                </c:pt>
                <c:pt idx="3">
                  <c:v>821.92000000000007</c:v>
                </c:pt>
                <c:pt idx="4">
                  <c:v>1117.29</c:v>
                </c:pt>
                <c:pt idx="5">
                  <c:v>868.39</c:v>
                </c:pt>
                <c:pt idx="6">
                  <c:v>1100.1199999999999</c:v>
                </c:pt>
                <c:pt idx="7">
                  <c:v>1061.8399999999999</c:v>
                </c:pt>
                <c:pt idx="8">
                  <c:v>910.27</c:v>
                </c:pt>
                <c:pt idx="9">
                  <c:v>948.21</c:v>
                </c:pt>
                <c:pt idx="10">
                  <c:v>916.32999999999993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36126848"/>
        <c:axId val="136128384"/>
      </c:lineChart>
      <c:catAx>
        <c:axId val="136126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128384"/>
        <c:crosses val="autoZero"/>
        <c:auto val="1"/>
        <c:lblAlgn val="ctr"/>
        <c:lblOffset val="200"/>
        <c:tickLblSkip val="1"/>
      </c:catAx>
      <c:valAx>
        <c:axId val="13612838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126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3.9E-2</c:v>
                </c:pt>
                <c:pt idx="1">
                  <c:v>3.9E-2</c:v>
                </c:pt>
                <c:pt idx="2">
                  <c:v>3.9E-2</c:v>
                </c:pt>
                <c:pt idx="3">
                  <c:v>9.0899999999999995E-2</c:v>
                </c:pt>
                <c:pt idx="4">
                  <c:v>9.0899999999999995E-2</c:v>
                </c:pt>
                <c:pt idx="5">
                  <c:v>9.0899999999999995E-2</c:v>
                </c:pt>
                <c:pt idx="6">
                  <c:v>2.5999999999999999E-2</c:v>
                </c:pt>
                <c:pt idx="7">
                  <c:v>3.9E-2</c:v>
                </c:pt>
                <c:pt idx="8">
                  <c:v>6.5000000000000002E-2</c:v>
                </c:pt>
                <c:pt idx="9">
                  <c:v>1.2999999999999999E-2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36152960"/>
        <c:axId val="136154496"/>
      </c:lineChart>
      <c:catAx>
        <c:axId val="136152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154496"/>
        <c:crosses val="autoZero"/>
        <c:auto val="1"/>
        <c:lblAlgn val="ctr"/>
        <c:lblOffset val="100"/>
      </c:catAx>
      <c:valAx>
        <c:axId val="13615449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152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382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78.980000000051234</c:v>
                </c:pt>
                <c:pt idx="1">
                  <c:v>76.031999999994881</c:v>
                </c:pt>
                <c:pt idx="2">
                  <c:v>58.607999999966708</c:v>
                </c:pt>
                <c:pt idx="3">
                  <c:v>66.263999999989764</c:v>
                </c:pt>
                <c:pt idx="4">
                  <c:v>63.536000000010247</c:v>
                </c:pt>
                <c:pt idx="5">
                  <c:v>50.072000000020495</c:v>
                </c:pt>
                <c:pt idx="6">
                  <c:v>49.588000000017935</c:v>
                </c:pt>
                <c:pt idx="7">
                  <c:v>62.567999999941101</c:v>
                </c:pt>
                <c:pt idx="8">
                  <c:v>54.868000000005125</c:v>
                </c:pt>
                <c:pt idx="9">
                  <c:v>-317645.94400000002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36174976"/>
        <c:axId val="135664768"/>
      </c:lineChart>
      <c:catAx>
        <c:axId val="136174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664768"/>
        <c:crosses val="autoZero"/>
        <c:auto val="1"/>
        <c:lblAlgn val="ctr"/>
        <c:lblOffset val="100"/>
      </c:catAx>
      <c:valAx>
        <c:axId val="1356647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174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37172096"/>
        <c:axId val="137174016"/>
      </c:lineChart>
      <c:catAx>
        <c:axId val="1371720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174016"/>
        <c:crosses val="autoZero"/>
        <c:auto val="1"/>
        <c:lblAlgn val="ctr"/>
        <c:lblOffset val="100"/>
      </c:catAx>
      <c:valAx>
        <c:axId val="13717401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17209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37190784"/>
        <c:axId val="137213440"/>
      </c:lineChart>
      <c:catAx>
        <c:axId val="1371907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213440"/>
        <c:crosses val="autoZero"/>
        <c:auto val="1"/>
        <c:lblAlgn val="ctr"/>
        <c:lblOffset val="100"/>
      </c:catAx>
      <c:valAx>
        <c:axId val="13721344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19078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37389952"/>
        <c:axId val="137391488"/>
      </c:lineChart>
      <c:catAx>
        <c:axId val="137389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391488"/>
        <c:crosses val="autoZero"/>
        <c:auto val="1"/>
        <c:lblAlgn val="ctr"/>
        <c:lblOffset val="200"/>
        <c:tickLblSkip val="1"/>
      </c:catAx>
      <c:valAx>
        <c:axId val="13739148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389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37420160"/>
        <c:axId val="137426048"/>
      </c:lineChart>
      <c:catAx>
        <c:axId val="137420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426048"/>
        <c:crosses val="autoZero"/>
        <c:auto val="1"/>
        <c:lblAlgn val="ctr"/>
        <c:lblOffset val="100"/>
      </c:catAx>
      <c:valAx>
        <c:axId val="1374260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420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627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37581696"/>
        <c:axId val="137583232"/>
      </c:lineChart>
      <c:catAx>
        <c:axId val="137581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583232"/>
        <c:crosses val="autoZero"/>
        <c:auto val="1"/>
        <c:lblAlgn val="ctr"/>
        <c:lblOffset val="100"/>
      </c:catAx>
      <c:valAx>
        <c:axId val="1375832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581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37620096"/>
        <c:axId val="138113792"/>
      </c:lineChart>
      <c:catAx>
        <c:axId val="1376200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113792"/>
        <c:crosses val="autoZero"/>
        <c:auto val="1"/>
        <c:lblAlgn val="ctr"/>
        <c:lblOffset val="100"/>
      </c:catAx>
      <c:valAx>
        <c:axId val="13811379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62009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37897088"/>
        <c:axId val="137899008"/>
      </c:lineChart>
      <c:catAx>
        <c:axId val="1378970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899008"/>
        <c:crosses val="autoZero"/>
        <c:auto val="1"/>
        <c:lblAlgn val="ctr"/>
        <c:lblOffset val="100"/>
      </c:catAx>
      <c:valAx>
        <c:axId val="13789900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89708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37928064"/>
        <c:axId val="137933952"/>
      </c:lineChart>
      <c:catAx>
        <c:axId val="137928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933952"/>
        <c:crosses val="autoZero"/>
        <c:auto val="1"/>
        <c:lblAlgn val="ctr"/>
        <c:lblOffset val="200"/>
        <c:tickLblSkip val="1"/>
      </c:catAx>
      <c:valAx>
        <c:axId val="13793395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928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38617984"/>
        <c:axId val="138619520"/>
      </c:lineChart>
      <c:catAx>
        <c:axId val="138617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619520"/>
        <c:crosses val="autoZero"/>
        <c:auto val="1"/>
        <c:lblAlgn val="ctr"/>
        <c:lblOffset val="100"/>
      </c:catAx>
      <c:valAx>
        <c:axId val="1386195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617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627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38631808"/>
        <c:axId val="138654080"/>
      </c:lineChart>
      <c:catAx>
        <c:axId val="138631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654080"/>
        <c:crosses val="autoZero"/>
        <c:auto val="1"/>
        <c:lblAlgn val="ctr"/>
        <c:lblOffset val="100"/>
      </c:catAx>
      <c:valAx>
        <c:axId val="1386540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631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133350</xdr:colOff>
      <xdr:row>78</xdr:row>
      <xdr:rowOff>66674</xdr:rowOff>
    </xdr:from>
    <xdr:to>
      <xdr:col>11</xdr:col>
      <xdr:colOff>428625</xdr:colOff>
      <xdr:row>88</xdr:row>
      <xdr:rowOff>47625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96100" y="13106399"/>
          <a:ext cx="3914775" cy="1600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314324</xdr:colOff>
      <xdr:row>78</xdr:row>
      <xdr:rowOff>133349</xdr:rowOff>
    </xdr:from>
    <xdr:to>
      <xdr:col>4</xdr:col>
      <xdr:colOff>647699</xdr:colOff>
      <xdr:row>87</xdr:row>
      <xdr:rowOff>38099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90599" y="13173074"/>
          <a:ext cx="3514725" cy="1362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114300</xdr:colOff>
      <xdr:row>79</xdr:row>
      <xdr:rowOff>76199</xdr:rowOff>
    </xdr:from>
    <xdr:to>
      <xdr:col>4</xdr:col>
      <xdr:colOff>447675</xdr:colOff>
      <xdr:row>88</xdr:row>
      <xdr:rowOff>38099</xdr:rowOff>
    </xdr:to>
    <xdr:pic>
      <xdr:nvPicPr>
        <xdr:cNvPr id="4" name="Picture 3"/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90575" y="13277849"/>
          <a:ext cx="3514725" cy="1419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123825</xdr:colOff>
      <xdr:row>80</xdr:row>
      <xdr:rowOff>142875</xdr:rowOff>
    </xdr:from>
    <xdr:to>
      <xdr:col>11</xdr:col>
      <xdr:colOff>647700</xdr:colOff>
      <xdr:row>87</xdr:row>
      <xdr:rowOff>19050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6886575" y="13506450"/>
          <a:ext cx="4143375" cy="1009650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08%20AUGUST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43">
          <cell r="D43">
            <v>43590.620000000017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C38" sqref="C38"/>
    </sheetView>
  </sheetViews>
  <sheetFormatPr defaultColWidth="11.5703125" defaultRowHeight="12.75"/>
  <cols>
    <col min="1" max="1" width="12.42578125" style="12" customWidth="1"/>
    <col min="2" max="3" width="11.5703125" style="481"/>
    <col min="4" max="4" width="13.42578125" style="482" customWidth="1"/>
    <col min="5" max="5" width="12.5703125" style="483" customWidth="1"/>
    <col min="6" max="6" width="12.5703125" style="12" customWidth="1"/>
    <col min="7" max="7" width="11.5703125" style="12"/>
    <col min="8" max="8" width="11.5703125" style="493"/>
    <col min="9" max="9" width="11.5703125" style="12"/>
    <col min="10" max="10" width="11.5703125" style="493"/>
    <col min="11" max="11" width="11.5703125" style="483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79" customFormat="1" ht="60.75" thickBot="1">
      <c r="A1" s="473" t="s">
        <v>271</v>
      </c>
      <c r="B1" s="474" t="s">
        <v>272</v>
      </c>
      <c r="C1" s="474" t="s">
        <v>273</v>
      </c>
      <c r="D1" s="475" t="s">
        <v>274</v>
      </c>
      <c r="E1" s="476" t="s">
        <v>275</v>
      </c>
      <c r="F1" s="477" t="s">
        <v>276</v>
      </c>
      <c r="G1" s="477" t="s">
        <v>277</v>
      </c>
      <c r="H1" s="491" t="s">
        <v>278</v>
      </c>
      <c r="I1" s="477" t="s">
        <v>279</v>
      </c>
      <c r="J1" s="491" t="s">
        <v>280</v>
      </c>
      <c r="K1" s="476" t="s">
        <v>281</v>
      </c>
      <c r="L1" s="478" t="s">
        <v>282</v>
      </c>
    </row>
    <row r="2" spans="1:12">
      <c r="A2" s="480" t="s">
        <v>283</v>
      </c>
      <c r="B2" s="481">
        <v>1</v>
      </c>
      <c r="C2" s="481">
        <v>9</v>
      </c>
      <c r="D2" s="482">
        <v>2020</v>
      </c>
      <c r="E2" s="483">
        <f>'UTILITY REPORT 1'!F3</f>
        <v>2111</v>
      </c>
      <c r="F2" s="484">
        <f>('UTILITY REPORT 1'!E3*'UTILITY REPORT 1'!D3)/'UTILITY REPORT 1'!F3</f>
        <v>0.42227854097584083</v>
      </c>
      <c r="G2" s="484">
        <f>IF('Utility summery'!M6&lt;0,"0",'Utility summery'!M6)</f>
        <v>78.980000000051234</v>
      </c>
      <c r="H2" s="492">
        <v>0</v>
      </c>
      <c r="I2" s="484">
        <f>IF('UTILITY REPORT 1'!G3&lt;0,"0",'UTILITY REPORT 1'!G3)</f>
        <v>56</v>
      </c>
      <c r="J2" s="492">
        <v>0</v>
      </c>
      <c r="K2" s="483">
        <f>'UTILITY REPORT 1'!C3</f>
        <v>3</v>
      </c>
      <c r="L2" s="485" t="e">
        <f>E2*F2+G2*H2+#REF!*#REF!+I2*J2</f>
        <v>#REF!</v>
      </c>
    </row>
    <row r="3" spans="1:12">
      <c r="A3" s="480" t="s">
        <v>283</v>
      </c>
      <c r="B3" s="481">
        <f>B2+1</f>
        <v>2</v>
      </c>
      <c r="C3" s="481">
        <v>9</v>
      </c>
      <c r="D3" s="482">
        <v>2020</v>
      </c>
      <c r="E3" s="483">
        <f>'UTILITY REPORT 1'!F4</f>
        <v>2147</v>
      </c>
      <c r="F3" s="484">
        <f>('UTILITY REPORT 1'!E4*'UTILITY REPORT 1'!D4)/'UTILITY REPORT 1'!F4</f>
        <v>0.38282254308337216</v>
      </c>
      <c r="G3" s="484">
        <f>IF('Utility summery'!M7&lt;0,"0",'Utility summery'!M7)</f>
        <v>76.031999999994881</v>
      </c>
      <c r="H3" s="492">
        <v>0</v>
      </c>
      <c r="I3" s="484">
        <f>IF('UTILITY REPORT 1'!G4&lt;0,"0",'UTILITY REPORT 1'!G4)</f>
        <v>58</v>
      </c>
      <c r="J3" s="492">
        <v>0</v>
      </c>
      <c r="K3" s="483">
        <f>'UTILITY REPORT 1'!C4</f>
        <v>4</v>
      </c>
      <c r="L3" s="485" t="e">
        <f>E3*F3+G3*H3+#REF!*#REF!+I3*J3</f>
        <v>#REF!</v>
      </c>
    </row>
    <row r="4" spans="1:12">
      <c r="A4" s="480" t="s">
        <v>283</v>
      </c>
      <c r="B4" s="481">
        <f t="shared" ref="B4:B30" si="0">B3+1</f>
        <v>3</v>
      </c>
      <c r="C4" s="481">
        <v>9</v>
      </c>
      <c r="D4" s="482">
        <v>2020</v>
      </c>
      <c r="E4" s="483">
        <f>'UTILITY REPORT 1'!F5</f>
        <v>2188</v>
      </c>
      <c r="F4" s="484">
        <f>('UTILITY REPORT 1'!E5*'UTILITY REPORT 1'!D5)/'UTILITY REPORT 1'!F5</f>
        <v>0.4982998171846435</v>
      </c>
      <c r="G4" s="484">
        <f>IF('Utility summery'!M8&lt;0,"0",'Utility summery'!M8)</f>
        <v>58.607999999966708</v>
      </c>
      <c r="H4" s="492">
        <v>0</v>
      </c>
      <c r="I4" s="484">
        <f>IF('UTILITY REPORT 1'!G5&lt;0,"0",'UTILITY REPORT 1'!G5)</f>
        <v>51</v>
      </c>
      <c r="J4" s="492">
        <v>0</v>
      </c>
      <c r="K4" s="483">
        <f>'UTILITY REPORT 1'!C5</f>
        <v>4</v>
      </c>
      <c r="L4" s="485" t="e">
        <f>E4*F4+G4*H4+#REF!*#REF!+I4*J4</f>
        <v>#REF!</v>
      </c>
    </row>
    <row r="5" spans="1:12">
      <c r="A5" s="480" t="s">
        <v>283</v>
      </c>
      <c r="B5" s="481">
        <f t="shared" si="0"/>
        <v>4</v>
      </c>
      <c r="C5" s="481">
        <v>9</v>
      </c>
      <c r="D5" s="482">
        <v>2020</v>
      </c>
      <c r="E5" s="483">
        <f>'UTILITY REPORT 1'!F6</f>
        <v>2448</v>
      </c>
      <c r="F5" s="484">
        <f>('UTILITY REPORT 1'!E6*'UTILITY REPORT 1'!D6)/'UTILITY REPORT 1'!F6</f>
        <v>0.35473447712418299</v>
      </c>
      <c r="G5" s="484">
        <f>IF('Utility summery'!M9&lt;0,"0",'Utility summery'!M9)</f>
        <v>66.263999999989764</v>
      </c>
      <c r="H5" s="492">
        <v>0</v>
      </c>
      <c r="I5" s="484">
        <f>IF('UTILITY REPORT 1'!G6&lt;0,"0",'UTILITY REPORT 1'!G6)</f>
        <v>54</v>
      </c>
      <c r="J5" s="492">
        <v>0</v>
      </c>
      <c r="K5" s="483">
        <f>'UTILITY REPORT 1'!C6</f>
        <v>8</v>
      </c>
      <c r="L5" s="485" t="e">
        <f>E5*F5+G5*H5+#REF!*#REF!+I5*J5</f>
        <v>#REF!</v>
      </c>
    </row>
    <row r="6" spans="1:12">
      <c r="A6" s="480" t="s">
        <v>283</v>
      </c>
      <c r="B6" s="481">
        <f t="shared" si="0"/>
        <v>5</v>
      </c>
      <c r="C6" s="481">
        <v>9</v>
      </c>
      <c r="D6" s="482">
        <v>2020</v>
      </c>
      <c r="E6" s="483">
        <f>'UTILITY REPORT 1'!F7</f>
        <v>2152</v>
      </c>
      <c r="F6" s="484">
        <f>('UTILITY REPORT 1'!E7*'UTILITY REPORT 1'!D7)/'UTILITY REPORT 1'!F7</f>
        <v>0.39125464684014871</v>
      </c>
      <c r="G6" s="484">
        <f>IF('Utility summery'!M10&lt;0,"0",'Utility summery'!M10)</f>
        <v>63.536000000010247</v>
      </c>
      <c r="H6" s="492">
        <v>0</v>
      </c>
      <c r="I6" s="484">
        <f>IF('UTILITY REPORT 1'!G7&lt;0,"0",'UTILITY REPORT 1'!G7)</f>
        <v>50</v>
      </c>
      <c r="J6" s="492">
        <v>0</v>
      </c>
      <c r="K6" s="483">
        <f>'UTILITY REPORT 1'!C7</f>
        <v>8</v>
      </c>
      <c r="L6" s="485" t="e">
        <f>E6*F6+G6*H6+#REF!*#REF!+I6*J6</f>
        <v>#REF!</v>
      </c>
    </row>
    <row r="7" spans="1:12">
      <c r="A7" s="480" t="s">
        <v>283</v>
      </c>
      <c r="B7" s="481">
        <f t="shared" si="0"/>
        <v>6</v>
      </c>
      <c r="C7" s="481">
        <v>9</v>
      </c>
      <c r="D7" s="482">
        <v>2020</v>
      </c>
      <c r="E7" s="483">
        <f>'UTILITY REPORT 1'!F8</f>
        <v>2052</v>
      </c>
      <c r="F7" s="484">
        <f>('UTILITY REPORT 1'!E8*'UTILITY REPORT 1'!D8)/'UTILITY REPORT 1'!F8</f>
        <v>0.45737816764132549</v>
      </c>
      <c r="G7" s="484">
        <f>IF('Utility summery'!M11&lt;0,"0",'Utility summery'!M11)</f>
        <v>50.072000000020495</v>
      </c>
      <c r="H7" s="492">
        <v>0</v>
      </c>
      <c r="I7" s="484">
        <f>IF('UTILITY REPORT 1'!G8&lt;0,"0",'UTILITY REPORT 1'!G8)</f>
        <v>52</v>
      </c>
      <c r="J7" s="492">
        <v>0</v>
      </c>
      <c r="K7" s="483">
        <f>'UTILITY REPORT 1'!C8</f>
        <v>7</v>
      </c>
      <c r="L7" s="485" t="e">
        <f>E7*F7+G7*H7+#REF!*#REF!+I7*J7</f>
        <v>#REF!</v>
      </c>
    </row>
    <row r="8" spans="1:12">
      <c r="A8" s="480" t="s">
        <v>283</v>
      </c>
      <c r="B8" s="481">
        <f t="shared" si="0"/>
        <v>7</v>
      </c>
      <c r="C8" s="481">
        <v>9</v>
      </c>
      <c r="D8" s="482">
        <v>2020</v>
      </c>
      <c r="E8" s="483">
        <f>'UTILITY REPORT 1'!F9</f>
        <v>2010</v>
      </c>
      <c r="F8" s="484">
        <f>('UTILITY REPORT 1'!E9*'UTILITY REPORT 1'!D9)/'UTILITY REPORT 1'!F9</f>
        <v>0.45287064676616917</v>
      </c>
      <c r="G8" s="484">
        <f>IF('Utility summery'!M12&lt;0,"0",'Utility summery'!M12)</f>
        <v>49.588000000017935</v>
      </c>
      <c r="H8" s="492">
        <v>0</v>
      </c>
      <c r="I8" s="484">
        <f>IF('UTILITY REPORT 1'!G9&lt;0,"0",'UTILITY REPORT 1'!G9)</f>
        <v>58</v>
      </c>
      <c r="J8" s="492">
        <v>0</v>
      </c>
      <c r="K8" s="483">
        <f>'UTILITY REPORT 1'!C9</f>
        <v>3</v>
      </c>
      <c r="L8" s="485" t="e">
        <f>E8*F8+G8*H8+#REF!*#REF!+I8*J8</f>
        <v>#REF!</v>
      </c>
    </row>
    <row r="9" spans="1:12">
      <c r="A9" s="480" t="s">
        <v>283</v>
      </c>
      <c r="B9" s="481">
        <f t="shared" si="0"/>
        <v>8</v>
      </c>
      <c r="C9" s="481">
        <v>9</v>
      </c>
      <c r="D9" s="482">
        <v>2020</v>
      </c>
      <c r="E9" s="483">
        <f>'UTILITY REPORT 1'!F10</f>
        <v>2245</v>
      </c>
      <c r="F9" s="484">
        <f>('UTILITY REPORT 1'!E10*'UTILITY REPORT 1'!D10)/'UTILITY REPORT 1'!F10</f>
        <v>0.42236525612472164</v>
      </c>
      <c r="G9" s="484">
        <f>IF('Utility summery'!M13&lt;0,"0",'Utility summery'!M13)</f>
        <v>62.567999999941101</v>
      </c>
      <c r="H9" s="492">
        <v>0</v>
      </c>
      <c r="I9" s="484">
        <f>IF('UTILITY REPORT 1'!G10&lt;0,"0",'UTILITY REPORT 1'!G10)</f>
        <v>46</v>
      </c>
      <c r="J9" s="492">
        <v>0</v>
      </c>
      <c r="K9" s="483">
        <f>'UTILITY REPORT 1'!C10</f>
        <v>7</v>
      </c>
      <c r="L9" s="485" t="e">
        <f>E9*F9+G9*H9+#REF!*#REF!+I9*J9</f>
        <v>#REF!</v>
      </c>
    </row>
    <row r="10" spans="1:12">
      <c r="A10" s="480" t="s">
        <v>283</v>
      </c>
      <c r="B10" s="481">
        <f t="shared" si="0"/>
        <v>9</v>
      </c>
      <c r="C10" s="481">
        <v>9</v>
      </c>
      <c r="D10" s="482">
        <v>2020</v>
      </c>
      <c r="E10" s="483">
        <f>'UTILITY REPORT 1'!F11</f>
        <v>2101</v>
      </c>
      <c r="F10" s="484">
        <f>('UTILITY REPORT 1'!E11*'UTILITY REPORT 1'!D11)/'UTILITY REPORT 1'!F11</f>
        <v>0.43613993336506424</v>
      </c>
      <c r="G10" s="484">
        <f>IF('Utility summery'!M14&lt;0,"0",'Utility summery'!M14)</f>
        <v>54.868000000005125</v>
      </c>
      <c r="H10" s="492">
        <v>0</v>
      </c>
      <c r="I10" s="484">
        <f>IF('UTILITY REPORT 1'!G11&lt;0,"0",'UTILITY REPORT 1'!G11)</f>
        <v>52</v>
      </c>
      <c r="J10" s="492">
        <v>0</v>
      </c>
      <c r="K10" s="483">
        <f>'UTILITY REPORT 1'!C11</f>
        <v>5</v>
      </c>
      <c r="L10" s="485" t="e">
        <f>E10*F10+G10*H10+#REF!*#REF!+I10*J10</f>
        <v>#REF!</v>
      </c>
    </row>
    <row r="11" spans="1:12">
      <c r="A11" s="480" t="s">
        <v>283</v>
      </c>
      <c r="B11" s="481">
        <f t="shared" si="0"/>
        <v>10</v>
      </c>
      <c r="C11" s="481">
        <v>9</v>
      </c>
      <c r="D11" s="482">
        <v>2020</v>
      </c>
      <c r="E11" s="483">
        <f>'UTILITY REPORT 1'!F12</f>
        <v>0</v>
      </c>
      <c r="F11" s="484" t="e">
        <f>('UTILITY REPORT 1'!E12*'UTILITY REPORT 1'!D12)/'UTILITY REPORT 1'!F12</f>
        <v>#DIV/0!</v>
      </c>
      <c r="G11" s="484" t="str">
        <f>IF('Utility summery'!M15&lt;0,"0",'Utility summery'!M15)</f>
        <v>0</v>
      </c>
      <c r="H11" s="492">
        <v>0</v>
      </c>
      <c r="I11" s="484" t="str">
        <f>IF('UTILITY REPORT 1'!G12&lt;0,"0",'UTILITY REPORT 1'!G12)</f>
        <v>0</v>
      </c>
      <c r="J11" s="492">
        <v>0</v>
      </c>
      <c r="K11" s="483">
        <f>'UTILITY REPORT 1'!C12</f>
        <v>1</v>
      </c>
      <c r="L11" s="485" t="e">
        <f>E11*F11+G11*H11+#REF!*#REF!+I11*J11</f>
        <v>#DIV/0!</v>
      </c>
    </row>
    <row r="12" spans="1:12">
      <c r="A12" s="480" t="s">
        <v>283</v>
      </c>
      <c r="B12" s="481">
        <f t="shared" si="0"/>
        <v>11</v>
      </c>
      <c r="C12" s="481">
        <v>9</v>
      </c>
      <c r="D12" s="482">
        <v>2020</v>
      </c>
      <c r="E12" s="483">
        <f>'UTILITY REPORT 1'!F13</f>
        <v>0</v>
      </c>
      <c r="F12" s="484" t="e">
        <f>('UTILITY REPORT 1'!E13*'UTILITY REPORT 1'!D13)/'UTILITY REPORT 1'!F13</f>
        <v>#DIV/0!</v>
      </c>
      <c r="G12" s="484">
        <f>IF('Utility summery'!M16&lt;0,"0",'Utility summery'!M16)</f>
        <v>0</v>
      </c>
      <c r="H12" s="492">
        <v>0</v>
      </c>
      <c r="I12" s="484">
        <f>IF('UTILITY REPORT 1'!G13&lt;0,"0",'UTILITY REPORT 1'!G13)</f>
        <v>0</v>
      </c>
      <c r="J12" s="492">
        <v>0</v>
      </c>
      <c r="K12" s="483">
        <f>'UTILITY REPORT 1'!C13</f>
        <v>0</v>
      </c>
      <c r="L12" s="485" t="e">
        <f>E12*F12+G12*H12+#REF!*#REF!+I12*J12</f>
        <v>#DIV/0!</v>
      </c>
    </row>
    <row r="13" spans="1:12">
      <c r="A13" s="480" t="s">
        <v>283</v>
      </c>
      <c r="B13" s="481">
        <f t="shared" si="0"/>
        <v>12</v>
      </c>
      <c r="C13" s="481">
        <v>9</v>
      </c>
      <c r="D13" s="482">
        <v>2020</v>
      </c>
      <c r="E13" s="483">
        <f>'UTILITY REPORT 1'!F14</f>
        <v>0</v>
      </c>
      <c r="F13" s="484" t="e">
        <f>('UTILITY REPORT 1'!E14*'UTILITY REPORT 1'!D14)/'UTILITY REPORT 1'!F14</f>
        <v>#DIV/0!</v>
      </c>
      <c r="G13" s="484">
        <f>IF('Utility summery'!M17&lt;0,"0",'Utility summery'!M17)</f>
        <v>0</v>
      </c>
      <c r="H13" s="492">
        <v>0</v>
      </c>
      <c r="I13" s="484">
        <f>IF('UTILITY REPORT 1'!G14&lt;0,"0",'UTILITY REPORT 1'!G14)</f>
        <v>0</v>
      </c>
      <c r="J13" s="492">
        <v>0</v>
      </c>
      <c r="K13" s="483">
        <f>'UTILITY REPORT 1'!C14</f>
        <v>0</v>
      </c>
      <c r="L13" s="485" t="e">
        <f>E13*F13+G13*H13+#REF!*#REF!+I13*J13</f>
        <v>#DIV/0!</v>
      </c>
    </row>
    <row r="14" spans="1:12">
      <c r="A14" s="480" t="s">
        <v>283</v>
      </c>
      <c r="B14" s="481">
        <f t="shared" si="0"/>
        <v>13</v>
      </c>
      <c r="C14" s="481">
        <v>9</v>
      </c>
      <c r="D14" s="482">
        <v>2020</v>
      </c>
      <c r="E14" s="483">
        <f>'UTILITY REPORT 1'!F15</f>
        <v>0</v>
      </c>
      <c r="F14" s="484" t="e">
        <f>('UTILITY REPORT 1'!E15*'UTILITY REPORT 1'!D15)/'UTILITY REPORT 1'!F15</f>
        <v>#DIV/0!</v>
      </c>
      <c r="G14" s="484">
        <f>IF('Utility summery'!M18&lt;0,"0",'Utility summery'!M18)</f>
        <v>0</v>
      </c>
      <c r="H14" s="492">
        <v>0</v>
      </c>
      <c r="I14" s="484">
        <f>IF('UTILITY REPORT 1'!G15&lt;0,"0",'UTILITY REPORT 1'!G15)</f>
        <v>0</v>
      </c>
      <c r="J14" s="492">
        <v>0</v>
      </c>
      <c r="K14" s="483">
        <f>'UTILITY REPORT 1'!C15</f>
        <v>0</v>
      </c>
      <c r="L14" s="485" t="e">
        <f>E14*F14+G14*H14+#REF!*#REF!+I14*J14</f>
        <v>#DIV/0!</v>
      </c>
    </row>
    <row r="15" spans="1:12">
      <c r="A15" s="480" t="s">
        <v>283</v>
      </c>
      <c r="B15" s="481">
        <f t="shared" si="0"/>
        <v>14</v>
      </c>
      <c r="C15" s="481">
        <v>9</v>
      </c>
      <c r="D15" s="482">
        <v>2020</v>
      </c>
      <c r="E15" s="483">
        <f>'UTILITY REPORT 1'!F16</f>
        <v>0</v>
      </c>
      <c r="F15" s="484" t="e">
        <f>('UTILITY REPORT 1'!E16*'UTILITY REPORT 1'!D16)/'UTILITY REPORT 1'!F16</f>
        <v>#DIV/0!</v>
      </c>
      <c r="G15" s="484">
        <f>IF('Utility summery'!M19&lt;0,"0",'Utility summery'!M19)</f>
        <v>0</v>
      </c>
      <c r="H15" s="492">
        <v>0</v>
      </c>
      <c r="I15" s="484">
        <f>IF('UTILITY REPORT 1'!G16&lt;0,"0",'UTILITY REPORT 1'!G16)</f>
        <v>0</v>
      </c>
      <c r="J15" s="492">
        <v>0</v>
      </c>
      <c r="K15" s="483">
        <f>'UTILITY REPORT 1'!C16</f>
        <v>0</v>
      </c>
      <c r="L15" s="485" t="e">
        <f>E15*F15+G15*H15+#REF!*#REF!+I15*J15</f>
        <v>#DIV/0!</v>
      </c>
    </row>
    <row r="16" spans="1:12">
      <c r="A16" s="480" t="s">
        <v>283</v>
      </c>
      <c r="B16" s="481">
        <f t="shared" si="0"/>
        <v>15</v>
      </c>
      <c r="C16" s="481">
        <v>9</v>
      </c>
      <c r="D16" s="482">
        <v>2020</v>
      </c>
      <c r="E16" s="483">
        <f>'UTILITY REPORT 1'!F17</f>
        <v>0</v>
      </c>
      <c r="F16" s="484" t="e">
        <f>('UTILITY REPORT 1'!E17*'UTILITY REPORT 1'!D17)/'UTILITY REPORT 1'!F17</f>
        <v>#DIV/0!</v>
      </c>
      <c r="G16" s="484">
        <f>IF('Utility summery'!M20&lt;0,"0",'Utility summery'!M20)</f>
        <v>0</v>
      </c>
      <c r="H16" s="492">
        <v>0</v>
      </c>
      <c r="I16" s="484">
        <f>IF('UTILITY REPORT 1'!G17&lt;0,"0",'UTILITY REPORT 1'!G17)</f>
        <v>0</v>
      </c>
      <c r="J16" s="492">
        <v>0</v>
      </c>
      <c r="K16" s="483">
        <f>'UTILITY REPORT 1'!C17</f>
        <v>0</v>
      </c>
      <c r="L16" s="485" t="e">
        <f>E16*F16+G16*H16+#REF!*#REF!+I16*J16</f>
        <v>#DIV/0!</v>
      </c>
    </row>
    <row r="17" spans="1:12">
      <c r="A17" s="480" t="s">
        <v>283</v>
      </c>
      <c r="B17" s="481">
        <f t="shared" si="0"/>
        <v>16</v>
      </c>
      <c r="C17" s="481">
        <v>9</v>
      </c>
      <c r="D17" s="482">
        <v>2020</v>
      </c>
      <c r="E17" s="483">
        <f>'UTILITY REPORT 1'!F18</f>
        <v>0</v>
      </c>
      <c r="F17" s="484" t="e">
        <f>('UTILITY REPORT 1'!E18*'UTILITY REPORT 1'!D18)/'UTILITY REPORT 1'!F18</f>
        <v>#DIV/0!</v>
      </c>
      <c r="G17" s="484">
        <f>IF('Utility summery'!M21&lt;0,"0",'Utility summery'!M21)</f>
        <v>0</v>
      </c>
      <c r="H17" s="492">
        <v>0</v>
      </c>
      <c r="I17" s="484">
        <f>IF('UTILITY REPORT 1'!G18&lt;0,"0",'UTILITY REPORT 1'!G18)</f>
        <v>0</v>
      </c>
      <c r="J17" s="492">
        <v>0</v>
      </c>
      <c r="K17" s="483">
        <f>'UTILITY REPORT 1'!C18</f>
        <v>0</v>
      </c>
      <c r="L17" s="485" t="e">
        <f>E17*F17+G17*H17+#REF!*#REF!+I17*J17</f>
        <v>#DIV/0!</v>
      </c>
    </row>
    <row r="18" spans="1:12">
      <c r="A18" s="480" t="s">
        <v>283</v>
      </c>
      <c r="B18" s="481">
        <f t="shared" si="0"/>
        <v>17</v>
      </c>
      <c r="C18" s="481">
        <v>9</v>
      </c>
      <c r="D18" s="482">
        <v>2020</v>
      </c>
      <c r="E18" s="483">
        <f>'UTILITY REPORT 1'!F19</f>
        <v>0</v>
      </c>
      <c r="F18" s="484" t="e">
        <f>('UTILITY REPORT 1'!E19*'UTILITY REPORT 1'!D19)/'UTILITY REPORT 1'!F19</f>
        <v>#DIV/0!</v>
      </c>
      <c r="G18" s="484">
        <f>IF('Utility summery'!M22&lt;0,"0",'Utility summery'!M22)</f>
        <v>0</v>
      </c>
      <c r="H18" s="492">
        <v>0</v>
      </c>
      <c r="I18" s="484">
        <f>IF('UTILITY REPORT 1'!G19&lt;0,"0",'UTILITY REPORT 1'!G19)</f>
        <v>0</v>
      </c>
      <c r="J18" s="492">
        <v>0</v>
      </c>
      <c r="K18" s="483">
        <f>'UTILITY REPORT 1'!C19</f>
        <v>0</v>
      </c>
      <c r="L18" s="485" t="e">
        <f>E18*F18+G18*H18+#REF!*#REF!+I18*J18</f>
        <v>#DIV/0!</v>
      </c>
    </row>
    <row r="19" spans="1:12">
      <c r="A19" s="480" t="s">
        <v>283</v>
      </c>
      <c r="B19" s="481">
        <f t="shared" si="0"/>
        <v>18</v>
      </c>
      <c r="C19" s="481">
        <v>9</v>
      </c>
      <c r="D19" s="482">
        <v>2020</v>
      </c>
      <c r="E19" s="483">
        <f>'UTILITY REPORT 1'!F20</f>
        <v>0</v>
      </c>
      <c r="F19" s="484" t="e">
        <f>('UTILITY REPORT 1'!E20*'UTILITY REPORT 1'!D20)/'UTILITY REPORT 1'!F20</f>
        <v>#DIV/0!</v>
      </c>
      <c r="G19" s="484">
        <f>IF('Utility summery'!M23&lt;0,"0",'Utility summery'!M23)</f>
        <v>0</v>
      </c>
      <c r="H19" s="492">
        <v>0</v>
      </c>
      <c r="I19" s="484">
        <f>IF('UTILITY REPORT 1'!G20&lt;0,"0",'UTILITY REPORT 1'!G20)</f>
        <v>0</v>
      </c>
      <c r="J19" s="492">
        <v>0</v>
      </c>
      <c r="K19" s="483">
        <f>'UTILITY REPORT 1'!C20</f>
        <v>0</v>
      </c>
      <c r="L19" s="485" t="e">
        <f>E19*F19+G19*H19+#REF!*#REF!+I19*J19</f>
        <v>#DIV/0!</v>
      </c>
    </row>
    <row r="20" spans="1:12">
      <c r="A20" s="480" t="s">
        <v>283</v>
      </c>
      <c r="B20" s="481">
        <f t="shared" si="0"/>
        <v>19</v>
      </c>
      <c r="C20" s="481">
        <v>9</v>
      </c>
      <c r="D20" s="482">
        <v>2020</v>
      </c>
      <c r="E20" s="483">
        <f>'UTILITY REPORT 1'!F21</f>
        <v>0</v>
      </c>
      <c r="F20" s="484" t="e">
        <f>('UTILITY REPORT 1'!E21*'UTILITY REPORT 1'!D21)/'UTILITY REPORT 1'!F21</f>
        <v>#DIV/0!</v>
      </c>
      <c r="G20" s="484">
        <f>IF('Utility summery'!M24&lt;0,"0",'Utility summery'!M24)</f>
        <v>0</v>
      </c>
      <c r="H20" s="492">
        <v>0</v>
      </c>
      <c r="I20" s="484">
        <f>IF('UTILITY REPORT 1'!G21&lt;0,"0",'UTILITY REPORT 1'!G21)</f>
        <v>0</v>
      </c>
      <c r="J20" s="492">
        <v>0</v>
      </c>
      <c r="K20" s="483">
        <f>'UTILITY REPORT 1'!C21</f>
        <v>0</v>
      </c>
      <c r="L20" s="485" t="e">
        <f>E20*F20+G20*H20+#REF!*#REF!+I20*J20</f>
        <v>#DIV/0!</v>
      </c>
    </row>
    <row r="21" spans="1:12">
      <c r="A21" s="480" t="s">
        <v>283</v>
      </c>
      <c r="B21" s="481">
        <f t="shared" si="0"/>
        <v>20</v>
      </c>
      <c r="C21" s="481">
        <v>9</v>
      </c>
      <c r="D21" s="482">
        <v>2020</v>
      </c>
      <c r="E21" s="483">
        <f>'UTILITY REPORT 1'!F22</f>
        <v>0</v>
      </c>
      <c r="F21" s="484" t="e">
        <f>('UTILITY REPORT 1'!E22*'UTILITY REPORT 1'!D22)/'UTILITY REPORT 1'!F22</f>
        <v>#DIV/0!</v>
      </c>
      <c r="G21" s="484">
        <f>IF('Utility summery'!M25&lt;0,"0",'Utility summery'!M25)</f>
        <v>0</v>
      </c>
      <c r="H21" s="492">
        <v>0</v>
      </c>
      <c r="I21" s="484">
        <f>IF('UTILITY REPORT 1'!G22&lt;0,"0",'UTILITY REPORT 1'!G22)</f>
        <v>0</v>
      </c>
      <c r="J21" s="492">
        <v>0</v>
      </c>
      <c r="K21" s="483">
        <f>'UTILITY REPORT 1'!C22</f>
        <v>0</v>
      </c>
      <c r="L21" s="485" t="e">
        <f>E21*F21+G21*H21+#REF!*#REF!+I21*J21</f>
        <v>#DIV/0!</v>
      </c>
    </row>
    <row r="22" spans="1:12">
      <c r="A22" s="480" t="s">
        <v>283</v>
      </c>
      <c r="B22" s="481">
        <f t="shared" si="0"/>
        <v>21</v>
      </c>
      <c r="C22" s="481">
        <v>9</v>
      </c>
      <c r="D22" s="482">
        <v>2020</v>
      </c>
      <c r="E22" s="483">
        <f>'UTILITY REPORT 1'!F23</f>
        <v>0</v>
      </c>
      <c r="F22" s="484" t="e">
        <f>('UTILITY REPORT 1'!E23*'UTILITY REPORT 1'!D23)/'UTILITY REPORT 1'!F23</f>
        <v>#DIV/0!</v>
      </c>
      <c r="G22" s="484">
        <f>IF('Utility summery'!M26&lt;0,"0",'Utility summery'!M26)</f>
        <v>0</v>
      </c>
      <c r="H22" s="492">
        <v>0</v>
      </c>
      <c r="I22" s="484">
        <f>IF('UTILITY REPORT 1'!G23&lt;0,"0",'UTILITY REPORT 1'!G23)</f>
        <v>0</v>
      </c>
      <c r="J22" s="492">
        <v>0</v>
      </c>
      <c r="K22" s="483">
        <f>'UTILITY REPORT 1'!C23</f>
        <v>0</v>
      </c>
      <c r="L22" s="485" t="e">
        <f>E22*F22+G22*H22+#REF!*#REF!+I22*J22</f>
        <v>#DIV/0!</v>
      </c>
    </row>
    <row r="23" spans="1:12">
      <c r="A23" s="480" t="s">
        <v>283</v>
      </c>
      <c r="B23" s="481">
        <f t="shared" si="0"/>
        <v>22</v>
      </c>
      <c r="C23" s="481">
        <v>9</v>
      </c>
      <c r="D23" s="482">
        <v>2020</v>
      </c>
      <c r="E23" s="483">
        <f>'UTILITY REPORT 1'!F24</f>
        <v>0</v>
      </c>
      <c r="F23" s="484" t="e">
        <f>('UTILITY REPORT 1'!E24*'UTILITY REPORT 1'!D24)/'UTILITY REPORT 1'!F24</f>
        <v>#DIV/0!</v>
      </c>
      <c r="G23" s="484">
        <f>IF('Utility summery'!M27&lt;0,"0",'Utility summery'!M27)</f>
        <v>0</v>
      </c>
      <c r="H23" s="492">
        <v>0</v>
      </c>
      <c r="I23" s="484">
        <f>IF('UTILITY REPORT 1'!G24&lt;0,"0",'UTILITY REPORT 1'!G24)</f>
        <v>0</v>
      </c>
      <c r="J23" s="492">
        <v>0</v>
      </c>
      <c r="K23" s="483">
        <f>'UTILITY REPORT 1'!C24</f>
        <v>0</v>
      </c>
      <c r="L23" s="485" t="e">
        <f>E23*F23+G23*H23+#REF!*#REF!+I23*J23</f>
        <v>#DIV/0!</v>
      </c>
    </row>
    <row r="24" spans="1:12">
      <c r="A24" s="480" t="s">
        <v>283</v>
      </c>
      <c r="B24" s="481">
        <f t="shared" si="0"/>
        <v>23</v>
      </c>
      <c r="C24" s="481">
        <v>9</v>
      </c>
      <c r="D24" s="482">
        <v>2020</v>
      </c>
      <c r="E24" s="483">
        <f>'UTILITY REPORT 1'!F25</f>
        <v>0</v>
      </c>
      <c r="F24" s="484" t="e">
        <f>('UTILITY REPORT 1'!E25*'UTILITY REPORT 1'!D25)/'UTILITY REPORT 1'!F25</f>
        <v>#DIV/0!</v>
      </c>
      <c r="G24" s="484">
        <f>IF('Utility summery'!M28&lt;0,"0",'Utility summery'!M28)</f>
        <v>0</v>
      </c>
      <c r="H24" s="492">
        <v>0</v>
      </c>
      <c r="I24" s="484">
        <f>IF('UTILITY REPORT 1'!G25&lt;0,"0",'UTILITY REPORT 1'!G25)</f>
        <v>0</v>
      </c>
      <c r="J24" s="492">
        <v>0</v>
      </c>
      <c r="K24" s="483">
        <f>'UTILITY REPORT 1'!C25</f>
        <v>0</v>
      </c>
      <c r="L24" s="485" t="e">
        <f>E24*F24+G24*H24+#REF!*#REF!+I24*J24</f>
        <v>#DIV/0!</v>
      </c>
    </row>
    <row r="25" spans="1:12">
      <c r="A25" s="480" t="s">
        <v>283</v>
      </c>
      <c r="B25" s="481">
        <f t="shared" si="0"/>
        <v>24</v>
      </c>
      <c r="C25" s="481">
        <v>9</v>
      </c>
      <c r="D25" s="482">
        <v>2020</v>
      </c>
      <c r="E25" s="483">
        <f>'UTILITY REPORT 1'!F26</f>
        <v>0</v>
      </c>
      <c r="F25" s="484" t="e">
        <f>('UTILITY REPORT 1'!E26*'UTILITY REPORT 1'!D26)/'UTILITY REPORT 1'!F26</f>
        <v>#DIV/0!</v>
      </c>
      <c r="G25" s="484">
        <f>IF('Utility summery'!M29&lt;0,"0",'Utility summery'!M29)</f>
        <v>0</v>
      </c>
      <c r="H25" s="492">
        <v>0</v>
      </c>
      <c r="I25" s="484">
        <f>IF('UTILITY REPORT 1'!G26&lt;0,"0",'UTILITY REPORT 1'!G26)</f>
        <v>0</v>
      </c>
      <c r="J25" s="492">
        <v>0</v>
      </c>
      <c r="K25" s="483">
        <f>'UTILITY REPORT 1'!C26</f>
        <v>0</v>
      </c>
      <c r="L25" s="485" t="e">
        <f>E25*F25+G25*H25+#REF!*#REF!+I25*J25</f>
        <v>#DIV/0!</v>
      </c>
    </row>
    <row r="26" spans="1:12">
      <c r="A26" s="480" t="s">
        <v>283</v>
      </c>
      <c r="B26" s="481">
        <f>B25+1</f>
        <v>25</v>
      </c>
      <c r="C26" s="481">
        <v>9</v>
      </c>
      <c r="D26" s="482">
        <v>2020</v>
      </c>
      <c r="E26" s="483">
        <f>'UTILITY REPORT 1'!F27</f>
        <v>0</v>
      </c>
      <c r="F26" s="484" t="e">
        <f>('UTILITY REPORT 1'!E27*'UTILITY REPORT 1'!D27)/'UTILITY REPORT 1'!F27</f>
        <v>#DIV/0!</v>
      </c>
      <c r="G26" s="484">
        <f>IF('Utility summery'!M30&lt;0,"0",'Utility summery'!M30)</f>
        <v>0</v>
      </c>
      <c r="H26" s="492">
        <v>0</v>
      </c>
      <c r="I26" s="484">
        <f>IF('UTILITY REPORT 1'!G27&lt;0,"0",'UTILITY REPORT 1'!G27)</f>
        <v>0</v>
      </c>
      <c r="J26" s="492">
        <v>0</v>
      </c>
      <c r="K26" s="483">
        <f>'UTILITY REPORT 1'!C27</f>
        <v>0</v>
      </c>
      <c r="L26" s="485" t="e">
        <f>E26*F26+G26*H26+#REF!*#REF!+I26*J26</f>
        <v>#DIV/0!</v>
      </c>
    </row>
    <row r="27" spans="1:12">
      <c r="A27" s="480" t="s">
        <v>283</v>
      </c>
      <c r="B27" s="481">
        <f t="shared" si="0"/>
        <v>26</v>
      </c>
      <c r="C27" s="481">
        <v>9</v>
      </c>
      <c r="D27" s="482">
        <v>2020</v>
      </c>
      <c r="E27" s="483">
        <f>'UTILITY REPORT 1'!F28</f>
        <v>0</v>
      </c>
      <c r="F27" s="484" t="e">
        <f>('UTILITY REPORT 1'!E28*'UTILITY REPORT 1'!D28)/'UTILITY REPORT 1'!F28</f>
        <v>#DIV/0!</v>
      </c>
      <c r="G27" s="484">
        <f>IF('Utility summery'!M31&lt;0,"0",'Utility summery'!M31)</f>
        <v>0</v>
      </c>
      <c r="H27" s="492">
        <v>0</v>
      </c>
      <c r="I27" s="484">
        <f>IF('UTILITY REPORT 1'!G28&lt;0,"0",'UTILITY REPORT 1'!G28)</f>
        <v>0</v>
      </c>
      <c r="J27" s="492">
        <v>0</v>
      </c>
      <c r="K27" s="483">
        <f>'UTILITY REPORT 1'!C28</f>
        <v>0</v>
      </c>
      <c r="L27" s="485" t="e">
        <f>E27*F27+G27*H27+#REF!*#REF!+I27*J27</f>
        <v>#DIV/0!</v>
      </c>
    </row>
    <row r="28" spans="1:12">
      <c r="A28" s="480" t="s">
        <v>283</v>
      </c>
      <c r="B28" s="481">
        <f t="shared" si="0"/>
        <v>27</v>
      </c>
      <c r="C28" s="481">
        <v>9</v>
      </c>
      <c r="D28" s="482">
        <v>2020</v>
      </c>
      <c r="E28" s="483">
        <f>'UTILITY REPORT 1'!F29</f>
        <v>0</v>
      </c>
      <c r="F28" s="484" t="e">
        <f>('UTILITY REPORT 1'!E29*'UTILITY REPORT 1'!D29)/'UTILITY REPORT 1'!F29</f>
        <v>#DIV/0!</v>
      </c>
      <c r="G28" s="484">
        <f>IF('Utility summery'!M32&lt;0,"0",'Utility summery'!M32)</f>
        <v>0</v>
      </c>
      <c r="H28" s="492">
        <v>0</v>
      </c>
      <c r="I28" s="484">
        <f>IF('UTILITY REPORT 1'!G29&lt;0,"0",'UTILITY REPORT 1'!G29)</f>
        <v>0</v>
      </c>
      <c r="J28" s="492">
        <v>0</v>
      </c>
      <c r="K28" s="483">
        <f>'UTILITY REPORT 1'!C29</f>
        <v>0</v>
      </c>
      <c r="L28" s="485" t="e">
        <f>E28*F28+G28*H28+#REF!*#REF!+I28*J28</f>
        <v>#DIV/0!</v>
      </c>
    </row>
    <row r="29" spans="1:12">
      <c r="A29" s="480" t="s">
        <v>283</v>
      </c>
      <c r="B29" s="481">
        <f t="shared" si="0"/>
        <v>28</v>
      </c>
      <c r="C29" s="481">
        <v>9</v>
      </c>
      <c r="D29" s="482">
        <v>2020</v>
      </c>
      <c r="E29" s="483">
        <f>'UTILITY REPORT 1'!F30</f>
        <v>0</v>
      </c>
      <c r="F29" s="484" t="e">
        <f>('UTILITY REPORT 1'!E30*'UTILITY REPORT 1'!D30)/'UTILITY REPORT 1'!F30</f>
        <v>#DIV/0!</v>
      </c>
      <c r="G29" s="484">
        <f>IF('Utility summery'!M33&lt;0,"0",'Utility summery'!M33)</f>
        <v>0</v>
      </c>
      <c r="H29" s="492">
        <v>0</v>
      </c>
      <c r="I29" s="484">
        <f>IF('UTILITY REPORT 1'!G30&lt;0,"0",'UTILITY REPORT 1'!G30)</f>
        <v>0</v>
      </c>
      <c r="J29" s="492">
        <v>0</v>
      </c>
      <c r="K29" s="483">
        <f>'UTILITY REPORT 1'!C30</f>
        <v>0</v>
      </c>
      <c r="L29" s="485" t="e">
        <f>E29*F29+G29*H29+#REF!*#REF!+I29*J29</f>
        <v>#DIV/0!</v>
      </c>
    </row>
    <row r="30" spans="1:12">
      <c r="A30" s="480" t="s">
        <v>283</v>
      </c>
      <c r="B30" s="481">
        <f t="shared" si="0"/>
        <v>29</v>
      </c>
      <c r="C30" s="481">
        <v>9</v>
      </c>
      <c r="D30" s="482">
        <v>2020</v>
      </c>
      <c r="E30" s="483">
        <f>'UTILITY REPORT 1'!F31</f>
        <v>0</v>
      </c>
      <c r="F30" s="484" t="e">
        <f>('UTILITY REPORT 1'!E31*'UTILITY REPORT 1'!D31)/'UTILITY REPORT 1'!F31</f>
        <v>#DIV/0!</v>
      </c>
      <c r="G30" s="484">
        <f>IF('Utility summery'!M34&lt;0,"0",'Utility summery'!M34)</f>
        <v>0</v>
      </c>
      <c r="H30" s="492">
        <v>0</v>
      </c>
      <c r="I30" s="484">
        <f>IF('UTILITY REPORT 1'!G31&lt;0,"0",'UTILITY REPORT 1'!G31)</f>
        <v>0</v>
      </c>
      <c r="J30" s="492">
        <v>0</v>
      </c>
      <c r="K30" s="483">
        <f>'UTILITY REPORT 1'!C31</f>
        <v>0</v>
      </c>
      <c r="L30" s="485" t="e">
        <f>E30*F30+G30*H30+#REF!*#REF!+I30*J30</f>
        <v>#DIV/0!</v>
      </c>
    </row>
    <row r="31" spans="1:12">
      <c r="A31" s="480" t="s">
        <v>283</v>
      </c>
      <c r="B31" s="481">
        <v>30</v>
      </c>
      <c r="C31" s="481">
        <v>9</v>
      </c>
      <c r="D31" s="482">
        <v>2020</v>
      </c>
      <c r="E31" s="483">
        <f>'UTILITY REPORT 1'!F32</f>
        <v>0</v>
      </c>
      <c r="F31" s="484" t="e">
        <f>('UTILITY REPORT 1'!E32*'UTILITY REPORT 1'!D32)/'UTILITY REPORT 1'!F32</f>
        <v>#DIV/0!</v>
      </c>
      <c r="G31" s="484">
        <f>IF('Utility summery'!M35&lt;0,"0",'Utility summery'!M35)</f>
        <v>0</v>
      </c>
      <c r="H31" s="492">
        <v>0</v>
      </c>
      <c r="I31" s="484">
        <f>IF('UTILITY REPORT 1'!G32&lt;0,"0",'UTILITY REPORT 1'!G32)</f>
        <v>0</v>
      </c>
      <c r="J31" s="492">
        <v>0</v>
      </c>
      <c r="K31" s="483">
        <f>'UTILITY REPORT 1'!C32</f>
        <v>0</v>
      </c>
      <c r="L31" s="485" t="e">
        <f>E31*F31+G31*H31+#REF!*#REF!+I31*J31</f>
        <v>#DIV/0!</v>
      </c>
    </row>
    <row r="32" spans="1:12">
      <c r="A32" s="480"/>
      <c r="E32" s="483">
        <f>'UTILITY REPORT 1'!F33</f>
        <v>0</v>
      </c>
      <c r="F32" s="484" t="e">
        <f>('UTILITY REPORT 1'!E33*'UTILITY REPORT 1'!D33)/'UTILITY REPORT 1'!F33</f>
        <v>#DIV/0!</v>
      </c>
      <c r="G32" s="484">
        <f>IF('Utility summery'!M36&lt;0,"0",'Utility summery'!M36)</f>
        <v>0</v>
      </c>
      <c r="H32" s="492">
        <v>0</v>
      </c>
      <c r="I32" s="484">
        <f>IF('UTILITY REPORT 1'!G33&lt;0,"0",'UTILITY REPORT 1'!G33)</f>
        <v>0</v>
      </c>
      <c r="J32" s="492">
        <v>0</v>
      </c>
      <c r="K32" s="483">
        <f>'UTILITY REPORT 1'!C33</f>
        <v>0</v>
      </c>
    </row>
    <row r="33" spans="6:10">
      <c r="F33" s="484"/>
      <c r="G33" s="484"/>
      <c r="H33" s="492"/>
      <c r="I33" s="484" t="s">
        <v>253</v>
      </c>
      <c r="J33" s="492"/>
    </row>
    <row r="34" spans="6:10">
      <c r="F34" s="484"/>
      <c r="G34" s="484"/>
      <c r="H34" s="492"/>
      <c r="I34" s="484"/>
      <c r="J34" s="492"/>
    </row>
    <row r="35" spans="6:10">
      <c r="F35" s="484"/>
      <c r="G35" s="484"/>
      <c r="H35" s="492"/>
      <c r="I35" s="484"/>
      <c r="J35" s="492"/>
    </row>
    <row r="36" spans="6:10">
      <c r="F36" s="484"/>
      <c r="G36" s="484"/>
      <c r="H36" s="492"/>
      <c r="I36" s="484"/>
      <c r="J36" s="492"/>
    </row>
    <row r="37" spans="6:10">
      <c r="F37" s="484"/>
      <c r="G37" s="484"/>
      <c r="H37" s="492"/>
      <c r="I37" s="484"/>
      <c r="J37" s="492"/>
    </row>
    <row r="38" spans="6:10">
      <c r="F38" s="484"/>
      <c r="G38" s="484"/>
      <c r="H38" s="492"/>
      <c r="I38" s="484"/>
      <c r="J38" s="492"/>
    </row>
    <row r="39" spans="6:10">
      <c r="F39" s="484"/>
      <c r="G39" s="484"/>
      <c r="H39" s="492"/>
      <c r="I39" s="484"/>
      <c r="J39" s="49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D37" sqref="D37"/>
    </sheetView>
  </sheetViews>
  <sheetFormatPr defaultColWidth="11.5703125" defaultRowHeight="12.75"/>
  <cols>
    <col min="1" max="1" width="12.42578125" style="12" customWidth="1"/>
    <col min="2" max="3" width="11.5703125" style="481"/>
    <col min="4" max="4" width="13.42578125" style="482" customWidth="1"/>
    <col min="5" max="6" width="12.5703125" style="12" customWidth="1"/>
    <col min="7" max="7" width="12.5703125" style="483" customWidth="1"/>
    <col min="8" max="10" width="11.5703125" style="12"/>
    <col min="11" max="11" width="12.5703125" style="483" customWidth="1"/>
    <col min="12" max="12" width="11.5703125" style="12"/>
    <col min="13" max="14" width="11.5703125" style="483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79" customFormat="1" ht="60.75" thickBot="1">
      <c r="A1" s="549" t="s">
        <v>271</v>
      </c>
      <c r="B1" s="550" t="s">
        <v>272</v>
      </c>
      <c r="C1" s="550" t="s">
        <v>273</v>
      </c>
      <c r="D1" s="551" t="s">
        <v>274</v>
      </c>
      <c r="E1" s="552" t="s">
        <v>287</v>
      </c>
      <c r="F1" s="552" t="s">
        <v>286</v>
      </c>
      <c r="G1" s="553" t="s">
        <v>275</v>
      </c>
      <c r="H1" s="552" t="s">
        <v>284</v>
      </c>
      <c r="I1" s="552" t="s">
        <v>285</v>
      </c>
      <c r="J1" s="552" t="s">
        <v>288</v>
      </c>
      <c r="K1" s="553" t="s">
        <v>266</v>
      </c>
      <c r="L1" s="552" t="s">
        <v>289</v>
      </c>
      <c r="M1" s="553" t="s">
        <v>290</v>
      </c>
      <c r="N1" s="553" t="s">
        <v>291</v>
      </c>
      <c r="O1" s="553" t="s">
        <v>291</v>
      </c>
      <c r="P1" s="553" t="s">
        <v>304</v>
      </c>
      <c r="Q1" s="553" t="s">
        <v>292</v>
      </c>
      <c r="R1" s="553" t="s">
        <v>293</v>
      </c>
      <c r="S1" s="553" t="s">
        <v>294</v>
      </c>
      <c r="T1" s="553" t="s">
        <v>295</v>
      </c>
      <c r="U1" s="553" t="s">
        <v>296</v>
      </c>
      <c r="V1" s="553" t="s">
        <v>297</v>
      </c>
      <c r="W1" s="556" t="s">
        <v>305</v>
      </c>
      <c r="X1" s="557" t="s">
        <v>281</v>
      </c>
    </row>
    <row r="2" spans="1:24">
      <c r="A2" s="544" t="s">
        <v>283</v>
      </c>
      <c r="B2" s="545">
        <v>1</v>
      </c>
      <c r="C2" s="545">
        <v>9</v>
      </c>
      <c r="D2" s="546">
        <v>2020</v>
      </c>
      <c r="E2" s="547">
        <f>'UTILITY REPORT 1'!I3</f>
        <v>69.209999999999994</v>
      </c>
      <c r="F2" s="547">
        <f>'UTILITY REPORT 1'!E3</f>
        <v>891.43</v>
      </c>
      <c r="G2" s="548">
        <f>'UTILITY REPORT 1'!F3</f>
        <v>2111</v>
      </c>
      <c r="H2" s="547">
        <f>IF('Kit report'!F4&lt;0,"0",'Kit report'!F4)</f>
        <v>191.99999999982538</v>
      </c>
      <c r="I2" s="547">
        <f>IF('Kit report'!X4&lt;0,"0",'Kit report'!X4)</f>
        <v>80.000000000109139</v>
      </c>
      <c r="J2" s="547">
        <f>IF('Utility summery'!H6&lt;0,"0",'Utility summery'!H6)</f>
        <v>47</v>
      </c>
      <c r="K2" s="548">
        <f>IF('UTILITY REPORT 1'!H3&lt;0,"0",'UTILITY REPORT 1'!H3)</f>
        <v>74</v>
      </c>
      <c r="L2" s="547">
        <f>'Water-Meter'!K6</f>
        <v>2</v>
      </c>
      <c r="M2" s="548">
        <f>'Water-Meter'!H6</f>
        <v>0</v>
      </c>
      <c r="N2" s="548">
        <f>'Water-Meter'!Q6</f>
        <v>1</v>
      </c>
      <c r="O2" s="547" t="e">
        <f>K2*E2+H2*I2+#REF!*#REF!+J2*L2</f>
        <v>#REF!</v>
      </c>
      <c r="P2" s="547">
        <f>'Water-Meter'!E6</f>
        <v>56</v>
      </c>
      <c r="Q2" s="471">
        <f>IF('Water-Meter'!U6&lt;0,"0",'Water-Meter'!U6)</f>
        <v>86</v>
      </c>
      <c r="R2" s="471">
        <f>IF('Water-Meter'!X6&lt;0,"0",'Water-Meter'!X6)</f>
        <v>0</v>
      </c>
      <c r="S2" s="471">
        <f>IF('Water-Meter'!AA6&lt;0,"0",'Water-Meter'!AA6)</f>
        <v>0</v>
      </c>
      <c r="T2" s="471">
        <f>IF('Water-Meter'!AD6&lt;0,"0",'Water-Meter'!AD6)</f>
        <v>15</v>
      </c>
      <c r="U2" s="471">
        <f>IF('Water-Meter'!AG6&lt;0,"0",'Water-Meter'!AG6)</f>
        <v>0</v>
      </c>
      <c r="V2" s="471">
        <f>IF('Water-Meter'!AJ6&lt;0,"0",'Water-Meter'!AJ6)</f>
        <v>5</v>
      </c>
      <c r="W2" s="31">
        <f>'Water-Meter'!AN6</f>
        <v>106</v>
      </c>
      <c r="X2" s="558">
        <f>Total!K2</f>
        <v>3</v>
      </c>
    </row>
    <row r="3" spans="1:24">
      <c r="A3" s="542" t="s">
        <v>283</v>
      </c>
      <c r="B3" s="539">
        <f>B2+1</f>
        <v>2</v>
      </c>
      <c r="C3" s="545">
        <v>9</v>
      </c>
      <c r="D3" s="546">
        <v>2020</v>
      </c>
      <c r="E3" s="540">
        <f>'UTILITY REPORT 1'!I4</f>
        <v>80.650000000000006</v>
      </c>
      <c r="F3" s="540">
        <f>'UTILITY REPORT 1'!E4</f>
        <v>821.92000000000007</v>
      </c>
      <c r="G3" s="541">
        <f>'UTILITY REPORT 1'!F4</f>
        <v>2147</v>
      </c>
      <c r="H3" s="540">
        <f>IF('Kit report'!F5&lt;0,"0",'Kit report'!F5)</f>
        <v>192.00000000004366</v>
      </c>
      <c r="I3" s="540">
        <f>IF('Kit report'!X5&lt;0,"0",'Kit report'!X5)</f>
        <v>19.999999999890861</v>
      </c>
      <c r="J3" s="540">
        <f>IF('Utility summery'!H7&lt;0,"0",'Utility summery'!H7)</f>
        <v>30</v>
      </c>
      <c r="K3" s="541">
        <f>IF('UTILITY REPORT 1'!H4&lt;0,"0",'UTILITY REPORT 1'!H4)</f>
        <v>26</v>
      </c>
      <c r="L3" s="540">
        <f>'Water-Meter'!K7</f>
        <v>1</v>
      </c>
      <c r="M3" s="541">
        <f>'Water-Meter'!H7</f>
        <v>0</v>
      </c>
      <c r="N3" s="541">
        <f>'Water-Meter'!Q7</f>
        <v>2</v>
      </c>
      <c r="O3" s="540" t="e">
        <f>K3*E3+H3*I3+#REF!*#REF!+J3*L3</f>
        <v>#REF!</v>
      </c>
      <c r="P3" s="547">
        <f>'Water-Meter'!E7</f>
        <v>58</v>
      </c>
      <c r="Q3" s="289">
        <f>IF('Water-Meter'!U7&lt;0,"0",'Water-Meter'!U7)</f>
        <v>82</v>
      </c>
      <c r="R3" s="289">
        <f>IF('Water-Meter'!X7&lt;0,"0",'Water-Meter'!X7)</f>
        <v>0</v>
      </c>
      <c r="S3" s="289">
        <f>IF('Water-Meter'!AA7&lt;0,"0",'Water-Meter'!AA7)</f>
        <v>0</v>
      </c>
      <c r="T3" s="289">
        <f>IF('Water-Meter'!AD7&lt;0,"0",'Water-Meter'!AD7)</f>
        <v>17</v>
      </c>
      <c r="U3" s="289">
        <f>IF('Water-Meter'!AG7&lt;0,"0",'Water-Meter'!AG7)</f>
        <v>0</v>
      </c>
      <c r="V3" s="289">
        <f>IF('Water-Meter'!AJ7&lt;0,"0",'Water-Meter'!AJ7)</f>
        <v>26</v>
      </c>
      <c r="W3" s="31">
        <f>'Water-Meter'!AN7</f>
        <v>125</v>
      </c>
      <c r="X3" s="558">
        <f>Total!K3</f>
        <v>4</v>
      </c>
    </row>
    <row r="4" spans="1:24">
      <c r="A4" s="542" t="s">
        <v>283</v>
      </c>
      <c r="B4" s="539">
        <f t="shared" ref="B4:B30" si="0">B3+1</f>
        <v>3</v>
      </c>
      <c r="C4" s="545">
        <v>9</v>
      </c>
      <c r="D4" s="546">
        <v>2020</v>
      </c>
      <c r="E4" s="540">
        <f>'UTILITY REPORT 1'!I5</f>
        <v>10.02</v>
      </c>
      <c r="F4" s="540">
        <f>'UTILITY REPORT 1'!E5</f>
        <v>1090.28</v>
      </c>
      <c r="G4" s="541">
        <f>'UTILITY REPORT 1'!F5</f>
        <v>2188</v>
      </c>
      <c r="H4" s="540">
        <f>IF('Kit report'!F6&lt;0,"0",'Kit report'!F6)</f>
        <v>204.00000000008731</v>
      </c>
      <c r="I4" s="540">
        <f>IF('Kit report'!X6&lt;0,"0",'Kit report'!X6)</f>
        <v>39.99999999996362</v>
      </c>
      <c r="J4" s="540">
        <f>IF('Utility summery'!H8&lt;0,"0",'Utility summery'!H8)</f>
        <v>36</v>
      </c>
      <c r="K4" s="541">
        <f>IF('UTILITY REPORT 1'!H5&lt;0,"0",'UTILITY REPORT 1'!H5)</f>
        <v>79</v>
      </c>
      <c r="L4" s="540">
        <f>'Water-Meter'!K8</f>
        <v>1</v>
      </c>
      <c r="M4" s="541">
        <f>'Water-Meter'!H8</f>
        <v>0</v>
      </c>
      <c r="N4" s="541">
        <f>'Water-Meter'!Q8</f>
        <v>1</v>
      </c>
      <c r="O4" s="540" t="e">
        <f>K4*E4+H4*I4+#REF!*#REF!+J4*L4</f>
        <v>#REF!</v>
      </c>
      <c r="P4" s="547">
        <f>'Water-Meter'!E8</f>
        <v>51</v>
      </c>
      <c r="Q4" s="289">
        <f>IF('Water-Meter'!U8&lt;0,"0",'Water-Meter'!U8)</f>
        <v>83</v>
      </c>
      <c r="R4" s="289">
        <f>IF('Water-Meter'!X8&lt;0,"0",'Water-Meter'!X8)</f>
        <v>0</v>
      </c>
      <c r="S4" s="289">
        <f>IF('Water-Meter'!AA8&lt;0,"0",'Water-Meter'!AA8)</f>
        <v>0</v>
      </c>
      <c r="T4" s="289">
        <f>IF('Water-Meter'!AD8&lt;0,"0",'Water-Meter'!AD8)</f>
        <v>15</v>
      </c>
      <c r="U4" s="289">
        <f>IF('Water-Meter'!AG8&lt;0,"0",'Water-Meter'!AG8)</f>
        <v>0</v>
      </c>
      <c r="V4" s="289">
        <f>IF('Water-Meter'!AJ8&lt;0,"0",'Water-Meter'!AJ8)</f>
        <v>26</v>
      </c>
      <c r="W4" s="31">
        <f>'Water-Meter'!AN8</f>
        <v>124</v>
      </c>
      <c r="X4" s="558">
        <f>Total!K4</f>
        <v>4</v>
      </c>
    </row>
    <row r="5" spans="1:24">
      <c r="A5" s="542" t="s">
        <v>283</v>
      </c>
      <c r="B5" s="539">
        <f t="shared" si="0"/>
        <v>4</v>
      </c>
      <c r="C5" s="545">
        <v>9</v>
      </c>
      <c r="D5" s="546">
        <v>2020</v>
      </c>
      <c r="E5" s="540">
        <f>'UTILITY REPORT 1'!I6</f>
        <v>0</v>
      </c>
      <c r="F5" s="540">
        <f>'UTILITY REPORT 1'!E6</f>
        <v>868.39</v>
      </c>
      <c r="G5" s="541">
        <f>'UTILITY REPORT 1'!F6</f>
        <v>2448</v>
      </c>
      <c r="H5" s="540">
        <f>IF('Kit report'!F7&lt;0,"0",'Kit report'!F7)</f>
        <v>215.99999999991269</v>
      </c>
      <c r="I5" s="540">
        <f>IF('Kit report'!X7&lt;0,"0",'Kit report'!X7)</f>
        <v>100</v>
      </c>
      <c r="J5" s="540">
        <f>IF('Utility summery'!H9&lt;0,"0",'Utility summery'!H9)</f>
        <v>45</v>
      </c>
      <c r="K5" s="541">
        <f>IF('UTILITY REPORT 1'!H6&lt;0,"0",'UTILITY REPORT 1'!H6)</f>
        <v>92</v>
      </c>
      <c r="L5" s="540">
        <f>'Water-Meter'!K9</f>
        <v>1</v>
      </c>
      <c r="M5" s="541">
        <f>'Water-Meter'!H9</f>
        <v>0</v>
      </c>
      <c r="N5" s="541">
        <f>'Water-Meter'!Q9</f>
        <v>1</v>
      </c>
      <c r="O5" s="540" t="e">
        <f>K5*E5+H5*I5+#REF!*#REF!+J5*L5</f>
        <v>#REF!</v>
      </c>
      <c r="P5" s="547">
        <f>'Water-Meter'!E9</f>
        <v>54</v>
      </c>
      <c r="Q5" s="289">
        <f>IF('Water-Meter'!U9&lt;0,"0",'Water-Meter'!U9)</f>
        <v>77</v>
      </c>
      <c r="R5" s="289">
        <f>IF('Water-Meter'!X9&lt;0,"0",'Water-Meter'!X9)</f>
        <v>0</v>
      </c>
      <c r="S5" s="289">
        <f>IF('Water-Meter'!AA9&lt;0,"0",'Water-Meter'!AA9)</f>
        <v>25</v>
      </c>
      <c r="T5" s="289">
        <f>IF('Water-Meter'!AD9&lt;0,"0",'Water-Meter'!AD9)</f>
        <v>15</v>
      </c>
      <c r="U5" s="289">
        <f>IF('Water-Meter'!AG9&lt;0,"0",'Water-Meter'!AG9)</f>
        <v>0</v>
      </c>
      <c r="V5" s="289">
        <f>IF('Water-Meter'!AJ9&lt;0,"0",'Water-Meter'!AJ9)</f>
        <v>22</v>
      </c>
      <c r="W5" s="31">
        <f>'Water-Meter'!AN9</f>
        <v>139</v>
      </c>
      <c r="X5" s="558">
        <f>Total!K5</f>
        <v>8</v>
      </c>
    </row>
    <row r="6" spans="1:24">
      <c r="A6" s="542" t="s">
        <v>283</v>
      </c>
      <c r="B6" s="539">
        <f t="shared" si="0"/>
        <v>5</v>
      </c>
      <c r="C6" s="545">
        <v>9</v>
      </c>
      <c r="D6" s="546">
        <v>2020</v>
      </c>
      <c r="E6" s="540">
        <f>'UTILITY REPORT 1'!I7</f>
        <v>27.01</v>
      </c>
      <c r="F6" s="540">
        <f>'UTILITY REPORT 1'!E7</f>
        <v>841.98</v>
      </c>
      <c r="G6" s="541">
        <f>'UTILITY REPORT 1'!F7</f>
        <v>2152</v>
      </c>
      <c r="H6" s="540">
        <f>IF('Kit report'!F8&lt;0,"0",'Kit report'!F8)</f>
        <v>204.00000000008731</v>
      </c>
      <c r="I6" s="540">
        <f>IF('Kit report'!X8&lt;0,"0",'Kit report'!X8)</f>
        <v>40.000000000145519</v>
      </c>
      <c r="J6" s="540">
        <f>IF('Utility summery'!H10&lt;0,"0",'Utility summery'!H10)</f>
        <v>43</v>
      </c>
      <c r="K6" s="541">
        <f>IF('UTILITY REPORT 1'!H7&lt;0,"0",'UTILITY REPORT 1'!H7)</f>
        <v>1</v>
      </c>
      <c r="L6" s="540">
        <f>'Water-Meter'!K10</f>
        <v>1</v>
      </c>
      <c r="M6" s="541">
        <f>'Water-Meter'!H10</f>
        <v>0</v>
      </c>
      <c r="N6" s="541">
        <f>'Water-Meter'!Q10</f>
        <v>2</v>
      </c>
      <c r="O6" s="540" t="e">
        <f>K6*E6+H6*I6+#REF!*#REF!+J6*L6</f>
        <v>#REF!</v>
      </c>
      <c r="P6" s="547">
        <f>'Water-Meter'!E10</f>
        <v>50</v>
      </c>
      <c r="Q6" s="289">
        <f>IF('Water-Meter'!U10&lt;0,"0",'Water-Meter'!U10)</f>
        <v>20</v>
      </c>
      <c r="R6" s="289">
        <f>IF('Water-Meter'!X10&lt;0,"0",'Water-Meter'!X10)</f>
        <v>0</v>
      </c>
      <c r="S6" s="289">
        <f>IF('Water-Meter'!AA10&lt;0,"0",'Water-Meter'!AA10)</f>
        <v>43</v>
      </c>
      <c r="T6" s="289">
        <f>IF('Water-Meter'!AD10&lt;0,"0",'Water-Meter'!AD10)</f>
        <v>16</v>
      </c>
      <c r="U6" s="289">
        <f>IF('Water-Meter'!AG10&lt;0,"0",'Water-Meter'!AG10)</f>
        <v>0</v>
      </c>
      <c r="V6" s="289">
        <f>IF('Water-Meter'!AJ10&lt;0,"0",'Water-Meter'!AJ10)</f>
        <v>24</v>
      </c>
      <c r="W6" s="31">
        <f>'Water-Meter'!AN10</f>
        <v>103</v>
      </c>
      <c r="X6" s="558">
        <f>Total!K6</f>
        <v>8</v>
      </c>
    </row>
    <row r="7" spans="1:24">
      <c r="A7" s="542" t="s">
        <v>283</v>
      </c>
      <c r="B7" s="539">
        <f t="shared" si="0"/>
        <v>6</v>
      </c>
      <c r="C7" s="545">
        <v>9</v>
      </c>
      <c r="D7" s="546">
        <v>2020</v>
      </c>
      <c r="E7" s="540">
        <f>'UTILITY REPORT 1'!I8</f>
        <v>0</v>
      </c>
      <c r="F7" s="540">
        <f>'UTILITY REPORT 1'!E8</f>
        <v>938.54</v>
      </c>
      <c r="G7" s="541">
        <f>'UTILITY REPORT 1'!F8</f>
        <v>2052</v>
      </c>
      <c r="H7" s="540">
        <f>IF('Kit report'!F9&lt;0,"0",'Kit report'!F9)</f>
        <v>143.99999999986903</v>
      </c>
      <c r="I7" s="540">
        <f>IF('Kit report'!X9&lt;0,"0",'Kit report'!X9)</f>
        <v>59.999999999854481</v>
      </c>
      <c r="J7" s="540">
        <f>IF('Utility summery'!H11&lt;0,"0",'Utility summery'!H11)</f>
        <v>35</v>
      </c>
      <c r="K7" s="541">
        <f>IF('UTILITY REPORT 1'!H8&lt;0,"0",'UTILITY REPORT 1'!H8)</f>
        <v>68</v>
      </c>
      <c r="L7" s="540">
        <f>'Water-Meter'!K11</f>
        <v>1</v>
      </c>
      <c r="M7" s="541">
        <f>'Water-Meter'!H11</f>
        <v>0</v>
      </c>
      <c r="N7" s="541">
        <f>'Water-Meter'!Q11</f>
        <v>2</v>
      </c>
      <c r="O7" s="540" t="e">
        <f>K7*E7+H7*I7+#REF!*#REF!+J7*L7</f>
        <v>#REF!</v>
      </c>
      <c r="P7" s="547">
        <f>'Water-Meter'!E11</f>
        <v>52</v>
      </c>
      <c r="Q7" s="289">
        <f>IF('Water-Meter'!U11&lt;0,"0",'Water-Meter'!U11)</f>
        <v>13</v>
      </c>
      <c r="R7" s="289">
        <f>IF('Water-Meter'!X11&lt;0,"0",'Water-Meter'!X11)</f>
        <v>0</v>
      </c>
      <c r="S7" s="289">
        <f>IF('Water-Meter'!AA11&lt;0,"0",'Water-Meter'!AA11)</f>
        <v>33</v>
      </c>
      <c r="T7" s="289">
        <f>IF('Water-Meter'!AD11&lt;0,"0",'Water-Meter'!AD11)</f>
        <v>15</v>
      </c>
      <c r="U7" s="289">
        <f>IF('Water-Meter'!AG11&lt;0,"0",'Water-Meter'!AG11)</f>
        <v>0</v>
      </c>
      <c r="V7" s="289">
        <f>IF('Water-Meter'!AJ11&lt;0,"0",'Water-Meter'!AJ11)</f>
        <v>22</v>
      </c>
      <c r="W7" s="31">
        <f>'Water-Meter'!AN11</f>
        <v>83</v>
      </c>
      <c r="X7" s="558">
        <f>Total!K7</f>
        <v>7</v>
      </c>
    </row>
    <row r="8" spans="1:24">
      <c r="A8" s="542" t="s">
        <v>283</v>
      </c>
      <c r="B8" s="539">
        <f t="shared" si="0"/>
        <v>7</v>
      </c>
      <c r="C8" s="545">
        <v>9</v>
      </c>
      <c r="D8" s="546">
        <v>2020</v>
      </c>
      <c r="E8" s="540">
        <f>'UTILITY REPORT 1'!I9</f>
        <v>258.14</v>
      </c>
      <c r="F8" s="540">
        <f>'UTILITY REPORT 1'!E9</f>
        <v>910.27</v>
      </c>
      <c r="G8" s="541">
        <f>'UTILITY REPORT 1'!F9</f>
        <v>2010</v>
      </c>
      <c r="H8" s="540">
        <f>IF('Kit report'!F10&lt;0,"0",'Kit report'!F10)</f>
        <v>192.00000000004366</v>
      </c>
      <c r="I8" s="540">
        <f>IF('Kit report'!X10&lt;0,"0",'Kit report'!X10)</f>
        <v>40.000000000145519</v>
      </c>
      <c r="J8" s="540">
        <f>IF('Utility summery'!H12&lt;0,"0",'Utility summery'!H12)</f>
        <v>44</v>
      </c>
      <c r="K8" s="541">
        <f>IF('UTILITY REPORT 1'!H9&lt;0,"0",'UTILITY REPORT 1'!H9)</f>
        <v>45</v>
      </c>
      <c r="L8" s="540">
        <f>'Water-Meter'!K12</f>
        <v>1</v>
      </c>
      <c r="M8" s="541">
        <f>'Water-Meter'!H12</f>
        <v>0</v>
      </c>
      <c r="N8" s="541">
        <f>'Water-Meter'!Q12</f>
        <v>1</v>
      </c>
      <c r="O8" s="540" t="e">
        <f>K8*E8+H8*I8+#REF!*#REF!+J8*L8</f>
        <v>#REF!</v>
      </c>
      <c r="P8" s="547">
        <f>'Water-Meter'!E12</f>
        <v>58</v>
      </c>
      <c r="Q8" s="289">
        <f>IF('Water-Meter'!U12&lt;0,"0",'Water-Meter'!U12)</f>
        <v>21</v>
      </c>
      <c r="R8" s="289">
        <f>IF('Water-Meter'!X12&lt;0,"0",'Water-Meter'!X12)</f>
        <v>0</v>
      </c>
      <c r="S8" s="289">
        <f>IF('Water-Meter'!AA12&lt;0,"0",'Water-Meter'!AA12)</f>
        <v>43</v>
      </c>
      <c r="T8" s="289">
        <f>IF('Water-Meter'!AD12&lt;0,"0",'Water-Meter'!AD12)</f>
        <v>17</v>
      </c>
      <c r="U8" s="289">
        <f>IF('Water-Meter'!AG12&lt;0,"0",'Water-Meter'!AG12)</f>
        <v>0</v>
      </c>
      <c r="V8" s="289">
        <f>IF('Water-Meter'!AJ12&lt;0,"0",'Water-Meter'!AJ12)</f>
        <v>25</v>
      </c>
      <c r="W8" s="31">
        <f>'Water-Meter'!AN12</f>
        <v>106</v>
      </c>
      <c r="X8" s="558">
        <f>Total!K8</f>
        <v>3</v>
      </c>
    </row>
    <row r="9" spans="1:24">
      <c r="A9" s="542" t="s">
        <v>283</v>
      </c>
      <c r="B9" s="539">
        <f t="shared" si="0"/>
        <v>8</v>
      </c>
      <c r="C9" s="545">
        <v>9</v>
      </c>
      <c r="D9" s="546">
        <v>2020</v>
      </c>
      <c r="E9" s="540">
        <f>'UTILITY REPORT 1'!I10</f>
        <v>123.3</v>
      </c>
      <c r="F9" s="540">
        <f>'UTILITY REPORT 1'!E10</f>
        <v>948.21</v>
      </c>
      <c r="G9" s="541">
        <f>'UTILITY REPORT 1'!F10</f>
        <v>2245</v>
      </c>
      <c r="H9" s="540">
        <f>IF('Kit report'!F11&lt;0,"0",'Kit report'!F11)</f>
        <v>192.00000000004366</v>
      </c>
      <c r="I9" s="540">
        <f>IF('Kit report'!X11&lt;0,"0",'Kit report'!X11)</f>
        <v>59.999999999854481</v>
      </c>
      <c r="J9" s="540">
        <f>IF('Utility summery'!H13&lt;0,"0",'Utility summery'!H13)</f>
        <v>35</v>
      </c>
      <c r="K9" s="541">
        <f>IF('UTILITY REPORT 1'!H10&lt;0,"0",'UTILITY REPORT 1'!H10)</f>
        <v>54</v>
      </c>
      <c r="L9" s="540">
        <f>'Water-Meter'!K13</f>
        <v>1</v>
      </c>
      <c r="M9" s="541">
        <f>'Water-Meter'!H13</f>
        <v>0</v>
      </c>
      <c r="N9" s="541">
        <f>'Water-Meter'!Q13</f>
        <v>4</v>
      </c>
      <c r="O9" s="540" t="e">
        <f>K9*E9+H9*I9+#REF!*#REF!+J9*L9</f>
        <v>#REF!</v>
      </c>
      <c r="P9" s="547">
        <f>'Water-Meter'!E13</f>
        <v>46</v>
      </c>
      <c r="Q9" s="289">
        <f>IF('Water-Meter'!U13&lt;0,"0",'Water-Meter'!U13)</f>
        <v>62</v>
      </c>
      <c r="R9" s="289">
        <f>IF('Water-Meter'!X13&lt;0,"0",'Water-Meter'!X13)</f>
        <v>0</v>
      </c>
      <c r="S9" s="289">
        <f>IF('Water-Meter'!AA13&lt;0,"0",'Water-Meter'!AA13)</f>
        <v>38</v>
      </c>
      <c r="T9" s="289">
        <f>IF('Water-Meter'!AD13&lt;0,"0",'Water-Meter'!AD13)</f>
        <v>15</v>
      </c>
      <c r="U9" s="289">
        <f>IF('Water-Meter'!AG13&lt;0,"0",'Water-Meter'!AG13)</f>
        <v>0</v>
      </c>
      <c r="V9" s="289">
        <f>IF('Water-Meter'!AJ13&lt;0,"0",'Water-Meter'!AJ13)</f>
        <v>23</v>
      </c>
      <c r="W9" s="31">
        <f>'Water-Meter'!AN13</f>
        <v>138</v>
      </c>
      <c r="X9" s="558">
        <f>Total!K9</f>
        <v>7</v>
      </c>
    </row>
    <row r="10" spans="1:24">
      <c r="A10" s="542" t="s">
        <v>283</v>
      </c>
      <c r="B10" s="539">
        <f t="shared" si="0"/>
        <v>9</v>
      </c>
      <c r="C10" s="545">
        <v>9</v>
      </c>
      <c r="D10" s="546">
        <v>2020</v>
      </c>
      <c r="E10" s="540">
        <f>'UTILITY REPORT 1'!I11</f>
        <v>0</v>
      </c>
      <c r="F10" s="540">
        <f>'UTILITY REPORT 1'!E11</f>
        <v>916.32999999999993</v>
      </c>
      <c r="G10" s="541">
        <f>'UTILITY REPORT 1'!F11</f>
        <v>2101</v>
      </c>
      <c r="H10" s="540">
        <f>IF('Kit report'!F12&lt;0,"0",'Kit report'!F12)</f>
        <v>192.00000000004366</v>
      </c>
      <c r="I10" s="540">
        <f>IF('Kit report'!X12&lt;0,"0",'Kit report'!X12)</f>
        <v>0</v>
      </c>
      <c r="J10" s="540">
        <f>IF('Utility summery'!H14&lt;0,"0",'Utility summery'!H14)</f>
        <v>39</v>
      </c>
      <c r="K10" s="541">
        <f>IF('UTILITY REPORT 1'!H11&lt;0,"0",'UTILITY REPORT 1'!H11)</f>
        <v>46</v>
      </c>
      <c r="L10" s="540">
        <f>'Water-Meter'!K14</f>
        <v>2</v>
      </c>
      <c r="M10" s="541">
        <f>'Water-Meter'!H14</f>
        <v>0</v>
      </c>
      <c r="N10" s="541">
        <f>'Water-Meter'!Q14</f>
        <v>1</v>
      </c>
      <c r="O10" s="540" t="e">
        <f>K10*E10+H10*I10+#REF!*#REF!+J10*L10</f>
        <v>#REF!</v>
      </c>
      <c r="P10" s="547">
        <f>'Water-Meter'!E14</f>
        <v>52</v>
      </c>
      <c r="Q10" s="289">
        <f>IF('Water-Meter'!U14&lt;0,"0",'Water-Meter'!U14)</f>
        <v>17</v>
      </c>
      <c r="R10" s="289">
        <f>IF('Water-Meter'!X14&lt;0,"0",'Water-Meter'!X14)</f>
        <v>0</v>
      </c>
      <c r="S10" s="289">
        <f>IF('Water-Meter'!AA14&lt;0,"0",'Water-Meter'!AA14)</f>
        <v>37</v>
      </c>
      <c r="T10" s="289">
        <f>IF('Water-Meter'!AD14&lt;0,"0",'Water-Meter'!AD14)</f>
        <v>17</v>
      </c>
      <c r="U10" s="289">
        <f>IF('Water-Meter'!AG14&lt;0,"0",'Water-Meter'!AG14)</f>
        <v>0</v>
      </c>
      <c r="V10" s="289">
        <f>IF('Water-Meter'!AJ14&lt;0,"0",'Water-Meter'!AJ14)</f>
        <v>21</v>
      </c>
      <c r="W10" s="31">
        <f>'Water-Meter'!AN14</f>
        <v>92</v>
      </c>
      <c r="X10" s="558">
        <f>Total!K10</f>
        <v>5</v>
      </c>
    </row>
    <row r="11" spans="1:24">
      <c r="A11" s="542" t="s">
        <v>283</v>
      </c>
      <c r="B11" s="539">
        <f t="shared" si="0"/>
        <v>10</v>
      </c>
      <c r="C11" s="545">
        <v>9</v>
      </c>
      <c r="D11" s="546">
        <v>2020</v>
      </c>
      <c r="E11" s="540">
        <f>'UTILITY REPORT 1'!I12</f>
        <v>0</v>
      </c>
      <c r="F11" s="540">
        <f>'UTILITY REPORT 1'!E12</f>
        <v>0</v>
      </c>
      <c r="G11" s="541">
        <f>'UTILITY REPORT 1'!F12</f>
        <v>0</v>
      </c>
      <c r="H11" s="540" t="str">
        <f>IF('Kit report'!F13&lt;0,"0",'Kit report'!F13)</f>
        <v>0</v>
      </c>
      <c r="I11" s="540" t="str">
        <f>IF('Kit report'!X13&lt;0,"0",'Kit report'!X13)</f>
        <v>0</v>
      </c>
      <c r="J11" s="540" t="str">
        <f>IF('Utility summery'!H15&lt;0,"0",'Utility summery'!H15)</f>
        <v>0</v>
      </c>
      <c r="K11" s="541" t="str">
        <f>IF('UTILITY REPORT 1'!H12&lt;0,"0",'UTILITY REPORT 1'!H12)</f>
        <v>0</v>
      </c>
      <c r="L11" s="540" t="str">
        <f>'Water-Meter'!K15</f>
        <v>0</v>
      </c>
      <c r="M11" s="541" t="str">
        <f>'Water-Meter'!H15</f>
        <v>0</v>
      </c>
      <c r="N11" s="541" t="str">
        <f>'Water-Meter'!Q15</f>
        <v>0</v>
      </c>
      <c r="O11" s="540" t="e">
        <f>K11*E11+H11*I11+#REF!*#REF!+J11*L11</f>
        <v>#REF!</v>
      </c>
      <c r="P11" s="547" t="str">
        <f>'Water-Meter'!E15</f>
        <v>0</v>
      </c>
      <c r="Q11" s="289" t="str">
        <f>IF('Water-Meter'!U15&lt;0,"0",'Water-Meter'!U15)</f>
        <v>0</v>
      </c>
      <c r="R11" s="289" t="str">
        <f>IF('Water-Meter'!X15&lt;0,"0",'Water-Meter'!X15)</f>
        <v>0</v>
      </c>
      <c r="S11" s="289" t="str">
        <f>IF('Water-Meter'!AA15&lt;0,"0",'Water-Meter'!AA15)</f>
        <v>0</v>
      </c>
      <c r="T11" s="289" t="str">
        <f>IF('Water-Meter'!AD15&lt;0,"0",'Water-Meter'!AD15)</f>
        <v>0</v>
      </c>
      <c r="U11" s="289" t="str">
        <f>IF('Water-Meter'!AG15&lt;0,"0",'Water-Meter'!AG15)</f>
        <v>0</v>
      </c>
      <c r="V11" s="289" t="str">
        <f>IF('Water-Meter'!AJ15&lt;0,"0",'Water-Meter'!AJ15)</f>
        <v>0</v>
      </c>
      <c r="W11" s="31">
        <f>'Water-Meter'!AN15</f>
        <v>0</v>
      </c>
      <c r="X11" s="558">
        <f>Total!K11</f>
        <v>1</v>
      </c>
    </row>
    <row r="12" spans="1:24">
      <c r="A12" s="542" t="s">
        <v>283</v>
      </c>
      <c r="B12" s="539">
        <f t="shared" si="0"/>
        <v>11</v>
      </c>
      <c r="C12" s="545">
        <v>9</v>
      </c>
      <c r="D12" s="546">
        <v>2020</v>
      </c>
      <c r="E12" s="540">
        <f>'UTILITY REPORT 1'!I13</f>
        <v>0</v>
      </c>
      <c r="F12" s="540">
        <f>'UTILITY REPORT 1'!E13</f>
        <v>0</v>
      </c>
      <c r="G12" s="541">
        <f>'UTILITY REPORT 1'!F13</f>
        <v>0</v>
      </c>
      <c r="H12" s="540">
        <f>IF('Kit report'!F14&lt;0,"0",'Kit report'!F14)</f>
        <v>0</v>
      </c>
      <c r="I12" s="540">
        <f>IF('Kit report'!X14&lt;0,"0",'Kit report'!X14)</f>
        <v>0</v>
      </c>
      <c r="J12" s="540">
        <f>IF('Utility summery'!H16&lt;0,"0",'Utility summery'!H16)</f>
        <v>0</v>
      </c>
      <c r="K12" s="541">
        <f>IF('UTILITY REPORT 1'!H13&lt;0,"0",'UTILITY REPORT 1'!H13)</f>
        <v>0</v>
      </c>
      <c r="L12" s="540">
        <f>'Water-Meter'!K16</f>
        <v>0</v>
      </c>
      <c r="M12" s="541">
        <f>'Water-Meter'!H16</f>
        <v>0</v>
      </c>
      <c r="N12" s="541">
        <f>'Water-Meter'!Q16</f>
        <v>0</v>
      </c>
      <c r="O12" s="540" t="e">
        <f>K12*E12+H12*I12+#REF!*#REF!+J12*L12</f>
        <v>#REF!</v>
      </c>
      <c r="P12" s="547">
        <f>'Water-Meter'!E16</f>
        <v>0</v>
      </c>
      <c r="Q12" s="289">
        <f>IF('Water-Meter'!U16&lt;0,"0",'Water-Meter'!U16)</f>
        <v>0</v>
      </c>
      <c r="R12" s="289">
        <f>IF('Water-Meter'!X16&lt;0,"0",'Water-Meter'!X16)</f>
        <v>0</v>
      </c>
      <c r="S12" s="289">
        <f>IF('Water-Meter'!AA16&lt;0,"0",'Water-Meter'!AA16)</f>
        <v>0</v>
      </c>
      <c r="T12" s="289">
        <f>IF('Water-Meter'!AD16&lt;0,"0",'Water-Meter'!AD16)</f>
        <v>0</v>
      </c>
      <c r="U12" s="289">
        <f>IF('Water-Meter'!AG16&lt;0,"0",'Water-Meter'!AG16)</f>
        <v>0</v>
      </c>
      <c r="V12" s="289">
        <f>IF('Water-Meter'!AJ16&lt;0,"0",'Water-Meter'!AJ16)</f>
        <v>0</v>
      </c>
      <c r="W12" s="31">
        <f>'Water-Meter'!AN16</f>
        <v>0</v>
      </c>
      <c r="X12" s="558">
        <f>Total!K12</f>
        <v>0</v>
      </c>
    </row>
    <row r="13" spans="1:24">
      <c r="A13" s="542" t="s">
        <v>283</v>
      </c>
      <c r="B13" s="539">
        <f t="shared" si="0"/>
        <v>12</v>
      </c>
      <c r="C13" s="545">
        <v>9</v>
      </c>
      <c r="D13" s="546">
        <v>2020</v>
      </c>
      <c r="E13" s="540">
        <f>'UTILITY REPORT 1'!I14</f>
        <v>0</v>
      </c>
      <c r="F13" s="540">
        <f>'UTILITY REPORT 1'!E14</f>
        <v>0</v>
      </c>
      <c r="G13" s="541">
        <f>'UTILITY REPORT 1'!F14</f>
        <v>0</v>
      </c>
      <c r="H13" s="540">
        <f>IF('Kit report'!F15&lt;0,"0",'Kit report'!F15)</f>
        <v>0</v>
      </c>
      <c r="I13" s="540">
        <f>IF('Kit report'!X15&lt;0,"0",'Kit report'!X15)</f>
        <v>0</v>
      </c>
      <c r="J13" s="540">
        <f>IF('Utility summery'!H17&lt;0,"0",'Utility summery'!H17)</f>
        <v>0</v>
      </c>
      <c r="K13" s="541">
        <f>IF('UTILITY REPORT 1'!H14&lt;0,"0",'UTILITY REPORT 1'!H14)</f>
        <v>0</v>
      </c>
      <c r="L13" s="540">
        <f>'Water-Meter'!K17</f>
        <v>0</v>
      </c>
      <c r="M13" s="541">
        <f>'Water-Meter'!H17</f>
        <v>0</v>
      </c>
      <c r="N13" s="541">
        <f>'Water-Meter'!Q17</f>
        <v>0</v>
      </c>
      <c r="O13" s="540" t="e">
        <f>K13*E13+H13*I13+#REF!*#REF!+J13*L13</f>
        <v>#REF!</v>
      </c>
      <c r="P13" s="547">
        <f>'Water-Meter'!E17</f>
        <v>0</v>
      </c>
      <c r="Q13" s="289">
        <f>IF('Water-Meter'!U17&lt;0,"0",'Water-Meter'!U17)</f>
        <v>0</v>
      </c>
      <c r="R13" s="289">
        <f>IF('Water-Meter'!X17&lt;0,"0",'Water-Meter'!X17)</f>
        <v>0</v>
      </c>
      <c r="S13" s="289">
        <f>IF('Water-Meter'!AA17&lt;0,"0",'Water-Meter'!AA17)</f>
        <v>0</v>
      </c>
      <c r="T13" s="289">
        <f>IF('Water-Meter'!AD17&lt;0,"0",'Water-Meter'!AD17)</f>
        <v>0</v>
      </c>
      <c r="U13" s="289">
        <f>IF('Water-Meter'!AG17&lt;0,"0",'Water-Meter'!AG17)</f>
        <v>0</v>
      </c>
      <c r="V13" s="289">
        <f>IF('Water-Meter'!AJ17&lt;0,"0",'Water-Meter'!AJ17)</f>
        <v>0</v>
      </c>
      <c r="W13" s="31">
        <f>'Water-Meter'!AN17</f>
        <v>0</v>
      </c>
      <c r="X13" s="558">
        <f>Total!K13</f>
        <v>0</v>
      </c>
    </row>
    <row r="14" spans="1:24">
      <c r="A14" s="542" t="s">
        <v>283</v>
      </c>
      <c r="B14" s="539">
        <f t="shared" si="0"/>
        <v>13</v>
      </c>
      <c r="C14" s="545">
        <v>9</v>
      </c>
      <c r="D14" s="546">
        <v>2020</v>
      </c>
      <c r="E14" s="540">
        <f>'UTILITY REPORT 1'!I15</f>
        <v>0</v>
      </c>
      <c r="F14" s="540">
        <f>'UTILITY REPORT 1'!E15</f>
        <v>0</v>
      </c>
      <c r="G14" s="541">
        <f>'UTILITY REPORT 1'!F15</f>
        <v>0</v>
      </c>
      <c r="H14" s="540">
        <f>IF('Kit report'!F16&lt;0,"0",'Kit report'!F16)</f>
        <v>0</v>
      </c>
      <c r="I14" s="540">
        <f>IF('Kit report'!X16&lt;0,"0",'Kit report'!X16)</f>
        <v>0</v>
      </c>
      <c r="J14" s="540">
        <f>IF('Utility summery'!H18&lt;0,"0",'Utility summery'!H18)</f>
        <v>0</v>
      </c>
      <c r="K14" s="541">
        <f>IF('UTILITY REPORT 1'!H15&lt;0,"0",'UTILITY REPORT 1'!H15)</f>
        <v>0</v>
      </c>
      <c r="L14" s="540">
        <f>'Water-Meter'!K18</f>
        <v>0</v>
      </c>
      <c r="M14" s="541">
        <f>'Water-Meter'!H18</f>
        <v>0</v>
      </c>
      <c r="N14" s="541">
        <f>'Water-Meter'!Q18</f>
        <v>0</v>
      </c>
      <c r="O14" s="540" t="e">
        <f>K14*E14+H14*I14+#REF!*#REF!+J14*L14</f>
        <v>#REF!</v>
      </c>
      <c r="P14" s="547">
        <f>'Water-Meter'!E18</f>
        <v>0</v>
      </c>
      <c r="Q14" s="289">
        <f>IF('Water-Meter'!U18&lt;0,"0",'Water-Meter'!U18)</f>
        <v>0</v>
      </c>
      <c r="R14" s="289">
        <f>IF('Water-Meter'!X18&lt;0,"0",'Water-Meter'!X18)</f>
        <v>0</v>
      </c>
      <c r="S14" s="289">
        <f>IF('Water-Meter'!AA18&lt;0,"0",'Water-Meter'!AA18)</f>
        <v>0</v>
      </c>
      <c r="T14" s="289">
        <f>IF('Water-Meter'!AD18&lt;0,"0",'Water-Meter'!AD18)</f>
        <v>0</v>
      </c>
      <c r="U14" s="289">
        <f>IF('Water-Meter'!AG18&lt;0,"0",'Water-Meter'!AG18)</f>
        <v>0</v>
      </c>
      <c r="V14" s="289">
        <f>IF('Water-Meter'!AJ18&lt;0,"0",'Water-Meter'!AJ18)</f>
        <v>0</v>
      </c>
      <c r="W14" s="31">
        <f>'Water-Meter'!AN18</f>
        <v>0</v>
      </c>
      <c r="X14" s="558">
        <f>Total!K14</f>
        <v>0</v>
      </c>
    </row>
    <row r="15" spans="1:24">
      <c r="A15" s="542" t="s">
        <v>283</v>
      </c>
      <c r="B15" s="539">
        <f t="shared" si="0"/>
        <v>14</v>
      </c>
      <c r="C15" s="545">
        <v>9</v>
      </c>
      <c r="D15" s="546">
        <v>2020</v>
      </c>
      <c r="E15" s="540">
        <f>'UTILITY REPORT 1'!I16</f>
        <v>0</v>
      </c>
      <c r="F15" s="540">
        <f>'UTILITY REPORT 1'!E16</f>
        <v>0</v>
      </c>
      <c r="G15" s="541">
        <f>'UTILITY REPORT 1'!F16</f>
        <v>0</v>
      </c>
      <c r="H15" s="540">
        <f>IF('Kit report'!F17&lt;0,"0",'Kit report'!F17)</f>
        <v>0</v>
      </c>
      <c r="I15" s="540">
        <f>IF('Kit report'!X17&lt;0,"0",'Kit report'!X17)</f>
        <v>0</v>
      </c>
      <c r="J15" s="540">
        <f>IF('Utility summery'!H19&lt;0,"0",'Utility summery'!H19)</f>
        <v>0</v>
      </c>
      <c r="K15" s="541">
        <f>IF('UTILITY REPORT 1'!H16&lt;0,"0",'UTILITY REPORT 1'!H16)</f>
        <v>0</v>
      </c>
      <c r="L15" s="540">
        <f>'Water-Meter'!K19</f>
        <v>0</v>
      </c>
      <c r="M15" s="541">
        <f>'Water-Meter'!H19</f>
        <v>0</v>
      </c>
      <c r="N15" s="541">
        <f>'Water-Meter'!Q19</f>
        <v>0</v>
      </c>
      <c r="O15" s="540" t="e">
        <f>K15*E15+H15*I15+#REF!*#REF!+J15*L15</f>
        <v>#REF!</v>
      </c>
      <c r="P15" s="547">
        <f>'Water-Meter'!E19</f>
        <v>0</v>
      </c>
      <c r="Q15" s="289">
        <f>IF('Water-Meter'!U19&lt;0,"0",'Water-Meter'!U19)</f>
        <v>0</v>
      </c>
      <c r="R15" s="289">
        <f>IF('Water-Meter'!X19&lt;0,"0",'Water-Meter'!X19)</f>
        <v>0</v>
      </c>
      <c r="S15" s="289">
        <f>IF('Water-Meter'!AA19&lt;0,"0",'Water-Meter'!AA19)</f>
        <v>0</v>
      </c>
      <c r="T15" s="289">
        <f>IF('Water-Meter'!AD19&lt;0,"0",'Water-Meter'!AD19)</f>
        <v>0</v>
      </c>
      <c r="U15" s="289">
        <f>IF('Water-Meter'!AG19&lt;0,"0",'Water-Meter'!AG19)</f>
        <v>0</v>
      </c>
      <c r="V15" s="289">
        <f>IF('Water-Meter'!AJ19&lt;0,"0",'Water-Meter'!AJ19)</f>
        <v>0</v>
      </c>
      <c r="W15" s="31">
        <f>'Water-Meter'!AN19</f>
        <v>0</v>
      </c>
      <c r="X15" s="558">
        <f>Total!K15</f>
        <v>0</v>
      </c>
    </row>
    <row r="16" spans="1:24">
      <c r="A16" s="542" t="s">
        <v>283</v>
      </c>
      <c r="B16" s="539">
        <f t="shared" si="0"/>
        <v>15</v>
      </c>
      <c r="C16" s="545">
        <v>9</v>
      </c>
      <c r="D16" s="546">
        <v>2020</v>
      </c>
      <c r="E16" s="540">
        <f>'UTILITY REPORT 1'!I17</f>
        <v>0</v>
      </c>
      <c r="F16" s="540">
        <f>'UTILITY REPORT 1'!E17</f>
        <v>0</v>
      </c>
      <c r="G16" s="541">
        <f>'UTILITY REPORT 1'!F17</f>
        <v>0</v>
      </c>
      <c r="H16" s="540">
        <f>IF('Kit report'!F18&lt;0,"0",'Kit report'!F18)</f>
        <v>0</v>
      </c>
      <c r="I16" s="540">
        <f>IF('Kit report'!X18&lt;0,"0",'Kit report'!X18)</f>
        <v>0</v>
      </c>
      <c r="J16" s="540">
        <f>IF('Utility summery'!H20&lt;0,"0",'Utility summery'!H20)</f>
        <v>0</v>
      </c>
      <c r="K16" s="541">
        <f>IF('UTILITY REPORT 1'!H17&lt;0,"0",'UTILITY REPORT 1'!H17)</f>
        <v>0</v>
      </c>
      <c r="L16" s="540">
        <f>'Water-Meter'!K20</f>
        <v>0</v>
      </c>
      <c r="M16" s="541">
        <f>'Water-Meter'!H20</f>
        <v>0</v>
      </c>
      <c r="N16" s="541">
        <f>'Water-Meter'!Q20</f>
        <v>0</v>
      </c>
      <c r="O16" s="540" t="e">
        <f>K16*E16+H16*I16+#REF!*#REF!+J16*L16</f>
        <v>#REF!</v>
      </c>
      <c r="P16" s="547">
        <f>'Water-Meter'!E20</f>
        <v>0</v>
      </c>
      <c r="Q16" s="289">
        <f>IF('Water-Meter'!U20&lt;0,"0",'Water-Meter'!U20)</f>
        <v>0</v>
      </c>
      <c r="R16" s="289">
        <f>IF('Water-Meter'!X20&lt;0,"0",'Water-Meter'!X20)</f>
        <v>0</v>
      </c>
      <c r="S16" s="289">
        <f>IF('Water-Meter'!AA20&lt;0,"0",'Water-Meter'!AA20)</f>
        <v>0</v>
      </c>
      <c r="T16" s="289">
        <f>IF('Water-Meter'!AD20&lt;0,"0",'Water-Meter'!AD20)</f>
        <v>0</v>
      </c>
      <c r="U16" s="289">
        <f>IF('Water-Meter'!AG20&lt;0,"0",'Water-Meter'!AG20)</f>
        <v>0</v>
      </c>
      <c r="V16" s="289">
        <f>IF('Water-Meter'!AJ20&lt;0,"0",'Water-Meter'!AJ20)</f>
        <v>0</v>
      </c>
      <c r="W16" s="31">
        <f>'Water-Meter'!AN20</f>
        <v>0</v>
      </c>
      <c r="X16" s="558">
        <f>Total!K16</f>
        <v>0</v>
      </c>
    </row>
    <row r="17" spans="1:24">
      <c r="A17" s="542" t="s">
        <v>283</v>
      </c>
      <c r="B17" s="539">
        <f t="shared" si="0"/>
        <v>16</v>
      </c>
      <c r="C17" s="545">
        <v>9</v>
      </c>
      <c r="D17" s="546">
        <v>2020</v>
      </c>
      <c r="E17" s="540">
        <f>'UTILITY REPORT 1'!I18</f>
        <v>0</v>
      </c>
      <c r="F17" s="540">
        <f>'UTILITY REPORT 1'!E18</f>
        <v>0</v>
      </c>
      <c r="G17" s="541">
        <f>'UTILITY REPORT 1'!F18</f>
        <v>0</v>
      </c>
      <c r="H17" s="540">
        <f>IF('Kit report'!F19&lt;0,"0",'Kit report'!F19)</f>
        <v>0</v>
      </c>
      <c r="I17" s="540">
        <f>IF('Kit report'!X19&lt;0,"0",'Kit report'!X19)</f>
        <v>0</v>
      </c>
      <c r="J17" s="540">
        <f>IF('Utility summery'!H21&lt;0,"0",'Utility summery'!H21)</f>
        <v>0</v>
      </c>
      <c r="K17" s="541">
        <f>IF('UTILITY REPORT 1'!H18&lt;0,"0",'UTILITY REPORT 1'!H18)</f>
        <v>0</v>
      </c>
      <c r="L17" s="540">
        <f>'Water-Meter'!K21</f>
        <v>0</v>
      </c>
      <c r="M17" s="541">
        <f>'Water-Meter'!H21</f>
        <v>0</v>
      </c>
      <c r="N17" s="541">
        <f>'Water-Meter'!Q21</f>
        <v>0</v>
      </c>
      <c r="O17" s="540" t="e">
        <f>K17*E17+H17*I17+#REF!*#REF!+J17*L17</f>
        <v>#REF!</v>
      </c>
      <c r="P17" s="547">
        <f>'Water-Meter'!E21</f>
        <v>0</v>
      </c>
      <c r="Q17" s="289">
        <f>IF('Water-Meter'!U21&lt;0,"0",'Water-Meter'!U21)</f>
        <v>0</v>
      </c>
      <c r="R17" s="289">
        <f>IF('Water-Meter'!X21&lt;0,"0",'Water-Meter'!X21)</f>
        <v>0</v>
      </c>
      <c r="S17" s="289">
        <f>IF('Water-Meter'!AA21&lt;0,"0",'Water-Meter'!AA21)</f>
        <v>0</v>
      </c>
      <c r="T17" s="289">
        <f>IF('Water-Meter'!AD21&lt;0,"0",'Water-Meter'!AD21)</f>
        <v>0</v>
      </c>
      <c r="U17" s="289">
        <f>IF('Water-Meter'!AG21&lt;0,"0",'Water-Meter'!AG21)</f>
        <v>0</v>
      </c>
      <c r="V17" s="289">
        <f>IF('Water-Meter'!AJ21&lt;0,"0",'Water-Meter'!AJ21)</f>
        <v>0</v>
      </c>
      <c r="W17" s="31">
        <f>'Water-Meter'!AN21</f>
        <v>0</v>
      </c>
      <c r="X17" s="558">
        <f>Total!K17</f>
        <v>0</v>
      </c>
    </row>
    <row r="18" spans="1:24">
      <c r="A18" s="542" t="s">
        <v>283</v>
      </c>
      <c r="B18" s="539">
        <f t="shared" si="0"/>
        <v>17</v>
      </c>
      <c r="C18" s="545">
        <v>9</v>
      </c>
      <c r="D18" s="546">
        <v>2020</v>
      </c>
      <c r="E18" s="540">
        <f>'UTILITY REPORT 1'!I19</f>
        <v>0</v>
      </c>
      <c r="F18" s="540">
        <f>'UTILITY REPORT 1'!E19</f>
        <v>0</v>
      </c>
      <c r="G18" s="541">
        <f>'UTILITY REPORT 1'!F19</f>
        <v>0</v>
      </c>
      <c r="H18" s="540">
        <f>IF('Kit report'!F20&lt;0,"0",'Kit report'!F20)</f>
        <v>0</v>
      </c>
      <c r="I18" s="540">
        <f>IF('Kit report'!X20&lt;0,"0",'Kit report'!X20)</f>
        <v>0</v>
      </c>
      <c r="J18" s="540">
        <f>IF('Utility summery'!H22&lt;0,"0",'Utility summery'!H22)</f>
        <v>0</v>
      </c>
      <c r="K18" s="541">
        <f>IF('UTILITY REPORT 1'!H19&lt;0,"0",'UTILITY REPORT 1'!H19)</f>
        <v>0</v>
      </c>
      <c r="L18" s="540">
        <f>'Water-Meter'!K22</f>
        <v>0</v>
      </c>
      <c r="M18" s="541">
        <f>'Water-Meter'!H22</f>
        <v>0</v>
      </c>
      <c r="N18" s="541">
        <f>'Water-Meter'!Q22</f>
        <v>0</v>
      </c>
      <c r="O18" s="540" t="e">
        <f>K18*E18+H18*I18+#REF!*#REF!+J18*L18</f>
        <v>#REF!</v>
      </c>
      <c r="P18" s="547">
        <f>'Water-Meter'!E22</f>
        <v>0</v>
      </c>
      <c r="Q18" s="289">
        <f>IF('Water-Meter'!U22&lt;0,"0",'Water-Meter'!U22)</f>
        <v>0</v>
      </c>
      <c r="R18" s="289">
        <f>IF('Water-Meter'!X22&lt;0,"0",'Water-Meter'!X22)</f>
        <v>0</v>
      </c>
      <c r="S18" s="289">
        <f>IF('Water-Meter'!AA22&lt;0,"0",'Water-Meter'!AA22)</f>
        <v>0</v>
      </c>
      <c r="T18" s="289">
        <f>IF('Water-Meter'!AD22&lt;0,"0",'Water-Meter'!AD22)</f>
        <v>0</v>
      </c>
      <c r="U18" s="289">
        <f>IF('Water-Meter'!AG22&lt;0,"0",'Water-Meter'!AG22)</f>
        <v>0</v>
      </c>
      <c r="V18" s="289">
        <f>IF('Water-Meter'!AJ22&lt;0,"0",'Water-Meter'!AJ22)</f>
        <v>0</v>
      </c>
      <c r="W18" s="31">
        <f>'Water-Meter'!AN22</f>
        <v>0</v>
      </c>
      <c r="X18" s="558">
        <f>Total!K18</f>
        <v>0</v>
      </c>
    </row>
    <row r="19" spans="1:24">
      <c r="A19" s="542" t="s">
        <v>283</v>
      </c>
      <c r="B19" s="539">
        <f t="shared" si="0"/>
        <v>18</v>
      </c>
      <c r="C19" s="545">
        <v>9</v>
      </c>
      <c r="D19" s="546">
        <v>2020</v>
      </c>
      <c r="E19" s="540">
        <f>'UTILITY REPORT 1'!I20</f>
        <v>0</v>
      </c>
      <c r="F19" s="540">
        <f>'UTILITY REPORT 1'!E20</f>
        <v>0</v>
      </c>
      <c r="G19" s="541">
        <f>'UTILITY REPORT 1'!F20</f>
        <v>0</v>
      </c>
      <c r="H19" s="540">
        <f>IF('Kit report'!F21&lt;0,"0",'Kit report'!F21)</f>
        <v>0</v>
      </c>
      <c r="I19" s="540">
        <f>IF('Kit report'!X21&lt;0,"0",'Kit report'!X21)</f>
        <v>0</v>
      </c>
      <c r="J19" s="540">
        <f>IF('Utility summery'!H23&lt;0,"0",'Utility summery'!H23)</f>
        <v>0</v>
      </c>
      <c r="K19" s="541">
        <f>IF('UTILITY REPORT 1'!H20&lt;0,"0",'UTILITY REPORT 1'!H20)</f>
        <v>0</v>
      </c>
      <c r="L19" s="540">
        <f>'Water-Meter'!K23</f>
        <v>0</v>
      </c>
      <c r="M19" s="541">
        <f>'Water-Meter'!H23</f>
        <v>0</v>
      </c>
      <c r="N19" s="541">
        <f>'Water-Meter'!Q23</f>
        <v>0</v>
      </c>
      <c r="O19" s="540" t="e">
        <f>K19*E19+H19*I19+#REF!*#REF!+J19*L19</f>
        <v>#REF!</v>
      </c>
      <c r="P19" s="547">
        <f>'Water-Meter'!E23</f>
        <v>0</v>
      </c>
      <c r="Q19" s="289">
        <f>IF('Water-Meter'!U23&lt;0,"0",'Water-Meter'!U23)</f>
        <v>0</v>
      </c>
      <c r="R19" s="289">
        <f>IF('Water-Meter'!X23&lt;0,"0",'Water-Meter'!X23)</f>
        <v>0</v>
      </c>
      <c r="S19" s="289">
        <f>IF('Water-Meter'!AA23&lt;0,"0",'Water-Meter'!AA23)</f>
        <v>0</v>
      </c>
      <c r="T19" s="289">
        <f>IF('Water-Meter'!AD23&lt;0,"0",'Water-Meter'!AD23)</f>
        <v>0</v>
      </c>
      <c r="U19" s="289">
        <f>IF('Water-Meter'!AG23&lt;0,"0",'Water-Meter'!AG23)</f>
        <v>0</v>
      </c>
      <c r="V19" s="289">
        <f>IF('Water-Meter'!AJ23&lt;0,"0",'Water-Meter'!AJ23)</f>
        <v>0</v>
      </c>
      <c r="W19" s="31">
        <f>'Water-Meter'!AN23</f>
        <v>0</v>
      </c>
      <c r="X19" s="558">
        <f>Total!K19</f>
        <v>0</v>
      </c>
    </row>
    <row r="20" spans="1:24">
      <c r="A20" s="542" t="s">
        <v>283</v>
      </c>
      <c r="B20" s="539">
        <f t="shared" si="0"/>
        <v>19</v>
      </c>
      <c r="C20" s="545">
        <v>9</v>
      </c>
      <c r="D20" s="546">
        <v>2020</v>
      </c>
      <c r="E20" s="540">
        <f>'UTILITY REPORT 1'!I21</f>
        <v>0</v>
      </c>
      <c r="F20" s="540">
        <f>'UTILITY REPORT 1'!E21</f>
        <v>0</v>
      </c>
      <c r="G20" s="541">
        <f>'UTILITY REPORT 1'!F21</f>
        <v>0</v>
      </c>
      <c r="H20" s="540">
        <f>IF('Kit report'!F22&lt;0,"0",'Kit report'!F22)</f>
        <v>0</v>
      </c>
      <c r="I20" s="540">
        <f>IF('Kit report'!X22&lt;0,"0",'Kit report'!X22)</f>
        <v>0</v>
      </c>
      <c r="J20" s="540">
        <f>IF('Utility summery'!H24&lt;0,"0",'Utility summery'!H24)</f>
        <v>0</v>
      </c>
      <c r="K20" s="541">
        <f>IF('UTILITY REPORT 1'!H21&lt;0,"0",'UTILITY REPORT 1'!H21)</f>
        <v>0</v>
      </c>
      <c r="L20" s="540">
        <f>'Water-Meter'!K24</f>
        <v>0</v>
      </c>
      <c r="M20" s="541">
        <f>'Water-Meter'!H24</f>
        <v>0</v>
      </c>
      <c r="N20" s="541">
        <f>'Water-Meter'!Q24</f>
        <v>0</v>
      </c>
      <c r="O20" s="540" t="e">
        <f>K20*E20+H20*I20+#REF!*#REF!+J20*L20</f>
        <v>#REF!</v>
      </c>
      <c r="P20" s="547">
        <f>'Water-Meter'!E24</f>
        <v>0</v>
      </c>
      <c r="Q20" s="289">
        <f>IF('Water-Meter'!U24&lt;0,"0",'Water-Meter'!U24)</f>
        <v>0</v>
      </c>
      <c r="R20" s="289">
        <f>IF('Water-Meter'!X24&lt;0,"0",'Water-Meter'!X24)</f>
        <v>0</v>
      </c>
      <c r="S20" s="289">
        <f>IF('Water-Meter'!AA24&lt;0,"0",'Water-Meter'!AA24)</f>
        <v>0</v>
      </c>
      <c r="T20" s="289">
        <f>IF('Water-Meter'!AD24&lt;0,"0",'Water-Meter'!AD24)</f>
        <v>0</v>
      </c>
      <c r="U20" s="289">
        <f>IF('Water-Meter'!AG24&lt;0,"0",'Water-Meter'!AG24)</f>
        <v>0</v>
      </c>
      <c r="V20" s="289">
        <f>IF('Water-Meter'!AJ24&lt;0,"0",'Water-Meter'!AJ24)</f>
        <v>0</v>
      </c>
      <c r="W20" s="31">
        <f>'Water-Meter'!AN24</f>
        <v>0</v>
      </c>
      <c r="X20" s="558">
        <f>Total!K20</f>
        <v>0</v>
      </c>
    </row>
    <row r="21" spans="1:24">
      <c r="A21" s="542" t="s">
        <v>283</v>
      </c>
      <c r="B21" s="539">
        <f t="shared" si="0"/>
        <v>20</v>
      </c>
      <c r="C21" s="545">
        <v>9</v>
      </c>
      <c r="D21" s="546">
        <v>2020</v>
      </c>
      <c r="E21" s="540">
        <f>'UTILITY REPORT 1'!I22</f>
        <v>0</v>
      </c>
      <c r="F21" s="540">
        <f>'UTILITY REPORT 1'!E22</f>
        <v>0</v>
      </c>
      <c r="G21" s="541">
        <f>'UTILITY REPORT 1'!F22</f>
        <v>0</v>
      </c>
      <c r="H21" s="540">
        <f>IF('Kit report'!F23&lt;0,"0",'Kit report'!F23)</f>
        <v>0</v>
      </c>
      <c r="I21" s="540">
        <f>IF('Kit report'!X23&lt;0,"0",'Kit report'!X23)</f>
        <v>0</v>
      </c>
      <c r="J21" s="540">
        <f>IF('Utility summery'!H25&lt;0,"0",'Utility summery'!H25)</f>
        <v>0</v>
      </c>
      <c r="K21" s="541">
        <f>IF('UTILITY REPORT 1'!H22&lt;0,"0",'UTILITY REPORT 1'!H22)</f>
        <v>0</v>
      </c>
      <c r="L21" s="540">
        <f>'Water-Meter'!K25</f>
        <v>0</v>
      </c>
      <c r="M21" s="541">
        <f>'Water-Meter'!H25</f>
        <v>0</v>
      </c>
      <c r="N21" s="541">
        <f>'Water-Meter'!Q25</f>
        <v>0</v>
      </c>
      <c r="O21" s="540" t="e">
        <f>K21*E21+H21*I21+#REF!*#REF!+J21*L21</f>
        <v>#REF!</v>
      </c>
      <c r="P21" s="547">
        <f>'Water-Meter'!E25</f>
        <v>0</v>
      </c>
      <c r="Q21" s="289">
        <f>IF('Water-Meter'!U25&lt;0,"0",'Water-Meter'!U25)</f>
        <v>0</v>
      </c>
      <c r="R21" s="289">
        <f>IF('Water-Meter'!X25&lt;0,"0",'Water-Meter'!X25)</f>
        <v>0</v>
      </c>
      <c r="S21" s="289">
        <f>IF('Water-Meter'!AA25&lt;0,"0",'Water-Meter'!AA25)</f>
        <v>0</v>
      </c>
      <c r="T21" s="289">
        <f>IF('Water-Meter'!AD25&lt;0,"0",'Water-Meter'!AD25)</f>
        <v>0</v>
      </c>
      <c r="U21" s="289">
        <f>IF('Water-Meter'!AG25&lt;0,"0",'Water-Meter'!AG25)</f>
        <v>0</v>
      </c>
      <c r="V21" s="289">
        <f>IF('Water-Meter'!AJ25&lt;0,"0",'Water-Meter'!AJ25)</f>
        <v>0</v>
      </c>
      <c r="W21" s="31">
        <f>'Water-Meter'!AN25</f>
        <v>0</v>
      </c>
      <c r="X21" s="558">
        <f>Total!K21</f>
        <v>0</v>
      </c>
    </row>
    <row r="22" spans="1:24">
      <c r="A22" s="542" t="s">
        <v>283</v>
      </c>
      <c r="B22" s="539">
        <f t="shared" si="0"/>
        <v>21</v>
      </c>
      <c r="C22" s="545">
        <v>9</v>
      </c>
      <c r="D22" s="546">
        <v>2020</v>
      </c>
      <c r="E22" s="540">
        <f>'UTILITY REPORT 1'!I23</f>
        <v>0</v>
      </c>
      <c r="F22" s="540">
        <f>'UTILITY REPORT 1'!E23</f>
        <v>0</v>
      </c>
      <c r="G22" s="541">
        <f>'UTILITY REPORT 1'!F23</f>
        <v>0</v>
      </c>
      <c r="H22" s="540">
        <f>IF('Kit report'!F24&lt;0,"0",'Kit report'!F24)</f>
        <v>0</v>
      </c>
      <c r="I22" s="540">
        <f>IF('Kit report'!X24&lt;0,"0",'Kit report'!X24)</f>
        <v>0</v>
      </c>
      <c r="J22" s="540">
        <f>IF('Utility summery'!H26&lt;0,"0",'Utility summery'!H26)</f>
        <v>0</v>
      </c>
      <c r="K22" s="541">
        <f>IF('UTILITY REPORT 1'!H23&lt;0,"0",'UTILITY REPORT 1'!H23)</f>
        <v>0</v>
      </c>
      <c r="L22" s="540">
        <f>'Water-Meter'!K26</f>
        <v>0</v>
      </c>
      <c r="M22" s="541">
        <f>'Water-Meter'!H26</f>
        <v>0</v>
      </c>
      <c r="N22" s="541">
        <f>'Water-Meter'!Q26</f>
        <v>0</v>
      </c>
      <c r="O22" s="540" t="e">
        <f>K22*E22+H22*I22+#REF!*#REF!+J22*L22</f>
        <v>#REF!</v>
      </c>
      <c r="P22" s="547">
        <f>'Water-Meter'!E26</f>
        <v>0</v>
      </c>
      <c r="Q22" s="289">
        <f>IF('Water-Meter'!U26&lt;0,"0",'Water-Meter'!U26)</f>
        <v>0</v>
      </c>
      <c r="R22" s="289">
        <f>IF('Water-Meter'!X26&lt;0,"0",'Water-Meter'!X26)</f>
        <v>0</v>
      </c>
      <c r="S22" s="289">
        <f>IF('Water-Meter'!AA26&lt;0,"0",'Water-Meter'!AA26)</f>
        <v>0</v>
      </c>
      <c r="T22" s="289">
        <f>IF('Water-Meter'!AD26&lt;0,"0",'Water-Meter'!AD26)</f>
        <v>0</v>
      </c>
      <c r="U22" s="289">
        <f>IF('Water-Meter'!AG26&lt;0,"0",'Water-Meter'!AG26)</f>
        <v>0</v>
      </c>
      <c r="V22" s="289">
        <f>IF('Water-Meter'!AJ26&lt;0,"0",'Water-Meter'!AJ26)</f>
        <v>0</v>
      </c>
      <c r="W22" s="31">
        <f>'Water-Meter'!AN26</f>
        <v>0</v>
      </c>
      <c r="X22" s="558">
        <f>Total!K22</f>
        <v>0</v>
      </c>
    </row>
    <row r="23" spans="1:24">
      <c r="A23" s="542" t="s">
        <v>283</v>
      </c>
      <c r="B23" s="539">
        <f t="shared" si="0"/>
        <v>22</v>
      </c>
      <c r="C23" s="545">
        <v>9</v>
      </c>
      <c r="D23" s="546">
        <v>2020</v>
      </c>
      <c r="E23" s="540">
        <f>'UTILITY REPORT 1'!I24</f>
        <v>0</v>
      </c>
      <c r="F23" s="540">
        <f>'UTILITY REPORT 1'!E24</f>
        <v>0</v>
      </c>
      <c r="G23" s="541">
        <f>'UTILITY REPORT 1'!F24</f>
        <v>0</v>
      </c>
      <c r="H23" s="540">
        <f>IF('Kit report'!F25&lt;0,"0",'Kit report'!F25)</f>
        <v>0</v>
      </c>
      <c r="I23" s="540">
        <f>IF('Kit report'!X25&lt;0,"0",'Kit report'!X25)</f>
        <v>0</v>
      </c>
      <c r="J23" s="540">
        <f>IF('Utility summery'!H27&lt;0,"0",'Utility summery'!H27)</f>
        <v>0</v>
      </c>
      <c r="K23" s="541">
        <f>IF('UTILITY REPORT 1'!H24&lt;0,"0",'UTILITY REPORT 1'!H24)</f>
        <v>0</v>
      </c>
      <c r="L23" s="540">
        <f>'Water-Meter'!K27</f>
        <v>0</v>
      </c>
      <c r="M23" s="541">
        <f>'Water-Meter'!H27</f>
        <v>0</v>
      </c>
      <c r="N23" s="541">
        <f>'Water-Meter'!Q27</f>
        <v>0</v>
      </c>
      <c r="O23" s="540" t="e">
        <f>K23*E23+H23*I23+#REF!*#REF!+J23*L23</f>
        <v>#REF!</v>
      </c>
      <c r="P23" s="547">
        <f>'Water-Meter'!E27</f>
        <v>0</v>
      </c>
      <c r="Q23" s="289">
        <f>IF('Water-Meter'!U27&lt;0,"0",'Water-Meter'!U27)</f>
        <v>0</v>
      </c>
      <c r="R23" s="289">
        <f>IF('Water-Meter'!X27&lt;0,"0",'Water-Meter'!X27)</f>
        <v>0</v>
      </c>
      <c r="S23" s="289">
        <f>IF('Water-Meter'!AA27&lt;0,"0",'Water-Meter'!AA27)</f>
        <v>0</v>
      </c>
      <c r="T23" s="289">
        <f>IF('Water-Meter'!AD27&lt;0,"0",'Water-Meter'!AD27)</f>
        <v>0</v>
      </c>
      <c r="U23" s="289">
        <f>IF('Water-Meter'!AG27&lt;0,"0",'Water-Meter'!AG27)</f>
        <v>0</v>
      </c>
      <c r="V23" s="289">
        <f>IF('Water-Meter'!AJ27&lt;0,"0",'Water-Meter'!AJ27)</f>
        <v>0</v>
      </c>
      <c r="W23" s="31">
        <f>'Water-Meter'!AN27</f>
        <v>0</v>
      </c>
      <c r="X23" s="558">
        <f>Total!K23</f>
        <v>0</v>
      </c>
    </row>
    <row r="24" spans="1:24">
      <c r="A24" s="542" t="s">
        <v>283</v>
      </c>
      <c r="B24" s="539">
        <f t="shared" si="0"/>
        <v>23</v>
      </c>
      <c r="C24" s="545">
        <v>9</v>
      </c>
      <c r="D24" s="546">
        <v>2020</v>
      </c>
      <c r="E24" s="540">
        <f>'UTILITY REPORT 1'!I25</f>
        <v>0</v>
      </c>
      <c r="F24" s="540">
        <f>'UTILITY REPORT 1'!E25</f>
        <v>0</v>
      </c>
      <c r="G24" s="541">
        <f>'UTILITY REPORT 1'!F25</f>
        <v>0</v>
      </c>
      <c r="H24" s="540">
        <f>IF('Kit report'!F26&lt;0,"0",'Kit report'!F26)</f>
        <v>0</v>
      </c>
      <c r="I24" s="540">
        <f>IF('Kit report'!X26&lt;0,"0",'Kit report'!X26)</f>
        <v>0</v>
      </c>
      <c r="J24" s="540">
        <f>IF('Utility summery'!H28&lt;0,"0",'Utility summery'!H28)</f>
        <v>0</v>
      </c>
      <c r="K24" s="541">
        <f>IF('UTILITY REPORT 1'!H25&lt;0,"0",'UTILITY REPORT 1'!H25)</f>
        <v>0</v>
      </c>
      <c r="L24" s="540">
        <f>'Water-Meter'!K28</f>
        <v>0</v>
      </c>
      <c r="M24" s="541">
        <f>'Water-Meter'!H28</f>
        <v>0</v>
      </c>
      <c r="N24" s="541">
        <f>'Water-Meter'!Q28</f>
        <v>0</v>
      </c>
      <c r="O24" s="540" t="e">
        <f>K24*E24+H24*I24+#REF!*#REF!+J24*L24</f>
        <v>#REF!</v>
      </c>
      <c r="P24" s="547">
        <f>'Water-Meter'!E28</f>
        <v>0</v>
      </c>
      <c r="Q24" s="289">
        <f>IF('Water-Meter'!U28&lt;0,"0",'Water-Meter'!U28)</f>
        <v>0</v>
      </c>
      <c r="R24" s="289">
        <f>IF('Water-Meter'!X28&lt;0,"0",'Water-Meter'!X28)</f>
        <v>0</v>
      </c>
      <c r="S24" s="289">
        <f>IF('Water-Meter'!AA28&lt;0,"0",'Water-Meter'!AA28)</f>
        <v>0</v>
      </c>
      <c r="T24" s="289">
        <f>IF('Water-Meter'!AD28&lt;0,"0",'Water-Meter'!AD28)</f>
        <v>0</v>
      </c>
      <c r="U24" s="289">
        <f>IF('Water-Meter'!AG28&lt;0,"0",'Water-Meter'!AG28)</f>
        <v>0</v>
      </c>
      <c r="V24" s="289">
        <f>IF('Water-Meter'!AJ28&lt;0,"0",'Water-Meter'!AJ28)</f>
        <v>0</v>
      </c>
      <c r="W24" s="31">
        <f>'Water-Meter'!AN28</f>
        <v>0</v>
      </c>
      <c r="X24" s="558">
        <f>Total!K24</f>
        <v>0</v>
      </c>
    </row>
    <row r="25" spans="1:24">
      <c r="A25" s="542" t="s">
        <v>283</v>
      </c>
      <c r="B25" s="539">
        <f t="shared" si="0"/>
        <v>24</v>
      </c>
      <c r="C25" s="545">
        <v>9</v>
      </c>
      <c r="D25" s="546">
        <v>2020</v>
      </c>
      <c r="E25" s="540">
        <f>'UTILITY REPORT 1'!I26</f>
        <v>0</v>
      </c>
      <c r="F25" s="540">
        <f>'UTILITY REPORT 1'!E26</f>
        <v>0</v>
      </c>
      <c r="G25" s="541">
        <f>'UTILITY REPORT 1'!F26</f>
        <v>0</v>
      </c>
      <c r="H25" s="540">
        <f>IF('Kit report'!F27&lt;0,"0",'Kit report'!F27)</f>
        <v>0</v>
      </c>
      <c r="I25" s="540">
        <f>IF('Kit report'!X27&lt;0,"0",'Kit report'!X27)</f>
        <v>0</v>
      </c>
      <c r="J25" s="540">
        <f>IF('Utility summery'!H29&lt;0,"0",'Utility summery'!H29)</f>
        <v>0</v>
      </c>
      <c r="K25" s="541">
        <f>IF('UTILITY REPORT 1'!H26&lt;0,"0",'UTILITY REPORT 1'!H26)</f>
        <v>0</v>
      </c>
      <c r="L25" s="540">
        <f>'Water-Meter'!K29</f>
        <v>0</v>
      </c>
      <c r="M25" s="541">
        <f>'Water-Meter'!H29</f>
        <v>0</v>
      </c>
      <c r="N25" s="541">
        <f>'Water-Meter'!Q29</f>
        <v>0</v>
      </c>
      <c r="O25" s="540" t="e">
        <f>K25*E25+H25*I25+#REF!*#REF!+J25*L25</f>
        <v>#REF!</v>
      </c>
      <c r="P25" s="547">
        <f>'Water-Meter'!E29</f>
        <v>0</v>
      </c>
      <c r="Q25" s="289">
        <f>IF('Water-Meter'!U29&lt;0,"0",'Water-Meter'!U29)</f>
        <v>0</v>
      </c>
      <c r="R25" s="289">
        <f>IF('Water-Meter'!X29&lt;0,"0",'Water-Meter'!X29)</f>
        <v>0</v>
      </c>
      <c r="S25" s="289">
        <f>IF('Water-Meter'!AA29&lt;0,"0",'Water-Meter'!AA29)</f>
        <v>0</v>
      </c>
      <c r="T25" s="289">
        <f>IF('Water-Meter'!AD29&lt;0,"0",'Water-Meter'!AD29)</f>
        <v>0</v>
      </c>
      <c r="U25" s="289">
        <f>IF('Water-Meter'!AG29&lt;0,"0",'Water-Meter'!AG29)</f>
        <v>0</v>
      </c>
      <c r="V25" s="289">
        <f>IF('Water-Meter'!AJ29&lt;0,"0",'Water-Meter'!AJ29)</f>
        <v>0</v>
      </c>
      <c r="W25" s="31">
        <f>'Water-Meter'!AN29</f>
        <v>0</v>
      </c>
      <c r="X25" s="558">
        <f>Total!K25</f>
        <v>0</v>
      </c>
    </row>
    <row r="26" spans="1:24">
      <c r="A26" s="542" t="s">
        <v>283</v>
      </c>
      <c r="B26" s="539">
        <f>B25+1</f>
        <v>25</v>
      </c>
      <c r="C26" s="545">
        <v>9</v>
      </c>
      <c r="D26" s="546">
        <v>2020</v>
      </c>
      <c r="E26" s="540">
        <f>'UTILITY REPORT 1'!I27</f>
        <v>0</v>
      </c>
      <c r="F26" s="540">
        <f>'UTILITY REPORT 1'!E27</f>
        <v>0</v>
      </c>
      <c r="G26" s="541">
        <f>'UTILITY REPORT 1'!F27</f>
        <v>0</v>
      </c>
      <c r="H26" s="540">
        <f>IF('Kit report'!F28&lt;0,"0",'Kit report'!F28)</f>
        <v>0</v>
      </c>
      <c r="I26" s="540">
        <f>IF('Kit report'!X28&lt;0,"0",'Kit report'!X28)</f>
        <v>0</v>
      </c>
      <c r="J26" s="540">
        <f>IF('Utility summery'!H30&lt;0,"0",'Utility summery'!H30)</f>
        <v>0</v>
      </c>
      <c r="K26" s="541">
        <f>IF('UTILITY REPORT 1'!H27&lt;0,"0",'UTILITY REPORT 1'!H27)</f>
        <v>0</v>
      </c>
      <c r="L26" s="540">
        <f>'Water-Meter'!K30</f>
        <v>0</v>
      </c>
      <c r="M26" s="541">
        <f>'Water-Meter'!H30</f>
        <v>0</v>
      </c>
      <c r="N26" s="541">
        <f>'Water-Meter'!Q30</f>
        <v>0</v>
      </c>
      <c r="O26" s="540" t="e">
        <f>K26*E26+H26*I26+#REF!*#REF!+J26*L26</f>
        <v>#REF!</v>
      </c>
      <c r="P26" s="547">
        <f>'Water-Meter'!E30</f>
        <v>0</v>
      </c>
      <c r="Q26" s="289">
        <f>IF('Water-Meter'!U30&lt;0,"0",'Water-Meter'!U30)</f>
        <v>0</v>
      </c>
      <c r="R26" s="289">
        <f>IF('Water-Meter'!X30&lt;0,"0",'Water-Meter'!X30)</f>
        <v>0</v>
      </c>
      <c r="S26" s="289">
        <f>IF('Water-Meter'!AA30&lt;0,"0",'Water-Meter'!AA30)</f>
        <v>0</v>
      </c>
      <c r="T26" s="289">
        <f>IF('Water-Meter'!AD30&lt;0,"0",'Water-Meter'!AD30)</f>
        <v>0</v>
      </c>
      <c r="U26" s="289">
        <f>IF('Water-Meter'!AG30&lt;0,"0",'Water-Meter'!AG30)</f>
        <v>0</v>
      </c>
      <c r="V26" s="289">
        <f>IF('Water-Meter'!AJ30&lt;0,"0",'Water-Meter'!AJ30)</f>
        <v>0</v>
      </c>
      <c r="W26" s="31">
        <f>'Water-Meter'!AN30</f>
        <v>0</v>
      </c>
      <c r="X26" s="558">
        <f>Total!K26</f>
        <v>0</v>
      </c>
    </row>
    <row r="27" spans="1:24">
      <c r="A27" s="542" t="s">
        <v>283</v>
      </c>
      <c r="B27" s="539">
        <f t="shared" si="0"/>
        <v>26</v>
      </c>
      <c r="C27" s="545">
        <v>9</v>
      </c>
      <c r="D27" s="546">
        <v>2020</v>
      </c>
      <c r="E27" s="540">
        <f>'UTILITY REPORT 1'!I28</f>
        <v>0</v>
      </c>
      <c r="F27" s="540">
        <f>'UTILITY REPORT 1'!E28</f>
        <v>0</v>
      </c>
      <c r="G27" s="541">
        <f>'UTILITY REPORT 1'!F28</f>
        <v>0</v>
      </c>
      <c r="H27" s="540">
        <f>IF('Kit report'!F29&lt;0,"0",'Kit report'!F29)</f>
        <v>0</v>
      </c>
      <c r="I27" s="540">
        <f>IF('Kit report'!X29&lt;0,"0",'Kit report'!X29)</f>
        <v>0</v>
      </c>
      <c r="J27" s="540">
        <f>IF('Utility summery'!H31&lt;0,"0",'Utility summery'!H31)</f>
        <v>0</v>
      </c>
      <c r="K27" s="541">
        <f>IF('UTILITY REPORT 1'!H28&lt;0,"0",'UTILITY REPORT 1'!H28)</f>
        <v>0</v>
      </c>
      <c r="L27" s="540">
        <f>'Water-Meter'!K31</f>
        <v>0</v>
      </c>
      <c r="M27" s="541">
        <f>'Water-Meter'!H31</f>
        <v>0</v>
      </c>
      <c r="N27" s="541">
        <f>'Water-Meter'!Q31</f>
        <v>0</v>
      </c>
      <c r="O27" s="540" t="e">
        <f>K27*E27+H27*I27+#REF!*#REF!+J27*L27</f>
        <v>#REF!</v>
      </c>
      <c r="P27" s="547">
        <f>'Water-Meter'!E31</f>
        <v>0</v>
      </c>
      <c r="Q27" s="289">
        <f>IF('Water-Meter'!U31&lt;0,"0",'Water-Meter'!U31)</f>
        <v>0</v>
      </c>
      <c r="R27" s="289">
        <f>IF('Water-Meter'!X31&lt;0,"0",'Water-Meter'!X31)</f>
        <v>0</v>
      </c>
      <c r="S27" s="289">
        <f>IF('Water-Meter'!AA31&lt;0,"0",'Water-Meter'!AA31)</f>
        <v>0</v>
      </c>
      <c r="T27" s="289">
        <f>IF('Water-Meter'!AD31&lt;0,"0",'Water-Meter'!AD31)</f>
        <v>0</v>
      </c>
      <c r="U27" s="289">
        <f>IF('Water-Meter'!AG31&lt;0,"0",'Water-Meter'!AG31)</f>
        <v>0</v>
      </c>
      <c r="V27" s="289">
        <f>IF('Water-Meter'!AJ31&lt;0,"0",'Water-Meter'!AJ31)</f>
        <v>0</v>
      </c>
      <c r="W27" s="31">
        <f>'Water-Meter'!AN31</f>
        <v>0</v>
      </c>
      <c r="X27" s="558">
        <f>Total!K27</f>
        <v>0</v>
      </c>
    </row>
    <row r="28" spans="1:24">
      <c r="A28" s="542" t="s">
        <v>283</v>
      </c>
      <c r="B28" s="539">
        <f t="shared" si="0"/>
        <v>27</v>
      </c>
      <c r="C28" s="545">
        <v>9</v>
      </c>
      <c r="D28" s="546">
        <v>2020</v>
      </c>
      <c r="E28" s="540">
        <f>'UTILITY REPORT 1'!I29</f>
        <v>0</v>
      </c>
      <c r="F28" s="540">
        <f>'UTILITY REPORT 1'!E29</f>
        <v>0</v>
      </c>
      <c r="G28" s="541">
        <f>'UTILITY REPORT 1'!F29</f>
        <v>0</v>
      </c>
      <c r="H28" s="540">
        <f>IF('Kit report'!F30&lt;0,"0",'Kit report'!F30)</f>
        <v>0</v>
      </c>
      <c r="I28" s="540">
        <f>IF('Kit report'!X30&lt;0,"0",'Kit report'!X30)</f>
        <v>0</v>
      </c>
      <c r="J28" s="540">
        <f>IF('Utility summery'!H32&lt;0,"0",'Utility summery'!H32)</f>
        <v>0</v>
      </c>
      <c r="K28" s="541">
        <f>IF('UTILITY REPORT 1'!H29&lt;0,"0",'UTILITY REPORT 1'!H29)</f>
        <v>0</v>
      </c>
      <c r="L28" s="540">
        <f>'Water-Meter'!K32</f>
        <v>0</v>
      </c>
      <c r="M28" s="541">
        <f>'Water-Meter'!H32</f>
        <v>0</v>
      </c>
      <c r="N28" s="541">
        <f>'Water-Meter'!Q32</f>
        <v>0</v>
      </c>
      <c r="O28" s="540" t="e">
        <f>K28*E28+H28*I28+#REF!*#REF!+J28*L28</f>
        <v>#REF!</v>
      </c>
      <c r="P28" s="547">
        <f>'Water-Meter'!E32</f>
        <v>0</v>
      </c>
      <c r="Q28" s="289">
        <f>IF('Water-Meter'!U32&lt;0,"0",'Water-Meter'!U32)</f>
        <v>0</v>
      </c>
      <c r="R28" s="289">
        <f>IF('Water-Meter'!X32&lt;0,"0",'Water-Meter'!X32)</f>
        <v>0</v>
      </c>
      <c r="S28" s="289">
        <f>IF('Water-Meter'!AA32&lt;0,"0",'Water-Meter'!AA32)</f>
        <v>0</v>
      </c>
      <c r="T28" s="289">
        <f>IF('Water-Meter'!AD32&lt;0,"0",'Water-Meter'!AD32)</f>
        <v>0</v>
      </c>
      <c r="U28" s="289">
        <f>IF('Water-Meter'!AG32&lt;0,"0",'Water-Meter'!AG32)</f>
        <v>0</v>
      </c>
      <c r="V28" s="289">
        <f>IF('Water-Meter'!AJ32&lt;0,"0",'Water-Meter'!AJ32)</f>
        <v>0</v>
      </c>
      <c r="W28" s="31">
        <f>'Water-Meter'!AN32</f>
        <v>0</v>
      </c>
      <c r="X28" s="558">
        <f>Total!K28</f>
        <v>0</v>
      </c>
    </row>
    <row r="29" spans="1:24">
      <c r="A29" s="542" t="s">
        <v>283</v>
      </c>
      <c r="B29" s="539">
        <f t="shared" si="0"/>
        <v>28</v>
      </c>
      <c r="C29" s="545">
        <v>9</v>
      </c>
      <c r="D29" s="546">
        <v>2020</v>
      </c>
      <c r="E29" s="540">
        <f>'UTILITY REPORT 1'!I30</f>
        <v>0</v>
      </c>
      <c r="F29" s="540">
        <f>'UTILITY REPORT 1'!E30</f>
        <v>0</v>
      </c>
      <c r="G29" s="541">
        <f>'UTILITY REPORT 1'!F30</f>
        <v>0</v>
      </c>
      <c r="H29" s="540">
        <f>IF('Kit report'!F31&lt;0,"0",'Kit report'!F31)</f>
        <v>0</v>
      </c>
      <c r="I29" s="540">
        <f>IF('Kit report'!X31&lt;0,"0",'Kit report'!X31)</f>
        <v>0</v>
      </c>
      <c r="J29" s="540">
        <f>IF('Utility summery'!H33&lt;0,"0",'Utility summery'!H33)</f>
        <v>0</v>
      </c>
      <c r="K29" s="541">
        <f>IF('UTILITY REPORT 1'!H30&lt;0,"0",'UTILITY REPORT 1'!H30)</f>
        <v>0</v>
      </c>
      <c r="L29" s="540">
        <f>'Water-Meter'!K33</f>
        <v>0</v>
      </c>
      <c r="M29" s="541">
        <f>'Water-Meter'!H33</f>
        <v>0</v>
      </c>
      <c r="N29" s="541">
        <f>'Water-Meter'!Q33</f>
        <v>0</v>
      </c>
      <c r="O29" s="540" t="e">
        <f>K29*E29+H29*I29+#REF!*#REF!+J29*L29</f>
        <v>#REF!</v>
      </c>
      <c r="P29" s="547">
        <f>'Water-Meter'!E33</f>
        <v>0</v>
      </c>
      <c r="Q29" s="289">
        <f>IF('Water-Meter'!U33&lt;0,"0",'Water-Meter'!U33)</f>
        <v>0</v>
      </c>
      <c r="R29" s="289">
        <f>IF('Water-Meter'!X33&lt;0,"0",'Water-Meter'!X33)</f>
        <v>0</v>
      </c>
      <c r="S29" s="289">
        <f>IF('Water-Meter'!AA33&lt;0,"0",'Water-Meter'!AA33)</f>
        <v>0</v>
      </c>
      <c r="T29" s="289">
        <f>IF('Water-Meter'!AD33&lt;0,"0",'Water-Meter'!AD33)</f>
        <v>0</v>
      </c>
      <c r="U29" s="289">
        <f>IF('Water-Meter'!AG33&lt;0,"0",'Water-Meter'!AG33)</f>
        <v>0</v>
      </c>
      <c r="V29" s="289">
        <f>IF('Water-Meter'!AJ33&lt;0,"0",'Water-Meter'!AJ33)</f>
        <v>0</v>
      </c>
      <c r="W29" s="31">
        <f>'Water-Meter'!AN33</f>
        <v>0</v>
      </c>
      <c r="X29" s="558">
        <f>Total!K29</f>
        <v>0</v>
      </c>
    </row>
    <row r="30" spans="1:24">
      <c r="A30" s="542" t="s">
        <v>283</v>
      </c>
      <c r="B30" s="539">
        <f t="shared" si="0"/>
        <v>29</v>
      </c>
      <c r="C30" s="545">
        <v>9</v>
      </c>
      <c r="D30" s="546">
        <v>2020</v>
      </c>
      <c r="E30" s="540">
        <f>'UTILITY REPORT 1'!I31</f>
        <v>0</v>
      </c>
      <c r="F30" s="540">
        <f>'UTILITY REPORT 1'!E31</f>
        <v>0</v>
      </c>
      <c r="G30" s="541">
        <f>'UTILITY REPORT 1'!F31</f>
        <v>0</v>
      </c>
      <c r="H30" s="540">
        <f>IF('Kit report'!F32&lt;0,"0",'Kit report'!F32)</f>
        <v>0</v>
      </c>
      <c r="I30" s="540">
        <f>IF('Kit report'!X32&lt;0,"0",'Kit report'!X32)</f>
        <v>0</v>
      </c>
      <c r="J30" s="540">
        <f>IF('Utility summery'!H34&lt;0,"0",'Utility summery'!H34)</f>
        <v>0</v>
      </c>
      <c r="K30" s="541">
        <f>IF('UTILITY REPORT 1'!H31&lt;0,"0",'UTILITY REPORT 1'!H31)</f>
        <v>0</v>
      </c>
      <c r="L30" s="540">
        <f>'Water-Meter'!K34</f>
        <v>0</v>
      </c>
      <c r="M30" s="541">
        <f>'Water-Meter'!H34</f>
        <v>0</v>
      </c>
      <c r="N30" s="541">
        <f>'Water-Meter'!Q34</f>
        <v>0</v>
      </c>
      <c r="O30" s="540" t="e">
        <f>K30*E30+H30*I30+#REF!*#REF!+J30*L30</f>
        <v>#REF!</v>
      </c>
      <c r="P30" s="547">
        <f>'Water-Meter'!E34</f>
        <v>0</v>
      </c>
      <c r="Q30" s="289">
        <f>IF('Water-Meter'!U34&lt;0,"0",'Water-Meter'!U34)</f>
        <v>0</v>
      </c>
      <c r="R30" s="289">
        <f>IF('Water-Meter'!X34&lt;0,"0",'Water-Meter'!X34)</f>
        <v>0</v>
      </c>
      <c r="S30" s="289">
        <f>IF('Water-Meter'!AA34&lt;0,"0",'Water-Meter'!AA34)</f>
        <v>0</v>
      </c>
      <c r="T30" s="289">
        <f>IF('Water-Meter'!AD34&lt;0,"0",'Water-Meter'!AD34)</f>
        <v>0</v>
      </c>
      <c r="U30" s="289">
        <f>IF('Water-Meter'!AG34&lt;0,"0",'Water-Meter'!AG34)</f>
        <v>0</v>
      </c>
      <c r="V30" s="289">
        <f>IF('Water-Meter'!AJ34&lt;0,"0",'Water-Meter'!AJ34)</f>
        <v>0</v>
      </c>
      <c r="W30" s="31">
        <f>'Water-Meter'!AN34</f>
        <v>0</v>
      </c>
      <c r="X30" s="558">
        <f>Total!K30</f>
        <v>0</v>
      </c>
    </row>
    <row r="31" spans="1:24">
      <c r="A31" s="542" t="s">
        <v>283</v>
      </c>
      <c r="B31" s="539">
        <v>30</v>
      </c>
      <c r="C31" s="545">
        <v>9</v>
      </c>
      <c r="D31" s="546">
        <v>2020</v>
      </c>
      <c r="E31" s="540">
        <f>'UTILITY REPORT 1'!I32</f>
        <v>0</v>
      </c>
      <c r="F31" s="540">
        <f>'UTILITY REPORT 1'!E32</f>
        <v>0</v>
      </c>
      <c r="G31" s="541">
        <f>'UTILITY REPORT 1'!F32</f>
        <v>0</v>
      </c>
      <c r="H31" s="540">
        <f>IF('Kit report'!F33&lt;0,"0",'Kit report'!F33)</f>
        <v>0</v>
      </c>
      <c r="I31" s="540">
        <f>IF('Kit report'!X33&lt;0,"0",'Kit report'!X33)</f>
        <v>0</v>
      </c>
      <c r="J31" s="540">
        <f>IF('Utility summery'!H35&lt;0,"0",'Utility summery'!H35)</f>
        <v>0</v>
      </c>
      <c r="K31" s="541">
        <f>IF('UTILITY REPORT 1'!H32&lt;0,"0",'UTILITY REPORT 1'!H32)</f>
        <v>0</v>
      </c>
      <c r="L31" s="540">
        <f>'Water-Meter'!K35</f>
        <v>0</v>
      </c>
      <c r="M31" s="541">
        <f>'Water-Meter'!H35</f>
        <v>0</v>
      </c>
      <c r="N31" s="541">
        <f>'Water-Meter'!Q35</f>
        <v>0</v>
      </c>
      <c r="O31" s="540" t="e">
        <f>K31*E31+H31*I31+#REF!*#REF!+J31*L31</f>
        <v>#REF!</v>
      </c>
      <c r="P31" s="547">
        <f>'Water-Meter'!E35</f>
        <v>0</v>
      </c>
      <c r="Q31" s="289">
        <f>IF('Water-Meter'!U35&lt;0,"0",'Water-Meter'!U35)</f>
        <v>0</v>
      </c>
      <c r="R31" s="289">
        <f>IF('Water-Meter'!X35&lt;0,"0",'Water-Meter'!X35)</f>
        <v>0</v>
      </c>
      <c r="S31" s="289">
        <f>IF('Water-Meter'!AA35&lt;0,"0",'Water-Meter'!AA35)</f>
        <v>0</v>
      </c>
      <c r="T31" s="289">
        <f>IF('Water-Meter'!AD35&lt;0,"0",'Water-Meter'!AD35)</f>
        <v>0</v>
      </c>
      <c r="U31" s="289">
        <f>IF('Water-Meter'!AG35&lt;0,"0",'Water-Meter'!AG35)</f>
        <v>0</v>
      </c>
      <c r="V31" s="289">
        <f>IF('Water-Meter'!AJ35&lt;0,"0",'Water-Meter'!AJ35)</f>
        <v>0</v>
      </c>
      <c r="W31" s="31">
        <f>'Water-Meter'!AN35</f>
        <v>0</v>
      </c>
      <c r="X31" s="558">
        <f>Total!K31</f>
        <v>0</v>
      </c>
    </row>
    <row r="32" spans="1:24">
      <c r="A32" s="542"/>
      <c r="B32" s="539"/>
      <c r="C32" s="545"/>
      <c r="D32" s="546"/>
      <c r="E32" s="540">
        <f>'UTILITY REPORT 1'!I33</f>
        <v>0</v>
      </c>
      <c r="F32" s="540">
        <f>'UTILITY REPORT 1'!E33</f>
        <v>0</v>
      </c>
      <c r="G32" s="541">
        <f>'UTILITY REPORT 1'!F33</f>
        <v>0</v>
      </c>
      <c r="H32" s="540">
        <f>IF('Kit report'!F34&lt;0,"0",'Kit report'!F34)</f>
        <v>0</v>
      </c>
      <c r="I32" s="540">
        <f>IF('Kit report'!X34&lt;0,"0",'Kit report'!X34)</f>
        <v>0</v>
      </c>
      <c r="J32" s="540">
        <f>IF('Utility summery'!H36&lt;0,"0",'Utility summery'!H36)</f>
        <v>0</v>
      </c>
      <c r="K32" s="541">
        <f>IF('UTILITY REPORT 1'!H33&lt;0,"0",'UTILITY REPORT 1'!H33)</f>
        <v>0</v>
      </c>
      <c r="L32" s="540">
        <f>'Water-Meter'!K36</f>
        <v>0</v>
      </c>
      <c r="M32" s="541">
        <f>'Water-Meter'!H36</f>
        <v>0</v>
      </c>
      <c r="N32" s="541">
        <f>'Water-Meter'!Q36</f>
        <v>0</v>
      </c>
      <c r="O32" s="289"/>
      <c r="P32" s="547">
        <f>'Water-Meter'!E36</f>
        <v>0</v>
      </c>
      <c r="Q32" s="289">
        <f>IF('Water-Meter'!U36&lt;0,"0",'Water-Meter'!U36)</f>
        <v>0</v>
      </c>
      <c r="R32" s="289">
        <f>IF('Water-Meter'!X36&lt;0,"0",'Water-Meter'!X36)</f>
        <v>0</v>
      </c>
      <c r="S32" s="289">
        <f>IF('Water-Meter'!AA36&lt;0,"0",'Water-Meter'!AA36)</f>
        <v>0</v>
      </c>
      <c r="T32" s="289">
        <f>IF('Water-Meter'!AD36&lt;0,"0",'Water-Meter'!AD36)</f>
        <v>0</v>
      </c>
      <c r="U32" s="289">
        <f>IF('Water-Meter'!AG36&lt;0,"0",'Water-Meter'!AG36)</f>
        <v>0</v>
      </c>
      <c r="V32" s="289">
        <f>IF('Water-Meter'!AJ36&lt;0,"0",'Water-Meter'!AJ36)</f>
        <v>0</v>
      </c>
      <c r="W32" s="31">
        <f>'Water-Meter'!AN36</f>
        <v>0</v>
      </c>
      <c r="X32" s="558">
        <f>Total!K32</f>
        <v>0</v>
      </c>
    </row>
    <row r="33" spans="5:12">
      <c r="E33" s="484"/>
      <c r="F33" s="484"/>
      <c r="H33" s="484"/>
      <c r="I33" s="484"/>
      <c r="J33" s="484"/>
      <c r="L33" s="484"/>
    </row>
    <row r="34" spans="5:12">
      <c r="E34" s="484"/>
      <c r="F34" s="484"/>
      <c r="H34" s="484"/>
      <c r="I34" s="484"/>
      <c r="J34" s="484"/>
      <c r="L34" s="484"/>
    </row>
    <row r="35" spans="5:12">
      <c r="E35" s="484"/>
      <c r="F35" s="484"/>
      <c r="H35" s="484"/>
      <c r="I35" s="484"/>
      <c r="J35" s="484"/>
      <c r="L35" s="484"/>
    </row>
    <row r="36" spans="5:12">
      <c r="E36" s="484"/>
      <c r="F36" s="484"/>
      <c r="H36" s="484"/>
      <c r="I36" s="484"/>
      <c r="J36" s="484"/>
      <c r="L36" s="484"/>
    </row>
    <row r="37" spans="5:12">
      <c r="E37" s="484"/>
      <c r="F37" s="484"/>
      <c r="H37" s="484"/>
      <c r="I37" s="484"/>
      <c r="J37" s="484"/>
      <c r="L37" s="484"/>
    </row>
    <row r="38" spans="5:12">
      <c r="E38" s="484"/>
      <c r="F38" s="484"/>
      <c r="H38" s="484"/>
      <c r="I38" s="484"/>
      <c r="J38" s="484"/>
      <c r="L38" s="48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H16" sqref="H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69" t="s">
        <v>317</v>
      </c>
      <c r="B1" s="769"/>
      <c r="C1" s="769"/>
      <c r="D1" s="769"/>
      <c r="E1" s="769"/>
      <c r="F1" s="769"/>
      <c r="G1" s="769"/>
      <c r="H1" s="769"/>
    </row>
    <row r="2" spans="1:9" ht="48" customHeight="1" thickBot="1">
      <c r="A2" s="288" t="s">
        <v>0</v>
      </c>
      <c r="B2" s="139" t="s">
        <v>1</v>
      </c>
      <c r="C2" s="469" t="s">
        <v>268</v>
      </c>
      <c r="D2" s="337" t="s">
        <v>269</v>
      </c>
      <c r="E2" s="467" t="s">
        <v>267</v>
      </c>
      <c r="F2" s="337" t="s">
        <v>264</v>
      </c>
      <c r="G2" s="337" t="s">
        <v>265</v>
      </c>
      <c r="H2" s="469" t="s">
        <v>266</v>
      </c>
      <c r="I2" s="337" t="s">
        <v>270</v>
      </c>
    </row>
    <row r="3" spans="1:9" ht="13.5">
      <c r="A3" s="468">
        <f>Gen!B11</f>
        <v>44075</v>
      </c>
      <c r="B3" s="470">
        <f>Gen!C11</f>
        <v>3.9E-2</v>
      </c>
      <c r="C3" s="471">
        <f>'Summery Report'!E5</f>
        <v>3</v>
      </c>
      <c r="D3" s="472">
        <v>1</v>
      </c>
      <c r="E3" s="471">
        <f>Gen!T11</f>
        <v>891.43</v>
      </c>
      <c r="F3" s="471">
        <f>Gen!U11</f>
        <v>2111</v>
      </c>
      <c r="G3" s="471">
        <f>'Water-Meter'!E6</f>
        <v>56</v>
      </c>
      <c r="H3" s="471">
        <f>'Utility report '!AC6</f>
        <v>74</v>
      </c>
      <c r="I3" s="471">
        <f>Gen!AK11</f>
        <v>69.209999999999994</v>
      </c>
    </row>
    <row r="4" spans="1:9" ht="13.5">
      <c r="A4" s="468">
        <f>Gen!B12</f>
        <v>44076</v>
      </c>
      <c r="B4" s="470">
        <f>Gen!C12</f>
        <v>3.9E-2</v>
      </c>
      <c r="C4" s="471">
        <f>'Summery Report'!E6</f>
        <v>4</v>
      </c>
      <c r="D4" s="472">
        <v>1</v>
      </c>
      <c r="E4" s="471">
        <f>Gen!T12</f>
        <v>821.92000000000007</v>
      </c>
      <c r="F4" s="471">
        <f>Gen!U12</f>
        <v>2147</v>
      </c>
      <c r="G4" s="471">
        <f>'Water-Meter'!E7</f>
        <v>58</v>
      </c>
      <c r="H4" s="471">
        <f>'Utility report '!AC7</f>
        <v>26</v>
      </c>
      <c r="I4" s="471">
        <f>Gen!AK12</f>
        <v>80.650000000000006</v>
      </c>
    </row>
    <row r="5" spans="1:9" ht="13.5">
      <c r="A5" s="468">
        <f>Gen!B13</f>
        <v>44077</v>
      </c>
      <c r="B5" s="470">
        <f>Gen!C13</f>
        <v>3.9E-2</v>
      </c>
      <c r="C5" s="471">
        <f>'Summery Report'!E7</f>
        <v>4</v>
      </c>
      <c r="D5" s="472">
        <v>1</v>
      </c>
      <c r="E5" s="471">
        <f>Gen!T13</f>
        <v>1090.28</v>
      </c>
      <c r="F5" s="471">
        <f>Gen!U13</f>
        <v>2188</v>
      </c>
      <c r="G5" s="471">
        <f>'Water-Meter'!E8</f>
        <v>51</v>
      </c>
      <c r="H5" s="471">
        <f>'Utility report '!AC8</f>
        <v>79</v>
      </c>
      <c r="I5" s="471">
        <f>Gen!AK13</f>
        <v>10.02</v>
      </c>
    </row>
    <row r="6" spans="1:9" ht="13.5">
      <c r="A6" s="468">
        <f>Gen!B14</f>
        <v>44078</v>
      </c>
      <c r="B6" s="470">
        <f>Gen!C14</f>
        <v>9.0899999999999995E-2</v>
      </c>
      <c r="C6" s="471">
        <f>'Summery Report'!E8</f>
        <v>8</v>
      </c>
      <c r="D6" s="472">
        <v>1</v>
      </c>
      <c r="E6" s="471">
        <f>Gen!T14</f>
        <v>868.39</v>
      </c>
      <c r="F6" s="471">
        <f>Gen!U14</f>
        <v>2448</v>
      </c>
      <c r="G6" s="471">
        <f>'Water-Meter'!E9</f>
        <v>54</v>
      </c>
      <c r="H6" s="471">
        <f>'Utility report '!AC9</f>
        <v>92</v>
      </c>
      <c r="I6" s="471">
        <f>Gen!AK14</f>
        <v>0</v>
      </c>
    </row>
    <row r="7" spans="1:9" ht="13.5">
      <c r="A7" s="468">
        <f>Gen!B15</f>
        <v>44079</v>
      </c>
      <c r="B7" s="470">
        <f>Gen!C15</f>
        <v>9.0899999999999995E-2</v>
      </c>
      <c r="C7" s="471">
        <f>'Summery Report'!E9</f>
        <v>8</v>
      </c>
      <c r="D7" s="472">
        <v>1</v>
      </c>
      <c r="E7" s="471">
        <f>Gen!T15</f>
        <v>841.98</v>
      </c>
      <c r="F7" s="471">
        <f>Gen!U15</f>
        <v>2152</v>
      </c>
      <c r="G7" s="471">
        <f>'Water-Meter'!E10</f>
        <v>50</v>
      </c>
      <c r="H7" s="471">
        <f>'Utility report '!AC10</f>
        <v>1</v>
      </c>
      <c r="I7" s="471">
        <f>Gen!AK15</f>
        <v>27.01</v>
      </c>
    </row>
    <row r="8" spans="1:9" ht="13.5">
      <c r="A8" s="468">
        <f>Gen!B16</f>
        <v>44080</v>
      </c>
      <c r="B8" s="470">
        <f>Gen!C16</f>
        <v>9.0899999999999995E-2</v>
      </c>
      <c r="C8" s="471">
        <f>'Summery Report'!E10</f>
        <v>7</v>
      </c>
      <c r="D8" s="472">
        <v>1</v>
      </c>
      <c r="E8" s="471">
        <f>Gen!T16</f>
        <v>938.54</v>
      </c>
      <c r="F8" s="471">
        <f>Gen!U16</f>
        <v>2052</v>
      </c>
      <c r="G8" s="471">
        <f>'Water-Meter'!E11</f>
        <v>52</v>
      </c>
      <c r="H8" s="471">
        <f>'Utility report '!AC11</f>
        <v>68</v>
      </c>
      <c r="I8" s="471">
        <f>Gen!AK16</f>
        <v>0</v>
      </c>
    </row>
    <row r="9" spans="1:9" ht="13.5">
      <c r="A9" s="468">
        <f>Gen!B17</f>
        <v>44081</v>
      </c>
      <c r="B9" s="470">
        <f>Gen!C17</f>
        <v>2.5999999999999999E-2</v>
      </c>
      <c r="C9" s="471">
        <f>'Summery Report'!E11</f>
        <v>3</v>
      </c>
      <c r="D9" s="472">
        <v>1</v>
      </c>
      <c r="E9" s="471">
        <f>Gen!T17</f>
        <v>910.27</v>
      </c>
      <c r="F9" s="471">
        <f>Gen!U17</f>
        <v>2010</v>
      </c>
      <c r="G9" s="471">
        <f>'Water-Meter'!E12</f>
        <v>58</v>
      </c>
      <c r="H9" s="471">
        <f>'Utility report '!AC12</f>
        <v>45</v>
      </c>
      <c r="I9" s="471">
        <f>Gen!AK17</f>
        <v>258.14</v>
      </c>
    </row>
    <row r="10" spans="1:9" ht="13.5">
      <c r="A10" s="468">
        <f>Gen!B18</f>
        <v>44082</v>
      </c>
      <c r="B10" s="470">
        <f>Gen!C18</f>
        <v>3.9E-2</v>
      </c>
      <c r="C10" s="471">
        <f>'Summery Report'!E12</f>
        <v>7</v>
      </c>
      <c r="D10" s="472">
        <v>1</v>
      </c>
      <c r="E10" s="471">
        <f>Gen!T18</f>
        <v>948.21</v>
      </c>
      <c r="F10" s="471">
        <f>Gen!U18</f>
        <v>2245</v>
      </c>
      <c r="G10" s="471">
        <f>'Water-Meter'!E13</f>
        <v>46</v>
      </c>
      <c r="H10" s="471">
        <f>'Utility report '!AC13</f>
        <v>54</v>
      </c>
      <c r="I10" s="471">
        <f>Gen!AK18</f>
        <v>123.3</v>
      </c>
    </row>
    <row r="11" spans="1:9" ht="13.5">
      <c r="A11" s="468">
        <f>Gen!B19</f>
        <v>44083</v>
      </c>
      <c r="B11" s="470">
        <f>Gen!C19</f>
        <v>6.5000000000000002E-2</v>
      </c>
      <c r="C11" s="471">
        <f>'Summery Report'!E13</f>
        <v>5</v>
      </c>
      <c r="D11" s="472">
        <v>1</v>
      </c>
      <c r="E11" s="471">
        <f>Gen!T19</f>
        <v>916.32999999999993</v>
      </c>
      <c r="F11" s="471">
        <f>Gen!U19</f>
        <v>2101</v>
      </c>
      <c r="G11" s="471">
        <f>'Water-Meter'!E14</f>
        <v>52</v>
      </c>
      <c r="H11" s="471">
        <f>'Utility report '!AC14</f>
        <v>46</v>
      </c>
      <c r="I11" s="471">
        <f>Gen!AK19</f>
        <v>0</v>
      </c>
    </row>
    <row r="12" spans="1:9" ht="13.5">
      <c r="A12" s="468">
        <f>Gen!B20</f>
        <v>44084</v>
      </c>
      <c r="B12" s="470">
        <f>Gen!C20</f>
        <v>1.2999999999999999E-2</v>
      </c>
      <c r="C12" s="471">
        <f>'Summery Report'!E14</f>
        <v>1</v>
      </c>
      <c r="D12" s="472">
        <v>1</v>
      </c>
      <c r="E12" s="471">
        <f>Gen!T20</f>
        <v>0</v>
      </c>
      <c r="F12" s="471">
        <f>Gen!U20</f>
        <v>0</v>
      </c>
      <c r="G12" s="471" t="str">
        <f>'Water-Meter'!E15</f>
        <v>0</v>
      </c>
      <c r="H12" s="471">
        <f>'Utility report '!AC15</f>
        <v>-38293</v>
      </c>
      <c r="I12" s="471">
        <f>Gen!AK20</f>
        <v>0</v>
      </c>
    </row>
    <row r="13" spans="1:9" ht="13.5">
      <c r="A13" s="468">
        <f>Gen!B21</f>
        <v>44085</v>
      </c>
      <c r="B13" s="470">
        <f>Gen!C21</f>
        <v>0</v>
      </c>
      <c r="C13" s="471">
        <f>'Summery Report'!E15</f>
        <v>0</v>
      </c>
      <c r="D13" s="472">
        <v>1</v>
      </c>
      <c r="E13" s="471">
        <f>Gen!T21</f>
        <v>0</v>
      </c>
      <c r="F13" s="471">
        <f>Gen!U21</f>
        <v>0</v>
      </c>
      <c r="G13" s="471">
        <f>'Water-Meter'!E16</f>
        <v>0</v>
      </c>
      <c r="H13" s="471">
        <f>'Utility report '!AC16</f>
        <v>0</v>
      </c>
      <c r="I13" s="471">
        <f>Gen!AK21</f>
        <v>0</v>
      </c>
    </row>
    <row r="14" spans="1:9" ht="13.5">
      <c r="A14" s="468">
        <f>Gen!B22</f>
        <v>44086</v>
      </c>
      <c r="B14" s="470">
        <f>Gen!C22</f>
        <v>0</v>
      </c>
      <c r="C14" s="471">
        <f>'Summery Report'!E16</f>
        <v>0</v>
      </c>
      <c r="D14" s="472">
        <v>1</v>
      </c>
      <c r="E14" s="471">
        <f>Gen!T22</f>
        <v>0</v>
      </c>
      <c r="F14" s="471">
        <f>Gen!U22</f>
        <v>0</v>
      </c>
      <c r="G14" s="471">
        <f>'Water-Meter'!E17</f>
        <v>0</v>
      </c>
      <c r="H14" s="471">
        <f>'Utility report '!AC17</f>
        <v>0</v>
      </c>
      <c r="I14" s="471">
        <f>Gen!AK22</f>
        <v>0</v>
      </c>
    </row>
    <row r="15" spans="1:9" ht="13.5">
      <c r="A15" s="468">
        <f>Gen!B23</f>
        <v>44087</v>
      </c>
      <c r="B15" s="470">
        <f>Gen!C23</f>
        <v>0</v>
      </c>
      <c r="C15" s="471">
        <f>'Summery Report'!E17</f>
        <v>0</v>
      </c>
      <c r="D15" s="472">
        <v>1</v>
      </c>
      <c r="E15" s="471">
        <f>Gen!T23</f>
        <v>0</v>
      </c>
      <c r="F15" s="471">
        <f>Gen!U23</f>
        <v>0</v>
      </c>
      <c r="G15" s="471">
        <f>'Water-Meter'!E18</f>
        <v>0</v>
      </c>
      <c r="H15" s="471">
        <f>'Utility report '!AC18</f>
        <v>0</v>
      </c>
      <c r="I15" s="471">
        <f>Gen!AK23</f>
        <v>0</v>
      </c>
    </row>
    <row r="16" spans="1:9" ht="13.5">
      <c r="A16" s="468">
        <f>Gen!B24</f>
        <v>44088</v>
      </c>
      <c r="B16" s="470">
        <f>Gen!C24</f>
        <v>0</v>
      </c>
      <c r="C16" s="471">
        <f>'Summery Report'!E18</f>
        <v>0</v>
      </c>
      <c r="D16" s="472">
        <v>1</v>
      </c>
      <c r="E16" s="471">
        <f>Gen!T24</f>
        <v>0</v>
      </c>
      <c r="F16" s="471">
        <f>Gen!U24</f>
        <v>0</v>
      </c>
      <c r="G16" s="471">
        <f>'Water-Meter'!E19</f>
        <v>0</v>
      </c>
      <c r="H16" s="471">
        <f>'Utility report '!AC19</f>
        <v>0</v>
      </c>
      <c r="I16" s="471">
        <f>Gen!AK24</f>
        <v>0</v>
      </c>
    </row>
    <row r="17" spans="1:9" ht="13.5">
      <c r="A17" s="468">
        <f>Gen!B25</f>
        <v>44089</v>
      </c>
      <c r="B17" s="470">
        <f>Gen!C25</f>
        <v>0</v>
      </c>
      <c r="C17" s="471">
        <f>'Summery Report'!E19</f>
        <v>0</v>
      </c>
      <c r="D17" s="472">
        <v>1</v>
      </c>
      <c r="E17" s="471">
        <f>Gen!T25</f>
        <v>0</v>
      </c>
      <c r="F17" s="471">
        <f>Gen!U25</f>
        <v>0</v>
      </c>
      <c r="G17" s="471">
        <f>'Water-Meter'!E20</f>
        <v>0</v>
      </c>
      <c r="H17" s="471">
        <f>'Utility report '!AC20</f>
        <v>0</v>
      </c>
      <c r="I17" s="471">
        <f>Gen!AK25</f>
        <v>0</v>
      </c>
    </row>
    <row r="18" spans="1:9" ht="13.5">
      <c r="A18" s="468">
        <f>Gen!B26</f>
        <v>44090</v>
      </c>
      <c r="B18" s="470">
        <f>Gen!C26</f>
        <v>0</v>
      </c>
      <c r="C18" s="471">
        <f>'Summery Report'!E20</f>
        <v>0</v>
      </c>
      <c r="D18" s="472">
        <v>1</v>
      </c>
      <c r="E18" s="471">
        <f>Gen!T26</f>
        <v>0</v>
      </c>
      <c r="F18" s="471">
        <f>Gen!U26</f>
        <v>0</v>
      </c>
      <c r="G18" s="471">
        <f>'Water-Meter'!E21</f>
        <v>0</v>
      </c>
      <c r="H18" s="471">
        <f>'Utility report '!AC21</f>
        <v>0</v>
      </c>
      <c r="I18" s="471">
        <f>Gen!AK26</f>
        <v>0</v>
      </c>
    </row>
    <row r="19" spans="1:9" ht="13.5">
      <c r="A19" s="468">
        <f>Gen!B27</f>
        <v>44091</v>
      </c>
      <c r="B19" s="470">
        <f>Gen!C27</f>
        <v>0</v>
      </c>
      <c r="C19" s="471">
        <f>'Summery Report'!E21</f>
        <v>0</v>
      </c>
      <c r="D19" s="472">
        <v>1</v>
      </c>
      <c r="E19" s="471">
        <f>Gen!T27</f>
        <v>0</v>
      </c>
      <c r="F19" s="471">
        <f>Gen!U27</f>
        <v>0</v>
      </c>
      <c r="G19" s="471">
        <f>'Water-Meter'!E22</f>
        <v>0</v>
      </c>
      <c r="H19" s="471">
        <f>'Utility report '!AC22</f>
        <v>0</v>
      </c>
      <c r="I19" s="471">
        <f>Gen!AK27</f>
        <v>0</v>
      </c>
    </row>
    <row r="20" spans="1:9" ht="13.5">
      <c r="A20" s="468">
        <f>Gen!B28</f>
        <v>44092</v>
      </c>
      <c r="B20" s="470">
        <f>Gen!C28</f>
        <v>0</v>
      </c>
      <c r="C20" s="471">
        <f>'Summery Report'!E22</f>
        <v>0</v>
      </c>
      <c r="D20" s="472">
        <v>1</v>
      </c>
      <c r="E20" s="471">
        <f>Gen!T28</f>
        <v>0</v>
      </c>
      <c r="F20" s="471">
        <f>Gen!U28</f>
        <v>0</v>
      </c>
      <c r="G20" s="471">
        <f>'Water-Meter'!E23</f>
        <v>0</v>
      </c>
      <c r="H20" s="471">
        <f>'Utility report '!AC23</f>
        <v>0</v>
      </c>
      <c r="I20" s="471">
        <f>Gen!AK28</f>
        <v>0</v>
      </c>
    </row>
    <row r="21" spans="1:9" ht="13.5">
      <c r="A21" s="468">
        <f>Gen!B29</f>
        <v>44093</v>
      </c>
      <c r="B21" s="470">
        <f>Gen!C29</f>
        <v>0</v>
      </c>
      <c r="C21" s="471">
        <f>'Summery Report'!E23</f>
        <v>0</v>
      </c>
      <c r="D21" s="472">
        <v>1</v>
      </c>
      <c r="E21" s="471">
        <f>Gen!T29</f>
        <v>0</v>
      </c>
      <c r="F21" s="471">
        <f>Gen!U29</f>
        <v>0</v>
      </c>
      <c r="G21" s="471">
        <f>'Water-Meter'!E24</f>
        <v>0</v>
      </c>
      <c r="H21" s="471">
        <f>'Utility report '!AC24</f>
        <v>0</v>
      </c>
      <c r="I21" s="471">
        <f>Gen!AK29</f>
        <v>0</v>
      </c>
    </row>
    <row r="22" spans="1:9" ht="13.5">
      <c r="A22" s="468">
        <f>Gen!B30</f>
        <v>44094</v>
      </c>
      <c r="B22" s="470">
        <f>Gen!C30</f>
        <v>0</v>
      </c>
      <c r="C22" s="471">
        <f>'Summery Report'!E24</f>
        <v>0</v>
      </c>
      <c r="D22" s="472">
        <v>1</v>
      </c>
      <c r="E22" s="471">
        <f>Gen!T30</f>
        <v>0</v>
      </c>
      <c r="F22" s="471">
        <f>Gen!U30</f>
        <v>0</v>
      </c>
      <c r="G22" s="471">
        <f>'Water-Meter'!E25</f>
        <v>0</v>
      </c>
      <c r="H22" s="471">
        <f>'Utility report '!AC25</f>
        <v>0</v>
      </c>
      <c r="I22" s="471">
        <f>Gen!AK30</f>
        <v>0</v>
      </c>
    </row>
    <row r="23" spans="1:9" ht="13.5">
      <c r="A23" s="468">
        <f>Gen!B31</f>
        <v>44095</v>
      </c>
      <c r="B23" s="470">
        <f>Gen!C31</f>
        <v>0</v>
      </c>
      <c r="C23" s="471">
        <f>'Summery Report'!E25</f>
        <v>0</v>
      </c>
      <c r="D23" s="472">
        <v>1</v>
      </c>
      <c r="E23" s="471">
        <f>Gen!T31</f>
        <v>0</v>
      </c>
      <c r="F23" s="471">
        <f>Gen!U31</f>
        <v>0</v>
      </c>
      <c r="G23" s="471">
        <f>'Water-Meter'!E26</f>
        <v>0</v>
      </c>
      <c r="H23" s="471">
        <f>'Utility report '!AC26</f>
        <v>0</v>
      </c>
      <c r="I23" s="471">
        <f>Gen!AK31</f>
        <v>0</v>
      </c>
    </row>
    <row r="24" spans="1:9" ht="13.5">
      <c r="A24" s="468">
        <f>Gen!B32</f>
        <v>44096</v>
      </c>
      <c r="B24" s="470">
        <f>Gen!C32</f>
        <v>0</v>
      </c>
      <c r="C24" s="471">
        <f>'Summery Report'!E26</f>
        <v>0</v>
      </c>
      <c r="D24" s="472">
        <v>1</v>
      </c>
      <c r="E24" s="471">
        <f>Gen!T32</f>
        <v>0</v>
      </c>
      <c r="F24" s="471">
        <f>Gen!U32</f>
        <v>0</v>
      </c>
      <c r="G24" s="471">
        <f>'Water-Meter'!E27</f>
        <v>0</v>
      </c>
      <c r="H24" s="471">
        <f>'Utility report '!AC27</f>
        <v>0</v>
      </c>
      <c r="I24" s="471">
        <f>Gen!AK32</f>
        <v>0</v>
      </c>
    </row>
    <row r="25" spans="1:9" ht="13.5">
      <c r="A25" s="468">
        <f>Gen!B33</f>
        <v>44097</v>
      </c>
      <c r="B25" s="470">
        <f>Gen!C33</f>
        <v>0</v>
      </c>
      <c r="C25" s="471">
        <f>'Summery Report'!E27</f>
        <v>0</v>
      </c>
      <c r="D25" s="472">
        <v>1</v>
      </c>
      <c r="E25" s="471">
        <f>Gen!T33</f>
        <v>0</v>
      </c>
      <c r="F25" s="471">
        <f>Gen!U33</f>
        <v>0</v>
      </c>
      <c r="G25" s="471">
        <f>'Water-Meter'!E28</f>
        <v>0</v>
      </c>
      <c r="H25" s="471">
        <f>'Utility report '!AC28</f>
        <v>0</v>
      </c>
      <c r="I25" s="471">
        <f>Gen!AK33</f>
        <v>0</v>
      </c>
    </row>
    <row r="26" spans="1:9" ht="13.5">
      <c r="A26" s="468">
        <f>Gen!B34</f>
        <v>44098</v>
      </c>
      <c r="B26" s="470">
        <f>Gen!C34</f>
        <v>0</v>
      </c>
      <c r="C26" s="471">
        <f>'Summery Report'!E28</f>
        <v>0</v>
      </c>
      <c r="D26" s="472">
        <v>1</v>
      </c>
      <c r="E26" s="471">
        <f>Gen!T34</f>
        <v>0</v>
      </c>
      <c r="F26" s="471">
        <f>Gen!U34</f>
        <v>0</v>
      </c>
      <c r="G26" s="471">
        <f>'Water-Meter'!E29</f>
        <v>0</v>
      </c>
      <c r="H26" s="471">
        <f>'Utility report '!AC29</f>
        <v>0</v>
      </c>
      <c r="I26" s="471">
        <f>Gen!AK34</f>
        <v>0</v>
      </c>
    </row>
    <row r="27" spans="1:9" ht="13.5">
      <c r="A27" s="468">
        <f>Gen!B35</f>
        <v>44099</v>
      </c>
      <c r="B27" s="470">
        <f>Gen!C35</f>
        <v>0</v>
      </c>
      <c r="C27" s="471">
        <f>'Summery Report'!E29</f>
        <v>0</v>
      </c>
      <c r="D27" s="472">
        <v>1</v>
      </c>
      <c r="E27" s="471">
        <f>Gen!T35</f>
        <v>0</v>
      </c>
      <c r="F27" s="471">
        <f>Gen!U35</f>
        <v>0</v>
      </c>
      <c r="G27" s="471">
        <f>'Water-Meter'!E30</f>
        <v>0</v>
      </c>
      <c r="H27" s="471">
        <f>'Utility report '!AC30</f>
        <v>0</v>
      </c>
      <c r="I27" s="471">
        <f>Gen!AK35</f>
        <v>0</v>
      </c>
    </row>
    <row r="28" spans="1:9" ht="13.5">
      <c r="A28" s="468">
        <f>Gen!B36</f>
        <v>44100</v>
      </c>
      <c r="B28" s="470">
        <f>Gen!C36</f>
        <v>0</v>
      </c>
      <c r="C28" s="471">
        <f>'Summery Report'!E30</f>
        <v>0</v>
      </c>
      <c r="D28" s="472">
        <v>1</v>
      </c>
      <c r="E28" s="471">
        <f>Gen!T36</f>
        <v>0</v>
      </c>
      <c r="F28" s="471">
        <f>Gen!U36</f>
        <v>0</v>
      </c>
      <c r="G28" s="471">
        <f>'Water-Meter'!E31</f>
        <v>0</v>
      </c>
      <c r="H28" s="471">
        <f>'Utility report '!AC31</f>
        <v>0</v>
      </c>
      <c r="I28" s="471">
        <f>Gen!AK36</f>
        <v>0</v>
      </c>
    </row>
    <row r="29" spans="1:9" ht="13.5">
      <c r="A29" s="468">
        <f>Gen!B37</f>
        <v>44101</v>
      </c>
      <c r="B29" s="470">
        <f>Gen!C37</f>
        <v>0</v>
      </c>
      <c r="C29" s="471">
        <f>'Summery Report'!E31</f>
        <v>0</v>
      </c>
      <c r="D29" s="472">
        <v>1</v>
      </c>
      <c r="E29" s="471">
        <f>Gen!T37</f>
        <v>0</v>
      </c>
      <c r="F29" s="471">
        <f>Gen!U37</f>
        <v>0</v>
      </c>
      <c r="G29" s="471">
        <f>'Water-Meter'!E32</f>
        <v>0</v>
      </c>
      <c r="H29" s="471">
        <f>'Utility report '!AC32</f>
        <v>0</v>
      </c>
      <c r="I29" s="471">
        <f>Gen!AK37</f>
        <v>0</v>
      </c>
    </row>
    <row r="30" spans="1:9" ht="13.5">
      <c r="A30" s="468">
        <f>Gen!B38</f>
        <v>44102</v>
      </c>
      <c r="B30" s="470">
        <f>Gen!C38</f>
        <v>0</v>
      </c>
      <c r="C30" s="471">
        <f>'Summery Report'!E32</f>
        <v>0</v>
      </c>
      <c r="D30" s="472">
        <v>1</v>
      </c>
      <c r="E30" s="471">
        <f>Gen!T38</f>
        <v>0</v>
      </c>
      <c r="F30" s="471">
        <f>Gen!U38</f>
        <v>0</v>
      </c>
      <c r="G30" s="471">
        <f>'Water-Meter'!E33</f>
        <v>0</v>
      </c>
      <c r="H30" s="471">
        <f>'Utility report '!AC33</f>
        <v>0</v>
      </c>
      <c r="I30" s="471">
        <f>Gen!AK38</f>
        <v>0</v>
      </c>
    </row>
    <row r="31" spans="1:9" ht="13.5">
      <c r="A31" s="468">
        <f>Gen!B39</f>
        <v>44103</v>
      </c>
      <c r="B31" s="470">
        <f>Gen!C39</f>
        <v>0</v>
      </c>
      <c r="C31" s="471">
        <f>'Summery Report'!E33</f>
        <v>0</v>
      </c>
      <c r="D31" s="472">
        <v>1</v>
      </c>
      <c r="E31" s="471">
        <f>Gen!T39</f>
        <v>0</v>
      </c>
      <c r="F31" s="471">
        <f>Gen!U39</f>
        <v>0</v>
      </c>
      <c r="G31" s="471">
        <f>'Water-Meter'!E34</f>
        <v>0</v>
      </c>
      <c r="H31" s="471">
        <f>'Utility report '!AC34</f>
        <v>0</v>
      </c>
      <c r="I31" s="471">
        <f>Gen!AK39</f>
        <v>0</v>
      </c>
    </row>
    <row r="32" spans="1:9" ht="13.5">
      <c r="A32" s="468">
        <f>Gen!B40</f>
        <v>44104</v>
      </c>
      <c r="B32" s="470">
        <f>Gen!C40</f>
        <v>0</v>
      </c>
      <c r="C32" s="471">
        <f>'Summery Report'!E34</f>
        <v>0</v>
      </c>
      <c r="D32" s="472">
        <v>1</v>
      </c>
      <c r="E32" s="471">
        <f>Gen!T40</f>
        <v>0</v>
      </c>
      <c r="F32" s="471">
        <f>Gen!U40</f>
        <v>0</v>
      </c>
      <c r="G32" s="471">
        <f>'Water-Meter'!E35</f>
        <v>0</v>
      </c>
      <c r="H32" s="471">
        <f>'Utility report '!AC35</f>
        <v>0</v>
      </c>
      <c r="I32" s="471">
        <f>Gen!AK40</f>
        <v>0</v>
      </c>
    </row>
    <row r="33" spans="1:9" ht="13.5">
      <c r="A33" s="468">
        <f>Gen!B41</f>
        <v>0</v>
      </c>
      <c r="B33" s="470">
        <f>Gen!C41</f>
        <v>0</v>
      </c>
      <c r="C33" s="471">
        <f>'Summery Report'!E35</f>
        <v>0</v>
      </c>
      <c r="D33" s="472">
        <v>1</v>
      </c>
      <c r="E33" s="471">
        <f>Gen!T41</f>
        <v>0</v>
      </c>
      <c r="F33" s="471">
        <f>Gen!U41</f>
        <v>0</v>
      </c>
      <c r="G33" s="471">
        <f>'Water-Meter'!E36</f>
        <v>0</v>
      </c>
      <c r="H33" s="471">
        <f>'Utility report '!AC36</f>
        <v>0</v>
      </c>
      <c r="I33" s="471">
        <f>Gen!AK41</f>
        <v>0</v>
      </c>
    </row>
    <row r="34" spans="1:9" ht="13.5">
      <c r="A34" s="468"/>
      <c r="B34" s="470">
        <f>Gen!C42</f>
        <v>0</v>
      </c>
      <c r="C34" s="471">
        <f>'Summery Report'!E36</f>
        <v>0</v>
      </c>
      <c r="D34" s="472">
        <v>2</v>
      </c>
      <c r="E34" s="471">
        <f>Gen!T42</f>
        <v>0</v>
      </c>
      <c r="F34" s="471">
        <f>Gen!U42</f>
        <v>0</v>
      </c>
      <c r="G34" s="471">
        <f>'Water-Meter'!E37</f>
        <v>0</v>
      </c>
      <c r="H34" s="471">
        <f>'Utility report '!AC37</f>
        <v>0</v>
      </c>
      <c r="I34" s="471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43"/>
  <sheetViews>
    <sheetView zoomScale="85" zoomScaleNormal="85" workbookViewId="0">
      <selection activeCell="B25" sqref="B25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529" t="s">
        <v>0</v>
      </c>
      <c r="B4" s="530" t="s">
        <v>141</v>
      </c>
      <c r="C4" s="531" t="s">
        <v>248</v>
      </c>
      <c r="D4" s="770" t="s">
        <v>135</v>
      </c>
      <c r="E4" s="770"/>
      <c r="F4" s="770"/>
      <c r="G4" s="771" t="s">
        <v>20</v>
      </c>
      <c r="H4" s="771"/>
      <c r="I4" s="771"/>
      <c r="J4" s="772" t="s">
        <v>54</v>
      </c>
      <c r="K4" s="772"/>
      <c r="L4" s="772"/>
      <c r="M4" s="772"/>
      <c r="N4" s="773" t="s">
        <v>143</v>
      </c>
      <c r="O4" s="773"/>
      <c r="P4" s="773"/>
      <c r="Q4" s="61"/>
      <c r="R4" s="61"/>
      <c r="S4" s="62"/>
    </row>
    <row r="5" spans="1:19" ht="25.5">
      <c r="A5" s="532"/>
      <c r="B5" s="319"/>
      <c r="C5" s="171"/>
      <c r="D5" s="176" t="s">
        <v>136</v>
      </c>
      <c r="E5" s="176" t="s">
        <v>137</v>
      </c>
      <c r="F5" s="176" t="s">
        <v>121</v>
      </c>
      <c r="G5" s="178" t="s">
        <v>138</v>
      </c>
      <c r="H5" s="178" t="s">
        <v>19</v>
      </c>
      <c r="I5" s="179" t="s">
        <v>139</v>
      </c>
      <c r="J5" s="181" t="s">
        <v>142</v>
      </c>
      <c r="K5" s="181" t="s">
        <v>140</v>
      </c>
      <c r="L5" s="181" t="s">
        <v>140</v>
      </c>
      <c r="M5" s="183" t="s">
        <v>18</v>
      </c>
      <c r="N5" s="172" t="s">
        <v>144</v>
      </c>
      <c r="O5" s="172" t="s">
        <v>146</v>
      </c>
      <c r="P5" s="173" t="s">
        <v>145</v>
      </c>
      <c r="Q5" s="184" t="s">
        <v>148</v>
      </c>
      <c r="R5" s="184" t="s">
        <v>147</v>
      </c>
      <c r="S5" s="533" t="s">
        <v>149</v>
      </c>
    </row>
    <row r="6" spans="1:19" ht="14.25">
      <c r="A6" s="534">
        <f>Gen!B11</f>
        <v>44075</v>
      </c>
      <c r="B6" s="6">
        <f>'Summery Report'!E5</f>
        <v>3</v>
      </c>
      <c r="C6" s="6">
        <f>Gen!U11</f>
        <v>2111</v>
      </c>
      <c r="D6" s="177">
        <f>Gen!T11</f>
        <v>891.43</v>
      </c>
      <c r="E6" s="177">
        <f>Gen!AK11</f>
        <v>69.209999999999994</v>
      </c>
      <c r="F6" s="177">
        <f>Gen!AS11</f>
        <v>960.64</v>
      </c>
      <c r="G6" s="180">
        <f>'Utility report '!AC6</f>
        <v>74</v>
      </c>
      <c r="H6" s="180">
        <f>'Utility report '!AE6</f>
        <v>47</v>
      </c>
      <c r="I6" s="348">
        <f>'Water-Meter'!E6</f>
        <v>56</v>
      </c>
      <c r="J6" s="182">
        <f>'Lpg (2)'!B10</f>
        <v>85</v>
      </c>
      <c r="K6" s="182">
        <f>'Lpg (2)'!C10</f>
        <v>85</v>
      </c>
      <c r="L6" s="182">
        <f>'Lpg (2)'!D10</f>
        <v>2</v>
      </c>
      <c r="M6" s="528">
        <f>'Lpg (2)'!G10</f>
        <v>78.980000000051234</v>
      </c>
      <c r="N6" s="6"/>
      <c r="O6" s="175">
        <f>E6</f>
        <v>69.209999999999994</v>
      </c>
      <c r="P6" s="174" t="e">
        <f>'[1]Lpg (2)'!#REF!</f>
        <v>#REF!</v>
      </c>
      <c r="Q6" s="175" t="e">
        <f>'[1]Summery Report'!#REF!</f>
        <v>#REF!</v>
      </c>
      <c r="R6" s="175">
        <f t="shared" ref="R6:R37" si="0">N6/B6</f>
        <v>0</v>
      </c>
      <c r="S6" s="535" t="e">
        <f t="shared" ref="S6:S37" si="1">Q6/B6</f>
        <v>#REF!</v>
      </c>
    </row>
    <row r="7" spans="1:19" ht="14.25">
      <c r="A7" s="534">
        <f>Gen!B12</f>
        <v>44076</v>
      </c>
      <c r="B7" s="6">
        <f>'Summery Report'!E6</f>
        <v>4</v>
      </c>
      <c r="C7" s="6">
        <f>Gen!U12</f>
        <v>2147</v>
      </c>
      <c r="D7" s="177">
        <f>Gen!T12</f>
        <v>821.92000000000007</v>
      </c>
      <c r="E7" s="177">
        <f>Gen!AK12</f>
        <v>80.650000000000006</v>
      </c>
      <c r="F7" s="177">
        <f>Gen!AS12</f>
        <v>902.57</v>
      </c>
      <c r="G7" s="180">
        <f>'Utility report '!AC7</f>
        <v>26</v>
      </c>
      <c r="H7" s="180">
        <f>'Utility report '!AE7</f>
        <v>30</v>
      </c>
      <c r="I7" s="348">
        <f>'Water-Meter'!E7</f>
        <v>58</v>
      </c>
      <c r="J7" s="182">
        <f>'Lpg (2)'!B11</f>
        <v>85</v>
      </c>
      <c r="K7" s="182">
        <f>'Lpg (2)'!C11</f>
        <v>85</v>
      </c>
      <c r="L7" s="182">
        <f>'Lpg (2)'!D11</f>
        <v>2</v>
      </c>
      <c r="M7" s="528">
        <f>'Lpg (2)'!G11</f>
        <v>76.031999999994881</v>
      </c>
      <c r="N7" s="175">
        <f>D7*1.4</f>
        <v>1150.6880000000001</v>
      </c>
      <c r="O7" s="175">
        <f>E7*1.4</f>
        <v>112.91</v>
      </c>
      <c r="P7" s="174" t="e">
        <f>'[1]Lpg (2)'!#REF!</f>
        <v>#REF!</v>
      </c>
      <c r="Q7" s="175" t="e">
        <f>'[1]Summery Report'!#REF!</f>
        <v>#REF!</v>
      </c>
      <c r="R7" s="175">
        <f t="shared" si="0"/>
        <v>287.67200000000003</v>
      </c>
      <c r="S7" s="535" t="e">
        <f t="shared" si="1"/>
        <v>#REF!</v>
      </c>
    </row>
    <row r="8" spans="1:19" ht="14.25">
      <c r="A8" s="534">
        <f>Gen!B13</f>
        <v>44077</v>
      </c>
      <c r="B8" s="6">
        <f>'Summery Report'!E7</f>
        <v>4</v>
      </c>
      <c r="C8" s="6">
        <f>Gen!U13</f>
        <v>2188</v>
      </c>
      <c r="D8" s="177">
        <f>Gen!T13</f>
        <v>1090.28</v>
      </c>
      <c r="E8" s="177">
        <f>Gen!AK13</f>
        <v>10.02</v>
      </c>
      <c r="F8" s="177">
        <f>Gen!AS13</f>
        <v>1100.3</v>
      </c>
      <c r="G8" s="180">
        <f>'Utility report '!AC8</f>
        <v>79</v>
      </c>
      <c r="H8" s="180">
        <f>'Utility report '!AE8</f>
        <v>36</v>
      </c>
      <c r="I8" s="348">
        <f>'Water-Meter'!E8</f>
        <v>51</v>
      </c>
      <c r="J8" s="182">
        <f>'Lpg (2)'!B12</f>
        <v>85</v>
      </c>
      <c r="K8" s="182">
        <f>'Lpg (2)'!C12</f>
        <v>85</v>
      </c>
      <c r="L8" s="182">
        <f>'Lpg (2)'!D12</f>
        <v>1</v>
      </c>
      <c r="M8" s="528">
        <f>'Lpg (2)'!G12</f>
        <v>58.607999999966708</v>
      </c>
      <c r="N8" s="175">
        <f t="shared" ref="N8:O36" si="2">D8*1.4</f>
        <v>1526.3919999999998</v>
      </c>
      <c r="O8" s="175">
        <f t="shared" si="2"/>
        <v>14.027999999999999</v>
      </c>
      <c r="P8" s="174" t="e">
        <f>'[1]Lpg (2)'!#REF!</f>
        <v>#REF!</v>
      </c>
      <c r="Q8" s="175" t="e">
        <f>'[1]Summery Report'!#REF!</f>
        <v>#REF!</v>
      </c>
      <c r="R8" s="175">
        <f t="shared" si="0"/>
        <v>381.59799999999996</v>
      </c>
      <c r="S8" s="535" t="e">
        <f t="shared" si="1"/>
        <v>#REF!</v>
      </c>
    </row>
    <row r="9" spans="1:19" ht="14.25">
      <c r="A9" s="534">
        <f>Gen!B14</f>
        <v>44078</v>
      </c>
      <c r="B9" s="6">
        <f>'Summery Report'!E8</f>
        <v>8</v>
      </c>
      <c r="C9" s="6">
        <f>Gen!U14</f>
        <v>2448</v>
      </c>
      <c r="D9" s="177">
        <f>Gen!T14</f>
        <v>868.39</v>
      </c>
      <c r="E9" s="177">
        <f>Gen!AK14</f>
        <v>0</v>
      </c>
      <c r="F9" s="177">
        <f>Gen!AS14</f>
        <v>868.39</v>
      </c>
      <c r="G9" s="180">
        <f>'Utility report '!AC9</f>
        <v>92</v>
      </c>
      <c r="H9" s="180">
        <f>'Utility report '!AE9</f>
        <v>45</v>
      </c>
      <c r="I9" s="348">
        <f>'Water-Meter'!E9</f>
        <v>54</v>
      </c>
      <c r="J9" s="182">
        <f>'Lpg (2)'!B13</f>
        <v>85</v>
      </c>
      <c r="K9" s="182">
        <f>'Lpg (2)'!C13</f>
        <v>85</v>
      </c>
      <c r="L9" s="182">
        <f>'Lpg (2)'!D13</f>
        <v>1</v>
      </c>
      <c r="M9" s="528">
        <f>'Lpg (2)'!G13</f>
        <v>66.263999999989764</v>
      </c>
      <c r="N9" s="175">
        <f t="shared" si="2"/>
        <v>1215.7459999999999</v>
      </c>
      <c r="O9" s="175">
        <f t="shared" si="2"/>
        <v>0</v>
      </c>
      <c r="P9" s="174" t="e">
        <f>'[1]Lpg (2)'!#REF!</f>
        <v>#REF!</v>
      </c>
      <c r="Q9" s="175" t="e">
        <f>'[1]Summery Report'!#REF!</f>
        <v>#REF!</v>
      </c>
      <c r="R9" s="175">
        <f t="shared" si="0"/>
        <v>151.96824999999998</v>
      </c>
      <c r="S9" s="535" t="e">
        <f t="shared" si="1"/>
        <v>#REF!</v>
      </c>
    </row>
    <row r="10" spans="1:19" ht="14.25">
      <c r="A10" s="534">
        <f>Gen!B15</f>
        <v>44079</v>
      </c>
      <c r="B10" s="6">
        <f>'Summery Report'!E9</f>
        <v>8</v>
      </c>
      <c r="C10" s="6">
        <f>Gen!U15</f>
        <v>2152</v>
      </c>
      <c r="D10" s="177">
        <f>Gen!T15</f>
        <v>841.98</v>
      </c>
      <c r="E10" s="177">
        <f>Gen!AK15</f>
        <v>27.01</v>
      </c>
      <c r="F10" s="177">
        <f>Gen!AS15</f>
        <v>868.99</v>
      </c>
      <c r="G10" s="180">
        <f>'Utility report '!AC10</f>
        <v>1</v>
      </c>
      <c r="H10" s="180">
        <f>'Utility report '!AE10</f>
        <v>43</v>
      </c>
      <c r="I10" s="348">
        <f>'Water-Meter'!E10</f>
        <v>50</v>
      </c>
      <c r="J10" s="182">
        <f>'Lpg (2)'!B14</f>
        <v>85</v>
      </c>
      <c r="K10" s="182">
        <f>'Lpg (2)'!C14</f>
        <v>85</v>
      </c>
      <c r="L10" s="182">
        <f>'Lpg (2)'!D14</f>
        <v>1</v>
      </c>
      <c r="M10" s="528">
        <f>'Lpg (2)'!G14</f>
        <v>63.536000000010247</v>
      </c>
      <c r="N10" s="175">
        <f t="shared" si="2"/>
        <v>1178.7719999999999</v>
      </c>
      <c r="O10" s="175">
        <f t="shared" si="2"/>
        <v>37.814</v>
      </c>
      <c r="P10" s="174" t="e">
        <f>'[1]Lpg (2)'!#REF!</f>
        <v>#REF!</v>
      </c>
      <c r="Q10" s="175" t="e">
        <f>'[1]Summery Report'!#REF!</f>
        <v>#REF!</v>
      </c>
      <c r="R10" s="175">
        <f t="shared" si="0"/>
        <v>147.34649999999999</v>
      </c>
      <c r="S10" s="535" t="e">
        <f t="shared" si="1"/>
        <v>#REF!</v>
      </c>
    </row>
    <row r="11" spans="1:19" ht="14.25">
      <c r="A11" s="534">
        <f>Gen!B16</f>
        <v>44080</v>
      </c>
      <c r="B11" s="6">
        <f>'Summery Report'!E10</f>
        <v>7</v>
      </c>
      <c r="C11" s="6">
        <f>Gen!U16</f>
        <v>2052</v>
      </c>
      <c r="D11" s="177">
        <f>Gen!T16</f>
        <v>938.54</v>
      </c>
      <c r="E11" s="177">
        <f>Gen!AK16</f>
        <v>0</v>
      </c>
      <c r="F11" s="177">
        <f>Gen!AS16</f>
        <v>938.54</v>
      </c>
      <c r="G11" s="180">
        <f>'Utility report '!AC11</f>
        <v>68</v>
      </c>
      <c r="H11" s="180">
        <f>'Utility report '!AE11</f>
        <v>35</v>
      </c>
      <c r="I11" s="348">
        <f>'Water-Meter'!E11</f>
        <v>52</v>
      </c>
      <c r="J11" s="182">
        <f>'Lpg (2)'!B15</f>
        <v>85</v>
      </c>
      <c r="K11" s="182">
        <f>'Lpg (2)'!C15</f>
        <v>85</v>
      </c>
      <c r="L11" s="182">
        <f>'Lpg (2)'!D15</f>
        <v>1</v>
      </c>
      <c r="M11" s="528">
        <f>'Lpg (2)'!G15</f>
        <v>50.072000000020495</v>
      </c>
      <c r="N11" s="175">
        <f t="shared" si="2"/>
        <v>1313.9559999999999</v>
      </c>
      <c r="O11" s="175">
        <f t="shared" si="2"/>
        <v>0</v>
      </c>
      <c r="P11" s="174" t="e">
        <f>'[1]Lpg (2)'!#REF!</f>
        <v>#REF!</v>
      </c>
      <c r="Q11" s="175" t="e">
        <f>'[1]Summery Report'!#REF!</f>
        <v>#REF!</v>
      </c>
      <c r="R11" s="175">
        <f t="shared" si="0"/>
        <v>187.708</v>
      </c>
      <c r="S11" s="535" t="e">
        <f t="shared" si="1"/>
        <v>#REF!</v>
      </c>
    </row>
    <row r="12" spans="1:19" ht="14.25">
      <c r="A12" s="534">
        <f>Gen!B17</f>
        <v>44081</v>
      </c>
      <c r="B12" s="6">
        <f>'Summery Report'!E11</f>
        <v>3</v>
      </c>
      <c r="C12" s="6">
        <f>Gen!U17</f>
        <v>2010</v>
      </c>
      <c r="D12" s="177">
        <f>Gen!T17</f>
        <v>910.27</v>
      </c>
      <c r="E12" s="177">
        <f>Gen!AK17</f>
        <v>258.14</v>
      </c>
      <c r="F12" s="177">
        <f>Gen!AS17</f>
        <v>1168.4099999999999</v>
      </c>
      <c r="G12" s="180">
        <f>'Utility report '!AC12</f>
        <v>45</v>
      </c>
      <c r="H12" s="180">
        <f>'Utility report '!AE12</f>
        <v>44</v>
      </c>
      <c r="I12" s="348">
        <f>'Water-Meter'!E12</f>
        <v>58</v>
      </c>
      <c r="J12" s="182">
        <f>'Lpg (2)'!B16</f>
        <v>85</v>
      </c>
      <c r="K12" s="182">
        <f>'Lpg (2)'!C16</f>
        <v>85</v>
      </c>
      <c r="L12" s="182">
        <f>'Lpg (2)'!D16</f>
        <v>0</v>
      </c>
      <c r="M12" s="528">
        <f>'Lpg (2)'!G16</f>
        <v>49.588000000017935</v>
      </c>
      <c r="N12" s="175">
        <f t="shared" si="2"/>
        <v>1274.3779999999999</v>
      </c>
      <c r="O12" s="175">
        <f t="shared" si="2"/>
        <v>361.39599999999996</v>
      </c>
      <c r="P12" s="174" t="e">
        <f>'[1]Lpg (2)'!#REF!</f>
        <v>#REF!</v>
      </c>
      <c r="Q12" s="175" t="e">
        <f>'[1]Summery Report'!#REF!</f>
        <v>#REF!</v>
      </c>
      <c r="R12" s="175">
        <f t="shared" si="0"/>
        <v>424.79266666666666</v>
      </c>
      <c r="S12" s="535" t="e">
        <f t="shared" si="1"/>
        <v>#REF!</v>
      </c>
    </row>
    <row r="13" spans="1:19" ht="14.25">
      <c r="A13" s="534">
        <f>Gen!B18</f>
        <v>44082</v>
      </c>
      <c r="B13" s="6">
        <f>'Summery Report'!E12</f>
        <v>7</v>
      </c>
      <c r="C13" s="6">
        <f>Gen!U18</f>
        <v>2245</v>
      </c>
      <c r="D13" s="177">
        <f>Gen!T18</f>
        <v>948.21</v>
      </c>
      <c r="E13" s="177">
        <f>Gen!AK18</f>
        <v>123.3</v>
      </c>
      <c r="F13" s="177">
        <f>Gen!AS18</f>
        <v>1071.51</v>
      </c>
      <c r="G13" s="180">
        <f>'Utility report '!AC13</f>
        <v>54</v>
      </c>
      <c r="H13" s="180">
        <f>'Utility report '!AE13</f>
        <v>35</v>
      </c>
      <c r="I13" s="348">
        <f>'Water-Meter'!E13</f>
        <v>46</v>
      </c>
      <c r="J13" s="182">
        <f>'Lpg (2)'!B17</f>
        <v>85</v>
      </c>
      <c r="K13" s="182">
        <f>'Lpg (2)'!C17</f>
        <v>81</v>
      </c>
      <c r="L13" s="182">
        <f>'Lpg (2)'!D17</f>
        <v>0</v>
      </c>
      <c r="M13" s="528">
        <f>'Lpg (2)'!G17</f>
        <v>62.567999999941101</v>
      </c>
      <c r="N13" s="175">
        <f t="shared" si="2"/>
        <v>1327.4939999999999</v>
      </c>
      <c r="O13" s="175">
        <f t="shared" si="2"/>
        <v>172.61999999999998</v>
      </c>
      <c r="P13" s="174" t="e">
        <f>'[1]Lpg (2)'!#REF!</f>
        <v>#REF!</v>
      </c>
      <c r="Q13" s="175" t="e">
        <f>'[1]Summery Report'!#REF!</f>
        <v>#REF!</v>
      </c>
      <c r="R13" s="175">
        <f t="shared" si="0"/>
        <v>189.642</v>
      </c>
      <c r="S13" s="535" t="e">
        <f t="shared" si="1"/>
        <v>#REF!</v>
      </c>
    </row>
    <row r="14" spans="1:19" ht="14.25">
      <c r="A14" s="534">
        <f>Gen!B19</f>
        <v>44083</v>
      </c>
      <c r="B14" s="6">
        <f>'Summery Report'!E13</f>
        <v>5</v>
      </c>
      <c r="C14" s="6">
        <f>Gen!U19</f>
        <v>2101</v>
      </c>
      <c r="D14" s="177">
        <f>Gen!T19</f>
        <v>916.32999999999993</v>
      </c>
      <c r="E14" s="177">
        <f>Gen!AK19</f>
        <v>0</v>
      </c>
      <c r="F14" s="177">
        <f>Gen!AS19</f>
        <v>916.32999999999993</v>
      </c>
      <c r="G14" s="180">
        <f>'Utility report '!AC14</f>
        <v>46</v>
      </c>
      <c r="H14" s="180">
        <f>'Utility report '!AE14</f>
        <v>39</v>
      </c>
      <c r="I14" s="348">
        <f>'Water-Meter'!E14</f>
        <v>52</v>
      </c>
      <c r="J14" s="182">
        <f>'Lpg (2)'!B18</f>
        <v>85</v>
      </c>
      <c r="K14" s="182">
        <f>'Lpg (2)'!C18</f>
        <v>75</v>
      </c>
      <c r="L14" s="182">
        <f>'Lpg (2)'!D18</f>
        <v>0</v>
      </c>
      <c r="M14" s="528">
        <f>'Lpg (2)'!G18</f>
        <v>54.868000000005125</v>
      </c>
      <c r="N14" s="175">
        <f t="shared" si="2"/>
        <v>1282.8619999999999</v>
      </c>
      <c r="O14" s="175">
        <f t="shared" si="2"/>
        <v>0</v>
      </c>
      <c r="P14" s="174" t="e">
        <f>'[1]Lpg (2)'!#REF!</f>
        <v>#REF!</v>
      </c>
      <c r="Q14" s="175" t="e">
        <f>'[1]Summery Report'!#REF!</f>
        <v>#REF!</v>
      </c>
      <c r="R14" s="175">
        <f t="shared" si="0"/>
        <v>256.57239999999996</v>
      </c>
      <c r="S14" s="535" t="e">
        <f t="shared" si="1"/>
        <v>#REF!</v>
      </c>
    </row>
    <row r="15" spans="1:19" ht="14.25">
      <c r="A15" s="534">
        <f>Gen!B20</f>
        <v>44084</v>
      </c>
      <c r="B15" s="6">
        <f>'Summery Report'!E14</f>
        <v>1</v>
      </c>
      <c r="C15" s="6">
        <f>Gen!U20</f>
        <v>0</v>
      </c>
      <c r="D15" s="177">
        <f>Gen!T20</f>
        <v>0</v>
      </c>
      <c r="E15" s="177">
        <f>Gen!AK20</f>
        <v>0</v>
      </c>
      <c r="F15" s="177">
        <f>Gen!AS20</f>
        <v>0</v>
      </c>
      <c r="G15" s="180">
        <f>'Utility report '!AC15</f>
        <v>-38293</v>
      </c>
      <c r="H15" s="180">
        <f>'Utility report '!AE15</f>
        <v>-204958</v>
      </c>
      <c r="I15" s="348" t="str">
        <f>'Water-Meter'!E15</f>
        <v>0</v>
      </c>
      <c r="J15" s="182">
        <f>'Lpg (2)'!B19</f>
        <v>85</v>
      </c>
      <c r="K15" s="182">
        <f>'Lpg (2)'!C19</f>
        <v>72</v>
      </c>
      <c r="L15" s="182">
        <f>'Lpg (2)'!D19</f>
        <v>0</v>
      </c>
      <c r="M15" s="528">
        <f>'Lpg (2)'!G19</f>
        <v>-317645.94400000002</v>
      </c>
      <c r="N15" s="175">
        <f t="shared" si="2"/>
        <v>0</v>
      </c>
      <c r="O15" s="175">
        <f t="shared" si="2"/>
        <v>0</v>
      </c>
      <c r="P15" s="174" t="e">
        <f>'[1]Lpg (2)'!#REF!</f>
        <v>#REF!</v>
      </c>
      <c r="Q15" s="175" t="e">
        <f>'[1]Summery Report'!#REF!</f>
        <v>#REF!</v>
      </c>
      <c r="R15" s="175">
        <f t="shared" si="0"/>
        <v>0</v>
      </c>
      <c r="S15" s="535" t="e">
        <f t="shared" si="1"/>
        <v>#REF!</v>
      </c>
    </row>
    <row r="16" spans="1:19" ht="14.25">
      <c r="A16" s="534">
        <f>Gen!B21</f>
        <v>44085</v>
      </c>
      <c r="B16" s="6">
        <f>'Summery Report'!E15</f>
        <v>0</v>
      </c>
      <c r="C16" s="6">
        <f>Gen!U21</f>
        <v>0</v>
      </c>
      <c r="D16" s="177">
        <f>Gen!T21</f>
        <v>0</v>
      </c>
      <c r="E16" s="177">
        <f>Gen!AK21</f>
        <v>0</v>
      </c>
      <c r="F16" s="177">
        <f>Gen!AS21</f>
        <v>0</v>
      </c>
      <c r="G16" s="180">
        <f>'Utility report '!AC16</f>
        <v>0</v>
      </c>
      <c r="H16" s="180">
        <f>'Utility report '!AE16</f>
        <v>0</v>
      </c>
      <c r="I16" s="348">
        <f>'Water-Meter'!E16</f>
        <v>0</v>
      </c>
      <c r="J16" s="182">
        <f>'Lpg (2)'!B20</f>
        <v>0</v>
      </c>
      <c r="K16" s="182">
        <f>'Lpg (2)'!C20</f>
        <v>0</v>
      </c>
      <c r="L16" s="182">
        <f>'Lpg (2)'!D20</f>
        <v>0</v>
      </c>
      <c r="M16" s="528">
        <f>'Lpg (2)'!G20</f>
        <v>0</v>
      </c>
      <c r="N16" s="175">
        <f t="shared" si="2"/>
        <v>0</v>
      </c>
      <c r="O16" s="175">
        <f t="shared" si="2"/>
        <v>0</v>
      </c>
      <c r="P16" s="174" t="e">
        <f>'[1]Lpg (2)'!#REF!</f>
        <v>#REF!</v>
      </c>
      <c r="Q16" s="175" t="e">
        <f>'[1]Summery Report'!#REF!</f>
        <v>#REF!</v>
      </c>
      <c r="R16" s="175" t="e">
        <f t="shared" si="0"/>
        <v>#DIV/0!</v>
      </c>
      <c r="S16" s="535" t="e">
        <f t="shared" si="1"/>
        <v>#REF!</v>
      </c>
    </row>
    <row r="17" spans="1:19" ht="14.25">
      <c r="A17" s="534">
        <f>Gen!B22</f>
        <v>44086</v>
      </c>
      <c r="B17" s="6">
        <f>'Summery Report'!E16</f>
        <v>0</v>
      </c>
      <c r="C17" s="6">
        <f>Gen!U22</f>
        <v>0</v>
      </c>
      <c r="D17" s="177">
        <f>Gen!T22</f>
        <v>0</v>
      </c>
      <c r="E17" s="177">
        <f>Gen!AK22</f>
        <v>0</v>
      </c>
      <c r="F17" s="177">
        <f>Gen!AS22</f>
        <v>0</v>
      </c>
      <c r="G17" s="180">
        <f>'Utility report '!AC17</f>
        <v>0</v>
      </c>
      <c r="H17" s="180">
        <f>'Utility report '!AE17</f>
        <v>0</v>
      </c>
      <c r="I17" s="348">
        <f>'Water-Meter'!E17</f>
        <v>0</v>
      </c>
      <c r="J17" s="182">
        <f>'Lpg (2)'!B21</f>
        <v>0</v>
      </c>
      <c r="K17" s="182">
        <f>'Lpg (2)'!C22</f>
        <v>0</v>
      </c>
      <c r="L17" s="182">
        <f>'Lpg (2)'!D21</f>
        <v>0</v>
      </c>
      <c r="M17" s="528">
        <f>'Lpg (2)'!G21</f>
        <v>0</v>
      </c>
      <c r="N17" s="175">
        <f t="shared" si="2"/>
        <v>0</v>
      </c>
      <c r="O17" s="175">
        <f t="shared" si="2"/>
        <v>0</v>
      </c>
      <c r="P17" s="174" t="e">
        <f>'[1]Lpg (2)'!#REF!</f>
        <v>#REF!</v>
      </c>
      <c r="Q17" s="175" t="e">
        <f>'[1]Summery Report'!#REF!</f>
        <v>#REF!</v>
      </c>
      <c r="R17" s="175" t="e">
        <f t="shared" si="0"/>
        <v>#DIV/0!</v>
      </c>
      <c r="S17" s="535" t="e">
        <f t="shared" si="1"/>
        <v>#REF!</v>
      </c>
    </row>
    <row r="18" spans="1:19" ht="14.25">
      <c r="A18" s="534">
        <f>Gen!B23</f>
        <v>44087</v>
      </c>
      <c r="B18" s="6">
        <f>'Summery Report'!E17</f>
        <v>0</v>
      </c>
      <c r="C18" s="6">
        <f>Gen!U23</f>
        <v>0</v>
      </c>
      <c r="D18" s="177">
        <f>Gen!T23</f>
        <v>0</v>
      </c>
      <c r="E18" s="177">
        <f>Gen!AK23</f>
        <v>0</v>
      </c>
      <c r="F18" s="177">
        <f>Gen!AS23</f>
        <v>0</v>
      </c>
      <c r="G18" s="180">
        <f>'Utility report '!AC18</f>
        <v>0</v>
      </c>
      <c r="H18" s="180">
        <f>'Utility report '!AE18</f>
        <v>0</v>
      </c>
      <c r="I18" s="348">
        <f>'Water-Meter'!E18</f>
        <v>0</v>
      </c>
      <c r="J18" s="182">
        <f>'Lpg (2)'!B22</f>
        <v>0</v>
      </c>
      <c r="K18" s="182">
        <f>'Lpg (2)'!C23</f>
        <v>0</v>
      </c>
      <c r="L18" s="182">
        <f>'Lpg (2)'!D22</f>
        <v>0</v>
      </c>
      <c r="M18" s="528">
        <f>'Lpg (2)'!G22</f>
        <v>0</v>
      </c>
      <c r="N18" s="175">
        <f t="shared" si="2"/>
        <v>0</v>
      </c>
      <c r="O18" s="175">
        <f t="shared" si="2"/>
        <v>0</v>
      </c>
      <c r="P18" s="174" t="e">
        <f>'[1]Lpg (2)'!#REF!</f>
        <v>#REF!</v>
      </c>
      <c r="Q18" s="175" t="e">
        <f>'[1]Summery Report'!#REF!</f>
        <v>#REF!</v>
      </c>
      <c r="R18" s="175" t="e">
        <f t="shared" si="0"/>
        <v>#DIV/0!</v>
      </c>
      <c r="S18" s="535" t="e">
        <f t="shared" si="1"/>
        <v>#REF!</v>
      </c>
    </row>
    <row r="19" spans="1:19" ht="14.25">
      <c r="A19" s="534">
        <f>Gen!B24</f>
        <v>44088</v>
      </c>
      <c r="B19" s="6">
        <f>'Summery Report'!E18</f>
        <v>0</v>
      </c>
      <c r="C19" s="6">
        <f>Gen!U24</f>
        <v>0</v>
      </c>
      <c r="D19" s="177">
        <f>Gen!T24</f>
        <v>0</v>
      </c>
      <c r="E19" s="177">
        <f>Gen!AK24</f>
        <v>0</v>
      </c>
      <c r="F19" s="177">
        <f>Gen!AS24</f>
        <v>0</v>
      </c>
      <c r="G19" s="180">
        <f>'Utility report '!AC19</f>
        <v>0</v>
      </c>
      <c r="H19" s="180">
        <f>'Utility report '!AE19</f>
        <v>0</v>
      </c>
      <c r="I19" s="348">
        <f>'Water-Meter'!E19</f>
        <v>0</v>
      </c>
      <c r="J19" s="182">
        <f>'Lpg (2)'!B23</f>
        <v>0</v>
      </c>
      <c r="K19" s="182">
        <f>'Lpg (2)'!C24</f>
        <v>0</v>
      </c>
      <c r="L19" s="182">
        <f>'Lpg (2)'!D23</f>
        <v>0</v>
      </c>
      <c r="M19" s="528">
        <f>'Lpg (2)'!G23</f>
        <v>0</v>
      </c>
      <c r="N19" s="175">
        <f t="shared" si="2"/>
        <v>0</v>
      </c>
      <c r="O19" s="175">
        <f t="shared" si="2"/>
        <v>0</v>
      </c>
      <c r="P19" s="174" t="e">
        <f>'[1]Lpg (2)'!#REF!</f>
        <v>#REF!</v>
      </c>
      <c r="Q19" s="175" t="e">
        <f>'[1]Summery Report'!#REF!</f>
        <v>#REF!</v>
      </c>
      <c r="R19" s="175" t="e">
        <f t="shared" si="0"/>
        <v>#DIV/0!</v>
      </c>
      <c r="S19" s="535" t="e">
        <f t="shared" si="1"/>
        <v>#REF!</v>
      </c>
    </row>
    <row r="20" spans="1:19" ht="14.25">
      <c r="A20" s="534">
        <f>Gen!B25</f>
        <v>44089</v>
      </c>
      <c r="B20" s="6">
        <f>'Summery Report'!E19</f>
        <v>0</v>
      </c>
      <c r="C20" s="6">
        <f>Gen!U25</f>
        <v>0</v>
      </c>
      <c r="D20" s="177">
        <f>Gen!T25</f>
        <v>0</v>
      </c>
      <c r="E20" s="177">
        <f>Gen!AK25</f>
        <v>0</v>
      </c>
      <c r="F20" s="177">
        <f>Gen!AS25</f>
        <v>0</v>
      </c>
      <c r="G20" s="180">
        <f>'Utility report '!AC20</f>
        <v>0</v>
      </c>
      <c r="H20" s="180">
        <f>'Utility report '!AE20</f>
        <v>0</v>
      </c>
      <c r="I20" s="348">
        <f>'Water-Meter'!E20</f>
        <v>0</v>
      </c>
      <c r="J20" s="182">
        <f>'Lpg (2)'!B24</f>
        <v>0</v>
      </c>
      <c r="K20" s="182">
        <f>'Lpg (2)'!C25</f>
        <v>0</v>
      </c>
      <c r="L20" s="182">
        <f>'Lpg (2)'!D24</f>
        <v>0</v>
      </c>
      <c r="M20" s="528">
        <f>'Lpg (2)'!G24</f>
        <v>0</v>
      </c>
      <c r="N20" s="175">
        <f t="shared" si="2"/>
        <v>0</v>
      </c>
      <c r="O20" s="175">
        <f t="shared" si="2"/>
        <v>0</v>
      </c>
      <c r="P20" s="174" t="e">
        <f>'[1]Lpg (2)'!#REF!</f>
        <v>#REF!</v>
      </c>
      <c r="Q20" s="175" t="e">
        <f>'[1]Summery Report'!#REF!</f>
        <v>#REF!</v>
      </c>
      <c r="R20" s="175" t="e">
        <f t="shared" si="0"/>
        <v>#DIV/0!</v>
      </c>
      <c r="S20" s="535" t="e">
        <f t="shared" si="1"/>
        <v>#REF!</v>
      </c>
    </row>
    <row r="21" spans="1:19" ht="14.25">
      <c r="A21" s="534">
        <f>Gen!B26</f>
        <v>44090</v>
      </c>
      <c r="B21" s="6">
        <f>'Summery Report'!E20</f>
        <v>0</v>
      </c>
      <c r="C21" s="6">
        <f>Gen!U26</f>
        <v>0</v>
      </c>
      <c r="D21" s="177">
        <f>Gen!T26</f>
        <v>0</v>
      </c>
      <c r="E21" s="177">
        <f>Gen!AK26</f>
        <v>0</v>
      </c>
      <c r="F21" s="177">
        <f>Gen!AS26</f>
        <v>0</v>
      </c>
      <c r="G21" s="180">
        <f>'Utility report '!AC21</f>
        <v>0</v>
      </c>
      <c r="H21" s="180">
        <f>'Utility report '!AE21</f>
        <v>0</v>
      </c>
      <c r="I21" s="348">
        <f>'Water-Meter'!E21</f>
        <v>0</v>
      </c>
      <c r="J21" s="182">
        <f>'Lpg (2)'!B25</f>
        <v>0</v>
      </c>
      <c r="K21" s="182">
        <f>'Lpg (2)'!C25</f>
        <v>0</v>
      </c>
      <c r="L21" s="182">
        <f>'Lpg (2)'!D25</f>
        <v>0</v>
      </c>
      <c r="M21" s="528">
        <f>'Lpg (2)'!G25</f>
        <v>0</v>
      </c>
      <c r="N21" s="175">
        <f t="shared" si="2"/>
        <v>0</v>
      </c>
      <c r="O21" s="175">
        <f t="shared" si="2"/>
        <v>0</v>
      </c>
      <c r="P21" s="174" t="e">
        <f>'[1]Lpg (2)'!#REF!</f>
        <v>#REF!</v>
      </c>
      <c r="Q21" s="175" t="e">
        <f>'[1]Summery Report'!#REF!</f>
        <v>#REF!</v>
      </c>
      <c r="R21" s="175" t="e">
        <f t="shared" si="0"/>
        <v>#DIV/0!</v>
      </c>
      <c r="S21" s="535" t="e">
        <f t="shared" si="1"/>
        <v>#REF!</v>
      </c>
    </row>
    <row r="22" spans="1:19" ht="14.25">
      <c r="A22" s="534">
        <f>Gen!B27</f>
        <v>44091</v>
      </c>
      <c r="B22" s="6">
        <f>'Summery Report'!E21</f>
        <v>0</v>
      </c>
      <c r="C22" s="6">
        <f>Gen!U27</f>
        <v>0</v>
      </c>
      <c r="D22" s="177">
        <f>Gen!T27</f>
        <v>0</v>
      </c>
      <c r="E22" s="177">
        <f>Gen!AK27</f>
        <v>0</v>
      </c>
      <c r="F22" s="177">
        <f>Gen!AS27</f>
        <v>0</v>
      </c>
      <c r="G22" s="180">
        <f>'Utility report '!AC22</f>
        <v>0</v>
      </c>
      <c r="H22" s="180">
        <f>'Utility report '!AE22</f>
        <v>0</v>
      </c>
      <c r="I22" s="348">
        <f>'Water-Meter'!E22</f>
        <v>0</v>
      </c>
      <c r="J22" s="182">
        <f>'Lpg (2)'!B26</f>
        <v>0</v>
      </c>
      <c r="K22" s="182">
        <f>'Lpg (2)'!C26</f>
        <v>0</v>
      </c>
      <c r="L22" s="182">
        <f>'Lpg (2)'!D26</f>
        <v>0</v>
      </c>
      <c r="M22" s="528">
        <f>'Lpg (2)'!G26</f>
        <v>0</v>
      </c>
      <c r="N22" s="175">
        <f t="shared" si="2"/>
        <v>0</v>
      </c>
      <c r="O22" s="175">
        <f t="shared" si="2"/>
        <v>0</v>
      </c>
      <c r="P22" s="174" t="e">
        <f>'[1]Lpg (2)'!#REF!</f>
        <v>#REF!</v>
      </c>
      <c r="Q22" s="175" t="e">
        <f>'[1]Summery Report'!#REF!</f>
        <v>#REF!</v>
      </c>
      <c r="R22" s="175" t="e">
        <f t="shared" si="0"/>
        <v>#DIV/0!</v>
      </c>
      <c r="S22" s="535" t="e">
        <f t="shared" si="1"/>
        <v>#REF!</v>
      </c>
    </row>
    <row r="23" spans="1:19" ht="14.25">
      <c r="A23" s="534">
        <f>Gen!B28</f>
        <v>44092</v>
      </c>
      <c r="B23" s="6">
        <f>'Summery Report'!E22</f>
        <v>0</v>
      </c>
      <c r="C23" s="6">
        <f>Gen!U28</f>
        <v>0</v>
      </c>
      <c r="D23" s="177">
        <f>Gen!T28</f>
        <v>0</v>
      </c>
      <c r="E23" s="177">
        <f>Gen!AK28</f>
        <v>0</v>
      </c>
      <c r="F23" s="177">
        <f>Gen!AS28</f>
        <v>0</v>
      </c>
      <c r="G23" s="180">
        <f>'Utility report '!AC23</f>
        <v>0</v>
      </c>
      <c r="H23" s="180">
        <f>'Utility report '!AE23</f>
        <v>0</v>
      </c>
      <c r="I23" s="348">
        <f>'Water-Meter'!E23</f>
        <v>0</v>
      </c>
      <c r="J23" s="182">
        <f>'Lpg (2)'!B27</f>
        <v>0</v>
      </c>
      <c r="K23" s="182">
        <f>'Lpg (2)'!C27</f>
        <v>0</v>
      </c>
      <c r="L23" s="182">
        <f>'Lpg (2)'!D27</f>
        <v>0</v>
      </c>
      <c r="M23" s="528">
        <f>'Lpg (2)'!G27</f>
        <v>0</v>
      </c>
      <c r="N23" s="175">
        <f t="shared" si="2"/>
        <v>0</v>
      </c>
      <c r="O23" s="175">
        <f t="shared" si="2"/>
        <v>0</v>
      </c>
      <c r="P23" s="174" t="e">
        <f>'[1]Lpg (2)'!#REF!</f>
        <v>#REF!</v>
      </c>
      <c r="Q23" s="175" t="e">
        <f>'[1]Summery Report'!#REF!</f>
        <v>#REF!</v>
      </c>
      <c r="R23" s="175" t="e">
        <f t="shared" si="0"/>
        <v>#DIV/0!</v>
      </c>
      <c r="S23" s="535" t="e">
        <f t="shared" si="1"/>
        <v>#REF!</v>
      </c>
    </row>
    <row r="24" spans="1:19" ht="14.25">
      <c r="A24" s="534">
        <f>Gen!B29</f>
        <v>44093</v>
      </c>
      <c r="B24" s="6">
        <f>'Summery Report'!E23</f>
        <v>0</v>
      </c>
      <c r="C24" s="6">
        <f>Gen!U29</f>
        <v>0</v>
      </c>
      <c r="D24" s="177">
        <f>Gen!T29</f>
        <v>0</v>
      </c>
      <c r="E24" s="177">
        <f>Gen!AK29</f>
        <v>0</v>
      </c>
      <c r="F24" s="177">
        <f>Gen!AS29</f>
        <v>0</v>
      </c>
      <c r="G24" s="180">
        <f>'Utility report '!AC24</f>
        <v>0</v>
      </c>
      <c r="H24" s="180">
        <f>'Utility report '!AE24</f>
        <v>0</v>
      </c>
      <c r="I24" s="348">
        <f>'Water-Meter'!E24</f>
        <v>0</v>
      </c>
      <c r="J24" s="182">
        <f>'Lpg (2)'!B28</f>
        <v>0</v>
      </c>
      <c r="K24" s="182">
        <f>'Lpg (2)'!C28</f>
        <v>0</v>
      </c>
      <c r="L24" s="182">
        <f>'Lpg (2)'!D28</f>
        <v>0</v>
      </c>
      <c r="M24" s="528">
        <f>'Lpg (2)'!G28</f>
        <v>0</v>
      </c>
      <c r="N24" s="175">
        <f t="shared" si="2"/>
        <v>0</v>
      </c>
      <c r="O24" s="175">
        <f t="shared" si="2"/>
        <v>0</v>
      </c>
      <c r="P24" s="174" t="e">
        <f>'[1]Lpg (2)'!#REF!</f>
        <v>#REF!</v>
      </c>
      <c r="Q24" s="175" t="e">
        <f>'[1]Summery Report'!#REF!</f>
        <v>#REF!</v>
      </c>
      <c r="R24" s="175" t="e">
        <f t="shared" si="0"/>
        <v>#DIV/0!</v>
      </c>
      <c r="S24" s="535" t="e">
        <f t="shared" si="1"/>
        <v>#REF!</v>
      </c>
    </row>
    <row r="25" spans="1:19" ht="14.25">
      <c r="A25" s="534">
        <f>Gen!B30</f>
        <v>44094</v>
      </c>
      <c r="B25" s="6">
        <f>'Summery Report'!E24</f>
        <v>0</v>
      </c>
      <c r="C25" s="6">
        <f>Gen!U30</f>
        <v>0</v>
      </c>
      <c r="D25" s="177">
        <f>Gen!T30</f>
        <v>0</v>
      </c>
      <c r="E25" s="177">
        <f>Gen!AK30</f>
        <v>0</v>
      </c>
      <c r="F25" s="177">
        <f>Gen!AS30</f>
        <v>0</v>
      </c>
      <c r="G25" s="180">
        <f>'Utility report '!AC25</f>
        <v>0</v>
      </c>
      <c r="H25" s="180">
        <f>'Utility report '!AE25</f>
        <v>0</v>
      </c>
      <c r="I25" s="348">
        <f>'Water-Meter'!E25</f>
        <v>0</v>
      </c>
      <c r="J25" s="182">
        <f>'Lpg (2)'!B29</f>
        <v>0</v>
      </c>
      <c r="K25" s="182">
        <f>'Lpg (2)'!C29</f>
        <v>0</v>
      </c>
      <c r="L25" s="182">
        <f>'Lpg (2)'!D29</f>
        <v>0</v>
      </c>
      <c r="M25" s="528">
        <f>'Lpg (2)'!G29</f>
        <v>0</v>
      </c>
      <c r="N25" s="175">
        <f t="shared" si="2"/>
        <v>0</v>
      </c>
      <c r="O25" s="175">
        <f t="shared" si="2"/>
        <v>0</v>
      </c>
      <c r="P25" s="174" t="e">
        <f>'[1]Lpg (2)'!#REF!</f>
        <v>#REF!</v>
      </c>
      <c r="Q25" s="175" t="e">
        <f>'[1]Summery Report'!#REF!</f>
        <v>#REF!</v>
      </c>
      <c r="R25" s="175" t="e">
        <f t="shared" si="0"/>
        <v>#DIV/0!</v>
      </c>
      <c r="S25" s="535" t="e">
        <f t="shared" si="1"/>
        <v>#REF!</v>
      </c>
    </row>
    <row r="26" spans="1:19" ht="14.25">
      <c r="A26" s="534">
        <f>Gen!B31</f>
        <v>44095</v>
      </c>
      <c r="B26" s="6">
        <f>'Summery Report'!E25</f>
        <v>0</v>
      </c>
      <c r="C26" s="6">
        <f>Gen!U31</f>
        <v>0</v>
      </c>
      <c r="D26" s="177">
        <f>Gen!T31</f>
        <v>0</v>
      </c>
      <c r="E26" s="177">
        <f>Gen!AK31</f>
        <v>0</v>
      </c>
      <c r="F26" s="177">
        <f>Gen!AS31</f>
        <v>0</v>
      </c>
      <c r="G26" s="180">
        <f>'Utility report '!AC26</f>
        <v>0</v>
      </c>
      <c r="H26" s="180">
        <f>'Utility report '!AE26</f>
        <v>0</v>
      </c>
      <c r="I26" s="348">
        <f>'Water-Meter'!E26</f>
        <v>0</v>
      </c>
      <c r="J26" s="182">
        <f>'Lpg (2)'!B30</f>
        <v>0</v>
      </c>
      <c r="K26" s="182">
        <f>'Lpg (2)'!C30</f>
        <v>0</v>
      </c>
      <c r="L26" s="182">
        <f>'Lpg (2)'!D30</f>
        <v>0</v>
      </c>
      <c r="M26" s="528">
        <f>'Lpg (2)'!G30</f>
        <v>0</v>
      </c>
      <c r="N26" s="175">
        <f t="shared" si="2"/>
        <v>0</v>
      </c>
      <c r="O26" s="175">
        <f t="shared" si="2"/>
        <v>0</v>
      </c>
      <c r="P26" s="174" t="e">
        <f>'[1]Lpg (2)'!#REF!</f>
        <v>#REF!</v>
      </c>
      <c r="Q26" s="175" t="e">
        <f>'[1]Summery Report'!#REF!</f>
        <v>#REF!</v>
      </c>
      <c r="R26" s="175" t="e">
        <f t="shared" si="0"/>
        <v>#DIV/0!</v>
      </c>
      <c r="S26" s="535" t="e">
        <f t="shared" si="1"/>
        <v>#REF!</v>
      </c>
    </row>
    <row r="27" spans="1:19" ht="14.25">
      <c r="A27" s="534">
        <f>Gen!B32</f>
        <v>44096</v>
      </c>
      <c r="B27" s="6">
        <f>'Summery Report'!E26</f>
        <v>0</v>
      </c>
      <c r="C27" s="6">
        <f>Gen!U32</f>
        <v>0</v>
      </c>
      <c r="D27" s="177">
        <f>Gen!T32</f>
        <v>0</v>
      </c>
      <c r="E27" s="177">
        <f>Gen!AK32</f>
        <v>0</v>
      </c>
      <c r="F27" s="177">
        <f>Gen!AS32</f>
        <v>0</v>
      </c>
      <c r="G27" s="180">
        <f>'Utility report '!AC27</f>
        <v>0</v>
      </c>
      <c r="H27" s="180">
        <f>'Utility report '!AE27</f>
        <v>0</v>
      </c>
      <c r="I27" s="348">
        <f>'Water-Meter'!E27</f>
        <v>0</v>
      </c>
      <c r="J27" s="182">
        <f>'Lpg (2)'!B31</f>
        <v>0</v>
      </c>
      <c r="K27" s="182">
        <f>'Lpg (2)'!C31</f>
        <v>0</v>
      </c>
      <c r="L27" s="182">
        <f>'Lpg (2)'!D31</f>
        <v>0</v>
      </c>
      <c r="M27" s="528">
        <f>'Lpg (2)'!G31</f>
        <v>0</v>
      </c>
      <c r="N27" s="175">
        <f t="shared" si="2"/>
        <v>0</v>
      </c>
      <c r="O27" s="175">
        <f t="shared" si="2"/>
        <v>0</v>
      </c>
      <c r="P27" s="174" t="e">
        <f>'[1]Lpg (2)'!#REF!</f>
        <v>#REF!</v>
      </c>
      <c r="Q27" s="175" t="e">
        <f>'[1]Summery Report'!#REF!</f>
        <v>#REF!</v>
      </c>
      <c r="R27" s="175" t="e">
        <f t="shared" si="0"/>
        <v>#DIV/0!</v>
      </c>
      <c r="S27" s="535" t="e">
        <f t="shared" si="1"/>
        <v>#REF!</v>
      </c>
    </row>
    <row r="28" spans="1:19" ht="14.25">
      <c r="A28" s="534">
        <f>Gen!B33</f>
        <v>44097</v>
      </c>
      <c r="B28" s="6">
        <f>'Summery Report'!E27</f>
        <v>0</v>
      </c>
      <c r="C28" s="6">
        <f>Gen!U33</f>
        <v>0</v>
      </c>
      <c r="D28" s="177">
        <f>Gen!T33</f>
        <v>0</v>
      </c>
      <c r="E28" s="177">
        <f>Gen!AK33</f>
        <v>0</v>
      </c>
      <c r="F28" s="177">
        <f>Gen!AS33</f>
        <v>0</v>
      </c>
      <c r="G28" s="180">
        <f>'Utility report '!AC28</f>
        <v>0</v>
      </c>
      <c r="H28" s="180">
        <f>'Utility report '!AE28</f>
        <v>0</v>
      </c>
      <c r="I28" s="348">
        <f>'Water-Meter'!E28</f>
        <v>0</v>
      </c>
      <c r="J28" s="182">
        <f>'Lpg (2)'!B32</f>
        <v>0</v>
      </c>
      <c r="K28" s="182">
        <f>'Lpg (2)'!C32</f>
        <v>0</v>
      </c>
      <c r="L28" s="182">
        <f>'Lpg (2)'!D32</f>
        <v>0</v>
      </c>
      <c r="M28" s="528">
        <f>'Lpg (2)'!G32</f>
        <v>0</v>
      </c>
      <c r="N28" s="175">
        <f t="shared" si="2"/>
        <v>0</v>
      </c>
      <c r="O28" s="175">
        <f t="shared" si="2"/>
        <v>0</v>
      </c>
      <c r="P28" s="174" t="e">
        <f>'[1]Lpg (2)'!#REF!</f>
        <v>#REF!</v>
      </c>
      <c r="Q28" s="175" t="e">
        <f>'[1]Summery Report'!#REF!</f>
        <v>#REF!</v>
      </c>
      <c r="R28" s="175" t="e">
        <f t="shared" si="0"/>
        <v>#DIV/0!</v>
      </c>
      <c r="S28" s="535" t="e">
        <f t="shared" si="1"/>
        <v>#REF!</v>
      </c>
    </row>
    <row r="29" spans="1:19" ht="14.25">
      <c r="A29" s="534">
        <f>Gen!B34</f>
        <v>44098</v>
      </c>
      <c r="B29" s="6">
        <f>'Summery Report'!E28</f>
        <v>0</v>
      </c>
      <c r="C29" s="6">
        <f>Gen!U34</f>
        <v>0</v>
      </c>
      <c r="D29" s="177">
        <f>Gen!T34</f>
        <v>0</v>
      </c>
      <c r="E29" s="177">
        <f>Gen!AK34</f>
        <v>0</v>
      </c>
      <c r="F29" s="177">
        <f>Gen!AS34</f>
        <v>0</v>
      </c>
      <c r="G29" s="180">
        <f>'Utility report '!AC29</f>
        <v>0</v>
      </c>
      <c r="H29" s="180">
        <f>'Utility report '!AE29</f>
        <v>0</v>
      </c>
      <c r="I29" s="348">
        <f>'Water-Meter'!E29</f>
        <v>0</v>
      </c>
      <c r="J29" s="182">
        <f>'Lpg (2)'!B33</f>
        <v>0</v>
      </c>
      <c r="K29" s="182">
        <f>'Lpg (2)'!C33</f>
        <v>0</v>
      </c>
      <c r="L29" s="182">
        <f>'Lpg (2)'!D33</f>
        <v>0</v>
      </c>
      <c r="M29" s="528">
        <f>'Lpg (2)'!G33</f>
        <v>0</v>
      </c>
      <c r="N29" s="175">
        <f t="shared" si="2"/>
        <v>0</v>
      </c>
      <c r="O29" s="175">
        <f t="shared" si="2"/>
        <v>0</v>
      </c>
      <c r="P29" s="174" t="e">
        <f>'[1]Lpg (2)'!#REF!</f>
        <v>#REF!</v>
      </c>
      <c r="Q29" s="175" t="e">
        <f>'[1]Summery Report'!#REF!</f>
        <v>#REF!</v>
      </c>
      <c r="R29" s="175" t="e">
        <f t="shared" si="0"/>
        <v>#DIV/0!</v>
      </c>
      <c r="S29" s="535" t="e">
        <f t="shared" si="1"/>
        <v>#REF!</v>
      </c>
    </row>
    <row r="30" spans="1:19" ht="14.25">
      <c r="A30" s="534">
        <f>Gen!B35</f>
        <v>44099</v>
      </c>
      <c r="B30" s="6">
        <f>'Summery Report'!E29</f>
        <v>0</v>
      </c>
      <c r="C30" s="6">
        <f>Gen!U35</f>
        <v>0</v>
      </c>
      <c r="D30" s="177">
        <f>Gen!T35</f>
        <v>0</v>
      </c>
      <c r="E30" s="177">
        <f>Gen!AK35</f>
        <v>0</v>
      </c>
      <c r="F30" s="177">
        <f>Gen!AS35</f>
        <v>0</v>
      </c>
      <c r="G30" s="180">
        <f>'Utility report '!AC30</f>
        <v>0</v>
      </c>
      <c r="H30" s="180">
        <f>'Utility report '!AE30</f>
        <v>0</v>
      </c>
      <c r="I30" s="348">
        <f>'Water-Meter'!E30</f>
        <v>0</v>
      </c>
      <c r="J30" s="182">
        <f>'Lpg (2)'!B34</f>
        <v>0</v>
      </c>
      <c r="K30" s="182">
        <f>'Lpg (2)'!C34</f>
        <v>0</v>
      </c>
      <c r="L30" s="182">
        <f>'Lpg (2)'!D34</f>
        <v>0</v>
      </c>
      <c r="M30" s="528">
        <f>'Lpg (2)'!G34</f>
        <v>0</v>
      </c>
      <c r="N30" s="175">
        <f t="shared" si="2"/>
        <v>0</v>
      </c>
      <c r="O30" s="175">
        <f t="shared" si="2"/>
        <v>0</v>
      </c>
      <c r="P30" s="174" t="e">
        <f>'[1]Lpg (2)'!#REF!</f>
        <v>#REF!</v>
      </c>
      <c r="Q30" s="175" t="e">
        <f>'[1]Summery Report'!#REF!</f>
        <v>#REF!</v>
      </c>
      <c r="R30" s="175" t="e">
        <f t="shared" si="0"/>
        <v>#DIV/0!</v>
      </c>
      <c r="S30" s="535" t="e">
        <f t="shared" si="1"/>
        <v>#REF!</v>
      </c>
    </row>
    <row r="31" spans="1:19" ht="14.25">
      <c r="A31" s="534">
        <f>Gen!B36</f>
        <v>44100</v>
      </c>
      <c r="B31" s="6">
        <f>'Summery Report'!E30</f>
        <v>0</v>
      </c>
      <c r="C31" s="6">
        <f>Gen!U36</f>
        <v>0</v>
      </c>
      <c r="D31" s="177">
        <f>Gen!T36</f>
        <v>0</v>
      </c>
      <c r="E31" s="177">
        <f>Gen!AK36</f>
        <v>0</v>
      </c>
      <c r="F31" s="177">
        <f>Gen!AS36</f>
        <v>0</v>
      </c>
      <c r="G31" s="180">
        <f>'Utility report '!AC31</f>
        <v>0</v>
      </c>
      <c r="H31" s="180">
        <f>'Utility report '!AE31</f>
        <v>0</v>
      </c>
      <c r="I31" s="348">
        <f>'Water-Meter'!E31</f>
        <v>0</v>
      </c>
      <c r="J31" s="182">
        <f>'Lpg (2)'!B35</f>
        <v>0</v>
      </c>
      <c r="K31" s="182">
        <f>'Lpg (2)'!C35</f>
        <v>0</v>
      </c>
      <c r="L31" s="182">
        <f>'Lpg (2)'!D35</f>
        <v>0</v>
      </c>
      <c r="M31" s="528">
        <f>'Lpg (2)'!G35</f>
        <v>0</v>
      </c>
      <c r="N31" s="175">
        <f t="shared" si="2"/>
        <v>0</v>
      </c>
      <c r="O31" s="175">
        <f t="shared" si="2"/>
        <v>0</v>
      </c>
      <c r="P31" s="174" t="e">
        <f>'[1]Lpg (2)'!#REF!</f>
        <v>#REF!</v>
      </c>
      <c r="Q31" s="175" t="e">
        <f>'[1]Summery Report'!#REF!</f>
        <v>#REF!</v>
      </c>
      <c r="R31" s="175" t="e">
        <f t="shared" si="0"/>
        <v>#DIV/0!</v>
      </c>
      <c r="S31" s="535" t="e">
        <f t="shared" si="1"/>
        <v>#REF!</v>
      </c>
    </row>
    <row r="32" spans="1:19" ht="14.25">
      <c r="A32" s="534">
        <f>Gen!B37</f>
        <v>44101</v>
      </c>
      <c r="B32" s="6">
        <f>'Summery Report'!E31</f>
        <v>0</v>
      </c>
      <c r="C32" s="6">
        <f>Gen!U37</f>
        <v>0</v>
      </c>
      <c r="D32" s="177">
        <f>Gen!T37</f>
        <v>0</v>
      </c>
      <c r="E32" s="177">
        <f>Gen!AK37</f>
        <v>0</v>
      </c>
      <c r="F32" s="177">
        <f>Gen!AS37</f>
        <v>0</v>
      </c>
      <c r="G32" s="180">
        <f>'Utility report '!AC32</f>
        <v>0</v>
      </c>
      <c r="H32" s="180">
        <f>'Utility report '!AE32</f>
        <v>0</v>
      </c>
      <c r="I32" s="348">
        <f>'Water-Meter'!E32</f>
        <v>0</v>
      </c>
      <c r="J32" s="182">
        <f>'Lpg (2)'!B36</f>
        <v>0</v>
      </c>
      <c r="K32" s="182">
        <f>'Lpg (2)'!C36</f>
        <v>0</v>
      </c>
      <c r="L32" s="182">
        <f>'Lpg (2)'!D36</f>
        <v>0</v>
      </c>
      <c r="M32" s="528">
        <f>'Lpg (2)'!G36</f>
        <v>0</v>
      </c>
      <c r="N32" s="175">
        <f t="shared" si="2"/>
        <v>0</v>
      </c>
      <c r="O32" s="175">
        <f t="shared" si="2"/>
        <v>0</v>
      </c>
      <c r="P32" s="174" t="e">
        <f>'[1]Lpg (2)'!#REF!</f>
        <v>#REF!</v>
      </c>
      <c r="Q32" s="175" t="e">
        <f>'[1]Summery Report'!#REF!</f>
        <v>#REF!</v>
      </c>
      <c r="R32" s="175" t="e">
        <f t="shared" si="0"/>
        <v>#DIV/0!</v>
      </c>
      <c r="S32" s="535" t="e">
        <f t="shared" si="1"/>
        <v>#REF!</v>
      </c>
    </row>
    <row r="33" spans="1:20" ht="14.25">
      <c r="A33" s="534">
        <f>Gen!B38</f>
        <v>44102</v>
      </c>
      <c r="B33" s="6">
        <f>'Summery Report'!E32</f>
        <v>0</v>
      </c>
      <c r="C33" s="6">
        <f>Gen!U38</f>
        <v>0</v>
      </c>
      <c r="D33" s="177">
        <f>Gen!T38</f>
        <v>0</v>
      </c>
      <c r="E33" s="177">
        <f>Gen!AK38</f>
        <v>0</v>
      </c>
      <c r="F33" s="177">
        <f>Gen!AS38</f>
        <v>0</v>
      </c>
      <c r="G33" s="180">
        <f>'Utility report '!AC33</f>
        <v>0</v>
      </c>
      <c r="H33" s="180">
        <f>'Utility report '!AE33</f>
        <v>0</v>
      </c>
      <c r="I33" s="348">
        <f>'Water-Meter'!E33</f>
        <v>0</v>
      </c>
      <c r="J33" s="182">
        <f>'Lpg (2)'!B37</f>
        <v>0</v>
      </c>
      <c r="K33" s="182">
        <f>'Lpg (2)'!C37</f>
        <v>0</v>
      </c>
      <c r="L33" s="182">
        <f>'Lpg (2)'!D37</f>
        <v>0</v>
      </c>
      <c r="M33" s="528">
        <f>'Lpg (2)'!G37</f>
        <v>0</v>
      </c>
      <c r="N33" s="175">
        <f t="shared" si="2"/>
        <v>0</v>
      </c>
      <c r="O33" s="175">
        <f t="shared" si="2"/>
        <v>0</v>
      </c>
      <c r="P33" s="174" t="e">
        <f>'[1]Lpg (2)'!#REF!</f>
        <v>#REF!</v>
      </c>
      <c r="Q33" s="175" t="e">
        <f>'[1]Summery Report'!#REF!</f>
        <v>#REF!</v>
      </c>
      <c r="R33" s="175" t="e">
        <f t="shared" si="0"/>
        <v>#DIV/0!</v>
      </c>
      <c r="S33" s="535" t="e">
        <f t="shared" si="1"/>
        <v>#REF!</v>
      </c>
      <c r="T33">
        <f>3124/13</f>
        <v>240.30769230769232</v>
      </c>
    </row>
    <row r="34" spans="1:20" ht="14.25">
      <c r="A34" s="534">
        <f>Gen!B39</f>
        <v>44103</v>
      </c>
      <c r="B34" s="6">
        <f>'Summery Report'!E33</f>
        <v>0</v>
      </c>
      <c r="C34" s="6">
        <f>Gen!U39</f>
        <v>0</v>
      </c>
      <c r="D34" s="177">
        <f>Gen!T39</f>
        <v>0</v>
      </c>
      <c r="E34" s="177">
        <f>Gen!AK39</f>
        <v>0</v>
      </c>
      <c r="F34" s="177">
        <f>Gen!AS39</f>
        <v>0</v>
      </c>
      <c r="G34" s="180">
        <f>'Utility report '!AC34</f>
        <v>0</v>
      </c>
      <c r="H34" s="180">
        <f>'Utility report '!AE34</f>
        <v>0</v>
      </c>
      <c r="I34" s="348">
        <f>'Water-Meter'!E34</f>
        <v>0</v>
      </c>
      <c r="J34" s="182">
        <f>'Lpg (2)'!B38</f>
        <v>0</v>
      </c>
      <c r="K34" s="182">
        <f>'Lpg (2)'!C38</f>
        <v>0</v>
      </c>
      <c r="L34" s="182">
        <f>'Lpg (2)'!D38</f>
        <v>0</v>
      </c>
      <c r="M34" s="528">
        <f>'Lpg (2)'!G38</f>
        <v>0</v>
      </c>
      <c r="N34" s="175">
        <f t="shared" si="2"/>
        <v>0</v>
      </c>
      <c r="O34" s="175">
        <f t="shared" si="2"/>
        <v>0</v>
      </c>
      <c r="P34" s="174" t="e">
        <f>'[1]Lpg (2)'!#REF!</f>
        <v>#REF!</v>
      </c>
      <c r="Q34" s="175" t="e">
        <f>'[1]Summery Report'!#REF!</f>
        <v>#REF!</v>
      </c>
      <c r="R34" s="175" t="e">
        <f t="shared" si="0"/>
        <v>#DIV/0!</v>
      </c>
      <c r="S34" s="535" t="e">
        <f t="shared" si="1"/>
        <v>#REF!</v>
      </c>
    </row>
    <row r="35" spans="1:20" ht="14.25">
      <c r="A35" s="534">
        <f>Gen!B40</f>
        <v>44104</v>
      </c>
      <c r="B35" s="6">
        <f>'Summery Report'!E34</f>
        <v>0</v>
      </c>
      <c r="C35" s="6">
        <f>Gen!U40</f>
        <v>0</v>
      </c>
      <c r="D35" s="177">
        <f>Gen!T40</f>
        <v>0</v>
      </c>
      <c r="E35" s="177">
        <f>Gen!AK40</f>
        <v>0</v>
      </c>
      <c r="F35" s="177">
        <f>Gen!AS40</f>
        <v>0</v>
      </c>
      <c r="G35" s="180">
        <f>'Utility report '!AC35</f>
        <v>0</v>
      </c>
      <c r="H35" s="180">
        <f>'Utility report '!AE35</f>
        <v>0</v>
      </c>
      <c r="I35" s="348">
        <f>'Water-Meter'!E35</f>
        <v>0</v>
      </c>
      <c r="J35" s="182">
        <f>'Lpg (2)'!B39</f>
        <v>0</v>
      </c>
      <c r="K35" s="182">
        <f>'Lpg (2)'!C39</f>
        <v>0</v>
      </c>
      <c r="L35" s="182">
        <f>'Lpg (2)'!D39</f>
        <v>0</v>
      </c>
      <c r="M35" s="528">
        <f>'Lpg (2)'!G39</f>
        <v>0</v>
      </c>
      <c r="N35" s="175">
        <f t="shared" si="2"/>
        <v>0</v>
      </c>
      <c r="O35" s="175">
        <f t="shared" si="2"/>
        <v>0</v>
      </c>
      <c r="P35" s="174" t="e">
        <f>'[1]Lpg (2)'!#REF!</f>
        <v>#REF!</v>
      </c>
      <c r="Q35" s="175" t="e">
        <f>'[1]Summery Report'!#REF!</f>
        <v>#REF!</v>
      </c>
      <c r="R35" s="175" t="e">
        <f t="shared" si="0"/>
        <v>#DIV/0!</v>
      </c>
      <c r="S35" s="535" t="e">
        <f t="shared" si="1"/>
        <v>#REF!</v>
      </c>
    </row>
    <row r="36" spans="1:20" ht="14.25">
      <c r="A36" s="534">
        <f>Gen!B41</f>
        <v>0</v>
      </c>
      <c r="B36" s="6">
        <f>'Summery Report'!E35</f>
        <v>0</v>
      </c>
      <c r="C36" s="6">
        <f>Gen!U41</f>
        <v>0</v>
      </c>
      <c r="D36" s="177">
        <f>Gen!T41</f>
        <v>0</v>
      </c>
      <c r="E36" s="177">
        <f>Gen!AK41</f>
        <v>0</v>
      </c>
      <c r="F36" s="177">
        <f>Gen!AS41</f>
        <v>0</v>
      </c>
      <c r="G36" s="180">
        <f>'Utility report '!AC36</f>
        <v>0</v>
      </c>
      <c r="H36" s="180">
        <f>'Utility report '!AE36</f>
        <v>0</v>
      </c>
      <c r="I36" s="348">
        <f>'Water-Meter'!E36</f>
        <v>0</v>
      </c>
      <c r="J36" s="182">
        <f>'Lpg (2)'!B40</f>
        <v>0</v>
      </c>
      <c r="K36" s="182">
        <f>'Lpg (2)'!C40</f>
        <v>0</v>
      </c>
      <c r="L36" s="182">
        <f>'Lpg (2)'!D40</f>
        <v>0</v>
      </c>
      <c r="M36" s="528">
        <f>'Lpg (2)'!G40</f>
        <v>0</v>
      </c>
      <c r="N36" s="175">
        <f t="shared" si="2"/>
        <v>0</v>
      </c>
      <c r="O36" s="175">
        <f t="shared" si="2"/>
        <v>0</v>
      </c>
      <c r="P36" s="174" t="e">
        <f>'[1]Lpg (2)'!#REF!</f>
        <v>#REF!</v>
      </c>
      <c r="Q36" s="175" t="e">
        <f>'[1]Summery Report'!#REF!</f>
        <v>#REF!</v>
      </c>
      <c r="R36" s="175" t="e">
        <f t="shared" si="0"/>
        <v>#DIV/0!</v>
      </c>
      <c r="S36" s="535" t="e">
        <f t="shared" si="1"/>
        <v>#REF!</v>
      </c>
    </row>
    <row r="37" spans="1:20" ht="14.25">
      <c r="A37" s="534">
        <f>Gen!B42</f>
        <v>0</v>
      </c>
      <c r="B37" s="6">
        <f>'Summery Report'!E36</f>
        <v>0</v>
      </c>
      <c r="C37" s="6">
        <f>Gen!U42</f>
        <v>0</v>
      </c>
      <c r="D37" s="177">
        <f>Gen!T42</f>
        <v>0</v>
      </c>
      <c r="E37" s="177">
        <f>Gen!AK42</f>
        <v>0</v>
      </c>
      <c r="F37" s="177">
        <f>Gen!AS42</f>
        <v>0</v>
      </c>
      <c r="G37" s="180">
        <f>'Utility report '!AC37</f>
        <v>0</v>
      </c>
      <c r="H37" s="180">
        <f>'Utility report '!AE37</f>
        <v>0</v>
      </c>
      <c r="I37" s="348">
        <f>'Water-Meter'!E37</f>
        <v>0</v>
      </c>
      <c r="J37" s="182">
        <f>'Lpg (2)'!B41</f>
        <v>0</v>
      </c>
      <c r="K37" s="182">
        <f>'Lpg (2)'!C41</f>
        <v>0</v>
      </c>
      <c r="L37" s="182">
        <f>'Lpg (2)'!D41</f>
        <v>0</v>
      </c>
      <c r="M37" s="528">
        <f>'Lpg (2)'!G41</f>
        <v>0</v>
      </c>
      <c r="N37" s="6"/>
      <c r="O37" s="6"/>
      <c r="P37" s="6"/>
      <c r="Q37" s="175" t="e">
        <f>'[1]Summery Report'!#REF!</f>
        <v>#REF!</v>
      </c>
      <c r="R37" s="175" t="e">
        <f t="shared" si="0"/>
        <v>#DIV/0!</v>
      </c>
      <c r="S37" s="535" t="e">
        <f t="shared" si="1"/>
        <v>#REF!</v>
      </c>
    </row>
    <row r="38" spans="1:20" ht="14.25">
      <c r="A38" s="534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536"/>
    </row>
    <row r="39" spans="1:20" ht="13.5" thickBot="1">
      <c r="A39" s="55" t="s">
        <v>13</v>
      </c>
      <c r="B39" s="537">
        <f>SUM(B7:B37)</f>
        <v>47</v>
      </c>
      <c r="C39" s="537">
        <f>SUM(C7:C35)</f>
        <v>17343</v>
      </c>
      <c r="D39" s="537">
        <f>SUM(D7:D35)</f>
        <v>7335.920000000001</v>
      </c>
      <c r="E39" s="537">
        <f t="shared" ref="E39:S39" si="3">SUM(E7:E35)</f>
        <v>499.12</v>
      </c>
      <c r="F39" s="537">
        <f t="shared" si="3"/>
        <v>7835.04</v>
      </c>
      <c r="G39" s="537">
        <f t="shared" si="3"/>
        <v>-37882</v>
      </c>
      <c r="H39" s="537">
        <f t="shared" si="3"/>
        <v>-204651</v>
      </c>
      <c r="I39" s="537">
        <f t="shared" si="3"/>
        <v>421</v>
      </c>
      <c r="J39" s="537">
        <f t="shared" si="3"/>
        <v>765</v>
      </c>
      <c r="K39" s="537">
        <f t="shared" si="3"/>
        <v>738</v>
      </c>
      <c r="L39" s="537">
        <f t="shared" si="3"/>
        <v>6</v>
      </c>
      <c r="M39" s="537">
        <f t="shared" si="3"/>
        <v>-317164.40800000005</v>
      </c>
      <c r="N39" s="537">
        <f t="shared" si="3"/>
        <v>10270.287999999999</v>
      </c>
      <c r="O39" s="537">
        <f t="shared" si="3"/>
        <v>698.76799999999992</v>
      </c>
      <c r="P39" s="537" t="e">
        <f t="shared" si="3"/>
        <v>#REF!</v>
      </c>
      <c r="Q39" s="537" t="e">
        <f t="shared" si="3"/>
        <v>#REF!</v>
      </c>
      <c r="R39" s="537" t="e">
        <f t="shared" si="3"/>
        <v>#DIV/0!</v>
      </c>
      <c r="S39" s="538" t="e">
        <f t="shared" si="3"/>
        <v>#REF!</v>
      </c>
    </row>
    <row r="42" spans="1:20">
      <c r="I42" s="616"/>
    </row>
    <row r="43" spans="1:20">
      <c r="I43" s="616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zoomScalePageLayoutView="85" workbookViewId="0">
      <pane xSplit="1" topLeftCell="M1" activePane="topRight" state="frozen"/>
      <selection pane="topRight" activeCell="AD17" sqref="AD17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782" t="s">
        <v>315</v>
      </c>
      <c r="B1" s="783"/>
      <c r="C1" s="783"/>
      <c r="D1" s="783"/>
      <c r="E1" s="783"/>
      <c r="F1" s="783"/>
      <c r="G1" s="783"/>
      <c r="H1" s="783"/>
      <c r="I1" s="783"/>
      <c r="J1" s="783"/>
      <c r="K1" s="783"/>
      <c r="L1" s="783"/>
      <c r="M1" s="783"/>
      <c r="N1" s="783"/>
      <c r="O1" s="783"/>
      <c r="P1" s="783"/>
      <c r="Q1" s="783"/>
      <c r="R1" s="783"/>
      <c r="S1" s="783"/>
      <c r="T1" s="783"/>
      <c r="U1" s="783"/>
      <c r="V1" s="783"/>
      <c r="W1" s="783"/>
      <c r="X1" s="783"/>
      <c r="Y1" s="783"/>
      <c r="Z1" s="783"/>
      <c r="AA1" s="783"/>
      <c r="AB1" s="783"/>
      <c r="AC1" s="783"/>
      <c r="AD1" s="783"/>
      <c r="AE1" s="783"/>
      <c r="AF1" s="783"/>
      <c r="AG1" s="783"/>
      <c r="AH1" s="783"/>
      <c r="AI1" s="783"/>
      <c r="AJ1" s="783"/>
      <c r="AK1" s="784"/>
    </row>
    <row r="2" spans="1:37" ht="61.5" customHeight="1" thickBot="1">
      <c r="A2" s="148" t="s">
        <v>98</v>
      </c>
      <c r="B2" s="785" t="s">
        <v>99</v>
      </c>
      <c r="C2" s="786"/>
      <c r="D2" s="787"/>
      <c r="E2" s="149"/>
      <c r="F2" s="149"/>
      <c r="G2" s="149"/>
      <c r="H2" s="146" t="s">
        <v>124</v>
      </c>
      <c r="I2" s="335" t="s">
        <v>100</v>
      </c>
      <c r="J2" s="790" t="s">
        <v>122</v>
      </c>
      <c r="K2" s="487"/>
      <c r="L2" s="792" t="s">
        <v>123</v>
      </c>
      <c r="M2" s="486" t="s">
        <v>101</v>
      </c>
      <c r="N2" s="790" t="s">
        <v>102</v>
      </c>
      <c r="O2" s="774" t="s">
        <v>103</v>
      </c>
      <c r="P2" s="775"/>
      <c r="Q2" s="775"/>
      <c r="R2" s="775"/>
      <c r="S2" s="775"/>
      <c r="T2" s="775"/>
      <c r="U2" s="775"/>
      <c r="V2" s="775"/>
      <c r="W2" s="775"/>
      <c r="X2" s="775"/>
      <c r="Y2" s="775"/>
      <c r="Z2" s="775"/>
      <c r="AA2" s="336" t="s">
        <v>104</v>
      </c>
      <c r="AB2" s="785" t="s">
        <v>164</v>
      </c>
      <c r="AC2" s="787"/>
      <c r="AD2" s="145">
        <v>0</v>
      </c>
      <c r="AE2" s="466" t="s">
        <v>19</v>
      </c>
      <c r="AF2" s="150" t="s">
        <v>105</v>
      </c>
      <c r="AG2" s="146" t="s">
        <v>106</v>
      </c>
      <c r="AH2" s="150" t="s">
        <v>107</v>
      </c>
      <c r="AI2" s="146" t="s">
        <v>108</v>
      </c>
      <c r="AJ2" s="147" t="s">
        <v>109</v>
      </c>
      <c r="AK2" s="146" t="s">
        <v>110</v>
      </c>
    </row>
    <row r="3" spans="1:37" ht="44.25" customHeight="1" thickBot="1">
      <c r="A3" s="153" t="s">
        <v>125</v>
      </c>
      <c r="B3" s="154">
        <v>1640</v>
      </c>
      <c r="C3" s="152" t="s">
        <v>126</v>
      </c>
      <c r="D3" s="154">
        <v>2175</v>
      </c>
      <c r="E3" s="155"/>
      <c r="F3" s="788">
        <f>SUM(D3/B3)</f>
        <v>1.3262195121951219</v>
      </c>
      <c r="G3" s="789"/>
      <c r="H3" s="129">
        <f>Gen!D11</f>
        <v>43590.620000000017</v>
      </c>
      <c r="I3" s="139"/>
      <c r="J3" s="790"/>
      <c r="K3" s="487" t="s">
        <v>165</v>
      </c>
      <c r="L3" s="792"/>
      <c r="M3" s="337" t="s">
        <v>111</v>
      </c>
      <c r="N3" s="790"/>
      <c r="O3" s="774" t="s">
        <v>112</v>
      </c>
      <c r="P3" s="775"/>
      <c r="Q3" s="775"/>
      <c r="R3" s="775"/>
      <c r="S3" s="776" t="s">
        <v>113</v>
      </c>
      <c r="T3" s="777"/>
      <c r="U3" s="777"/>
      <c r="V3" s="778"/>
      <c r="W3" s="779" t="s">
        <v>114</v>
      </c>
      <c r="X3" s="780"/>
      <c r="Y3" s="780"/>
      <c r="Z3" s="781"/>
      <c r="AA3" s="338" t="s">
        <v>115</v>
      </c>
      <c r="AB3" s="128" t="s">
        <v>111</v>
      </c>
      <c r="AD3" s="128">
        <v>0</v>
      </c>
      <c r="AE3" s="128" t="s">
        <v>116</v>
      </c>
      <c r="AF3" s="130" t="s">
        <v>117</v>
      </c>
      <c r="AG3" s="131" t="s">
        <v>117</v>
      </c>
      <c r="AH3" s="132" t="s">
        <v>117</v>
      </c>
      <c r="AI3" s="133" t="s">
        <v>118</v>
      </c>
      <c r="AJ3" s="134" t="s">
        <v>115</v>
      </c>
      <c r="AK3" s="135" t="s">
        <v>115</v>
      </c>
    </row>
    <row r="4" spans="1:37" ht="60.75" thickBot="1">
      <c r="A4" s="202"/>
      <c r="B4" s="203" t="s">
        <v>130</v>
      </c>
      <c r="C4" s="204" t="s">
        <v>1</v>
      </c>
      <c r="D4" s="205" t="s">
        <v>127</v>
      </c>
      <c r="E4" s="206"/>
      <c r="F4" s="206" t="s">
        <v>128</v>
      </c>
      <c r="G4" s="206" t="s">
        <v>129</v>
      </c>
      <c r="H4" s="207"/>
      <c r="I4" s="207"/>
      <c r="J4" s="790"/>
      <c r="K4" s="487"/>
      <c r="L4" s="792"/>
      <c r="M4" s="141"/>
      <c r="N4" s="791"/>
      <c r="O4" s="339" t="s">
        <v>173</v>
      </c>
      <c r="P4" s="340" t="s">
        <v>171</v>
      </c>
      <c r="Q4" s="340" t="s">
        <v>120</v>
      </c>
      <c r="R4" s="205" t="s">
        <v>172</v>
      </c>
      <c r="S4" s="339" t="s">
        <v>173</v>
      </c>
      <c r="T4" s="340" t="s">
        <v>171</v>
      </c>
      <c r="U4" s="340" t="s">
        <v>120</v>
      </c>
      <c r="V4" s="205" t="s">
        <v>172</v>
      </c>
      <c r="W4" s="339" t="s">
        <v>173</v>
      </c>
      <c r="X4" s="341" t="s">
        <v>307</v>
      </c>
      <c r="Y4" s="341" t="s">
        <v>120</v>
      </c>
      <c r="Z4" s="340" t="s">
        <v>172</v>
      </c>
      <c r="AA4" s="342" t="s">
        <v>119</v>
      </c>
      <c r="AB4" s="222"/>
      <c r="AC4" s="213" t="s">
        <v>119</v>
      </c>
      <c r="AD4" s="222"/>
      <c r="AE4" s="213" t="s">
        <v>119</v>
      </c>
      <c r="AF4" s="214">
        <v>2000</v>
      </c>
      <c r="AG4" s="215">
        <v>1000</v>
      </c>
      <c r="AH4" s="216">
        <v>1000</v>
      </c>
      <c r="AI4" s="217">
        <f>SUM([2]Sheet1!$AA$36)</f>
        <v>950</v>
      </c>
      <c r="AJ4" s="218" t="s">
        <v>10</v>
      </c>
      <c r="AK4" s="217" t="s">
        <v>119</v>
      </c>
    </row>
    <row r="5" spans="1:37" ht="19.5" thickBot="1">
      <c r="A5" s="208"/>
      <c r="B5" s="209"/>
      <c r="C5" s="210"/>
      <c r="D5" s="209"/>
      <c r="E5" s="209"/>
      <c r="F5" s="209"/>
      <c r="G5" s="209"/>
      <c r="H5" s="211"/>
      <c r="I5" s="211"/>
      <c r="J5" s="212"/>
      <c r="K5" s="212"/>
      <c r="L5" s="212"/>
      <c r="M5" s="141"/>
      <c r="N5" s="212"/>
      <c r="O5" s="212"/>
      <c r="P5" s="753"/>
      <c r="Q5" s="75"/>
      <c r="R5" s="212"/>
      <c r="S5" s="212"/>
      <c r="T5" s="565">
        <v>16846</v>
      </c>
      <c r="U5" s="212">
        <v>-11</v>
      </c>
      <c r="V5" s="212">
        <v>0</v>
      </c>
      <c r="W5" s="212"/>
      <c r="X5" s="565">
        <v>24962</v>
      </c>
      <c r="Y5" s="212">
        <v>23</v>
      </c>
      <c r="Z5" s="212">
        <v>0</v>
      </c>
      <c r="AA5" s="212">
        <v>0</v>
      </c>
      <c r="AB5" s="564">
        <v>37808</v>
      </c>
      <c r="AC5" s="136">
        <v>80</v>
      </c>
      <c r="AD5" s="446">
        <v>204604</v>
      </c>
      <c r="AE5" s="208"/>
      <c r="AF5" s="221">
        <v>0.85</v>
      </c>
      <c r="AG5" s="221">
        <v>0.85</v>
      </c>
      <c r="AH5" s="221">
        <v>0.85</v>
      </c>
      <c r="AI5" s="212"/>
      <c r="AJ5" s="212"/>
      <c r="AK5" s="212"/>
    </row>
    <row r="6" spans="1:37" ht="19.5" thickBot="1">
      <c r="A6" s="94">
        <f>Gen!B11</f>
        <v>44075</v>
      </c>
      <c r="B6" s="494">
        <f>'Summery Report'!E5</f>
        <v>3</v>
      </c>
      <c r="C6" s="156">
        <f>Gen!C11</f>
        <v>3.9E-2</v>
      </c>
      <c r="D6" s="495">
        <f>'Summery Report'!E5</f>
        <v>3</v>
      </c>
      <c r="E6" s="496">
        <f>SUM(F3)</f>
        <v>1.3262195121951219</v>
      </c>
      <c r="F6" s="497">
        <f>SUM(J6*E6)/D6</f>
        <v>394.07728658536581</v>
      </c>
      <c r="G6" s="497">
        <f t="shared" ref="G6:G36" si="0">SUM(L6*E6)/D6</f>
        <v>424.67317073170733</v>
      </c>
      <c r="H6" s="496">
        <f>Gen!D11</f>
        <v>43590.620000000017</v>
      </c>
      <c r="I6" s="498">
        <f>Gen!F11</f>
        <v>0</v>
      </c>
      <c r="J6" s="140">
        <f>Gen!T11</f>
        <v>891.43</v>
      </c>
      <c r="K6" s="140">
        <f>Gen!AK11</f>
        <v>69.209999999999994</v>
      </c>
      <c r="L6" s="140">
        <f t="shared" ref="L6:L37" si="1">SUM(J6:K6)</f>
        <v>960.64</v>
      </c>
      <c r="M6" s="527">
        <f>'Water-Meter'!K46</f>
        <v>555.23308870002575</v>
      </c>
      <c r="N6" s="201">
        <f>'Water-Meter'!E6</f>
        <v>56</v>
      </c>
      <c r="O6" s="212"/>
      <c r="P6" s="753"/>
      <c r="Q6" s="499">
        <f t="shared" ref="Q6:Q36" si="2">SUM(P6-P5)</f>
        <v>0</v>
      </c>
      <c r="R6" s="500">
        <f>SUM(Q6*O6)</f>
        <v>0</v>
      </c>
      <c r="S6" s="446">
        <v>2.5</v>
      </c>
      <c r="T6" s="565">
        <v>16868.189999999999</v>
      </c>
      <c r="U6" s="499">
        <f>T6-T5</f>
        <v>22.18999999999869</v>
      </c>
      <c r="V6" s="501" t="s">
        <v>246</v>
      </c>
      <c r="W6" s="212">
        <v>2.2999999999999998</v>
      </c>
      <c r="X6" s="565">
        <v>24962</v>
      </c>
      <c r="Y6" s="499">
        <f>X6-X5</f>
        <v>0</v>
      </c>
      <c r="Z6" s="499">
        <f t="shared" ref="Z6:AA6" si="3">Y6-Y5</f>
        <v>-23</v>
      </c>
      <c r="AA6" s="499">
        <f t="shared" si="3"/>
        <v>-23</v>
      </c>
      <c r="AB6" s="564">
        <v>37882</v>
      </c>
      <c r="AC6" s="136">
        <f>AB6-AB5</f>
        <v>74</v>
      </c>
      <c r="AD6" s="564">
        <v>204651</v>
      </c>
      <c r="AE6" s="219">
        <f>AD6-AD5</f>
        <v>47</v>
      </c>
      <c r="AF6" s="314">
        <f>'Lpg (2)'!B10*2000/85</f>
        <v>2000</v>
      </c>
      <c r="AG6" s="315">
        <f>'Lpg (2)'!C10*1000/85</f>
        <v>1000</v>
      </c>
      <c r="AH6" s="316">
        <f>'Lpg (2)'!D10*1000/85</f>
        <v>23.529411764705884</v>
      </c>
      <c r="AI6" s="502">
        <f>SUM(AF6*2000)+(AG6*1000)+(AH6*1000)</f>
        <v>5023529.4117647056</v>
      </c>
      <c r="AJ6" s="503">
        <f t="shared" ref="AJ6:AJ36" si="4">SUM(AI5-AI6)</f>
        <v>-5023529.4117647056</v>
      </c>
      <c r="AK6" s="220"/>
    </row>
    <row r="7" spans="1:37" ht="19.5" thickBot="1">
      <c r="A7" s="94">
        <f>Gen!B12</f>
        <v>44076</v>
      </c>
      <c r="B7" s="494">
        <f>'Summery Report'!E6</f>
        <v>4</v>
      </c>
      <c r="C7" s="156">
        <f>Gen!C12</f>
        <v>3.9E-2</v>
      </c>
      <c r="D7" s="495">
        <f>'Summery Report'!E6</f>
        <v>4</v>
      </c>
      <c r="E7" s="496">
        <f>SUM(E6)</f>
        <v>1.3262195121951219</v>
      </c>
      <c r="F7" s="497">
        <f>SUM(J7*E7)/D7</f>
        <v>272.51158536585365</v>
      </c>
      <c r="G7" s="497">
        <f t="shared" si="0"/>
        <v>299.25148628048782</v>
      </c>
      <c r="H7" s="496">
        <f>Gen!D12</f>
        <v>42629.980000000018</v>
      </c>
      <c r="I7" s="498">
        <f>Gen!F12</f>
        <v>0</v>
      </c>
      <c r="J7" s="140">
        <f>Gen!T12</f>
        <v>821.92000000000007</v>
      </c>
      <c r="K7" s="140">
        <f>Gen!AK12</f>
        <v>80.650000000000006</v>
      </c>
      <c r="L7" s="140">
        <f t="shared" si="1"/>
        <v>902.57</v>
      </c>
      <c r="M7" s="527">
        <f>'Water-Meter'!K47</f>
        <v>557.9892644194681</v>
      </c>
      <c r="N7" s="201">
        <f>'Water-Meter'!E7</f>
        <v>58</v>
      </c>
      <c r="O7" s="212"/>
      <c r="P7" s="753"/>
      <c r="Q7" s="499">
        <f t="shared" si="2"/>
        <v>0</v>
      </c>
      <c r="R7" s="500">
        <f t="shared" ref="R7:R36" si="5">SUM(Q7*O7)</f>
        <v>0</v>
      </c>
      <c r="S7" s="446">
        <v>2.2000000000000002</v>
      </c>
      <c r="T7" s="565">
        <v>16868.189999999999</v>
      </c>
      <c r="U7" s="499">
        <f t="shared" ref="U7:U36" si="6">T7-T6</f>
        <v>0</v>
      </c>
      <c r="V7" s="501">
        <f t="shared" ref="V7:V9" si="7">SUM(U7*S7)</f>
        <v>0</v>
      </c>
      <c r="W7" s="212">
        <v>2.2999999999999998</v>
      </c>
      <c r="X7" s="563">
        <v>24974</v>
      </c>
      <c r="Y7" s="499">
        <f t="shared" ref="Y7:Y36" si="8">X7-X6</f>
        <v>12</v>
      </c>
      <c r="Z7" s="501">
        <f t="shared" ref="Z7:Z36" si="9">SUM(Y7*W7)</f>
        <v>27.599999999999998</v>
      </c>
      <c r="AA7" s="501">
        <f t="shared" ref="AA7:AA36" si="10">SUM(Z7*X9)</f>
        <v>689571.37199999997</v>
      </c>
      <c r="AB7" s="564">
        <v>37908</v>
      </c>
      <c r="AC7" s="136">
        <f t="shared" ref="AC7:AC27" si="11">AB7-AB6</f>
        <v>26</v>
      </c>
      <c r="AD7" s="564">
        <v>204681</v>
      </c>
      <c r="AE7" s="219">
        <f>AD7-AD6</f>
        <v>30</v>
      </c>
      <c r="AF7" s="314">
        <f>'Lpg (2)'!B11*2000/85</f>
        <v>2000</v>
      </c>
      <c r="AG7" s="315">
        <f>'Lpg (2)'!C11*1000/85</f>
        <v>1000</v>
      </c>
      <c r="AH7" s="316">
        <f>'Lpg (2)'!D11*1000/85</f>
        <v>23.529411764705884</v>
      </c>
      <c r="AI7" s="504">
        <f t="shared" ref="AI7:AI14" si="12">SUM(AF6*2000)+(AG7*1000)+(AH7*1000)</f>
        <v>5023529.4117647056</v>
      </c>
      <c r="AJ7" s="503">
        <f t="shared" si="4"/>
        <v>0</v>
      </c>
      <c r="AK7" s="142"/>
    </row>
    <row r="8" spans="1:37" ht="19.5" thickBot="1">
      <c r="A8" s="94">
        <f>Gen!B13</f>
        <v>44077</v>
      </c>
      <c r="B8" s="494">
        <f>'Summery Report'!E7</f>
        <v>4</v>
      </c>
      <c r="C8" s="156">
        <f>Gen!C13</f>
        <v>3.9E-2</v>
      </c>
      <c r="D8" s="495">
        <f>'Summery Report'!E7</f>
        <v>4</v>
      </c>
      <c r="E8" s="496">
        <f t="shared" ref="E8:E36" si="13">SUM(E7)</f>
        <v>1.3262195121951219</v>
      </c>
      <c r="F8" s="497">
        <f t="shared" ref="F8:F36" si="14">SUM(J8*E8)/D8</f>
        <v>361.48765243902437</v>
      </c>
      <c r="G8" s="497">
        <f t="shared" si="0"/>
        <v>364.80983231707313</v>
      </c>
      <c r="H8" s="496">
        <f>Gen!D13</f>
        <v>41727.410000000018</v>
      </c>
      <c r="I8" s="498">
        <f>Gen!F13</f>
        <v>0</v>
      </c>
      <c r="J8" s="140">
        <f>Gen!T13</f>
        <v>1090.28</v>
      </c>
      <c r="K8" s="140">
        <f>Gen!AK13</f>
        <v>10.02</v>
      </c>
      <c r="L8" s="140">
        <f t="shared" si="1"/>
        <v>1100.3</v>
      </c>
      <c r="M8" s="527">
        <f>'Water-Meter'!K48</f>
        <v>589.50579976886524</v>
      </c>
      <c r="N8" s="201">
        <f>'Water-Meter'!E8</f>
        <v>51</v>
      </c>
      <c r="O8" s="212"/>
      <c r="P8" s="753"/>
      <c r="Q8" s="499">
        <f t="shared" si="2"/>
        <v>0</v>
      </c>
      <c r="R8" s="500">
        <f t="shared" si="5"/>
        <v>0</v>
      </c>
      <c r="S8" s="446">
        <v>2.2000000000000002</v>
      </c>
      <c r="T8" s="565">
        <v>16878</v>
      </c>
      <c r="U8" s="499">
        <f t="shared" si="6"/>
        <v>9.8100000000013097</v>
      </c>
      <c r="V8" s="501">
        <f t="shared" si="7"/>
        <v>21.582000000002882</v>
      </c>
      <c r="W8" s="212">
        <v>2.2999999999999998</v>
      </c>
      <c r="X8" s="563">
        <v>24976</v>
      </c>
      <c r="Y8" s="499">
        <f t="shared" si="8"/>
        <v>2</v>
      </c>
      <c r="Z8" s="501">
        <f t="shared" si="9"/>
        <v>4.5999999999999996</v>
      </c>
      <c r="AA8" s="501">
        <f t="shared" si="10"/>
        <v>114928.56199999999</v>
      </c>
      <c r="AB8" s="564">
        <v>37987</v>
      </c>
      <c r="AC8" s="136">
        <f t="shared" si="11"/>
        <v>79</v>
      </c>
      <c r="AD8" s="564">
        <v>204717</v>
      </c>
      <c r="AE8" s="219">
        <f t="shared" ref="AE8:AE37" si="15">AD8-AD7</f>
        <v>36</v>
      </c>
      <c r="AF8" s="314">
        <f>'Lpg (2)'!B12*2000/85</f>
        <v>2000</v>
      </c>
      <c r="AG8" s="315">
        <f>'Lpg (2)'!C12*1000/85</f>
        <v>1000</v>
      </c>
      <c r="AH8" s="316">
        <f>'Lpg (2)'!D12*1000/85</f>
        <v>11.764705882352942</v>
      </c>
      <c r="AI8" s="504">
        <f t="shared" si="12"/>
        <v>5011764.7058823528</v>
      </c>
      <c r="AJ8" s="503">
        <f t="shared" si="4"/>
        <v>11764.705882352777</v>
      </c>
      <c r="AK8" s="142"/>
    </row>
    <row r="9" spans="1:37" ht="19.5" thickBot="1">
      <c r="A9" s="94">
        <f>Gen!B14</f>
        <v>44078</v>
      </c>
      <c r="B9" s="494">
        <f>'Summery Report'!E8</f>
        <v>8</v>
      </c>
      <c r="C9" s="156">
        <f>Gen!C14</f>
        <v>9.0899999999999995E-2</v>
      </c>
      <c r="D9" s="495">
        <f>'Summery Report'!E8</f>
        <v>8</v>
      </c>
      <c r="E9" s="496">
        <f t="shared" si="13"/>
        <v>1.3262195121951219</v>
      </c>
      <c r="F9" s="497">
        <f t="shared" si="14"/>
        <v>143.95947027439024</v>
      </c>
      <c r="G9" s="497">
        <f t="shared" si="0"/>
        <v>143.95947027439024</v>
      </c>
      <c r="H9" s="496">
        <f>Gen!D14</f>
        <v>40627.110000000015</v>
      </c>
      <c r="I9" s="498">
        <f>Gen!F14</f>
        <v>0</v>
      </c>
      <c r="J9" s="140">
        <f>Gen!T14</f>
        <v>868.39</v>
      </c>
      <c r="K9" s="140">
        <f>Gen!AK14</f>
        <v>0</v>
      </c>
      <c r="L9" s="140">
        <f t="shared" si="1"/>
        <v>868.39</v>
      </c>
      <c r="M9" s="527">
        <f>'Water-Meter'!K49</f>
        <v>604.6302708541441</v>
      </c>
      <c r="N9" s="201">
        <f>'Water-Meter'!E9</f>
        <v>54</v>
      </c>
      <c r="O9" s="212"/>
      <c r="P9" s="753"/>
      <c r="Q9" s="499">
        <f t="shared" si="2"/>
        <v>0</v>
      </c>
      <c r="R9" s="500">
        <f t="shared" si="5"/>
        <v>0</v>
      </c>
      <c r="S9" s="446">
        <v>2.2000000000000002</v>
      </c>
      <c r="T9" s="565">
        <v>16889.900000000001</v>
      </c>
      <c r="U9" s="499">
        <f t="shared" si="6"/>
        <v>11.900000000001455</v>
      </c>
      <c r="V9" s="501">
        <f t="shared" si="7"/>
        <v>26.180000000003204</v>
      </c>
      <c r="W9" s="212">
        <v>2.2999999999999998</v>
      </c>
      <c r="X9" s="563">
        <v>24984.47</v>
      </c>
      <c r="Y9" s="499">
        <f t="shared" si="8"/>
        <v>8.4700000000011642</v>
      </c>
      <c r="Z9" s="501">
        <f t="shared" si="9"/>
        <v>19.481000000002677</v>
      </c>
      <c r="AA9" s="501">
        <f t="shared" si="10"/>
        <v>486722.46007006691</v>
      </c>
      <c r="AB9" s="564">
        <v>38079</v>
      </c>
      <c r="AC9" s="136">
        <f t="shared" si="11"/>
        <v>92</v>
      </c>
      <c r="AD9" s="564">
        <v>204762</v>
      </c>
      <c r="AE9" s="219">
        <f t="shared" si="15"/>
        <v>45</v>
      </c>
      <c r="AF9" s="314">
        <f>'Lpg (2)'!B13*2000/85</f>
        <v>2000</v>
      </c>
      <c r="AG9" s="315">
        <f>'Lpg (2)'!C13*1000/85</f>
        <v>1000</v>
      </c>
      <c r="AH9" s="316">
        <f>'Lpg (2)'!D13*1000/85</f>
        <v>11.764705882352942</v>
      </c>
      <c r="AI9" s="504">
        <f t="shared" si="12"/>
        <v>5011764.7058823528</v>
      </c>
      <c r="AJ9" s="503">
        <f t="shared" si="4"/>
        <v>0</v>
      </c>
      <c r="AK9" s="142"/>
    </row>
    <row r="10" spans="1:37" ht="19.5" thickBot="1">
      <c r="A10" s="94">
        <f>Gen!B15</f>
        <v>44079</v>
      </c>
      <c r="B10" s="494">
        <f>'Summery Report'!E9</f>
        <v>8</v>
      </c>
      <c r="C10" s="156">
        <f>Gen!C15</f>
        <v>9.0899999999999995E-2</v>
      </c>
      <c r="D10" s="495">
        <f>'Summery Report'!E9</f>
        <v>8</v>
      </c>
      <c r="E10" s="496">
        <f t="shared" si="13"/>
        <v>1.3262195121951219</v>
      </c>
      <c r="F10" s="497">
        <f t="shared" si="14"/>
        <v>139.58128810975609</v>
      </c>
      <c r="G10" s="497">
        <f t="shared" si="0"/>
        <v>144.05893673780488</v>
      </c>
      <c r="H10" s="496">
        <f>Gen!D15</f>
        <v>39758.720000000016</v>
      </c>
      <c r="I10" s="498">
        <f>Gen!F15</f>
        <v>0</v>
      </c>
      <c r="J10" s="140">
        <f>Gen!T15</f>
        <v>841.98</v>
      </c>
      <c r="K10" s="140">
        <f>Gen!AK15</f>
        <v>27.01</v>
      </c>
      <c r="L10" s="140">
        <f t="shared" si="1"/>
        <v>868.99</v>
      </c>
      <c r="M10" s="527">
        <f>'Water-Meter'!K50</f>
        <v>599.89609502056101</v>
      </c>
      <c r="N10" s="201">
        <f>'Water-Meter'!E10</f>
        <v>50</v>
      </c>
      <c r="O10" s="212"/>
      <c r="P10" s="753"/>
      <c r="Q10" s="499">
        <f t="shared" si="2"/>
        <v>0</v>
      </c>
      <c r="R10" s="500">
        <f t="shared" si="5"/>
        <v>0</v>
      </c>
      <c r="S10" s="446"/>
      <c r="T10" s="565">
        <v>16889.900000000001</v>
      </c>
      <c r="U10" s="499">
        <f t="shared" si="6"/>
        <v>0</v>
      </c>
      <c r="V10" s="501">
        <f t="shared" ref="V10:V16" si="16">SUM(U10*S10)</f>
        <v>0</v>
      </c>
      <c r="W10" s="446"/>
      <c r="X10" s="563">
        <v>24984.47</v>
      </c>
      <c r="Y10" s="499">
        <f t="shared" si="8"/>
        <v>0</v>
      </c>
      <c r="Z10" s="501">
        <f t="shared" si="9"/>
        <v>0</v>
      </c>
      <c r="AA10" s="501">
        <f t="shared" si="10"/>
        <v>0</v>
      </c>
      <c r="AB10" s="564">
        <v>38080</v>
      </c>
      <c r="AC10" s="136">
        <f t="shared" si="11"/>
        <v>1</v>
      </c>
      <c r="AD10" s="564">
        <v>204805</v>
      </c>
      <c r="AE10" s="219">
        <f t="shared" si="15"/>
        <v>43</v>
      </c>
      <c r="AF10" s="314">
        <f>'Lpg (2)'!B14*2000/85</f>
        <v>2000</v>
      </c>
      <c r="AG10" s="315">
        <f>'Lpg (2)'!C14*1000/85</f>
        <v>1000</v>
      </c>
      <c r="AH10" s="316">
        <f>'Lpg (2)'!D14*1000/85</f>
        <v>11.764705882352942</v>
      </c>
      <c r="AI10" s="504">
        <f t="shared" si="12"/>
        <v>5011764.7058823528</v>
      </c>
      <c r="AJ10" s="503">
        <f t="shared" si="4"/>
        <v>0</v>
      </c>
      <c r="AK10" s="142"/>
    </row>
    <row r="11" spans="1:37" ht="19.5" thickBot="1">
      <c r="A11" s="94">
        <f>Gen!B16</f>
        <v>44080</v>
      </c>
      <c r="B11" s="494">
        <f>'Summery Report'!E10</f>
        <v>7</v>
      </c>
      <c r="C11" s="156">
        <f>Gen!C16</f>
        <v>9.0899999999999995E-2</v>
      </c>
      <c r="D11" s="495">
        <f>'Summery Report'!E10</f>
        <v>7</v>
      </c>
      <c r="E11" s="496">
        <f t="shared" si="13"/>
        <v>1.3262195121951219</v>
      </c>
      <c r="F11" s="497">
        <f t="shared" si="14"/>
        <v>177.81572299651566</v>
      </c>
      <c r="G11" s="497">
        <f t="shared" si="0"/>
        <v>177.81572299651566</v>
      </c>
      <c r="H11" s="496">
        <f>Gen!D16</f>
        <v>38889.730000000018</v>
      </c>
      <c r="I11" s="498">
        <f>Gen!F16</f>
        <v>0</v>
      </c>
      <c r="J11" s="140">
        <f>Gen!T16</f>
        <v>938.54</v>
      </c>
      <c r="K11" s="140">
        <f>Gen!AK16</f>
        <v>0</v>
      </c>
      <c r="L11" s="140">
        <f t="shared" si="1"/>
        <v>938.54</v>
      </c>
      <c r="M11" s="527">
        <f>'Water-Meter'!K51</f>
        <v>568.30386514140741</v>
      </c>
      <c r="N11" s="201">
        <f>'Water-Meter'!E11</f>
        <v>52</v>
      </c>
      <c r="O11" s="212"/>
      <c r="P11" s="753"/>
      <c r="Q11" s="499">
        <f t="shared" si="2"/>
        <v>0</v>
      </c>
      <c r="R11" s="500">
        <f t="shared" si="5"/>
        <v>0</v>
      </c>
      <c r="S11" s="446">
        <v>2.2000000000000002</v>
      </c>
      <c r="T11" s="565">
        <v>16901.900000000001</v>
      </c>
      <c r="U11" s="499">
        <f t="shared" si="6"/>
        <v>12</v>
      </c>
      <c r="V11" s="501">
        <f t="shared" si="16"/>
        <v>26.400000000000002</v>
      </c>
      <c r="W11" s="446"/>
      <c r="X11" s="563">
        <v>24984.47</v>
      </c>
      <c r="Y11" s="499">
        <f t="shared" si="8"/>
        <v>0</v>
      </c>
      <c r="Z11" s="501">
        <f t="shared" si="9"/>
        <v>0</v>
      </c>
      <c r="AA11" s="501">
        <f t="shared" si="10"/>
        <v>0</v>
      </c>
      <c r="AB11" s="564">
        <v>38148</v>
      </c>
      <c r="AC11" s="136">
        <f t="shared" si="11"/>
        <v>68</v>
      </c>
      <c r="AD11" s="564">
        <v>204840</v>
      </c>
      <c r="AE11" s="219">
        <f t="shared" si="15"/>
        <v>35</v>
      </c>
      <c r="AF11" s="314">
        <f>'Lpg (2)'!B15*2000/85</f>
        <v>2000</v>
      </c>
      <c r="AG11" s="315">
        <f>'Lpg (2)'!C15*1000/85</f>
        <v>1000</v>
      </c>
      <c r="AH11" s="316">
        <f>'Lpg (2)'!D15*1000/85</f>
        <v>11.764705882352942</v>
      </c>
      <c r="AI11" s="504">
        <f t="shared" si="12"/>
        <v>5011764.7058823528</v>
      </c>
      <c r="AJ11" s="503">
        <f t="shared" si="4"/>
        <v>0</v>
      </c>
      <c r="AK11" s="142"/>
    </row>
    <row r="12" spans="1:37" ht="19.5" thickBot="1">
      <c r="A12" s="94">
        <f>Gen!B17</f>
        <v>44081</v>
      </c>
      <c r="B12" s="494">
        <f>'Summery Report'!E11</f>
        <v>3</v>
      </c>
      <c r="C12" s="156">
        <f>Gen!C17</f>
        <v>2.5999999999999999E-2</v>
      </c>
      <c r="D12" s="495">
        <f>'Summery Report'!E11</f>
        <v>3</v>
      </c>
      <c r="E12" s="496">
        <f t="shared" si="13"/>
        <v>1.3262195121951219</v>
      </c>
      <c r="F12" s="497">
        <f t="shared" si="14"/>
        <v>402.40594512195116</v>
      </c>
      <c r="G12" s="497">
        <f t="shared" si="0"/>
        <v>516.52271341463404</v>
      </c>
      <c r="H12" s="496">
        <f>Gen!D17</f>
        <v>37951.190000000017</v>
      </c>
      <c r="I12" s="498">
        <f>Gen!F17</f>
        <v>0</v>
      </c>
      <c r="J12" s="140">
        <f>Gen!T17</f>
        <v>910.27</v>
      </c>
      <c r="K12" s="140">
        <f>Gen!AK17</f>
        <v>258.14</v>
      </c>
      <c r="L12" s="140">
        <f t="shared" si="1"/>
        <v>1168.4099999999999</v>
      </c>
      <c r="M12" s="527">
        <f>'Water-Meter'!K52</f>
        <v>579.92811930397215</v>
      </c>
      <c r="N12" s="201">
        <f>'Water-Meter'!E12</f>
        <v>58</v>
      </c>
      <c r="O12" s="212"/>
      <c r="P12" s="753"/>
      <c r="Q12" s="499">
        <f t="shared" si="2"/>
        <v>0</v>
      </c>
      <c r="R12" s="500">
        <f t="shared" si="5"/>
        <v>0</v>
      </c>
      <c r="S12" s="446">
        <v>2.2000000000000002</v>
      </c>
      <c r="T12" s="565">
        <v>16905</v>
      </c>
      <c r="U12" s="499">
        <f t="shared" si="6"/>
        <v>3.0999999999985448</v>
      </c>
      <c r="V12" s="501">
        <f t="shared" si="16"/>
        <v>6.8199999999967993</v>
      </c>
      <c r="W12" s="446">
        <v>2.2999999999999998</v>
      </c>
      <c r="X12" s="563">
        <v>24988</v>
      </c>
      <c r="Y12" s="499">
        <f t="shared" si="8"/>
        <v>3.5299999999988358</v>
      </c>
      <c r="Z12" s="501">
        <f t="shared" si="9"/>
        <v>8.118999999997321</v>
      </c>
      <c r="AA12" s="501">
        <f t="shared" si="10"/>
        <v>203186.09399993296</v>
      </c>
      <c r="AB12" s="564">
        <v>38193</v>
      </c>
      <c r="AC12" s="136">
        <f t="shared" si="11"/>
        <v>45</v>
      </c>
      <c r="AD12" s="564">
        <v>204884</v>
      </c>
      <c r="AE12" s="219">
        <f t="shared" si="15"/>
        <v>44</v>
      </c>
      <c r="AF12" s="314">
        <f>'Lpg (2)'!B16*2000/85</f>
        <v>2000</v>
      </c>
      <c r="AG12" s="315">
        <f>'Lpg (2)'!C16*1000/85</f>
        <v>1000</v>
      </c>
      <c r="AH12" s="316">
        <f>'Lpg (2)'!D16*1000/85</f>
        <v>0</v>
      </c>
      <c r="AI12" s="504">
        <f t="shared" si="12"/>
        <v>5000000</v>
      </c>
      <c r="AJ12" s="503">
        <f t="shared" si="4"/>
        <v>11764.705882352777</v>
      </c>
      <c r="AK12" s="142"/>
    </row>
    <row r="13" spans="1:37" ht="19.5" thickBot="1">
      <c r="A13" s="94">
        <f>Gen!B18</f>
        <v>44082</v>
      </c>
      <c r="B13" s="494">
        <f>'Summery Report'!E12</f>
        <v>7</v>
      </c>
      <c r="C13" s="156">
        <f>Gen!C18</f>
        <v>3.9E-2</v>
      </c>
      <c r="D13" s="495">
        <f>'Summery Report'!E12</f>
        <v>7</v>
      </c>
      <c r="E13" s="496">
        <f t="shared" si="13"/>
        <v>1.3262195121951219</v>
      </c>
      <c r="F13" s="497">
        <f t="shared" si="14"/>
        <v>179.64780052264808</v>
      </c>
      <c r="G13" s="497">
        <f t="shared" si="0"/>
        <v>203.00820993031357</v>
      </c>
      <c r="H13" s="496">
        <f>Gen!D18</f>
        <v>36782.780000000013</v>
      </c>
      <c r="I13" s="498">
        <f>Gen!F18</f>
        <v>0</v>
      </c>
      <c r="J13" s="140">
        <f>Gen!T18</f>
        <v>948.21</v>
      </c>
      <c r="K13" s="140">
        <f>Gen!AK18</f>
        <v>123.3</v>
      </c>
      <c r="L13" s="140">
        <f t="shared" si="1"/>
        <v>1071.51</v>
      </c>
      <c r="M13" s="527">
        <f>'Water-Meter'!K53</f>
        <v>587.39318657558397</v>
      </c>
      <c r="N13" s="201">
        <f>'Water-Meter'!E13</f>
        <v>46</v>
      </c>
      <c r="O13" s="212"/>
      <c r="P13" s="753"/>
      <c r="Q13" s="499">
        <f t="shared" si="2"/>
        <v>0</v>
      </c>
      <c r="R13" s="500">
        <f t="shared" si="5"/>
        <v>0</v>
      </c>
      <c r="S13" s="446">
        <v>2.2000000000000002</v>
      </c>
      <c r="T13" s="565">
        <v>16909</v>
      </c>
      <c r="U13" s="499">
        <f t="shared" si="6"/>
        <v>4</v>
      </c>
      <c r="V13" s="501">
        <f t="shared" si="16"/>
        <v>8.8000000000000007</v>
      </c>
      <c r="W13" s="446">
        <v>2.2999999999999998</v>
      </c>
      <c r="X13" s="563">
        <v>25002</v>
      </c>
      <c r="Y13" s="499">
        <f t="shared" si="8"/>
        <v>14</v>
      </c>
      <c r="Z13" s="501">
        <f t="shared" si="9"/>
        <v>32.199999999999996</v>
      </c>
      <c r="AA13" s="501">
        <f t="shared" si="10"/>
        <v>0</v>
      </c>
      <c r="AB13" s="564">
        <v>38247</v>
      </c>
      <c r="AC13" s="136">
        <f t="shared" si="11"/>
        <v>54</v>
      </c>
      <c r="AD13" s="564">
        <v>204919</v>
      </c>
      <c r="AE13" s="219">
        <f t="shared" si="15"/>
        <v>35</v>
      </c>
      <c r="AF13" s="314">
        <f>'Lpg (2)'!B17*2000/85</f>
        <v>2000</v>
      </c>
      <c r="AG13" s="315">
        <f>'Lpg (2)'!C17*1000/85</f>
        <v>952.94117647058829</v>
      </c>
      <c r="AH13" s="316">
        <f>'Lpg (2)'!D17*1000/85</f>
        <v>0</v>
      </c>
      <c r="AI13" s="504">
        <f t="shared" si="12"/>
        <v>4952941.176470588</v>
      </c>
      <c r="AJ13" s="503">
        <f t="shared" si="4"/>
        <v>47058.823529412039</v>
      </c>
      <c r="AK13" s="143"/>
    </row>
    <row r="14" spans="1:37" ht="19.5" thickBot="1">
      <c r="A14" s="94">
        <f>Gen!B19</f>
        <v>44083</v>
      </c>
      <c r="B14" s="494">
        <f>'Summery Report'!E13</f>
        <v>5</v>
      </c>
      <c r="C14" s="156">
        <f>Gen!C19</f>
        <v>6.5000000000000002E-2</v>
      </c>
      <c r="D14" s="495">
        <f>'Summery Report'!E13</f>
        <v>5</v>
      </c>
      <c r="E14" s="496">
        <f t="shared" si="13"/>
        <v>1.3262195121951219</v>
      </c>
      <c r="F14" s="497">
        <f t="shared" si="14"/>
        <v>243.0509451219512</v>
      </c>
      <c r="G14" s="497">
        <f t="shared" si="0"/>
        <v>243.0509451219512</v>
      </c>
      <c r="H14" s="496">
        <f>Gen!D19</f>
        <v>35711.270000000011</v>
      </c>
      <c r="I14" s="498">
        <f>Gen!F19</f>
        <v>0</v>
      </c>
      <c r="J14" s="140">
        <f>Gen!T19</f>
        <v>916.32999999999993</v>
      </c>
      <c r="K14" s="140">
        <f>Gen!AK19</f>
        <v>0</v>
      </c>
      <c r="L14" s="140">
        <f t="shared" si="1"/>
        <v>916.32999999999993</v>
      </c>
      <c r="M14" s="527">
        <f>'Water-Meter'!K54</f>
        <v>571.58439774994804</v>
      </c>
      <c r="N14" s="201">
        <f>'Water-Meter'!E14</f>
        <v>52</v>
      </c>
      <c r="O14" s="212"/>
      <c r="P14" s="753"/>
      <c r="Q14" s="499">
        <f t="shared" si="2"/>
        <v>0</v>
      </c>
      <c r="R14" s="500">
        <f t="shared" si="5"/>
        <v>0</v>
      </c>
      <c r="S14" s="446"/>
      <c r="T14" s="565">
        <v>16909</v>
      </c>
      <c r="U14" s="499">
        <f t="shared" si="6"/>
        <v>0</v>
      </c>
      <c r="V14" s="501">
        <f t="shared" si="16"/>
        <v>0</v>
      </c>
      <c r="W14" s="446">
        <v>2.2999999999999998</v>
      </c>
      <c r="X14" s="563">
        <v>25026</v>
      </c>
      <c r="Y14" s="499">
        <f t="shared" si="8"/>
        <v>24</v>
      </c>
      <c r="Z14" s="501">
        <f t="shared" si="9"/>
        <v>55.199999999999996</v>
      </c>
      <c r="AA14" s="501">
        <f t="shared" si="10"/>
        <v>0</v>
      </c>
      <c r="AB14" s="564">
        <v>38293</v>
      </c>
      <c r="AC14" s="136">
        <f t="shared" si="11"/>
        <v>46</v>
      </c>
      <c r="AD14" s="564">
        <v>204958</v>
      </c>
      <c r="AE14" s="219">
        <f t="shared" si="15"/>
        <v>39</v>
      </c>
      <c r="AF14" s="314">
        <f>'Lpg (2)'!B18*2000/85</f>
        <v>2000</v>
      </c>
      <c r="AG14" s="315">
        <f>'Lpg (2)'!C18*1000/85</f>
        <v>882.35294117647061</v>
      </c>
      <c r="AH14" s="316">
        <f>'Lpg (2)'!D18*1000/85</f>
        <v>0</v>
      </c>
      <c r="AI14" s="504">
        <f t="shared" si="12"/>
        <v>4882352.9411764704</v>
      </c>
      <c r="AJ14" s="503">
        <f t="shared" si="4"/>
        <v>70588.235294117592</v>
      </c>
      <c r="AK14" s="142"/>
    </row>
    <row r="15" spans="1:37" ht="19.5" thickBot="1">
      <c r="A15" s="94">
        <f>Gen!B20</f>
        <v>44084</v>
      </c>
      <c r="B15" s="494">
        <f>'Summery Report'!E14</f>
        <v>1</v>
      </c>
      <c r="C15" s="156">
        <f>Gen!C20</f>
        <v>1.2999999999999999E-2</v>
      </c>
      <c r="D15" s="495">
        <f>'Summery Report'!E14</f>
        <v>1</v>
      </c>
      <c r="E15" s="496">
        <f t="shared" si="13"/>
        <v>1.3262195121951219</v>
      </c>
      <c r="F15" s="497">
        <f t="shared" si="14"/>
        <v>0</v>
      </c>
      <c r="G15" s="497">
        <f t="shared" si="0"/>
        <v>0</v>
      </c>
      <c r="H15" s="496">
        <f>Gen!D20</f>
        <v>34794.94000000001</v>
      </c>
      <c r="I15" s="498">
        <f>Gen!F20</f>
        <v>0</v>
      </c>
      <c r="J15" s="140">
        <f>Gen!T20</f>
        <v>0</v>
      </c>
      <c r="K15" s="140">
        <f>Gen!AK20</f>
        <v>0</v>
      </c>
      <c r="L15" s="140">
        <f t="shared" si="1"/>
        <v>0</v>
      </c>
      <c r="M15" s="527">
        <f>'Water-Meter'!K55</f>
        <v>531.82242725529113</v>
      </c>
      <c r="N15" s="201" t="str">
        <f>'Water-Meter'!E15</f>
        <v>0</v>
      </c>
      <c r="O15" s="212"/>
      <c r="P15" s="753"/>
      <c r="Q15" s="499">
        <f t="shared" si="2"/>
        <v>0</v>
      </c>
      <c r="R15" s="500">
        <f t="shared" si="5"/>
        <v>0</v>
      </c>
      <c r="S15" s="446"/>
      <c r="T15" s="565"/>
      <c r="U15" s="499">
        <f t="shared" si="6"/>
        <v>-16909</v>
      </c>
      <c r="V15" s="501">
        <f t="shared" si="16"/>
        <v>0</v>
      </c>
      <c r="W15" s="446"/>
      <c r="X15" s="563"/>
      <c r="Y15" s="499">
        <f t="shared" si="8"/>
        <v>-25026</v>
      </c>
      <c r="Z15" s="501">
        <f t="shared" si="9"/>
        <v>0</v>
      </c>
      <c r="AA15" s="501">
        <f t="shared" si="10"/>
        <v>0</v>
      </c>
      <c r="AB15" s="564"/>
      <c r="AC15" s="136">
        <f t="shared" si="11"/>
        <v>-38293</v>
      </c>
      <c r="AD15" s="564"/>
      <c r="AE15" s="219">
        <f>AD15-AD14</f>
        <v>-204958</v>
      </c>
      <c r="AF15" s="314">
        <f>'Lpg (2)'!B19*2000/85</f>
        <v>2000</v>
      </c>
      <c r="AG15" s="315">
        <f>'Lpg (2)'!C19*1000/85</f>
        <v>847.05882352941171</v>
      </c>
      <c r="AH15" s="316">
        <f>'Lpg (2)'!D19*1000/85</f>
        <v>0</v>
      </c>
      <c r="AI15" s="504">
        <f t="shared" ref="AI15:AI35" si="17">SUM(AF15*2000)+(AG15*1000)+(AH15*1000)</f>
        <v>4847058.823529412</v>
      </c>
      <c r="AJ15" s="503">
        <f t="shared" si="4"/>
        <v>35294.11764705833</v>
      </c>
      <c r="AK15" s="142"/>
    </row>
    <row r="16" spans="1:37" ht="19.5" thickBot="1">
      <c r="A16" s="94">
        <f>Gen!B21</f>
        <v>44085</v>
      </c>
      <c r="B16" s="494">
        <f>'Summery Report'!E15</f>
        <v>0</v>
      </c>
      <c r="C16" s="156">
        <f>Gen!C21</f>
        <v>0</v>
      </c>
      <c r="D16" s="495">
        <f>'Summery Report'!E15</f>
        <v>0</v>
      </c>
      <c r="E16" s="496">
        <f t="shared" si="13"/>
        <v>1.3262195121951219</v>
      </c>
      <c r="F16" s="497" t="e">
        <f t="shared" si="14"/>
        <v>#DIV/0!</v>
      </c>
      <c r="G16" s="497" t="e">
        <f t="shared" si="0"/>
        <v>#DIV/0!</v>
      </c>
      <c r="H16" s="496">
        <f>Gen!D21</f>
        <v>34794.94000000001</v>
      </c>
      <c r="I16" s="498">
        <f>Gen!F21</f>
        <v>0</v>
      </c>
      <c r="J16" s="140">
        <f>Gen!T21</f>
        <v>0</v>
      </c>
      <c r="K16" s="140">
        <f>Gen!AK21</f>
        <v>0</v>
      </c>
      <c r="L16" s="140">
        <f t="shared" si="1"/>
        <v>0</v>
      </c>
      <c r="M16" s="527">
        <f>'Water-Meter'!K56</f>
        <v>0</v>
      </c>
      <c r="N16" s="201">
        <f>'Water-Meter'!E16</f>
        <v>0</v>
      </c>
      <c r="O16" s="212"/>
      <c r="P16" s="753"/>
      <c r="Q16" s="499">
        <f t="shared" si="2"/>
        <v>0</v>
      </c>
      <c r="R16" s="500">
        <f t="shared" si="5"/>
        <v>0</v>
      </c>
      <c r="S16" s="446"/>
      <c r="T16" s="565"/>
      <c r="U16" s="499">
        <f t="shared" si="6"/>
        <v>0</v>
      </c>
      <c r="V16" s="501">
        <f t="shared" si="16"/>
        <v>0</v>
      </c>
      <c r="W16" s="446"/>
      <c r="X16" s="563"/>
      <c r="Y16" s="499">
        <f t="shared" si="8"/>
        <v>0</v>
      </c>
      <c r="Z16" s="501">
        <f t="shared" si="9"/>
        <v>0</v>
      </c>
      <c r="AA16" s="501">
        <f t="shared" si="10"/>
        <v>0</v>
      </c>
      <c r="AB16" s="564"/>
      <c r="AC16" s="136">
        <f t="shared" si="11"/>
        <v>0</v>
      </c>
      <c r="AD16" s="564"/>
      <c r="AE16" s="219">
        <f t="shared" si="15"/>
        <v>0</v>
      </c>
      <c r="AF16" s="314">
        <f>'Lpg (2)'!B20*2000/85</f>
        <v>0</v>
      </c>
      <c r="AG16" s="315">
        <f>'Lpg (2)'!C20*1000/85</f>
        <v>0</v>
      </c>
      <c r="AH16" s="316">
        <f>'Lpg (2)'!D20*1000/85</f>
        <v>0</v>
      </c>
      <c r="AI16" s="504">
        <f t="shared" si="17"/>
        <v>0</v>
      </c>
      <c r="AJ16" s="503">
        <f t="shared" si="4"/>
        <v>4847058.823529412</v>
      </c>
      <c r="AK16" s="142"/>
    </row>
    <row r="17" spans="1:37" ht="19.5" thickBot="1">
      <c r="A17" s="94">
        <f>Gen!B22</f>
        <v>44086</v>
      </c>
      <c r="B17" s="494">
        <f>'Summery Report'!E16</f>
        <v>0</v>
      </c>
      <c r="C17" s="156">
        <f>Gen!C22</f>
        <v>0</v>
      </c>
      <c r="D17" s="495">
        <f>'Summery Report'!E16</f>
        <v>0</v>
      </c>
      <c r="E17" s="496">
        <f t="shared" si="13"/>
        <v>1.3262195121951219</v>
      </c>
      <c r="F17" s="497" t="e">
        <f t="shared" si="14"/>
        <v>#DIV/0!</v>
      </c>
      <c r="G17" s="497" t="e">
        <f t="shared" si="0"/>
        <v>#DIV/0!</v>
      </c>
      <c r="H17" s="496">
        <f>Gen!D22</f>
        <v>34794.94000000001</v>
      </c>
      <c r="I17" s="498">
        <f>Gen!F22</f>
        <v>0</v>
      </c>
      <c r="J17" s="140">
        <f>Gen!T22</f>
        <v>0</v>
      </c>
      <c r="K17" s="140">
        <f>Gen!AK22</f>
        <v>0</v>
      </c>
      <c r="L17" s="140">
        <f t="shared" si="1"/>
        <v>0</v>
      </c>
      <c r="M17" s="527">
        <f>'Water-Meter'!K57</f>
        <v>0</v>
      </c>
      <c r="N17" s="201">
        <f>'Water-Meter'!E17</f>
        <v>0</v>
      </c>
      <c r="O17" s="212"/>
      <c r="P17" s="753"/>
      <c r="Q17" s="499">
        <f>SUM(P18-P16)</f>
        <v>0</v>
      </c>
      <c r="R17" s="500">
        <f t="shared" si="5"/>
        <v>0</v>
      </c>
      <c r="S17" s="446"/>
      <c r="T17" s="565"/>
      <c r="U17" s="499">
        <f t="shared" si="6"/>
        <v>0</v>
      </c>
      <c r="V17" s="501">
        <f t="shared" ref="V17:V36" si="18">SUM(U17*S17)</f>
        <v>0</v>
      </c>
      <c r="W17" s="446"/>
      <c r="X17" s="563"/>
      <c r="Y17" s="499">
        <f t="shared" si="8"/>
        <v>0</v>
      </c>
      <c r="Z17" s="501">
        <f t="shared" si="9"/>
        <v>0</v>
      </c>
      <c r="AA17" s="501">
        <f t="shared" si="10"/>
        <v>0</v>
      </c>
      <c r="AB17" s="564"/>
      <c r="AC17" s="136">
        <f t="shared" si="11"/>
        <v>0</v>
      </c>
      <c r="AD17" s="564"/>
      <c r="AE17" s="219">
        <f t="shared" si="15"/>
        <v>0</v>
      </c>
      <c r="AF17" s="314">
        <f>'Lpg (2)'!B21*2000/85</f>
        <v>0</v>
      </c>
      <c r="AG17" s="315">
        <f>'Lpg (2)'!C21*1000/85</f>
        <v>0</v>
      </c>
      <c r="AH17" s="316">
        <f>'Lpg (2)'!D21*1000/85</f>
        <v>0</v>
      </c>
      <c r="AI17" s="504">
        <f t="shared" si="17"/>
        <v>0</v>
      </c>
      <c r="AJ17" s="503">
        <f t="shared" si="4"/>
        <v>0</v>
      </c>
      <c r="AK17" s="142"/>
    </row>
    <row r="18" spans="1:37" ht="19.5" thickBot="1">
      <c r="A18" s="94">
        <f>Gen!B23</f>
        <v>44087</v>
      </c>
      <c r="B18" s="494">
        <f>'Summery Report'!E17</f>
        <v>0</v>
      </c>
      <c r="C18" s="156">
        <f>Gen!C23</f>
        <v>0</v>
      </c>
      <c r="D18" s="495">
        <f>'Summery Report'!E17</f>
        <v>0</v>
      </c>
      <c r="E18" s="496">
        <f t="shared" si="13"/>
        <v>1.3262195121951219</v>
      </c>
      <c r="F18" s="497" t="e">
        <f t="shared" si="14"/>
        <v>#DIV/0!</v>
      </c>
      <c r="G18" s="497" t="e">
        <f t="shared" si="0"/>
        <v>#DIV/0!</v>
      </c>
      <c r="H18" s="496">
        <f>Gen!D23</f>
        <v>34794.94000000001</v>
      </c>
      <c r="I18" s="498">
        <f>Gen!F23</f>
        <v>0</v>
      </c>
      <c r="J18" s="140">
        <f>Gen!T23</f>
        <v>0</v>
      </c>
      <c r="K18" s="140">
        <f>Gen!AK23</f>
        <v>0</v>
      </c>
      <c r="L18" s="140">
        <f t="shared" si="1"/>
        <v>0</v>
      </c>
      <c r="M18" s="527">
        <f>'Water-Meter'!K58</f>
        <v>0</v>
      </c>
      <c r="N18" s="201">
        <f>'Water-Meter'!E18</f>
        <v>0</v>
      </c>
      <c r="O18" s="212"/>
      <c r="P18" s="753"/>
      <c r="Q18" s="499"/>
      <c r="R18" s="500">
        <f t="shared" si="5"/>
        <v>0</v>
      </c>
      <c r="S18" s="446"/>
      <c r="T18" s="565"/>
      <c r="U18" s="499">
        <f t="shared" si="6"/>
        <v>0</v>
      </c>
      <c r="V18" s="501">
        <f t="shared" si="18"/>
        <v>0</v>
      </c>
      <c r="W18" s="446"/>
      <c r="X18" s="563"/>
      <c r="Y18" s="499">
        <f t="shared" si="8"/>
        <v>0</v>
      </c>
      <c r="Z18" s="501">
        <f t="shared" si="9"/>
        <v>0</v>
      </c>
      <c r="AA18" s="501">
        <f t="shared" si="10"/>
        <v>0</v>
      </c>
      <c r="AB18" s="564"/>
      <c r="AC18" s="136">
        <f t="shared" si="11"/>
        <v>0</v>
      </c>
      <c r="AD18" s="564"/>
      <c r="AE18" s="219">
        <f t="shared" si="15"/>
        <v>0</v>
      </c>
      <c r="AF18" s="314">
        <f>'Lpg (2)'!B22*2000/85</f>
        <v>0</v>
      </c>
      <c r="AG18" s="315">
        <f>'Lpg (2)'!C22*1000/85</f>
        <v>0</v>
      </c>
      <c r="AH18" s="316">
        <f>'Lpg (2)'!D22*1000/85</f>
        <v>0</v>
      </c>
      <c r="AI18" s="504">
        <f t="shared" si="17"/>
        <v>0</v>
      </c>
      <c r="AJ18" s="503">
        <f t="shared" si="4"/>
        <v>0</v>
      </c>
      <c r="AK18" s="142"/>
    </row>
    <row r="19" spans="1:37" ht="19.5" thickBot="1">
      <c r="A19" s="94">
        <f>Gen!B24</f>
        <v>44088</v>
      </c>
      <c r="B19" s="494">
        <f>'Summery Report'!E18</f>
        <v>0</v>
      </c>
      <c r="C19" s="156">
        <f>Gen!C24</f>
        <v>0</v>
      </c>
      <c r="D19" s="495">
        <f>'Summery Report'!E18</f>
        <v>0</v>
      </c>
      <c r="E19" s="496">
        <f t="shared" si="13"/>
        <v>1.3262195121951219</v>
      </c>
      <c r="F19" s="497" t="e">
        <f t="shared" si="14"/>
        <v>#DIV/0!</v>
      </c>
      <c r="G19" s="497" t="e">
        <f t="shared" si="0"/>
        <v>#DIV/0!</v>
      </c>
      <c r="H19" s="496">
        <f>Gen!D24</f>
        <v>34794.94000000001</v>
      </c>
      <c r="I19" s="498">
        <f>Gen!F24</f>
        <v>0</v>
      </c>
      <c r="J19" s="140">
        <f>Gen!T24</f>
        <v>0</v>
      </c>
      <c r="K19" s="140">
        <f>Gen!AK24</f>
        <v>0</v>
      </c>
      <c r="L19" s="140">
        <f t="shared" si="1"/>
        <v>0</v>
      </c>
      <c r="M19" s="527">
        <f>'Water-Meter'!K59</f>
        <v>0</v>
      </c>
      <c r="N19" s="201">
        <f>'Water-Meter'!E19</f>
        <v>0</v>
      </c>
      <c r="O19" s="212"/>
      <c r="P19" s="753"/>
      <c r="Q19" s="499"/>
      <c r="R19" s="500">
        <f t="shared" si="5"/>
        <v>0</v>
      </c>
      <c r="S19" s="446"/>
      <c r="T19" s="565"/>
      <c r="U19" s="499">
        <f t="shared" si="6"/>
        <v>0</v>
      </c>
      <c r="V19" s="501">
        <f t="shared" si="18"/>
        <v>0</v>
      </c>
      <c r="W19" s="446"/>
      <c r="X19" s="563"/>
      <c r="Y19" s="499">
        <f t="shared" si="8"/>
        <v>0</v>
      </c>
      <c r="Z19" s="501">
        <f t="shared" si="9"/>
        <v>0</v>
      </c>
      <c r="AA19" s="501">
        <f t="shared" si="10"/>
        <v>0</v>
      </c>
      <c r="AB19" s="564"/>
      <c r="AC19" s="136">
        <f t="shared" si="11"/>
        <v>0</v>
      </c>
      <c r="AD19" s="564"/>
      <c r="AE19" s="219">
        <f t="shared" si="15"/>
        <v>0</v>
      </c>
      <c r="AF19" s="314">
        <f>'Lpg (2)'!B23*2000/85</f>
        <v>0</v>
      </c>
      <c r="AG19" s="315">
        <f>'Lpg (2)'!C23*1000/85</f>
        <v>0</v>
      </c>
      <c r="AH19" s="316">
        <f>'Lpg (2)'!D23*1000/85</f>
        <v>0</v>
      </c>
      <c r="AI19" s="504">
        <f t="shared" si="17"/>
        <v>0</v>
      </c>
      <c r="AJ19" s="503">
        <f t="shared" si="4"/>
        <v>0</v>
      </c>
      <c r="AK19" s="142"/>
    </row>
    <row r="20" spans="1:37" ht="19.5" thickBot="1">
      <c r="A20" s="94">
        <f>Gen!B25</f>
        <v>44089</v>
      </c>
      <c r="B20" s="494">
        <f>'Summery Report'!E19</f>
        <v>0</v>
      </c>
      <c r="C20" s="156">
        <f>Gen!C25</f>
        <v>0</v>
      </c>
      <c r="D20" s="495">
        <f>'Summery Report'!E19</f>
        <v>0</v>
      </c>
      <c r="E20" s="496">
        <f t="shared" si="13"/>
        <v>1.3262195121951219</v>
      </c>
      <c r="F20" s="497" t="e">
        <f t="shared" si="14"/>
        <v>#DIV/0!</v>
      </c>
      <c r="G20" s="497" t="e">
        <f t="shared" si="0"/>
        <v>#DIV/0!</v>
      </c>
      <c r="H20" s="496">
        <f>Gen!D25</f>
        <v>34794.94000000001</v>
      </c>
      <c r="I20" s="498">
        <f>Gen!F25</f>
        <v>18000</v>
      </c>
      <c r="J20" s="140">
        <f>Gen!T25</f>
        <v>0</v>
      </c>
      <c r="K20" s="140">
        <f>Gen!AK25</f>
        <v>0</v>
      </c>
      <c r="L20" s="140">
        <f t="shared" si="1"/>
        <v>0</v>
      </c>
      <c r="M20" s="527">
        <f>'Water-Meter'!K60</f>
        <v>0</v>
      </c>
      <c r="N20" s="201">
        <f>'Water-Meter'!E20</f>
        <v>0</v>
      </c>
      <c r="O20" s="212"/>
      <c r="P20" s="753"/>
      <c r="Q20" s="499">
        <f t="shared" si="2"/>
        <v>0</v>
      </c>
      <c r="R20" s="500">
        <f t="shared" si="5"/>
        <v>0</v>
      </c>
      <c r="S20" s="446"/>
      <c r="T20" s="565"/>
      <c r="U20" s="499">
        <f t="shared" si="6"/>
        <v>0</v>
      </c>
      <c r="V20" s="501">
        <f t="shared" si="18"/>
        <v>0</v>
      </c>
      <c r="W20" s="446"/>
      <c r="X20" s="563"/>
      <c r="Y20" s="499">
        <f t="shared" si="8"/>
        <v>0</v>
      </c>
      <c r="Z20" s="501">
        <f t="shared" si="9"/>
        <v>0</v>
      </c>
      <c r="AA20" s="501">
        <f t="shared" si="10"/>
        <v>0</v>
      </c>
      <c r="AB20" s="564"/>
      <c r="AC20" s="136">
        <f t="shared" si="11"/>
        <v>0</v>
      </c>
      <c r="AD20" s="564"/>
      <c r="AE20" s="219">
        <f t="shared" si="15"/>
        <v>0</v>
      </c>
      <c r="AF20" s="314">
        <f>'Lpg (2)'!B24*2000/85</f>
        <v>0</v>
      </c>
      <c r="AG20" s="315">
        <f>'Lpg (2)'!C24*1000/85</f>
        <v>0</v>
      </c>
      <c r="AH20" s="316">
        <f>'Lpg (2)'!D24*1000/85</f>
        <v>0</v>
      </c>
      <c r="AI20" s="504">
        <f t="shared" si="17"/>
        <v>0</v>
      </c>
      <c r="AJ20" s="503">
        <f t="shared" si="4"/>
        <v>0</v>
      </c>
      <c r="AK20" s="142"/>
    </row>
    <row r="21" spans="1:37" ht="19.5" thickBot="1">
      <c r="A21" s="94">
        <f>Gen!B26</f>
        <v>44090</v>
      </c>
      <c r="B21" s="494">
        <f>'Summery Report'!E20</f>
        <v>0</v>
      </c>
      <c r="C21" s="156">
        <f>Gen!C26</f>
        <v>0</v>
      </c>
      <c r="D21" s="495">
        <f>'Summery Report'!E20</f>
        <v>0</v>
      </c>
      <c r="E21" s="496">
        <f t="shared" si="13"/>
        <v>1.3262195121951219</v>
      </c>
      <c r="F21" s="497" t="e">
        <f t="shared" si="14"/>
        <v>#DIV/0!</v>
      </c>
      <c r="G21" s="497" t="e">
        <f t="shared" si="0"/>
        <v>#DIV/0!</v>
      </c>
      <c r="H21" s="496">
        <f>Gen!D26</f>
        <v>34794.94000000001</v>
      </c>
      <c r="I21" s="498">
        <f>Gen!F26</f>
        <v>0</v>
      </c>
      <c r="J21" s="140">
        <f>Gen!T26</f>
        <v>0</v>
      </c>
      <c r="K21" s="140">
        <f>Gen!AK26</f>
        <v>0</v>
      </c>
      <c r="L21" s="140">
        <f t="shared" si="1"/>
        <v>0</v>
      </c>
      <c r="M21" s="527">
        <f>'Water-Meter'!K61</f>
        <v>0</v>
      </c>
      <c r="N21" s="201">
        <f>'Water-Meter'!E21</f>
        <v>0</v>
      </c>
      <c r="O21" s="212"/>
      <c r="P21" s="753"/>
      <c r="Q21" s="499">
        <f t="shared" si="2"/>
        <v>0</v>
      </c>
      <c r="R21" s="500">
        <f t="shared" si="5"/>
        <v>0</v>
      </c>
      <c r="S21" s="446"/>
      <c r="T21" s="565"/>
      <c r="U21" s="499">
        <f>T22-T20</f>
        <v>0</v>
      </c>
      <c r="V21" s="501">
        <f t="shared" si="18"/>
        <v>0</v>
      </c>
      <c r="W21" s="446"/>
      <c r="X21" s="563"/>
      <c r="Y21" s="499">
        <f t="shared" si="8"/>
        <v>0</v>
      </c>
      <c r="Z21" s="501">
        <f t="shared" si="9"/>
        <v>0</v>
      </c>
      <c r="AA21" s="501">
        <f t="shared" si="10"/>
        <v>0</v>
      </c>
      <c r="AB21" s="564"/>
      <c r="AC21" s="136">
        <f t="shared" si="11"/>
        <v>0</v>
      </c>
      <c r="AD21" s="564"/>
      <c r="AE21" s="219">
        <f t="shared" si="15"/>
        <v>0</v>
      </c>
      <c r="AF21" s="314">
        <f>'Lpg (2)'!B25*2000/85</f>
        <v>0</v>
      </c>
      <c r="AG21" s="315">
        <f>'Lpg (2)'!C25*1000/85</f>
        <v>0</v>
      </c>
      <c r="AH21" s="316">
        <f>'Lpg (2)'!D25*1000/85</f>
        <v>0</v>
      </c>
      <c r="AI21" s="504">
        <f t="shared" si="17"/>
        <v>0</v>
      </c>
      <c r="AJ21" s="503">
        <f t="shared" si="4"/>
        <v>0</v>
      </c>
      <c r="AK21" s="142"/>
    </row>
    <row r="22" spans="1:37" ht="19.5" thickBot="1">
      <c r="A22" s="94">
        <f>Gen!B27</f>
        <v>44091</v>
      </c>
      <c r="B22" s="494">
        <f>'Summery Report'!E21</f>
        <v>0</v>
      </c>
      <c r="C22" s="156">
        <f>Gen!C27</f>
        <v>0</v>
      </c>
      <c r="D22" s="495">
        <f>'Summery Report'!E21</f>
        <v>0</v>
      </c>
      <c r="E22" s="496">
        <f t="shared" si="13"/>
        <v>1.3262195121951219</v>
      </c>
      <c r="F22" s="497" t="e">
        <f t="shared" si="14"/>
        <v>#DIV/0!</v>
      </c>
      <c r="G22" s="497" t="e">
        <f t="shared" si="0"/>
        <v>#DIV/0!</v>
      </c>
      <c r="H22" s="496">
        <f>Gen!D27</f>
        <v>34794.94000000001</v>
      </c>
      <c r="I22" s="498">
        <f>Gen!F27</f>
        <v>0</v>
      </c>
      <c r="J22" s="140">
        <f>Gen!T27</f>
        <v>0</v>
      </c>
      <c r="K22" s="140">
        <f>Gen!AK27</f>
        <v>0</v>
      </c>
      <c r="L22" s="140">
        <f t="shared" si="1"/>
        <v>0</v>
      </c>
      <c r="M22" s="527">
        <f>'Water-Meter'!K62</f>
        <v>0</v>
      </c>
      <c r="N22" s="201">
        <f>'Water-Meter'!E22</f>
        <v>0</v>
      </c>
      <c r="O22" s="212"/>
      <c r="P22" s="753"/>
      <c r="Q22" s="499">
        <f t="shared" si="2"/>
        <v>0</v>
      </c>
      <c r="R22" s="500">
        <f t="shared" si="5"/>
        <v>0</v>
      </c>
      <c r="S22" s="446"/>
      <c r="T22" s="565"/>
      <c r="U22" s="499">
        <f t="shared" ref="U22:U23" si="19">T23-T21</f>
        <v>0</v>
      </c>
      <c r="V22" s="501">
        <f t="shared" si="18"/>
        <v>0</v>
      </c>
      <c r="W22" s="446"/>
      <c r="X22" s="563"/>
      <c r="Y22" s="499">
        <f t="shared" si="8"/>
        <v>0</v>
      </c>
      <c r="Z22" s="501">
        <f t="shared" si="9"/>
        <v>0</v>
      </c>
      <c r="AA22" s="501">
        <f t="shared" si="10"/>
        <v>0</v>
      </c>
      <c r="AB22" s="564"/>
      <c r="AC22" s="136">
        <f t="shared" si="11"/>
        <v>0</v>
      </c>
      <c r="AD22" s="564"/>
      <c r="AE22" s="219">
        <f t="shared" si="15"/>
        <v>0</v>
      </c>
      <c r="AF22" s="314">
        <f>'Lpg (2)'!B26*2000/85</f>
        <v>0</v>
      </c>
      <c r="AG22" s="315">
        <f>'Lpg (2)'!C26*1000/85</f>
        <v>0</v>
      </c>
      <c r="AH22" s="316">
        <f>'Lpg (2)'!D26*1000/85</f>
        <v>0</v>
      </c>
      <c r="AI22" s="504">
        <f t="shared" si="17"/>
        <v>0</v>
      </c>
      <c r="AJ22" s="503">
        <f t="shared" si="4"/>
        <v>0</v>
      </c>
      <c r="AK22" s="142"/>
    </row>
    <row r="23" spans="1:37" ht="19.5" thickBot="1">
      <c r="A23" s="94">
        <f>Gen!B28</f>
        <v>44092</v>
      </c>
      <c r="B23" s="494">
        <f>'Summery Report'!E22</f>
        <v>0</v>
      </c>
      <c r="C23" s="156">
        <f>Gen!C28</f>
        <v>0</v>
      </c>
      <c r="D23" s="495">
        <f>'Summery Report'!E22</f>
        <v>0</v>
      </c>
      <c r="E23" s="496">
        <f t="shared" si="13"/>
        <v>1.3262195121951219</v>
      </c>
      <c r="F23" s="497" t="e">
        <f t="shared" si="14"/>
        <v>#DIV/0!</v>
      </c>
      <c r="G23" s="497" t="e">
        <f t="shared" si="0"/>
        <v>#DIV/0!</v>
      </c>
      <c r="H23" s="496">
        <f>Gen!D28</f>
        <v>34794.94000000001</v>
      </c>
      <c r="I23" s="498">
        <f>Gen!F28</f>
        <v>0</v>
      </c>
      <c r="J23" s="140">
        <f>Gen!T28</f>
        <v>0</v>
      </c>
      <c r="K23" s="140">
        <f>Gen!AK28</f>
        <v>0</v>
      </c>
      <c r="L23" s="140">
        <f t="shared" si="1"/>
        <v>0</v>
      </c>
      <c r="M23" s="527">
        <f>'Water-Meter'!K63</f>
        <v>0</v>
      </c>
      <c r="N23" s="201">
        <f>'Water-Meter'!E23</f>
        <v>0</v>
      </c>
      <c r="O23" s="212"/>
      <c r="P23" s="753"/>
      <c r="Q23" s="499">
        <f t="shared" si="2"/>
        <v>0</v>
      </c>
      <c r="R23" s="500">
        <f t="shared" si="5"/>
        <v>0</v>
      </c>
      <c r="S23" s="446"/>
      <c r="T23" s="565"/>
      <c r="U23" s="499">
        <f t="shared" si="19"/>
        <v>0</v>
      </c>
      <c r="V23" s="501">
        <f t="shared" si="18"/>
        <v>0</v>
      </c>
      <c r="W23" s="446"/>
      <c r="X23" s="563"/>
      <c r="Y23" s="499">
        <f t="shared" si="8"/>
        <v>0</v>
      </c>
      <c r="Z23" s="501">
        <f t="shared" si="9"/>
        <v>0</v>
      </c>
      <c r="AA23" s="501">
        <f t="shared" si="10"/>
        <v>0</v>
      </c>
      <c r="AB23" s="564"/>
      <c r="AC23" s="136">
        <f t="shared" si="11"/>
        <v>0</v>
      </c>
      <c r="AD23" s="750"/>
      <c r="AE23" s="219">
        <f t="shared" si="15"/>
        <v>0</v>
      </c>
      <c r="AF23" s="314">
        <f>'Lpg (2)'!B27*2000/85</f>
        <v>0</v>
      </c>
      <c r="AG23" s="315">
        <f>'Lpg (2)'!C27*1000/85</f>
        <v>0</v>
      </c>
      <c r="AH23" s="316">
        <f>'Lpg (2)'!D27*1000/85</f>
        <v>0</v>
      </c>
      <c r="AI23" s="504">
        <f t="shared" si="17"/>
        <v>0</v>
      </c>
      <c r="AJ23" s="503">
        <f t="shared" si="4"/>
        <v>0</v>
      </c>
      <c r="AK23" s="142"/>
    </row>
    <row r="24" spans="1:37" ht="19.5" thickBot="1">
      <c r="A24" s="94">
        <f>Gen!B29</f>
        <v>44093</v>
      </c>
      <c r="B24" s="494">
        <f>'Summery Report'!E23</f>
        <v>0</v>
      </c>
      <c r="C24" s="156">
        <f>Gen!C29</f>
        <v>0</v>
      </c>
      <c r="D24" s="495">
        <f>'Summery Report'!E23</f>
        <v>0</v>
      </c>
      <c r="E24" s="496">
        <f t="shared" si="13"/>
        <v>1.3262195121951219</v>
      </c>
      <c r="F24" s="497" t="e">
        <f t="shared" si="14"/>
        <v>#DIV/0!</v>
      </c>
      <c r="G24" s="497" t="e">
        <f t="shared" si="0"/>
        <v>#DIV/0!</v>
      </c>
      <c r="H24" s="496">
        <f>Gen!D29</f>
        <v>34794.94000000001</v>
      </c>
      <c r="I24" s="498">
        <f>Gen!F29</f>
        <v>0</v>
      </c>
      <c r="J24" s="140">
        <f>Gen!T29</f>
        <v>0</v>
      </c>
      <c r="K24" s="140">
        <f>Gen!AK29</f>
        <v>0</v>
      </c>
      <c r="L24" s="140">
        <f t="shared" si="1"/>
        <v>0</v>
      </c>
      <c r="M24" s="527">
        <f>'Water-Meter'!K64</f>
        <v>0</v>
      </c>
      <c r="N24" s="201">
        <f>'Water-Meter'!E24</f>
        <v>0</v>
      </c>
      <c r="O24" s="212"/>
      <c r="P24" s="753"/>
      <c r="Q24" s="499">
        <f t="shared" si="2"/>
        <v>0</v>
      </c>
      <c r="R24" s="500">
        <f t="shared" si="5"/>
        <v>0</v>
      </c>
      <c r="S24" s="446"/>
      <c r="T24" s="565"/>
      <c r="U24" s="499">
        <f t="shared" si="6"/>
        <v>0</v>
      </c>
      <c r="V24" s="501">
        <f t="shared" si="18"/>
        <v>0</v>
      </c>
      <c r="W24" s="446"/>
      <c r="X24" s="563"/>
      <c r="Y24" s="499">
        <f t="shared" si="8"/>
        <v>0</v>
      </c>
      <c r="Z24" s="501">
        <f t="shared" si="9"/>
        <v>0</v>
      </c>
      <c r="AA24" s="501">
        <f t="shared" si="10"/>
        <v>0</v>
      </c>
      <c r="AB24" s="564"/>
      <c r="AC24" s="136">
        <f t="shared" si="11"/>
        <v>0</v>
      </c>
      <c r="AD24" s="750"/>
      <c r="AE24" s="219">
        <f t="shared" si="15"/>
        <v>0</v>
      </c>
      <c r="AF24" s="314">
        <f>'Lpg (2)'!B28*2000/85</f>
        <v>0</v>
      </c>
      <c r="AG24" s="315">
        <f>'Lpg (2)'!C28*1000/85</f>
        <v>0</v>
      </c>
      <c r="AH24" s="316">
        <f>'Lpg (2)'!D28*1000/85</f>
        <v>0</v>
      </c>
      <c r="AI24" s="504">
        <f t="shared" si="17"/>
        <v>0</v>
      </c>
      <c r="AJ24" s="503">
        <f t="shared" si="4"/>
        <v>0</v>
      </c>
      <c r="AK24" s="142"/>
    </row>
    <row r="25" spans="1:37" ht="19.5" thickBot="1">
      <c r="A25" s="94">
        <f>Gen!B30</f>
        <v>44094</v>
      </c>
      <c r="B25" s="494">
        <f>'Summery Report'!E24</f>
        <v>0</v>
      </c>
      <c r="C25" s="156">
        <f>Gen!C30</f>
        <v>0</v>
      </c>
      <c r="D25" s="495">
        <f>'Summery Report'!E24</f>
        <v>0</v>
      </c>
      <c r="E25" s="496">
        <f t="shared" si="13"/>
        <v>1.3262195121951219</v>
      </c>
      <c r="F25" s="497" t="e">
        <f t="shared" si="14"/>
        <v>#DIV/0!</v>
      </c>
      <c r="G25" s="497" t="e">
        <f t="shared" si="0"/>
        <v>#DIV/0!</v>
      </c>
      <c r="H25" s="496">
        <f>Gen!D30</f>
        <v>34794.94000000001</v>
      </c>
      <c r="I25" s="498">
        <f>Gen!F30</f>
        <v>0</v>
      </c>
      <c r="J25" s="140">
        <f>Gen!T30</f>
        <v>0</v>
      </c>
      <c r="K25" s="140">
        <f>Gen!AK30</f>
        <v>0</v>
      </c>
      <c r="L25" s="140">
        <f t="shared" si="1"/>
        <v>0</v>
      </c>
      <c r="M25" s="527">
        <f>'Water-Meter'!K65</f>
        <v>0</v>
      </c>
      <c r="N25" s="201">
        <f>'Water-Meter'!E25</f>
        <v>0</v>
      </c>
      <c r="O25" s="212"/>
      <c r="P25" s="753"/>
      <c r="Q25" s="499">
        <f t="shared" si="2"/>
        <v>0</v>
      </c>
      <c r="R25" s="500">
        <f t="shared" si="5"/>
        <v>0</v>
      </c>
      <c r="S25" s="446"/>
      <c r="T25" s="565"/>
      <c r="U25" s="499">
        <f t="shared" si="6"/>
        <v>0</v>
      </c>
      <c r="V25" s="501">
        <f t="shared" si="18"/>
        <v>0</v>
      </c>
      <c r="W25" s="446"/>
      <c r="X25" s="563"/>
      <c r="Y25" s="499">
        <f t="shared" si="8"/>
        <v>0</v>
      </c>
      <c r="Z25" s="501">
        <f t="shared" si="9"/>
        <v>0</v>
      </c>
      <c r="AA25" s="501">
        <f t="shared" si="10"/>
        <v>0</v>
      </c>
      <c r="AB25" s="564"/>
      <c r="AC25" s="136">
        <f t="shared" si="11"/>
        <v>0</v>
      </c>
      <c r="AD25" s="750"/>
      <c r="AE25" s="219">
        <f t="shared" si="15"/>
        <v>0</v>
      </c>
      <c r="AF25" s="314">
        <f>'Lpg (2)'!B29*2000/85</f>
        <v>0</v>
      </c>
      <c r="AG25" s="315">
        <f>'Lpg (2)'!C29*1000/85</f>
        <v>0</v>
      </c>
      <c r="AH25" s="316">
        <f>'Lpg (2)'!D29*1000/85</f>
        <v>0</v>
      </c>
      <c r="AI25" s="504">
        <f t="shared" si="17"/>
        <v>0</v>
      </c>
      <c r="AJ25" s="503">
        <f t="shared" si="4"/>
        <v>0</v>
      </c>
      <c r="AK25" s="142"/>
    </row>
    <row r="26" spans="1:37" ht="19.5" thickBot="1">
      <c r="A26" s="94">
        <f>Gen!B31</f>
        <v>44095</v>
      </c>
      <c r="B26" s="494">
        <f>'Summery Report'!E25</f>
        <v>0</v>
      </c>
      <c r="C26" s="156">
        <f>Gen!C31</f>
        <v>0</v>
      </c>
      <c r="D26" s="495">
        <f>'Summery Report'!E25</f>
        <v>0</v>
      </c>
      <c r="E26" s="496">
        <f t="shared" si="13"/>
        <v>1.3262195121951219</v>
      </c>
      <c r="F26" s="497" t="e">
        <f>SUM(J26*E26)/D26</f>
        <v>#DIV/0!</v>
      </c>
      <c r="G26" s="497" t="e">
        <f t="shared" si="0"/>
        <v>#DIV/0!</v>
      </c>
      <c r="H26" s="496">
        <f>Gen!D31</f>
        <v>34794.94000000001</v>
      </c>
      <c r="I26" s="498">
        <f>Gen!F31</f>
        <v>0</v>
      </c>
      <c r="J26" s="140">
        <f>Gen!T31</f>
        <v>0</v>
      </c>
      <c r="K26" s="140">
        <f>Gen!AK31</f>
        <v>0</v>
      </c>
      <c r="L26" s="140">
        <f t="shared" si="1"/>
        <v>0</v>
      </c>
      <c r="M26" s="527">
        <f>'Water-Meter'!K66</f>
        <v>0</v>
      </c>
      <c r="N26" s="201">
        <f>'Water-Meter'!E26</f>
        <v>0</v>
      </c>
      <c r="O26" s="212"/>
      <c r="P26" s="753"/>
      <c r="Q26" s="499">
        <f t="shared" si="2"/>
        <v>0</v>
      </c>
      <c r="R26" s="500">
        <f t="shared" si="5"/>
        <v>0</v>
      </c>
      <c r="S26" s="446"/>
      <c r="T26" s="565"/>
      <c r="U26" s="499">
        <f t="shared" si="6"/>
        <v>0</v>
      </c>
      <c r="V26" s="501">
        <f t="shared" si="18"/>
        <v>0</v>
      </c>
      <c r="W26" s="446"/>
      <c r="X26" s="563"/>
      <c r="Y26" s="499">
        <f t="shared" si="8"/>
        <v>0</v>
      </c>
      <c r="Z26" s="501">
        <f t="shared" si="9"/>
        <v>0</v>
      </c>
      <c r="AA26" s="501">
        <f t="shared" si="10"/>
        <v>0</v>
      </c>
      <c r="AB26" s="564"/>
      <c r="AC26" s="136">
        <f t="shared" si="11"/>
        <v>0</v>
      </c>
      <c r="AD26" s="750"/>
      <c r="AE26" s="219">
        <f t="shared" si="15"/>
        <v>0</v>
      </c>
      <c r="AF26" s="314">
        <f>'Lpg (2)'!B30*2000/85</f>
        <v>0</v>
      </c>
      <c r="AG26" s="315">
        <f>'Lpg (2)'!C30*1000/85</f>
        <v>0</v>
      </c>
      <c r="AH26" s="316">
        <f>'Lpg (2)'!D30*1000/85</f>
        <v>0</v>
      </c>
      <c r="AI26" s="504">
        <f t="shared" si="17"/>
        <v>0</v>
      </c>
      <c r="AJ26" s="503">
        <f t="shared" si="4"/>
        <v>0</v>
      </c>
      <c r="AK26" s="142"/>
    </row>
    <row r="27" spans="1:37" ht="19.5" thickBot="1">
      <c r="A27" s="94">
        <f>Gen!B32</f>
        <v>44096</v>
      </c>
      <c r="B27" s="494">
        <f>'Summery Report'!E26</f>
        <v>0</v>
      </c>
      <c r="C27" s="156">
        <f>Gen!C32</f>
        <v>0</v>
      </c>
      <c r="D27" s="495">
        <f>'Summery Report'!E26</f>
        <v>0</v>
      </c>
      <c r="E27" s="496">
        <f t="shared" si="13"/>
        <v>1.3262195121951219</v>
      </c>
      <c r="F27" s="497" t="e">
        <f t="shared" si="14"/>
        <v>#DIV/0!</v>
      </c>
      <c r="G27" s="497" t="e">
        <f t="shared" si="0"/>
        <v>#DIV/0!</v>
      </c>
      <c r="H27" s="496">
        <f>Gen!D32</f>
        <v>34794.94000000001</v>
      </c>
      <c r="I27" s="498">
        <f>Gen!F32</f>
        <v>0</v>
      </c>
      <c r="J27" s="140">
        <f>Gen!T32</f>
        <v>0</v>
      </c>
      <c r="K27" s="140">
        <f>Gen!AK32</f>
        <v>0</v>
      </c>
      <c r="L27" s="140">
        <f t="shared" si="1"/>
        <v>0</v>
      </c>
      <c r="M27" s="527">
        <f>'Water-Meter'!K67</f>
        <v>0</v>
      </c>
      <c r="N27" s="201">
        <f>'Water-Meter'!E27</f>
        <v>0</v>
      </c>
      <c r="O27" s="212"/>
      <c r="P27" s="753"/>
      <c r="Q27" s="499">
        <f t="shared" si="2"/>
        <v>0</v>
      </c>
      <c r="R27" s="500">
        <f t="shared" si="5"/>
        <v>0</v>
      </c>
      <c r="S27" s="446"/>
      <c r="T27" s="565"/>
      <c r="U27" s="499">
        <f t="shared" si="6"/>
        <v>0</v>
      </c>
      <c r="V27" s="501">
        <f t="shared" si="18"/>
        <v>0</v>
      </c>
      <c r="W27" s="446"/>
      <c r="X27" s="563"/>
      <c r="Y27" s="499">
        <f t="shared" si="8"/>
        <v>0</v>
      </c>
      <c r="Z27" s="501">
        <f t="shared" si="9"/>
        <v>0</v>
      </c>
      <c r="AA27" s="501">
        <f t="shared" si="10"/>
        <v>0</v>
      </c>
      <c r="AB27" s="564"/>
      <c r="AC27" s="136">
        <f t="shared" si="11"/>
        <v>0</v>
      </c>
      <c r="AD27" s="750"/>
      <c r="AE27" s="219">
        <f t="shared" si="15"/>
        <v>0</v>
      </c>
      <c r="AF27" s="314">
        <f>'Lpg (2)'!B31*2000/85</f>
        <v>0</v>
      </c>
      <c r="AG27" s="315">
        <f>'Lpg (2)'!C31*1000/85</f>
        <v>0</v>
      </c>
      <c r="AH27" s="316">
        <f>'Lpg (2)'!D31*1000/85</f>
        <v>0</v>
      </c>
      <c r="AI27" s="504">
        <f t="shared" si="17"/>
        <v>0</v>
      </c>
      <c r="AJ27" s="503">
        <f t="shared" si="4"/>
        <v>0</v>
      </c>
      <c r="AK27" s="142"/>
    </row>
    <row r="28" spans="1:37" ht="19.5" thickBot="1">
      <c r="A28" s="94">
        <f>Gen!B33</f>
        <v>44097</v>
      </c>
      <c r="B28" s="494">
        <f>'Summery Report'!E27</f>
        <v>0</v>
      </c>
      <c r="C28" s="156">
        <f>Gen!C33</f>
        <v>0</v>
      </c>
      <c r="D28" s="495">
        <f>'Summery Report'!E27</f>
        <v>0</v>
      </c>
      <c r="E28" s="496">
        <f t="shared" si="13"/>
        <v>1.3262195121951219</v>
      </c>
      <c r="F28" s="497" t="e">
        <f t="shared" si="14"/>
        <v>#DIV/0!</v>
      </c>
      <c r="G28" s="497" t="e">
        <f t="shared" si="0"/>
        <v>#DIV/0!</v>
      </c>
      <c r="H28" s="496">
        <f>Gen!D33</f>
        <v>34794.94000000001</v>
      </c>
      <c r="I28" s="498">
        <f>Gen!F33</f>
        <v>0</v>
      </c>
      <c r="J28" s="140">
        <f>Gen!T33</f>
        <v>0</v>
      </c>
      <c r="K28" s="140">
        <f>Gen!AK33</f>
        <v>0</v>
      </c>
      <c r="L28" s="140">
        <f t="shared" si="1"/>
        <v>0</v>
      </c>
      <c r="M28" s="527">
        <f>'Water-Meter'!K68</f>
        <v>0</v>
      </c>
      <c r="N28" s="201">
        <f>'Water-Meter'!E28</f>
        <v>0</v>
      </c>
      <c r="O28" s="212"/>
      <c r="P28" s="753"/>
      <c r="Q28" s="499">
        <f t="shared" si="2"/>
        <v>0</v>
      </c>
      <c r="R28" s="500">
        <f t="shared" si="5"/>
        <v>0</v>
      </c>
      <c r="S28" s="446"/>
      <c r="T28" s="565"/>
      <c r="U28" s="499">
        <f t="shared" si="6"/>
        <v>0</v>
      </c>
      <c r="V28" s="501">
        <f t="shared" si="18"/>
        <v>0</v>
      </c>
      <c r="W28" s="446"/>
      <c r="X28" s="563"/>
      <c r="Y28" s="499">
        <f t="shared" si="8"/>
        <v>0</v>
      </c>
      <c r="Z28" s="501">
        <f t="shared" si="9"/>
        <v>0</v>
      </c>
      <c r="AA28" s="501">
        <f t="shared" si="10"/>
        <v>0</v>
      </c>
      <c r="AB28" s="564"/>
      <c r="AC28" s="136">
        <f t="shared" ref="AC28:AC37" si="20">SUM(AB28-AB27)</f>
        <v>0</v>
      </c>
      <c r="AD28" s="750"/>
      <c r="AE28" s="219">
        <f t="shared" si="15"/>
        <v>0</v>
      </c>
      <c r="AF28" s="314">
        <f>'Lpg (2)'!B32*2000/85</f>
        <v>0</v>
      </c>
      <c r="AG28" s="315">
        <f>'Lpg (2)'!C32*1000/85</f>
        <v>0</v>
      </c>
      <c r="AH28" s="316">
        <f>'Lpg (2)'!D32*1000/85</f>
        <v>0</v>
      </c>
      <c r="AI28" s="504">
        <f t="shared" si="17"/>
        <v>0</v>
      </c>
      <c r="AJ28" s="503">
        <f t="shared" si="4"/>
        <v>0</v>
      </c>
      <c r="AK28" s="142"/>
    </row>
    <row r="29" spans="1:37" ht="19.5" thickBot="1">
      <c r="A29" s="94">
        <f>Gen!B34</f>
        <v>44098</v>
      </c>
      <c r="B29" s="494">
        <f>'Summery Report'!E28</f>
        <v>0</v>
      </c>
      <c r="C29" s="156">
        <f>Gen!C34</f>
        <v>0</v>
      </c>
      <c r="D29" s="495">
        <f>'Summery Report'!E28</f>
        <v>0</v>
      </c>
      <c r="E29" s="496">
        <f t="shared" si="13"/>
        <v>1.3262195121951219</v>
      </c>
      <c r="F29" s="497" t="e">
        <f t="shared" si="14"/>
        <v>#DIV/0!</v>
      </c>
      <c r="G29" s="497" t="e">
        <f t="shared" si="0"/>
        <v>#DIV/0!</v>
      </c>
      <c r="H29" s="496">
        <f>Gen!D34</f>
        <v>34794.94000000001</v>
      </c>
      <c r="I29" s="498">
        <f>Gen!F34</f>
        <v>0</v>
      </c>
      <c r="J29" s="140">
        <f>Gen!T34</f>
        <v>0</v>
      </c>
      <c r="K29" s="140">
        <f>Gen!AK34</f>
        <v>0</v>
      </c>
      <c r="L29" s="140">
        <f t="shared" si="1"/>
        <v>0</v>
      </c>
      <c r="M29" s="527">
        <f>'Water-Meter'!K69</f>
        <v>0</v>
      </c>
      <c r="N29" s="201">
        <f>'Water-Meter'!E29</f>
        <v>0</v>
      </c>
      <c r="O29" s="212"/>
      <c r="P29" s="753"/>
      <c r="Q29" s="499">
        <f t="shared" si="2"/>
        <v>0</v>
      </c>
      <c r="R29" s="500">
        <f t="shared" si="5"/>
        <v>0</v>
      </c>
      <c r="S29" s="446"/>
      <c r="T29" s="565"/>
      <c r="U29" s="499">
        <f t="shared" si="6"/>
        <v>0</v>
      </c>
      <c r="V29" s="501">
        <f t="shared" si="18"/>
        <v>0</v>
      </c>
      <c r="W29" s="446"/>
      <c r="X29" s="563"/>
      <c r="Y29" s="499">
        <f t="shared" si="8"/>
        <v>0</v>
      </c>
      <c r="Z29" s="501">
        <f t="shared" si="9"/>
        <v>0</v>
      </c>
      <c r="AA29" s="501">
        <f t="shared" si="10"/>
        <v>0</v>
      </c>
      <c r="AB29" s="564"/>
      <c r="AC29" s="136">
        <f t="shared" si="20"/>
        <v>0</v>
      </c>
      <c r="AD29" s="750"/>
      <c r="AE29" s="219">
        <f t="shared" si="15"/>
        <v>0</v>
      </c>
      <c r="AF29" s="314">
        <f>'Lpg (2)'!B33*2000/85</f>
        <v>0</v>
      </c>
      <c r="AG29" s="315">
        <f>'Lpg (2)'!C33*1000/85</f>
        <v>0</v>
      </c>
      <c r="AH29" s="316">
        <f>'Lpg (2)'!D33*1000/85</f>
        <v>0</v>
      </c>
      <c r="AI29" s="504">
        <f t="shared" si="17"/>
        <v>0</v>
      </c>
      <c r="AJ29" s="503">
        <f t="shared" si="4"/>
        <v>0</v>
      </c>
      <c r="AK29" s="142"/>
    </row>
    <row r="30" spans="1:37" ht="19.5" thickBot="1">
      <c r="A30" s="94">
        <f>Gen!B35</f>
        <v>44099</v>
      </c>
      <c r="B30" s="494">
        <f>'Summery Report'!E29</f>
        <v>0</v>
      </c>
      <c r="C30" s="156">
        <f>Gen!C35</f>
        <v>0</v>
      </c>
      <c r="D30" s="495">
        <f>'Summery Report'!E29</f>
        <v>0</v>
      </c>
      <c r="E30" s="496">
        <f t="shared" si="13"/>
        <v>1.3262195121951219</v>
      </c>
      <c r="F30" s="497" t="e">
        <f t="shared" si="14"/>
        <v>#DIV/0!</v>
      </c>
      <c r="G30" s="497" t="e">
        <f t="shared" si="0"/>
        <v>#DIV/0!</v>
      </c>
      <c r="H30" s="496">
        <f>Gen!D35</f>
        <v>34794.94000000001</v>
      </c>
      <c r="I30" s="498">
        <f>Gen!F35</f>
        <v>0</v>
      </c>
      <c r="J30" s="140">
        <f>Gen!T35</f>
        <v>0</v>
      </c>
      <c r="K30" s="140">
        <f>Gen!AK35</f>
        <v>0</v>
      </c>
      <c r="L30" s="140">
        <f t="shared" si="1"/>
        <v>0</v>
      </c>
      <c r="M30" s="527">
        <f>'Water-Meter'!K70</f>
        <v>0</v>
      </c>
      <c r="N30" s="201">
        <f>'Water-Meter'!E30</f>
        <v>0</v>
      </c>
      <c r="O30" s="212"/>
      <c r="P30" s="753"/>
      <c r="Q30" s="499">
        <f t="shared" si="2"/>
        <v>0</v>
      </c>
      <c r="R30" s="500">
        <f t="shared" si="5"/>
        <v>0</v>
      </c>
      <c r="S30" s="446"/>
      <c r="T30" s="565"/>
      <c r="U30" s="499">
        <f t="shared" si="6"/>
        <v>0</v>
      </c>
      <c r="V30" s="501">
        <f t="shared" si="18"/>
        <v>0</v>
      </c>
      <c r="W30" s="446"/>
      <c r="X30" s="563"/>
      <c r="Y30" s="499">
        <f t="shared" si="8"/>
        <v>0</v>
      </c>
      <c r="Z30" s="501">
        <f t="shared" si="9"/>
        <v>0</v>
      </c>
      <c r="AA30" s="501">
        <f t="shared" si="10"/>
        <v>0</v>
      </c>
      <c r="AB30" s="564"/>
      <c r="AC30" s="136">
        <f t="shared" si="20"/>
        <v>0</v>
      </c>
      <c r="AD30" s="750"/>
      <c r="AE30" s="219">
        <f t="shared" si="15"/>
        <v>0</v>
      </c>
      <c r="AF30" s="314">
        <f>'Lpg (2)'!B34*2000/85</f>
        <v>0</v>
      </c>
      <c r="AG30" s="315">
        <f>'Lpg (2)'!C34*1000/85</f>
        <v>0</v>
      </c>
      <c r="AH30" s="316">
        <f>'Lpg (2)'!D34*1000/85</f>
        <v>0</v>
      </c>
      <c r="AI30" s="504">
        <f t="shared" si="17"/>
        <v>0</v>
      </c>
      <c r="AJ30" s="503">
        <f t="shared" si="4"/>
        <v>0</v>
      </c>
      <c r="AK30" s="142"/>
    </row>
    <row r="31" spans="1:37" ht="19.5" thickBot="1">
      <c r="A31" s="94">
        <f>Gen!B36</f>
        <v>44100</v>
      </c>
      <c r="B31" s="494">
        <f>'Summery Report'!E30</f>
        <v>0</v>
      </c>
      <c r="C31" s="156">
        <f>Gen!C36</f>
        <v>0</v>
      </c>
      <c r="D31" s="495">
        <f>'Summery Report'!E30</f>
        <v>0</v>
      </c>
      <c r="E31" s="496">
        <f t="shared" si="13"/>
        <v>1.3262195121951219</v>
      </c>
      <c r="F31" s="497" t="e">
        <f t="shared" si="14"/>
        <v>#DIV/0!</v>
      </c>
      <c r="G31" s="497" t="e">
        <f t="shared" si="0"/>
        <v>#DIV/0!</v>
      </c>
      <c r="H31" s="496">
        <f>Gen!D36</f>
        <v>34794.94000000001</v>
      </c>
      <c r="I31" s="498">
        <f>Gen!F36</f>
        <v>0</v>
      </c>
      <c r="J31" s="140">
        <f>Gen!T36</f>
        <v>0</v>
      </c>
      <c r="K31" s="140">
        <f>Gen!AK36</f>
        <v>0</v>
      </c>
      <c r="L31" s="140">
        <f t="shared" si="1"/>
        <v>0</v>
      </c>
      <c r="M31" s="527">
        <f>'Water-Meter'!K71</f>
        <v>0</v>
      </c>
      <c r="N31" s="201">
        <f>'Water-Meter'!E31</f>
        <v>0</v>
      </c>
      <c r="O31" s="212"/>
      <c r="P31" s="753"/>
      <c r="Q31" s="499">
        <f t="shared" si="2"/>
        <v>0</v>
      </c>
      <c r="R31" s="500">
        <f t="shared" si="5"/>
        <v>0</v>
      </c>
      <c r="S31" s="446"/>
      <c r="T31" s="565"/>
      <c r="U31" s="499">
        <f t="shared" si="6"/>
        <v>0</v>
      </c>
      <c r="V31" s="501">
        <f t="shared" si="18"/>
        <v>0</v>
      </c>
      <c r="W31" s="446"/>
      <c r="X31" s="566"/>
      <c r="Y31" s="499">
        <f t="shared" si="8"/>
        <v>0</v>
      </c>
      <c r="Z31" s="501">
        <f t="shared" si="9"/>
        <v>0</v>
      </c>
      <c r="AA31" s="501">
        <f t="shared" si="10"/>
        <v>0</v>
      </c>
      <c r="AB31" s="564"/>
      <c r="AC31" s="136">
        <f t="shared" si="20"/>
        <v>0</v>
      </c>
      <c r="AD31" s="750"/>
      <c r="AE31" s="219">
        <f t="shared" si="15"/>
        <v>0</v>
      </c>
      <c r="AF31" s="314">
        <f>'Lpg (2)'!B35*2000/85</f>
        <v>0</v>
      </c>
      <c r="AG31" s="315">
        <f>'Lpg (2)'!C35*1000/85</f>
        <v>0</v>
      </c>
      <c r="AH31" s="316">
        <f>'Lpg (2)'!D35*1000/85</f>
        <v>0</v>
      </c>
      <c r="AI31" s="504">
        <f t="shared" si="17"/>
        <v>0</v>
      </c>
      <c r="AJ31" s="503">
        <f t="shared" si="4"/>
        <v>0</v>
      </c>
      <c r="AK31" s="142"/>
    </row>
    <row r="32" spans="1:37" ht="19.5" thickBot="1">
      <c r="A32" s="94">
        <f>Gen!B37</f>
        <v>44101</v>
      </c>
      <c r="B32" s="494">
        <f>'Summery Report'!E31</f>
        <v>0</v>
      </c>
      <c r="C32" s="156">
        <f>Gen!C37</f>
        <v>0</v>
      </c>
      <c r="D32" s="495">
        <f>'Summery Report'!E31</f>
        <v>0</v>
      </c>
      <c r="E32" s="496">
        <f t="shared" si="13"/>
        <v>1.3262195121951219</v>
      </c>
      <c r="F32" s="497" t="e">
        <f t="shared" si="14"/>
        <v>#DIV/0!</v>
      </c>
      <c r="G32" s="497" t="e">
        <f t="shared" si="0"/>
        <v>#DIV/0!</v>
      </c>
      <c r="H32" s="496">
        <f>Gen!D37</f>
        <v>34794.94000000001</v>
      </c>
      <c r="I32" s="498">
        <f>Gen!F37</f>
        <v>10000</v>
      </c>
      <c r="J32" s="140">
        <f>Gen!T37</f>
        <v>0</v>
      </c>
      <c r="K32" s="140">
        <f>Gen!AK37</f>
        <v>0</v>
      </c>
      <c r="L32" s="140">
        <f t="shared" si="1"/>
        <v>0</v>
      </c>
      <c r="M32" s="527">
        <f>'Water-Meter'!K72</f>
        <v>0</v>
      </c>
      <c r="N32" s="201">
        <f>'Water-Meter'!E32</f>
        <v>0</v>
      </c>
      <c r="O32" s="212"/>
      <c r="P32" s="753"/>
      <c r="Q32" s="499">
        <f t="shared" si="2"/>
        <v>0</v>
      </c>
      <c r="R32" s="500">
        <f t="shared" si="5"/>
        <v>0</v>
      </c>
      <c r="S32" s="446"/>
      <c r="T32" s="565"/>
      <c r="U32" s="499">
        <f t="shared" si="6"/>
        <v>0</v>
      </c>
      <c r="V32" s="501">
        <f t="shared" si="18"/>
        <v>0</v>
      </c>
      <c r="W32" s="446"/>
      <c r="X32" s="563"/>
      <c r="Y32" s="499">
        <f t="shared" si="8"/>
        <v>0</v>
      </c>
      <c r="Z32" s="501">
        <f t="shared" si="9"/>
        <v>0</v>
      </c>
      <c r="AA32" s="501">
        <f t="shared" si="10"/>
        <v>0</v>
      </c>
      <c r="AB32" s="564"/>
      <c r="AC32" s="136">
        <f t="shared" si="20"/>
        <v>0</v>
      </c>
      <c r="AD32" s="750"/>
      <c r="AE32" s="219">
        <f t="shared" si="15"/>
        <v>0</v>
      </c>
      <c r="AF32" s="314">
        <f>'Lpg (2)'!B36*2000/85</f>
        <v>0</v>
      </c>
      <c r="AG32" s="315">
        <f>'Lpg (2)'!C36*1000/85</f>
        <v>0</v>
      </c>
      <c r="AH32" s="316">
        <f>'Lpg (2)'!D36*1000/85</f>
        <v>0</v>
      </c>
      <c r="AI32" s="504">
        <f t="shared" si="17"/>
        <v>0</v>
      </c>
      <c r="AJ32" s="503">
        <f t="shared" si="4"/>
        <v>0</v>
      </c>
      <c r="AK32" s="142"/>
    </row>
    <row r="33" spans="1:37" ht="19.5" thickBot="1">
      <c r="A33" s="94">
        <f>Gen!B38</f>
        <v>44102</v>
      </c>
      <c r="B33" s="494">
        <f>'Summery Report'!E32</f>
        <v>0</v>
      </c>
      <c r="C33" s="156">
        <f>Gen!C38</f>
        <v>0</v>
      </c>
      <c r="D33" s="495">
        <f>'Summery Report'!E32</f>
        <v>0</v>
      </c>
      <c r="E33" s="496">
        <f t="shared" si="13"/>
        <v>1.3262195121951219</v>
      </c>
      <c r="F33" s="497" t="e">
        <f t="shared" si="14"/>
        <v>#DIV/0!</v>
      </c>
      <c r="G33" s="497" t="e">
        <f t="shared" si="0"/>
        <v>#DIV/0!</v>
      </c>
      <c r="H33" s="496">
        <f>Gen!D38</f>
        <v>34794.94000000001</v>
      </c>
      <c r="I33" s="498">
        <f>Gen!F38</f>
        <v>0</v>
      </c>
      <c r="J33" s="140">
        <f>Gen!T38</f>
        <v>0</v>
      </c>
      <c r="K33" s="140">
        <f>Gen!AK38</f>
        <v>0</v>
      </c>
      <c r="L33" s="140">
        <f t="shared" si="1"/>
        <v>0</v>
      </c>
      <c r="M33" s="527">
        <f>'Water-Meter'!K73</f>
        <v>0</v>
      </c>
      <c r="N33" s="201">
        <f>'Water-Meter'!E33</f>
        <v>0</v>
      </c>
      <c r="O33" s="212"/>
      <c r="P33" s="753"/>
      <c r="Q33" s="499">
        <f t="shared" si="2"/>
        <v>0</v>
      </c>
      <c r="R33" s="500">
        <f t="shared" si="5"/>
        <v>0</v>
      </c>
      <c r="S33" s="446"/>
      <c r="T33" s="565"/>
      <c r="U33" s="499">
        <f t="shared" si="6"/>
        <v>0</v>
      </c>
      <c r="V33" s="501">
        <f t="shared" si="18"/>
        <v>0</v>
      </c>
      <c r="W33" s="446"/>
      <c r="X33" s="563"/>
      <c r="Y33" s="499">
        <f t="shared" si="8"/>
        <v>0</v>
      </c>
      <c r="Z33" s="501">
        <f t="shared" si="9"/>
        <v>0</v>
      </c>
      <c r="AA33" s="501">
        <f t="shared" si="10"/>
        <v>0</v>
      </c>
      <c r="AB33" s="564"/>
      <c r="AC33" s="136">
        <f t="shared" si="20"/>
        <v>0</v>
      </c>
      <c r="AD33" s="750"/>
      <c r="AE33" s="219">
        <f t="shared" si="15"/>
        <v>0</v>
      </c>
      <c r="AF33" s="314">
        <f>'Lpg (2)'!B37*2000/85</f>
        <v>0</v>
      </c>
      <c r="AG33" s="315">
        <f>'Lpg (2)'!C37*1000/85</f>
        <v>0</v>
      </c>
      <c r="AH33" s="316">
        <f>'Lpg (2)'!D37*1000/85</f>
        <v>0</v>
      </c>
      <c r="AI33" s="504">
        <f t="shared" si="17"/>
        <v>0</v>
      </c>
      <c r="AJ33" s="503">
        <f t="shared" si="4"/>
        <v>0</v>
      </c>
      <c r="AK33" s="142"/>
    </row>
    <row r="34" spans="1:37" ht="19.5" thickBot="1">
      <c r="A34" s="94">
        <f>Gen!B39</f>
        <v>44103</v>
      </c>
      <c r="B34" s="494">
        <f>'Summery Report'!E33</f>
        <v>0</v>
      </c>
      <c r="C34" s="156">
        <f>Gen!C39</f>
        <v>0</v>
      </c>
      <c r="D34" s="495">
        <f>'Summery Report'!E33</f>
        <v>0</v>
      </c>
      <c r="E34" s="496">
        <f t="shared" si="13"/>
        <v>1.3262195121951219</v>
      </c>
      <c r="F34" s="497" t="e">
        <f t="shared" si="14"/>
        <v>#DIV/0!</v>
      </c>
      <c r="G34" s="497" t="e">
        <f t="shared" si="0"/>
        <v>#DIV/0!</v>
      </c>
      <c r="H34" s="496">
        <f>Gen!D39</f>
        <v>34794.94000000001</v>
      </c>
      <c r="I34" s="498">
        <f>Gen!F39</f>
        <v>0</v>
      </c>
      <c r="J34" s="140">
        <f>Gen!T39</f>
        <v>0</v>
      </c>
      <c r="K34" s="140">
        <f>Gen!AK39</f>
        <v>0</v>
      </c>
      <c r="L34" s="140">
        <f t="shared" si="1"/>
        <v>0</v>
      </c>
      <c r="M34" s="527">
        <f>'Water-Meter'!K74</f>
        <v>0</v>
      </c>
      <c r="N34" s="201">
        <f>'Water-Meter'!E34</f>
        <v>0</v>
      </c>
      <c r="O34" s="212"/>
      <c r="P34" s="753"/>
      <c r="Q34" s="499">
        <f t="shared" si="2"/>
        <v>0</v>
      </c>
      <c r="R34" s="500">
        <f t="shared" si="5"/>
        <v>0</v>
      </c>
      <c r="S34" s="446"/>
      <c r="T34" s="565"/>
      <c r="U34" s="499">
        <f t="shared" si="6"/>
        <v>0</v>
      </c>
      <c r="V34" s="501">
        <f t="shared" si="18"/>
        <v>0</v>
      </c>
      <c r="W34" s="446"/>
      <c r="X34" s="563"/>
      <c r="Y34" s="499">
        <f t="shared" si="8"/>
        <v>0</v>
      </c>
      <c r="Z34" s="501">
        <f t="shared" si="9"/>
        <v>0</v>
      </c>
      <c r="AA34" s="501">
        <f t="shared" si="10"/>
        <v>0</v>
      </c>
      <c r="AB34" s="564"/>
      <c r="AC34" s="136">
        <f t="shared" si="20"/>
        <v>0</v>
      </c>
      <c r="AD34" s="750"/>
      <c r="AE34" s="219">
        <f t="shared" si="15"/>
        <v>0</v>
      </c>
      <c r="AF34" s="314">
        <f>'Lpg (2)'!B38*2000/85</f>
        <v>0</v>
      </c>
      <c r="AG34" s="315">
        <f>'Lpg (2)'!C38*1000/85</f>
        <v>0</v>
      </c>
      <c r="AH34" s="316">
        <f>'Lpg (2)'!D38*1000/85</f>
        <v>0</v>
      </c>
      <c r="AI34" s="504">
        <f t="shared" si="17"/>
        <v>0</v>
      </c>
      <c r="AJ34" s="503">
        <f t="shared" si="4"/>
        <v>0</v>
      </c>
      <c r="AK34" s="142"/>
    </row>
    <row r="35" spans="1:37" ht="19.5" thickBot="1">
      <c r="A35" s="94">
        <f>Gen!B40</f>
        <v>44104</v>
      </c>
      <c r="B35" s="494">
        <f>'Summery Report'!E34</f>
        <v>0</v>
      </c>
      <c r="C35" s="156">
        <f>Gen!C40</f>
        <v>0</v>
      </c>
      <c r="D35" s="495">
        <f>'Summery Report'!E34</f>
        <v>0</v>
      </c>
      <c r="E35" s="496">
        <f t="shared" si="13"/>
        <v>1.3262195121951219</v>
      </c>
      <c r="F35" s="497" t="e">
        <f t="shared" si="14"/>
        <v>#DIV/0!</v>
      </c>
      <c r="G35" s="497" t="e">
        <f t="shared" si="0"/>
        <v>#DIV/0!</v>
      </c>
      <c r="H35" s="496">
        <f>Gen!D40</f>
        <v>34794.94000000001</v>
      </c>
      <c r="I35" s="498">
        <f>Gen!F40</f>
        <v>0</v>
      </c>
      <c r="J35" s="140">
        <f>Gen!T40</f>
        <v>0</v>
      </c>
      <c r="K35" s="140">
        <f>Gen!AK40</f>
        <v>0</v>
      </c>
      <c r="L35" s="140">
        <f t="shared" si="1"/>
        <v>0</v>
      </c>
      <c r="M35" s="527">
        <f>'Water-Meter'!K75</f>
        <v>0</v>
      </c>
      <c r="N35" s="201">
        <f>'Water-Meter'!E35</f>
        <v>0</v>
      </c>
      <c r="O35" s="212"/>
      <c r="P35" s="753"/>
      <c r="Q35" s="499">
        <f t="shared" si="2"/>
        <v>0</v>
      </c>
      <c r="R35" s="500">
        <f t="shared" si="5"/>
        <v>0</v>
      </c>
      <c r="S35" s="446"/>
      <c r="T35" s="565"/>
      <c r="U35" s="499">
        <f t="shared" si="6"/>
        <v>0</v>
      </c>
      <c r="V35" s="501">
        <f t="shared" si="18"/>
        <v>0</v>
      </c>
      <c r="W35" s="446"/>
      <c r="X35" s="563"/>
      <c r="Y35" s="499">
        <f t="shared" si="8"/>
        <v>0</v>
      </c>
      <c r="Z35" s="501">
        <f t="shared" si="9"/>
        <v>0</v>
      </c>
      <c r="AA35" s="501">
        <f t="shared" si="10"/>
        <v>0</v>
      </c>
      <c r="AB35" s="564"/>
      <c r="AC35" s="136">
        <f t="shared" si="20"/>
        <v>0</v>
      </c>
      <c r="AD35" s="750"/>
      <c r="AE35" s="219">
        <f t="shared" si="15"/>
        <v>0</v>
      </c>
      <c r="AF35" s="314">
        <f>'Lpg (2)'!B39*2000/85</f>
        <v>0</v>
      </c>
      <c r="AG35" s="315">
        <f>'Lpg (2)'!C39*1000/85</f>
        <v>0</v>
      </c>
      <c r="AH35" s="316">
        <f>'Lpg (2)'!D39*1000/85</f>
        <v>0</v>
      </c>
      <c r="AI35" s="504">
        <f t="shared" si="17"/>
        <v>0</v>
      </c>
      <c r="AJ35" s="503">
        <f t="shared" si="4"/>
        <v>0</v>
      </c>
      <c r="AK35" s="144"/>
    </row>
    <row r="36" spans="1:37" ht="19.5" thickBot="1">
      <c r="A36" s="94">
        <f>Gen!B41</f>
        <v>0</v>
      </c>
      <c r="B36" s="494">
        <f>'Summery Report'!E35</f>
        <v>0</v>
      </c>
      <c r="C36" s="156">
        <f>Gen!C41</f>
        <v>0</v>
      </c>
      <c r="D36" s="495">
        <f>'Summery Report'!E35</f>
        <v>0</v>
      </c>
      <c r="E36" s="496">
        <f t="shared" si="13"/>
        <v>1.3262195121951219</v>
      </c>
      <c r="F36" s="497" t="e">
        <f t="shared" si="14"/>
        <v>#DIV/0!</v>
      </c>
      <c r="G36" s="497" t="e">
        <f t="shared" si="0"/>
        <v>#DIV/0!</v>
      </c>
      <c r="H36" s="496">
        <f>Gen!D41</f>
        <v>34794.94000000001</v>
      </c>
      <c r="I36" s="498">
        <f>Gen!F41</f>
        <v>0</v>
      </c>
      <c r="J36" s="140">
        <f>Gen!T41</f>
        <v>0</v>
      </c>
      <c r="K36" s="140">
        <f>Gen!AK41</f>
        <v>0</v>
      </c>
      <c r="L36" s="140">
        <f t="shared" si="1"/>
        <v>0</v>
      </c>
      <c r="M36" s="527">
        <f>'Water-Meter'!K76</f>
        <v>0</v>
      </c>
      <c r="N36" s="201">
        <f>'Water-Meter'!E36</f>
        <v>0</v>
      </c>
      <c r="O36" s="212"/>
      <c r="P36" s="753"/>
      <c r="Q36" s="499">
        <f t="shared" si="2"/>
        <v>0</v>
      </c>
      <c r="R36" s="500">
        <f t="shared" si="5"/>
        <v>0</v>
      </c>
      <c r="S36" s="446"/>
      <c r="T36" s="565"/>
      <c r="U36" s="499">
        <f t="shared" si="6"/>
        <v>0</v>
      </c>
      <c r="V36" s="501">
        <f t="shared" si="18"/>
        <v>0</v>
      </c>
      <c r="W36" s="446"/>
      <c r="X36" s="563"/>
      <c r="Y36" s="499">
        <f t="shared" si="8"/>
        <v>0</v>
      </c>
      <c r="Z36" s="501">
        <f t="shared" si="9"/>
        <v>0</v>
      </c>
      <c r="AA36" s="501">
        <f t="shared" si="10"/>
        <v>0</v>
      </c>
      <c r="AB36" s="564"/>
      <c r="AC36" s="136">
        <f t="shared" si="20"/>
        <v>0</v>
      </c>
      <c r="AD36" s="750"/>
      <c r="AE36" s="219">
        <f t="shared" si="15"/>
        <v>0</v>
      </c>
      <c r="AF36" s="314">
        <f>'Lpg (2)'!B40*2000/85</f>
        <v>0</v>
      </c>
      <c r="AG36" s="315">
        <f>'Lpg (2)'!C40*1000/85</f>
        <v>0</v>
      </c>
      <c r="AH36" s="316">
        <f>'Lpg (2)'!D40*1000/85</f>
        <v>0</v>
      </c>
      <c r="AI36" s="505">
        <f>SUM(AF36*1000)+(AG36*1000)+(AH36*2000)</f>
        <v>0</v>
      </c>
      <c r="AJ36" s="506">
        <f t="shared" si="4"/>
        <v>0</v>
      </c>
      <c r="AK36" s="144"/>
    </row>
    <row r="37" spans="1:37" s="9" customFormat="1" ht="15.75" thickBot="1">
      <c r="A37" s="94">
        <f>Gen!B42</f>
        <v>0</v>
      </c>
      <c r="B37" s="159">
        <v>0</v>
      </c>
      <c r="C37" s="160"/>
      <c r="D37" s="160"/>
      <c r="E37" s="160"/>
      <c r="F37" s="160"/>
      <c r="G37" s="160"/>
      <c r="H37" s="161"/>
      <c r="I37" s="162"/>
      <c r="J37" s="163">
        <f>SUM(J6:J36)</f>
        <v>8227.3499999999985</v>
      </c>
      <c r="K37" s="163"/>
      <c r="L37" s="140">
        <f t="shared" si="1"/>
        <v>8227.3499999999985</v>
      </c>
      <c r="M37" s="164"/>
      <c r="N37" s="201">
        <f>'Water-Meter'!E37</f>
        <v>0</v>
      </c>
      <c r="O37" s="164"/>
      <c r="P37" s="164"/>
      <c r="Q37" s="164"/>
      <c r="R37" s="164"/>
      <c r="S37" s="164"/>
      <c r="T37" s="164"/>
      <c r="U37" s="333"/>
      <c r="V37" s="164"/>
      <c r="W37" s="164"/>
      <c r="X37" s="164"/>
      <c r="Y37" s="164"/>
      <c r="Z37" s="164"/>
      <c r="AA37" s="507"/>
      <c r="AB37" s="165"/>
      <c r="AC37" s="136">
        <f t="shared" si="20"/>
        <v>0</v>
      </c>
      <c r="AD37" s="751"/>
      <c r="AE37" s="219">
        <f t="shared" si="15"/>
        <v>0</v>
      </c>
      <c r="AF37" s="164"/>
      <c r="AG37" s="164"/>
      <c r="AH37" s="164"/>
      <c r="AI37" s="161"/>
      <c r="AJ37" s="166">
        <f>SUM(AJ6:AJ36)</f>
        <v>0</v>
      </c>
      <c r="AK37" s="167">
        <f>SUM(AK6:AK36)</f>
        <v>0</v>
      </c>
    </row>
    <row r="38" spans="1:37" s="74" customFormat="1">
      <c r="A38" s="329"/>
      <c r="B38" s="330"/>
      <c r="C38" s="331"/>
      <c r="D38" s="331"/>
      <c r="E38" s="331"/>
      <c r="F38" s="331"/>
      <c r="G38" s="331"/>
      <c r="H38" s="330"/>
      <c r="I38" s="330"/>
      <c r="J38" s="332"/>
      <c r="K38" s="332"/>
      <c r="L38" s="332"/>
      <c r="M38" s="333"/>
      <c r="N38" s="333"/>
      <c r="O38" s="333"/>
      <c r="P38" s="333"/>
      <c r="Q38" s="333"/>
      <c r="R38" s="333"/>
      <c r="S38" s="333"/>
      <c r="T38" s="333"/>
      <c r="U38" s="333"/>
      <c r="V38" s="333"/>
      <c r="W38" s="333"/>
      <c r="X38" s="157"/>
      <c r="Y38" s="157"/>
      <c r="Z38" s="157"/>
      <c r="AA38" s="137"/>
      <c r="AB38" s="137"/>
      <c r="AC38" s="158"/>
      <c r="AD38" s="137"/>
      <c r="AE38" s="158"/>
      <c r="AF38" s="157"/>
      <c r="AG38" s="157"/>
      <c r="AH38" s="157"/>
      <c r="AI38" s="137"/>
      <c r="AJ38" s="137"/>
      <c r="AK38" s="157"/>
    </row>
    <row r="39" spans="1:37">
      <c r="C39" s="138"/>
      <c r="J39" s="138"/>
      <c r="X39" s="138"/>
      <c r="AF39" s="138"/>
      <c r="AH39" s="137"/>
    </row>
    <row r="40" spans="1:37" ht="30.75" customHeight="1">
      <c r="C40" s="138"/>
      <c r="J40" s="138"/>
      <c r="X40" s="138"/>
    </row>
    <row r="41" spans="1:37">
      <c r="C41" s="138"/>
      <c r="J41" s="138"/>
    </row>
    <row r="42" spans="1:37">
      <c r="C42" s="138"/>
      <c r="J42" s="138"/>
    </row>
    <row r="43" spans="1:37" ht="15">
      <c r="C43" s="138"/>
      <c r="J43" s="138"/>
      <c r="X43" s="508"/>
    </row>
    <row r="44" spans="1:37" ht="15">
      <c r="C44" s="138"/>
      <c r="J44" s="138"/>
      <c r="X44" s="509"/>
    </row>
    <row r="45" spans="1:37" ht="15">
      <c r="C45" s="138"/>
      <c r="J45" s="138"/>
      <c r="X45" s="508"/>
    </row>
    <row r="46" spans="1:37" ht="15">
      <c r="C46" s="138"/>
      <c r="J46" s="138"/>
      <c r="X46" s="509"/>
    </row>
    <row r="47" spans="1:37">
      <c r="C47" s="138"/>
      <c r="J47" s="138"/>
    </row>
    <row r="48" spans="1:37">
      <c r="C48" s="138"/>
      <c r="J48" s="138"/>
    </row>
    <row r="49" spans="3:10">
      <c r="C49" s="138"/>
      <c r="J49" s="138"/>
    </row>
    <row r="50" spans="3:10">
      <c r="C50" s="138"/>
      <c r="J50" s="138"/>
    </row>
    <row r="51" spans="3:10">
      <c r="C51" s="138"/>
      <c r="J51" s="138"/>
    </row>
    <row r="52" spans="3:10">
      <c r="C52" s="138"/>
      <c r="J52" s="138"/>
    </row>
    <row r="53" spans="3:10">
      <c r="C53" s="138"/>
      <c r="J53" s="138"/>
    </row>
    <row r="54" spans="3:10">
      <c r="C54" s="138"/>
      <c r="J54" s="138"/>
    </row>
    <row r="55" spans="3:10">
      <c r="C55" s="138"/>
      <c r="J55" s="138"/>
    </row>
    <row r="56" spans="3:10">
      <c r="C56" s="138"/>
      <c r="J56" s="138"/>
    </row>
    <row r="57" spans="3:10">
      <c r="C57" s="138"/>
      <c r="J57" s="138"/>
    </row>
    <row r="58" spans="3:10">
      <c r="C58" s="138"/>
      <c r="J58" s="138"/>
    </row>
    <row r="59" spans="3:10">
      <c r="C59" s="138"/>
      <c r="J59" s="138"/>
    </row>
    <row r="60" spans="3:10">
      <c r="C60" s="138"/>
      <c r="J60" s="138"/>
    </row>
    <row r="61" spans="3:10">
      <c r="C61" s="138"/>
      <c r="J61" s="138"/>
    </row>
    <row r="62" spans="3:10">
      <c r="C62" s="138"/>
      <c r="J62" s="138"/>
    </row>
    <row r="63" spans="3:10">
      <c r="C63" s="138"/>
      <c r="J63" s="138"/>
    </row>
    <row r="64" spans="3:10">
      <c r="C64" s="138"/>
      <c r="J64" s="138"/>
    </row>
    <row r="65" spans="3:24">
      <c r="C65" s="138"/>
      <c r="J65" s="138"/>
    </row>
    <row r="66" spans="3:24" ht="15">
      <c r="C66" s="138"/>
      <c r="J66" s="138"/>
      <c r="X66" s="510"/>
    </row>
    <row r="67" spans="3:24" ht="15">
      <c r="C67" s="138"/>
      <c r="J67" s="138"/>
      <c r="X67" s="511"/>
    </row>
    <row r="68" spans="3:24" ht="15">
      <c r="C68" s="138"/>
      <c r="J68" s="138"/>
      <c r="X68" s="511"/>
    </row>
    <row r="69" spans="3:24" ht="15">
      <c r="C69" s="138"/>
      <c r="J69" s="138"/>
      <c r="X69" s="511"/>
    </row>
    <row r="70" spans="3:24" ht="15">
      <c r="C70" s="138"/>
      <c r="J70" s="138"/>
      <c r="X70" s="511"/>
    </row>
    <row r="71" spans="3:24" ht="15">
      <c r="C71" s="138"/>
      <c r="J71" s="138"/>
      <c r="X71" s="511"/>
    </row>
    <row r="72" spans="3:24">
      <c r="C72" s="138"/>
      <c r="J72" s="138"/>
      <c r="X72" s="20"/>
    </row>
    <row r="73" spans="3:24">
      <c r="C73" s="138"/>
      <c r="J73" s="138"/>
      <c r="X73" s="20"/>
    </row>
    <row r="74" spans="3:24">
      <c r="C74" s="138"/>
      <c r="J74" s="138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E16" sqref="E16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793" t="s">
        <v>150</v>
      </c>
      <c r="C1" s="794"/>
      <c r="D1" s="794"/>
      <c r="E1" s="794"/>
      <c r="F1" s="795"/>
      <c r="G1" s="187"/>
      <c r="H1" s="793" t="s">
        <v>151</v>
      </c>
      <c r="I1" s="794"/>
      <c r="J1" s="794"/>
      <c r="K1" s="794"/>
      <c r="L1" s="795"/>
      <c r="M1" s="793" t="s">
        <v>170</v>
      </c>
      <c r="N1" s="794"/>
      <c r="O1" s="794"/>
      <c r="P1" s="794"/>
      <c r="Q1" s="795"/>
      <c r="R1" s="187"/>
      <c r="T1" s="793" t="s">
        <v>166</v>
      </c>
      <c r="U1" s="794"/>
      <c r="V1" s="794"/>
      <c r="W1" s="794"/>
      <c r="X1" s="795"/>
      <c r="Y1" s="793" t="s">
        <v>169</v>
      </c>
      <c r="Z1" s="794"/>
      <c r="AA1" s="794"/>
      <c r="AB1" s="794"/>
      <c r="AC1" s="795"/>
    </row>
    <row r="2" spans="1:29" ht="45.75" thickBot="1">
      <c r="A2" s="704" t="s">
        <v>24</v>
      </c>
      <c r="B2" s="188" t="s">
        <v>152</v>
      </c>
      <c r="C2" s="189" t="s">
        <v>153</v>
      </c>
      <c r="D2" s="190" t="s">
        <v>154</v>
      </c>
      <c r="E2" s="190" t="s">
        <v>155</v>
      </c>
      <c r="F2" s="191" t="s">
        <v>159</v>
      </c>
      <c r="G2" s="192"/>
      <c r="H2" s="188" t="s">
        <v>152</v>
      </c>
      <c r="I2" s="189" t="s">
        <v>153</v>
      </c>
      <c r="J2" s="190" t="s">
        <v>163</v>
      </c>
      <c r="K2" s="190" t="s">
        <v>162</v>
      </c>
      <c r="L2" s="197" t="s">
        <v>160</v>
      </c>
      <c r="M2" s="188" t="s">
        <v>152</v>
      </c>
      <c r="N2" s="189" t="s">
        <v>153</v>
      </c>
      <c r="O2" s="190" t="s">
        <v>163</v>
      </c>
      <c r="P2" s="190" t="s">
        <v>162</v>
      </c>
      <c r="Q2" s="197" t="s">
        <v>160</v>
      </c>
      <c r="R2" s="400" t="s">
        <v>161</v>
      </c>
      <c r="S2" s="734" t="s">
        <v>158</v>
      </c>
      <c r="T2" s="188" t="s">
        <v>152</v>
      </c>
      <c r="U2" s="189" t="s">
        <v>153</v>
      </c>
      <c r="V2" s="190" t="s">
        <v>168</v>
      </c>
      <c r="W2" s="190" t="s">
        <v>167</v>
      </c>
      <c r="X2" s="191" t="s">
        <v>159</v>
      </c>
      <c r="Y2" s="188" t="s">
        <v>152</v>
      </c>
      <c r="Z2" s="189" t="s">
        <v>153</v>
      </c>
      <c r="AA2" s="190" t="s">
        <v>163</v>
      </c>
      <c r="AB2" s="190" t="s">
        <v>162</v>
      </c>
      <c r="AC2" s="191" t="s">
        <v>160</v>
      </c>
    </row>
    <row r="3" spans="1:29" ht="31.5" customHeight="1" thickBot="1">
      <c r="A3" s="705">
        <f>Gen!B11</f>
        <v>44075</v>
      </c>
      <c r="B3" s="796" t="s">
        <v>156</v>
      </c>
      <c r="C3" s="797"/>
      <c r="D3" s="196"/>
      <c r="E3" s="699">
        <v>8794.7000000000007</v>
      </c>
      <c r="F3" s="706" t="s">
        <v>157</v>
      </c>
      <c r="G3" s="707"/>
      <c r="H3" s="796" t="s">
        <v>156</v>
      </c>
      <c r="I3" s="797"/>
      <c r="J3" s="763">
        <f>'Water-Meter'!G5</f>
        <v>38000</v>
      </c>
      <c r="K3" s="708">
        <f>'Water-Meter'!G5</f>
        <v>38000</v>
      </c>
      <c r="L3" s="288"/>
      <c r="M3" s="796" t="s">
        <v>156</v>
      </c>
      <c r="N3" s="797"/>
      <c r="O3" s="196">
        <f>'Water-Meter'!J5</f>
        <v>8021</v>
      </c>
      <c r="P3" s="709">
        <f>'Water-Meter'!J5</f>
        <v>8021</v>
      </c>
      <c r="Q3" s="195"/>
      <c r="R3" s="696"/>
      <c r="S3" s="697"/>
      <c r="T3" s="796" t="s">
        <v>156</v>
      </c>
      <c r="U3" s="797"/>
      <c r="V3" s="196"/>
      <c r="W3" s="700">
        <v>7819.2</v>
      </c>
      <c r="X3" s="710">
        <f t="shared" ref="X3:X35" si="0">(W3-V3)*200</f>
        <v>1563840</v>
      </c>
      <c r="Y3" s="796" t="s">
        <v>156</v>
      </c>
      <c r="Z3" s="797"/>
      <c r="AA3" s="196"/>
      <c r="AB3" s="199"/>
      <c r="AC3" s="200"/>
    </row>
    <row r="4" spans="1:29" ht="19.5" thickBot="1">
      <c r="A4" s="711">
        <f>Gen!C11</f>
        <v>3.9E-2</v>
      </c>
      <c r="B4" s="715">
        <f>Gen!B11</f>
        <v>44075</v>
      </c>
      <c r="C4" s="716"/>
      <c r="D4" s="717">
        <f t="shared" ref="D4:D23" si="1">E3</f>
        <v>8794.7000000000007</v>
      </c>
      <c r="E4" s="699">
        <v>8796.2999999999993</v>
      </c>
      <c r="F4" s="717">
        <f t="shared" ref="F4:F15" si="2">SUM(E4-D4)*120</f>
        <v>191.99999999982538</v>
      </c>
      <c r="G4" s="716"/>
      <c r="H4" s="718">
        <f>B4</f>
        <v>44075</v>
      </c>
      <c r="I4" s="738"/>
      <c r="J4" s="763">
        <f>'Water-Meter'!G6</f>
        <v>38000</v>
      </c>
      <c r="K4" s="739">
        <f>'Water-Meter'!G6</f>
        <v>38000</v>
      </c>
      <c r="L4" s="740">
        <f t="shared" ref="L4:L34" si="3">SUM(K4-J4)</f>
        <v>0</v>
      </c>
      <c r="M4" s="727">
        <f>H4</f>
        <v>44075</v>
      </c>
      <c r="N4" s="716"/>
      <c r="O4" s="196">
        <f>'Water-Meter'!J6</f>
        <v>8023</v>
      </c>
      <c r="P4" s="728">
        <f>'Water-Meter'!J6</f>
        <v>8023</v>
      </c>
      <c r="Q4" s="740">
        <f>N4-O3</f>
        <v>-8021</v>
      </c>
      <c r="R4" s="744">
        <f t="shared" ref="R4:R20" si="4">SUM(Q4/1615)</f>
        <v>-4.9665634674922599</v>
      </c>
      <c r="S4" s="745">
        <f>Gen!T11</f>
        <v>891.43</v>
      </c>
      <c r="T4" s="742">
        <f>M4</f>
        <v>44075</v>
      </c>
      <c r="U4" s="716"/>
      <c r="V4" s="717">
        <f t="shared" ref="V4:V33" si="5">W3</f>
        <v>7819.2</v>
      </c>
      <c r="W4" s="700">
        <v>7819.6</v>
      </c>
      <c r="X4" s="736">
        <f t="shared" si="0"/>
        <v>80.000000000109139</v>
      </c>
      <c r="Y4" s="727">
        <f>T4</f>
        <v>44075</v>
      </c>
      <c r="Z4" s="716"/>
      <c r="AA4" s="716"/>
      <c r="AB4" s="728">
        <f>'Water-Meter'!P6</f>
        <v>20255</v>
      </c>
      <c r="AC4" s="729">
        <f>AA4-AB3</f>
        <v>0</v>
      </c>
    </row>
    <row r="5" spans="1:29" ht="19.5" thickBot="1">
      <c r="A5" s="712">
        <f>Gen!C12</f>
        <v>3.9E-2</v>
      </c>
      <c r="B5" s="719">
        <f>Gen!B12</f>
        <v>44076</v>
      </c>
      <c r="C5" s="698"/>
      <c r="D5" s="703">
        <f t="shared" si="1"/>
        <v>8796.2999999999993</v>
      </c>
      <c r="E5" s="699">
        <v>8797.9</v>
      </c>
      <c r="F5" s="703">
        <f t="shared" si="2"/>
        <v>192.00000000004366</v>
      </c>
      <c r="G5" s="698"/>
      <c r="H5" s="720">
        <f t="shared" ref="H5:H35" si="6">B5</f>
        <v>44076</v>
      </c>
      <c r="I5" s="713"/>
      <c r="J5" s="763">
        <f>'Water-Meter'!G7</f>
        <v>38000</v>
      </c>
      <c r="K5" s="739">
        <f>'Water-Meter'!G7</f>
        <v>38000</v>
      </c>
      <c r="L5" s="726">
        <f t="shared" si="3"/>
        <v>0</v>
      </c>
      <c r="M5" s="730">
        <f t="shared" ref="M5:M35" si="7">H5</f>
        <v>44076</v>
      </c>
      <c r="N5" s="698"/>
      <c r="O5" s="196">
        <f>'Water-Meter'!J7</f>
        <v>8024</v>
      </c>
      <c r="P5" s="702">
        <f>'Water-Meter'!J7</f>
        <v>8024</v>
      </c>
      <c r="Q5" s="740">
        <f t="shared" ref="Q5:Q20" si="8">N5-O4</f>
        <v>-8023</v>
      </c>
      <c r="R5" s="746">
        <f t="shared" si="4"/>
        <v>-4.9678018575851395</v>
      </c>
      <c r="S5" s="747">
        <f>Gen!T12</f>
        <v>821.92000000000007</v>
      </c>
      <c r="T5" s="735">
        <f t="shared" ref="T5:T30" si="9">M5</f>
        <v>44076</v>
      </c>
      <c r="U5" s="698"/>
      <c r="V5" s="703">
        <f t="shared" si="5"/>
        <v>7819.6</v>
      </c>
      <c r="W5" s="700">
        <v>7819.7</v>
      </c>
      <c r="X5" s="736">
        <f t="shared" si="0"/>
        <v>19.999999999890861</v>
      </c>
      <c r="Y5" s="730">
        <f t="shared" ref="Y5:Y30" si="10">T5</f>
        <v>44076</v>
      </c>
      <c r="Z5" s="698"/>
      <c r="AA5" s="698"/>
      <c r="AB5" s="728">
        <f>'Water-Meter'!P7</f>
        <v>20257</v>
      </c>
      <c r="AC5" s="729">
        <f t="shared" ref="AC5:AC35" si="11">AA5-AB4</f>
        <v>-20255</v>
      </c>
    </row>
    <row r="6" spans="1:29" ht="19.5" thickBot="1">
      <c r="A6" s="712">
        <f>Gen!C13</f>
        <v>3.9E-2</v>
      </c>
      <c r="B6" s="719">
        <f>Gen!B13</f>
        <v>44077</v>
      </c>
      <c r="C6" s="698"/>
      <c r="D6" s="703">
        <f t="shared" si="1"/>
        <v>8797.9</v>
      </c>
      <c r="E6" s="699">
        <v>8799.6</v>
      </c>
      <c r="F6" s="703">
        <f t="shared" si="2"/>
        <v>204.00000000008731</v>
      </c>
      <c r="G6" s="698"/>
      <c r="H6" s="720">
        <f t="shared" si="6"/>
        <v>44077</v>
      </c>
      <c r="I6" s="713"/>
      <c r="J6" s="763">
        <f>'Water-Meter'!G8</f>
        <v>38000</v>
      </c>
      <c r="K6" s="739">
        <f>'Water-Meter'!G8</f>
        <v>38000</v>
      </c>
      <c r="L6" s="726">
        <f t="shared" si="3"/>
        <v>0</v>
      </c>
      <c r="M6" s="730">
        <f t="shared" si="7"/>
        <v>44077</v>
      </c>
      <c r="N6" s="698"/>
      <c r="O6" s="196">
        <f>'Water-Meter'!J8</f>
        <v>8025</v>
      </c>
      <c r="P6" s="702">
        <f>'Water-Meter'!J8</f>
        <v>8025</v>
      </c>
      <c r="Q6" s="740">
        <f t="shared" si="8"/>
        <v>-8024</v>
      </c>
      <c r="R6" s="746">
        <f t="shared" si="4"/>
        <v>-4.9684210526315793</v>
      </c>
      <c r="S6" s="747">
        <f>Gen!T13</f>
        <v>1090.28</v>
      </c>
      <c r="T6" s="735">
        <f t="shared" si="9"/>
        <v>44077</v>
      </c>
      <c r="U6" s="698"/>
      <c r="V6" s="703">
        <f t="shared" si="5"/>
        <v>7819.7</v>
      </c>
      <c r="W6" s="700">
        <v>7819.9</v>
      </c>
      <c r="X6" s="736">
        <f t="shared" si="0"/>
        <v>39.99999999996362</v>
      </c>
      <c r="Y6" s="730">
        <f t="shared" si="10"/>
        <v>44077</v>
      </c>
      <c r="Z6" s="698"/>
      <c r="AA6" s="698"/>
      <c r="AB6" s="728">
        <f>'Water-Meter'!P8</f>
        <v>20258</v>
      </c>
      <c r="AC6" s="729">
        <f t="shared" si="11"/>
        <v>-20257</v>
      </c>
    </row>
    <row r="7" spans="1:29" ht="19.5" thickBot="1">
      <c r="A7" s="712">
        <f>Gen!C14</f>
        <v>9.0899999999999995E-2</v>
      </c>
      <c r="B7" s="719">
        <f>Gen!B14</f>
        <v>44078</v>
      </c>
      <c r="C7" s="698"/>
      <c r="D7" s="703">
        <f t="shared" si="1"/>
        <v>8799.6</v>
      </c>
      <c r="E7" s="699">
        <v>8801.4</v>
      </c>
      <c r="F7" s="703">
        <f t="shared" si="2"/>
        <v>215.99999999991269</v>
      </c>
      <c r="G7" s="698"/>
      <c r="H7" s="720">
        <f t="shared" si="6"/>
        <v>44078</v>
      </c>
      <c r="I7" s="713"/>
      <c r="J7" s="763">
        <f>'Water-Meter'!G9</f>
        <v>38000</v>
      </c>
      <c r="K7" s="739">
        <f>'Water-Meter'!G9</f>
        <v>38000</v>
      </c>
      <c r="L7" s="726">
        <f t="shared" si="3"/>
        <v>0</v>
      </c>
      <c r="M7" s="730">
        <f t="shared" si="7"/>
        <v>44078</v>
      </c>
      <c r="N7" s="698"/>
      <c r="O7" s="196">
        <f>'Water-Meter'!J9</f>
        <v>8026</v>
      </c>
      <c r="P7" s="702">
        <f>'Water-Meter'!J9</f>
        <v>8026</v>
      </c>
      <c r="Q7" s="740">
        <f t="shared" si="8"/>
        <v>-8025</v>
      </c>
      <c r="R7" s="746">
        <f t="shared" si="4"/>
        <v>-4.9690402476780182</v>
      </c>
      <c r="S7" s="747">
        <f>Gen!T14</f>
        <v>868.39</v>
      </c>
      <c r="T7" s="735">
        <f t="shared" si="9"/>
        <v>44078</v>
      </c>
      <c r="U7" s="698"/>
      <c r="V7" s="703">
        <f t="shared" si="5"/>
        <v>7819.9</v>
      </c>
      <c r="W7" s="700">
        <v>7820.4</v>
      </c>
      <c r="X7" s="736">
        <f t="shared" si="0"/>
        <v>100</v>
      </c>
      <c r="Y7" s="730">
        <f t="shared" si="10"/>
        <v>44078</v>
      </c>
      <c r="Z7" s="698"/>
      <c r="AA7" s="698"/>
      <c r="AB7" s="728">
        <f>'Water-Meter'!P9</f>
        <v>20259</v>
      </c>
      <c r="AC7" s="729">
        <f t="shared" si="11"/>
        <v>-20258</v>
      </c>
    </row>
    <row r="8" spans="1:29" ht="19.5" thickBot="1">
      <c r="A8" s="712">
        <f>Gen!C15</f>
        <v>9.0899999999999995E-2</v>
      </c>
      <c r="B8" s="719">
        <f>Gen!B15</f>
        <v>44079</v>
      </c>
      <c r="C8" s="698"/>
      <c r="D8" s="703">
        <f t="shared" si="1"/>
        <v>8801.4</v>
      </c>
      <c r="E8" s="699">
        <v>8803.1</v>
      </c>
      <c r="F8" s="703">
        <f t="shared" si="2"/>
        <v>204.00000000008731</v>
      </c>
      <c r="G8" s="698"/>
      <c r="H8" s="720">
        <f t="shared" si="6"/>
        <v>44079</v>
      </c>
      <c r="I8" s="713"/>
      <c r="J8" s="763">
        <f>'Water-Meter'!G10</f>
        <v>38000</v>
      </c>
      <c r="K8" s="739">
        <f>'Water-Meter'!G10</f>
        <v>38000</v>
      </c>
      <c r="L8" s="726">
        <f t="shared" si="3"/>
        <v>0</v>
      </c>
      <c r="M8" s="730">
        <f t="shared" si="7"/>
        <v>44079</v>
      </c>
      <c r="N8" s="698"/>
      <c r="O8" s="196">
        <f>'Water-Meter'!J10</f>
        <v>8027</v>
      </c>
      <c r="P8" s="702">
        <f>'Water-Meter'!J10</f>
        <v>8027</v>
      </c>
      <c r="Q8" s="740">
        <f t="shared" si="8"/>
        <v>-8026</v>
      </c>
      <c r="R8" s="746">
        <f t="shared" si="4"/>
        <v>-4.969659442724458</v>
      </c>
      <c r="S8" s="747">
        <f>Gen!T15</f>
        <v>841.98</v>
      </c>
      <c r="T8" s="735">
        <f t="shared" si="9"/>
        <v>44079</v>
      </c>
      <c r="U8" s="698"/>
      <c r="V8" s="703">
        <f t="shared" si="5"/>
        <v>7820.4</v>
      </c>
      <c r="W8" s="700">
        <v>7820.6</v>
      </c>
      <c r="X8" s="736">
        <f t="shared" si="0"/>
        <v>40.000000000145519</v>
      </c>
      <c r="Y8" s="730">
        <f t="shared" si="10"/>
        <v>44079</v>
      </c>
      <c r="Z8" s="698"/>
      <c r="AA8" s="698"/>
      <c r="AB8" s="728">
        <f>'Water-Meter'!P10</f>
        <v>20261</v>
      </c>
      <c r="AC8" s="729">
        <f t="shared" si="11"/>
        <v>-20259</v>
      </c>
    </row>
    <row r="9" spans="1:29" ht="19.5" thickBot="1">
      <c r="A9" s="712">
        <f>Gen!C16</f>
        <v>9.0899999999999995E-2</v>
      </c>
      <c r="B9" s="719">
        <f>Gen!B16</f>
        <v>44080</v>
      </c>
      <c r="C9" s="698"/>
      <c r="D9" s="703">
        <f t="shared" si="1"/>
        <v>8803.1</v>
      </c>
      <c r="E9" s="699">
        <v>8804.2999999999993</v>
      </c>
      <c r="F9" s="703">
        <f t="shared" si="2"/>
        <v>143.99999999986903</v>
      </c>
      <c r="G9" s="698"/>
      <c r="H9" s="720">
        <f t="shared" si="6"/>
        <v>44080</v>
      </c>
      <c r="I9" s="713"/>
      <c r="J9" s="763">
        <f>'Water-Meter'!G11</f>
        <v>38000</v>
      </c>
      <c r="K9" s="739">
        <f>'Water-Meter'!G11</f>
        <v>38000</v>
      </c>
      <c r="L9" s="726">
        <f t="shared" si="3"/>
        <v>0</v>
      </c>
      <c r="M9" s="730">
        <f t="shared" si="7"/>
        <v>44080</v>
      </c>
      <c r="N9" s="698"/>
      <c r="O9" s="196">
        <f>'Water-Meter'!J11</f>
        <v>8028</v>
      </c>
      <c r="P9" s="702">
        <f>'Water-Meter'!J11</f>
        <v>8028</v>
      </c>
      <c r="Q9" s="740">
        <f t="shared" si="8"/>
        <v>-8027</v>
      </c>
      <c r="R9" s="746">
        <f t="shared" si="4"/>
        <v>-4.9702786377708978</v>
      </c>
      <c r="S9" s="747">
        <f>Gen!T16</f>
        <v>938.54</v>
      </c>
      <c r="T9" s="735">
        <f t="shared" si="9"/>
        <v>44080</v>
      </c>
      <c r="U9" s="698"/>
      <c r="V9" s="703">
        <f t="shared" si="5"/>
        <v>7820.6</v>
      </c>
      <c r="W9" s="700">
        <v>7820.9</v>
      </c>
      <c r="X9" s="736">
        <f t="shared" si="0"/>
        <v>59.999999999854481</v>
      </c>
      <c r="Y9" s="730">
        <f t="shared" si="10"/>
        <v>44080</v>
      </c>
      <c r="Z9" s="698"/>
      <c r="AA9" s="698"/>
      <c r="AB9" s="728">
        <f>'Water-Meter'!P11</f>
        <v>20263</v>
      </c>
      <c r="AC9" s="729">
        <f t="shared" si="11"/>
        <v>-20261</v>
      </c>
    </row>
    <row r="10" spans="1:29" ht="19.5" thickBot="1">
      <c r="A10" s="712">
        <f>Gen!C17</f>
        <v>2.5999999999999999E-2</v>
      </c>
      <c r="B10" s="719">
        <f>Gen!B17</f>
        <v>44081</v>
      </c>
      <c r="C10" s="698"/>
      <c r="D10" s="703">
        <f t="shared" si="1"/>
        <v>8804.2999999999993</v>
      </c>
      <c r="E10" s="699">
        <v>8805.9</v>
      </c>
      <c r="F10" s="703">
        <f t="shared" si="2"/>
        <v>192.00000000004366</v>
      </c>
      <c r="G10" s="698"/>
      <c r="H10" s="720">
        <f t="shared" si="6"/>
        <v>44081</v>
      </c>
      <c r="I10" s="713"/>
      <c r="J10" s="763">
        <f>'Water-Meter'!G12</f>
        <v>38000</v>
      </c>
      <c r="K10" s="739">
        <f>'Water-Meter'!G12</f>
        <v>38000</v>
      </c>
      <c r="L10" s="726">
        <f t="shared" si="3"/>
        <v>0</v>
      </c>
      <c r="M10" s="730">
        <f t="shared" si="7"/>
        <v>44081</v>
      </c>
      <c r="N10" s="698"/>
      <c r="O10" s="196">
        <f>'Water-Meter'!J12</f>
        <v>8029</v>
      </c>
      <c r="P10" s="702">
        <f>'Water-Meter'!J12</f>
        <v>8029</v>
      </c>
      <c r="Q10" s="740">
        <f t="shared" si="8"/>
        <v>-8028</v>
      </c>
      <c r="R10" s="746">
        <f t="shared" si="4"/>
        <v>-4.9708978328173377</v>
      </c>
      <c r="S10" s="747">
        <f>Gen!T17</f>
        <v>910.27</v>
      </c>
      <c r="T10" s="735">
        <f t="shared" si="9"/>
        <v>44081</v>
      </c>
      <c r="U10" s="698"/>
      <c r="V10" s="703">
        <f t="shared" si="5"/>
        <v>7820.9</v>
      </c>
      <c r="W10" s="700">
        <v>7821.1</v>
      </c>
      <c r="X10" s="736">
        <f t="shared" si="0"/>
        <v>40.000000000145519</v>
      </c>
      <c r="Y10" s="730">
        <f t="shared" si="10"/>
        <v>44081</v>
      </c>
      <c r="Z10" s="698"/>
      <c r="AA10" s="698"/>
      <c r="AB10" s="728">
        <f>'Water-Meter'!P12</f>
        <v>20264</v>
      </c>
      <c r="AC10" s="729">
        <f t="shared" si="11"/>
        <v>-20263</v>
      </c>
    </row>
    <row r="11" spans="1:29" ht="19.5" thickBot="1">
      <c r="A11" s="712">
        <f>Gen!C18</f>
        <v>3.9E-2</v>
      </c>
      <c r="B11" s="719">
        <f>Gen!B18</f>
        <v>44082</v>
      </c>
      <c r="C11" s="698"/>
      <c r="D11" s="703">
        <f t="shared" si="1"/>
        <v>8805.9</v>
      </c>
      <c r="E11" s="699">
        <v>8807.5</v>
      </c>
      <c r="F11" s="703">
        <f t="shared" si="2"/>
        <v>192.00000000004366</v>
      </c>
      <c r="G11" s="698"/>
      <c r="H11" s="720">
        <f t="shared" si="6"/>
        <v>44082</v>
      </c>
      <c r="I11" s="713"/>
      <c r="J11" s="763">
        <f>'Water-Meter'!G13</f>
        <v>38000</v>
      </c>
      <c r="K11" s="739">
        <f>'Water-Meter'!G13</f>
        <v>38000</v>
      </c>
      <c r="L11" s="726">
        <f t="shared" si="3"/>
        <v>0</v>
      </c>
      <c r="M11" s="730">
        <f t="shared" si="7"/>
        <v>44082</v>
      </c>
      <c r="N11" s="698"/>
      <c r="O11" s="196">
        <f>'Water-Meter'!J13</f>
        <v>8030</v>
      </c>
      <c r="P11" s="702">
        <f>'Water-Meter'!J13</f>
        <v>8030</v>
      </c>
      <c r="Q11" s="740">
        <f t="shared" si="8"/>
        <v>-8029</v>
      </c>
      <c r="R11" s="746">
        <f t="shared" si="4"/>
        <v>-4.9715170278637775</v>
      </c>
      <c r="S11" s="747">
        <f>Gen!T18</f>
        <v>948.21</v>
      </c>
      <c r="T11" s="735">
        <f t="shared" si="9"/>
        <v>44082</v>
      </c>
      <c r="U11" s="698"/>
      <c r="V11" s="703">
        <f t="shared" si="5"/>
        <v>7821.1</v>
      </c>
      <c r="W11" s="700">
        <v>7821.4</v>
      </c>
      <c r="X11" s="736">
        <f t="shared" si="0"/>
        <v>59.999999999854481</v>
      </c>
      <c r="Y11" s="730">
        <f t="shared" si="10"/>
        <v>44082</v>
      </c>
      <c r="Z11" s="698"/>
      <c r="AA11" s="698"/>
      <c r="AB11" s="728">
        <f>'Water-Meter'!P13</f>
        <v>20268</v>
      </c>
      <c r="AC11" s="729">
        <f t="shared" si="11"/>
        <v>-20264</v>
      </c>
    </row>
    <row r="12" spans="1:29" ht="19.5" thickBot="1">
      <c r="A12" s="712">
        <f>Gen!C19</f>
        <v>6.5000000000000002E-2</v>
      </c>
      <c r="B12" s="719">
        <f>Gen!B19</f>
        <v>44083</v>
      </c>
      <c r="C12" s="698"/>
      <c r="D12" s="703">
        <f t="shared" si="1"/>
        <v>8807.5</v>
      </c>
      <c r="E12" s="699">
        <v>8809.1</v>
      </c>
      <c r="F12" s="703">
        <f t="shared" si="2"/>
        <v>192.00000000004366</v>
      </c>
      <c r="G12" s="698"/>
      <c r="H12" s="720">
        <f t="shared" si="6"/>
        <v>44083</v>
      </c>
      <c r="I12" s="713"/>
      <c r="J12" s="763">
        <f>'Water-Meter'!G14</f>
        <v>38000</v>
      </c>
      <c r="K12" s="739">
        <f>'Water-Meter'!G14</f>
        <v>38000</v>
      </c>
      <c r="L12" s="726">
        <f t="shared" si="3"/>
        <v>0</v>
      </c>
      <c r="M12" s="730">
        <f t="shared" si="7"/>
        <v>44083</v>
      </c>
      <c r="N12" s="698"/>
      <c r="O12" s="196">
        <f>'Water-Meter'!J14</f>
        <v>8032</v>
      </c>
      <c r="P12" s="702">
        <f>'Water-Meter'!J14</f>
        <v>8032</v>
      </c>
      <c r="Q12" s="740">
        <f t="shared" si="8"/>
        <v>-8030</v>
      </c>
      <c r="R12" s="746">
        <f t="shared" si="4"/>
        <v>-4.9721362229102164</v>
      </c>
      <c r="S12" s="747">
        <f>Gen!T19</f>
        <v>916.32999999999993</v>
      </c>
      <c r="T12" s="735">
        <f t="shared" si="9"/>
        <v>44083</v>
      </c>
      <c r="U12" s="698"/>
      <c r="V12" s="703">
        <f t="shared" si="5"/>
        <v>7821.4</v>
      </c>
      <c r="W12" s="700">
        <v>7821.4</v>
      </c>
      <c r="X12" s="736">
        <f t="shared" si="0"/>
        <v>0</v>
      </c>
      <c r="Y12" s="730">
        <f t="shared" si="10"/>
        <v>44083</v>
      </c>
      <c r="Z12" s="698"/>
      <c r="AA12" s="698"/>
      <c r="AB12" s="728">
        <f>'Water-Meter'!P14</f>
        <v>20269</v>
      </c>
      <c r="AC12" s="729">
        <f t="shared" si="11"/>
        <v>-20268</v>
      </c>
    </row>
    <row r="13" spans="1:29" ht="19.5" thickBot="1">
      <c r="A13" s="712">
        <f>Gen!C20</f>
        <v>1.2999999999999999E-2</v>
      </c>
      <c r="B13" s="719">
        <f>Gen!B20</f>
        <v>44084</v>
      </c>
      <c r="C13" s="698"/>
      <c r="D13" s="703">
        <f t="shared" si="1"/>
        <v>8809.1</v>
      </c>
      <c r="E13" s="699"/>
      <c r="F13" s="703">
        <f t="shared" si="2"/>
        <v>-1057092</v>
      </c>
      <c r="G13" s="698"/>
      <c r="H13" s="720">
        <f t="shared" si="6"/>
        <v>44084</v>
      </c>
      <c r="I13" s="713"/>
      <c r="J13" s="763">
        <f>'Water-Meter'!G15</f>
        <v>0</v>
      </c>
      <c r="K13" s="739">
        <f>'Water-Meter'!G15</f>
        <v>0</v>
      </c>
      <c r="L13" s="726">
        <f t="shared" si="3"/>
        <v>0</v>
      </c>
      <c r="M13" s="730">
        <f t="shared" si="7"/>
        <v>44084</v>
      </c>
      <c r="N13" s="698"/>
      <c r="O13" s="196">
        <f>'Water-Meter'!J15</f>
        <v>0</v>
      </c>
      <c r="P13" s="702">
        <f>'Water-Meter'!J15</f>
        <v>0</v>
      </c>
      <c r="Q13" s="740">
        <f t="shared" si="8"/>
        <v>-8032</v>
      </c>
      <c r="R13" s="746">
        <f t="shared" si="4"/>
        <v>-4.973374613003096</v>
      </c>
      <c r="S13" s="747">
        <f>Gen!T20</f>
        <v>0</v>
      </c>
      <c r="T13" s="735">
        <f t="shared" si="9"/>
        <v>44084</v>
      </c>
      <c r="U13" s="698"/>
      <c r="V13" s="703">
        <f t="shared" si="5"/>
        <v>7821.4</v>
      </c>
      <c r="W13" s="700"/>
      <c r="X13" s="736">
        <f t="shared" si="0"/>
        <v>-1564280</v>
      </c>
      <c r="Y13" s="730">
        <f t="shared" si="10"/>
        <v>44084</v>
      </c>
      <c r="Z13" s="698"/>
      <c r="AA13" s="698"/>
      <c r="AB13" s="728">
        <f>'Water-Meter'!P15</f>
        <v>0</v>
      </c>
      <c r="AC13" s="729">
        <f t="shared" si="11"/>
        <v>-20269</v>
      </c>
    </row>
    <row r="14" spans="1:29" ht="19.5" thickBot="1">
      <c r="A14" s="712">
        <f>Gen!C21</f>
        <v>0</v>
      </c>
      <c r="B14" s="719">
        <f>Gen!B21</f>
        <v>44085</v>
      </c>
      <c r="C14" s="698"/>
      <c r="D14" s="703">
        <f t="shared" si="1"/>
        <v>0</v>
      </c>
      <c r="E14" s="699"/>
      <c r="F14" s="703">
        <f t="shared" si="2"/>
        <v>0</v>
      </c>
      <c r="G14" s="698"/>
      <c r="H14" s="720">
        <f t="shared" si="6"/>
        <v>44085</v>
      </c>
      <c r="I14" s="713"/>
      <c r="J14" s="763">
        <f>'Water-Meter'!G16</f>
        <v>0</v>
      </c>
      <c r="K14" s="739">
        <f>'Water-Meter'!G16</f>
        <v>0</v>
      </c>
      <c r="L14" s="726">
        <f t="shared" si="3"/>
        <v>0</v>
      </c>
      <c r="M14" s="730">
        <f t="shared" si="7"/>
        <v>44085</v>
      </c>
      <c r="N14" s="698"/>
      <c r="O14" s="196">
        <f>'Water-Meter'!J16</f>
        <v>0</v>
      </c>
      <c r="P14" s="702">
        <f>'Water-Meter'!J16</f>
        <v>0</v>
      </c>
      <c r="Q14" s="740">
        <f t="shared" si="8"/>
        <v>0</v>
      </c>
      <c r="R14" s="746">
        <f t="shared" si="4"/>
        <v>0</v>
      </c>
      <c r="S14" s="747">
        <f>Gen!T21</f>
        <v>0</v>
      </c>
      <c r="T14" s="735">
        <f t="shared" si="9"/>
        <v>44085</v>
      </c>
      <c r="U14" s="698"/>
      <c r="V14" s="703">
        <f t="shared" si="5"/>
        <v>0</v>
      </c>
      <c r="W14" s="700"/>
      <c r="X14" s="736">
        <f t="shared" si="0"/>
        <v>0</v>
      </c>
      <c r="Y14" s="730">
        <f t="shared" si="10"/>
        <v>44085</v>
      </c>
      <c r="Z14" s="698"/>
      <c r="AA14" s="698"/>
      <c r="AB14" s="728">
        <f>'Water-Meter'!P16</f>
        <v>0</v>
      </c>
      <c r="AC14" s="729">
        <f t="shared" si="11"/>
        <v>0</v>
      </c>
    </row>
    <row r="15" spans="1:29" ht="19.5" thickBot="1">
      <c r="A15" s="712">
        <f>Gen!C22</f>
        <v>0</v>
      </c>
      <c r="B15" s="719">
        <f>Gen!B22</f>
        <v>44086</v>
      </c>
      <c r="C15" s="698"/>
      <c r="D15" s="703">
        <f t="shared" si="1"/>
        <v>0</v>
      </c>
      <c r="E15" s="699"/>
      <c r="F15" s="703">
        <f t="shared" si="2"/>
        <v>0</v>
      </c>
      <c r="G15" s="698"/>
      <c r="H15" s="720">
        <f t="shared" si="6"/>
        <v>44086</v>
      </c>
      <c r="I15" s="713"/>
      <c r="J15" s="763">
        <f>'Water-Meter'!G17</f>
        <v>0</v>
      </c>
      <c r="K15" s="739">
        <f>'Water-Meter'!G17</f>
        <v>0</v>
      </c>
      <c r="L15" s="726">
        <f t="shared" si="3"/>
        <v>0</v>
      </c>
      <c r="M15" s="730">
        <f t="shared" si="7"/>
        <v>44086</v>
      </c>
      <c r="N15" s="698"/>
      <c r="O15" s="196">
        <f>'Water-Meter'!J17</f>
        <v>0</v>
      </c>
      <c r="P15" s="702">
        <f>'Water-Meter'!J17</f>
        <v>0</v>
      </c>
      <c r="Q15" s="740">
        <f t="shared" si="8"/>
        <v>0</v>
      </c>
      <c r="R15" s="746">
        <f t="shared" si="4"/>
        <v>0</v>
      </c>
      <c r="S15" s="747">
        <f>Gen!T22</f>
        <v>0</v>
      </c>
      <c r="T15" s="735">
        <f t="shared" si="9"/>
        <v>44086</v>
      </c>
      <c r="U15" s="698"/>
      <c r="V15" s="703">
        <f t="shared" si="5"/>
        <v>0</v>
      </c>
      <c r="W15" s="700"/>
      <c r="X15" s="736">
        <f t="shared" si="0"/>
        <v>0</v>
      </c>
      <c r="Y15" s="730">
        <f t="shared" si="10"/>
        <v>44086</v>
      </c>
      <c r="Z15" s="698"/>
      <c r="AA15" s="698"/>
      <c r="AB15" s="728">
        <f>'Water-Meter'!P17</f>
        <v>0</v>
      </c>
      <c r="AC15" s="729">
        <f t="shared" si="11"/>
        <v>0</v>
      </c>
    </row>
    <row r="16" spans="1:29" ht="19.5" thickBot="1">
      <c r="A16" s="712">
        <f>Gen!C23</f>
        <v>0</v>
      </c>
      <c r="B16" s="719">
        <f>Gen!B23</f>
        <v>44087</v>
      </c>
      <c r="C16" s="698"/>
      <c r="D16" s="703">
        <f t="shared" si="1"/>
        <v>0</v>
      </c>
      <c r="E16" s="699"/>
      <c r="F16" s="703">
        <f>SUM(E16-D16)*120</f>
        <v>0</v>
      </c>
      <c r="G16" s="698"/>
      <c r="H16" s="720">
        <f t="shared" si="6"/>
        <v>44087</v>
      </c>
      <c r="I16" s="713"/>
      <c r="J16" s="763">
        <f>'Water-Meter'!G18</f>
        <v>0</v>
      </c>
      <c r="K16" s="739">
        <f>'Water-Meter'!G18</f>
        <v>0</v>
      </c>
      <c r="L16" s="726">
        <f t="shared" si="3"/>
        <v>0</v>
      </c>
      <c r="M16" s="730">
        <f t="shared" si="7"/>
        <v>44087</v>
      </c>
      <c r="N16" s="698"/>
      <c r="O16" s="196">
        <f>'Water-Meter'!J18</f>
        <v>0</v>
      </c>
      <c r="P16" s="702">
        <f>'Water-Meter'!J18</f>
        <v>0</v>
      </c>
      <c r="Q16" s="740">
        <f t="shared" si="8"/>
        <v>0</v>
      </c>
      <c r="R16" s="746">
        <f t="shared" si="4"/>
        <v>0</v>
      </c>
      <c r="S16" s="747">
        <f>Gen!T23</f>
        <v>0</v>
      </c>
      <c r="T16" s="735">
        <f t="shared" si="9"/>
        <v>44087</v>
      </c>
      <c r="U16" s="698"/>
      <c r="V16" s="703">
        <f t="shared" si="5"/>
        <v>0</v>
      </c>
      <c r="W16" s="700"/>
      <c r="X16" s="736">
        <f t="shared" si="0"/>
        <v>0</v>
      </c>
      <c r="Y16" s="730">
        <f t="shared" si="10"/>
        <v>44087</v>
      </c>
      <c r="Z16" s="698"/>
      <c r="AA16" s="698"/>
      <c r="AB16" s="728">
        <f>'Water-Meter'!P18</f>
        <v>0</v>
      </c>
      <c r="AC16" s="729">
        <f t="shared" si="11"/>
        <v>0</v>
      </c>
    </row>
    <row r="17" spans="1:29" ht="19.5" thickBot="1">
      <c r="A17" s="712">
        <f>Gen!C24</f>
        <v>0</v>
      </c>
      <c r="B17" s="719">
        <f>Gen!B24</f>
        <v>44088</v>
      </c>
      <c r="C17" s="698"/>
      <c r="D17" s="703">
        <f t="shared" si="1"/>
        <v>0</v>
      </c>
      <c r="E17" s="699"/>
      <c r="F17" s="703">
        <f>SUM(E17-D17)*120</f>
        <v>0</v>
      </c>
      <c r="G17" s="698"/>
      <c r="H17" s="720">
        <f t="shared" si="6"/>
        <v>44088</v>
      </c>
      <c r="I17" s="713"/>
      <c r="J17" s="763">
        <f>'Water-Meter'!G19</f>
        <v>0</v>
      </c>
      <c r="K17" s="739">
        <f>'Water-Meter'!G19</f>
        <v>0</v>
      </c>
      <c r="L17" s="726">
        <f t="shared" si="3"/>
        <v>0</v>
      </c>
      <c r="M17" s="730">
        <f t="shared" si="7"/>
        <v>44088</v>
      </c>
      <c r="N17" s="698"/>
      <c r="O17" s="196">
        <f>'Water-Meter'!J19</f>
        <v>0</v>
      </c>
      <c r="P17" s="702">
        <f>'Water-Meter'!J19</f>
        <v>0</v>
      </c>
      <c r="Q17" s="740">
        <f t="shared" si="8"/>
        <v>0</v>
      </c>
      <c r="R17" s="746">
        <f t="shared" si="4"/>
        <v>0</v>
      </c>
      <c r="S17" s="747">
        <f>Gen!T24</f>
        <v>0</v>
      </c>
      <c r="T17" s="735">
        <f t="shared" si="9"/>
        <v>44088</v>
      </c>
      <c r="U17" s="698"/>
      <c r="V17" s="703">
        <f t="shared" si="5"/>
        <v>0</v>
      </c>
      <c r="W17" s="700"/>
      <c r="X17" s="736">
        <f t="shared" si="0"/>
        <v>0</v>
      </c>
      <c r="Y17" s="730">
        <f t="shared" si="10"/>
        <v>44088</v>
      </c>
      <c r="Z17" s="698"/>
      <c r="AA17" s="698"/>
      <c r="AB17" s="728">
        <f>'Water-Meter'!P19</f>
        <v>0</v>
      </c>
      <c r="AC17" s="729">
        <f t="shared" si="11"/>
        <v>0</v>
      </c>
    </row>
    <row r="18" spans="1:29" ht="19.5" thickBot="1">
      <c r="A18" s="712">
        <f>Gen!C25</f>
        <v>0</v>
      </c>
      <c r="B18" s="719">
        <f>Gen!B25</f>
        <v>44089</v>
      </c>
      <c r="C18" s="698"/>
      <c r="D18" s="703">
        <f t="shared" si="1"/>
        <v>0</v>
      </c>
      <c r="E18" s="699"/>
      <c r="F18" s="703">
        <f t="shared" ref="F18:F22" si="12">SUM(E18-D18)*120</f>
        <v>0</v>
      </c>
      <c r="G18" s="698"/>
      <c r="H18" s="720">
        <f t="shared" si="6"/>
        <v>44089</v>
      </c>
      <c r="I18" s="713"/>
      <c r="J18" s="763">
        <f>'Water-Meter'!G20</f>
        <v>0</v>
      </c>
      <c r="K18" s="739">
        <f>'Water-Meter'!G20</f>
        <v>0</v>
      </c>
      <c r="L18" s="726">
        <f t="shared" si="3"/>
        <v>0</v>
      </c>
      <c r="M18" s="730">
        <f t="shared" si="7"/>
        <v>44089</v>
      </c>
      <c r="N18" s="698"/>
      <c r="O18" s="196">
        <f>'Water-Meter'!J20</f>
        <v>0</v>
      </c>
      <c r="P18" s="702">
        <f>'Water-Meter'!J20</f>
        <v>0</v>
      </c>
      <c r="Q18" s="740">
        <f t="shared" si="8"/>
        <v>0</v>
      </c>
      <c r="R18" s="746">
        <f t="shared" si="4"/>
        <v>0</v>
      </c>
      <c r="S18" s="747">
        <f>Gen!T25</f>
        <v>0</v>
      </c>
      <c r="T18" s="735">
        <f t="shared" si="9"/>
        <v>44089</v>
      </c>
      <c r="U18" s="698"/>
      <c r="V18" s="703">
        <f t="shared" si="5"/>
        <v>0</v>
      </c>
      <c r="W18" s="700"/>
      <c r="X18" s="736">
        <f t="shared" si="0"/>
        <v>0</v>
      </c>
      <c r="Y18" s="730">
        <f t="shared" si="10"/>
        <v>44089</v>
      </c>
      <c r="Z18" s="698"/>
      <c r="AA18" s="698"/>
      <c r="AB18" s="728">
        <f>'Water-Meter'!P20</f>
        <v>0</v>
      </c>
      <c r="AC18" s="729">
        <f t="shared" si="11"/>
        <v>0</v>
      </c>
    </row>
    <row r="19" spans="1:29" ht="19.5" thickBot="1">
      <c r="A19" s="712">
        <f>Gen!C26</f>
        <v>0</v>
      </c>
      <c r="B19" s="719">
        <f>Gen!B26</f>
        <v>44090</v>
      </c>
      <c r="C19" s="701"/>
      <c r="D19" s="703">
        <f t="shared" si="1"/>
        <v>0</v>
      </c>
      <c r="E19" s="699"/>
      <c r="F19" s="703">
        <f t="shared" si="12"/>
        <v>0</v>
      </c>
      <c r="G19" s="698"/>
      <c r="H19" s="720">
        <f t="shared" si="6"/>
        <v>44090</v>
      </c>
      <c r="I19" s="714"/>
      <c r="J19" s="763">
        <f>'Water-Meter'!G21</f>
        <v>0</v>
      </c>
      <c r="K19" s="739">
        <f>'Water-Meter'!G21</f>
        <v>0</v>
      </c>
      <c r="L19" s="726">
        <f t="shared" si="3"/>
        <v>0</v>
      </c>
      <c r="M19" s="730">
        <f t="shared" si="7"/>
        <v>44090</v>
      </c>
      <c r="N19" s="701"/>
      <c r="O19" s="196">
        <f>'Water-Meter'!J21</f>
        <v>0</v>
      </c>
      <c r="P19" s="702">
        <f>'Water-Meter'!J21</f>
        <v>0</v>
      </c>
      <c r="Q19" s="740">
        <f t="shared" si="8"/>
        <v>0</v>
      </c>
      <c r="R19" s="746">
        <f t="shared" si="4"/>
        <v>0</v>
      </c>
      <c r="S19" s="747">
        <f>Gen!T26</f>
        <v>0</v>
      </c>
      <c r="T19" s="735">
        <f t="shared" si="9"/>
        <v>44090</v>
      </c>
      <c r="U19" s="701"/>
      <c r="V19" s="703">
        <f t="shared" si="5"/>
        <v>0</v>
      </c>
      <c r="W19" s="700"/>
      <c r="X19" s="736">
        <f t="shared" si="0"/>
        <v>0</v>
      </c>
      <c r="Y19" s="730">
        <f t="shared" si="10"/>
        <v>44090</v>
      </c>
      <c r="Z19" s="701"/>
      <c r="AA19" s="698"/>
      <c r="AB19" s="728">
        <f>'Water-Meter'!P21</f>
        <v>0</v>
      </c>
      <c r="AC19" s="729">
        <f t="shared" si="11"/>
        <v>0</v>
      </c>
    </row>
    <row r="20" spans="1:29" ht="19.5" thickBot="1">
      <c r="A20" s="712">
        <f>Gen!C27</f>
        <v>0</v>
      </c>
      <c r="B20" s="719">
        <f>Gen!B27</f>
        <v>44091</v>
      </c>
      <c r="C20" s="701"/>
      <c r="D20" s="703">
        <f t="shared" si="1"/>
        <v>0</v>
      </c>
      <c r="E20" s="699"/>
      <c r="F20" s="703">
        <f t="shared" si="12"/>
        <v>0</v>
      </c>
      <c r="G20" s="698"/>
      <c r="H20" s="720">
        <f t="shared" si="6"/>
        <v>44091</v>
      </c>
      <c r="I20" s="714"/>
      <c r="J20" s="763">
        <f>'Water-Meter'!G22</f>
        <v>0</v>
      </c>
      <c r="K20" s="739">
        <f>'Water-Meter'!G22</f>
        <v>0</v>
      </c>
      <c r="L20" s="726">
        <f t="shared" si="3"/>
        <v>0</v>
      </c>
      <c r="M20" s="730">
        <f t="shared" si="7"/>
        <v>44091</v>
      </c>
      <c r="N20" s="701"/>
      <c r="O20" s="196">
        <f>'Water-Meter'!J22</f>
        <v>0</v>
      </c>
      <c r="P20" s="702">
        <f>'Water-Meter'!J22</f>
        <v>0</v>
      </c>
      <c r="Q20" s="740">
        <f t="shared" si="8"/>
        <v>0</v>
      </c>
      <c r="R20" s="746">
        <f t="shared" si="4"/>
        <v>0</v>
      </c>
      <c r="S20" s="747">
        <f>Gen!T27</f>
        <v>0</v>
      </c>
      <c r="T20" s="735">
        <f t="shared" si="9"/>
        <v>44091</v>
      </c>
      <c r="U20" s="701"/>
      <c r="V20" s="703">
        <f t="shared" si="5"/>
        <v>0</v>
      </c>
      <c r="W20" s="700"/>
      <c r="X20" s="736">
        <f t="shared" si="0"/>
        <v>0</v>
      </c>
      <c r="Y20" s="730">
        <f t="shared" si="10"/>
        <v>44091</v>
      </c>
      <c r="Z20" s="701"/>
      <c r="AA20" s="698"/>
      <c r="AB20" s="728">
        <f>'Water-Meter'!P22</f>
        <v>0</v>
      </c>
      <c r="AC20" s="729">
        <f t="shared" si="11"/>
        <v>0</v>
      </c>
    </row>
    <row r="21" spans="1:29" ht="19.5" thickBot="1">
      <c r="A21" s="712">
        <f>Gen!C28</f>
        <v>0</v>
      </c>
      <c r="B21" s="719">
        <f>Gen!B28</f>
        <v>44092</v>
      </c>
      <c r="C21" s="701"/>
      <c r="D21" s="703">
        <f t="shared" si="1"/>
        <v>0</v>
      </c>
      <c r="E21" s="699"/>
      <c r="F21" s="703">
        <f t="shared" si="12"/>
        <v>0</v>
      </c>
      <c r="G21" s="698"/>
      <c r="H21" s="720">
        <f t="shared" si="6"/>
        <v>44092</v>
      </c>
      <c r="I21" s="714"/>
      <c r="J21" s="763">
        <f>'Water-Meter'!G23</f>
        <v>0</v>
      </c>
      <c r="K21" s="739">
        <f>'Water-Meter'!G23</f>
        <v>0</v>
      </c>
      <c r="L21" s="726">
        <f t="shared" si="3"/>
        <v>0</v>
      </c>
      <c r="M21" s="730">
        <f t="shared" si="7"/>
        <v>44092</v>
      </c>
      <c r="N21" s="701"/>
      <c r="O21" s="196">
        <f>'Water-Meter'!J23</f>
        <v>0</v>
      </c>
      <c r="P21" s="702">
        <f>'Water-Meter'!J23</f>
        <v>0</v>
      </c>
      <c r="Q21" s="740">
        <f t="shared" ref="Q21:Q35" si="13">N21-O20</f>
        <v>0</v>
      </c>
      <c r="R21" s="746">
        <f t="shared" ref="R21:R35" si="14">SUM(Q21/1615)</f>
        <v>0</v>
      </c>
      <c r="S21" s="747">
        <f>Gen!T28</f>
        <v>0</v>
      </c>
      <c r="T21" s="735">
        <f t="shared" si="9"/>
        <v>44092</v>
      </c>
      <c r="U21" s="701"/>
      <c r="V21" s="703">
        <f t="shared" si="5"/>
        <v>0</v>
      </c>
      <c r="W21" s="700"/>
      <c r="X21" s="736">
        <f t="shared" si="0"/>
        <v>0</v>
      </c>
      <c r="Y21" s="730">
        <f t="shared" si="10"/>
        <v>44092</v>
      </c>
      <c r="Z21" s="701"/>
      <c r="AA21" s="698"/>
      <c r="AB21" s="728">
        <f>'Water-Meter'!P23</f>
        <v>0</v>
      </c>
      <c r="AC21" s="729">
        <f t="shared" si="11"/>
        <v>0</v>
      </c>
    </row>
    <row r="22" spans="1:29" ht="19.5" thickBot="1">
      <c r="A22" s="712">
        <f>Gen!C29</f>
        <v>0</v>
      </c>
      <c r="B22" s="719">
        <f>Gen!B29</f>
        <v>44093</v>
      </c>
      <c r="C22" s="698"/>
      <c r="D22" s="703">
        <f t="shared" si="1"/>
        <v>0</v>
      </c>
      <c r="E22" s="699"/>
      <c r="F22" s="703">
        <f t="shared" si="12"/>
        <v>0</v>
      </c>
      <c r="G22" s="698"/>
      <c r="H22" s="720">
        <f t="shared" si="6"/>
        <v>44093</v>
      </c>
      <c r="I22" s="713"/>
      <c r="J22" s="763">
        <f>'Water-Meter'!G24</f>
        <v>0</v>
      </c>
      <c r="K22" s="739">
        <f>'Water-Meter'!G24</f>
        <v>0</v>
      </c>
      <c r="L22" s="726">
        <f t="shared" si="3"/>
        <v>0</v>
      </c>
      <c r="M22" s="730">
        <f t="shared" si="7"/>
        <v>44093</v>
      </c>
      <c r="N22" s="698"/>
      <c r="O22" s="196">
        <f>'Water-Meter'!J24</f>
        <v>0</v>
      </c>
      <c r="P22" s="702">
        <f>'Water-Meter'!J24</f>
        <v>0</v>
      </c>
      <c r="Q22" s="740">
        <f t="shared" si="13"/>
        <v>0</v>
      </c>
      <c r="R22" s="746">
        <f t="shared" si="14"/>
        <v>0</v>
      </c>
      <c r="S22" s="747">
        <f>Gen!T29</f>
        <v>0</v>
      </c>
      <c r="T22" s="735">
        <f t="shared" si="9"/>
        <v>44093</v>
      </c>
      <c r="U22" s="698"/>
      <c r="V22" s="703">
        <f t="shared" si="5"/>
        <v>0</v>
      </c>
      <c r="W22" s="700"/>
      <c r="X22" s="736">
        <f t="shared" si="0"/>
        <v>0</v>
      </c>
      <c r="Y22" s="730">
        <f t="shared" si="10"/>
        <v>44093</v>
      </c>
      <c r="Z22" s="698"/>
      <c r="AA22" s="698"/>
      <c r="AB22" s="728">
        <f>'Water-Meter'!P24</f>
        <v>0</v>
      </c>
      <c r="AC22" s="729">
        <f t="shared" si="11"/>
        <v>0</v>
      </c>
    </row>
    <row r="23" spans="1:29" ht="19.5" thickBot="1">
      <c r="A23" s="712">
        <f>Gen!C30</f>
        <v>0</v>
      </c>
      <c r="B23" s="719">
        <f>Gen!B30</f>
        <v>44094</v>
      </c>
      <c r="C23" s="701"/>
      <c r="D23" s="703">
        <f t="shared" si="1"/>
        <v>0</v>
      </c>
      <c r="E23" s="699"/>
      <c r="F23" s="703">
        <f t="shared" ref="F23:F34" si="15">SUM(E23-D23)*120</f>
        <v>0</v>
      </c>
      <c r="G23" s="698"/>
      <c r="H23" s="720">
        <f t="shared" si="6"/>
        <v>44094</v>
      </c>
      <c r="I23" s="714"/>
      <c r="J23" s="763">
        <f>'Water-Meter'!G25</f>
        <v>0</v>
      </c>
      <c r="K23" s="739">
        <f>'Water-Meter'!G26</f>
        <v>0</v>
      </c>
      <c r="L23" s="726">
        <f t="shared" si="3"/>
        <v>0</v>
      </c>
      <c r="M23" s="730">
        <f t="shared" si="7"/>
        <v>44094</v>
      </c>
      <c r="N23" s="701"/>
      <c r="O23" s="196">
        <f>'Water-Meter'!J25</f>
        <v>0</v>
      </c>
      <c r="P23" s="702">
        <f>'Water-Meter'!J25</f>
        <v>0</v>
      </c>
      <c r="Q23" s="740">
        <f t="shared" si="13"/>
        <v>0</v>
      </c>
      <c r="R23" s="746">
        <f t="shared" si="14"/>
        <v>0</v>
      </c>
      <c r="S23" s="747">
        <f>Gen!T30</f>
        <v>0</v>
      </c>
      <c r="T23" s="735">
        <f t="shared" si="9"/>
        <v>44094</v>
      </c>
      <c r="U23" s="701"/>
      <c r="V23" s="703">
        <f t="shared" si="5"/>
        <v>0</v>
      </c>
      <c r="W23" s="700"/>
      <c r="X23" s="736">
        <f t="shared" si="0"/>
        <v>0</v>
      </c>
      <c r="Y23" s="730">
        <f t="shared" si="10"/>
        <v>44094</v>
      </c>
      <c r="Z23" s="701"/>
      <c r="AA23" s="698"/>
      <c r="AB23" s="728">
        <f>'Water-Meter'!P25</f>
        <v>0</v>
      </c>
      <c r="AC23" s="729">
        <f t="shared" si="11"/>
        <v>0</v>
      </c>
    </row>
    <row r="24" spans="1:29" ht="19.5" thickBot="1">
      <c r="A24" s="712">
        <f>Gen!C31</f>
        <v>0</v>
      </c>
      <c r="B24" s="719">
        <f>Gen!B31</f>
        <v>44095</v>
      </c>
      <c r="C24" s="701"/>
      <c r="D24" s="703">
        <f t="shared" ref="D24:D35" si="16">SUM(E23)</f>
        <v>0</v>
      </c>
      <c r="E24" s="699"/>
      <c r="F24" s="703">
        <f t="shared" si="15"/>
        <v>0</v>
      </c>
      <c r="G24" s="698"/>
      <c r="H24" s="720">
        <f t="shared" si="6"/>
        <v>44095</v>
      </c>
      <c r="I24" s="714"/>
      <c r="J24" s="763">
        <f>'Water-Meter'!G26</f>
        <v>0</v>
      </c>
      <c r="K24" s="739">
        <f>'Water-Meter'!G27</f>
        <v>0</v>
      </c>
      <c r="L24" s="726">
        <f t="shared" si="3"/>
        <v>0</v>
      </c>
      <c r="M24" s="730">
        <f t="shared" si="7"/>
        <v>44095</v>
      </c>
      <c r="N24" s="701"/>
      <c r="O24" s="196">
        <f>'Water-Meter'!J26</f>
        <v>0</v>
      </c>
      <c r="P24" s="702">
        <f>'Water-Meter'!J26</f>
        <v>0</v>
      </c>
      <c r="Q24" s="740">
        <f t="shared" si="13"/>
        <v>0</v>
      </c>
      <c r="R24" s="746">
        <f t="shared" si="14"/>
        <v>0</v>
      </c>
      <c r="S24" s="747">
        <f>Gen!T31</f>
        <v>0</v>
      </c>
      <c r="T24" s="735">
        <v>5835.7</v>
      </c>
      <c r="U24" s="701"/>
      <c r="V24" s="703">
        <f t="shared" si="5"/>
        <v>0</v>
      </c>
      <c r="W24" s="700"/>
      <c r="X24" s="736">
        <f t="shared" si="0"/>
        <v>0</v>
      </c>
      <c r="Y24" s="730">
        <f t="shared" si="10"/>
        <v>5835.7</v>
      </c>
      <c r="Z24" s="701"/>
      <c r="AA24" s="698"/>
      <c r="AB24" s="728">
        <f>'Water-Meter'!P26</f>
        <v>0</v>
      </c>
      <c r="AC24" s="729">
        <f t="shared" si="11"/>
        <v>0</v>
      </c>
    </row>
    <row r="25" spans="1:29" ht="19.5" thickBot="1">
      <c r="A25" s="712">
        <f>Gen!C32</f>
        <v>0</v>
      </c>
      <c r="B25" s="719">
        <f>Gen!B32</f>
        <v>44096</v>
      </c>
      <c r="C25" s="701"/>
      <c r="D25" s="703">
        <f t="shared" si="16"/>
        <v>0</v>
      </c>
      <c r="E25" s="699"/>
      <c r="F25" s="703">
        <f t="shared" si="15"/>
        <v>0</v>
      </c>
      <c r="G25" s="698"/>
      <c r="H25" s="720">
        <f t="shared" si="6"/>
        <v>44096</v>
      </c>
      <c r="I25" s="714"/>
      <c r="J25" s="763">
        <f>'Water-Meter'!G27</f>
        <v>0</v>
      </c>
      <c r="K25" s="739">
        <f>'Water-Meter'!G28</f>
        <v>0</v>
      </c>
      <c r="L25" s="726">
        <f t="shared" si="3"/>
        <v>0</v>
      </c>
      <c r="M25" s="730">
        <f t="shared" si="7"/>
        <v>44096</v>
      </c>
      <c r="N25" s="701"/>
      <c r="O25" s="196">
        <f>'Water-Meter'!J27</f>
        <v>0</v>
      </c>
      <c r="P25" s="702">
        <f>'Water-Meter'!J27</f>
        <v>0</v>
      </c>
      <c r="Q25" s="740">
        <f t="shared" si="13"/>
        <v>0</v>
      </c>
      <c r="R25" s="746">
        <f t="shared" si="14"/>
        <v>0</v>
      </c>
      <c r="S25" s="747">
        <f>Gen!T32</f>
        <v>0</v>
      </c>
      <c r="T25" s="735">
        <f t="shared" si="9"/>
        <v>44096</v>
      </c>
      <c r="U25" s="701"/>
      <c r="V25" s="703">
        <f t="shared" si="5"/>
        <v>0</v>
      </c>
      <c r="W25" s="700"/>
      <c r="X25" s="736">
        <f t="shared" si="0"/>
        <v>0</v>
      </c>
      <c r="Y25" s="730">
        <f t="shared" si="10"/>
        <v>44096</v>
      </c>
      <c r="Z25" s="701"/>
      <c r="AA25" s="698"/>
      <c r="AB25" s="728">
        <f>'Water-Meter'!P27</f>
        <v>0</v>
      </c>
      <c r="AC25" s="729">
        <f t="shared" si="11"/>
        <v>0</v>
      </c>
    </row>
    <row r="26" spans="1:29" ht="19.5" thickBot="1">
      <c r="A26" s="712">
        <f>Gen!C33</f>
        <v>0</v>
      </c>
      <c r="B26" s="719">
        <f>Gen!B33</f>
        <v>44097</v>
      </c>
      <c r="C26" s="701"/>
      <c r="D26" s="703">
        <f t="shared" si="16"/>
        <v>0</v>
      </c>
      <c r="E26" s="699"/>
      <c r="F26" s="703">
        <f t="shared" si="15"/>
        <v>0</v>
      </c>
      <c r="G26" s="698"/>
      <c r="H26" s="720">
        <f t="shared" si="6"/>
        <v>44097</v>
      </c>
      <c r="I26" s="714"/>
      <c r="J26" s="763">
        <f>'Water-Meter'!G28</f>
        <v>0</v>
      </c>
      <c r="K26" s="739">
        <f>'Water-Meter'!G29</f>
        <v>0</v>
      </c>
      <c r="L26" s="726">
        <f t="shared" si="3"/>
        <v>0</v>
      </c>
      <c r="M26" s="730">
        <f t="shared" si="7"/>
        <v>44097</v>
      </c>
      <c r="N26" s="701"/>
      <c r="O26" s="196">
        <f>'Water-Meter'!J28</f>
        <v>0</v>
      </c>
      <c r="P26" s="702">
        <f>'Water-Meter'!J28</f>
        <v>0</v>
      </c>
      <c r="Q26" s="740">
        <f t="shared" si="13"/>
        <v>0</v>
      </c>
      <c r="R26" s="746">
        <f t="shared" si="14"/>
        <v>0</v>
      </c>
      <c r="S26" s="747">
        <f>Gen!T33</f>
        <v>0</v>
      </c>
      <c r="T26" s="735">
        <f t="shared" si="9"/>
        <v>44097</v>
      </c>
      <c r="U26" s="701"/>
      <c r="V26" s="703">
        <f t="shared" si="5"/>
        <v>0</v>
      </c>
      <c r="W26" s="700"/>
      <c r="X26" s="736">
        <f t="shared" si="0"/>
        <v>0</v>
      </c>
      <c r="Y26" s="730">
        <f t="shared" si="10"/>
        <v>44097</v>
      </c>
      <c r="Z26" s="701"/>
      <c r="AA26" s="698"/>
      <c r="AB26" s="728">
        <f>'Water-Meter'!P28</f>
        <v>0</v>
      </c>
      <c r="AC26" s="729">
        <f t="shared" si="11"/>
        <v>0</v>
      </c>
    </row>
    <row r="27" spans="1:29" ht="19.5" thickBot="1">
      <c r="A27" s="712">
        <f>Gen!C34</f>
        <v>0</v>
      </c>
      <c r="B27" s="719">
        <f>Gen!B34</f>
        <v>44098</v>
      </c>
      <c r="C27" s="701"/>
      <c r="D27" s="703">
        <f t="shared" si="16"/>
        <v>0</v>
      </c>
      <c r="E27" s="699"/>
      <c r="F27" s="703">
        <f t="shared" si="15"/>
        <v>0</v>
      </c>
      <c r="G27" s="698"/>
      <c r="H27" s="720">
        <f t="shared" si="6"/>
        <v>44098</v>
      </c>
      <c r="I27" s="714"/>
      <c r="J27" s="763">
        <f>'Water-Meter'!G29</f>
        <v>0</v>
      </c>
      <c r="K27" s="739">
        <f>'Water-Meter'!G30</f>
        <v>0</v>
      </c>
      <c r="L27" s="726">
        <f t="shared" si="3"/>
        <v>0</v>
      </c>
      <c r="M27" s="730">
        <f t="shared" si="7"/>
        <v>44098</v>
      </c>
      <c r="N27" s="701"/>
      <c r="O27" s="196">
        <f>'Water-Meter'!J29</f>
        <v>0</v>
      </c>
      <c r="P27" s="702">
        <f>'Water-Meter'!J29</f>
        <v>0</v>
      </c>
      <c r="Q27" s="740">
        <f t="shared" si="13"/>
        <v>0</v>
      </c>
      <c r="R27" s="746">
        <f t="shared" si="14"/>
        <v>0</v>
      </c>
      <c r="S27" s="747">
        <f>Gen!T34</f>
        <v>0</v>
      </c>
      <c r="T27" s="735">
        <f t="shared" si="9"/>
        <v>44098</v>
      </c>
      <c r="U27" s="701"/>
      <c r="V27" s="703">
        <f t="shared" si="5"/>
        <v>0</v>
      </c>
      <c r="W27" s="700"/>
      <c r="X27" s="736">
        <f t="shared" si="0"/>
        <v>0</v>
      </c>
      <c r="Y27" s="730">
        <f t="shared" si="10"/>
        <v>44098</v>
      </c>
      <c r="Z27" s="701"/>
      <c r="AA27" s="698"/>
      <c r="AB27" s="728">
        <f>'Water-Meter'!P29</f>
        <v>0</v>
      </c>
      <c r="AC27" s="729">
        <f t="shared" si="11"/>
        <v>0</v>
      </c>
    </row>
    <row r="28" spans="1:29" ht="19.5" thickBot="1">
      <c r="A28" s="712">
        <f>Gen!C35</f>
        <v>0</v>
      </c>
      <c r="B28" s="719">
        <f>Gen!B35</f>
        <v>44099</v>
      </c>
      <c r="C28" s="701"/>
      <c r="D28" s="703">
        <f t="shared" si="16"/>
        <v>0</v>
      </c>
      <c r="E28" s="699"/>
      <c r="F28" s="703">
        <f t="shared" si="15"/>
        <v>0</v>
      </c>
      <c r="G28" s="698"/>
      <c r="H28" s="720">
        <f t="shared" si="6"/>
        <v>44099</v>
      </c>
      <c r="I28" s="714"/>
      <c r="J28" s="763">
        <f>'Water-Meter'!G30</f>
        <v>0</v>
      </c>
      <c r="K28" s="739">
        <f>'Water-Meter'!G31</f>
        <v>0</v>
      </c>
      <c r="L28" s="726">
        <f t="shared" si="3"/>
        <v>0</v>
      </c>
      <c r="M28" s="730">
        <f t="shared" si="7"/>
        <v>44099</v>
      </c>
      <c r="N28" s="701"/>
      <c r="O28" s="196">
        <f>'Water-Meter'!J30</f>
        <v>0</v>
      </c>
      <c r="P28" s="702">
        <f>'Water-Meter'!J30</f>
        <v>0</v>
      </c>
      <c r="Q28" s="740">
        <f t="shared" si="13"/>
        <v>0</v>
      </c>
      <c r="R28" s="746">
        <f t="shared" si="14"/>
        <v>0</v>
      </c>
      <c r="S28" s="747">
        <f>Gen!T35</f>
        <v>0</v>
      </c>
      <c r="T28" s="735">
        <f t="shared" si="9"/>
        <v>44099</v>
      </c>
      <c r="U28" s="701"/>
      <c r="V28" s="703">
        <f t="shared" si="5"/>
        <v>0</v>
      </c>
      <c r="W28" s="700"/>
      <c r="X28" s="736">
        <f t="shared" si="0"/>
        <v>0</v>
      </c>
      <c r="Y28" s="730">
        <f t="shared" si="10"/>
        <v>44099</v>
      </c>
      <c r="Z28" s="701"/>
      <c r="AA28" s="698"/>
      <c r="AB28" s="728">
        <f>'Water-Meter'!P30</f>
        <v>0</v>
      </c>
      <c r="AC28" s="729">
        <f t="shared" si="11"/>
        <v>0</v>
      </c>
    </row>
    <row r="29" spans="1:29" ht="19.5" thickBot="1">
      <c r="A29" s="712">
        <f>Gen!C36</f>
        <v>0</v>
      </c>
      <c r="B29" s="719">
        <f>Gen!B36</f>
        <v>44100</v>
      </c>
      <c r="C29" s="701"/>
      <c r="D29" s="703">
        <f t="shared" si="16"/>
        <v>0</v>
      </c>
      <c r="E29" s="699"/>
      <c r="F29" s="703">
        <f t="shared" si="15"/>
        <v>0</v>
      </c>
      <c r="G29" s="698"/>
      <c r="H29" s="720">
        <f t="shared" si="6"/>
        <v>44100</v>
      </c>
      <c r="I29" s="714"/>
      <c r="J29" s="763">
        <f>'Water-Meter'!G31</f>
        <v>0</v>
      </c>
      <c r="K29" s="739">
        <f>'Water-Meter'!G32</f>
        <v>0</v>
      </c>
      <c r="L29" s="726">
        <f t="shared" si="3"/>
        <v>0</v>
      </c>
      <c r="M29" s="730">
        <f t="shared" si="7"/>
        <v>44100</v>
      </c>
      <c r="N29" s="701"/>
      <c r="O29" s="196">
        <f>'Water-Meter'!J31</f>
        <v>0</v>
      </c>
      <c r="P29" s="702">
        <f>'Water-Meter'!J31</f>
        <v>0</v>
      </c>
      <c r="Q29" s="740">
        <f t="shared" si="13"/>
        <v>0</v>
      </c>
      <c r="R29" s="746">
        <f t="shared" si="14"/>
        <v>0</v>
      </c>
      <c r="S29" s="747">
        <f>Gen!T36</f>
        <v>0</v>
      </c>
      <c r="T29" s="735">
        <f t="shared" si="9"/>
        <v>44100</v>
      </c>
      <c r="U29" s="701"/>
      <c r="V29" s="703">
        <f t="shared" si="5"/>
        <v>0</v>
      </c>
      <c r="W29" s="700"/>
      <c r="X29" s="736">
        <f t="shared" si="0"/>
        <v>0</v>
      </c>
      <c r="Y29" s="730">
        <f t="shared" si="10"/>
        <v>44100</v>
      </c>
      <c r="Z29" s="701"/>
      <c r="AA29" s="698"/>
      <c r="AB29" s="728">
        <f>'Water-Meter'!P31</f>
        <v>0</v>
      </c>
      <c r="AC29" s="729">
        <f t="shared" si="11"/>
        <v>0</v>
      </c>
    </row>
    <row r="30" spans="1:29" ht="19.5" thickBot="1">
      <c r="A30" s="712">
        <f>Gen!C37</f>
        <v>0</v>
      </c>
      <c r="B30" s="719">
        <f>Gen!B37</f>
        <v>44101</v>
      </c>
      <c r="C30" s="701"/>
      <c r="D30" s="703">
        <f t="shared" si="16"/>
        <v>0</v>
      </c>
      <c r="E30" s="699"/>
      <c r="F30" s="703">
        <f t="shared" si="15"/>
        <v>0</v>
      </c>
      <c r="G30" s="698"/>
      <c r="H30" s="720">
        <f t="shared" si="6"/>
        <v>44101</v>
      </c>
      <c r="I30" s="714"/>
      <c r="J30" s="763">
        <f>'Water-Meter'!G32</f>
        <v>0</v>
      </c>
      <c r="K30" s="739">
        <f>'Water-Meter'!G33</f>
        <v>0</v>
      </c>
      <c r="L30" s="726">
        <f t="shared" si="3"/>
        <v>0</v>
      </c>
      <c r="M30" s="730">
        <f t="shared" si="7"/>
        <v>44101</v>
      </c>
      <c r="N30" s="701"/>
      <c r="O30" s="196">
        <f>'Water-Meter'!J32</f>
        <v>0</v>
      </c>
      <c r="P30" s="702">
        <f>'Water-Meter'!J32</f>
        <v>0</v>
      </c>
      <c r="Q30" s="740">
        <f t="shared" si="13"/>
        <v>0</v>
      </c>
      <c r="R30" s="746">
        <f t="shared" si="14"/>
        <v>0</v>
      </c>
      <c r="S30" s="747">
        <f>Gen!T37</f>
        <v>0</v>
      </c>
      <c r="T30" s="735">
        <f t="shared" si="9"/>
        <v>44101</v>
      </c>
      <c r="U30" s="701"/>
      <c r="V30" s="703">
        <f t="shared" si="5"/>
        <v>0</v>
      </c>
      <c r="W30" s="700"/>
      <c r="X30" s="736">
        <f t="shared" si="0"/>
        <v>0</v>
      </c>
      <c r="Y30" s="730">
        <f t="shared" si="10"/>
        <v>44101</v>
      </c>
      <c r="Z30" s="701"/>
      <c r="AA30" s="698"/>
      <c r="AB30" s="728">
        <f>'Water-Meter'!P32</f>
        <v>0</v>
      </c>
      <c r="AC30" s="729">
        <f t="shared" si="11"/>
        <v>0</v>
      </c>
    </row>
    <row r="31" spans="1:29" ht="19.5" thickBot="1">
      <c r="A31" s="712">
        <f>Gen!C38</f>
        <v>0</v>
      </c>
      <c r="B31" s="719">
        <f>Gen!B38</f>
        <v>44102</v>
      </c>
      <c r="C31" s="701"/>
      <c r="D31" s="703">
        <f t="shared" si="16"/>
        <v>0</v>
      </c>
      <c r="E31" s="699"/>
      <c r="F31" s="703">
        <f t="shared" si="15"/>
        <v>0</v>
      </c>
      <c r="G31" s="698"/>
      <c r="H31" s="720">
        <f t="shared" si="6"/>
        <v>44102</v>
      </c>
      <c r="I31" s="714"/>
      <c r="J31" s="763">
        <f>'Water-Meter'!G33</f>
        <v>0</v>
      </c>
      <c r="K31" s="739">
        <f>'Water-Meter'!G34</f>
        <v>0</v>
      </c>
      <c r="L31" s="726">
        <f t="shared" si="3"/>
        <v>0</v>
      </c>
      <c r="M31" s="730">
        <f t="shared" si="7"/>
        <v>44102</v>
      </c>
      <c r="N31" s="701"/>
      <c r="O31" s="196">
        <f>'Water-Meter'!J33</f>
        <v>0</v>
      </c>
      <c r="P31" s="702">
        <f>'Water-Meter'!J33</f>
        <v>0</v>
      </c>
      <c r="Q31" s="740">
        <f t="shared" si="13"/>
        <v>0</v>
      </c>
      <c r="R31" s="746">
        <f t="shared" si="14"/>
        <v>0</v>
      </c>
      <c r="S31" s="747">
        <f>Gen!T38</f>
        <v>0</v>
      </c>
      <c r="T31" s="735">
        <f>M31</f>
        <v>44102</v>
      </c>
      <c r="U31" s="701"/>
      <c r="V31" s="703">
        <f t="shared" si="5"/>
        <v>0</v>
      </c>
      <c r="W31" s="700"/>
      <c r="X31" s="736">
        <f t="shared" si="0"/>
        <v>0</v>
      </c>
      <c r="Y31" s="730">
        <f>T31</f>
        <v>44102</v>
      </c>
      <c r="Z31" s="701"/>
      <c r="AA31" s="698"/>
      <c r="AB31" s="728">
        <f>'Water-Meter'!P33</f>
        <v>0</v>
      </c>
      <c r="AC31" s="729">
        <f t="shared" si="11"/>
        <v>0</v>
      </c>
    </row>
    <row r="32" spans="1:29" ht="19.5" thickBot="1">
      <c r="A32" s="712">
        <f>Gen!C39</f>
        <v>0</v>
      </c>
      <c r="B32" s="719">
        <f>Gen!B39</f>
        <v>44103</v>
      </c>
      <c r="C32" s="701"/>
      <c r="D32" s="703">
        <f t="shared" si="16"/>
        <v>0</v>
      </c>
      <c r="E32" s="699"/>
      <c r="F32" s="703">
        <f t="shared" si="15"/>
        <v>0</v>
      </c>
      <c r="G32" s="698"/>
      <c r="H32" s="720">
        <f t="shared" si="6"/>
        <v>44103</v>
      </c>
      <c r="I32" s="714"/>
      <c r="J32" s="763">
        <f>'Water-Meter'!G34</f>
        <v>0</v>
      </c>
      <c r="K32" s="739">
        <f>'Water-Meter'!G34</f>
        <v>0</v>
      </c>
      <c r="L32" s="726">
        <f t="shared" si="3"/>
        <v>0</v>
      </c>
      <c r="M32" s="730">
        <f t="shared" si="7"/>
        <v>44103</v>
      </c>
      <c r="N32" s="701"/>
      <c r="O32" s="196">
        <f>'Water-Meter'!J34</f>
        <v>0</v>
      </c>
      <c r="P32" s="702">
        <f>'Water-Meter'!J34</f>
        <v>0</v>
      </c>
      <c r="Q32" s="740">
        <f t="shared" si="13"/>
        <v>0</v>
      </c>
      <c r="R32" s="746">
        <f t="shared" si="14"/>
        <v>0</v>
      </c>
      <c r="S32" s="747">
        <f>Gen!T39</f>
        <v>0</v>
      </c>
      <c r="T32" s="735">
        <f t="shared" ref="T32:T35" si="17">M32</f>
        <v>44103</v>
      </c>
      <c r="U32" s="701"/>
      <c r="V32" s="703">
        <f t="shared" si="5"/>
        <v>0</v>
      </c>
      <c r="W32" s="700"/>
      <c r="X32" s="736">
        <f t="shared" si="0"/>
        <v>0</v>
      </c>
      <c r="Y32" s="730">
        <f t="shared" ref="Y32:Y35" si="18">T32</f>
        <v>44103</v>
      </c>
      <c r="Z32" s="701"/>
      <c r="AA32" s="698"/>
      <c r="AB32" s="728">
        <f>'Water-Meter'!P34</f>
        <v>0</v>
      </c>
      <c r="AC32" s="729">
        <f t="shared" si="11"/>
        <v>0</v>
      </c>
    </row>
    <row r="33" spans="1:29" ht="19.5" thickBot="1">
      <c r="A33" s="712">
        <f>Gen!C40</f>
        <v>0</v>
      </c>
      <c r="B33" s="719">
        <f>Gen!B40</f>
        <v>44104</v>
      </c>
      <c r="C33" s="701"/>
      <c r="D33" s="703">
        <f t="shared" si="16"/>
        <v>0</v>
      </c>
      <c r="E33" s="699"/>
      <c r="F33" s="703">
        <f t="shared" si="15"/>
        <v>0</v>
      </c>
      <c r="G33" s="698"/>
      <c r="H33" s="720">
        <f t="shared" si="6"/>
        <v>44104</v>
      </c>
      <c r="I33" s="714"/>
      <c r="J33" s="763">
        <f>'Water-Meter'!G35</f>
        <v>0</v>
      </c>
      <c r="K33" s="739">
        <f>'Water-Meter'!G35</f>
        <v>0</v>
      </c>
      <c r="L33" s="726">
        <f t="shared" si="3"/>
        <v>0</v>
      </c>
      <c r="M33" s="730">
        <f t="shared" si="7"/>
        <v>44104</v>
      </c>
      <c r="N33" s="701"/>
      <c r="O33" s="196">
        <f>'Water-Meter'!J35</f>
        <v>0</v>
      </c>
      <c r="P33" s="702">
        <f>'Water-Meter'!J35</f>
        <v>0</v>
      </c>
      <c r="Q33" s="740">
        <f t="shared" si="13"/>
        <v>0</v>
      </c>
      <c r="R33" s="746">
        <f t="shared" si="14"/>
        <v>0</v>
      </c>
      <c r="S33" s="747">
        <f>Gen!T40</f>
        <v>0</v>
      </c>
      <c r="T33" s="735">
        <f t="shared" si="17"/>
        <v>44104</v>
      </c>
      <c r="U33" s="701"/>
      <c r="V33" s="703">
        <f t="shared" si="5"/>
        <v>0</v>
      </c>
      <c r="W33" s="700"/>
      <c r="X33" s="736">
        <f t="shared" si="0"/>
        <v>0</v>
      </c>
      <c r="Y33" s="730">
        <f t="shared" si="18"/>
        <v>44104</v>
      </c>
      <c r="Z33" s="701"/>
      <c r="AA33" s="698"/>
      <c r="AB33" s="728">
        <f>'Water-Meter'!P35</f>
        <v>0</v>
      </c>
      <c r="AC33" s="729">
        <f t="shared" si="11"/>
        <v>0</v>
      </c>
    </row>
    <row r="34" spans="1:29" ht="19.5" thickBot="1">
      <c r="A34" s="712">
        <f>Gen!C41</f>
        <v>0</v>
      </c>
      <c r="B34" s="719">
        <f>Gen!B41</f>
        <v>0</v>
      </c>
      <c r="C34" s="6"/>
      <c r="D34" s="703">
        <f t="shared" si="16"/>
        <v>0</v>
      </c>
      <c r="E34" s="699"/>
      <c r="F34" s="703">
        <f t="shared" si="15"/>
        <v>0</v>
      </c>
      <c r="G34" s="6"/>
      <c r="H34" s="720">
        <f t="shared" si="6"/>
        <v>0</v>
      </c>
      <c r="I34" s="17"/>
      <c r="J34" s="763">
        <f>'Water-Meter'!G36</f>
        <v>0</v>
      </c>
      <c r="K34" s="739">
        <f>'Water-Meter'!G36</f>
        <v>0</v>
      </c>
      <c r="L34" s="726">
        <f t="shared" si="3"/>
        <v>0</v>
      </c>
      <c r="M34" s="730">
        <f t="shared" si="7"/>
        <v>0</v>
      </c>
      <c r="N34" s="6"/>
      <c r="O34" s="196">
        <f>'Water-Meter'!J36</f>
        <v>0</v>
      </c>
      <c r="P34" s="702">
        <f>'Water-Meter'!J36</f>
        <v>0</v>
      </c>
      <c r="Q34" s="740">
        <f t="shared" si="13"/>
        <v>0</v>
      </c>
      <c r="R34" s="746">
        <f t="shared" si="14"/>
        <v>0</v>
      </c>
      <c r="S34" s="747">
        <f>Gen!T41</f>
        <v>0</v>
      </c>
      <c r="T34" s="735">
        <f t="shared" si="17"/>
        <v>0</v>
      </c>
      <c r="U34" s="6"/>
      <c r="V34" s="703">
        <f t="shared" ref="V34:V35" si="19">SUM(W33)</f>
        <v>0</v>
      </c>
      <c r="W34" s="700"/>
      <c r="X34" s="736">
        <f t="shared" si="0"/>
        <v>0</v>
      </c>
      <c r="Y34" s="730">
        <f t="shared" si="18"/>
        <v>0</v>
      </c>
      <c r="Z34" s="6"/>
      <c r="AA34" s="698"/>
      <c r="AB34" s="702">
        <f>'Water-Meter'!P36</f>
        <v>0</v>
      </c>
      <c r="AC34" s="729">
        <f t="shared" si="11"/>
        <v>0</v>
      </c>
    </row>
    <row r="35" spans="1:29" ht="20.25" customHeight="1" thickBot="1">
      <c r="A35" s="712" t="e">
        <f>[1]Gen!B42</f>
        <v>#REF!</v>
      </c>
      <c r="B35" s="721" t="e">
        <f>[1]Gen!A42</f>
        <v>#REF!</v>
      </c>
      <c r="C35" s="8"/>
      <c r="D35" s="722">
        <f t="shared" si="16"/>
        <v>0</v>
      </c>
      <c r="E35" s="723"/>
      <c r="F35" s="724">
        <f>SUM(F4:F6)</f>
        <v>587.99999999995634</v>
      </c>
      <c r="G35" s="8"/>
      <c r="H35" s="725" t="e">
        <f t="shared" si="6"/>
        <v>#REF!</v>
      </c>
      <c r="I35" s="82"/>
      <c r="J35" s="732">
        <f t="shared" ref="J35" si="20">SUM(K34)</f>
        <v>0</v>
      </c>
      <c r="K35" s="739">
        <f>'Water-Meter'!G37</f>
        <v>0</v>
      </c>
      <c r="L35" s="741">
        <f>SUM(L5:L34)</f>
        <v>0</v>
      </c>
      <c r="M35" s="731" t="e">
        <f t="shared" si="7"/>
        <v>#REF!</v>
      </c>
      <c r="N35" s="8"/>
      <c r="O35" s="732"/>
      <c r="P35" s="733">
        <f>'Water-Meter'!J37</f>
        <v>0</v>
      </c>
      <c r="Q35" s="740">
        <f t="shared" si="13"/>
        <v>0</v>
      </c>
      <c r="R35" s="748">
        <f t="shared" si="14"/>
        <v>0</v>
      </c>
      <c r="S35" s="749">
        <f>Gen!T42</f>
        <v>0</v>
      </c>
      <c r="T35" s="743" t="e">
        <f t="shared" si="17"/>
        <v>#REF!</v>
      </c>
      <c r="U35" s="8"/>
      <c r="V35" s="722">
        <f t="shared" si="19"/>
        <v>0</v>
      </c>
      <c r="W35" s="737"/>
      <c r="X35" s="736">
        <f t="shared" si="0"/>
        <v>0</v>
      </c>
      <c r="Y35" s="731" t="e">
        <f t="shared" si="18"/>
        <v>#REF!</v>
      </c>
      <c r="Z35" s="8"/>
      <c r="AA35" s="732"/>
      <c r="AB35" s="733">
        <f>'Water-Meter'!P37</f>
        <v>0</v>
      </c>
      <c r="AC35" s="729">
        <f t="shared" si="11"/>
        <v>0</v>
      </c>
    </row>
    <row r="36" spans="1:29" ht="24.75" customHeight="1">
      <c r="D36" s="20"/>
      <c r="E36" s="455"/>
      <c r="L36" s="151"/>
      <c r="Q36" s="151"/>
      <c r="R36" s="198"/>
      <c r="X36" s="453">
        <f>SUM(X4:X6)</f>
        <v>139.99999999996362</v>
      </c>
      <c r="AC36" s="151"/>
    </row>
    <row r="37" spans="1:29" ht="12.75" customHeight="1">
      <c r="D37" s="20"/>
      <c r="E37" s="455"/>
      <c r="G37" s="20"/>
    </row>
    <row r="38" spans="1:29" ht="12.75" customHeight="1">
      <c r="E38" s="193"/>
      <c r="G38" s="20"/>
      <c r="K38" s="193"/>
      <c r="W38" s="193"/>
      <c r="AB38" s="193"/>
    </row>
    <row r="39" spans="1:29" ht="12.75" customHeight="1">
      <c r="E39" s="455"/>
      <c r="G39" s="20"/>
    </row>
    <row r="40" spans="1:29" ht="12.75" customHeight="1">
      <c r="D40" s="151"/>
      <c r="E40" s="193"/>
      <c r="G40" s="20"/>
      <c r="V40" s="151"/>
      <c r="W40" s="193"/>
    </row>
    <row r="41" spans="1:29" ht="12.75" customHeight="1">
      <c r="E41" s="455"/>
      <c r="G41" s="20"/>
    </row>
    <row r="42" spans="1:29" ht="12.75" customHeight="1">
      <c r="C42" s="194"/>
      <c r="E42" s="456"/>
      <c r="G42" s="20"/>
      <c r="U42" s="194"/>
    </row>
    <row r="43" spans="1:29" ht="18.75">
      <c r="E43" s="455"/>
    </row>
    <row r="44" spans="1:29">
      <c r="E44" s="456"/>
    </row>
    <row r="45" spans="1:29" ht="18.75">
      <c r="E45" s="455"/>
    </row>
    <row r="46" spans="1:29">
      <c r="E46" s="456"/>
    </row>
    <row r="47" spans="1:29" ht="18.75">
      <c r="E47" s="455"/>
    </row>
    <row r="48" spans="1:29">
      <c r="E48" s="456"/>
    </row>
    <row r="49" spans="5:5" ht="18.75">
      <c r="E49" s="455"/>
    </row>
    <row r="50" spans="5:5">
      <c r="E50" s="456"/>
    </row>
    <row r="51" spans="5:5" ht="18.75">
      <c r="E51" s="455"/>
    </row>
    <row r="52" spans="5:5">
      <c r="E52" s="456"/>
    </row>
    <row r="53" spans="5:5" ht="18.75">
      <c r="E53" s="455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tabSelected="1" workbookViewId="0">
      <selection activeCell="E16" sqref="E16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798" t="s">
        <v>316</v>
      </c>
      <c r="B2" s="799"/>
      <c r="C2" s="799"/>
      <c r="D2" s="799"/>
      <c r="E2" s="800"/>
      <c r="F2" s="120"/>
      <c r="G2" s="120"/>
      <c r="H2" s="120"/>
      <c r="I2" s="120"/>
      <c r="J2" s="120"/>
      <c r="K2" s="120"/>
      <c r="L2" s="120"/>
    </row>
    <row r="3" spans="1:13" ht="50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4" t="s">
        <v>0</v>
      </c>
      <c r="B4" s="81" t="s">
        <v>66</v>
      </c>
      <c r="C4" s="353" t="s">
        <v>50</v>
      </c>
      <c r="D4" s="53" t="s">
        <v>64</v>
      </c>
      <c r="E4" s="53" t="s">
        <v>65</v>
      </c>
      <c r="F4" s="73" t="s">
        <v>42</v>
      </c>
      <c r="G4" s="53" t="s">
        <v>203</v>
      </c>
      <c r="H4" s="53" t="s">
        <v>206</v>
      </c>
      <c r="I4" s="53" t="s">
        <v>204</v>
      </c>
      <c r="J4" s="53" t="s">
        <v>205</v>
      </c>
      <c r="K4" s="73" t="s">
        <v>51</v>
      </c>
      <c r="L4" s="73" t="s">
        <v>76</v>
      </c>
    </row>
    <row r="5" spans="1:13">
      <c r="A5" s="54">
        <f>Gen!B11</f>
        <v>44075</v>
      </c>
      <c r="B5" s="374">
        <f>'Daily report Gen'!Z6</f>
        <v>25</v>
      </c>
      <c r="C5" s="88">
        <f>Gen!C11</f>
        <v>3.9E-2</v>
      </c>
      <c r="D5" s="512">
        <f t="shared" ref="D5:D36" si="0">E5</f>
        <v>3</v>
      </c>
      <c r="E5" s="75">
        <v>3</v>
      </c>
      <c r="F5" s="71">
        <f>Gen!U9</f>
        <v>0</v>
      </c>
      <c r="G5" s="86">
        <f>Gen!T9</f>
        <v>0</v>
      </c>
      <c r="H5" s="86">
        <f>Gen!AK11</f>
        <v>69.209999999999994</v>
      </c>
      <c r="I5" s="86">
        <f t="shared" ref="I5:I36" si="1">SUM(G5:H5)</f>
        <v>69.209999999999994</v>
      </c>
      <c r="J5" s="525">
        <f>Gen!D11</f>
        <v>43590.620000000017</v>
      </c>
      <c r="K5" s="347">
        <f>'Water-Meter'!E6</f>
        <v>56</v>
      </c>
      <c r="L5" s="526">
        <f>'Lpg (2)'!G10</f>
        <v>78.980000000051234</v>
      </c>
      <c r="M5" s="80" t="e">
        <f>SUM(#REF!-#REF!)</f>
        <v>#REF!</v>
      </c>
    </row>
    <row r="6" spans="1:13">
      <c r="A6" s="54">
        <f>Gen!B12</f>
        <v>44076</v>
      </c>
      <c r="B6" s="374">
        <f>'Daily report Gen'!Z7</f>
        <v>24</v>
      </c>
      <c r="C6" s="88">
        <f>Gen!C12</f>
        <v>3.9E-2</v>
      </c>
      <c r="D6" s="512">
        <f t="shared" si="0"/>
        <v>4</v>
      </c>
      <c r="E6" s="75">
        <v>4</v>
      </c>
      <c r="F6" s="71">
        <f>Gen!U10</f>
        <v>0</v>
      </c>
      <c r="G6" s="86">
        <f>Gen!T10</f>
        <v>0</v>
      </c>
      <c r="H6" s="86">
        <f>Gen!AK12</f>
        <v>80.650000000000006</v>
      </c>
      <c r="I6" s="86">
        <f t="shared" si="1"/>
        <v>80.650000000000006</v>
      </c>
      <c r="J6" s="525">
        <f>Gen!D12</f>
        <v>42629.980000000018</v>
      </c>
      <c r="K6" s="347">
        <f>'Water-Meter'!E7</f>
        <v>58</v>
      </c>
      <c r="L6" s="526">
        <f>'Lpg (2)'!G11</f>
        <v>76.031999999994881</v>
      </c>
      <c r="M6" s="80" t="e">
        <f>SUM(#REF!-#REF!)</f>
        <v>#REF!</v>
      </c>
    </row>
    <row r="7" spans="1:13">
      <c r="A7" s="54">
        <f>Gen!B13</f>
        <v>44077</v>
      </c>
      <c r="B7" s="374">
        <f>'Daily report Gen'!Z8</f>
        <v>24</v>
      </c>
      <c r="C7" s="88">
        <f>Gen!C13</f>
        <v>3.9E-2</v>
      </c>
      <c r="D7" s="512">
        <f t="shared" si="0"/>
        <v>4</v>
      </c>
      <c r="E7" s="75">
        <v>4</v>
      </c>
      <c r="F7" s="71">
        <f>Gen!U11</f>
        <v>2111</v>
      </c>
      <c r="G7" s="86">
        <f>Gen!T11</f>
        <v>891.43</v>
      </c>
      <c r="H7" s="86">
        <f>Gen!AK13</f>
        <v>10.02</v>
      </c>
      <c r="I7" s="86">
        <f t="shared" si="1"/>
        <v>901.44999999999993</v>
      </c>
      <c r="J7" s="525">
        <f>Gen!D13</f>
        <v>41727.410000000018</v>
      </c>
      <c r="K7" s="347">
        <f>'Water-Meter'!E8</f>
        <v>51</v>
      </c>
      <c r="L7" s="526">
        <f>'Lpg (2)'!G12</f>
        <v>58.607999999966708</v>
      </c>
      <c r="M7" s="80" t="e">
        <f>SUM(#REF!-#REF!)</f>
        <v>#REF!</v>
      </c>
    </row>
    <row r="8" spans="1:13">
      <c r="A8" s="54">
        <f>Gen!B14</f>
        <v>44078</v>
      </c>
      <c r="B8" s="374">
        <f>'Daily report Gen'!Z9</f>
        <v>25</v>
      </c>
      <c r="C8" s="88">
        <f>Gen!C14</f>
        <v>9.0899999999999995E-2</v>
      </c>
      <c r="D8" s="512">
        <f>E8</f>
        <v>8</v>
      </c>
      <c r="E8" s="75">
        <v>8</v>
      </c>
      <c r="F8" s="71">
        <f>Gen!U12</f>
        <v>2147</v>
      </c>
      <c r="G8" s="86">
        <f>Gen!T12</f>
        <v>821.92000000000007</v>
      </c>
      <c r="H8" s="86">
        <f>Gen!AK14</f>
        <v>0</v>
      </c>
      <c r="I8" s="86">
        <f t="shared" si="1"/>
        <v>821.92000000000007</v>
      </c>
      <c r="J8" s="525">
        <f>Gen!D14</f>
        <v>40627.110000000015</v>
      </c>
      <c r="K8" s="347">
        <f>'Water-Meter'!E9</f>
        <v>54</v>
      </c>
      <c r="L8" s="526">
        <f>'Lpg (2)'!G13</f>
        <v>66.263999999989764</v>
      </c>
      <c r="M8" s="80" t="e">
        <f>SUM(#REF!-#REF!)</f>
        <v>#REF!</v>
      </c>
    </row>
    <row r="9" spans="1:13">
      <c r="A9" s="54">
        <f>Gen!B15</f>
        <v>44079</v>
      </c>
      <c r="B9" s="374">
        <f>'Daily report Gen'!Z10</f>
        <v>24</v>
      </c>
      <c r="C9" s="88">
        <f>Gen!C15</f>
        <v>9.0899999999999995E-2</v>
      </c>
      <c r="D9" s="512">
        <f t="shared" si="0"/>
        <v>8</v>
      </c>
      <c r="E9" s="75">
        <v>8</v>
      </c>
      <c r="F9" s="71">
        <f>Gen!U13</f>
        <v>2188</v>
      </c>
      <c r="G9" s="86">
        <f>Gen!T13</f>
        <v>1090.28</v>
      </c>
      <c r="H9" s="86">
        <f>Gen!AK15</f>
        <v>27.01</v>
      </c>
      <c r="I9" s="86">
        <f t="shared" si="1"/>
        <v>1117.29</v>
      </c>
      <c r="J9" s="525">
        <f>Gen!D15</f>
        <v>39758.720000000016</v>
      </c>
      <c r="K9" s="347">
        <f>'Water-Meter'!E10</f>
        <v>50</v>
      </c>
      <c r="L9" s="526">
        <f>'Lpg (2)'!G14</f>
        <v>63.536000000010247</v>
      </c>
      <c r="M9" s="80" t="e">
        <f>SUM(#REF!-#REF!)</f>
        <v>#REF!</v>
      </c>
    </row>
    <row r="10" spans="1:13">
      <c r="A10" s="54">
        <f>Gen!B16</f>
        <v>44080</v>
      </c>
      <c r="B10" s="374">
        <f>'Daily report Gen'!Z11</f>
        <v>23</v>
      </c>
      <c r="C10" s="88">
        <f>Gen!C16</f>
        <v>9.0899999999999995E-2</v>
      </c>
      <c r="D10" s="512">
        <f t="shared" si="0"/>
        <v>7</v>
      </c>
      <c r="E10" s="75">
        <v>7</v>
      </c>
      <c r="F10" s="71">
        <f>Gen!U14</f>
        <v>2448</v>
      </c>
      <c r="G10" s="86">
        <f>Gen!T14</f>
        <v>868.39</v>
      </c>
      <c r="H10" s="86">
        <f>Gen!AK16</f>
        <v>0</v>
      </c>
      <c r="I10" s="86">
        <f t="shared" si="1"/>
        <v>868.39</v>
      </c>
      <c r="J10" s="525">
        <f>Gen!D16</f>
        <v>38889.730000000018</v>
      </c>
      <c r="K10" s="347">
        <f>'Water-Meter'!E11</f>
        <v>52</v>
      </c>
      <c r="L10" s="526">
        <f>'Lpg (2)'!G15</f>
        <v>50.072000000020495</v>
      </c>
      <c r="M10" s="80" t="e">
        <f>SUM(#REF!-#REF!)</f>
        <v>#REF!</v>
      </c>
    </row>
    <row r="11" spans="1:13">
      <c r="A11" s="54">
        <f>Gen!B17</f>
        <v>44081</v>
      </c>
      <c r="B11" s="374">
        <f>'Daily report Gen'!Z12</f>
        <v>27</v>
      </c>
      <c r="C11" s="88">
        <f>Gen!C17</f>
        <v>2.5999999999999999E-2</v>
      </c>
      <c r="D11" s="512">
        <f t="shared" si="0"/>
        <v>3</v>
      </c>
      <c r="E11" s="75">
        <v>3</v>
      </c>
      <c r="F11" s="71">
        <f>Gen!U15</f>
        <v>2152</v>
      </c>
      <c r="G11" s="86">
        <f>Gen!T15</f>
        <v>841.98</v>
      </c>
      <c r="H11" s="86">
        <f>Gen!AK17</f>
        <v>258.14</v>
      </c>
      <c r="I11" s="86">
        <f t="shared" si="1"/>
        <v>1100.1199999999999</v>
      </c>
      <c r="J11" s="525">
        <f>Gen!D17</f>
        <v>37951.190000000017</v>
      </c>
      <c r="K11" s="347">
        <f>'Water-Meter'!E12</f>
        <v>58</v>
      </c>
      <c r="L11" s="526">
        <f>'Lpg (2)'!G16</f>
        <v>49.588000000017935</v>
      </c>
      <c r="M11" s="80" t="e">
        <f>SUM(#REF!-#REF!)</f>
        <v>#REF!</v>
      </c>
    </row>
    <row r="12" spans="1:13">
      <c r="A12" s="54">
        <f>Gen!B18</f>
        <v>44082</v>
      </c>
      <c r="B12" s="374">
        <f>'Daily report Gen'!Z13</f>
        <v>25</v>
      </c>
      <c r="C12" s="88">
        <f>Gen!C18</f>
        <v>3.9E-2</v>
      </c>
      <c r="D12" s="512">
        <f t="shared" si="0"/>
        <v>7</v>
      </c>
      <c r="E12" s="75">
        <v>7</v>
      </c>
      <c r="F12" s="71">
        <f>Gen!U16</f>
        <v>2052</v>
      </c>
      <c r="G12" s="86">
        <f>Gen!T16</f>
        <v>938.54</v>
      </c>
      <c r="H12" s="86">
        <f>Gen!AK18</f>
        <v>123.3</v>
      </c>
      <c r="I12" s="86">
        <f t="shared" si="1"/>
        <v>1061.8399999999999</v>
      </c>
      <c r="J12" s="525">
        <f>Gen!D18</f>
        <v>36782.780000000013</v>
      </c>
      <c r="K12" s="347">
        <f>'Water-Meter'!E13</f>
        <v>46</v>
      </c>
      <c r="L12" s="526">
        <f>'Lpg (2)'!G17</f>
        <v>62.567999999941101</v>
      </c>
      <c r="M12" s="80" t="e">
        <f>SUM(#REF!-#REF!)</f>
        <v>#REF!</v>
      </c>
    </row>
    <row r="13" spans="1:13">
      <c r="A13" s="54">
        <f>Gen!B19</f>
        <v>44083</v>
      </c>
      <c r="B13" s="374">
        <f>'Daily report Gen'!Z14</f>
        <v>23</v>
      </c>
      <c r="C13" s="88">
        <f>Gen!C19</f>
        <v>6.5000000000000002E-2</v>
      </c>
      <c r="D13" s="512">
        <f t="shared" si="0"/>
        <v>5</v>
      </c>
      <c r="E13" s="75">
        <v>5</v>
      </c>
      <c r="F13" s="71">
        <f>Gen!U17</f>
        <v>2010</v>
      </c>
      <c r="G13" s="86">
        <f>Gen!T17</f>
        <v>910.27</v>
      </c>
      <c r="H13" s="86">
        <f>Gen!AK19</f>
        <v>0</v>
      </c>
      <c r="I13" s="86">
        <f t="shared" si="1"/>
        <v>910.27</v>
      </c>
      <c r="J13" s="525">
        <f>Gen!D19</f>
        <v>35711.270000000011</v>
      </c>
      <c r="K13" s="347">
        <f>'Water-Meter'!E14</f>
        <v>52</v>
      </c>
      <c r="L13" s="526">
        <f>'Lpg (2)'!G18</f>
        <v>54.868000000005125</v>
      </c>
      <c r="M13" s="80" t="e">
        <f>SUM(#REF!-#REF!)</f>
        <v>#REF!</v>
      </c>
    </row>
    <row r="14" spans="1:13">
      <c r="A14" s="54">
        <f>Gen!B20</f>
        <v>44084</v>
      </c>
      <c r="B14" s="374">
        <f>'Daily report Gen'!Z15</f>
        <v>-153864</v>
      </c>
      <c r="C14" s="88">
        <f>Gen!C20</f>
        <v>1.2999999999999999E-2</v>
      </c>
      <c r="D14" s="512">
        <f t="shared" si="0"/>
        <v>1</v>
      </c>
      <c r="E14" s="75">
        <v>1</v>
      </c>
      <c r="F14" s="71">
        <f>Gen!U18</f>
        <v>2245</v>
      </c>
      <c r="G14" s="86">
        <f>Gen!T18</f>
        <v>948.21</v>
      </c>
      <c r="H14" s="86">
        <f>Gen!AK20</f>
        <v>0</v>
      </c>
      <c r="I14" s="86">
        <f t="shared" si="1"/>
        <v>948.21</v>
      </c>
      <c r="J14" s="525">
        <f>Gen!D20</f>
        <v>34794.94000000001</v>
      </c>
      <c r="K14" s="347" t="str">
        <f>'Water-Meter'!E15</f>
        <v>0</v>
      </c>
      <c r="L14" s="526">
        <f>'Lpg (2)'!G19</f>
        <v>-317645.94400000002</v>
      </c>
      <c r="M14" s="80" t="e">
        <f>SUM(#REF!-#REF!)</f>
        <v>#REF!</v>
      </c>
    </row>
    <row r="15" spans="1:13">
      <c r="A15" s="54">
        <f>Gen!B21</f>
        <v>44085</v>
      </c>
      <c r="B15" s="374">
        <f>'Daily report Gen'!Z16</f>
        <v>0</v>
      </c>
      <c r="C15" s="88">
        <f>Gen!C21</f>
        <v>0</v>
      </c>
      <c r="D15" s="512">
        <f t="shared" si="0"/>
        <v>0</v>
      </c>
      <c r="E15" s="75"/>
      <c r="F15" s="71">
        <f>Gen!U19</f>
        <v>2101</v>
      </c>
      <c r="G15" s="86">
        <f>Gen!T19</f>
        <v>916.32999999999993</v>
      </c>
      <c r="H15" s="86">
        <f>Gen!AK21</f>
        <v>0</v>
      </c>
      <c r="I15" s="86">
        <f t="shared" si="1"/>
        <v>916.32999999999993</v>
      </c>
      <c r="J15" s="525">
        <f>Gen!D21</f>
        <v>34794.94000000001</v>
      </c>
      <c r="K15" s="347">
        <f>'Water-Meter'!E16</f>
        <v>0</v>
      </c>
      <c r="L15" s="526">
        <f>'Lpg (2)'!G20</f>
        <v>0</v>
      </c>
      <c r="M15" s="80" t="e">
        <f>SUM(#REF!-#REF!)</f>
        <v>#REF!</v>
      </c>
    </row>
    <row r="16" spans="1:13">
      <c r="A16" s="54">
        <f>Gen!B22</f>
        <v>44086</v>
      </c>
      <c r="B16" s="374">
        <f>'Daily report Gen'!Z17</f>
        <v>0</v>
      </c>
      <c r="C16" s="88">
        <f>Gen!C22</f>
        <v>0</v>
      </c>
      <c r="D16" s="512">
        <f t="shared" si="0"/>
        <v>0</v>
      </c>
      <c r="E16" s="75"/>
      <c r="F16" s="71">
        <f>Gen!U20</f>
        <v>0</v>
      </c>
      <c r="G16" s="86">
        <f>Gen!T20</f>
        <v>0</v>
      </c>
      <c r="H16" s="86">
        <f>Gen!AK22</f>
        <v>0</v>
      </c>
      <c r="I16" s="86">
        <f t="shared" si="1"/>
        <v>0</v>
      </c>
      <c r="J16" s="525">
        <f>Gen!D22</f>
        <v>34794.94000000001</v>
      </c>
      <c r="K16" s="347">
        <f>'Water-Meter'!E17</f>
        <v>0</v>
      </c>
      <c r="L16" s="526">
        <f>'Lpg (2)'!G21</f>
        <v>0</v>
      </c>
      <c r="M16" s="80" t="e">
        <f>SUM(#REF!-#REF!)</f>
        <v>#REF!</v>
      </c>
    </row>
    <row r="17" spans="1:13">
      <c r="A17" s="54">
        <f>Gen!B23</f>
        <v>44087</v>
      </c>
      <c r="B17" s="374">
        <f>'Daily report Gen'!Z18</f>
        <v>0</v>
      </c>
      <c r="C17" s="88">
        <f>Gen!C23</f>
        <v>0</v>
      </c>
      <c r="D17" s="512">
        <f t="shared" si="0"/>
        <v>0</v>
      </c>
      <c r="E17" s="75"/>
      <c r="F17" s="71">
        <f>Gen!U21</f>
        <v>0</v>
      </c>
      <c r="G17" s="86">
        <f>Gen!T21</f>
        <v>0</v>
      </c>
      <c r="H17" s="86">
        <f>Gen!AK23</f>
        <v>0</v>
      </c>
      <c r="I17" s="86">
        <f t="shared" si="1"/>
        <v>0</v>
      </c>
      <c r="J17" s="525">
        <f>Gen!D23</f>
        <v>34794.94000000001</v>
      </c>
      <c r="K17" s="347">
        <f>'Water-Meter'!E18</f>
        <v>0</v>
      </c>
      <c r="L17" s="526">
        <f>'Lpg (2)'!G22</f>
        <v>0</v>
      </c>
      <c r="M17" s="80" t="e">
        <f>SUM(#REF!-#REF!)</f>
        <v>#REF!</v>
      </c>
    </row>
    <row r="18" spans="1:13">
      <c r="A18" s="54">
        <f>Gen!B24</f>
        <v>44088</v>
      </c>
      <c r="B18" s="374">
        <f>'Daily report Gen'!Z19</f>
        <v>0</v>
      </c>
      <c r="C18" s="88">
        <f>Gen!C24</f>
        <v>0</v>
      </c>
      <c r="D18" s="512">
        <f t="shared" si="0"/>
        <v>0</v>
      </c>
      <c r="E18" s="75"/>
      <c r="F18" s="71">
        <f>Gen!U22</f>
        <v>0</v>
      </c>
      <c r="G18" s="86">
        <f>Gen!T22</f>
        <v>0</v>
      </c>
      <c r="H18" s="86">
        <f>Gen!AK24</f>
        <v>0</v>
      </c>
      <c r="I18" s="86">
        <f t="shared" si="1"/>
        <v>0</v>
      </c>
      <c r="J18" s="525">
        <f>Gen!D24</f>
        <v>34794.94000000001</v>
      </c>
      <c r="K18" s="347">
        <f>'Water-Meter'!E19</f>
        <v>0</v>
      </c>
      <c r="L18" s="526">
        <f>'Lpg (2)'!G23</f>
        <v>0</v>
      </c>
      <c r="M18" s="80" t="e">
        <f>SUM(#REF!-#REF!)</f>
        <v>#REF!</v>
      </c>
    </row>
    <row r="19" spans="1:13">
      <c r="A19" s="54">
        <f>Gen!B25</f>
        <v>44089</v>
      </c>
      <c r="B19" s="374">
        <f>'Daily report Gen'!Z20</f>
        <v>0</v>
      </c>
      <c r="C19" s="88">
        <f>Gen!C25</f>
        <v>0</v>
      </c>
      <c r="D19" s="512">
        <f t="shared" si="0"/>
        <v>0</v>
      </c>
      <c r="E19" s="75"/>
      <c r="F19" s="71">
        <f>Gen!U23</f>
        <v>0</v>
      </c>
      <c r="G19" s="86">
        <f>Gen!T23</f>
        <v>0</v>
      </c>
      <c r="H19" s="86">
        <f>Gen!AK25</f>
        <v>0</v>
      </c>
      <c r="I19" s="86">
        <f t="shared" si="1"/>
        <v>0</v>
      </c>
      <c r="J19" s="525">
        <f>Gen!D25</f>
        <v>34794.94000000001</v>
      </c>
      <c r="K19" s="347">
        <f>'Water-Meter'!E20</f>
        <v>0</v>
      </c>
      <c r="L19" s="526">
        <f>'Lpg (2)'!G24</f>
        <v>0</v>
      </c>
      <c r="M19" s="80" t="e">
        <f>SUM(#REF!-#REF!)</f>
        <v>#REF!</v>
      </c>
    </row>
    <row r="20" spans="1:13">
      <c r="A20" s="54">
        <f>Gen!B26</f>
        <v>44090</v>
      </c>
      <c r="B20" s="374">
        <f>'Daily report Gen'!Z21</f>
        <v>0</v>
      </c>
      <c r="C20" s="88">
        <f>Gen!C26</f>
        <v>0</v>
      </c>
      <c r="D20" s="512">
        <f t="shared" si="0"/>
        <v>0</v>
      </c>
      <c r="E20" s="75"/>
      <c r="F20" s="71">
        <f>Gen!U24</f>
        <v>0</v>
      </c>
      <c r="G20" s="86">
        <f>Gen!T24</f>
        <v>0</v>
      </c>
      <c r="H20" s="86">
        <f>Gen!AK26</f>
        <v>0</v>
      </c>
      <c r="I20" s="86">
        <f t="shared" si="1"/>
        <v>0</v>
      </c>
      <c r="J20" s="525">
        <f>Gen!D26</f>
        <v>34794.94000000001</v>
      </c>
      <c r="K20" s="347">
        <f>'Water-Meter'!E21</f>
        <v>0</v>
      </c>
      <c r="L20" s="526">
        <f>'Lpg (2)'!G25</f>
        <v>0</v>
      </c>
      <c r="M20" s="80" t="e">
        <f>SUM(#REF!-#REF!)</f>
        <v>#REF!</v>
      </c>
    </row>
    <row r="21" spans="1:13">
      <c r="A21" s="54">
        <f>Gen!B27</f>
        <v>44091</v>
      </c>
      <c r="B21" s="374">
        <f>'Daily report Gen'!Z22</f>
        <v>0</v>
      </c>
      <c r="C21" s="88">
        <f>Gen!C27</f>
        <v>0</v>
      </c>
      <c r="D21" s="512">
        <f t="shared" si="0"/>
        <v>0</v>
      </c>
      <c r="E21" s="75"/>
      <c r="F21" s="71">
        <f>Gen!U25</f>
        <v>0</v>
      </c>
      <c r="G21" s="86">
        <f>Gen!T25</f>
        <v>0</v>
      </c>
      <c r="H21" s="86">
        <f>Gen!AK27</f>
        <v>0</v>
      </c>
      <c r="I21" s="86">
        <f t="shared" si="1"/>
        <v>0</v>
      </c>
      <c r="J21" s="525">
        <f>Gen!D27</f>
        <v>34794.94000000001</v>
      </c>
      <c r="K21" s="347">
        <f>'Water-Meter'!E22</f>
        <v>0</v>
      </c>
      <c r="L21" s="526">
        <f>'Lpg (2)'!G26</f>
        <v>0</v>
      </c>
      <c r="M21" s="80" t="e">
        <f>SUM(#REF!-#REF!)</f>
        <v>#REF!</v>
      </c>
    </row>
    <row r="22" spans="1:13">
      <c r="A22" s="54">
        <f>Gen!B28</f>
        <v>44092</v>
      </c>
      <c r="B22" s="374">
        <f>'Daily report Gen'!Z23</f>
        <v>0</v>
      </c>
      <c r="C22" s="88">
        <f>Gen!C28</f>
        <v>0</v>
      </c>
      <c r="D22" s="512">
        <f t="shared" si="0"/>
        <v>0</v>
      </c>
      <c r="E22" s="75"/>
      <c r="F22" s="71">
        <f>Gen!U26</f>
        <v>0</v>
      </c>
      <c r="G22" s="86">
        <f>Gen!T26</f>
        <v>0</v>
      </c>
      <c r="H22" s="86">
        <f>Gen!AK28</f>
        <v>0</v>
      </c>
      <c r="I22" s="86">
        <f t="shared" si="1"/>
        <v>0</v>
      </c>
      <c r="J22" s="525">
        <f>Gen!D28</f>
        <v>34794.94000000001</v>
      </c>
      <c r="K22" s="347">
        <f>'Water-Meter'!E23</f>
        <v>0</v>
      </c>
      <c r="L22" s="526">
        <f>'Lpg (2)'!G27</f>
        <v>0</v>
      </c>
      <c r="M22" s="80" t="e">
        <f>SUM(#REF!-#REF!)</f>
        <v>#REF!</v>
      </c>
    </row>
    <row r="23" spans="1:13">
      <c r="A23" s="54">
        <f>Gen!B29</f>
        <v>44093</v>
      </c>
      <c r="B23" s="374">
        <f>'Daily report Gen'!Z24</f>
        <v>0</v>
      </c>
      <c r="C23" s="88">
        <f>Gen!C29</f>
        <v>0</v>
      </c>
      <c r="D23" s="512">
        <f t="shared" si="0"/>
        <v>0</v>
      </c>
      <c r="E23" s="75"/>
      <c r="F23" s="71">
        <f>Gen!U27</f>
        <v>0</v>
      </c>
      <c r="G23" s="86">
        <f>Gen!T27</f>
        <v>0</v>
      </c>
      <c r="H23" s="86">
        <f>Gen!AK29</f>
        <v>0</v>
      </c>
      <c r="I23" s="86">
        <f t="shared" si="1"/>
        <v>0</v>
      </c>
      <c r="J23" s="525">
        <f>Gen!D29</f>
        <v>34794.94000000001</v>
      </c>
      <c r="K23" s="347">
        <f>'Water-Meter'!E24</f>
        <v>0</v>
      </c>
      <c r="L23" s="526">
        <f>'Lpg (2)'!G28</f>
        <v>0</v>
      </c>
      <c r="M23" s="80" t="e">
        <f>SUM(#REF!-#REF!)</f>
        <v>#REF!</v>
      </c>
    </row>
    <row r="24" spans="1:13">
      <c r="A24" s="54">
        <f>Gen!B30</f>
        <v>44094</v>
      </c>
      <c r="B24" s="374">
        <f>'Daily report Gen'!Z25</f>
        <v>0</v>
      </c>
      <c r="C24" s="88">
        <f>Gen!C30</f>
        <v>0</v>
      </c>
      <c r="D24" s="512">
        <f t="shared" si="0"/>
        <v>0</v>
      </c>
      <c r="E24" s="75"/>
      <c r="F24" s="71">
        <f>Gen!U28</f>
        <v>0</v>
      </c>
      <c r="G24" s="86">
        <f>Gen!T28</f>
        <v>0</v>
      </c>
      <c r="H24" s="86">
        <f>Gen!AK30</f>
        <v>0</v>
      </c>
      <c r="I24" s="86">
        <f t="shared" si="1"/>
        <v>0</v>
      </c>
      <c r="J24" s="525">
        <f>Gen!D30</f>
        <v>34794.94000000001</v>
      </c>
      <c r="K24" s="347">
        <f>'Water-Meter'!E25</f>
        <v>0</v>
      </c>
      <c r="L24" s="526">
        <f>'Lpg (2)'!G29</f>
        <v>0</v>
      </c>
      <c r="M24" s="80" t="e">
        <f>SUM(#REF!-#REF!)</f>
        <v>#REF!</v>
      </c>
    </row>
    <row r="25" spans="1:13">
      <c r="A25" s="54">
        <f>Gen!B31</f>
        <v>44095</v>
      </c>
      <c r="B25" s="374">
        <f>'Daily report Gen'!Z26</f>
        <v>0</v>
      </c>
      <c r="C25" s="88">
        <f>Gen!C31</f>
        <v>0</v>
      </c>
      <c r="D25" s="512">
        <f t="shared" si="0"/>
        <v>0</v>
      </c>
      <c r="E25" s="75"/>
      <c r="F25" s="71">
        <f>Gen!U29</f>
        <v>0</v>
      </c>
      <c r="G25" s="86">
        <f>Gen!T29</f>
        <v>0</v>
      </c>
      <c r="H25" s="86">
        <f>Gen!AK31</f>
        <v>0</v>
      </c>
      <c r="I25" s="86">
        <f t="shared" si="1"/>
        <v>0</v>
      </c>
      <c r="J25" s="525">
        <f>Gen!D31</f>
        <v>34794.94000000001</v>
      </c>
      <c r="K25" s="347">
        <f>'Water-Meter'!E26</f>
        <v>0</v>
      </c>
      <c r="L25" s="526">
        <f>'Lpg (2)'!G30</f>
        <v>0</v>
      </c>
      <c r="M25" s="80" t="e">
        <f>SUM(#REF!-#REF!)</f>
        <v>#REF!</v>
      </c>
    </row>
    <row r="26" spans="1:13">
      <c r="A26" s="54">
        <f>Gen!B32</f>
        <v>44096</v>
      </c>
      <c r="B26" s="374">
        <f>'Daily report Gen'!Z27</f>
        <v>0</v>
      </c>
      <c r="C26" s="88">
        <f>Gen!C32</f>
        <v>0</v>
      </c>
      <c r="D26" s="512">
        <f t="shared" si="0"/>
        <v>0</v>
      </c>
      <c r="E26" s="75"/>
      <c r="F26" s="71">
        <f>Gen!U30</f>
        <v>0</v>
      </c>
      <c r="G26" s="86">
        <f>Gen!T30</f>
        <v>0</v>
      </c>
      <c r="H26" s="86">
        <f>Gen!AK32</f>
        <v>0</v>
      </c>
      <c r="I26" s="86">
        <f t="shared" si="1"/>
        <v>0</v>
      </c>
      <c r="J26" s="525">
        <f>Gen!D32</f>
        <v>34794.94000000001</v>
      </c>
      <c r="K26" s="347">
        <f>'Water-Meter'!E27</f>
        <v>0</v>
      </c>
      <c r="L26" s="526">
        <f>'Lpg (2)'!G31</f>
        <v>0</v>
      </c>
      <c r="M26" s="80" t="e">
        <f>SUM(#REF!-#REF!)</f>
        <v>#REF!</v>
      </c>
    </row>
    <row r="27" spans="1:13">
      <c r="A27" s="54">
        <f>Gen!B33</f>
        <v>44097</v>
      </c>
      <c r="B27" s="374">
        <f>'Daily report Gen'!Z28</f>
        <v>0</v>
      </c>
      <c r="C27" s="88">
        <f>Gen!C33</f>
        <v>0</v>
      </c>
      <c r="D27" s="512">
        <f t="shared" si="0"/>
        <v>0</v>
      </c>
      <c r="E27" s="75"/>
      <c r="F27" s="71">
        <f>Gen!U31</f>
        <v>0</v>
      </c>
      <c r="G27" s="86">
        <f>Gen!T31</f>
        <v>0</v>
      </c>
      <c r="H27" s="86">
        <f>Gen!AK33</f>
        <v>0</v>
      </c>
      <c r="I27" s="86">
        <f t="shared" si="1"/>
        <v>0</v>
      </c>
      <c r="J27" s="525">
        <f>Gen!D33</f>
        <v>34794.94000000001</v>
      </c>
      <c r="K27" s="347">
        <f>'Water-Meter'!E28</f>
        <v>0</v>
      </c>
      <c r="L27" s="526">
        <f>'Lpg (2)'!G32</f>
        <v>0</v>
      </c>
      <c r="M27" s="80" t="e">
        <f>SUM(#REF!-#REF!)</f>
        <v>#REF!</v>
      </c>
    </row>
    <row r="28" spans="1:13">
      <c r="A28" s="54">
        <f>Gen!B34</f>
        <v>44098</v>
      </c>
      <c r="B28" s="374">
        <f>'Daily report Gen'!Z29</f>
        <v>0</v>
      </c>
      <c r="C28" s="88">
        <f>Gen!C34</f>
        <v>0</v>
      </c>
      <c r="D28" s="512">
        <f t="shared" si="0"/>
        <v>0</v>
      </c>
      <c r="E28" s="75"/>
      <c r="F28" s="71">
        <f>Gen!U32</f>
        <v>0</v>
      </c>
      <c r="G28" s="86">
        <f>Gen!T32</f>
        <v>0</v>
      </c>
      <c r="H28" s="86">
        <f>Gen!AK34</f>
        <v>0</v>
      </c>
      <c r="I28" s="86">
        <f t="shared" si="1"/>
        <v>0</v>
      </c>
      <c r="J28" s="525">
        <f>Gen!D34</f>
        <v>34794.94000000001</v>
      </c>
      <c r="K28" s="347">
        <f>'Water-Meter'!E29</f>
        <v>0</v>
      </c>
      <c r="L28" s="526">
        <f>'Lpg (2)'!G33</f>
        <v>0</v>
      </c>
      <c r="M28" s="80" t="e">
        <f>SUM(#REF!-#REF!)</f>
        <v>#REF!</v>
      </c>
    </row>
    <row r="29" spans="1:13">
      <c r="A29" s="54">
        <f>Gen!B35</f>
        <v>44099</v>
      </c>
      <c r="B29" s="374">
        <f>'Daily report Gen'!Z30</f>
        <v>0</v>
      </c>
      <c r="C29" s="88">
        <f>Gen!C35</f>
        <v>0</v>
      </c>
      <c r="D29" s="512">
        <f t="shared" si="0"/>
        <v>0</v>
      </c>
      <c r="E29" s="75"/>
      <c r="F29" s="71">
        <f>Gen!U33</f>
        <v>0</v>
      </c>
      <c r="G29" s="86">
        <f>Gen!T33</f>
        <v>0</v>
      </c>
      <c r="H29" s="86">
        <f>Gen!AK35</f>
        <v>0</v>
      </c>
      <c r="I29" s="86">
        <f t="shared" si="1"/>
        <v>0</v>
      </c>
      <c r="J29" s="525">
        <f>Gen!D35</f>
        <v>34794.94000000001</v>
      </c>
      <c r="K29" s="347">
        <f>'Water-Meter'!E30</f>
        <v>0</v>
      </c>
      <c r="L29" s="526">
        <f>'Lpg (2)'!G34</f>
        <v>0</v>
      </c>
      <c r="M29" s="80" t="e">
        <f>SUM(#REF!-#REF!)</f>
        <v>#REF!</v>
      </c>
    </row>
    <row r="30" spans="1:13">
      <c r="A30" s="54">
        <f>Gen!B36</f>
        <v>44100</v>
      </c>
      <c r="B30" s="374">
        <f>'Daily report Gen'!Z31</f>
        <v>0</v>
      </c>
      <c r="C30" s="88">
        <f>Gen!C36</f>
        <v>0</v>
      </c>
      <c r="D30" s="512">
        <f t="shared" si="0"/>
        <v>0</v>
      </c>
      <c r="E30" s="75"/>
      <c r="F30" s="71">
        <f>Gen!U34</f>
        <v>0</v>
      </c>
      <c r="G30" s="86">
        <f>Gen!T34</f>
        <v>0</v>
      </c>
      <c r="H30" s="86">
        <f>Gen!AK36</f>
        <v>0</v>
      </c>
      <c r="I30" s="86">
        <f t="shared" si="1"/>
        <v>0</v>
      </c>
      <c r="J30" s="525">
        <f>Gen!D36</f>
        <v>34794.94000000001</v>
      </c>
      <c r="K30" s="347">
        <f>'Water-Meter'!E31</f>
        <v>0</v>
      </c>
      <c r="L30" s="526">
        <f>'Lpg (2)'!G35</f>
        <v>0</v>
      </c>
      <c r="M30" s="80" t="e">
        <f>SUM(#REF!-#REF!)</f>
        <v>#REF!</v>
      </c>
    </row>
    <row r="31" spans="1:13">
      <c r="A31" s="54">
        <f>Gen!B37</f>
        <v>44101</v>
      </c>
      <c r="B31" s="374">
        <f>'Daily report Gen'!Z32</f>
        <v>0</v>
      </c>
      <c r="C31" s="88">
        <f>Gen!C37</f>
        <v>0</v>
      </c>
      <c r="D31" s="512">
        <f t="shared" si="0"/>
        <v>0</v>
      </c>
      <c r="E31" s="75"/>
      <c r="F31" s="71">
        <f>Gen!U35</f>
        <v>0</v>
      </c>
      <c r="G31" s="86">
        <f>Gen!T35</f>
        <v>0</v>
      </c>
      <c r="H31" s="86">
        <f>Gen!AK37</f>
        <v>0</v>
      </c>
      <c r="I31" s="86">
        <f t="shared" si="1"/>
        <v>0</v>
      </c>
      <c r="J31" s="525">
        <f>Gen!D37</f>
        <v>34794.94000000001</v>
      </c>
      <c r="K31" s="347">
        <f>'Water-Meter'!E32</f>
        <v>0</v>
      </c>
      <c r="L31" s="526">
        <f>'Lpg (2)'!G36</f>
        <v>0</v>
      </c>
      <c r="M31" s="80" t="e">
        <f>SUM(#REF!-#REF!)</f>
        <v>#REF!</v>
      </c>
    </row>
    <row r="32" spans="1:13">
      <c r="A32" s="54">
        <f>Gen!B38</f>
        <v>44102</v>
      </c>
      <c r="B32" s="374">
        <f>'Daily report Gen'!Z33</f>
        <v>0</v>
      </c>
      <c r="C32" s="88">
        <f>Gen!C38</f>
        <v>0</v>
      </c>
      <c r="D32" s="512">
        <f t="shared" si="0"/>
        <v>0</v>
      </c>
      <c r="E32" s="75"/>
      <c r="F32" s="71">
        <f>Gen!U36</f>
        <v>0</v>
      </c>
      <c r="G32" s="86">
        <f>Gen!T36</f>
        <v>0</v>
      </c>
      <c r="H32" s="86">
        <f>Gen!AK38</f>
        <v>0</v>
      </c>
      <c r="I32" s="86">
        <f t="shared" si="1"/>
        <v>0</v>
      </c>
      <c r="J32" s="525">
        <f>Gen!D38</f>
        <v>34794.94000000001</v>
      </c>
      <c r="K32" s="347">
        <f>'Water-Meter'!E33</f>
        <v>0</v>
      </c>
      <c r="L32" s="526">
        <f>'Lpg (2)'!G37</f>
        <v>0</v>
      </c>
      <c r="M32" s="80" t="e">
        <f>SUM(#REF!-#REF!)</f>
        <v>#REF!</v>
      </c>
    </row>
    <row r="33" spans="1:13">
      <c r="A33" s="54">
        <f>Gen!B39</f>
        <v>44103</v>
      </c>
      <c r="B33" s="374">
        <f>'Daily report Gen'!Z34</f>
        <v>0</v>
      </c>
      <c r="C33" s="88">
        <f>Gen!C39</f>
        <v>0</v>
      </c>
      <c r="D33" s="512">
        <f t="shared" si="0"/>
        <v>0</v>
      </c>
      <c r="E33" s="75"/>
      <c r="F33" s="71">
        <f>Gen!U37</f>
        <v>0</v>
      </c>
      <c r="G33" s="86">
        <f>Gen!T37</f>
        <v>0</v>
      </c>
      <c r="H33" s="86">
        <f>Gen!AK39</f>
        <v>0</v>
      </c>
      <c r="I33" s="86">
        <f t="shared" si="1"/>
        <v>0</v>
      </c>
      <c r="J33" s="525">
        <f>Gen!D39</f>
        <v>34794.94000000001</v>
      </c>
      <c r="K33" s="347">
        <f>'Water-Meter'!E34</f>
        <v>0</v>
      </c>
      <c r="L33" s="526">
        <f>'Lpg (2)'!G38</f>
        <v>0</v>
      </c>
      <c r="M33" s="80" t="e">
        <f>SUM(#REF!-#REF!)</f>
        <v>#REF!</v>
      </c>
    </row>
    <row r="34" spans="1:13">
      <c r="A34" s="54">
        <f>Gen!B40</f>
        <v>44104</v>
      </c>
      <c r="B34" s="374">
        <f>'Daily report Gen'!Z35</f>
        <v>0</v>
      </c>
      <c r="C34" s="88">
        <f>Gen!C40</f>
        <v>0</v>
      </c>
      <c r="D34" s="512">
        <f t="shared" si="0"/>
        <v>0</v>
      </c>
      <c r="E34" s="75"/>
      <c r="F34" s="71">
        <f>Gen!U38</f>
        <v>0</v>
      </c>
      <c r="G34" s="86">
        <f>Gen!T38</f>
        <v>0</v>
      </c>
      <c r="H34" s="86">
        <f>Gen!AK40</f>
        <v>0</v>
      </c>
      <c r="I34" s="86">
        <f t="shared" si="1"/>
        <v>0</v>
      </c>
      <c r="J34" s="525">
        <f>Gen!D40</f>
        <v>34794.94000000001</v>
      </c>
      <c r="K34" s="347">
        <f>'Water-Meter'!E35</f>
        <v>0</v>
      </c>
      <c r="L34" s="526">
        <f>'Lpg (2)'!G39</f>
        <v>0</v>
      </c>
      <c r="M34" s="80" t="e">
        <f>SUM(#REF!-#REF!)</f>
        <v>#REF!</v>
      </c>
    </row>
    <row r="35" spans="1:13">
      <c r="A35" s="54">
        <f>Gen!B41</f>
        <v>0</v>
      </c>
      <c r="B35" s="374">
        <f>'Daily report Gen'!Z36</f>
        <v>0</v>
      </c>
      <c r="C35" s="88">
        <f>Gen!C41</f>
        <v>0</v>
      </c>
      <c r="D35" s="512">
        <f t="shared" si="0"/>
        <v>0</v>
      </c>
      <c r="E35" s="75"/>
      <c r="F35" s="71">
        <f>Gen!U39</f>
        <v>0</v>
      </c>
      <c r="G35" s="86">
        <f>Gen!T39</f>
        <v>0</v>
      </c>
      <c r="H35" s="86">
        <f>Gen!AK41</f>
        <v>0</v>
      </c>
      <c r="I35" s="86">
        <f t="shared" si="1"/>
        <v>0</v>
      </c>
      <c r="J35" s="525">
        <f>Gen!D41</f>
        <v>34794.94000000001</v>
      </c>
      <c r="K35" s="347">
        <f>'Water-Meter'!E36</f>
        <v>0</v>
      </c>
      <c r="L35" s="526">
        <f>'Lpg (2)'!G40</f>
        <v>0</v>
      </c>
      <c r="M35" s="80" t="e">
        <f>SUM(#REF!-#REF!)</f>
        <v>#REF!</v>
      </c>
    </row>
    <row r="36" spans="1:13">
      <c r="A36" s="54">
        <f>Gen!B42</f>
        <v>0</v>
      </c>
      <c r="B36" s="374">
        <f>'Daily report Gen'!Z37</f>
        <v>0</v>
      </c>
      <c r="C36" s="88">
        <f>Gen!C42</f>
        <v>0</v>
      </c>
      <c r="D36" s="512">
        <f t="shared" si="0"/>
        <v>0</v>
      </c>
      <c r="E36" s="75"/>
      <c r="F36" s="71">
        <f>Gen!U40</f>
        <v>0</v>
      </c>
      <c r="G36" s="86">
        <f>Gen!T40</f>
        <v>0</v>
      </c>
      <c r="H36" s="86">
        <f>Gen!AK42</f>
        <v>0</v>
      </c>
      <c r="I36" s="86">
        <f t="shared" si="1"/>
        <v>0</v>
      </c>
      <c r="J36" s="525">
        <f>Gen!D42</f>
        <v>34794.94000000001</v>
      </c>
      <c r="K36" s="347">
        <f>'Water-Meter'!E37</f>
        <v>0</v>
      </c>
      <c r="L36" s="526">
        <f>'Lpg (2)'!G41</f>
        <v>0</v>
      </c>
    </row>
    <row r="38" spans="1:13">
      <c r="B38" s="84"/>
      <c r="D38" s="88"/>
    </row>
    <row r="39" spans="1:13">
      <c r="B39" s="84"/>
      <c r="C39" s="84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10" workbookViewId="0">
      <pane xSplit="1" topLeftCell="G1" activePane="topRight" state="frozen"/>
      <selection pane="topRight" activeCell="AB18" sqref="AB18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01">
        <f>A6</f>
        <v>44075</v>
      </c>
      <c r="B1" s="802"/>
      <c r="C1" s="802"/>
      <c r="D1" s="802"/>
      <c r="E1" s="802"/>
      <c r="F1" s="802"/>
      <c r="G1" s="802"/>
      <c r="H1" s="802"/>
      <c r="I1" s="802"/>
      <c r="J1" s="802"/>
      <c r="K1" s="802"/>
      <c r="L1" s="802"/>
      <c r="M1" s="802"/>
      <c r="N1" s="802"/>
      <c r="O1" s="802"/>
      <c r="P1" s="802"/>
      <c r="Q1" s="802"/>
      <c r="R1" s="802"/>
      <c r="S1" s="802"/>
      <c r="T1" s="802"/>
      <c r="U1" s="802"/>
      <c r="V1" s="802"/>
      <c r="W1" s="802"/>
      <c r="X1" s="802"/>
      <c r="Y1" s="802"/>
      <c r="Z1" s="802"/>
      <c r="AA1" s="802"/>
      <c r="AB1" s="802"/>
      <c r="AC1" s="20"/>
    </row>
    <row r="2" spans="1:29" ht="12" customHeight="1" thickBot="1">
      <c r="A2" s="802"/>
      <c r="B2" s="802"/>
      <c r="C2" s="802"/>
      <c r="D2" s="802"/>
      <c r="E2" s="802"/>
      <c r="F2" s="802"/>
      <c r="G2" s="802"/>
      <c r="H2" s="802"/>
      <c r="I2" s="802"/>
      <c r="J2" s="802"/>
      <c r="K2" s="802"/>
      <c r="L2" s="802"/>
      <c r="M2" s="802"/>
      <c r="N2" s="802"/>
      <c r="O2" s="802"/>
      <c r="P2" s="802"/>
      <c r="Q2" s="802"/>
      <c r="R2" s="802"/>
      <c r="S2" s="802"/>
      <c r="T2" s="802"/>
      <c r="U2" s="802"/>
      <c r="V2" s="802"/>
      <c r="W2" s="802"/>
      <c r="X2" s="802"/>
      <c r="Y2" s="802"/>
      <c r="Z2" s="802"/>
      <c r="AA2" s="802"/>
      <c r="AB2" s="802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803" t="s">
        <v>298</v>
      </c>
      <c r="L3" s="804"/>
      <c r="M3" s="805"/>
      <c r="N3" s="803" t="s">
        <v>299</v>
      </c>
      <c r="O3" s="804"/>
      <c r="P3" s="805"/>
      <c r="Q3" s="803" t="s">
        <v>300</v>
      </c>
      <c r="R3" s="804"/>
      <c r="S3" s="805"/>
      <c r="T3" s="803" t="s">
        <v>301</v>
      </c>
      <c r="U3" s="804"/>
      <c r="V3" s="805"/>
      <c r="W3" s="803" t="s">
        <v>302</v>
      </c>
      <c r="X3" s="804"/>
      <c r="Y3" s="805"/>
      <c r="Z3" s="358"/>
      <c r="AA3" s="20"/>
      <c r="AB3" s="20"/>
      <c r="AC3" s="20"/>
    </row>
    <row r="4" spans="1:29" ht="35.25" customHeight="1" thickBot="1">
      <c r="A4" s="309" t="s">
        <v>86</v>
      </c>
      <c r="B4" s="393" t="s">
        <v>87</v>
      </c>
      <c r="C4" s="393" t="s">
        <v>88</v>
      </c>
      <c r="D4" s="393" t="s">
        <v>89</v>
      </c>
      <c r="E4" s="393" t="s">
        <v>90</v>
      </c>
      <c r="F4" s="393" t="s">
        <v>242</v>
      </c>
      <c r="G4" s="394" t="s">
        <v>91</v>
      </c>
      <c r="H4" s="393" t="s">
        <v>92</v>
      </c>
      <c r="I4" s="394" t="s">
        <v>93</v>
      </c>
      <c r="J4" s="395" t="s">
        <v>94</v>
      </c>
      <c r="K4" s="396" t="s">
        <v>191</v>
      </c>
      <c r="L4" s="394" t="s">
        <v>192</v>
      </c>
      <c r="M4" s="394" t="s">
        <v>202</v>
      </c>
      <c r="N4" s="396" t="s">
        <v>191</v>
      </c>
      <c r="O4" s="394" t="s">
        <v>192</v>
      </c>
      <c r="P4" s="394" t="s">
        <v>202</v>
      </c>
      <c r="Q4" s="396" t="s">
        <v>191</v>
      </c>
      <c r="R4" s="394" t="s">
        <v>192</v>
      </c>
      <c r="S4" s="394" t="s">
        <v>202</v>
      </c>
      <c r="T4" s="396" t="s">
        <v>191</v>
      </c>
      <c r="U4" s="394" t="s">
        <v>192</v>
      </c>
      <c r="V4" s="394" t="s">
        <v>202</v>
      </c>
      <c r="W4" s="396" t="s">
        <v>191</v>
      </c>
      <c r="X4" s="394" t="s">
        <v>192</v>
      </c>
      <c r="Y4" s="395" t="s">
        <v>202</v>
      </c>
      <c r="Z4" s="397" t="s">
        <v>193</v>
      </c>
      <c r="AA4" s="393" t="s">
        <v>174</v>
      </c>
      <c r="AB4" s="398" t="s">
        <v>95</v>
      </c>
      <c r="AC4" s="399" t="s">
        <v>195</v>
      </c>
    </row>
    <row r="5" spans="1:29" ht="18.75" customHeight="1">
      <c r="A5" s="390"/>
      <c r="B5" s="392"/>
      <c r="C5" s="392"/>
      <c r="D5" s="360"/>
      <c r="E5" s="392"/>
      <c r="F5" s="392"/>
      <c r="G5" s="392"/>
      <c r="H5" s="392"/>
      <c r="I5" s="360"/>
      <c r="J5" s="360"/>
      <c r="K5" s="555"/>
      <c r="L5" s="360">
        <v>34999</v>
      </c>
      <c r="M5" s="555"/>
      <c r="N5" s="360"/>
      <c r="O5" s="360">
        <v>30116</v>
      </c>
      <c r="P5" s="391"/>
      <c r="Q5" s="360"/>
      <c r="R5" s="360">
        <v>35490</v>
      </c>
      <c r="S5" s="391"/>
      <c r="T5" s="360"/>
      <c r="U5" s="360">
        <v>32209</v>
      </c>
      <c r="V5" s="391"/>
      <c r="W5" s="360"/>
      <c r="X5" s="360">
        <v>20830</v>
      </c>
      <c r="Y5" s="391"/>
      <c r="Z5" s="391"/>
      <c r="AA5" s="127">
        <v>150</v>
      </c>
      <c r="AB5" s="127">
        <v>74</v>
      </c>
      <c r="AC5" s="391"/>
    </row>
    <row r="6" spans="1:29" ht="20.100000000000001" customHeight="1">
      <c r="A6" s="308">
        <f>Gen!B11</f>
        <v>44075</v>
      </c>
      <c r="B6" s="392">
        <v>3.9E-2</v>
      </c>
      <c r="C6" s="360">
        <v>22190.42</v>
      </c>
      <c r="D6" s="360">
        <v>21400.2</v>
      </c>
      <c r="E6" s="360"/>
      <c r="F6" s="360"/>
      <c r="G6" s="360">
        <v>69.209999999999994</v>
      </c>
      <c r="H6" s="360"/>
      <c r="I6" s="360">
        <v>30924.400000000001</v>
      </c>
      <c r="J6" s="360">
        <v>20515.400000000001</v>
      </c>
      <c r="K6" s="359">
        <f>L5</f>
        <v>34999</v>
      </c>
      <c r="L6" s="360">
        <v>35011</v>
      </c>
      <c r="M6" s="359">
        <f>L6-K6</f>
        <v>12</v>
      </c>
      <c r="N6" s="361">
        <f>O5</f>
        <v>30116</v>
      </c>
      <c r="O6" s="360">
        <v>30116</v>
      </c>
      <c r="P6" s="359">
        <f>O6-N6</f>
        <v>0</v>
      </c>
      <c r="Q6" s="359">
        <f>R5</f>
        <v>35490</v>
      </c>
      <c r="R6" s="360">
        <v>35491</v>
      </c>
      <c r="S6" s="359">
        <f>R6-Q6</f>
        <v>1</v>
      </c>
      <c r="T6" s="359">
        <f>U5</f>
        <v>32209</v>
      </c>
      <c r="U6" s="360">
        <v>32220</v>
      </c>
      <c r="V6" s="359">
        <f>U6-T6</f>
        <v>11</v>
      </c>
      <c r="W6" s="361">
        <f>X5</f>
        <v>20830</v>
      </c>
      <c r="X6" s="360">
        <v>20831</v>
      </c>
      <c r="Y6" s="359">
        <f>X6-W6</f>
        <v>1</v>
      </c>
      <c r="Z6" s="362">
        <f>Y6+V6+S6+P6+M6</f>
        <v>25</v>
      </c>
      <c r="AA6" s="127">
        <v>160</v>
      </c>
      <c r="AB6" s="127">
        <v>100</v>
      </c>
      <c r="AC6" s="312">
        <f>Gen!T11</f>
        <v>891.43</v>
      </c>
    </row>
    <row r="7" spans="1:29" ht="20.100000000000001" customHeight="1">
      <c r="A7" s="308">
        <f>Gen!B12</f>
        <v>44076</v>
      </c>
      <c r="B7" s="392">
        <v>3.9E-2</v>
      </c>
      <c r="C7" s="360">
        <v>21229.78</v>
      </c>
      <c r="D7" s="360">
        <v>21400.2</v>
      </c>
      <c r="E7" s="360"/>
      <c r="F7" s="360"/>
      <c r="G7" s="360">
        <v>80.650000000000006</v>
      </c>
      <c r="H7" s="360"/>
      <c r="I7" s="360">
        <v>30927.7</v>
      </c>
      <c r="J7" s="360">
        <v>20518.099999999999</v>
      </c>
      <c r="K7" s="359">
        <f t="shared" ref="K7:K37" si="0">L6</f>
        <v>35011</v>
      </c>
      <c r="L7" s="360">
        <v>35012</v>
      </c>
      <c r="M7" s="359">
        <f t="shared" ref="M7:M37" si="1">L7-K7</f>
        <v>1</v>
      </c>
      <c r="N7" s="361">
        <f t="shared" ref="N7:N37" si="2">O6</f>
        <v>30116</v>
      </c>
      <c r="O7" s="360">
        <v>30127</v>
      </c>
      <c r="P7" s="359">
        <f t="shared" ref="P7:P37" si="3">O7-N7</f>
        <v>11</v>
      </c>
      <c r="Q7" s="359">
        <f t="shared" ref="Q7:Q37" si="4">R6</f>
        <v>35491</v>
      </c>
      <c r="R7" s="360">
        <v>35503</v>
      </c>
      <c r="S7" s="359">
        <f t="shared" ref="S7:S37" si="5">R7-Q7</f>
        <v>12</v>
      </c>
      <c r="T7" s="359">
        <f t="shared" ref="T7:T37" si="6">U6</f>
        <v>32220</v>
      </c>
      <c r="U7" s="360">
        <v>32220</v>
      </c>
      <c r="V7" s="359">
        <f t="shared" ref="V7:V37" si="7">U7-T7</f>
        <v>0</v>
      </c>
      <c r="W7" s="361">
        <f t="shared" ref="W7:W37" si="8">X6</f>
        <v>20831</v>
      </c>
      <c r="X7" s="360">
        <v>20831</v>
      </c>
      <c r="Y7" s="359">
        <f t="shared" ref="Y7:Y37" si="9">X7-W7</f>
        <v>0</v>
      </c>
      <c r="Z7" s="362">
        <f t="shared" ref="Z7:Z25" si="10">Y7+V7+S7+P7+M7</f>
        <v>24</v>
      </c>
      <c r="AA7" s="127">
        <v>200</v>
      </c>
      <c r="AB7" s="127">
        <v>98</v>
      </c>
      <c r="AC7" s="312">
        <f>Gen!T12</f>
        <v>821.92000000000007</v>
      </c>
    </row>
    <row r="8" spans="1:29" ht="20.100000000000001" customHeight="1">
      <c r="A8" s="308">
        <f>Gen!B13</f>
        <v>44077</v>
      </c>
      <c r="B8" s="392">
        <v>3.9E-2</v>
      </c>
      <c r="C8" s="360">
        <v>20407.86</v>
      </c>
      <c r="D8" s="360">
        <v>21400.2</v>
      </c>
      <c r="E8" s="360"/>
      <c r="F8" s="360"/>
      <c r="G8" s="360">
        <v>10.02</v>
      </c>
      <c r="H8" s="360"/>
      <c r="I8" s="360">
        <v>30931.1</v>
      </c>
      <c r="J8" s="360">
        <v>20520.900000000001</v>
      </c>
      <c r="K8" s="359">
        <f t="shared" si="0"/>
        <v>35012</v>
      </c>
      <c r="L8" s="360">
        <v>35024</v>
      </c>
      <c r="M8" s="359">
        <f t="shared" si="1"/>
        <v>12</v>
      </c>
      <c r="N8" s="361">
        <f t="shared" si="2"/>
        <v>30127</v>
      </c>
      <c r="O8" s="360">
        <v>30127</v>
      </c>
      <c r="P8" s="359">
        <f t="shared" si="3"/>
        <v>0</v>
      </c>
      <c r="Q8" s="359">
        <f t="shared" si="4"/>
        <v>35503</v>
      </c>
      <c r="R8" s="360">
        <v>35504</v>
      </c>
      <c r="S8" s="359">
        <f t="shared" si="5"/>
        <v>1</v>
      </c>
      <c r="T8" s="359">
        <f t="shared" si="6"/>
        <v>32220</v>
      </c>
      <c r="U8" s="360">
        <v>32220</v>
      </c>
      <c r="V8" s="359">
        <f t="shared" si="7"/>
        <v>0</v>
      </c>
      <c r="W8" s="361">
        <f t="shared" si="8"/>
        <v>20831</v>
      </c>
      <c r="X8" s="360">
        <v>20842</v>
      </c>
      <c r="Y8" s="359">
        <f t="shared" si="9"/>
        <v>11</v>
      </c>
      <c r="Z8" s="362">
        <f t="shared" si="10"/>
        <v>24</v>
      </c>
      <c r="AA8" s="127">
        <v>220</v>
      </c>
      <c r="AB8" s="127">
        <v>120</v>
      </c>
      <c r="AC8" s="312">
        <f>Gen!T13</f>
        <v>1090.28</v>
      </c>
    </row>
    <row r="9" spans="1:29" ht="20.100000000000001" customHeight="1">
      <c r="A9" s="308">
        <f>Gen!B14</f>
        <v>44078</v>
      </c>
      <c r="B9" s="392">
        <v>9.0899999999999995E-2</v>
      </c>
      <c r="C9" s="360">
        <v>19227.93</v>
      </c>
      <c r="D9" s="360">
        <v>21400.2</v>
      </c>
      <c r="E9" s="360"/>
      <c r="F9" s="360"/>
      <c r="G9" s="360"/>
      <c r="H9" s="360"/>
      <c r="I9" s="360">
        <v>30934.2</v>
      </c>
      <c r="J9" s="360">
        <v>20523.900000000001</v>
      </c>
      <c r="K9" s="359">
        <f t="shared" si="0"/>
        <v>35024</v>
      </c>
      <c r="L9" s="360">
        <v>35024</v>
      </c>
      <c r="M9" s="359">
        <f t="shared" si="1"/>
        <v>0</v>
      </c>
      <c r="N9" s="361">
        <f t="shared" si="2"/>
        <v>30127</v>
      </c>
      <c r="O9" s="360">
        <v>30127</v>
      </c>
      <c r="P9" s="359">
        <f t="shared" si="3"/>
        <v>0</v>
      </c>
      <c r="Q9" s="359">
        <f t="shared" si="4"/>
        <v>35504</v>
      </c>
      <c r="R9" s="360">
        <v>35504</v>
      </c>
      <c r="S9" s="359">
        <f t="shared" si="5"/>
        <v>0</v>
      </c>
      <c r="T9" s="359">
        <f t="shared" si="6"/>
        <v>32220</v>
      </c>
      <c r="U9" s="360">
        <v>32233</v>
      </c>
      <c r="V9" s="359">
        <f t="shared" si="7"/>
        <v>13</v>
      </c>
      <c r="W9" s="361">
        <f t="shared" si="8"/>
        <v>20842</v>
      </c>
      <c r="X9" s="360">
        <v>20854</v>
      </c>
      <c r="Y9" s="359">
        <f t="shared" si="9"/>
        <v>12</v>
      </c>
      <c r="Z9" s="362">
        <f t="shared" si="10"/>
        <v>25</v>
      </c>
      <c r="AA9" s="127">
        <v>180</v>
      </c>
      <c r="AB9" s="127">
        <v>100</v>
      </c>
      <c r="AC9" s="312">
        <f>Gen!T14</f>
        <v>868.39</v>
      </c>
    </row>
    <row r="10" spans="1:29" ht="20.100000000000001" customHeight="1">
      <c r="A10" s="308">
        <f>Gen!B15</f>
        <v>44079</v>
      </c>
      <c r="B10" s="392">
        <v>9.0899999999999995E-2</v>
      </c>
      <c r="C10" s="360">
        <v>18358.52</v>
      </c>
      <c r="D10" s="360">
        <v>21400.2</v>
      </c>
      <c r="E10" s="360"/>
      <c r="F10" s="360"/>
      <c r="G10" s="360">
        <v>27.01</v>
      </c>
      <c r="H10" s="360"/>
      <c r="I10" s="360">
        <v>30937.7</v>
      </c>
      <c r="J10" s="360">
        <v>20527.2</v>
      </c>
      <c r="K10" s="359">
        <f t="shared" si="0"/>
        <v>35024</v>
      </c>
      <c r="L10" s="360">
        <v>35036</v>
      </c>
      <c r="M10" s="359">
        <f t="shared" si="1"/>
        <v>12</v>
      </c>
      <c r="N10" s="361">
        <f t="shared" si="2"/>
        <v>30127</v>
      </c>
      <c r="O10" s="360">
        <v>30139</v>
      </c>
      <c r="P10" s="359">
        <f t="shared" si="3"/>
        <v>12</v>
      </c>
      <c r="Q10" s="359">
        <f t="shared" si="4"/>
        <v>35504</v>
      </c>
      <c r="R10" s="360">
        <v>35504</v>
      </c>
      <c r="S10" s="359">
        <f t="shared" si="5"/>
        <v>0</v>
      </c>
      <c r="T10" s="359">
        <f t="shared" si="6"/>
        <v>32233</v>
      </c>
      <c r="U10" s="360">
        <v>32233</v>
      </c>
      <c r="V10" s="359">
        <f t="shared" si="7"/>
        <v>0</v>
      </c>
      <c r="W10" s="361">
        <f t="shared" si="8"/>
        <v>20854</v>
      </c>
      <c r="X10" s="360">
        <v>20854</v>
      </c>
      <c r="Y10" s="359">
        <f t="shared" si="9"/>
        <v>0</v>
      </c>
      <c r="Z10" s="362">
        <f t="shared" si="10"/>
        <v>24</v>
      </c>
      <c r="AA10" s="127">
        <v>130</v>
      </c>
      <c r="AB10" s="127">
        <v>75</v>
      </c>
      <c r="AC10" s="312">
        <f>Gen!T15</f>
        <v>841.98</v>
      </c>
    </row>
    <row r="11" spans="1:29" ht="20.100000000000001" customHeight="1">
      <c r="A11" s="308">
        <f>Gen!B16</f>
        <v>44080</v>
      </c>
      <c r="B11" s="392">
        <v>9.0899999999999995E-2</v>
      </c>
      <c r="C11" s="360">
        <v>17489.53</v>
      </c>
      <c r="D11" s="360">
        <v>21400.2</v>
      </c>
      <c r="E11" s="360"/>
      <c r="F11" s="360"/>
      <c r="G11" s="360"/>
      <c r="H11" s="360"/>
      <c r="I11" s="360">
        <v>30944.1</v>
      </c>
      <c r="J11" s="360">
        <v>20533.099999999999</v>
      </c>
      <c r="K11" s="359">
        <f t="shared" si="0"/>
        <v>35036</v>
      </c>
      <c r="L11" s="360">
        <v>35036</v>
      </c>
      <c r="M11" s="359">
        <f t="shared" si="1"/>
        <v>0</v>
      </c>
      <c r="N11" s="361">
        <f t="shared" si="2"/>
        <v>30139</v>
      </c>
      <c r="O11" s="360">
        <v>30139</v>
      </c>
      <c r="P11" s="359">
        <f t="shared" si="3"/>
        <v>0</v>
      </c>
      <c r="Q11" s="359">
        <f t="shared" si="4"/>
        <v>35504</v>
      </c>
      <c r="R11" s="360">
        <v>35515</v>
      </c>
      <c r="S11" s="359">
        <f t="shared" si="5"/>
        <v>11</v>
      </c>
      <c r="T11" s="359">
        <f t="shared" si="6"/>
        <v>32233</v>
      </c>
      <c r="U11" s="360">
        <v>32245</v>
      </c>
      <c r="V11" s="359">
        <f t="shared" si="7"/>
        <v>12</v>
      </c>
      <c r="W11" s="361">
        <f t="shared" si="8"/>
        <v>20854</v>
      </c>
      <c r="X11" s="360">
        <v>20854</v>
      </c>
      <c r="Y11" s="359">
        <f t="shared" si="9"/>
        <v>0</v>
      </c>
      <c r="Z11" s="362">
        <f t="shared" si="10"/>
        <v>23</v>
      </c>
      <c r="AA11" s="127">
        <v>180</v>
      </c>
      <c r="AB11" s="127">
        <v>99</v>
      </c>
      <c r="AC11" s="312">
        <f>Gen!T16</f>
        <v>938.54</v>
      </c>
    </row>
    <row r="12" spans="1:29" ht="20.100000000000001" customHeight="1">
      <c r="A12" s="308">
        <f>Gen!B17</f>
        <v>44081</v>
      </c>
      <c r="B12" s="392">
        <v>2.5999999999999999E-2</v>
      </c>
      <c r="C12" s="360">
        <v>16550.990000000002</v>
      </c>
      <c r="D12" s="360">
        <v>21400.2</v>
      </c>
      <c r="E12" s="360"/>
      <c r="F12" s="360"/>
      <c r="G12" s="360">
        <v>258.14</v>
      </c>
      <c r="H12" s="360"/>
      <c r="I12" s="360">
        <v>30947.1</v>
      </c>
      <c r="J12" s="360">
        <v>20536.099999999999</v>
      </c>
      <c r="K12" s="359">
        <f t="shared" si="0"/>
        <v>35036</v>
      </c>
      <c r="L12" s="360">
        <v>35049</v>
      </c>
      <c r="M12" s="359">
        <f t="shared" si="1"/>
        <v>13</v>
      </c>
      <c r="N12" s="361">
        <f t="shared" si="2"/>
        <v>30139</v>
      </c>
      <c r="O12" s="360">
        <v>30140</v>
      </c>
      <c r="P12" s="359">
        <f t="shared" si="3"/>
        <v>1</v>
      </c>
      <c r="Q12" s="359">
        <f t="shared" si="4"/>
        <v>35515</v>
      </c>
      <c r="R12" s="360">
        <v>35515</v>
      </c>
      <c r="S12" s="359">
        <f t="shared" si="5"/>
        <v>0</v>
      </c>
      <c r="T12" s="359">
        <f t="shared" si="6"/>
        <v>32245</v>
      </c>
      <c r="U12" s="360">
        <v>32246</v>
      </c>
      <c r="V12" s="359">
        <f t="shared" si="7"/>
        <v>1</v>
      </c>
      <c r="W12" s="361">
        <f t="shared" si="8"/>
        <v>20854</v>
      </c>
      <c r="X12" s="360">
        <v>20866</v>
      </c>
      <c r="Y12" s="359">
        <f t="shared" si="9"/>
        <v>12</v>
      </c>
      <c r="Z12" s="362">
        <f t="shared" si="10"/>
        <v>27</v>
      </c>
      <c r="AA12" s="127">
        <v>200</v>
      </c>
      <c r="AB12" s="127">
        <v>110</v>
      </c>
      <c r="AC12" s="312">
        <f>Gen!T17</f>
        <v>910.27</v>
      </c>
    </row>
    <row r="13" spans="1:29" ht="20.100000000000001" customHeight="1">
      <c r="A13" s="308">
        <f>Gen!B18</f>
        <v>44082</v>
      </c>
      <c r="B13" s="392">
        <v>3.9E-2</v>
      </c>
      <c r="C13" s="360">
        <v>15382.58</v>
      </c>
      <c r="D13" s="360">
        <v>21400.2</v>
      </c>
      <c r="E13" s="360"/>
      <c r="F13" s="360"/>
      <c r="G13" s="360">
        <v>123.3</v>
      </c>
      <c r="H13" s="360"/>
      <c r="I13" s="360">
        <v>30950.3</v>
      </c>
      <c r="J13" s="360">
        <v>20539.099999999999</v>
      </c>
      <c r="K13" s="359">
        <f t="shared" si="0"/>
        <v>35049</v>
      </c>
      <c r="L13" s="360">
        <v>35049</v>
      </c>
      <c r="M13" s="359">
        <f t="shared" si="1"/>
        <v>0</v>
      </c>
      <c r="N13" s="361">
        <f t="shared" si="2"/>
        <v>30140</v>
      </c>
      <c r="O13" s="360">
        <v>30152</v>
      </c>
      <c r="P13" s="359">
        <f t="shared" si="3"/>
        <v>12</v>
      </c>
      <c r="Q13" s="359">
        <f t="shared" si="4"/>
        <v>35515</v>
      </c>
      <c r="R13" s="360">
        <v>35528</v>
      </c>
      <c r="S13" s="359">
        <f t="shared" si="5"/>
        <v>13</v>
      </c>
      <c r="T13" s="359">
        <f t="shared" si="6"/>
        <v>32246</v>
      </c>
      <c r="U13" s="360">
        <v>32246</v>
      </c>
      <c r="V13" s="359">
        <f t="shared" si="7"/>
        <v>0</v>
      </c>
      <c r="W13" s="361">
        <f t="shared" si="8"/>
        <v>20866</v>
      </c>
      <c r="X13" s="360">
        <v>20866</v>
      </c>
      <c r="Y13" s="359">
        <f t="shared" si="9"/>
        <v>0</v>
      </c>
      <c r="Z13" s="362">
        <f t="shared" si="10"/>
        <v>25</v>
      </c>
      <c r="AA13" s="127">
        <v>200</v>
      </c>
      <c r="AB13" s="127">
        <v>100</v>
      </c>
      <c r="AC13" s="312">
        <f>Gen!T18</f>
        <v>948.21</v>
      </c>
    </row>
    <row r="14" spans="1:29" ht="20.100000000000001" customHeight="1">
      <c r="A14" s="308">
        <f>Gen!B19</f>
        <v>44083</v>
      </c>
      <c r="B14" s="392">
        <v>6.5000000000000002E-2</v>
      </c>
      <c r="C14" s="360">
        <v>14311.07</v>
      </c>
      <c r="D14" s="360">
        <v>21400.2</v>
      </c>
      <c r="E14" s="360"/>
      <c r="F14" s="360"/>
      <c r="G14" s="360"/>
      <c r="H14" s="360"/>
      <c r="I14" s="360">
        <v>30953.4</v>
      </c>
      <c r="J14" s="360">
        <v>20541.7</v>
      </c>
      <c r="K14" s="359">
        <f t="shared" si="0"/>
        <v>35049</v>
      </c>
      <c r="L14" s="360">
        <v>35049</v>
      </c>
      <c r="M14" s="359">
        <f t="shared" si="1"/>
        <v>0</v>
      </c>
      <c r="N14" s="361">
        <f t="shared" si="2"/>
        <v>30152</v>
      </c>
      <c r="O14" s="360">
        <v>30152</v>
      </c>
      <c r="P14" s="359">
        <f t="shared" si="3"/>
        <v>0</v>
      </c>
      <c r="Q14" s="359">
        <f t="shared" si="4"/>
        <v>35528</v>
      </c>
      <c r="R14" s="360">
        <v>35528</v>
      </c>
      <c r="S14" s="359">
        <f t="shared" si="5"/>
        <v>0</v>
      </c>
      <c r="T14" s="359">
        <f t="shared" si="6"/>
        <v>32246</v>
      </c>
      <c r="U14" s="360">
        <v>32257</v>
      </c>
      <c r="V14" s="359">
        <f t="shared" si="7"/>
        <v>11</v>
      </c>
      <c r="W14" s="361">
        <f t="shared" si="8"/>
        <v>20866</v>
      </c>
      <c r="X14" s="360">
        <v>20878</v>
      </c>
      <c r="Y14" s="359">
        <f t="shared" si="9"/>
        <v>12</v>
      </c>
      <c r="Z14" s="362">
        <f t="shared" si="10"/>
        <v>23</v>
      </c>
      <c r="AA14" s="127">
        <v>180</v>
      </c>
      <c r="AB14" s="127">
        <v>90</v>
      </c>
      <c r="AC14" s="312">
        <f>Gen!T19</f>
        <v>916.32999999999993</v>
      </c>
    </row>
    <row r="15" spans="1:29" ht="20.100000000000001" customHeight="1">
      <c r="A15" s="308">
        <f>Gen!B20</f>
        <v>44084</v>
      </c>
      <c r="B15" s="392"/>
      <c r="C15" s="360">
        <v>13394.74</v>
      </c>
      <c r="D15" s="360">
        <v>21400.2</v>
      </c>
      <c r="E15" s="360"/>
      <c r="F15" s="360"/>
      <c r="G15" s="360"/>
      <c r="H15" s="360"/>
      <c r="I15" s="360"/>
      <c r="J15" s="360"/>
      <c r="K15" s="359">
        <f t="shared" si="0"/>
        <v>35049</v>
      </c>
      <c r="L15" s="360"/>
      <c r="M15" s="359">
        <f t="shared" si="1"/>
        <v>-35049</v>
      </c>
      <c r="N15" s="361">
        <f t="shared" si="2"/>
        <v>30152</v>
      </c>
      <c r="O15" s="360"/>
      <c r="P15" s="359">
        <f t="shared" si="3"/>
        <v>-30152</v>
      </c>
      <c r="Q15" s="359">
        <f t="shared" si="4"/>
        <v>35528</v>
      </c>
      <c r="R15" s="360"/>
      <c r="S15" s="359">
        <f t="shared" si="5"/>
        <v>-35528</v>
      </c>
      <c r="T15" s="359">
        <f t="shared" si="6"/>
        <v>32257</v>
      </c>
      <c r="U15" s="360"/>
      <c r="V15" s="359">
        <f t="shared" si="7"/>
        <v>-32257</v>
      </c>
      <c r="W15" s="361">
        <f t="shared" si="8"/>
        <v>20878</v>
      </c>
      <c r="X15" s="360"/>
      <c r="Y15" s="359">
        <f t="shared" si="9"/>
        <v>-20878</v>
      </c>
      <c r="Z15" s="362">
        <f t="shared" si="10"/>
        <v>-153864</v>
      </c>
      <c r="AA15" s="127"/>
      <c r="AB15" s="127"/>
      <c r="AC15" s="312">
        <f>Gen!T20</f>
        <v>0</v>
      </c>
    </row>
    <row r="16" spans="1:29" ht="20.100000000000001" customHeight="1">
      <c r="A16" s="308">
        <f>Gen!B21</f>
        <v>44085</v>
      </c>
      <c r="B16" s="392"/>
      <c r="C16" s="360"/>
      <c r="D16" s="360"/>
      <c r="E16" s="360"/>
      <c r="F16" s="360"/>
      <c r="G16" s="360"/>
      <c r="H16" s="360"/>
      <c r="I16" s="360"/>
      <c r="J16" s="360"/>
      <c r="K16" s="359">
        <f t="shared" si="0"/>
        <v>0</v>
      </c>
      <c r="L16" s="360"/>
      <c r="M16" s="359">
        <f>L16-K16</f>
        <v>0</v>
      </c>
      <c r="N16" s="361">
        <f t="shared" si="2"/>
        <v>0</v>
      </c>
      <c r="O16" s="360"/>
      <c r="P16" s="359">
        <f t="shared" si="3"/>
        <v>0</v>
      </c>
      <c r="Q16" s="359">
        <f t="shared" si="4"/>
        <v>0</v>
      </c>
      <c r="R16" s="360"/>
      <c r="S16" s="359">
        <f t="shared" si="5"/>
        <v>0</v>
      </c>
      <c r="T16" s="359">
        <f t="shared" si="6"/>
        <v>0</v>
      </c>
      <c r="U16" s="360"/>
      <c r="V16" s="359">
        <f t="shared" si="7"/>
        <v>0</v>
      </c>
      <c r="W16" s="361">
        <f t="shared" si="8"/>
        <v>0</v>
      </c>
      <c r="X16" s="360"/>
      <c r="Y16" s="359">
        <f t="shared" si="9"/>
        <v>0</v>
      </c>
      <c r="Z16" s="362">
        <f t="shared" si="10"/>
        <v>0</v>
      </c>
      <c r="AA16" s="127"/>
      <c r="AB16" s="127"/>
      <c r="AC16" s="312">
        <f>Gen!T21</f>
        <v>0</v>
      </c>
    </row>
    <row r="17" spans="1:29" ht="20.100000000000001" customHeight="1">
      <c r="A17" s="308">
        <f>Gen!B22</f>
        <v>44086</v>
      </c>
      <c r="B17" s="392"/>
      <c r="C17" s="360"/>
      <c r="D17" s="360"/>
      <c r="E17" s="585"/>
      <c r="F17" s="360"/>
      <c r="G17" s="360"/>
      <c r="H17" s="360"/>
      <c r="I17" s="360"/>
      <c r="J17" s="360"/>
      <c r="K17" s="359">
        <f>L16</f>
        <v>0</v>
      </c>
      <c r="L17" s="360"/>
      <c r="M17" s="359">
        <f>L17-K17</f>
        <v>0</v>
      </c>
      <c r="N17" s="361">
        <f t="shared" si="2"/>
        <v>0</v>
      </c>
      <c r="O17" s="360"/>
      <c r="P17" s="359">
        <f t="shared" si="3"/>
        <v>0</v>
      </c>
      <c r="Q17" s="359">
        <f t="shared" si="4"/>
        <v>0</v>
      </c>
      <c r="R17" s="360"/>
      <c r="S17" s="359">
        <f t="shared" si="5"/>
        <v>0</v>
      </c>
      <c r="T17" s="359">
        <f t="shared" si="6"/>
        <v>0</v>
      </c>
      <c r="U17" s="360"/>
      <c r="V17" s="359">
        <f t="shared" si="7"/>
        <v>0</v>
      </c>
      <c r="W17" s="361">
        <f t="shared" si="8"/>
        <v>0</v>
      </c>
      <c r="X17" s="360"/>
      <c r="Y17" s="359">
        <f t="shared" si="9"/>
        <v>0</v>
      </c>
      <c r="Z17" s="362">
        <f t="shared" si="10"/>
        <v>0</v>
      </c>
      <c r="AA17" s="127"/>
      <c r="AB17" s="127"/>
      <c r="AC17" s="312">
        <f>Gen!T22</f>
        <v>0</v>
      </c>
    </row>
    <row r="18" spans="1:29" ht="20.100000000000001" customHeight="1">
      <c r="A18" s="308">
        <f>Gen!B23</f>
        <v>44087</v>
      </c>
      <c r="B18" s="392"/>
      <c r="C18" s="360"/>
      <c r="D18" s="360"/>
      <c r="E18" s="360"/>
      <c r="F18" s="360"/>
      <c r="G18" s="360"/>
      <c r="H18" s="360"/>
      <c r="I18" s="360"/>
      <c r="J18" s="360"/>
      <c r="K18" s="359">
        <f>L17</f>
        <v>0</v>
      </c>
      <c r="L18" s="360"/>
      <c r="M18" s="359">
        <f t="shared" si="1"/>
        <v>0</v>
      </c>
      <c r="N18" s="361">
        <f t="shared" si="2"/>
        <v>0</v>
      </c>
      <c r="O18" s="360"/>
      <c r="P18" s="359">
        <f t="shared" si="3"/>
        <v>0</v>
      </c>
      <c r="Q18" s="359">
        <f t="shared" si="4"/>
        <v>0</v>
      </c>
      <c r="R18" s="360"/>
      <c r="S18" s="359">
        <f t="shared" si="5"/>
        <v>0</v>
      </c>
      <c r="T18" s="359">
        <f t="shared" si="6"/>
        <v>0</v>
      </c>
      <c r="U18" s="360"/>
      <c r="V18" s="359">
        <f t="shared" si="7"/>
        <v>0</v>
      </c>
      <c r="W18" s="361">
        <f t="shared" si="8"/>
        <v>0</v>
      </c>
      <c r="X18" s="360"/>
      <c r="Y18" s="359">
        <f t="shared" si="9"/>
        <v>0</v>
      </c>
      <c r="Z18" s="362">
        <f t="shared" si="10"/>
        <v>0</v>
      </c>
      <c r="AA18" s="127"/>
      <c r="AB18" s="127"/>
      <c r="AC18" s="312">
        <f>Gen!T23</f>
        <v>0</v>
      </c>
    </row>
    <row r="19" spans="1:29" ht="20.100000000000001" customHeight="1">
      <c r="A19" s="308">
        <f>Gen!B24</f>
        <v>44088</v>
      </c>
      <c r="B19" s="392"/>
      <c r="C19" s="360"/>
      <c r="D19" s="360"/>
      <c r="E19" s="360"/>
      <c r="F19" s="360"/>
      <c r="G19" s="360"/>
      <c r="H19" s="360"/>
      <c r="I19" s="360"/>
      <c r="J19" s="360"/>
      <c r="K19" s="359">
        <f t="shared" si="0"/>
        <v>0</v>
      </c>
      <c r="L19" s="360"/>
      <c r="M19" s="359">
        <f t="shared" si="1"/>
        <v>0</v>
      </c>
      <c r="N19" s="361">
        <f t="shared" si="2"/>
        <v>0</v>
      </c>
      <c r="O19" s="360"/>
      <c r="P19" s="359">
        <f t="shared" si="3"/>
        <v>0</v>
      </c>
      <c r="Q19" s="359">
        <f t="shared" si="4"/>
        <v>0</v>
      </c>
      <c r="R19" s="360"/>
      <c r="S19" s="359">
        <f t="shared" si="5"/>
        <v>0</v>
      </c>
      <c r="T19" s="359">
        <f t="shared" si="6"/>
        <v>0</v>
      </c>
      <c r="U19" s="360"/>
      <c r="V19" s="359">
        <f t="shared" si="7"/>
        <v>0</v>
      </c>
      <c r="W19" s="361">
        <f t="shared" si="8"/>
        <v>0</v>
      </c>
      <c r="X19" s="360"/>
      <c r="Y19" s="359">
        <f t="shared" si="9"/>
        <v>0</v>
      </c>
      <c r="Z19" s="362">
        <f t="shared" si="10"/>
        <v>0</v>
      </c>
      <c r="AA19" s="127"/>
      <c r="AB19" s="127"/>
      <c r="AC19" s="312">
        <f>Gen!T24</f>
        <v>0</v>
      </c>
    </row>
    <row r="20" spans="1:29" ht="20.100000000000001" customHeight="1">
      <c r="A20" s="308">
        <f>Gen!B25</f>
        <v>44089</v>
      </c>
      <c r="B20" s="392"/>
      <c r="C20" s="360"/>
      <c r="D20" s="360"/>
      <c r="E20" s="360"/>
      <c r="F20" s="360"/>
      <c r="G20" s="360"/>
      <c r="H20" s="360"/>
      <c r="I20" s="360"/>
      <c r="J20" s="360"/>
      <c r="K20" s="359">
        <f t="shared" si="0"/>
        <v>0</v>
      </c>
      <c r="L20" s="360"/>
      <c r="M20" s="359">
        <f t="shared" si="1"/>
        <v>0</v>
      </c>
      <c r="N20" s="361">
        <f t="shared" si="2"/>
        <v>0</v>
      </c>
      <c r="O20" s="360"/>
      <c r="P20" s="359">
        <f t="shared" si="3"/>
        <v>0</v>
      </c>
      <c r="Q20" s="359">
        <f t="shared" si="4"/>
        <v>0</v>
      </c>
      <c r="R20" s="360"/>
      <c r="S20" s="359">
        <f t="shared" si="5"/>
        <v>0</v>
      </c>
      <c r="T20" s="359">
        <f t="shared" si="6"/>
        <v>0</v>
      </c>
      <c r="U20" s="360"/>
      <c r="V20" s="359">
        <f t="shared" si="7"/>
        <v>0</v>
      </c>
      <c r="W20" s="361">
        <f t="shared" si="8"/>
        <v>0</v>
      </c>
      <c r="X20" s="360"/>
      <c r="Y20" s="359">
        <f t="shared" si="9"/>
        <v>0</v>
      </c>
      <c r="Z20" s="362">
        <f t="shared" si="10"/>
        <v>0</v>
      </c>
      <c r="AA20" s="127"/>
      <c r="AB20" s="127"/>
      <c r="AC20" s="312">
        <f>Gen!T25</f>
        <v>0</v>
      </c>
    </row>
    <row r="21" spans="1:29" ht="20.100000000000001" customHeight="1">
      <c r="A21" s="308">
        <f>Gen!B26</f>
        <v>44090</v>
      </c>
      <c r="B21" s="392"/>
      <c r="C21" s="360"/>
      <c r="D21" s="360"/>
      <c r="E21" s="360"/>
      <c r="F21" s="360"/>
      <c r="G21" s="360"/>
      <c r="H21" s="360"/>
      <c r="I21" s="360"/>
      <c r="J21" s="360"/>
      <c r="K21" s="359">
        <f t="shared" si="0"/>
        <v>0</v>
      </c>
      <c r="L21" s="360"/>
      <c r="M21" s="359">
        <f t="shared" si="1"/>
        <v>0</v>
      </c>
      <c r="N21" s="361">
        <f t="shared" si="2"/>
        <v>0</v>
      </c>
      <c r="O21" s="360"/>
      <c r="P21" s="359">
        <f t="shared" si="3"/>
        <v>0</v>
      </c>
      <c r="Q21" s="359">
        <f t="shared" si="4"/>
        <v>0</v>
      </c>
      <c r="R21" s="360"/>
      <c r="S21" s="359">
        <f t="shared" si="5"/>
        <v>0</v>
      </c>
      <c r="T21" s="359">
        <f t="shared" si="6"/>
        <v>0</v>
      </c>
      <c r="U21" s="360"/>
      <c r="V21" s="359">
        <f t="shared" si="7"/>
        <v>0</v>
      </c>
      <c r="W21" s="361">
        <f t="shared" si="8"/>
        <v>0</v>
      </c>
      <c r="X21" s="360"/>
      <c r="Y21" s="359">
        <f t="shared" si="9"/>
        <v>0</v>
      </c>
      <c r="Z21" s="362">
        <f t="shared" si="10"/>
        <v>0</v>
      </c>
      <c r="AA21" s="127"/>
      <c r="AB21" s="127"/>
      <c r="AC21" s="312">
        <f>Gen!T26</f>
        <v>0</v>
      </c>
    </row>
    <row r="22" spans="1:29" ht="18.75" customHeight="1">
      <c r="A22" s="308">
        <f>Gen!B27</f>
        <v>44091</v>
      </c>
      <c r="B22" s="392"/>
      <c r="C22" s="360"/>
      <c r="D22" s="360"/>
      <c r="E22" s="360"/>
      <c r="F22" s="360"/>
      <c r="G22" s="360"/>
      <c r="H22" s="360"/>
      <c r="I22" s="360"/>
      <c r="J22" s="360"/>
      <c r="K22" s="359">
        <f t="shared" si="0"/>
        <v>0</v>
      </c>
      <c r="L22" s="360"/>
      <c r="M22" s="359">
        <f t="shared" si="1"/>
        <v>0</v>
      </c>
      <c r="N22" s="361">
        <f t="shared" si="2"/>
        <v>0</v>
      </c>
      <c r="O22" s="360"/>
      <c r="P22" s="359">
        <f t="shared" si="3"/>
        <v>0</v>
      </c>
      <c r="Q22" s="359">
        <f t="shared" si="4"/>
        <v>0</v>
      </c>
      <c r="R22" s="360"/>
      <c r="S22" s="359">
        <f t="shared" si="5"/>
        <v>0</v>
      </c>
      <c r="T22" s="359">
        <f t="shared" si="6"/>
        <v>0</v>
      </c>
      <c r="U22" s="360"/>
      <c r="V22" s="359">
        <f t="shared" si="7"/>
        <v>0</v>
      </c>
      <c r="W22" s="361">
        <f t="shared" si="8"/>
        <v>0</v>
      </c>
      <c r="X22" s="360"/>
      <c r="Y22" s="359">
        <f t="shared" si="9"/>
        <v>0</v>
      </c>
      <c r="Z22" s="362">
        <f t="shared" si="10"/>
        <v>0</v>
      </c>
      <c r="AA22" s="127"/>
      <c r="AB22" s="127"/>
      <c r="AC22" s="312">
        <f>Gen!T27</f>
        <v>0</v>
      </c>
    </row>
    <row r="23" spans="1:29" ht="20.100000000000001" customHeight="1">
      <c r="A23" s="308">
        <f>Gen!B28</f>
        <v>44092</v>
      </c>
      <c r="B23" s="392"/>
      <c r="C23" s="360"/>
      <c r="D23" s="360"/>
      <c r="E23" s="585"/>
      <c r="F23" s="360"/>
      <c r="G23" s="360"/>
      <c r="H23" s="360"/>
      <c r="I23" s="360"/>
      <c r="J23" s="360"/>
      <c r="K23" s="359">
        <f t="shared" si="0"/>
        <v>0</v>
      </c>
      <c r="L23" s="360"/>
      <c r="M23" s="359">
        <f t="shared" si="1"/>
        <v>0</v>
      </c>
      <c r="N23" s="361">
        <f t="shared" si="2"/>
        <v>0</v>
      </c>
      <c r="O23" s="360"/>
      <c r="P23" s="359">
        <f t="shared" si="3"/>
        <v>0</v>
      </c>
      <c r="Q23" s="359">
        <f t="shared" si="4"/>
        <v>0</v>
      </c>
      <c r="R23" s="360"/>
      <c r="S23" s="359">
        <f t="shared" si="5"/>
        <v>0</v>
      </c>
      <c r="T23" s="359">
        <f t="shared" si="6"/>
        <v>0</v>
      </c>
      <c r="U23" s="360"/>
      <c r="V23" s="359">
        <f t="shared" si="7"/>
        <v>0</v>
      </c>
      <c r="W23" s="361">
        <f t="shared" si="8"/>
        <v>0</v>
      </c>
      <c r="X23" s="360"/>
      <c r="Y23" s="359">
        <f t="shared" si="9"/>
        <v>0</v>
      </c>
      <c r="Z23" s="362">
        <f t="shared" si="10"/>
        <v>0</v>
      </c>
      <c r="AA23" s="127"/>
      <c r="AB23" s="127"/>
      <c r="AC23" s="312">
        <f>Gen!T28</f>
        <v>0</v>
      </c>
    </row>
    <row r="24" spans="1:29" ht="20.100000000000001" customHeight="1">
      <c r="A24" s="308">
        <f>Gen!B29</f>
        <v>44093</v>
      </c>
      <c r="B24" s="392"/>
      <c r="C24" s="360"/>
      <c r="D24" s="360"/>
      <c r="E24" s="360"/>
      <c r="F24" s="360"/>
      <c r="G24" s="360"/>
      <c r="H24" s="360"/>
      <c r="I24" s="360"/>
      <c r="J24" s="360"/>
      <c r="K24" s="359">
        <f t="shared" si="0"/>
        <v>0</v>
      </c>
      <c r="L24" s="360"/>
      <c r="M24" s="359">
        <f t="shared" si="1"/>
        <v>0</v>
      </c>
      <c r="N24" s="361">
        <f t="shared" si="2"/>
        <v>0</v>
      </c>
      <c r="O24" s="360"/>
      <c r="P24" s="359">
        <f t="shared" si="3"/>
        <v>0</v>
      </c>
      <c r="Q24" s="359">
        <f t="shared" si="4"/>
        <v>0</v>
      </c>
      <c r="R24" s="360"/>
      <c r="S24" s="359">
        <f t="shared" si="5"/>
        <v>0</v>
      </c>
      <c r="T24" s="359">
        <f t="shared" si="6"/>
        <v>0</v>
      </c>
      <c r="U24" s="360"/>
      <c r="V24" s="359">
        <f t="shared" si="7"/>
        <v>0</v>
      </c>
      <c r="W24" s="361">
        <f t="shared" si="8"/>
        <v>0</v>
      </c>
      <c r="X24" s="360"/>
      <c r="Y24" s="359">
        <f t="shared" si="9"/>
        <v>0</v>
      </c>
      <c r="Z24" s="362">
        <f t="shared" si="10"/>
        <v>0</v>
      </c>
      <c r="AA24" s="127"/>
      <c r="AB24" s="127"/>
      <c r="AC24" s="312">
        <f>Gen!T29</f>
        <v>0</v>
      </c>
    </row>
    <row r="25" spans="1:29" ht="18.75" customHeight="1">
      <c r="A25" s="308">
        <f>Gen!B30</f>
        <v>44094</v>
      </c>
      <c r="B25" s="392"/>
      <c r="C25" s="360"/>
      <c r="D25" s="360"/>
      <c r="E25" s="360"/>
      <c r="F25" s="360"/>
      <c r="G25" s="360"/>
      <c r="H25" s="360"/>
      <c r="I25" s="360"/>
      <c r="J25" s="360"/>
      <c r="K25" s="359">
        <f t="shared" si="0"/>
        <v>0</v>
      </c>
      <c r="L25" s="360"/>
      <c r="M25" s="359">
        <f t="shared" si="1"/>
        <v>0</v>
      </c>
      <c r="N25" s="361">
        <f t="shared" si="2"/>
        <v>0</v>
      </c>
      <c r="O25" s="360"/>
      <c r="P25" s="359">
        <f t="shared" si="3"/>
        <v>0</v>
      </c>
      <c r="Q25" s="359">
        <f t="shared" si="4"/>
        <v>0</v>
      </c>
      <c r="R25" s="360"/>
      <c r="S25" s="359">
        <f t="shared" si="5"/>
        <v>0</v>
      </c>
      <c r="T25" s="359">
        <f t="shared" si="6"/>
        <v>0</v>
      </c>
      <c r="U25" s="360"/>
      <c r="V25" s="359">
        <f t="shared" si="7"/>
        <v>0</v>
      </c>
      <c r="W25" s="361">
        <f t="shared" si="8"/>
        <v>0</v>
      </c>
      <c r="X25" s="360"/>
      <c r="Y25" s="359">
        <f t="shared" si="9"/>
        <v>0</v>
      </c>
      <c r="Z25" s="362">
        <f t="shared" si="10"/>
        <v>0</v>
      </c>
      <c r="AA25" s="127"/>
      <c r="AB25" s="127"/>
      <c r="AC25" s="312">
        <f>Gen!T30</f>
        <v>0</v>
      </c>
    </row>
    <row r="26" spans="1:29" ht="20.100000000000001" customHeight="1">
      <c r="A26" s="308">
        <f>Gen!B31</f>
        <v>44095</v>
      </c>
      <c r="B26" s="392"/>
      <c r="C26" s="360"/>
      <c r="D26" s="360"/>
      <c r="E26" s="360"/>
      <c r="F26" s="360"/>
      <c r="G26" s="360"/>
      <c r="H26" s="360"/>
      <c r="I26" s="360"/>
      <c r="J26" s="360"/>
      <c r="K26" s="359">
        <f t="shared" si="0"/>
        <v>0</v>
      </c>
      <c r="L26" s="360"/>
      <c r="M26" s="359">
        <f t="shared" si="1"/>
        <v>0</v>
      </c>
      <c r="N26" s="361">
        <f t="shared" si="2"/>
        <v>0</v>
      </c>
      <c r="O26" s="360"/>
      <c r="P26" s="359">
        <f t="shared" si="3"/>
        <v>0</v>
      </c>
      <c r="Q26" s="359">
        <f t="shared" si="4"/>
        <v>0</v>
      </c>
      <c r="R26" s="360"/>
      <c r="S26" s="359">
        <f t="shared" si="5"/>
        <v>0</v>
      </c>
      <c r="T26" s="359">
        <f t="shared" si="6"/>
        <v>0</v>
      </c>
      <c r="U26" s="360"/>
      <c r="V26" s="359">
        <f t="shared" si="7"/>
        <v>0</v>
      </c>
      <c r="W26" s="361">
        <f t="shared" si="8"/>
        <v>0</v>
      </c>
      <c r="X26" s="360"/>
      <c r="Y26" s="359">
        <f t="shared" si="9"/>
        <v>0</v>
      </c>
      <c r="Z26" s="362">
        <f t="shared" ref="Z26:Z37" si="11">Y26+V26+S26+P26+M26</f>
        <v>0</v>
      </c>
      <c r="AA26" s="127"/>
      <c r="AB26" s="127"/>
      <c r="AC26" s="312">
        <f>Gen!T31</f>
        <v>0</v>
      </c>
    </row>
    <row r="27" spans="1:29" ht="20.100000000000001" customHeight="1">
      <c r="A27" s="308">
        <f>Gen!B32</f>
        <v>44096</v>
      </c>
      <c r="B27" s="392"/>
      <c r="C27" s="360"/>
      <c r="D27" s="360"/>
      <c r="E27" s="360"/>
      <c r="F27" s="360"/>
      <c r="G27" s="360"/>
      <c r="H27" s="360"/>
      <c r="I27" s="360"/>
      <c r="J27" s="360"/>
      <c r="K27" s="359">
        <f t="shared" si="0"/>
        <v>0</v>
      </c>
      <c r="L27" s="360"/>
      <c r="M27" s="359">
        <f t="shared" si="1"/>
        <v>0</v>
      </c>
      <c r="N27" s="361">
        <f t="shared" si="2"/>
        <v>0</v>
      </c>
      <c r="O27" s="360"/>
      <c r="P27" s="359">
        <f t="shared" si="3"/>
        <v>0</v>
      </c>
      <c r="Q27" s="359">
        <f t="shared" si="4"/>
        <v>0</v>
      </c>
      <c r="R27" s="360"/>
      <c r="S27" s="359">
        <f t="shared" si="5"/>
        <v>0</v>
      </c>
      <c r="T27" s="359">
        <f t="shared" si="6"/>
        <v>0</v>
      </c>
      <c r="U27" s="360"/>
      <c r="V27" s="359">
        <f t="shared" si="7"/>
        <v>0</v>
      </c>
      <c r="W27" s="361">
        <f t="shared" si="8"/>
        <v>0</v>
      </c>
      <c r="X27" s="360"/>
      <c r="Y27" s="359">
        <f t="shared" si="9"/>
        <v>0</v>
      </c>
      <c r="Z27" s="362">
        <f t="shared" si="11"/>
        <v>0</v>
      </c>
      <c r="AA27" s="127"/>
      <c r="AB27" s="127"/>
      <c r="AC27" s="312">
        <f>Gen!T32</f>
        <v>0</v>
      </c>
    </row>
    <row r="28" spans="1:29" ht="20.100000000000001" customHeight="1">
      <c r="A28" s="308">
        <f>Gen!B33</f>
        <v>44097</v>
      </c>
      <c r="B28" s="392"/>
      <c r="C28" s="360"/>
      <c r="D28" s="360"/>
      <c r="E28" s="360"/>
      <c r="F28" s="360"/>
      <c r="G28" s="360"/>
      <c r="H28" s="360"/>
      <c r="I28" s="360"/>
      <c r="J28" s="360"/>
      <c r="K28" s="359">
        <f t="shared" si="0"/>
        <v>0</v>
      </c>
      <c r="L28" s="360"/>
      <c r="M28" s="359">
        <f t="shared" si="1"/>
        <v>0</v>
      </c>
      <c r="N28" s="361">
        <f t="shared" si="2"/>
        <v>0</v>
      </c>
      <c r="O28" s="360"/>
      <c r="P28" s="359">
        <f t="shared" si="3"/>
        <v>0</v>
      </c>
      <c r="Q28" s="359">
        <f t="shared" si="4"/>
        <v>0</v>
      </c>
      <c r="R28" s="360"/>
      <c r="S28" s="359">
        <f t="shared" si="5"/>
        <v>0</v>
      </c>
      <c r="T28" s="359">
        <f t="shared" si="6"/>
        <v>0</v>
      </c>
      <c r="U28" s="360"/>
      <c r="V28" s="359">
        <f t="shared" si="7"/>
        <v>0</v>
      </c>
      <c r="W28" s="361">
        <f t="shared" si="8"/>
        <v>0</v>
      </c>
      <c r="X28" s="360"/>
      <c r="Y28" s="359">
        <f t="shared" si="9"/>
        <v>0</v>
      </c>
      <c r="Z28" s="362">
        <f t="shared" si="11"/>
        <v>0</v>
      </c>
      <c r="AA28" s="127"/>
      <c r="AB28" s="127"/>
      <c r="AC28" s="312">
        <f>Gen!T33</f>
        <v>0</v>
      </c>
    </row>
    <row r="29" spans="1:29" ht="20.100000000000001" customHeight="1">
      <c r="A29" s="308">
        <f>Gen!B34</f>
        <v>44098</v>
      </c>
      <c r="B29" s="392"/>
      <c r="C29" s="360"/>
      <c r="D29" s="360"/>
      <c r="E29" s="360"/>
      <c r="F29" s="360"/>
      <c r="G29" s="360"/>
      <c r="H29" s="360"/>
      <c r="I29" s="360"/>
      <c r="J29" s="360"/>
      <c r="K29" s="359">
        <f t="shared" si="0"/>
        <v>0</v>
      </c>
      <c r="L29" s="360"/>
      <c r="M29" s="359">
        <f t="shared" si="1"/>
        <v>0</v>
      </c>
      <c r="N29" s="361">
        <f t="shared" si="2"/>
        <v>0</v>
      </c>
      <c r="O29" s="360"/>
      <c r="P29" s="359">
        <f t="shared" si="3"/>
        <v>0</v>
      </c>
      <c r="Q29" s="359">
        <f t="shared" si="4"/>
        <v>0</v>
      </c>
      <c r="R29" s="360"/>
      <c r="S29" s="359">
        <f t="shared" si="5"/>
        <v>0</v>
      </c>
      <c r="T29" s="359">
        <f t="shared" si="6"/>
        <v>0</v>
      </c>
      <c r="U29" s="360"/>
      <c r="V29" s="359">
        <f t="shared" si="7"/>
        <v>0</v>
      </c>
      <c r="W29" s="361">
        <f t="shared" si="8"/>
        <v>0</v>
      </c>
      <c r="X29" s="360"/>
      <c r="Y29" s="359">
        <f t="shared" si="9"/>
        <v>0</v>
      </c>
      <c r="Z29" s="362">
        <f t="shared" si="11"/>
        <v>0</v>
      </c>
      <c r="AA29" s="127"/>
      <c r="AB29" s="127"/>
      <c r="AC29" s="312">
        <f>Gen!T34</f>
        <v>0</v>
      </c>
    </row>
    <row r="30" spans="1:29" ht="20.100000000000001" customHeight="1">
      <c r="A30" s="308">
        <f>Gen!B35</f>
        <v>44099</v>
      </c>
      <c r="B30" s="392"/>
      <c r="C30" s="360"/>
      <c r="D30" s="360"/>
      <c r="E30" s="360"/>
      <c r="F30" s="360"/>
      <c r="G30" s="360"/>
      <c r="H30" s="360"/>
      <c r="I30" s="360"/>
      <c r="J30" s="360"/>
      <c r="K30" s="359">
        <f t="shared" si="0"/>
        <v>0</v>
      </c>
      <c r="L30" s="360"/>
      <c r="M30" s="359">
        <f t="shared" si="1"/>
        <v>0</v>
      </c>
      <c r="N30" s="361">
        <f t="shared" si="2"/>
        <v>0</v>
      </c>
      <c r="O30" s="360"/>
      <c r="P30" s="359">
        <f t="shared" si="3"/>
        <v>0</v>
      </c>
      <c r="Q30" s="359">
        <f t="shared" si="4"/>
        <v>0</v>
      </c>
      <c r="R30" s="360"/>
      <c r="S30" s="359">
        <f t="shared" si="5"/>
        <v>0</v>
      </c>
      <c r="T30" s="359">
        <f t="shared" si="6"/>
        <v>0</v>
      </c>
      <c r="U30" s="360"/>
      <c r="V30" s="359">
        <f t="shared" si="7"/>
        <v>0</v>
      </c>
      <c r="W30" s="361">
        <f t="shared" si="8"/>
        <v>0</v>
      </c>
      <c r="X30" s="360"/>
      <c r="Y30" s="359">
        <f t="shared" si="9"/>
        <v>0</v>
      </c>
      <c r="Z30" s="362">
        <f t="shared" si="11"/>
        <v>0</v>
      </c>
      <c r="AA30" s="127"/>
      <c r="AB30" s="127"/>
      <c r="AC30" s="312">
        <f>Gen!T35</f>
        <v>0</v>
      </c>
    </row>
    <row r="31" spans="1:29" ht="20.100000000000001" customHeight="1">
      <c r="A31" s="308">
        <f>Gen!B36</f>
        <v>44100</v>
      </c>
      <c r="B31" s="392"/>
      <c r="C31" s="360"/>
      <c r="D31" s="360"/>
      <c r="E31" s="360"/>
      <c r="F31" s="360"/>
      <c r="G31" s="360"/>
      <c r="H31" s="360"/>
      <c r="I31" s="360"/>
      <c r="J31" s="360"/>
      <c r="K31" s="359">
        <f t="shared" si="0"/>
        <v>0</v>
      </c>
      <c r="L31" s="360"/>
      <c r="M31" s="359">
        <f t="shared" si="1"/>
        <v>0</v>
      </c>
      <c r="N31" s="361">
        <f t="shared" si="2"/>
        <v>0</v>
      </c>
      <c r="O31" s="360"/>
      <c r="P31" s="359">
        <f t="shared" si="3"/>
        <v>0</v>
      </c>
      <c r="Q31" s="359">
        <f t="shared" si="4"/>
        <v>0</v>
      </c>
      <c r="R31" s="360"/>
      <c r="S31" s="359">
        <f t="shared" si="5"/>
        <v>0</v>
      </c>
      <c r="T31" s="359">
        <f t="shared" si="6"/>
        <v>0</v>
      </c>
      <c r="U31" s="360"/>
      <c r="V31" s="359">
        <f t="shared" si="7"/>
        <v>0</v>
      </c>
      <c r="W31" s="361">
        <f t="shared" si="8"/>
        <v>0</v>
      </c>
      <c r="X31" s="360"/>
      <c r="Y31" s="359">
        <f t="shared" si="9"/>
        <v>0</v>
      </c>
      <c r="Z31" s="362">
        <f t="shared" si="11"/>
        <v>0</v>
      </c>
      <c r="AA31" s="127"/>
      <c r="AB31" s="127"/>
      <c r="AC31" s="312">
        <f>Gen!T36</f>
        <v>0</v>
      </c>
    </row>
    <row r="32" spans="1:29" ht="20.100000000000001" customHeight="1">
      <c r="A32" s="308">
        <f>Gen!B37</f>
        <v>44101</v>
      </c>
      <c r="B32" s="392"/>
      <c r="C32" s="360"/>
      <c r="D32" s="360"/>
      <c r="E32" s="360"/>
      <c r="F32" s="360"/>
      <c r="G32" s="360"/>
      <c r="H32" s="360"/>
      <c r="I32" s="360"/>
      <c r="J32" s="360"/>
      <c r="K32" s="359">
        <f t="shared" si="0"/>
        <v>0</v>
      </c>
      <c r="L32" s="360"/>
      <c r="M32" s="359">
        <f t="shared" si="1"/>
        <v>0</v>
      </c>
      <c r="N32" s="361">
        <f t="shared" si="2"/>
        <v>0</v>
      </c>
      <c r="O32" s="360"/>
      <c r="P32" s="359">
        <f t="shared" si="3"/>
        <v>0</v>
      </c>
      <c r="Q32" s="359">
        <f t="shared" si="4"/>
        <v>0</v>
      </c>
      <c r="R32" s="360"/>
      <c r="S32" s="359">
        <f t="shared" si="5"/>
        <v>0</v>
      </c>
      <c r="T32" s="359">
        <f t="shared" si="6"/>
        <v>0</v>
      </c>
      <c r="U32" s="360"/>
      <c r="V32" s="359">
        <f t="shared" si="7"/>
        <v>0</v>
      </c>
      <c r="W32" s="361">
        <f t="shared" si="8"/>
        <v>0</v>
      </c>
      <c r="X32" s="360"/>
      <c r="Y32" s="359">
        <f t="shared" si="9"/>
        <v>0</v>
      </c>
      <c r="Z32" s="362">
        <f t="shared" si="11"/>
        <v>0</v>
      </c>
      <c r="AA32" s="127"/>
      <c r="AB32" s="127"/>
      <c r="AC32" s="312">
        <f>Gen!T37</f>
        <v>0</v>
      </c>
    </row>
    <row r="33" spans="1:29" ht="20.100000000000001" customHeight="1">
      <c r="A33" s="308">
        <f>Gen!B38</f>
        <v>44102</v>
      </c>
      <c r="B33" s="392"/>
      <c r="C33" s="360"/>
      <c r="D33" s="360"/>
      <c r="E33" s="360"/>
      <c r="F33" s="360"/>
      <c r="G33" s="360"/>
      <c r="H33" s="360"/>
      <c r="I33" s="360"/>
      <c r="J33" s="360"/>
      <c r="K33" s="359">
        <f t="shared" si="0"/>
        <v>0</v>
      </c>
      <c r="L33" s="360"/>
      <c r="M33" s="359">
        <f t="shared" si="1"/>
        <v>0</v>
      </c>
      <c r="N33" s="361">
        <f t="shared" si="2"/>
        <v>0</v>
      </c>
      <c r="O33" s="360"/>
      <c r="P33" s="359">
        <f t="shared" si="3"/>
        <v>0</v>
      </c>
      <c r="Q33" s="359">
        <f t="shared" si="4"/>
        <v>0</v>
      </c>
      <c r="R33" s="360"/>
      <c r="S33" s="359">
        <f t="shared" si="5"/>
        <v>0</v>
      </c>
      <c r="T33" s="359">
        <f t="shared" si="6"/>
        <v>0</v>
      </c>
      <c r="U33" s="360"/>
      <c r="V33" s="359">
        <f t="shared" si="7"/>
        <v>0</v>
      </c>
      <c r="W33" s="361">
        <f t="shared" si="8"/>
        <v>0</v>
      </c>
      <c r="X33" s="360"/>
      <c r="Y33" s="359">
        <f t="shared" si="9"/>
        <v>0</v>
      </c>
      <c r="Z33" s="362">
        <f t="shared" si="11"/>
        <v>0</v>
      </c>
      <c r="AA33" s="127"/>
      <c r="AB33" s="127"/>
      <c r="AC33" s="312">
        <f>Gen!T38</f>
        <v>0</v>
      </c>
    </row>
    <row r="34" spans="1:29" ht="20.100000000000001" customHeight="1">
      <c r="A34" s="308">
        <f>Gen!B39</f>
        <v>44103</v>
      </c>
      <c r="B34" s="392"/>
      <c r="C34" s="360"/>
      <c r="D34" s="360"/>
      <c r="E34" s="360"/>
      <c r="F34" s="360"/>
      <c r="G34" s="360"/>
      <c r="H34" s="360"/>
      <c r="I34" s="360"/>
      <c r="J34" s="360"/>
      <c r="K34" s="359">
        <f t="shared" si="0"/>
        <v>0</v>
      </c>
      <c r="L34" s="360"/>
      <c r="M34" s="359">
        <f t="shared" si="1"/>
        <v>0</v>
      </c>
      <c r="N34" s="361">
        <f t="shared" si="2"/>
        <v>0</v>
      </c>
      <c r="O34" s="360"/>
      <c r="P34" s="359">
        <f t="shared" si="3"/>
        <v>0</v>
      </c>
      <c r="Q34" s="359">
        <f t="shared" si="4"/>
        <v>0</v>
      </c>
      <c r="R34" s="360"/>
      <c r="S34" s="359">
        <f t="shared" si="5"/>
        <v>0</v>
      </c>
      <c r="T34" s="359">
        <f t="shared" si="6"/>
        <v>0</v>
      </c>
      <c r="U34" s="360"/>
      <c r="V34" s="359">
        <f t="shared" si="7"/>
        <v>0</v>
      </c>
      <c r="W34" s="361">
        <f t="shared" si="8"/>
        <v>0</v>
      </c>
      <c r="X34" s="360"/>
      <c r="Y34" s="359">
        <f t="shared" si="9"/>
        <v>0</v>
      </c>
      <c r="Z34" s="362">
        <f t="shared" si="11"/>
        <v>0</v>
      </c>
      <c r="AA34" s="127"/>
      <c r="AB34" s="127"/>
      <c r="AC34" s="312">
        <f>Gen!T39</f>
        <v>0</v>
      </c>
    </row>
    <row r="35" spans="1:29" ht="20.100000000000001" customHeight="1">
      <c r="A35" s="308">
        <f>Gen!B40</f>
        <v>44104</v>
      </c>
      <c r="B35" s="392"/>
      <c r="C35" s="360"/>
      <c r="D35" s="360"/>
      <c r="E35" s="360"/>
      <c r="F35" s="360"/>
      <c r="G35" s="360"/>
      <c r="H35" s="360"/>
      <c r="I35" s="360"/>
      <c r="J35" s="360"/>
      <c r="K35" s="359">
        <f t="shared" si="0"/>
        <v>0</v>
      </c>
      <c r="L35" s="360"/>
      <c r="M35" s="359">
        <f t="shared" si="1"/>
        <v>0</v>
      </c>
      <c r="N35" s="361">
        <f t="shared" si="2"/>
        <v>0</v>
      </c>
      <c r="O35" s="360"/>
      <c r="P35" s="359">
        <f t="shared" si="3"/>
        <v>0</v>
      </c>
      <c r="Q35" s="359">
        <f t="shared" si="4"/>
        <v>0</v>
      </c>
      <c r="R35" s="360"/>
      <c r="S35" s="359">
        <f t="shared" si="5"/>
        <v>0</v>
      </c>
      <c r="T35" s="359">
        <f t="shared" si="6"/>
        <v>0</v>
      </c>
      <c r="U35" s="360"/>
      <c r="V35" s="359">
        <f t="shared" si="7"/>
        <v>0</v>
      </c>
      <c r="W35" s="361">
        <f t="shared" si="8"/>
        <v>0</v>
      </c>
      <c r="X35" s="360"/>
      <c r="Y35" s="359">
        <f t="shared" si="9"/>
        <v>0</v>
      </c>
      <c r="Z35" s="362">
        <f t="shared" si="11"/>
        <v>0</v>
      </c>
      <c r="AA35" s="127"/>
      <c r="AB35" s="127"/>
      <c r="AC35" s="312">
        <f>Gen!T40</f>
        <v>0</v>
      </c>
    </row>
    <row r="36" spans="1:29" ht="20.100000000000001" customHeight="1">
      <c r="A36" s="308">
        <f>Gen!B41</f>
        <v>0</v>
      </c>
      <c r="B36" s="392"/>
      <c r="C36" s="360"/>
      <c r="D36" s="360"/>
      <c r="E36" s="360"/>
      <c r="F36" s="360"/>
      <c r="G36" s="360"/>
      <c r="H36" s="360"/>
      <c r="I36" s="360"/>
      <c r="J36" s="360"/>
      <c r="K36" s="359">
        <f t="shared" si="0"/>
        <v>0</v>
      </c>
      <c r="L36" s="360"/>
      <c r="M36" s="359">
        <f t="shared" si="1"/>
        <v>0</v>
      </c>
      <c r="N36" s="361">
        <f t="shared" si="2"/>
        <v>0</v>
      </c>
      <c r="O36" s="360"/>
      <c r="P36" s="359">
        <f t="shared" si="3"/>
        <v>0</v>
      </c>
      <c r="Q36" s="359">
        <f t="shared" si="4"/>
        <v>0</v>
      </c>
      <c r="R36" s="360"/>
      <c r="S36" s="359">
        <f t="shared" si="5"/>
        <v>0</v>
      </c>
      <c r="T36" s="359">
        <f t="shared" si="6"/>
        <v>0</v>
      </c>
      <c r="U36" s="360"/>
      <c r="V36" s="359">
        <f t="shared" si="7"/>
        <v>0</v>
      </c>
      <c r="W36" s="361">
        <f t="shared" si="8"/>
        <v>0</v>
      </c>
      <c r="X36" s="360"/>
      <c r="Y36" s="359">
        <f t="shared" si="9"/>
        <v>0</v>
      </c>
      <c r="Z36" s="362">
        <f t="shared" si="11"/>
        <v>0</v>
      </c>
      <c r="AA36" s="127"/>
      <c r="AB36" s="127"/>
      <c r="AC36" s="312">
        <f>Gen!T41</f>
        <v>0</v>
      </c>
    </row>
    <row r="37" spans="1:29" ht="21" customHeight="1">
      <c r="A37" s="308">
        <f>Gen!B42</f>
        <v>0</v>
      </c>
      <c r="B37" s="392"/>
      <c r="C37" s="360"/>
      <c r="D37" s="360"/>
      <c r="E37" s="360"/>
      <c r="F37" s="360"/>
      <c r="G37" s="360"/>
      <c r="H37" s="360"/>
      <c r="I37" s="360"/>
      <c r="J37" s="360"/>
      <c r="K37" s="359">
        <f t="shared" si="0"/>
        <v>0</v>
      </c>
      <c r="L37" s="360"/>
      <c r="M37" s="359">
        <f t="shared" si="1"/>
        <v>0</v>
      </c>
      <c r="N37" s="361">
        <f t="shared" si="2"/>
        <v>0</v>
      </c>
      <c r="O37" s="360"/>
      <c r="P37" s="359">
        <f t="shared" si="3"/>
        <v>0</v>
      </c>
      <c r="Q37" s="359">
        <f t="shared" si="4"/>
        <v>0</v>
      </c>
      <c r="R37" s="360"/>
      <c r="S37" s="359">
        <f t="shared" si="5"/>
        <v>0</v>
      </c>
      <c r="T37" s="359">
        <f t="shared" si="6"/>
        <v>0</v>
      </c>
      <c r="U37" s="360"/>
      <c r="V37" s="359">
        <f t="shared" si="7"/>
        <v>0</v>
      </c>
      <c r="W37" s="361">
        <f t="shared" si="8"/>
        <v>0</v>
      </c>
      <c r="X37" s="360"/>
      <c r="Y37" s="359">
        <f t="shared" si="9"/>
        <v>0</v>
      </c>
      <c r="Z37" s="362">
        <f t="shared" si="11"/>
        <v>0</v>
      </c>
      <c r="AA37" s="127"/>
      <c r="AB37" s="127"/>
      <c r="AC37" s="312">
        <f>Gen!T42</f>
        <v>0</v>
      </c>
    </row>
    <row r="38" spans="1:29">
      <c r="A38" s="308"/>
      <c r="B38" s="308"/>
      <c r="C38" s="308"/>
      <c r="D38" s="308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U99"/>
  <sheetViews>
    <sheetView topLeftCell="A7" zoomScale="110" zoomScaleNormal="110" workbookViewId="0">
      <pane xSplit="2" topLeftCell="C1" activePane="topRight" state="frozen"/>
      <selection pane="topRight" activeCell="C24" sqref="C24"/>
    </sheetView>
  </sheetViews>
  <sheetFormatPr defaultColWidth="9.140625" defaultRowHeight="11.25"/>
  <cols>
    <col min="1" max="1" width="9.140625" style="223"/>
    <col min="2" max="2" width="9.85546875" style="490" customWidth="1"/>
    <col min="3" max="3" width="8.85546875" style="490" customWidth="1"/>
    <col min="4" max="4" width="9" style="490" customWidth="1"/>
    <col min="5" max="5" width="9.140625" style="490" customWidth="1"/>
    <col min="6" max="6" width="10.140625" style="490" bestFit="1" customWidth="1"/>
    <col min="7" max="7" width="10.7109375" style="490" customWidth="1"/>
    <col min="8" max="8" width="11.28515625" style="490" customWidth="1"/>
    <col min="9" max="9" width="9.7109375" style="490" customWidth="1"/>
    <col min="10" max="10" width="8" style="490" customWidth="1"/>
    <col min="11" max="11" width="8.7109375" style="490" customWidth="1"/>
    <col min="12" max="12" width="8.28515625" style="490" customWidth="1"/>
    <col min="13" max="13" width="10.140625" style="490" customWidth="1"/>
    <col min="14" max="14" width="10.85546875" style="490" customWidth="1"/>
    <col min="15" max="15" width="11.42578125" style="490" customWidth="1"/>
    <col min="16" max="16" width="10.140625" style="490" customWidth="1"/>
    <col min="17" max="17" width="14.42578125" style="490" customWidth="1"/>
    <col min="18" max="18" width="10.7109375" style="490" customWidth="1"/>
    <col min="19" max="19" width="13.140625" style="490" customWidth="1"/>
    <col min="20" max="20" width="11.7109375" style="225" customWidth="1"/>
    <col min="21" max="21" width="13" style="225" customWidth="1"/>
    <col min="22" max="22" width="13.140625" style="225" customWidth="1"/>
    <col min="23" max="23" width="13.5703125" style="225" bestFit="1" customWidth="1"/>
    <col min="24" max="24" width="13" style="225" customWidth="1"/>
    <col min="25" max="25" width="15.7109375" style="225" customWidth="1"/>
    <col min="26" max="26" width="13.7109375" style="225" customWidth="1"/>
    <col min="27" max="27" width="12" style="225" bestFit="1" customWidth="1"/>
    <col min="28" max="28" width="9.5703125" style="225" bestFit="1" customWidth="1"/>
    <col min="29" max="29" width="8.28515625" style="225" bestFit="1" customWidth="1"/>
    <col min="30" max="30" width="9.42578125" style="225" bestFit="1" customWidth="1"/>
    <col min="31" max="31" width="8.140625" style="225" bestFit="1" customWidth="1"/>
    <col min="32" max="32" width="8" style="225" bestFit="1" customWidth="1"/>
    <col min="33" max="33" width="9.28515625" style="225" bestFit="1" customWidth="1"/>
    <col min="34" max="34" width="11.42578125" style="225" customWidth="1"/>
    <col min="35" max="35" width="9.85546875" style="225" bestFit="1" customWidth="1"/>
    <col min="36" max="36" width="9.5703125" style="225" bestFit="1" customWidth="1"/>
    <col min="37" max="37" width="12" style="225" bestFit="1" customWidth="1"/>
    <col min="38" max="43" width="9.140625" style="225" hidden="1" customWidth="1"/>
    <col min="44" max="44" width="5.42578125" style="225" customWidth="1"/>
    <col min="45" max="45" width="15" style="225" bestFit="1" customWidth="1"/>
    <col min="46" max="46" width="10.7109375" style="225" bestFit="1" customWidth="1"/>
    <col min="47" max="47" width="9.7109375" style="225" bestFit="1" customWidth="1"/>
    <col min="48" max="48" width="8" style="223" bestFit="1" customWidth="1"/>
    <col min="49" max="16384" width="9.140625" style="223"/>
  </cols>
  <sheetData>
    <row r="1" spans="2:47">
      <c r="B1" s="812"/>
      <c r="C1" s="812"/>
    </row>
    <row r="2" spans="2:47" ht="26.25">
      <c r="B2" s="812"/>
      <c r="C2" s="812"/>
      <c r="E2" s="813" t="s">
        <v>320</v>
      </c>
      <c r="F2" s="813"/>
      <c r="G2" s="814"/>
      <c r="H2" s="814"/>
      <c r="I2" s="814"/>
      <c r="J2" s="814"/>
      <c r="K2" s="814"/>
      <c r="L2" s="814"/>
      <c r="M2" s="814"/>
      <c r="N2" s="814"/>
      <c r="O2" s="814"/>
      <c r="P2" s="814"/>
      <c r="Q2" s="814"/>
      <c r="R2" s="814"/>
      <c r="S2" s="814"/>
      <c r="T2" s="814"/>
      <c r="U2" s="814"/>
      <c r="V2" s="814"/>
      <c r="W2" s="814"/>
      <c r="X2" s="814"/>
      <c r="Y2" s="814"/>
      <c r="Z2" s="814"/>
      <c r="AA2" s="814"/>
      <c r="AB2" s="814"/>
      <c r="AC2" s="814"/>
      <c r="AD2" s="814"/>
      <c r="AE2" s="814"/>
      <c r="AF2" s="814"/>
      <c r="AG2" s="814"/>
      <c r="AH2" s="814"/>
      <c r="AI2" s="814"/>
      <c r="AJ2" s="814"/>
      <c r="AK2" s="814"/>
      <c r="AL2" s="814"/>
      <c r="AM2" s="814"/>
      <c r="AN2" s="814"/>
      <c r="AO2" s="814"/>
      <c r="AP2" s="814"/>
      <c r="AQ2" s="814"/>
      <c r="AR2" s="814"/>
      <c r="AS2" s="814"/>
      <c r="AT2" s="814"/>
      <c r="AU2" s="814"/>
    </row>
    <row r="3" spans="2:47" ht="12.75" customHeight="1">
      <c r="B3" s="812"/>
      <c r="C3" s="812"/>
      <c r="I3" s="830">
        <f>'Daily report Gen'!A6</f>
        <v>44075</v>
      </c>
      <c r="J3" s="830"/>
      <c r="K3" s="830"/>
      <c r="L3" s="224"/>
      <c r="R3" s="224"/>
    </row>
    <row r="4" spans="2:47">
      <c r="B4" s="812"/>
      <c r="C4" s="812"/>
      <c r="I4" s="830"/>
      <c r="J4" s="830"/>
      <c r="K4" s="830"/>
      <c r="L4" s="224"/>
      <c r="R4" s="224"/>
    </row>
    <row r="5" spans="2:47" ht="12" thickBot="1">
      <c r="B5" s="812"/>
      <c r="C5" s="812"/>
      <c r="M5" s="226"/>
      <c r="S5" s="226"/>
      <c r="T5" s="227"/>
      <c r="U5" s="227"/>
      <c r="V5" s="227"/>
      <c r="W5" s="228"/>
      <c r="X5" s="228"/>
      <c r="Y5" s="228"/>
      <c r="Z5" s="228"/>
      <c r="AA5" s="228"/>
      <c r="AB5" s="228"/>
      <c r="AC5" s="228"/>
      <c r="AD5" s="228"/>
      <c r="AE5" s="228"/>
      <c r="AF5" s="228"/>
      <c r="AG5" s="228"/>
      <c r="AH5" s="228"/>
      <c r="AI5" s="228"/>
      <c r="AJ5" s="228"/>
      <c r="AK5" s="228"/>
      <c r="AL5" s="228"/>
      <c r="AM5" s="228"/>
      <c r="AN5" s="228"/>
      <c r="AO5" s="228"/>
      <c r="AP5" s="228"/>
      <c r="AQ5" s="228"/>
      <c r="AR5" s="228"/>
      <c r="AS5" s="228"/>
      <c r="AT5" s="228"/>
      <c r="AU5" s="228"/>
    </row>
    <row r="6" spans="2:47" ht="21" thickBot="1">
      <c r="B6" s="812"/>
      <c r="C6" s="812"/>
      <c r="D6" s="229"/>
      <c r="G6" s="821" t="s">
        <v>57</v>
      </c>
      <c r="H6" s="822"/>
      <c r="I6" s="822"/>
      <c r="J6" s="822"/>
      <c r="K6" s="822"/>
      <c r="L6" s="822"/>
      <c r="M6" s="823"/>
      <c r="N6" s="226"/>
      <c r="O6" s="226"/>
      <c r="P6" s="226"/>
      <c r="Q6" s="226"/>
      <c r="R6" s="226"/>
      <c r="S6" s="226"/>
      <c r="T6" s="227"/>
      <c r="U6" s="227"/>
      <c r="V6" s="227"/>
      <c r="W6" s="230">
        <v>1</v>
      </c>
      <c r="X6" s="230">
        <v>2</v>
      </c>
      <c r="Y6" s="230">
        <v>3</v>
      </c>
      <c r="Z6" s="230">
        <v>4</v>
      </c>
      <c r="AA6" s="230">
        <v>5</v>
      </c>
      <c r="AB6" s="230">
        <v>6</v>
      </c>
      <c r="AC6" s="230">
        <v>7</v>
      </c>
      <c r="AD6" s="230">
        <v>8</v>
      </c>
      <c r="AE6" s="230">
        <v>9</v>
      </c>
      <c r="AF6" s="230">
        <v>10</v>
      </c>
      <c r="AG6" s="230">
        <v>11</v>
      </c>
      <c r="AH6" s="230"/>
      <c r="AI6" s="230"/>
      <c r="AJ6" s="230"/>
      <c r="AS6" s="230"/>
      <c r="AT6" s="227"/>
    </row>
    <row r="7" spans="2:47" ht="21" thickBot="1">
      <c r="D7" s="231"/>
      <c r="E7" s="231"/>
      <c r="F7" s="231"/>
      <c r="G7" s="815" t="s">
        <v>201</v>
      </c>
      <c r="H7" s="816"/>
      <c r="I7" s="816"/>
      <c r="J7" s="816"/>
      <c r="K7" s="816"/>
      <c r="L7" s="816"/>
      <c r="M7" s="817"/>
      <c r="N7" s="818" t="s">
        <v>40</v>
      </c>
      <c r="O7" s="819"/>
      <c r="P7" s="819"/>
      <c r="Q7" s="819"/>
      <c r="R7" s="819"/>
      <c r="S7" s="820"/>
      <c r="T7" s="409"/>
      <c r="U7" s="410"/>
      <c r="V7" s="411"/>
      <c r="W7" s="412" t="s">
        <v>80</v>
      </c>
      <c r="X7" s="413" t="s">
        <v>80</v>
      </c>
      <c r="Y7" s="413" t="s">
        <v>5</v>
      </c>
      <c r="Z7" s="413" t="s">
        <v>81</v>
      </c>
      <c r="AA7" s="413" t="s">
        <v>83</v>
      </c>
      <c r="AB7" s="413" t="s">
        <v>82</v>
      </c>
      <c r="AC7" s="413" t="s">
        <v>82</v>
      </c>
      <c r="AD7" s="414" t="s">
        <v>199</v>
      </c>
      <c r="AE7" s="413" t="s">
        <v>30</v>
      </c>
      <c r="AF7" s="413" t="s">
        <v>97</v>
      </c>
      <c r="AG7" s="415" t="s">
        <v>22</v>
      </c>
      <c r="AH7" s="416" t="s">
        <v>29</v>
      </c>
      <c r="AI7" s="413" t="s">
        <v>84</v>
      </c>
      <c r="AJ7" s="417" t="s">
        <v>190</v>
      </c>
      <c r="AK7" s="428" t="s">
        <v>26</v>
      </c>
      <c r="AL7" s="232"/>
      <c r="AM7" s="232"/>
      <c r="AN7" s="232"/>
      <c r="AO7" s="232"/>
      <c r="AP7" s="232"/>
      <c r="AQ7" s="232"/>
      <c r="AR7" s="232"/>
      <c r="AS7" s="233"/>
      <c r="AT7" s="234"/>
      <c r="AU7" s="232"/>
    </row>
    <row r="8" spans="2:47" s="236" customFormat="1" ht="30" customHeight="1" thickBot="1">
      <c r="B8" s="441" t="s">
        <v>0</v>
      </c>
      <c r="C8" s="442" t="s">
        <v>311</v>
      </c>
      <c r="D8" s="443" t="s">
        <v>2</v>
      </c>
      <c r="E8" s="444" t="s">
        <v>38</v>
      </c>
      <c r="F8" s="444" t="s">
        <v>96</v>
      </c>
      <c r="G8" s="445" t="s">
        <v>306</v>
      </c>
      <c r="H8" s="587">
        <v>1</v>
      </c>
      <c r="I8" s="435">
        <v>2</v>
      </c>
      <c r="J8" s="435">
        <v>3</v>
      </c>
      <c r="K8" s="435">
        <v>4</v>
      </c>
      <c r="L8" s="435">
        <v>5</v>
      </c>
      <c r="M8" s="436">
        <v>6</v>
      </c>
      <c r="N8" s="437">
        <v>1</v>
      </c>
      <c r="O8" s="438">
        <v>2</v>
      </c>
      <c r="P8" s="438">
        <v>3</v>
      </c>
      <c r="Q8" s="438">
        <v>4</v>
      </c>
      <c r="R8" s="438">
        <v>5</v>
      </c>
      <c r="S8" s="438">
        <v>6</v>
      </c>
      <c r="T8" s="439" t="s">
        <v>39</v>
      </c>
      <c r="U8" s="439" t="s">
        <v>41</v>
      </c>
      <c r="V8" s="440" t="s">
        <v>198</v>
      </c>
      <c r="W8" s="419" t="s">
        <v>33</v>
      </c>
      <c r="X8" s="420" t="s">
        <v>32</v>
      </c>
      <c r="Y8" s="420" t="s">
        <v>35</v>
      </c>
      <c r="Z8" s="421" t="s">
        <v>208</v>
      </c>
      <c r="AA8" s="421" t="s">
        <v>207</v>
      </c>
      <c r="AB8" s="421" t="s">
        <v>209</v>
      </c>
      <c r="AC8" s="420" t="s">
        <v>312</v>
      </c>
      <c r="AD8" s="422" t="s">
        <v>34</v>
      </c>
      <c r="AE8" s="420" t="s">
        <v>31</v>
      </c>
      <c r="AF8" s="420" t="s">
        <v>210</v>
      </c>
      <c r="AG8" s="420" t="s">
        <v>211</v>
      </c>
      <c r="AH8" s="423" t="s">
        <v>85</v>
      </c>
      <c r="AI8" s="424" t="s">
        <v>28</v>
      </c>
      <c r="AJ8" s="425" t="s">
        <v>28</v>
      </c>
      <c r="AK8" s="427"/>
      <c r="AL8" s="323"/>
      <c r="AM8" s="52"/>
      <c r="AN8" s="52"/>
      <c r="AO8" s="52"/>
      <c r="AP8" s="52"/>
      <c r="AQ8" s="235"/>
      <c r="AR8" s="430"/>
      <c r="AS8" s="431" t="s">
        <v>200</v>
      </c>
      <c r="AT8" s="431" t="s">
        <v>43</v>
      </c>
      <c r="AU8" s="430" t="s">
        <v>3</v>
      </c>
    </row>
    <row r="9" spans="2:47" ht="14.25">
      <c r="B9" s="588"/>
      <c r="C9" s="237"/>
      <c r="D9" s="686">
        <f>[4]Gen!$D$43</f>
        <v>43590.620000000017</v>
      </c>
      <c r="E9" s="687"/>
      <c r="F9" s="688"/>
      <c r="G9" s="432"/>
      <c r="H9" s="659"/>
      <c r="I9" s="660"/>
      <c r="J9" s="661"/>
      <c r="K9" s="662"/>
      <c r="L9" s="663"/>
      <c r="M9" s="664"/>
      <c r="N9" s="433"/>
      <c r="O9" s="434"/>
      <c r="P9" s="434"/>
      <c r="Q9" s="434"/>
      <c r="R9" s="434"/>
      <c r="S9" s="669"/>
      <c r="T9" s="675">
        <f t="shared" ref="T9:T45" si="0">SUM(G9:M9)</f>
        <v>0</v>
      </c>
      <c r="U9" s="676">
        <f t="shared" ref="U9:U43" si="1">SUM(N9:S9)</f>
        <v>0</v>
      </c>
      <c r="V9" s="677"/>
      <c r="W9" s="673"/>
      <c r="X9" s="242"/>
      <c r="Y9" s="418"/>
      <c r="Z9" s="418"/>
      <c r="AA9" s="418"/>
      <c r="AB9" s="242"/>
      <c r="AC9" s="240"/>
      <c r="AD9" s="242"/>
      <c r="AE9" s="243"/>
      <c r="AF9" s="243"/>
      <c r="AG9" s="244"/>
      <c r="AH9" s="240"/>
      <c r="AI9" s="242"/>
      <c r="AJ9" s="451"/>
      <c r="AK9" s="426"/>
      <c r="AL9" s="245"/>
      <c r="AM9" s="245"/>
      <c r="AN9" s="245"/>
      <c r="AO9" s="245"/>
      <c r="AP9" s="245"/>
      <c r="AQ9" s="245"/>
      <c r="AR9" s="245"/>
      <c r="AS9" s="429">
        <f t="shared" ref="AS9:AS43" si="2">SUM(AK9+T9)</f>
        <v>0</v>
      </c>
      <c r="AT9" s="246"/>
      <c r="AU9" s="247">
        <v>38784.699999999997</v>
      </c>
    </row>
    <row r="10" spans="2:47" ht="13.5" customHeight="1">
      <c r="B10" s="589"/>
      <c r="C10" s="682"/>
      <c r="D10" s="689"/>
      <c r="E10" s="238"/>
      <c r="F10" s="690"/>
      <c r="G10" s="351"/>
      <c r="H10" s="665"/>
      <c r="I10" s="250"/>
      <c r="J10" s="251"/>
      <c r="K10" s="250"/>
      <c r="L10" s="250"/>
      <c r="M10" s="351"/>
      <c r="N10" s="350"/>
      <c r="O10" s="253"/>
      <c r="P10" s="252"/>
      <c r="Q10" s="252"/>
      <c r="R10" s="252"/>
      <c r="S10" s="670"/>
      <c r="T10" s="678">
        <f t="shared" si="0"/>
        <v>0</v>
      </c>
      <c r="U10" s="264">
        <f t="shared" si="1"/>
        <v>0</v>
      </c>
      <c r="V10" s="679">
        <f>SUM(O10:T10)</f>
        <v>0</v>
      </c>
      <c r="W10" s="257"/>
      <c r="X10" s="265"/>
      <c r="Y10" s="241"/>
      <c r="Z10" s="255"/>
      <c r="AA10" s="250"/>
      <c r="AB10" s="255"/>
      <c r="AC10" s="256"/>
      <c r="AD10" s="255"/>
      <c r="AE10" s="257"/>
      <c r="AF10" s="257"/>
      <c r="AG10" s="255"/>
      <c r="AH10" s="258"/>
      <c r="AI10" s="265"/>
      <c r="AJ10" s="451"/>
      <c r="AK10" s="322">
        <f t="shared" ref="AK10:AK44" si="3">SUM(W10:AJ10)</f>
        <v>0</v>
      </c>
      <c r="AL10" s="259"/>
      <c r="AM10" s="259"/>
      <c r="AN10" s="259"/>
      <c r="AO10" s="259"/>
      <c r="AP10" s="259"/>
      <c r="AQ10" s="259"/>
      <c r="AR10" s="260"/>
      <c r="AS10" s="261">
        <f t="shared" si="2"/>
        <v>0</v>
      </c>
      <c r="AT10" s="262"/>
      <c r="AU10" s="334"/>
    </row>
    <row r="11" spans="2:47" s="268" customFormat="1" ht="13.5" customHeight="1">
      <c r="B11" s="695">
        <v>44075</v>
      </c>
      <c r="C11" s="683">
        <v>3.9E-2</v>
      </c>
      <c r="D11" s="691">
        <f>SUM(D9+E11)</f>
        <v>43590.620000000017</v>
      </c>
      <c r="E11" s="269"/>
      <c r="F11" s="690"/>
      <c r="G11" s="351"/>
      <c r="H11" s="665"/>
      <c r="I11" s="250"/>
      <c r="J11" s="251">
        <v>355.12</v>
      </c>
      <c r="K11" s="250"/>
      <c r="L11" s="250">
        <v>536.30999999999995</v>
      </c>
      <c r="M11" s="351"/>
      <c r="N11" s="252">
        <v>1002</v>
      </c>
      <c r="O11" s="253"/>
      <c r="P11" s="252"/>
      <c r="Q11" s="252"/>
      <c r="R11" s="252">
        <v>1109</v>
      </c>
      <c r="S11" s="670"/>
      <c r="T11" s="678">
        <f t="shared" si="0"/>
        <v>891.43</v>
      </c>
      <c r="U11" s="264">
        <f t="shared" si="1"/>
        <v>2111</v>
      </c>
      <c r="V11" s="679">
        <f t="shared" ref="V11:V41" si="4">T11/U11</f>
        <v>0.42227854097584083</v>
      </c>
      <c r="W11" s="257"/>
      <c r="X11" s="255"/>
      <c r="Y11" s="241"/>
      <c r="Z11" s="255"/>
      <c r="AA11" s="255">
        <v>69.209999999999994</v>
      </c>
      <c r="AB11" s="255"/>
      <c r="AC11" s="255"/>
      <c r="AD11" s="255"/>
      <c r="AE11" s="255"/>
      <c r="AF11" s="255"/>
      <c r="AG11" s="255"/>
      <c r="AH11" s="255"/>
      <c r="AI11" s="255"/>
      <c r="AJ11" s="451"/>
      <c r="AK11" s="322">
        <f t="shared" si="3"/>
        <v>69.209999999999994</v>
      </c>
      <c r="AL11" s="266"/>
      <c r="AM11" s="266"/>
      <c r="AN11" s="266"/>
      <c r="AO11" s="266"/>
      <c r="AP11" s="266"/>
      <c r="AQ11" s="266"/>
      <c r="AR11" s="266"/>
      <c r="AS11" s="261">
        <f t="shared" si="2"/>
        <v>960.64</v>
      </c>
      <c r="AT11" s="267">
        <f>AS11*AV11</f>
        <v>0</v>
      </c>
      <c r="AU11" s="334">
        <f t="shared" ref="AU11:AU43" si="5">D11</f>
        <v>43590.620000000017</v>
      </c>
    </row>
    <row r="12" spans="2:47" ht="13.5" customHeight="1">
      <c r="B12" s="695">
        <v>44076</v>
      </c>
      <c r="C12" s="683">
        <v>3.9E-2</v>
      </c>
      <c r="D12" s="691">
        <f t="shared" ref="D12:D43" si="6">SUM(D11-AS11+E12)</f>
        <v>42629.980000000018</v>
      </c>
      <c r="E12" s="269"/>
      <c r="F12" s="690"/>
      <c r="G12" s="351"/>
      <c r="H12" s="665"/>
      <c r="I12" s="250">
        <v>409.57</v>
      </c>
      <c r="J12" s="270"/>
      <c r="K12" s="250">
        <v>412.35</v>
      </c>
      <c r="L12" s="250"/>
      <c r="M12" s="351"/>
      <c r="N12" s="350"/>
      <c r="O12" s="252">
        <v>1041</v>
      </c>
      <c r="P12" s="252"/>
      <c r="Q12" s="252">
        <v>1106</v>
      </c>
      <c r="R12" s="252"/>
      <c r="S12" s="670"/>
      <c r="T12" s="678">
        <f t="shared" si="0"/>
        <v>821.92000000000007</v>
      </c>
      <c r="U12" s="264">
        <f t="shared" si="1"/>
        <v>2147</v>
      </c>
      <c r="V12" s="679">
        <f t="shared" si="4"/>
        <v>0.38282254308337216</v>
      </c>
      <c r="W12" s="257"/>
      <c r="X12" s="255"/>
      <c r="Y12" s="255"/>
      <c r="Z12" s="255"/>
      <c r="AA12" s="255">
        <v>80.650000000000006</v>
      </c>
      <c r="AB12" s="255"/>
      <c r="AC12" s="255"/>
      <c r="AD12" s="255"/>
      <c r="AE12" s="255"/>
      <c r="AF12" s="255"/>
      <c r="AG12" s="255"/>
      <c r="AH12" s="255"/>
      <c r="AI12" s="255"/>
      <c r="AJ12" s="451"/>
      <c r="AK12" s="322">
        <f t="shared" si="3"/>
        <v>80.650000000000006</v>
      </c>
      <c r="AL12" s="259"/>
      <c r="AM12" s="259"/>
      <c r="AN12" s="259"/>
      <c r="AO12" s="259"/>
      <c r="AP12" s="259"/>
      <c r="AQ12" s="259"/>
      <c r="AR12" s="259"/>
      <c r="AS12" s="261">
        <f t="shared" si="2"/>
        <v>902.57</v>
      </c>
      <c r="AT12" s="267">
        <f t="shared" ref="AT12:AT44" si="7">AS12*AV12</f>
        <v>0</v>
      </c>
      <c r="AU12" s="334">
        <f t="shared" si="5"/>
        <v>42629.980000000018</v>
      </c>
    </row>
    <row r="13" spans="2:47" ht="13.5" customHeight="1">
      <c r="B13" s="695">
        <v>44077</v>
      </c>
      <c r="C13" s="683">
        <v>3.9E-2</v>
      </c>
      <c r="D13" s="691">
        <f t="shared" si="6"/>
        <v>41727.410000000018</v>
      </c>
      <c r="E13" s="269"/>
      <c r="F13" s="690"/>
      <c r="G13" s="685"/>
      <c r="H13" s="665">
        <v>494.46</v>
      </c>
      <c r="I13" s="250"/>
      <c r="J13" s="270"/>
      <c r="K13" s="250"/>
      <c r="L13" s="250"/>
      <c r="M13" s="351">
        <v>595.82000000000005</v>
      </c>
      <c r="N13" s="350">
        <v>1067</v>
      </c>
      <c r="O13" s="252"/>
      <c r="P13" s="252"/>
      <c r="Q13" s="252"/>
      <c r="R13" s="252"/>
      <c r="S13" s="670">
        <v>1121</v>
      </c>
      <c r="T13" s="678">
        <f t="shared" si="0"/>
        <v>1090.28</v>
      </c>
      <c r="U13" s="264">
        <f t="shared" si="1"/>
        <v>2188</v>
      </c>
      <c r="V13" s="679">
        <f t="shared" si="4"/>
        <v>0.4982998171846435</v>
      </c>
      <c r="W13" s="257"/>
      <c r="X13" s="265"/>
      <c r="Y13" s="584">
        <v>10.02</v>
      </c>
      <c r="Z13" s="584"/>
      <c r="AA13" s="250"/>
      <c r="AB13" s="324"/>
      <c r="AC13" s="265"/>
      <c r="AD13" s="265"/>
      <c r="AE13" s="265"/>
      <c r="AF13" s="265"/>
      <c r="AG13" s="265"/>
      <c r="AH13" s="265"/>
      <c r="AI13" s="265"/>
      <c r="AJ13" s="451"/>
      <c r="AK13" s="322">
        <f t="shared" si="3"/>
        <v>10.02</v>
      </c>
      <c r="AL13" s="271"/>
      <c r="AM13" s="271"/>
      <c r="AN13" s="271"/>
      <c r="AO13" s="271"/>
      <c r="AP13" s="271"/>
      <c r="AQ13" s="271"/>
      <c r="AR13" s="271"/>
      <c r="AS13" s="261">
        <f t="shared" si="2"/>
        <v>1100.3</v>
      </c>
      <c r="AT13" s="267">
        <f t="shared" si="7"/>
        <v>0</v>
      </c>
      <c r="AU13" s="334">
        <f t="shared" si="5"/>
        <v>41727.410000000018</v>
      </c>
    </row>
    <row r="14" spans="2:47" ht="13.5" customHeight="1">
      <c r="B14" s="695">
        <v>44078</v>
      </c>
      <c r="C14" s="683">
        <v>9.0899999999999995E-2</v>
      </c>
      <c r="D14" s="691">
        <f t="shared" si="6"/>
        <v>40627.110000000015</v>
      </c>
      <c r="E14" s="269"/>
      <c r="F14" s="690"/>
      <c r="G14" s="685"/>
      <c r="H14" s="665"/>
      <c r="I14" s="250"/>
      <c r="J14" s="270"/>
      <c r="K14" s="250"/>
      <c r="L14" s="250">
        <v>481.15</v>
      </c>
      <c r="M14" s="351">
        <v>387.24</v>
      </c>
      <c r="N14" s="350"/>
      <c r="O14" s="252"/>
      <c r="P14" s="252"/>
      <c r="Q14" s="252"/>
      <c r="R14" s="252">
        <v>1284</v>
      </c>
      <c r="S14" s="670">
        <v>1164</v>
      </c>
      <c r="T14" s="678">
        <f t="shared" si="0"/>
        <v>868.39</v>
      </c>
      <c r="U14" s="264">
        <f t="shared" si="1"/>
        <v>2448</v>
      </c>
      <c r="V14" s="679">
        <f t="shared" si="4"/>
        <v>0.35473447712418299</v>
      </c>
      <c r="W14" s="257"/>
      <c r="X14" s="265"/>
      <c r="Z14" s="584"/>
      <c r="AA14" s="250"/>
      <c r="AB14" s="324"/>
      <c r="AC14" s="265"/>
      <c r="AD14" s="265"/>
      <c r="AE14" s="265"/>
      <c r="AF14" s="265"/>
      <c r="AG14" s="265"/>
      <c r="AH14" s="265"/>
      <c r="AI14" s="265"/>
      <c r="AJ14" s="451"/>
      <c r="AK14" s="322">
        <f t="shared" si="3"/>
        <v>0</v>
      </c>
      <c r="AL14" s="266"/>
      <c r="AM14" s="266"/>
      <c r="AN14" s="266"/>
      <c r="AO14" s="266"/>
      <c r="AP14" s="266"/>
      <c r="AQ14" s="266"/>
      <c r="AR14" s="266"/>
      <c r="AS14" s="261">
        <f t="shared" si="2"/>
        <v>868.39</v>
      </c>
      <c r="AT14" s="267">
        <f t="shared" si="7"/>
        <v>0</v>
      </c>
      <c r="AU14" s="334">
        <f t="shared" si="5"/>
        <v>40627.110000000015</v>
      </c>
    </row>
    <row r="15" spans="2:47" ht="13.5" customHeight="1">
      <c r="B15" s="695">
        <v>44079</v>
      </c>
      <c r="C15" s="683">
        <v>9.0899999999999995E-2</v>
      </c>
      <c r="D15" s="691">
        <f t="shared" si="6"/>
        <v>39758.720000000016</v>
      </c>
      <c r="E15" s="269"/>
      <c r="F15" s="690"/>
      <c r="G15" s="685"/>
      <c r="H15" s="665">
        <v>507.97</v>
      </c>
      <c r="I15" s="250">
        <v>334.01</v>
      </c>
      <c r="J15" s="270"/>
      <c r="K15" s="250"/>
      <c r="L15" s="250"/>
      <c r="M15" s="351"/>
      <c r="N15" s="350">
        <v>1136</v>
      </c>
      <c r="O15" s="252">
        <v>1016</v>
      </c>
      <c r="P15" s="252"/>
      <c r="Q15" s="252"/>
      <c r="R15" s="252"/>
      <c r="S15" s="670"/>
      <c r="T15" s="678">
        <f t="shared" si="0"/>
        <v>841.98</v>
      </c>
      <c r="U15" s="264">
        <f t="shared" si="1"/>
        <v>2152</v>
      </c>
      <c r="V15" s="679">
        <f t="shared" si="4"/>
        <v>0.39125464684014871</v>
      </c>
      <c r="W15" s="257"/>
      <c r="X15" s="265"/>
      <c r="Y15" s="241">
        <v>27.01</v>
      </c>
      <c r="Z15" s="265"/>
      <c r="AA15" s="250"/>
      <c r="AB15" s="324"/>
      <c r="AC15" s="265"/>
      <c r="AD15" s="265"/>
      <c r="AE15" s="265"/>
      <c r="AF15" s="265"/>
      <c r="AG15" s="265"/>
      <c r="AH15" s="265"/>
      <c r="AI15" s="265"/>
      <c r="AJ15" s="451"/>
      <c r="AK15" s="322">
        <f t="shared" si="3"/>
        <v>27.01</v>
      </c>
      <c r="AL15" s="266"/>
      <c r="AM15" s="266"/>
      <c r="AN15" s="266"/>
      <c r="AO15" s="266"/>
      <c r="AP15" s="266"/>
      <c r="AQ15" s="266"/>
      <c r="AR15" s="266"/>
      <c r="AS15" s="261">
        <f t="shared" si="2"/>
        <v>868.99</v>
      </c>
      <c r="AT15" s="267">
        <f t="shared" si="7"/>
        <v>0</v>
      </c>
      <c r="AU15" s="334">
        <f t="shared" si="5"/>
        <v>39758.720000000016</v>
      </c>
    </row>
    <row r="16" spans="2:47" ht="13.5" customHeight="1">
      <c r="B16" s="695">
        <v>44080</v>
      </c>
      <c r="C16" s="683">
        <v>9.0899999999999995E-2</v>
      </c>
      <c r="D16" s="691">
        <f t="shared" si="6"/>
        <v>38889.730000000018</v>
      </c>
      <c r="E16" s="269"/>
      <c r="F16" s="690"/>
      <c r="G16" s="685"/>
      <c r="H16" s="665"/>
      <c r="I16" s="250"/>
      <c r="J16" s="270"/>
      <c r="K16" s="250">
        <v>532.58000000000004</v>
      </c>
      <c r="L16" s="250">
        <v>405.96</v>
      </c>
      <c r="M16" s="351"/>
      <c r="N16" s="350"/>
      <c r="O16" s="252"/>
      <c r="P16" s="252"/>
      <c r="Q16" s="252">
        <v>1081</v>
      </c>
      <c r="R16" s="252">
        <v>971</v>
      </c>
      <c r="S16" s="670"/>
      <c r="T16" s="678">
        <f t="shared" si="0"/>
        <v>938.54</v>
      </c>
      <c r="U16" s="264">
        <f t="shared" si="1"/>
        <v>2052</v>
      </c>
      <c r="V16" s="679">
        <f t="shared" si="4"/>
        <v>0.45737816764132549</v>
      </c>
      <c r="W16" s="257"/>
      <c r="X16" s="265"/>
      <c r="Y16" s="241"/>
      <c r="Z16" s="265"/>
      <c r="AA16" s="250"/>
      <c r="AB16" s="324"/>
      <c r="AC16" s="265"/>
      <c r="AD16" s="265"/>
      <c r="AE16" s="265"/>
      <c r="AF16" s="265"/>
      <c r="AG16" s="265"/>
      <c r="AH16" s="265"/>
      <c r="AI16" s="265"/>
      <c r="AJ16" s="451"/>
      <c r="AK16" s="322">
        <f t="shared" si="3"/>
        <v>0</v>
      </c>
      <c r="AL16" s="266"/>
      <c r="AM16" s="266"/>
      <c r="AN16" s="266"/>
      <c r="AO16" s="266"/>
      <c r="AP16" s="266"/>
      <c r="AQ16" s="266"/>
      <c r="AR16" s="266"/>
      <c r="AS16" s="261">
        <f t="shared" si="2"/>
        <v>938.54</v>
      </c>
      <c r="AT16" s="267">
        <f t="shared" si="7"/>
        <v>0</v>
      </c>
      <c r="AU16" s="334">
        <f t="shared" si="5"/>
        <v>38889.730000000018</v>
      </c>
    </row>
    <row r="17" spans="2:47" ht="13.5" customHeight="1">
      <c r="B17" s="695">
        <v>44081</v>
      </c>
      <c r="C17" s="683">
        <v>2.5999999999999999E-2</v>
      </c>
      <c r="D17" s="691">
        <f t="shared" si="6"/>
        <v>37951.190000000017</v>
      </c>
      <c r="E17" s="269"/>
      <c r="F17" s="690"/>
      <c r="G17" s="685"/>
      <c r="H17" s="665">
        <v>394.85</v>
      </c>
      <c r="I17" s="250"/>
      <c r="J17" s="270"/>
      <c r="K17" s="250"/>
      <c r="L17" s="250"/>
      <c r="M17" s="351">
        <v>515.41999999999996</v>
      </c>
      <c r="N17" s="350">
        <v>1017</v>
      </c>
      <c r="O17" s="252"/>
      <c r="P17" s="252"/>
      <c r="Q17" s="252"/>
      <c r="R17" s="252"/>
      <c r="S17" s="670">
        <v>993</v>
      </c>
      <c r="T17" s="678">
        <f t="shared" si="0"/>
        <v>910.27</v>
      </c>
      <c r="U17" s="264">
        <f t="shared" si="1"/>
        <v>2010</v>
      </c>
      <c r="V17" s="679">
        <f t="shared" si="4"/>
        <v>0.45287064676616917</v>
      </c>
      <c r="W17" s="257"/>
      <c r="X17" s="265"/>
      <c r="Y17" s="241">
        <v>27.13</v>
      </c>
      <c r="Z17" s="265"/>
      <c r="AA17" s="250"/>
      <c r="AB17" s="324"/>
      <c r="AC17" s="265"/>
      <c r="AD17" s="265"/>
      <c r="AE17" s="265"/>
      <c r="AF17" s="265"/>
      <c r="AG17" s="265"/>
      <c r="AH17" s="265"/>
      <c r="AI17" s="265">
        <v>146</v>
      </c>
      <c r="AJ17" s="451">
        <v>85.01</v>
      </c>
      <c r="AK17" s="322">
        <f t="shared" si="3"/>
        <v>258.14</v>
      </c>
      <c r="AL17" s="266"/>
      <c r="AM17" s="266"/>
      <c r="AN17" s="266"/>
      <c r="AO17" s="266"/>
      <c r="AP17" s="266"/>
      <c r="AQ17" s="266"/>
      <c r="AR17" s="266"/>
      <c r="AS17" s="261">
        <f t="shared" si="2"/>
        <v>1168.4099999999999</v>
      </c>
      <c r="AT17" s="267">
        <f t="shared" si="7"/>
        <v>0</v>
      </c>
      <c r="AU17" s="334">
        <f t="shared" si="5"/>
        <v>37951.190000000017</v>
      </c>
    </row>
    <row r="18" spans="2:47" ht="13.5" customHeight="1">
      <c r="B18" s="695">
        <v>44082</v>
      </c>
      <c r="C18" s="683">
        <v>3.9E-2</v>
      </c>
      <c r="D18" s="691">
        <f t="shared" si="6"/>
        <v>36782.780000000013</v>
      </c>
      <c r="E18" s="269"/>
      <c r="F18" s="690"/>
      <c r="G18" s="685"/>
      <c r="H18" s="665"/>
      <c r="I18" s="250">
        <v>554.04999999999995</v>
      </c>
      <c r="J18" s="270"/>
      <c r="K18" s="250">
        <v>394.16</v>
      </c>
      <c r="L18" s="250"/>
      <c r="M18" s="351"/>
      <c r="N18" s="350"/>
      <c r="O18" s="252">
        <v>1087</v>
      </c>
      <c r="P18" s="252"/>
      <c r="Q18" s="252">
        <v>1158</v>
      </c>
      <c r="R18" s="252"/>
      <c r="S18" s="670"/>
      <c r="T18" s="678">
        <f t="shared" si="0"/>
        <v>948.21</v>
      </c>
      <c r="U18" s="264">
        <f t="shared" si="1"/>
        <v>2245</v>
      </c>
      <c r="V18" s="679">
        <f t="shared" si="4"/>
        <v>0.42236525612472164</v>
      </c>
      <c r="W18" s="257"/>
      <c r="X18" s="265">
        <v>35.659999999999997</v>
      </c>
      <c r="Y18" s="241"/>
      <c r="Z18" s="250"/>
      <c r="AA18" s="250">
        <v>87.64</v>
      </c>
      <c r="AB18" s="324"/>
      <c r="AC18" s="265"/>
      <c r="AD18" s="265"/>
      <c r="AE18" s="265"/>
      <c r="AF18" s="265"/>
      <c r="AG18" s="265"/>
      <c r="AH18" s="265"/>
      <c r="AI18" s="265"/>
      <c r="AJ18" s="451"/>
      <c r="AK18" s="322">
        <f t="shared" si="3"/>
        <v>123.3</v>
      </c>
      <c r="AL18" s="266"/>
      <c r="AM18" s="266"/>
      <c r="AN18" s="266"/>
      <c r="AO18" s="266"/>
      <c r="AP18" s="266"/>
      <c r="AQ18" s="266"/>
      <c r="AR18" s="266"/>
      <c r="AS18" s="261">
        <f t="shared" si="2"/>
        <v>1071.51</v>
      </c>
      <c r="AT18" s="267">
        <f t="shared" si="7"/>
        <v>0</v>
      </c>
      <c r="AU18" s="334">
        <f t="shared" si="5"/>
        <v>36782.780000000013</v>
      </c>
    </row>
    <row r="19" spans="2:47" ht="13.5" customHeight="1">
      <c r="B19" s="695">
        <v>44083</v>
      </c>
      <c r="C19" s="683">
        <v>6.5000000000000002E-2</v>
      </c>
      <c r="D19" s="691">
        <f t="shared" si="6"/>
        <v>35711.270000000011</v>
      </c>
      <c r="E19" s="269"/>
      <c r="F19" s="690"/>
      <c r="G19" s="685"/>
      <c r="H19" s="665"/>
      <c r="I19" s="250"/>
      <c r="J19" s="270"/>
      <c r="K19" s="250"/>
      <c r="L19" s="250">
        <v>433.34</v>
      </c>
      <c r="M19" s="351">
        <v>482.99</v>
      </c>
      <c r="N19" s="350"/>
      <c r="O19" s="252"/>
      <c r="P19" s="252"/>
      <c r="Q19" s="252"/>
      <c r="R19" s="252">
        <v>966</v>
      </c>
      <c r="S19" s="670">
        <v>1135</v>
      </c>
      <c r="T19" s="678">
        <f t="shared" si="0"/>
        <v>916.32999999999993</v>
      </c>
      <c r="U19" s="264">
        <f t="shared" si="1"/>
        <v>2101</v>
      </c>
      <c r="V19" s="679">
        <f t="shared" si="4"/>
        <v>0.43613993336506424</v>
      </c>
      <c r="W19" s="257"/>
      <c r="X19" s="265"/>
      <c r="Y19" s="241"/>
      <c r="Z19" s="265"/>
      <c r="AA19" s="250"/>
      <c r="AB19" s="324"/>
      <c r="AC19" s="265"/>
      <c r="AD19" s="265"/>
      <c r="AE19" s="265"/>
      <c r="AF19" s="265"/>
      <c r="AG19" s="265"/>
      <c r="AH19" s="265"/>
      <c r="AI19" s="451"/>
      <c r="AJ19" s="451"/>
      <c r="AK19" s="322">
        <f t="shared" si="3"/>
        <v>0</v>
      </c>
      <c r="AL19" s="266"/>
      <c r="AM19" s="260"/>
      <c r="AN19" s="266"/>
      <c r="AO19" s="272"/>
      <c r="AP19" s="272"/>
      <c r="AQ19" s="272"/>
      <c r="AR19" s="273"/>
      <c r="AS19" s="261">
        <f t="shared" si="2"/>
        <v>916.32999999999993</v>
      </c>
      <c r="AT19" s="267">
        <f t="shared" si="7"/>
        <v>0</v>
      </c>
      <c r="AU19" s="334">
        <f t="shared" si="5"/>
        <v>35711.270000000011</v>
      </c>
    </row>
    <row r="20" spans="2:47" ht="14.25">
      <c r="B20" s="695">
        <v>44084</v>
      </c>
      <c r="C20" s="683">
        <v>1.2999999999999999E-2</v>
      </c>
      <c r="D20" s="691">
        <f t="shared" si="6"/>
        <v>34794.94000000001</v>
      </c>
      <c r="E20" s="269"/>
      <c r="F20" s="690"/>
      <c r="G20" s="685"/>
      <c r="H20" s="665"/>
      <c r="I20" s="265"/>
      <c r="J20" s="270"/>
      <c r="K20" s="250"/>
      <c r="L20" s="250"/>
      <c r="M20" s="628"/>
      <c r="N20" s="350"/>
      <c r="O20" s="252"/>
      <c r="P20" s="252"/>
      <c r="Q20" s="252"/>
      <c r="R20" s="252"/>
      <c r="S20" s="671"/>
      <c r="T20" s="678">
        <f t="shared" si="0"/>
        <v>0</v>
      </c>
      <c r="U20" s="264">
        <f t="shared" si="1"/>
        <v>0</v>
      </c>
      <c r="V20" s="679" t="e">
        <f t="shared" si="4"/>
        <v>#DIV/0!</v>
      </c>
      <c r="W20" s="257"/>
      <c r="X20" s="265"/>
      <c r="Y20" s="241"/>
      <c r="Z20" s="265"/>
      <c r="AA20" s="250"/>
      <c r="AB20" s="324"/>
      <c r="AC20" s="265"/>
      <c r="AD20" s="265"/>
      <c r="AE20" s="265"/>
      <c r="AF20" s="265"/>
      <c r="AG20" s="265"/>
      <c r="AH20" s="265"/>
      <c r="AI20" s="265"/>
      <c r="AJ20" s="451"/>
      <c r="AK20" s="322">
        <f t="shared" si="3"/>
        <v>0</v>
      </c>
      <c r="AL20" s="266"/>
      <c r="AM20" s="260"/>
      <c r="AN20" s="266"/>
      <c r="AO20" s="272"/>
      <c r="AP20" s="272"/>
      <c r="AQ20" s="272"/>
      <c r="AR20" s="273"/>
      <c r="AS20" s="261">
        <f t="shared" si="2"/>
        <v>0</v>
      </c>
      <c r="AT20" s="267">
        <f t="shared" si="7"/>
        <v>0</v>
      </c>
      <c r="AU20" s="334">
        <f t="shared" si="5"/>
        <v>34794.94000000001</v>
      </c>
    </row>
    <row r="21" spans="2:47" ht="14.25">
      <c r="B21" s="695">
        <v>44085</v>
      </c>
      <c r="C21" s="683"/>
      <c r="D21" s="691">
        <f t="shared" si="6"/>
        <v>34794.94000000001</v>
      </c>
      <c r="E21" s="269"/>
      <c r="F21" s="690"/>
      <c r="G21" s="685"/>
      <c r="H21" s="665"/>
      <c r="I21" s="265"/>
      <c r="J21" s="270"/>
      <c r="K21" s="250"/>
      <c r="L21" s="250"/>
      <c r="M21" s="590"/>
      <c r="N21" s="350"/>
      <c r="O21" s="350"/>
      <c r="P21" s="252"/>
      <c r="Q21" s="252"/>
      <c r="R21" s="252"/>
      <c r="S21" s="670"/>
      <c r="T21" s="678">
        <f t="shared" si="0"/>
        <v>0</v>
      </c>
      <c r="U21" s="264">
        <f t="shared" si="1"/>
        <v>0</v>
      </c>
      <c r="V21" s="679" t="e">
        <f t="shared" si="4"/>
        <v>#DIV/0!</v>
      </c>
      <c r="W21" s="257"/>
      <c r="X21" s="265"/>
      <c r="Y21" s="241"/>
      <c r="Z21" s="265"/>
      <c r="AA21" s="250"/>
      <c r="AB21" s="324"/>
      <c r="AC21" s="265"/>
      <c r="AD21" s="265"/>
      <c r="AE21" s="265"/>
      <c r="AF21" s="265"/>
      <c r="AG21" s="265"/>
      <c r="AH21" s="265"/>
      <c r="AI21" s="265"/>
      <c r="AJ21" s="451"/>
      <c r="AK21" s="322">
        <f t="shared" si="3"/>
        <v>0</v>
      </c>
      <c r="AL21" s="259"/>
      <c r="AM21" s="260"/>
      <c r="AN21" s="266"/>
      <c r="AO21" s="272"/>
      <c r="AP21" s="272"/>
      <c r="AQ21" s="272"/>
      <c r="AR21" s="273"/>
      <c r="AS21" s="261">
        <f>SUM(AK21+T21)</f>
        <v>0</v>
      </c>
      <c r="AT21" s="267">
        <f t="shared" si="7"/>
        <v>0</v>
      </c>
      <c r="AU21" s="334">
        <f t="shared" si="5"/>
        <v>34794.94000000001</v>
      </c>
    </row>
    <row r="22" spans="2:47" ht="14.25">
      <c r="B22" s="695">
        <v>44086</v>
      </c>
      <c r="C22" s="683"/>
      <c r="D22" s="691">
        <f t="shared" si="6"/>
        <v>34794.94000000001</v>
      </c>
      <c r="E22" s="269"/>
      <c r="F22" s="690"/>
      <c r="G22" s="685"/>
      <c r="H22" s="665"/>
      <c r="I22" s="250"/>
      <c r="J22" s="270"/>
      <c r="K22" s="250"/>
      <c r="L22" s="250"/>
      <c r="M22" s="628"/>
      <c r="N22" s="350"/>
      <c r="O22" s="350"/>
      <c r="P22" s="252"/>
      <c r="Q22" s="252"/>
      <c r="R22" s="252"/>
      <c r="S22" s="670"/>
      <c r="T22" s="678">
        <f t="shared" si="0"/>
        <v>0</v>
      </c>
      <c r="U22" s="264">
        <f t="shared" si="1"/>
        <v>0</v>
      </c>
      <c r="V22" s="679" t="e">
        <f t="shared" si="4"/>
        <v>#DIV/0!</v>
      </c>
      <c r="W22" s="257"/>
      <c r="X22" s="265"/>
      <c r="Y22" s="241"/>
      <c r="Z22" s="265"/>
      <c r="AA22" s="250"/>
      <c r="AB22" s="324"/>
      <c r="AC22" s="265"/>
      <c r="AD22" s="265"/>
      <c r="AE22" s="265"/>
      <c r="AF22" s="265"/>
      <c r="AG22" s="265"/>
      <c r="AH22" s="265"/>
      <c r="AI22" s="265"/>
      <c r="AJ22" s="451"/>
      <c r="AK22" s="322">
        <f t="shared" si="3"/>
        <v>0</v>
      </c>
      <c r="AL22" s="259"/>
      <c r="AM22" s="260"/>
      <c r="AN22" s="266"/>
      <c r="AO22" s="272"/>
      <c r="AP22" s="272"/>
      <c r="AQ22" s="272"/>
      <c r="AR22" s="273"/>
      <c r="AS22" s="261">
        <f t="shared" si="2"/>
        <v>0</v>
      </c>
      <c r="AT22" s="267">
        <f t="shared" si="7"/>
        <v>0</v>
      </c>
      <c r="AU22" s="334">
        <f t="shared" si="5"/>
        <v>34794.94000000001</v>
      </c>
    </row>
    <row r="23" spans="2:47" ht="14.25">
      <c r="B23" s="695">
        <v>44087</v>
      </c>
      <c r="C23" s="683"/>
      <c r="D23" s="691">
        <f t="shared" si="6"/>
        <v>34794.94000000001</v>
      </c>
      <c r="E23" s="269"/>
      <c r="F23" s="690"/>
      <c r="G23" s="685"/>
      <c r="H23" s="665"/>
      <c r="I23" s="265"/>
      <c r="J23" s="270"/>
      <c r="K23" s="250"/>
      <c r="L23" s="250"/>
      <c r="M23" s="628"/>
      <c r="N23" s="350"/>
      <c r="O23" s="252"/>
      <c r="P23" s="252"/>
      <c r="Q23" s="252"/>
      <c r="R23" s="252"/>
      <c r="S23" s="670"/>
      <c r="T23" s="678">
        <f t="shared" si="0"/>
        <v>0</v>
      </c>
      <c r="U23" s="264">
        <f t="shared" si="1"/>
        <v>0</v>
      </c>
      <c r="V23" s="679" t="e">
        <f t="shared" si="4"/>
        <v>#DIV/0!</v>
      </c>
      <c r="W23" s="257"/>
      <c r="X23" s="265"/>
      <c r="Y23" s="241"/>
      <c r="Z23" s="265"/>
      <c r="AA23" s="250"/>
      <c r="AB23" s="324"/>
      <c r="AC23" s="265"/>
      <c r="AD23" s="265"/>
      <c r="AE23" s="265"/>
      <c r="AF23" s="265"/>
      <c r="AG23" s="265"/>
      <c r="AH23" s="265"/>
      <c r="AI23" s="265"/>
      <c r="AJ23" s="451"/>
      <c r="AK23" s="322">
        <f t="shared" si="3"/>
        <v>0</v>
      </c>
      <c r="AL23" s="259"/>
      <c r="AM23" s="259"/>
      <c r="AN23" s="259"/>
      <c r="AO23" s="259"/>
      <c r="AP23" s="259"/>
      <c r="AQ23" s="259"/>
      <c r="AR23" s="259"/>
      <c r="AS23" s="261">
        <f t="shared" si="2"/>
        <v>0</v>
      </c>
      <c r="AT23" s="267">
        <f t="shared" si="7"/>
        <v>0</v>
      </c>
      <c r="AU23" s="334">
        <f t="shared" si="5"/>
        <v>34794.94000000001</v>
      </c>
    </row>
    <row r="24" spans="2:47" ht="14.25">
      <c r="B24" s="695">
        <v>44088</v>
      </c>
      <c r="C24" s="683"/>
      <c r="D24" s="691">
        <f t="shared" si="6"/>
        <v>34794.94000000001</v>
      </c>
      <c r="E24" s="249"/>
      <c r="F24" s="690"/>
      <c r="G24" s="685"/>
      <c r="H24" s="665"/>
      <c r="I24" s="665"/>
      <c r="J24" s="270"/>
      <c r="K24" s="250"/>
      <c r="L24" s="250"/>
      <c r="M24" s="628"/>
      <c r="N24" s="350"/>
      <c r="O24" s="350"/>
      <c r="P24" s="252"/>
      <c r="Q24" s="252"/>
      <c r="R24" s="252"/>
      <c r="S24" s="670"/>
      <c r="T24" s="678">
        <f t="shared" si="0"/>
        <v>0</v>
      </c>
      <c r="U24" s="264">
        <f t="shared" si="1"/>
        <v>0</v>
      </c>
      <c r="V24" s="679" t="e">
        <f t="shared" si="4"/>
        <v>#DIV/0!</v>
      </c>
      <c r="W24" s="257"/>
      <c r="X24" s="265"/>
      <c r="Y24" s="241"/>
      <c r="Z24" s="265"/>
      <c r="AA24" s="250"/>
      <c r="AB24" s="324"/>
      <c r="AC24" s="265"/>
      <c r="AD24" s="265"/>
      <c r="AE24" s="265"/>
      <c r="AF24" s="265"/>
      <c r="AG24" s="265"/>
      <c r="AH24" s="265"/>
      <c r="AI24" s="265"/>
      <c r="AJ24" s="451"/>
      <c r="AK24" s="322">
        <f t="shared" si="3"/>
        <v>0</v>
      </c>
      <c r="AL24" s="259"/>
      <c r="AM24" s="259"/>
      <c r="AN24" s="259"/>
      <c r="AO24" s="259"/>
      <c r="AP24" s="259"/>
      <c r="AQ24" s="259"/>
      <c r="AR24" s="259"/>
      <c r="AS24" s="261">
        <f t="shared" si="2"/>
        <v>0</v>
      </c>
      <c r="AT24" s="267">
        <f t="shared" si="7"/>
        <v>0</v>
      </c>
      <c r="AU24" s="334">
        <f t="shared" si="5"/>
        <v>34794.94000000001</v>
      </c>
    </row>
    <row r="25" spans="2:47" ht="14.25">
      <c r="B25" s="695">
        <v>44089</v>
      </c>
      <c r="C25" s="683"/>
      <c r="D25" s="691">
        <f t="shared" si="6"/>
        <v>34794.94000000001</v>
      </c>
      <c r="E25" s="269"/>
      <c r="F25" s="690">
        <v>18000</v>
      </c>
      <c r="G25" s="754" t="s">
        <v>310</v>
      </c>
      <c r="H25" s="665"/>
      <c r="I25" s="265"/>
      <c r="J25" s="270"/>
      <c r="K25" s="250"/>
      <c r="L25" s="250"/>
      <c r="M25" s="628"/>
      <c r="N25" s="350"/>
      <c r="O25" s="252"/>
      <c r="P25" s="252"/>
      <c r="Q25" s="252"/>
      <c r="R25" s="252"/>
      <c r="S25" s="670"/>
      <c r="T25" s="678">
        <f t="shared" si="0"/>
        <v>0</v>
      </c>
      <c r="U25" s="264">
        <f t="shared" si="1"/>
        <v>0</v>
      </c>
      <c r="V25" s="679" t="e">
        <f t="shared" si="4"/>
        <v>#DIV/0!</v>
      </c>
      <c r="W25" s="257"/>
      <c r="X25" s="265"/>
      <c r="Y25" s="241"/>
      <c r="Z25" s="265"/>
      <c r="AA25" s="250"/>
      <c r="AB25" s="324"/>
      <c r="AC25" s="265"/>
      <c r="AD25" s="265"/>
      <c r="AE25" s="265"/>
      <c r="AF25" s="265"/>
      <c r="AG25" s="265"/>
      <c r="AH25" s="265"/>
      <c r="AI25" s="265"/>
      <c r="AJ25" s="451"/>
      <c r="AK25" s="322">
        <f t="shared" si="3"/>
        <v>0</v>
      </c>
      <c r="AL25" s="259"/>
      <c r="AM25" s="259"/>
      <c r="AN25" s="259"/>
      <c r="AO25" s="259"/>
      <c r="AP25" s="259"/>
      <c r="AQ25" s="259"/>
      <c r="AR25" s="259"/>
      <c r="AS25" s="261">
        <f t="shared" si="2"/>
        <v>0</v>
      </c>
      <c r="AT25" s="267">
        <f t="shared" si="7"/>
        <v>0</v>
      </c>
      <c r="AU25" s="334">
        <f t="shared" si="5"/>
        <v>34794.94000000001</v>
      </c>
    </row>
    <row r="26" spans="2:47" ht="14.25">
      <c r="B26" s="695">
        <v>44090</v>
      </c>
      <c r="C26" s="683"/>
      <c r="D26" s="691">
        <f t="shared" si="6"/>
        <v>34794.94000000001</v>
      </c>
      <c r="E26" s="269"/>
      <c r="F26" s="690"/>
      <c r="G26" s="685"/>
      <c r="H26" s="665"/>
      <c r="I26" s="265"/>
      <c r="J26" s="270"/>
      <c r="K26" s="250"/>
      <c r="L26" s="250"/>
      <c r="M26" s="628"/>
      <c r="N26" s="350"/>
      <c r="O26" s="252"/>
      <c r="P26" s="252"/>
      <c r="Q26" s="252"/>
      <c r="R26" s="252"/>
      <c r="S26" s="670"/>
      <c r="T26" s="678">
        <f t="shared" si="0"/>
        <v>0</v>
      </c>
      <c r="U26" s="264">
        <f t="shared" si="1"/>
        <v>0</v>
      </c>
      <c r="V26" s="679" t="e">
        <f t="shared" si="4"/>
        <v>#DIV/0!</v>
      </c>
      <c r="W26" s="257"/>
      <c r="X26" s="265"/>
      <c r="Y26" s="241"/>
      <c r="Z26" s="265"/>
      <c r="AA26" s="265"/>
      <c r="AB26" s="324"/>
      <c r="AC26" s="265"/>
      <c r="AD26" s="265"/>
      <c r="AE26" s="265"/>
      <c r="AF26" s="265"/>
      <c r="AG26" s="265"/>
      <c r="AH26" s="265"/>
      <c r="AI26" s="265"/>
      <c r="AJ26" s="451"/>
      <c r="AK26" s="322">
        <f t="shared" si="3"/>
        <v>0</v>
      </c>
      <c r="AL26" s="259"/>
      <c r="AM26" s="259"/>
      <c r="AN26" s="259"/>
      <c r="AO26" s="259"/>
      <c r="AP26" s="259"/>
      <c r="AQ26" s="259"/>
      <c r="AR26" s="259"/>
      <c r="AS26" s="261">
        <f t="shared" si="2"/>
        <v>0</v>
      </c>
      <c r="AT26" s="267">
        <f t="shared" si="7"/>
        <v>0</v>
      </c>
      <c r="AU26" s="334">
        <f t="shared" si="5"/>
        <v>34794.94000000001</v>
      </c>
    </row>
    <row r="27" spans="2:47" ht="14.25">
      <c r="B27" s="695">
        <v>44091</v>
      </c>
      <c r="C27" s="683"/>
      <c r="D27" s="691">
        <f t="shared" si="6"/>
        <v>34794.94000000001</v>
      </c>
      <c r="E27" s="269"/>
      <c r="F27" s="690"/>
      <c r="G27" s="685"/>
      <c r="H27" s="665"/>
      <c r="I27" s="265"/>
      <c r="J27" s="270"/>
      <c r="K27" s="250"/>
      <c r="L27" s="250"/>
      <c r="M27" s="628"/>
      <c r="N27" s="350"/>
      <c r="O27" s="252"/>
      <c r="P27" s="252"/>
      <c r="Q27" s="252"/>
      <c r="R27" s="252"/>
      <c r="S27" s="670"/>
      <c r="T27" s="678">
        <f t="shared" si="0"/>
        <v>0</v>
      </c>
      <c r="U27" s="264">
        <f t="shared" si="1"/>
        <v>0</v>
      </c>
      <c r="V27" s="679" t="e">
        <f t="shared" si="4"/>
        <v>#DIV/0!</v>
      </c>
      <c r="W27" s="257"/>
      <c r="X27" s="265"/>
      <c r="Y27" s="241"/>
      <c r="Z27" s="265"/>
      <c r="AA27" s="250"/>
      <c r="AB27" s="324"/>
      <c r="AC27" s="265"/>
      <c r="AD27" s="265"/>
      <c r="AE27" s="265"/>
      <c r="AF27" s="265"/>
      <c r="AG27" s="265"/>
      <c r="AH27" s="265"/>
      <c r="AI27" s="265"/>
      <c r="AJ27" s="451"/>
      <c r="AK27" s="322">
        <f t="shared" si="3"/>
        <v>0</v>
      </c>
      <c r="AL27" s="259"/>
      <c r="AM27" s="259"/>
      <c r="AN27" s="259"/>
      <c r="AO27" s="259"/>
      <c r="AP27" s="259"/>
      <c r="AQ27" s="259"/>
      <c r="AR27" s="259"/>
      <c r="AS27" s="261">
        <f t="shared" si="2"/>
        <v>0</v>
      </c>
      <c r="AT27" s="267">
        <f t="shared" si="7"/>
        <v>0</v>
      </c>
      <c r="AU27" s="334">
        <f t="shared" si="5"/>
        <v>34794.94000000001</v>
      </c>
    </row>
    <row r="28" spans="2:47" ht="14.25">
      <c r="B28" s="695">
        <v>44092</v>
      </c>
      <c r="C28" s="683"/>
      <c r="D28" s="691">
        <f t="shared" si="6"/>
        <v>34794.94000000001</v>
      </c>
      <c r="E28" s="269"/>
      <c r="F28" s="690"/>
      <c r="G28" s="685"/>
      <c r="H28" s="665"/>
      <c r="I28" s="265"/>
      <c r="J28" s="251"/>
      <c r="K28" s="250"/>
      <c r="L28" s="250"/>
      <c r="M28" s="628"/>
      <c r="N28" s="350"/>
      <c r="O28" s="252"/>
      <c r="P28" s="252"/>
      <c r="Q28" s="252"/>
      <c r="R28" s="252"/>
      <c r="S28" s="670"/>
      <c r="T28" s="678">
        <f t="shared" si="0"/>
        <v>0</v>
      </c>
      <c r="U28" s="264">
        <f t="shared" si="1"/>
        <v>0</v>
      </c>
      <c r="V28" s="679" t="e">
        <f t="shared" si="4"/>
        <v>#DIV/0!</v>
      </c>
      <c r="W28" s="257"/>
      <c r="X28" s="265"/>
      <c r="Y28" s="241"/>
      <c r="Z28" s="265"/>
      <c r="AA28" s="250"/>
      <c r="AB28" s="324"/>
      <c r="AC28" s="265"/>
      <c r="AD28" s="265"/>
      <c r="AE28" s="265"/>
      <c r="AF28" s="265"/>
      <c r="AG28" s="265"/>
      <c r="AH28" s="265"/>
      <c r="AI28" s="265"/>
      <c r="AJ28" s="451"/>
      <c r="AK28" s="322">
        <f>SUM(W28:AJ28)</f>
        <v>0</v>
      </c>
      <c r="AL28" s="259"/>
      <c r="AM28" s="259"/>
      <c r="AN28" s="259"/>
      <c r="AO28" s="259"/>
      <c r="AP28" s="259"/>
      <c r="AQ28" s="259"/>
      <c r="AR28" s="259"/>
      <c r="AS28" s="261">
        <f t="shared" si="2"/>
        <v>0</v>
      </c>
      <c r="AT28" s="267">
        <f t="shared" si="7"/>
        <v>0</v>
      </c>
      <c r="AU28" s="334">
        <f t="shared" si="5"/>
        <v>34794.94000000001</v>
      </c>
    </row>
    <row r="29" spans="2:47" ht="14.25">
      <c r="B29" s="695">
        <v>44093</v>
      </c>
      <c r="C29" s="683"/>
      <c r="D29" s="691">
        <f t="shared" si="6"/>
        <v>34794.94000000001</v>
      </c>
      <c r="E29" s="269"/>
      <c r="F29" s="690"/>
      <c r="G29" s="685"/>
      <c r="H29" s="665"/>
      <c r="I29" s="265"/>
      <c r="J29" s="251"/>
      <c r="K29" s="250"/>
      <c r="L29" s="250"/>
      <c r="M29" s="628"/>
      <c r="N29" s="350"/>
      <c r="O29" s="252"/>
      <c r="P29" s="252"/>
      <c r="Q29" s="252"/>
      <c r="R29" s="252"/>
      <c r="S29" s="670"/>
      <c r="T29" s="678">
        <f t="shared" si="0"/>
        <v>0</v>
      </c>
      <c r="U29" s="264">
        <f t="shared" si="1"/>
        <v>0</v>
      </c>
      <c r="V29" s="679" t="e">
        <f t="shared" si="4"/>
        <v>#DIV/0!</v>
      </c>
      <c r="W29" s="257"/>
      <c r="X29" s="265"/>
      <c r="Y29" s="241"/>
      <c r="Z29" s="265"/>
      <c r="AA29" s="250"/>
      <c r="AB29" s="324"/>
      <c r="AC29" s="265"/>
      <c r="AD29" s="265"/>
      <c r="AE29" s="265"/>
      <c r="AF29" s="265"/>
      <c r="AG29" s="265"/>
      <c r="AH29" s="265"/>
      <c r="AI29" s="265"/>
      <c r="AJ29" s="451"/>
      <c r="AK29" s="322">
        <f t="shared" si="3"/>
        <v>0</v>
      </c>
      <c r="AL29" s="259"/>
      <c r="AM29" s="259"/>
      <c r="AN29" s="259"/>
      <c r="AO29" s="259"/>
      <c r="AP29" s="259"/>
      <c r="AQ29" s="259"/>
      <c r="AR29" s="259"/>
      <c r="AS29" s="261">
        <f t="shared" si="2"/>
        <v>0</v>
      </c>
      <c r="AT29" s="267">
        <f t="shared" si="7"/>
        <v>0</v>
      </c>
      <c r="AU29" s="334">
        <f t="shared" si="5"/>
        <v>34794.94000000001</v>
      </c>
    </row>
    <row r="30" spans="2:47" ht="14.25">
      <c r="B30" s="695">
        <v>44094</v>
      </c>
      <c r="C30" s="683"/>
      <c r="D30" s="691">
        <f t="shared" si="6"/>
        <v>34794.94000000001</v>
      </c>
      <c r="E30" s="269"/>
      <c r="F30" s="690"/>
      <c r="G30" s="685"/>
      <c r="H30" s="665"/>
      <c r="I30" s="265"/>
      <c r="J30" s="251"/>
      <c r="K30" s="250"/>
      <c r="L30" s="250"/>
      <c r="M30" s="628"/>
      <c r="N30" s="350"/>
      <c r="O30" s="252"/>
      <c r="P30" s="252"/>
      <c r="Q30" s="252"/>
      <c r="R30" s="252"/>
      <c r="S30" s="670"/>
      <c r="T30" s="678">
        <f t="shared" si="0"/>
        <v>0</v>
      </c>
      <c r="U30" s="264">
        <f t="shared" si="1"/>
        <v>0</v>
      </c>
      <c r="V30" s="679" t="e">
        <f t="shared" si="4"/>
        <v>#DIV/0!</v>
      </c>
      <c r="W30" s="257"/>
      <c r="X30" s="265"/>
      <c r="Y30" s="241"/>
      <c r="Z30" s="265"/>
      <c r="AA30" s="250"/>
      <c r="AB30" s="324"/>
      <c r="AC30" s="265"/>
      <c r="AD30" s="265"/>
      <c r="AE30" s="265"/>
      <c r="AF30" s="265"/>
      <c r="AG30" s="265"/>
      <c r="AH30" s="265"/>
      <c r="AI30" s="265"/>
      <c r="AJ30" s="451"/>
      <c r="AK30" s="322">
        <f t="shared" si="3"/>
        <v>0</v>
      </c>
      <c r="AL30" s="259"/>
      <c r="AM30" s="259"/>
      <c r="AN30" s="259"/>
      <c r="AO30" s="259"/>
      <c r="AP30" s="259"/>
      <c r="AQ30" s="259"/>
      <c r="AR30" s="259"/>
      <c r="AS30" s="261">
        <f t="shared" si="2"/>
        <v>0</v>
      </c>
      <c r="AT30" s="267">
        <f t="shared" si="7"/>
        <v>0</v>
      </c>
      <c r="AU30" s="334">
        <f t="shared" si="5"/>
        <v>34794.94000000001</v>
      </c>
    </row>
    <row r="31" spans="2:47" ht="14.25">
      <c r="B31" s="695">
        <v>44095</v>
      </c>
      <c r="C31" s="683"/>
      <c r="D31" s="691">
        <f t="shared" si="6"/>
        <v>34794.94000000001</v>
      </c>
      <c r="E31" s="269"/>
      <c r="F31" s="690"/>
      <c r="G31" s="685"/>
      <c r="H31" s="665"/>
      <c r="I31" s="265"/>
      <c r="J31" s="251"/>
      <c r="K31" s="250"/>
      <c r="L31" s="250"/>
      <c r="M31" s="628"/>
      <c r="N31" s="350"/>
      <c r="O31" s="252"/>
      <c r="P31" s="252"/>
      <c r="Q31" s="252"/>
      <c r="R31" s="252"/>
      <c r="S31" s="670"/>
      <c r="T31" s="678">
        <f t="shared" si="0"/>
        <v>0</v>
      </c>
      <c r="U31" s="264">
        <f t="shared" si="1"/>
        <v>0</v>
      </c>
      <c r="V31" s="679" t="e">
        <f t="shared" si="4"/>
        <v>#DIV/0!</v>
      </c>
      <c r="W31" s="257"/>
      <c r="X31" s="265"/>
      <c r="Y31" s="241"/>
      <c r="Z31" s="265"/>
      <c r="AA31" s="250"/>
      <c r="AB31" s="324"/>
      <c r="AC31" s="265"/>
      <c r="AD31" s="265"/>
      <c r="AE31" s="265"/>
      <c r="AF31" s="265"/>
      <c r="AG31" s="265"/>
      <c r="AH31" s="265"/>
      <c r="AI31" s="265"/>
      <c r="AJ31" s="451"/>
      <c r="AK31" s="322">
        <f t="shared" si="3"/>
        <v>0</v>
      </c>
      <c r="AL31" s="259"/>
      <c r="AM31" s="259"/>
      <c r="AN31" s="259"/>
      <c r="AO31" s="259"/>
      <c r="AP31" s="259"/>
      <c r="AQ31" s="259"/>
      <c r="AR31" s="259"/>
      <c r="AS31" s="261">
        <f t="shared" si="2"/>
        <v>0</v>
      </c>
      <c r="AT31" s="267">
        <f t="shared" si="7"/>
        <v>0</v>
      </c>
      <c r="AU31" s="334">
        <f t="shared" si="5"/>
        <v>34794.94000000001</v>
      </c>
    </row>
    <row r="32" spans="2:47" ht="14.25">
      <c r="B32" s="695">
        <v>44096</v>
      </c>
      <c r="C32" s="683"/>
      <c r="D32" s="691">
        <f t="shared" si="6"/>
        <v>34794.94000000001</v>
      </c>
      <c r="E32" s="269"/>
      <c r="F32" s="690"/>
      <c r="G32" s="685"/>
      <c r="H32" s="665"/>
      <c r="I32" s="265"/>
      <c r="J32" s="251"/>
      <c r="K32" s="250"/>
      <c r="L32" s="250"/>
      <c r="M32" s="628"/>
      <c r="N32" s="350"/>
      <c r="O32" s="252"/>
      <c r="P32" s="252"/>
      <c r="Q32" s="252"/>
      <c r="R32" s="252"/>
      <c r="S32" s="670"/>
      <c r="T32" s="678">
        <f t="shared" si="0"/>
        <v>0</v>
      </c>
      <c r="U32" s="264">
        <f t="shared" si="1"/>
        <v>0</v>
      </c>
      <c r="V32" s="679" t="e">
        <f t="shared" si="4"/>
        <v>#DIV/0!</v>
      </c>
      <c r="W32" s="257"/>
      <c r="X32" s="265"/>
      <c r="Y32" s="241"/>
      <c r="Z32" s="265"/>
      <c r="AA32" s="250"/>
      <c r="AB32" s="324"/>
      <c r="AC32" s="265"/>
      <c r="AD32" s="265"/>
      <c r="AE32" s="265"/>
      <c r="AF32" s="265"/>
      <c r="AG32" s="265"/>
      <c r="AH32" s="265"/>
      <c r="AI32" s="265"/>
      <c r="AJ32" s="451"/>
      <c r="AK32" s="322">
        <f t="shared" si="3"/>
        <v>0</v>
      </c>
      <c r="AL32" s="259"/>
      <c r="AM32" s="259"/>
      <c r="AN32" s="259"/>
      <c r="AO32" s="259"/>
      <c r="AP32" s="259"/>
      <c r="AQ32" s="259"/>
      <c r="AR32" s="259"/>
      <c r="AS32" s="261">
        <f t="shared" si="2"/>
        <v>0</v>
      </c>
      <c r="AT32" s="267">
        <f t="shared" si="7"/>
        <v>0</v>
      </c>
      <c r="AU32" s="334">
        <f t="shared" si="5"/>
        <v>34794.94000000001</v>
      </c>
    </row>
    <row r="33" spans="2:47" ht="14.25">
      <c r="B33" s="695">
        <v>44097</v>
      </c>
      <c r="C33" s="683"/>
      <c r="D33" s="691">
        <f t="shared" si="6"/>
        <v>34794.94000000001</v>
      </c>
      <c r="E33" s="269"/>
      <c r="F33" s="690"/>
      <c r="G33" s="685"/>
      <c r="H33" s="665"/>
      <c r="I33" s="265"/>
      <c r="J33" s="251"/>
      <c r="K33" s="250"/>
      <c r="L33" s="250"/>
      <c r="M33" s="628"/>
      <c r="N33" s="350"/>
      <c r="O33" s="252"/>
      <c r="P33" s="252"/>
      <c r="Q33" s="252"/>
      <c r="R33" s="252"/>
      <c r="S33" s="670"/>
      <c r="T33" s="678">
        <f t="shared" si="0"/>
        <v>0</v>
      </c>
      <c r="U33" s="264">
        <f t="shared" si="1"/>
        <v>0</v>
      </c>
      <c r="V33" s="679" t="e">
        <f t="shared" si="4"/>
        <v>#DIV/0!</v>
      </c>
      <c r="W33" s="257"/>
      <c r="X33" s="265"/>
      <c r="Y33" s="241"/>
      <c r="Z33" s="265"/>
      <c r="AA33" s="250"/>
      <c r="AB33" s="324"/>
      <c r="AC33" s="265"/>
      <c r="AD33" s="265"/>
      <c r="AE33" s="265"/>
      <c r="AF33" s="265"/>
      <c r="AG33" s="265"/>
      <c r="AH33" s="265"/>
      <c r="AI33" s="265"/>
      <c r="AJ33" s="451"/>
      <c r="AK33" s="322">
        <f t="shared" si="3"/>
        <v>0</v>
      </c>
      <c r="AL33" s="259"/>
      <c r="AM33" s="259"/>
      <c r="AN33" s="259"/>
      <c r="AO33" s="259"/>
      <c r="AP33" s="259"/>
      <c r="AQ33" s="259"/>
      <c r="AR33" s="259"/>
      <c r="AS33" s="261">
        <f t="shared" si="2"/>
        <v>0</v>
      </c>
      <c r="AT33" s="267">
        <f t="shared" si="7"/>
        <v>0</v>
      </c>
      <c r="AU33" s="334">
        <f t="shared" si="5"/>
        <v>34794.94000000001</v>
      </c>
    </row>
    <row r="34" spans="2:47" ht="14.25">
      <c r="B34" s="695">
        <v>44098</v>
      </c>
      <c r="C34" s="683"/>
      <c r="D34" s="691">
        <f t="shared" si="6"/>
        <v>34794.94000000001</v>
      </c>
      <c r="E34" s="269"/>
      <c r="F34" s="690"/>
      <c r="G34" s="685"/>
      <c r="H34" s="665"/>
      <c r="I34" s="250"/>
      <c r="J34" s="250"/>
      <c r="K34" s="250"/>
      <c r="L34" s="250"/>
      <c r="M34" s="628"/>
      <c r="N34" s="350"/>
      <c r="O34" s="252"/>
      <c r="P34" s="252"/>
      <c r="Q34" s="252"/>
      <c r="R34" s="252"/>
      <c r="S34" s="670"/>
      <c r="T34" s="678">
        <f t="shared" si="0"/>
        <v>0</v>
      </c>
      <c r="U34" s="264">
        <f t="shared" si="1"/>
        <v>0</v>
      </c>
      <c r="V34" s="679" t="e">
        <f t="shared" si="4"/>
        <v>#DIV/0!</v>
      </c>
      <c r="W34" s="257"/>
      <c r="X34" s="265"/>
      <c r="Y34" s="241"/>
      <c r="Z34" s="265"/>
      <c r="AA34" s="250"/>
      <c r="AB34" s="324"/>
      <c r="AC34" s="265"/>
      <c r="AD34" s="265"/>
      <c r="AE34" s="265"/>
      <c r="AF34" s="265"/>
      <c r="AG34" s="265"/>
      <c r="AH34" s="265"/>
      <c r="AI34" s="265"/>
      <c r="AJ34" s="451"/>
      <c r="AK34" s="322">
        <f t="shared" si="3"/>
        <v>0</v>
      </c>
      <c r="AL34" s="259"/>
      <c r="AM34" s="259"/>
      <c r="AN34" s="259"/>
      <c r="AO34" s="259"/>
      <c r="AP34" s="259"/>
      <c r="AQ34" s="259"/>
      <c r="AR34" s="259"/>
      <c r="AS34" s="261">
        <f t="shared" si="2"/>
        <v>0</v>
      </c>
      <c r="AT34" s="267">
        <f t="shared" si="7"/>
        <v>0</v>
      </c>
      <c r="AU34" s="334">
        <f t="shared" si="5"/>
        <v>34794.94000000001</v>
      </c>
    </row>
    <row r="35" spans="2:47" ht="14.25">
      <c r="B35" s="695">
        <v>44099</v>
      </c>
      <c r="C35" s="683"/>
      <c r="D35" s="691">
        <f t="shared" si="6"/>
        <v>34794.94000000001</v>
      </c>
      <c r="E35" s="269"/>
      <c r="F35" s="690"/>
      <c r="G35" s="685"/>
      <c r="H35" s="665"/>
      <c r="I35" s="265"/>
      <c r="J35" s="251"/>
      <c r="K35" s="250"/>
      <c r="L35" s="250"/>
      <c r="M35" s="628"/>
      <c r="N35" s="350"/>
      <c r="O35" s="252"/>
      <c r="P35" s="252"/>
      <c r="Q35" s="252"/>
      <c r="R35" s="252"/>
      <c r="S35" s="670"/>
      <c r="T35" s="678">
        <f t="shared" si="0"/>
        <v>0</v>
      </c>
      <c r="U35" s="264">
        <f>O35+Q35</f>
        <v>0</v>
      </c>
      <c r="V35" s="679" t="e">
        <f t="shared" si="4"/>
        <v>#DIV/0!</v>
      </c>
      <c r="W35" s="257"/>
      <c r="X35" s="265"/>
      <c r="Y35" s="241"/>
      <c r="Z35" s="265"/>
      <c r="AA35" s="250"/>
      <c r="AB35" s="324"/>
      <c r="AC35" s="265"/>
      <c r="AD35" s="265"/>
      <c r="AE35" s="265"/>
      <c r="AF35" s="265"/>
      <c r="AG35" s="265"/>
      <c r="AH35" s="265"/>
      <c r="AI35" s="265"/>
      <c r="AJ35" s="451"/>
      <c r="AK35" s="322">
        <f t="shared" si="3"/>
        <v>0</v>
      </c>
      <c r="AL35" s="259"/>
      <c r="AM35" s="259"/>
      <c r="AN35" s="259"/>
      <c r="AO35" s="259"/>
      <c r="AP35" s="259"/>
      <c r="AQ35" s="259"/>
      <c r="AR35" s="259"/>
      <c r="AS35" s="261">
        <f t="shared" si="2"/>
        <v>0</v>
      </c>
      <c r="AT35" s="267">
        <f t="shared" si="7"/>
        <v>0</v>
      </c>
      <c r="AU35" s="334">
        <f t="shared" si="5"/>
        <v>34794.94000000001</v>
      </c>
    </row>
    <row r="36" spans="2:47" ht="14.25">
      <c r="B36" s="695">
        <v>44100</v>
      </c>
      <c r="C36" s="683"/>
      <c r="D36" s="691">
        <f t="shared" si="6"/>
        <v>34794.94000000001</v>
      </c>
      <c r="E36" s="269"/>
      <c r="F36" s="690"/>
      <c r="G36" s="628"/>
      <c r="H36" s="665"/>
      <c r="I36" s="265"/>
      <c r="J36" s="251"/>
      <c r="K36" s="250"/>
      <c r="L36" s="250"/>
      <c r="M36" s="628"/>
      <c r="N36" s="350"/>
      <c r="O36" s="252"/>
      <c r="P36" s="252"/>
      <c r="Q36" s="252"/>
      <c r="R36" s="252"/>
      <c r="S36" s="670"/>
      <c r="T36" s="678">
        <f t="shared" si="0"/>
        <v>0</v>
      </c>
      <c r="U36" s="264">
        <f t="shared" si="1"/>
        <v>0</v>
      </c>
      <c r="V36" s="679" t="e">
        <f t="shared" si="4"/>
        <v>#DIV/0!</v>
      </c>
      <c r="W36" s="257"/>
      <c r="X36" s="265"/>
      <c r="Y36" s="241"/>
      <c r="Z36" s="265"/>
      <c r="AA36" s="250"/>
      <c r="AB36" s="324"/>
      <c r="AC36" s="265"/>
      <c r="AD36" s="265"/>
      <c r="AE36" s="265"/>
      <c r="AF36" s="265"/>
      <c r="AG36" s="265"/>
      <c r="AH36" s="265"/>
      <c r="AI36" s="265"/>
      <c r="AJ36" s="451"/>
      <c r="AK36" s="322">
        <f t="shared" si="3"/>
        <v>0</v>
      </c>
      <c r="AL36" s="259"/>
      <c r="AM36" s="259"/>
      <c r="AN36" s="259"/>
      <c r="AO36" s="259"/>
      <c r="AP36" s="259"/>
      <c r="AQ36" s="259"/>
      <c r="AR36" s="259"/>
      <c r="AS36" s="261">
        <f t="shared" si="2"/>
        <v>0</v>
      </c>
      <c r="AT36" s="267">
        <f t="shared" si="7"/>
        <v>0</v>
      </c>
      <c r="AU36" s="334">
        <f t="shared" si="5"/>
        <v>34794.94000000001</v>
      </c>
    </row>
    <row r="37" spans="2:47" ht="14.25">
      <c r="B37" s="695">
        <v>44101</v>
      </c>
      <c r="C37" s="683"/>
      <c r="D37" s="691">
        <f t="shared" si="6"/>
        <v>34794.94000000001</v>
      </c>
      <c r="E37" s="269"/>
      <c r="F37" s="690">
        <v>10000</v>
      </c>
      <c r="G37" s="754" t="s">
        <v>310</v>
      </c>
      <c r="H37" s="665"/>
      <c r="I37" s="265"/>
      <c r="J37" s="251"/>
      <c r="K37" s="250"/>
      <c r="L37" s="250"/>
      <c r="M37" s="628"/>
      <c r="N37" s="350"/>
      <c r="O37" s="252"/>
      <c r="P37" s="252"/>
      <c r="Q37" s="252"/>
      <c r="R37" s="252"/>
      <c r="S37" s="670"/>
      <c r="T37" s="678">
        <f t="shared" si="0"/>
        <v>0</v>
      </c>
      <c r="U37" s="264">
        <f t="shared" si="1"/>
        <v>0</v>
      </c>
      <c r="V37" s="679" t="e">
        <f t="shared" si="4"/>
        <v>#DIV/0!</v>
      </c>
      <c r="W37" s="257"/>
      <c r="X37" s="265"/>
      <c r="Y37" s="241"/>
      <c r="Z37" s="265"/>
      <c r="AA37" s="250"/>
      <c r="AB37" s="324"/>
      <c r="AC37" s="265"/>
      <c r="AD37" s="265"/>
      <c r="AE37" s="265"/>
      <c r="AF37" s="265"/>
      <c r="AG37" s="265"/>
      <c r="AH37" s="519"/>
      <c r="AI37" s="265"/>
      <c r="AJ37" s="451"/>
      <c r="AK37" s="322">
        <f t="shared" si="3"/>
        <v>0</v>
      </c>
      <c r="AL37" s="259"/>
      <c r="AM37" s="259"/>
      <c r="AN37" s="259"/>
      <c r="AO37" s="259"/>
      <c r="AP37" s="259"/>
      <c r="AQ37" s="259"/>
      <c r="AR37" s="259"/>
      <c r="AS37" s="261">
        <f t="shared" si="2"/>
        <v>0</v>
      </c>
      <c r="AT37" s="267">
        <f t="shared" si="7"/>
        <v>0</v>
      </c>
      <c r="AU37" s="334">
        <f t="shared" si="5"/>
        <v>34794.94000000001</v>
      </c>
    </row>
    <row r="38" spans="2:47" ht="14.25">
      <c r="B38" s="695">
        <v>44102</v>
      </c>
      <c r="C38" s="683"/>
      <c r="D38" s="691">
        <f t="shared" si="6"/>
        <v>34794.94000000001</v>
      </c>
      <c r="E38" s="269"/>
      <c r="F38" s="690"/>
      <c r="G38" s="628"/>
      <c r="H38" s="665"/>
      <c r="I38" s="265"/>
      <c r="J38" s="251"/>
      <c r="K38" s="250"/>
      <c r="L38" s="250"/>
      <c r="M38" s="628"/>
      <c r="N38" s="350"/>
      <c r="O38" s="252"/>
      <c r="P38" s="252"/>
      <c r="Q38" s="252"/>
      <c r="R38" s="252"/>
      <c r="S38" s="670"/>
      <c r="T38" s="678">
        <f t="shared" si="0"/>
        <v>0</v>
      </c>
      <c r="U38" s="264">
        <f t="shared" si="1"/>
        <v>0</v>
      </c>
      <c r="V38" s="679" t="e">
        <f t="shared" si="4"/>
        <v>#DIV/0!</v>
      </c>
      <c r="W38" s="257"/>
      <c r="X38" s="265"/>
      <c r="Y38" s="241"/>
      <c r="Z38" s="265"/>
      <c r="AA38" s="250"/>
      <c r="AB38" s="324"/>
      <c r="AC38" s="265"/>
      <c r="AD38" s="265"/>
      <c r="AE38" s="265"/>
      <c r="AF38" s="265"/>
      <c r="AG38" s="265"/>
      <c r="AH38" s="519"/>
      <c r="AI38" s="265"/>
      <c r="AJ38" s="451"/>
      <c r="AK38" s="322">
        <f t="shared" si="3"/>
        <v>0</v>
      </c>
      <c r="AL38" s="259"/>
      <c r="AM38" s="259"/>
      <c r="AN38" s="259"/>
      <c r="AO38" s="259"/>
      <c r="AP38" s="259"/>
      <c r="AQ38" s="259"/>
      <c r="AR38" s="259"/>
      <c r="AS38" s="261">
        <f t="shared" si="2"/>
        <v>0</v>
      </c>
      <c r="AT38" s="267">
        <f t="shared" si="7"/>
        <v>0</v>
      </c>
      <c r="AU38" s="334">
        <f t="shared" si="5"/>
        <v>34794.94000000001</v>
      </c>
    </row>
    <row r="39" spans="2:47" ht="14.25">
      <c r="B39" s="695">
        <v>44103</v>
      </c>
      <c r="C39" s="683"/>
      <c r="D39" s="691">
        <f t="shared" si="6"/>
        <v>34794.94000000001</v>
      </c>
      <c r="E39" s="269"/>
      <c r="F39" s="690"/>
      <c r="G39" s="628"/>
      <c r="H39" s="665"/>
      <c r="I39" s="265"/>
      <c r="J39" s="274"/>
      <c r="K39" s="250"/>
      <c r="L39" s="250"/>
      <c r="M39" s="628"/>
      <c r="N39" s="350"/>
      <c r="O39" s="252"/>
      <c r="P39" s="275"/>
      <c r="Q39" s="252"/>
      <c r="R39" s="252"/>
      <c r="S39" s="670"/>
      <c r="T39" s="678">
        <f t="shared" si="0"/>
        <v>0</v>
      </c>
      <c r="U39" s="264">
        <f t="shared" si="1"/>
        <v>0</v>
      </c>
      <c r="V39" s="679" t="e">
        <f t="shared" si="4"/>
        <v>#DIV/0!</v>
      </c>
      <c r="W39" s="257"/>
      <c r="X39" s="265"/>
      <c r="Y39" s="241"/>
      <c r="Z39" s="265"/>
      <c r="AA39" s="250"/>
      <c r="AB39" s="324"/>
      <c r="AC39" s="265"/>
      <c r="AD39" s="265"/>
      <c r="AE39" s="265"/>
      <c r="AF39" s="265"/>
      <c r="AG39" s="265"/>
      <c r="AH39" s="519"/>
      <c r="AI39" s="265"/>
      <c r="AJ39" s="451"/>
      <c r="AK39" s="322">
        <f t="shared" si="3"/>
        <v>0</v>
      </c>
      <c r="AL39" s="259"/>
      <c r="AM39" s="259"/>
      <c r="AN39" s="259"/>
      <c r="AO39" s="259"/>
      <c r="AP39" s="259"/>
      <c r="AQ39" s="259"/>
      <c r="AR39" s="259"/>
      <c r="AS39" s="261">
        <f t="shared" si="2"/>
        <v>0</v>
      </c>
      <c r="AT39" s="267">
        <f t="shared" si="7"/>
        <v>0</v>
      </c>
      <c r="AU39" s="334">
        <f t="shared" si="5"/>
        <v>34794.94000000001</v>
      </c>
    </row>
    <row r="40" spans="2:47" ht="14.25">
      <c r="B40" s="695">
        <v>44104</v>
      </c>
      <c r="C40" s="683"/>
      <c r="D40" s="691">
        <f t="shared" si="6"/>
        <v>34794.94000000001</v>
      </c>
      <c r="E40" s="269"/>
      <c r="F40" s="690"/>
      <c r="G40" s="351"/>
      <c r="H40" s="665"/>
      <c r="I40" s="265"/>
      <c r="J40" s="251"/>
      <c r="K40" s="250"/>
      <c r="L40" s="250"/>
      <c r="M40" s="628"/>
      <c r="N40" s="350"/>
      <c r="O40" s="252"/>
      <c r="P40" s="252"/>
      <c r="Q40" s="252"/>
      <c r="R40" s="252"/>
      <c r="S40" s="670"/>
      <c r="T40" s="678">
        <f t="shared" si="0"/>
        <v>0</v>
      </c>
      <c r="U40" s="264">
        <f t="shared" si="1"/>
        <v>0</v>
      </c>
      <c r="V40" s="679" t="e">
        <f t="shared" si="4"/>
        <v>#DIV/0!</v>
      </c>
      <c r="W40" s="257"/>
      <c r="X40" s="265"/>
      <c r="Y40" s="241"/>
      <c r="Z40" s="265"/>
      <c r="AA40" s="250"/>
      <c r="AB40" s="324"/>
      <c r="AC40" s="265"/>
      <c r="AD40" s="265"/>
      <c r="AE40" s="265"/>
      <c r="AF40" s="265"/>
      <c r="AG40" s="265"/>
      <c r="AH40" s="519"/>
      <c r="AI40" s="265"/>
      <c r="AJ40" s="451"/>
      <c r="AK40" s="322">
        <f t="shared" si="3"/>
        <v>0</v>
      </c>
      <c r="AL40" s="259"/>
      <c r="AM40" s="259"/>
      <c r="AN40" s="259"/>
      <c r="AO40" s="259"/>
      <c r="AP40" s="259"/>
      <c r="AQ40" s="259"/>
      <c r="AR40" s="259"/>
      <c r="AS40" s="261">
        <f t="shared" si="2"/>
        <v>0</v>
      </c>
      <c r="AT40" s="267">
        <f t="shared" si="7"/>
        <v>0</v>
      </c>
      <c r="AU40" s="334">
        <f t="shared" si="5"/>
        <v>34794.94000000001</v>
      </c>
    </row>
    <row r="41" spans="2:47" ht="14.25">
      <c r="B41" s="695"/>
      <c r="C41" s="683"/>
      <c r="D41" s="691">
        <f t="shared" si="6"/>
        <v>34794.94000000001</v>
      </c>
      <c r="E41" s="269"/>
      <c r="F41" s="690"/>
      <c r="G41" s="351"/>
      <c r="H41" s="665"/>
      <c r="I41" s="250"/>
      <c r="J41" s="250"/>
      <c r="K41" s="250"/>
      <c r="L41" s="250"/>
      <c r="M41" s="628"/>
      <c r="N41" s="350"/>
      <c r="O41" s="252"/>
      <c r="P41" s="252"/>
      <c r="Q41" s="252"/>
      <c r="R41" s="252"/>
      <c r="S41" s="670"/>
      <c r="T41" s="678">
        <f t="shared" si="0"/>
        <v>0</v>
      </c>
      <c r="U41" s="264">
        <f t="shared" si="1"/>
        <v>0</v>
      </c>
      <c r="V41" s="679" t="e">
        <f t="shared" si="4"/>
        <v>#DIV/0!</v>
      </c>
      <c r="W41" s="257"/>
      <c r="X41" s="265"/>
      <c r="Y41" s="241"/>
      <c r="Z41" s="265"/>
      <c r="AA41" s="250"/>
      <c r="AB41" s="324"/>
      <c r="AC41" s="265"/>
      <c r="AD41" s="265"/>
      <c r="AE41" s="265"/>
      <c r="AF41" s="265"/>
      <c r="AG41" s="265"/>
      <c r="AH41" s="519"/>
      <c r="AI41" s="265"/>
      <c r="AJ41" s="451"/>
      <c r="AK41" s="322">
        <f t="shared" si="3"/>
        <v>0</v>
      </c>
      <c r="AL41" s="259"/>
      <c r="AM41" s="259"/>
      <c r="AN41" s="259"/>
      <c r="AO41" s="259"/>
      <c r="AP41" s="259"/>
      <c r="AQ41" s="259"/>
      <c r="AR41" s="259"/>
      <c r="AS41" s="261">
        <f t="shared" si="2"/>
        <v>0</v>
      </c>
      <c r="AT41" s="267">
        <f t="shared" si="7"/>
        <v>0</v>
      </c>
      <c r="AU41" s="334">
        <f t="shared" si="5"/>
        <v>34794.94000000001</v>
      </c>
    </row>
    <row r="42" spans="2:47" ht="14.25">
      <c r="B42" s="695"/>
      <c r="C42" s="684"/>
      <c r="D42" s="691">
        <f t="shared" si="6"/>
        <v>34794.94000000001</v>
      </c>
      <c r="E42" s="248"/>
      <c r="F42" s="690"/>
      <c r="G42" s="351"/>
      <c r="H42" s="665"/>
      <c r="I42" s="250"/>
      <c r="J42" s="250"/>
      <c r="K42" s="250"/>
      <c r="L42" s="250"/>
      <c r="M42" s="628"/>
      <c r="N42" s="350"/>
      <c r="O42" s="252"/>
      <c r="P42" s="252"/>
      <c r="Q42" s="252"/>
      <c r="R42" s="252"/>
      <c r="S42" s="670"/>
      <c r="T42" s="678">
        <f t="shared" si="0"/>
        <v>0</v>
      </c>
      <c r="U42" s="264">
        <f t="shared" si="1"/>
        <v>0</v>
      </c>
      <c r="V42" s="679"/>
      <c r="W42" s="257"/>
      <c r="X42" s="265"/>
      <c r="Y42" s="241"/>
      <c r="Z42" s="265"/>
      <c r="AA42" s="250"/>
      <c r="AB42" s="324"/>
      <c r="AC42" s="265"/>
      <c r="AD42" s="254"/>
      <c r="AE42" s="265"/>
      <c r="AF42" s="265"/>
      <c r="AG42" s="265"/>
      <c r="AH42" s="519"/>
      <c r="AI42" s="265"/>
      <c r="AJ42" s="451"/>
      <c r="AK42" s="322">
        <f t="shared" si="3"/>
        <v>0</v>
      </c>
      <c r="AL42" s="276"/>
      <c r="AM42" s="276"/>
      <c r="AN42" s="276"/>
      <c r="AO42" s="276"/>
      <c r="AP42" s="276"/>
      <c r="AQ42" s="276"/>
      <c r="AR42" s="276"/>
      <c r="AS42" s="261">
        <f t="shared" si="2"/>
        <v>0</v>
      </c>
      <c r="AT42" s="267">
        <f t="shared" si="7"/>
        <v>0</v>
      </c>
      <c r="AU42" s="334">
        <f t="shared" si="5"/>
        <v>34794.94000000001</v>
      </c>
    </row>
    <row r="43" spans="2:47" ht="14.25">
      <c r="B43" s="591" t="s">
        <v>25</v>
      </c>
      <c r="C43" s="554">
        <f>AVERAGE(C11:C42)</f>
        <v>5.3269999999999998E-2</v>
      </c>
      <c r="D43" s="689">
        <f t="shared" si="6"/>
        <v>34794.94000000001</v>
      </c>
      <c r="E43" s="248"/>
      <c r="F43" s="690"/>
      <c r="G43" s="351"/>
      <c r="H43" s="609"/>
      <c r="I43" s="250"/>
      <c r="J43" s="250"/>
      <c r="K43" s="250"/>
      <c r="L43" s="250"/>
      <c r="M43" s="628"/>
      <c r="N43" s="350"/>
      <c r="O43" s="252"/>
      <c r="P43" s="252"/>
      <c r="Q43" s="252"/>
      <c r="R43" s="252"/>
      <c r="S43" s="670"/>
      <c r="T43" s="678">
        <f t="shared" si="0"/>
        <v>0</v>
      </c>
      <c r="U43" s="264">
        <f t="shared" si="1"/>
        <v>0</v>
      </c>
      <c r="V43" s="679"/>
      <c r="W43" s="257"/>
      <c r="X43" s="265"/>
      <c r="Y43" s="250"/>
      <c r="Z43" s="254"/>
      <c r="AA43" s="254"/>
      <c r="AB43" s="324"/>
      <c r="AC43" s="254"/>
      <c r="AD43" s="278"/>
      <c r="AE43" s="278"/>
      <c r="AF43" s="265"/>
      <c r="AG43" s="265"/>
      <c r="AH43" s="519"/>
      <c r="AI43" s="254"/>
      <c r="AJ43" s="451"/>
      <c r="AK43" s="322">
        <f t="shared" si="3"/>
        <v>0</v>
      </c>
      <c r="AL43" s="277"/>
      <c r="AM43" s="277"/>
      <c r="AN43" s="277"/>
      <c r="AO43" s="277"/>
      <c r="AP43" s="277"/>
      <c r="AQ43" s="277"/>
      <c r="AR43" s="277"/>
      <c r="AS43" s="261">
        <f t="shared" si="2"/>
        <v>0</v>
      </c>
      <c r="AT43" s="267">
        <f t="shared" si="7"/>
        <v>0</v>
      </c>
      <c r="AU43" s="334">
        <f t="shared" si="5"/>
        <v>34794.94000000001</v>
      </c>
    </row>
    <row r="44" spans="2:47" ht="15" thickBot="1">
      <c r="B44" s="592"/>
      <c r="C44" s="593"/>
      <c r="D44" s="692"/>
      <c r="E44" s="693"/>
      <c r="F44" s="694"/>
      <c r="G44" s="352"/>
      <c r="H44" s="666"/>
      <c r="I44" s="667"/>
      <c r="J44" s="667"/>
      <c r="K44" s="667"/>
      <c r="L44" s="667"/>
      <c r="M44" s="668"/>
      <c r="N44" s="349"/>
      <c r="O44" s="239"/>
      <c r="P44" s="239"/>
      <c r="Q44" s="239"/>
      <c r="R44" s="239"/>
      <c r="S44" s="672"/>
      <c r="T44" s="678">
        <f t="shared" si="0"/>
        <v>0</v>
      </c>
      <c r="U44" s="680"/>
      <c r="V44" s="681"/>
      <c r="W44" s="674"/>
      <c r="X44" s="230"/>
      <c r="Y44" s="278"/>
      <c r="Z44" s="278"/>
      <c r="AA44" s="278"/>
      <c r="AB44" s="279"/>
      <c r="AC44" s="278"/>
      <c r="AD44" s="278"/>
      <c r="AE44" s="278"/>
      <c r="AF44" s="278"/>
      <c r="AG44" s="278"/>
      <c r="AH44" s="280"/>
      <c r="AI44" s="230"/>
      <c r="AJ44" s="230"/>
      <c r="AK44" s="649">
        <f t="shared" si="3"/>
        <v>0</v>
      </c>
      <c r="AL44" s="364"/>
      <c r="AM44" s="364"/>
      <c r="AN44" s="364"/>
      <c r="AO44" s="364"/>
      <c r="AP44" s="364"/>
      <c r="AQ44" s="364"/>
      <c r="AR44" s="364"/>
      <c r="AS44" s="365">
        <f>T44+AK44</f>
        <v>0</v>
      </c>
      <c r="AT44" s="366">
        <f t="shared" si="7"/>
        <v>0</v>
      </c>
      <c r="AU44" s="367"/>
    </row>
    <row r="45" spans="2:47" s="282" customFormat="1" ht="13.5" thickBot="1">
      <c r="B45" s="656"/>
      <c r="C45" s="656"/>
      <c r="D45" s="657"/>
      <c r="E45" s="363">
        <f>SUM(E11:E44)</f>
        <v>0</v>
      </c>
      <c r="F45" s="368">
        <f>SUM(F11:F42)</f>
        <v>28000</v>
      </c>
      <c r="G45" s="369">
        <f t="shared" ref="G45:P45" si="8">SUM(G11:G44)</f>
        <v>0</v>
      </c>
      <c r="H45" s="368">
        <f t="shared" si="8"/>
        <v>1397.2800000000002</v>
      </c>
      <c r="I45" s="363">
        <f t="shared" si="8"/>
        <v>1297.6299999999999</v>
      </c>
      <c r="J45" s="368">
        <f t="shared" si="8"/>
        <v>355.12</v>
      </c>
      <c r="K45" s="363">
        <f t="shared" si="8"/>
        <v>1339.0900000000001</v>
      </c>
      <c r="L45" s="368">
        <f t="shared" si="8"/>
        <v>1856.7599999999998</v>
      </c>
      <c r="M45" s="363">
        <f t="shared" si="8"/>
        <v>1981.47</v>
      </c>
      <c r="N45" s="368">
        <f t="shared" si="8"/>
        <v>4222</v>
      </c>
      <c r="O45" s="658">
        <f t="shared" si="8"/>
        <v>3144</v>
      </c>
      <c r="P45" s="368">
        <f t="shared" si="8"/>
        <v>0</v>
      </c>
      <c r="Q45" s="363">
        <f>SUM(Q11:Q43)</f>
        <v>3345</v>
      </c>
      <c r="R45" s="368">
        <f>SUM(R11:R44)</f>
        <v>4330</v>
      </c>
      <c r="S45" s="363">
        <f>SUM(S11:S44)</f>
        <v>4413</v>
      </c>
      <c r="T45" s="655">
        <f t="shared" si="0"/>
        <v>8227.3499999999985</v>
      </c>
      <c r="U45" s="363">
        <f>SUM(N45:S45)</f>
        <v>19454</v>
      </c>
      <c r="V45" s="281" t="e">
        <f>SUM(V11:V42)</f>
        <v>#DIV/0!</v>
      </c>
      <c r="W45" s="650">
        <f t="shared" ref="W45:AC45" si="9">SUM(W9:W44)</f>
        <v>0</v>
      </c>
      <c r="X45" s="281">
        <f t="shared" si="9"/>
        <v>35.659999999999997</v>
      </c>
      <c r="Y45" s="650">
        <f t="shared" si="9"/>
        <v>64.16</v>
      </c>
      <c r="Z45" s="281">
        <f t="shared" si="9"/>
        <v>0</v>
      </c>
      <c r="AA45" s="650">
        <f t="shared" si="9"/>
        <v>237.5</v>
      </c>
      <c r="AB45" s="281">
        <f t="shared" si="9"/>
        <v>0</v>
      </c>
      <c r="AC45" s="650">
        <f t="shared" si="9"/>
        <v>0</v>
      </c>
      <c r="AD45" s="281">
        <f>SUM(AD10:AD44)</f>
        <v>0</v>
      </c>
      <c r="AE45" s="650">
        <f>SUM(AE10:AE44)</f>
        <v>0</v>
      </c>
      <c r="AF45" s="281">
        <f>SUM(AF9:AF44)</f>
        <v>0</v>
      </c>
      <c r="AG45" s="650">
        <f>SUM(AG9:AG44)</f>
        <v>0</v>
      </c>
      <c r="AH45" s="281">
        <f>SUM(AH9:AH44)</f>
        <v>0</v>
      </c>
      <c r="AI45" s="650">
        <f>SUM(AI9:AI43)</f>
        <v>146</v>
      </c>
      <c r="AJ45" s="281">
        <f>SUM(AJ9:AJ39)</f>
        <v>85.01</v>
      </c>
      <c r="AK45" s="650">
        <f>SUM(AK9:AK44)</f>
        <v>568.32999999999993</v>
      </c>
      <c r="AL45" s="281"/>
      <c r="AM45" s="281"/>
      <c r="AN45" s="281"/>
      <c r="AO45" s="281"/>
      <c r="AP45" s="281"/>
      <c r="AQ45" s="281"/>
      <c r="AR45" s="651"/>
      <c r="AS45" s="652">
        <f>SUM(AS11:AS43)</f>
        <v>8795.68</v>
      </c>
      <c r="AT45" s="653">
        <f>SUM(AT11:AT44)</f>
        <v>0</v>
      </c>
      <c r="AU45" s="654"/>
    </row>
    <row r="46" spans="2:47" ht="14.25" thickBot="1">
      <c r="B46" s="490" t="s">
        <v>67</v>
      </c>
      <c r="T46" s="752">
        <f>AVERAGE(T11:T26)</f>
        <v>514.20937499999991</v>
      </c>
      <c r="X46" s="234"/>
      <c r="Y46" s="234"/>
      <c r="Z46" s="234"/>
      <c r="AA46" s="234"/>
      <c r="AB46" s="234"/>
      <c r="AS46" s="224"/>
      <c r="AT46" s="283"/>
      <c r="AU46" s="223"/>
    </row>
    <row r="47" spans="2:47" ht="14.25" thickBot="1">
      <c r="B47" s="380"/>
      <c r="G47" s="284"/>
      <c r="S47" s="224"/>
      <c r="T47" s="224"/>
      <c r="U47" s="372">
        <f>T45*2315</f>
        <v>19046315.249999996</v>
      </c>
      <c r="V47" s="373" t="s">
        <v>244</v>
      </c>
      <c r="AS47" s="618">
        <f>AS45*2143</f>
        <v>18849142.240000002</v>
      </c>
      <c r="AT47" s="617" t="s">
        <v>244</v>
      </c>
      <c r="AU47" s="223"/>
    </row>
    <row r="48" spans="2:47" ht="14.25" thickBot="1">
      <c r="B48" s="381" t="s">
        <v>247</v>
      </c>
      <c r="C48" s="285"/>
      <c r="U48" s="372">
        <f>U47/2289</f>
        <v>8320.8017693315851</v>
      </c>
      <c r="V48" s="373" t="s">
        <v>245</v>
      </c>
      <c r="X48" s="234"/>
      <c r="Y48" s="234"/>
      <c r="Z48" s="234"/>
      <c r="AA48" s="234"/>
      <c r="AB48" s="234"/>
      <c r="AS48" s="372">
        <f>AS47/2289</f>
        <v>8234.6624027959824</v>
      </c>
      <c r="AT48" s="619" t="s">
        <v>245</v>
      </c>
      <c r="AU48" s="283"/>
    </row>
    <row r="49" spans="3:47" ht="14.25" thickBot="1">
      <c r="H49" s="586"/>
      <c r="V49" s="286"/>
      <c r="X49" s="234"/>
      <c r="Y49" s="234"/>
      <c r="Z49" s="234"/>
      <c r="AA49" s="234"/>
      <c r="AB49" s="234"/>
      <c r="AC49" s="227"/>
      <c r="AS49" s="286"/>
      <c r="AU49" s="283"/>
    </row>
    <row r="50" spans="3:47" ht="13.5" customHeight="1" thickBot="1">
      <c r="C50" s="806" t="s">
        <v>241</v>
      </c>
      <c r="D50" s="807"/>
      <c r="E50" s="807"/>
      <c r="F50" s="807"/>
      <c r="G50" s="808"/>
      <c r="H50" s="629"/>
      <c r="I50" s="809" t="s">
        <v>213</v>
      </c>
      <c r="J50" s="810"/>
      <c r="K50" s="810"/>
      <c r="L50" s="810"/>
      <c r="M50" s="811"/>
      <c r="N50" s="629"/>
      <c r="O50" s="824" t="s">
        <v>309</v>
      </c>
      <c r="P50" s="825"/>
      <c r="Q50" s="825"/>
      <c r="R50" s="825"/>
      <c r="S50" s="826"/>
      <c r="U50" s="827" t="s">
        <v>226</v>
      </c>
      <c r="V50" s="828"/>
      <c r="W50" s="828"/>
      <c r="X50" s="828"/>
      <c r="Y50" s="828"/>
      <c r="Z50" s="829"/>
    </row>
    <row r="51" spans="3:47" ht="25.5" customHeight="1" thickBot="1">
      <c r="C51" s="597" t="s">
        <v>98</v>
      </c>
      <c r="D51" s="489" t="s">
        <v>196</v>
      </c>
      <c r="E51" s="598" t="s">
        <v>197</v>
      </c>
      <c r="F51" s="598" t="s">
        <v>212</v>
      </c>
      <c r="G51" s="599" t="s">
        <v>308</v>
      </c>
      <c r="H51" s="629"/>
      <c r="I51" s="597" t="s">
        <v>98</v>
      </c>
      <c r="J51" s="489" t="s">
        <v>196</v>
      </c>
      <c r="K51" s="648" t="s">
        <v>197</v>
      </c>
      <c r="L51" s="601" t="s">
        <v>212</v>
      </c>
      <c r="M51" s="599" t="s">
        <v>308</v>
      </c>
      <c r="N51" s="629"/>
      <c r="O51" s="646" t="s">
        <v>98</v>
      </c>
      <c r="P51" s="640" t="s">
        <v>196</v>
      </c>
      <c r="Q51" s="647" t="s">
        <v>197</v>
      </c>
      <c r="R51" s="641" t="s">
        <v>212</v>
      </c>
      <c r="S51" s="642" t="s">
        <v>215</v>
      </c>
      <c r="U51" s="405" t="s">
        <v>0</v>
      </c>
      <c r="V51" s="766" t="s">
        <v>196</v>
      </c>
      <c r="W51" s="768" t="s">
        <v>227</v>
      </c>
      <c r="X51" s="767" t="s">
        <v>212</v>
      </c>
      <c r="Y51" s="406" t="s">
        <v>228</v>
      </c>
      <c r="Z51" s="407" t="s">
        <v>229</v>
      </c>
    </row>
    <row r="52" spans="3:47" ht="11.25" customHeight="1">
      <c r="C52" s="594">
        <v>44081</v>
      </c>
      <c r="D52" s="595" t="s">
        <v>321</v>
      </c>
      <c r="E52" s="596">
        <v>146</v>
      </c>
      <c r="F52" s="595" t="s">
        <v>322</v>
      </c>
      <c r="G52" s="630" t="s">
        <v>323</v>
      </c>
      <c r="H52" s="629"/>
      <c r="I52" s="633"/>
      <c r="J52" s="602"/>
      <c r="K52" s="602"/>
      <c r="L52" s="602"/>
      <c r="M52" s="634"/>
      <c r="N52" s="629"/>
      <c r="O52" s="408"/>
      <c r="P52" s="602"/>
      <c r="Q52" s="620"/>
      <c r="R52" s="620"/>
      <c r="S52" s="606"/>
      <c r="U52" s="408">
        <v>44081</v>
      </c>
      <c r="V52" s="635" t="s">
        <v>324</v>
      </c>
      <c r="W52" s="764">
        <v>39</v>
      </c>
      <c r="X52" s="636" t="s">
        <v>325</v>
      </c>
      <c r="Y52" s="636" t="s">
        <v>323</v>
      </c>
      <c r="Z52" s="637" t="s">
        <v>326</v>
      </c>
    </row>
    <row r="53" spans="3:47" ht="11.25" customHeight="1">
      <c r="C53" s="401"/>
      <c r="D53" s="357"/>
      <c r="E53" s="447"/>
      <c r="F53" s="357"/>
      <c r="G53" s="630"/>
      <c r="H53" s="629"/>
      <c r="I53" s="611"/>
      <c r="J53" s="313"/>
      <c r="K53" s="313"/>
      <c r="L53" s="313"/>
      <c r="M53" s="630"/>
      <c r="N53" s="629"/>
      <c r="O53" s="401"/>
      <c r="P53" s="313"/>
      <c r="Q53" s="488"/>
      <c r="R53" s="488"/>
      <c r="S53" s="607"/>
      <c r="U53" s="401">
        <v>44081</v>
      </c>
      <c r="V53" s="451" t="s">
        <v>327</v>
      </c>
      <c r="W53" s="765">
        <v>46.01</v>
      </c>
      <c r="X53" s="357" t="s">
        <v>328</v>
      </c>
      <c r="Y53" s="357" t="s">
        <v>323</v>
      </c>
      <c r="Z53" s="638" t="s">
        <v>326</v>
      </c>
    </row>
    <row r="54" spans="3:47" ht="11.25" customHeight="1">
      <c r="C54" s="401"/>
      <c r="D54" s="357"/>
      <c r="E54" s="447"/>
      <c r="F54" s="357"/>
      <c r="G54" s="630"/>
      <c r="H54" s="629"/>
      <c r="I54" s="611"/>
      <c r="J54" s="313"/>
      <c r="K54" s="313"/>
      <c r="L54" s="313"/>
      <c r="M54" s="631"/>
      <c r="N54" s="629"/>
      <c r="O54" s="401"/>
      <c r="P54" s="313"/>
      <c r="Q54" s="488"/>
      <c r="R54" s="488"/>
      <c r="S54" s="607"/>
      <c r="U54" s="401"/>
      <c r="V54" s="451"/>
      <c r="W54" s="765"/>
      <c r="X54" s="357"/>
      <c r="Y54" s="357"/>
      <c r="Z54" s="638"/>
    </row>
    <row r="55" spans="3:47" ht="11.25" customHeight="1">
      <c r="C55" s="401"/>
      <c r="D55" s="357"/>
      <c r="E55" s="447"/>
      <c r="F55" s="357"/>
      <c r="G55" s="630"/>
      <c r="H55" s="629"/>
      <c r="I55" s="603"/>
      <c r="J55" s="313"/>
      <c r="K55" s="313"/>
      <c r="L55" s="313"/>
      <c r="M55" s="631"/>
      <c r="N55" s="629"/>
      <c r="O55" s="609"/>
      <c r="P55" s="313"/>
      <c r="Q55" s="488"/>
      <c r="R55" s="488"/>
      <c r="S55" s="607"/>
      <c r="U55" s="401"/>
      <c r="V55" s="451"/>
      <c r="W55" s="765"/>
      <c r="X55" s="357"/>
      <c r="Y55" s="357"/>
      <c r="Z55" s="638"/>
    </row>
    <row r="56" spans="3:47" ht="11.25" customHeight="1">
      <c r="C56" s="401"/>
      <c r="D56" s="357"/>
      <c r="E56" s="447"/>
      <c r="F56" s="357"/>
      <c r="G56" s="630"/>
      <c r="H56" s="629"/>
      <c r="I56" s="603"/>
      <c r="J56" s="313"/>
      <c r="K56" s="313"/>
      <c r="L56" s="313"/>
      <c r="M56" s="631"/>
      <c r="N56" s="629"/>
      <c r="O56" s="609"/>
      <c r="P56" s="313"/>
      <c r="Q56" s="488"/>
      <c r="R56" s="488"/>
      <c r="S56" s="607"/>
      <c r="U56" s="401"/>
      <c r="V56" s="451"/>
      <c r="W56" s="765"/>
      <c r="X56" s="357"/>
      <c r="Y56" s="357"/>
      <c r="Z56" s="638"/>
    </row>
    <row r="57" spans="3:47" ht="11.25" customHeight="1">
      <c r="C57" s="401"/>
      <c r="D57" s="357"/>
      <c r="E57" s="447"/>
      <c r="F57" s="357"/>
      <c r="G57" s="630"/>
      <c r="H57" s="629"/>
      <c r="I57" s="603"/>
      <c r="J57" s="313"/>
      <c r="K57" s="313"/>
      <c r="L57" s="313"/>
      <c r="M57" s="631"/>
      <c r="N57" s="629"/>
      <c r="O57" s="609"/>
      <c r="P57" s="313"/>
      <c r="Q57" s="488"/>
      <c r="R57" s="488"/>
      <c r="S57" s="607"/>
      <c r="U57" s="401"/>
      <c r="V57" s="451"/>
      <c r="W57" s="765"/>
      <c r="X57" s="357"/>
      <c r="Y57" s="357"/>
      <c r="Z57" s="638"/>
    </row>
    <row r="58" spans="3:47" ht="11.25" customHeight="1">
      <c r="C58" s="401"/>
      <c r="D58" s="357"/>
      <c r="E58" s="447"/>
      <c r="F58" s="357"/>
      <c r="G58" s="631"/>
      <c r="H58" s="629"/>
      <c r="I58" s="603"/>
      <c r="J58" s="313"/>
      <c r="K58" s="313"/>
      <c r="L58" s="313"/>
      <c r="M58" s="631"/>
      <c r="N58" s="629"/>
      <c r="O58" s="609"/>
      <c r="P58" s="313"/>
      <c r="Q58" s="488"/>
      <c r="R58" s="488"/>
      <c r="S58" s="607"/>
      <c r="U58" s="401"/>
      <c r="V58" s="451"/>
      <c r="W58" s="765"/>
      <c r="X58" s="357"/>
      <c r="Y58" s="357"/>
      <c r="Z58" s="638"/>
    </row>
    <row r="59" spans="3:47" ht="11.25" customHeight="1">
      <c r="C59" s="401"/>
      <c r="D59" s="357"/>
      <c r="E59" s="447"/>
      <c r="F59" s="357"/>
      <c r="G59" s="631"/>
      <c r="H59" s="629"/>
      <c r="I59" s="603"/>
      <c r="J59" s="313"/>
      <c r="K59" s="313"/>
      <c r="L59" s="313"/>
      <c r="M59" s="631"/>
      <c r="N59" s="629"/>
      <c r="O59" s="609"/>
      <c r="P59" s="313"/>
      <c r="Q59" s="488"/>
      <c r="R59" s="488"/>
      <c r="S59" s="607"/>
      <c r="U59" s="401"/>
      <c r="V59" s="451"/>
      <c r="W59" s="765"/>
      <c r="X59" s="357"/>
      <c r="Y59" s="357"/>
      <c r="Z59" s="638"/>
    </row>
    <row r="60" spans="3:47" ht="11.25" customHeight="1">
      <c r="C60" s="401"/>
      <c r="D60" s="357"/>
      <c r="E60" s="447"/>
      <c r="F60" s="357"/>
      <c r="G60" s="631"/>
      <c r="H60" s="629"/>
      <c r="I60" s="603"/>
      <c r="J60" s="313"/>
      <c r="K60" s="313"/>
      <c r="L60" s="313"/>
      <c r="M60" s="631"/>
      <c r="N60" s="629"/>
      <c r="O60" s="609"/>
      <c r="P60" s="313"/>
      <c r="Q60" s="488"/>
      <c r="R60" s="488"/>
      <c r="S60" s="607"/>
      <c r="U60" s="401"/>
      <c r="V60" s="451"/>
      <c r="W60" s="765"/>
      <c r="X60" s="357"/>
      <c r="Y60" s="357"/>
      <c r="Z60" s="638"/>
    </row>
    <row r="61" spans="3:47" ht="11.25" customHeight="1">
      <c r="C61" s="401"/>
      <c r="D61" s="357"/>
      <c r="E61" s="447"/>
      <c r="F61" s="357"/>
      <c r="G61" s="631"/>
      <c r="H61" s="629"/>
      <c r="I61" s="603"/>
      <c r="J61" s="313"/>
      <c r="K61" s="313"/>
      <c r="L61" s="313"/>
      <c r="M61" s="631"/>
      <c r="N61" s="629"/>
      <c r="O61" s="609"/>
      <c r="P61" s="313"/>
      <c r="Q61" s="488"/>
      <c r="R61" s="488"/>
      <c r="S61" s="607"/>
      <c r="U61" s="401"/>
      <c r="V61" s="451"/>
      <c r="W61" s="765"/>
      <c r="X61" s="357"/>
      <c r="Y61" s="357"/>
      <c r="Z61" s="638"/>
    </row>
    <row r="62" spans="3:47" ht="11.25" customHeight="1">
      <c r="C62" s="401"/>
      <c r="D62" s="357"/>
      <c r="E62" s="447"/>
      <c r="F62" s="357"/>
      <c r="G62" s="631"/>
      <c r="H62" s="629"/>
      <c r="I62" s="603"/>
      <c r="J62" s="313"/>
      <c r="K62" s="313"/>
      <c r="L62" s="313"/>
      <c r="M62" s="631"/>
      <c r="N62" s="629"/>
      <c r="O62" s="609"/>
      <c r="P62" s="313"/>
      <c r="Q62" s="488"/>
      <c r="R62" s="488"/>
      <c r="S62" s="607"/>
      <c r="U62" s="401"/>
      <c r="V62" s="451"/>
      <c r="W62" s="765"/>
      <c r="X62" s="357"/>
      <c r="Y62" s="357"/>
      <c r="Z62" s="638"/>
    </row>
    <row r="63" spans="3:47" ht="11.25" customHeight="1">
      <c r="C63" s="401"/>
      <c r="D63" s="357"/>
      <c r="E63" s="447"/>
      <c r="F63" s="357"/>
      <c r="G63" s="631"/>
      <c r="H63" s="629"/>
      <c r="I63" s="603"/>
      <c r="J63" s="313"/>
      <c r="K63" s="313"/>
      <c r="L63" s="313"/>
      <c r="M63" s="631"/>
      <c r="N63" s="629"/>
      <c r="O63" s="609"/>
      <c r="P63" s="313"/>
      <c r="Q63" s="488"/>
      <c r="R63" s="488"/>
      <c r="S63" s="607"/>
      <c r="U63" s="401"/>
      <c r="V63" s="451"/>
      <c r="W63" s="765"/>
      <c r="X63" s="357"/>
      <c r="Y63" s="357"/>
      <c r="Z63" s="638"/>
    </row>
    <row r="64" spans="3:47" ht="11.25" customHeight="1">
      <c r="C64" s="401"/>
      <c r="D64" s="357"/>
      <c r="E64" s="447"/>
      <c r="F64" s="357"/>
      <c r="G64" s="631"/>
      <c r="H64" s="629"/>
      <c r="I64" s="603"/>
      <c r="J64" s="313"/>
      <c r="K64" s="313"/>
      <c r="L64" s="313"/>
      <c r="M64" s="631"/>
      <c r="N64" s="629"/>
      <c r="O64" s="609"/>
      <c r="P64" s="313"/>
      <c r="Q64" s="488"/>
      <c r="R64" s="488"/>
      <c r="S64" s="607"/>
      <c r="U64" s="401"/>
      <c r="V64" s="451"/>
      <c r="W64" s="765"/>
      <c r="X64" s="357"/>
      <c r="Y64" s="357"/>
      <c r="Z64" s="638"/>
    </row>
    <row r="65" spans="3:26" ht="11.25" customHeight="1">
      <c r="C65" s="401"/>
      <c r="D65" s="357"/>
      <c r="E65" s="447"/>
      <c r="F65" s="357"/>
      <c r="G65" s="631"/>
      <c r="H65" s="629"/>
      <c r="I65" s="603"/>
      <c r="J65" s="313"/>
      <c r="K65" s="313"/>
      <c r="L65" s="313"/>
      <c r="M65" s="631"/>
      <c r="N65" s="629"/>
      <c r="O65" s="609"/>
      <c r="P65" s="313"/>
      <c r="Q65" s="488"/>
      <c r="R65" s="488"/>
      <c r="S65" s="607"/>
      <c r="U65" s="401"/>
      <c r="V65" s="451"/>
      <c r="W65" s="765"/>
      <c r="X65" s="357"/>
      <c r="Y65" s="357"/>
      <c r="Z65" s="638"/>
    </row>
    <row r="66" spans="3:26" ht="11.25" customHeight="1">
      <c r="C66" s="401"/>
      <c r="D66" s="357"/>
      <c r="E66" s="447"/>
      <c r="F66" s="357"/>
      <c r="G66" s="631"/>
      <c r="H66" s="629"/>
      <c r="I66" s="603"/>
      <c r="J66" s="313"/>
      <c r="K66" s="313"/>
      <c r="L66" s="313"/>
      <c r="M66" s="631"/>
      <c r="N66" s="629"/>
      <c r="O66" s="609"/>
      <c r="P66" s="313"/>
      <c r="Q66" s="313"/>
      <c r="R66" s="643"/>
      <c r="S66" s="607"/>
      <c r="U66" s="401"/>
      <c r="V66" s="451"/>
      <c r="W66" s="765"/>
      <c r="X66" s="357"/>
      <c r="Y66" s="357"/>
      <c r="Z66" s="638"/>
    </row>
    <row r="67" spans="3:26" ht="11.25" customHeight="1">
      <c r="C67" s="401"/>
      <c r="D67" s="357"/>
      <c r="E67" s="447"/>
      <c r="F67" s="357"/>
      <c r="G67" s="631"/>
      <c r="H67" s="629"/>
      <c r="I67" s="603"/>
      <c r="J67" s="313"/>
      <c r="K67" s="313"/>
      <c r="L67" s="313"/>
      <c r="M67" s="631"/>
      <c r="N67" s="629"/>
      <c r="O67" s="609"/>
      <c r="P67" s="313"/>
      <c r="Q67" s="313"/>
      <c r="R67" s="643"/>
      <c r="S67" s="607"/>
      <c r="U67" s="401"/>
      <c r="V67" s="451"/>
      <c r="W67" s="765"/>
      <c r="X67" s="357"/>
      <c r="Y67" s="357"/>
      <c r="Z67" s="638"/>
    </row>
    <row r="68" spans="3:26" ht="11.25" customHeight="1">
      <c r="C68" s="401"/>
      <c r="D68" s="357"/>
      <c r="E68" s="447"/>
      <c r="F68" s="357"/>
      <c r="G68" s="631"/>
      <c r="H68" s="629"/>
      <c r="I68" s="603"/>
      <c r="J68" s="313"/>
      <c r="K68" s="313"/>
      <c r="L68" s="313"/>
      <c r="M68" s="631"/>
      <c r="N68" s="629"/>
      <c r="O68" s="609"/>
      <c r="P68" s="313"/>
      <c r="Q68" s="313"/>
      <c r="R68" s="488"/>
      <c r="S68" s="607"/>
      <c r="U68" s="401"/>
      <c r="V68" s="451"/>
      <c r="W68" s="765"/>
      <c r="X68" s="357"/>
      <c r="Y68" s="357"/>
      <c r="Z68" s="638"/>
    </row>
    <row r="69" spans="3:26" ht="11.25" customHeight="1">
      <c r="C69" s="401"/>
      <c r="D69" s="357"/>
      <c r="E69" s="447"/>
      <c r="F69" s="357"/>
      <c r="G69" s="631"/>
      <c r="H69" s="629"/>
      <c r="I69" s="603"/>
      <c r="J69" s="313"/>
      <c r="K69" s="313"/>
      <c r="L69" s="313"/>
      <c r="M69" s="631"/>
      <c r="N69" s="629"/>
      <c r="O69" s="609"/>
      <c r="P69" s="313"/>
      <c r="Q69" s="313"/>
      <c r="R69" s="488"/>
      <c r="S69" s="607"/>
      <c r="U69" s="401"/>
      <c r="V69" s="451"/>
      <c r="W69" s="765"/>
      <c r="X69" s="357"/>
      <c r="Y69" s="357"/>
      <c r="Z69" s="638"/>
    </row>
    <row r="70" spans="3:26" ht="11.25" customHeight="1">
      <c r="C70" s="401"/>
      <c r="D70" s="357"/>
      <c r="E70" s="447"/>
      <c r="F70" s="357"/>
      <c r="G70" s="631"/>
      <c r="H70" s="629"/>
      <c r="I70" s="603"/>
      <c r="J70" s="313"/>
      <c r="K70" s="313"/>
      <c r="L70" s="313"/>
      <c r="M70" s="631"/>
      <c r="N70" s="629"/>
      <c r="O70" s="609"/>
      <c r="P70" s="313"/>
      <c r="Q70" s="313"/>
      <c r="R70" s="488"/>
      <c r="S70" s="607"/>
      <c r="U70" s="401"/>
      <c r="V70" s="451"/>
      <c r="W70" s="765"/>
      <c r="X70" s="357"/>
      <c r="Y70" s="357"/>
      <c r="Z70" s="638"/>
    </row>
    <row r="71" spans="3:26" ht="11.25" customHeight="1">
      <c r="C71" s="401"/>
      <c r="D71" s="357"/>
      <c r="E71" s="447"/>
      <c r="F71" s="357"/>
      <c r="G71" s="631"/>
      <c r="H71" s="629"/>
      <c r="I71" s="603"/>
      <c r="J71" s="313"/>
      <c r="K71" s="313"/>
      <c r="L71" s="313"/>
      <c r="M71" s="631"/>
      <c r="N71" s="629"/>
      <c r="O71" s="609"/>
      <c r="P71" s="313"/>
      <c r="Q71" s="313"/>
      <c r="R71" s="488"/>
      <c r="S71" s="607"/>
      <c r="U71" s="401"/>
      <c r="V71" s="451"/>
      <c r="W71" s="765"/>
      <c r="X71" s="357"/>
      <c r="Y71" s="357"/>
      <c r="Z71" s="638"/>
    </row>
    <row r="72" spans="3:26" ht="11.25" customHeight="1">
      <c r="C72" s="401"/>
      <c r="D72" s="357"/>
      <c r="E72" s="447"/>
      <c r="F72" s="357"/>
      <c r="G72" s="631"/>
      <c r="H72" s="629"/>
      <c r="I72" s="604"/>
      <c r="J72" s="317"/>
      <c r="K72" s="317"/>
      <c r="L72" s="317"/>
      <c r="M72" s="631"/>
      <c r="N72" s="629"/>
      <c r="O72" s="609"/>
      <c r="P72" s="313"/>
      <c r="Q72" s="313"/>
      <c r="R72" s="644"/>
      <c r="S72" s="607"/>
      <c r="U72" s="401"/>
      <c r="V72" s="451"/>
      <c r="W72" s="765"/>
      <c r="X72" s="357"/>
      <c r="Y72" s="357"/>
      <c r="Z72" s="638"/>
    </row>
    <row r="73" spans="3:26" ht="11.25" customHeight="1">
      <c r="C73" s="401"/>
      <c r="D73" s="357"/>
      <c r="E73" s="447"/>
      <c r="F73" s="357"/>
      <c r="G73" s="631"/>
      <c r="H73" s="629"/>
      <c r="I73" s="603"/>
      <c r="J73" s="313"/>
      <c r="K73" s="313"/>
      <c r="L73" s="313"/>
      <c r="M73" s="631"/>
      <c r="N73" s="629"/>
      <c r="O73" s="609"/>
      <c r="P73" s="313"/>
      <c r="Q73" s="313"/>
      <c r="R73" s="488"/>
      <c r="S73" s="607"/>
      <c r="U73" s="401"/>
      <c r="V73" s="451"/>
      <c r="W73" s="765"/>
      <c r="X73" s="357"/>
      <c r="Y73" s="357"/>
      <c r="Z73" s="638"/>
    </row>
    <row r="74" spans="3:26" ht="11.25" customHeight="1">
      <c r="C74" s="401"/>
      <c r="D74" s="357"/>
      <c r="E74" s="447"/>
      <c r="F74" s="357"/>
      <c r="G74" s="631"/>
      <c r="H74" s="629"/>
      <c r="I74" s="603"/>
      <c r="J74" s="313"/>
      <c r="K74" s="313"/>
      <c r="L74" s="313"/>
      <c r="M74" s="631"/>
      <c r="N74" s="629"/>
      <c r="O74" s="609"/>
      <c r="P74" s="313"/>
      <c r="Q74" s="313"/>
      <c r="R74" s="488"/>
      <c r="S74" s="607"/>
      <c r="U74" s="401"/>
      <c r="V74" s="451"/>
      <c r="W74" s="765"/>
      <c r="X74" s="357"/>
      <c r="Y74" s="357"/>
      <c r="Z74" s="638"/>
    </row>
    <row r="75" spans="3:26" ht="11.25" customHeight="1">
      <c r="C75" s="401"/>
      <c r="D75" s="357"/>
      <c r="E75" s="447"/>
      <c r="F75" s="357"/>
      <c r="G75" s="631"/>
      <c r="H75" s="629"/>
      <c r="I75" s="603"/>
      <c r="J75" s="313"/>
      <c r="K75" s="313"/>
      <c r="L75" s="313"/>
      <c r="M75" s="631"/>
      <c r="N75" s="629"/>
      <c r="O75" s="609"/>
      <c r="P75" s="313"/>
      <c r="Q75" s="313"/>
      <c r="R75" s="488"/>
      <c r="S75" s="607"/>
      <c r="U75" s="401"/>
      <c r="V75" s="451"/>
      <c r="W75" s="765"/>
      <c r="X75" s="357"/>
      <c r="Y75" s="357"/>
      <c r="Z75" s="638"/>
    </row>
    <row r="76" spans="3:26" ht="9.75" customHeight="1">
      <c r="C76" s="401"/>
      <c r="D76" s="357"/>
      <c r="E76" s="447"/>
      <c r="F76" s="357"/>
      <c r="G76" s="631"/>
      <c r="H76" s="629"/>
      <c r="I76" s="603"/>
      <c r="J76" s="313"/>
      <c r="K76" s="313"/>
      <c r="L76" s="313"/>
      <c r="M76" s="631"/>
      <c r="N76" s="629"/>
      <c r="O76" s="609"/>
      <c r="P76" s="313"/>
      <c r="Q76" s="313"/>
      <c r="R76" s="488"/>
      <c r="S76" s="607"/>
      <c r="U76" s="401"/>
      <c r="V76" s="451"/>
      <c r="W76" s="764"/>
      <c r="X76" s="357"/>
      <c r="Y76" s="357"/>
      <c r="Z76" s="638"/>
    </row>
    <row r="77" spans="3:26" ht="11.25" hidden="1" customHeight="1">
      <c r="C77" s="401"/>
      <c r="D77" s="357"/>
      <c r="E77" s="447"/>
      <c r="F77" s="357"/>
      <c r="G77" s="631"/>
      <c r="H77" s="629"/>
      <c r="I77" s="603"/>
      <c r="J77" s="488"/>
      <c r="K77" s="488"/>
      <c r="L77" s="313"/>
      <c r="M77" s="631"/>
      <c r="N77" s="629"/>
      <c r="O77" s="609"/>
      <c r="P77" s="313"/>
      <c r="Q77" s="313"/>
      <c r="R77" s="488"/>
      <c r="S77" s="607"/>
      <c r="U77" s="401"/>
      <c r="V77" s="451"/>
      <c r="W77" s="357"/>
      <c r="X77" s="357"/>
      <c r="Y77" s="357"/>
      <c r="Z77" s="638"/>
    </row>
    <row r="78" spans="3:26" ht="11.25" customHeight="1">
      <c r="C78" s="401"/>
      <c r="D78" s="357"/>
      <c r="E78" s="447"/>
      <c r="F78" s="357"/>
      <c r="G78" s="631"/>
      <c r="H78" s="629"/>
      <c r="I78" s="603"/>
      <c r="J78" s="313"/>
      <c r="K78" s="313"/>
      <c r="L78" s="313"/>
      <c r="M78" s="631"/>
      <c r="N78" s="629"/>
      <c r="O78" s="609"/>
      <c r="P78" s="313"/>
      <c r="Q78" s="313"/>
      <c r="R78" s="488"/>
      <c r="S78" s="607"/>
      <c r="U78" s="401"/>
      <c r="V78" s="451"/>
      <c r="W78" s="357"/>
      <c r="X78" s="357"/>
      <c r="Y78" s="357"/>
      <c r="Z78" s="638"/>
    </row>
    <row r="79" spans="3:26" ht="11.25" customHeight="1">
      <c r="C79" s="401"/>
      <c r="D79" s="357"/>
      <c r="E79" s="447"/>
      <c r="F79" s="357"/>
      <c r="G79" s="631"/>
      <c r="H79" s="629"/>
      <c r="I79" s="603"/>
      <c r="J79" s="313"/>
      <c r="K79" s="313"/>
      <c r="L79" s="313"/>
      <c r="M79" s="631"/>
      <c r="N79" s="629"/>
      <c r="O79" s="609"/>
      <c r="P79" s="313"/>
      <c r="Q79" s="313"/>
      <c r="R79" s="488"/>
      <c r="S79" s="607"/>
      <c r="U79" s="401"/>
      <c r="V79" s="451"/>
      <c r="W79" s="357"/>
      <c r="X79" s="357"/>
      <c r="Y79" s="357"/>
      <c r="Z79" s="638"/>
    </row>
    <row r="80" spans="3:26" ht="11.25" customHeight="1">
      <c r="C80" s="401"/>
      <c r="D80" s="357"/>
      <c r="E80" s="447"/>
      <c r="F80" s="357"/>
      <c r="G80" s="631"/>
      <c r="H80" s="629"/>
      <c r="I80" s="603"/>
      <c r="J80" s="313"/>
      <c r="K80" s="313"/>
      <c r="L80" s="313"/>
      <c r="M80" s="631"/>
      <c r="N80" s="629"/>
      <c r="O80" s="609"/>
      <c r="P80" s="313"/>
      <c r="Q80" s="313"/>
      <c r="R80" s="488"/>
      <c r="S80" s="607"/>
      <c r="U80" s="401"/>
      <c r="V80" s="451"/>
      <c r="W80" s="357"/>
      <c r="X80" s="357"/>
      <c r="Y80" s="357"/>
      <c r="Z80" s="638"/>
    </row>
    <row r="81" spans="3:26" ht="11.25" customHeight="1">
      <c r="C81" s="401"/>
      <c r="D81" s="357"/>
      <c r="E81" s="447"/>
      <c r="F81" s="357"/>
      <c r="G81" s="631"/>
      <c r="H81" s="629"/>
      <c r="I81" s="603"/>
      <c r="J81" s="313"/>
      <c r="K81" s="313"/>
      <c r="L81" s="313"/>
      <c r="M81" s="631"/>
      <c r="N81" s="629"/>
      <c r="O81" s="609"/>
      <c r="P81" s="313"/>
      <c r="Q81" s="313"/>
      <c r="R81" s="488"/>
      <c r="S81" s="607"/>
      <c r="U81" s="401"/>
      <c r="V81" s="451"/>
      <c r="W81" s="357"/>
      <c r="X81" s="357"/>
      <c r="Y81" s="357"/>
      <c r="Z81" s="638"/>
    </row>
    <row r="82" spans="3:26" ht="11.25" customHeight="1">
      <c r="C82" s="401"/>
      <c r="D82" s="357"/>
      <c r="E82" s="447"/>
      <c r="F82" s="357"/>
      <c r="G82" s="631"/>
      <c r="H82" s="629"/>
      <c r="I82" s="603"/>
      <c r="J82" s="313"/>
      <c r="K82" s="313"/>
      <c r="L82" s="313"/>
      <c r="M82" s="631"/>
      <c r="N82" s="629"/>
      <c r="O82" s="609"/>
      <c r="P82" s="313"/>
      <c r="Q82" s="313"/>
      <c r="R82" s="488"/>
      <c r="S82" s="607"/>
      <c r="U82" s="401"/>
      <c r="V82" s="451"/>
      <c r="W82" s="357"/>
      <c r="X82" s="357"/>
      <c r="Y82" s="357"/>
      <c r="Z82" s="638"/>
    </row>
    <row r="83" spans="3:26" ht="11.25" customHeight="1">
      <c r="C83" s="401"/>
      <c r="D83" s="357"/>
      <c r="E83" s="447"/>
      <c r="F83" s="357"/>
      <c r="G83" s="631"/>
      <c r="H83" s="629"/>
      <c r="I83" s="603"/>
      <c r="J83" s="313"/>
      <c r="K83" s="313"/>
      <c r="L83" s="313"/>
      <c r="M83" s="631"/>
      <c r="N83" s="629"/>
      <c r="O83" s="609"/>
      <c r="P83" s="313"/>
      <c r="Q83" s="313"/>
      <c r="R83" s="488"/>
      <c r="S83" s="607"/>
      <c r="U83" s="401"/>
      <c r="V83" s="451"/>
      <c r="W83" s="357"/>
      <c r="X83" s="357"/>
      <c r="Y83" s="357"/>
      <c r="Z83" s="638"/>
    </row>
    <row r="84" spans="3:26" ht="11.25" customHeight="1">
      <c r="C84" s="401"/>
      <c r="D84" s="357"/>
      <c r="E84" s="447"/>
      <c r="F84" s="357"/>
      <c r="G84" s="631"/>
      <c r="H84" s="629"/>
      <c r="I84" s="603"/>
      <c r="J84" s="313"/>
      <c r="K84" s="313"/>
      <c r="L84" s="313"/>
      <c r="M84" s="631"/>
      <c r="N84" s="629"/>
      <c r="O84" s="609"/>
      <c r="P84" s="313"/>
      <c r="Q84" s="313"/>
      <c r="R84" s="488"/>
      <c r="S84" s="607"/>
      <c r="U84" s="401"/>
      <c r="V84" s="357"/>
      <c r="W84" s="357"/>
      <c r="X84" s="357"/>
      <c r="Y84" s="357"/>
      <c r="Z84" s="638"/>
    </row>
    <row r="85" spans="3:26" ht="11.25" customHeight="1">
      <c r="C85" s="401"/>
      <c r="D85" s="357"/>
      <c r="E85" s="447"/>
      <c r="F85" s="357"/>
      <c r="G85" s="631"/>
      <c r="H85" s="629"/>
      <c r="I85" s="603"/>
      <c r="J85" s="313"/>
      <c r="K85" s="313"/>
      <c r="L85" s="313"/>
      <c r="M85" s="631"/>
      <c r="N85" s="629"/>
      <c r="O85" s="609"/>
      <c r="P85" s="313"/>
      <c r="Q85" s="313"/>
      <c r="R85" s="488"/>
      <c r="S85" s="607"/>
      <c r="U85" s="401"/>
      <c r="V85" s="357"/>
      <c r="W85" s="357"/>
      <c r="X85" s="357"/>
      <c r="Y85" s="357"/>
      <c r="Z85" s="638"/>
    </row>
    <row r="86" spans="3:26" ht="11.25" customHeight="1">
      <c r="C86" s="401"/>
      <c r="D86" s="357"/>
      <c r="E86" s="447"/>
      <c r="F86" s="357"/>
      <c r="G86" s="631"/>
      <c r="H86" s="629"/>
      <c r="I86" s="603"/>
      <c r="J86" s="313"/>
      <c r="K86" s="313"/>
      <c r="L86" s="313"/>
      <c r="M86" s="631"/>
      <c r="N86" s="629"/>
      <c r="O86" s="609"/>
      <c r="P86" s="313"/>
      <c r="Q86" s="313"/>
      <c r="R86" s="488"/>
      <c r="S86" s="607"/>
      <c r="U86" s="401"/>
      <c r="V86" s="357"/>
      <c r="W86" s="357"/>
      <c r="X86" s="357"/>
      <c r="Y86" s="357"/>
      <c r="Z86" s="638"/>
    </row>
    <row r="87" spans="3:26" ht="11.25" customHeight="1">
      <c r="C87" s="401"/>
      <c r="D87" s="357"/>
      <c r="E87" s="447"/>
      <c r="F87" s="357"/>
      <c r="G87" s="631"/>
      <c r="H87" s="629"/>
      <c r="I87" s="603"/>
      <c r="J87" s="313"/>
      <c r="K87" s="313"/>
      <c r="L87" s="313"/>
      <c r="M87" s="631"/>
      <c r="N87" s="629"/>
      <c r="O87" s="609"/>
      <c r="P87" s="313"/>
      <c r="Q87" s="313"/>
      <c r="R87" s="488"/>
      <c r="S87" s="607"/>
      <c r="U87" s="401"/>
      <c r="V87" s="357"/>
      <c r="W87" s="357"/>
      <c r="X87" s="357"/>
      <c r="Y87" s="357"/>
      <c r="Z87" s="638"/>
    </row>
    <row r="88" spans="3:26" ht="11.25" customHeight="1">
      <c r="C88" s="401"/>
      <c r="D88" s="357"/>
      <c r="E88" s="447"/>
      <c r="F88" s="357"/>
      <c r="G88" s="631"/>
      <c r="H88" s="629"/>
      <c r="I88" s="603"/>
      <c r="J88" s="313"/>
      <c r="K88" s="313"/>
      <c r="L88" s="313"/>
      <c r="M88" s="631"/>
      <c r="N88" s="629"/>
      <c r="O88" s="609"/>
      <c r="P88" s="313"/>
      <c r="Q88" s="313"/>
      <c r="R88" s="488"/>
      <c r="S88" s="607"/>
      <c r="U88" s="401"/>
      <c r="V88" s="357"/>
      <c r="W88" s="357"/>
      <c r="X88" s="357"/>
      <c r="Y88" s="357"/>
      <c r="Z88" s="638"/>
    </row>
    <row r="89" spans="3:26" ht="11.25" customHeight="1">
      <c r="C89" s="401"/>
      <c r="D89" s="357"/>
      <c r="E89" s="447"/>
      <c r="F89" s="357"/>
      <c r="G89" s="631"/>
      <c r="H89" s="629"/>
      <c r="I89" s="603"/>
      <c r="J89" s="313"/>
      <c r="K89" s="313"/>
      <c r="L89" s="313"/>
      <c r="M89" s="631"/>
      <c r="N89" s="629"/>
      <c r="O89" s="609"/>
      <c r="P89" s="313"/>
      <c r="Q89" s="313"/>
      <c r="R89" s="488"/>
      <c r="S89" s="607"/>
      <c r="U89" s="401"/>
      <c r="V89" s="357"/>
      <c r="W89" s="357"/>
      <c r="X89" s="357"/>
      <c r="Y89" s="357"/>
      <c r="Z89" s="638"/>
    </row>
    <row r="90" spans="3:26" ht="11.25" customHeight="1">
      <c r="C90" s="401"/>
      <c r="D90" s="357"/>
      <c r="E90" s="447"/>
      <c r="F90" s="357"/>
      <c r="G90" s="631"/>
      <c r="H90" s="629"/>
      <c r="I90" s="603"/>
      <c r="J90" s="313"/>
      <c r="K90" s="313"/>
      <c r="L90" s="313"/>
      <c r="M90" s="631"/>
      <c r="N90" s="629"/>
      <c r="O90" s="609"/>
      <c r="P90" s="313"/>
      <c r="Q90" s="313"/>
      <c r="R90" s="488"/>
      <c r="S90" s="607"/>
      <c r="U90" s="401"/>
      <c r="V90" s="357"/>
      <c r="W90" s="357"/>
      <c r="X90" s="357"/>
      <c r="Y90" s="357"/>
      <c r="Z90" s="638"/>
    </row>
    <row r="91" spans="3:26">
      <c r="C91" s="401"/>
      <c r="D91" s="357"/>
      <c r="E91" s="447"/>
      <c r="F91" s="357"/>
      <c r="G91" s="631"/>
      <c r="H91" s="629"/>
      <c r="I91" s="603"/>
      <c r="J91" s="313"/>
      <c r="K91" s="313"/>
      <c r="L91" s="313"/>
      <c r="M91" s="631"/>
      <c r="N91" s="629"/>
      <c r="O91" s="609"/>
      <c r="P91" s="313"/>
      <c r="Q91" s="313"/>
      <c r="R91" s="488"/>
      <c r="S91" s="607"/>
      <c r="U91" s="401"/>
      <c r="V91" s="357"/>
      <c r="W91" s="357"/>
      <c r="X91" s="357"/>
      <c r="Y91" s="357"/>
      <c r="Z91" s="638"/>
    </row>
    <row r="92" spans="3:26">
      <c r="C92" s="401"/>
      <c r="D92" s="357"/>
      <c r="E92" s="447"/>
      <c r="F92" s="357"/>
      <c r="G92" s="631"/>
      <c r="H92" s="629"/>
      <c r="I92" s="603"/>
      <c r="J92" s="313"/>
      <c r="K92" s="313"/>
      <c r="L92" s="313"/>
      <c r="M92" s="631"/>
      <c r="N92" s="629"/>
      <c r="O92" s="609"/>
      <c r="P92" s="313"/>
      <c r="Q92" s="313"/>
      <c r="R92" s="488"/>
      <c r="S92" s="607"/>
      <c r="U92" s="401"/>
      <c r="V92" s="357"/>
      <c r="W92" s="357"/>
      <c r="X92" s="357"/>
      <c r="Y92" s="357"/>
      <c r="Z92" s="638"/>
    </row>
    <row r="93" spans="3:26">
      <c r="C93" s="401"/>
      <c r="D93" s="357"/>
      <c r="E93" s="447"/>
      <c r="F93" s="357"/>
      <c r="G93" s="631"/>
      <c r="H93" s="629"/>
      <c r="I93" s="603"/>
      <c r="J93" s="313"/>
      <c r="K93" s="313"/>
      <c r="L93" s="313"/>
      <c r="M93" s="631"/>
      <c r="N93" s="629"/>
      <c r="O93" s="609"/>
      <c r="P93" s="313"/>
      <c r="Q93" s="313"/>
      <c r="R93" s="488"/>
      <c r="S93" s="607"/>
      <c r="U93" s="401"/>
      <c r="V93" s="357"/>
      <c r="W93" s="357"/>
      <c r="X93" s="357"/>
      <c r="Y93" s="357"/>
      <c r="Z93" s="638"/>
    </row>
    <row r="94" spans="3:26">
      <c r="C94" s="401"/>
      <c r="D94" s="357"/>
      <c r="E94" s="447"/>
      <c r="F94" s="357"/>
      <c r="G94" s="631"/>
      <c r="H94" s="629"/>
      <c r="I94" s="603"/>
      <c r="J94" s="313"/>
      <c r="K94" s="313"/>
      <c r="L94" s="313"/>
      <c r="M94" s="631"/>
      <c r="N94" s="629"/>
      <c r="O94" s="609"/>
      <c r="P94" s="313"/>
      <c r="Q94" s="313"/>
      <c r="R94" s="488"/>
      <c r="S94" s="607"/>
      <c r="U94" s="401"/>
      <c r="V94" s="357"/>
      <c r="W94" s="357"/>
      <c r="X94" s="357"/>
      <c r="Y94" s="357"/>
      <c r="Z94" s="638"/>
    </row>
    <row r="95" spans="3:26">
      <c r="C95" s="401"/>
      <c r="D95" s="357"/>
      <c r="E95" s="447"/>
      <c r="F95" s="357"/>
      <c r="G95" s="631"/>
      <c r="H95" s="629"/>
      <c r="I95" s="603"/>
      <c r="J95" s="313"/>
      <c r="K95" s="313"/>
      <c r="L95" s="313"/>
      <c r="M95" s="631"/>
      <c r="N95" s="629"/>
      <c r="O95" s="609"/>
      <c r="P95" s="313"/>
      <c r="Q95" s="313"/>
      <c r="R95" s="488"/>
      <c r="S95" s="607"/>
      <c r="U95" s="401"/>
      <c r="V95" s="357"/>
      <c r="W95" s="357"/>
      <c r="X95" s="357"/>
      <c r="Y95" s="357"/>
      <c r="Z95" s="638"/>
    </row>
    <row r="96" spans="3:26">
      <c r="C96" s="401"/>
      <c r="D96" s="357"/>
      <c r="E96" s="447"/>
      <c r="F96" s="357"/>
      <c r="G96" s="631"/>
      <c r="H96" s="629"/>
      <c r="I96" s="603"/>
      <c r="J96" s="313"/>
      <c r="K96" s="313"/>
      <c r="L96" s="313"/>
      <c r="M96" s="631"/>
      <c r="N96" s="629"/>
      <c r="O96" s="609"/>
      <c r="P96" s="313"/>
      <c r="Q96" s="313"/>
      <c r="R96" s="488"/>
      <c r="S96" s="607"/>
      <c r="U96" s="401"/>
      <c r="V96" s="357"/>
      <c r="W96" s="357"/>
      <c r="X96" s="357"/>
      <c r="Y96" s="357"/>
      <c r="Z96" s="638"/>
    </row>
    <row r="97" spans="3:26" ht="12" thickBot="1">
      <c r="C97" s="402"/>
      <c r="D97" s="403"/>
      <c r="E97" s="404"/>
      <c r="F97" s="403"/>
      <c r="G97" s="632"/>
      <c r="H97" s="629"/>
      <c r="I97" s="605"/>
      <c r="J97" s="600"/>
      <c r="K97" s="600"/>
      <c r="L97" s="600"/>
      <c r="M97" s="632"/>
      <c r="N97" s="629"/>
      <c r="O97" s="610"/>
      <c r="P97" s="600"/>
      <c r="Q97" s="600"/>
      <c r="R97" s="645"/>
      <c r="S97" s="608"/>
      <c r="U97" s="402"/>
      <c r="V97" s="403"/>
      <c r="W97" s="403"/>
      <c r="X97" s="403"/>
      <c r="Y97" s="403"/>
      <c r="Z97" s="639"/>
    </row>
    <row r="98" spans="3:26">
      <c r="H98" s="629"/>
      <c r="N98" s="629"/>
    </row>
    <row r="99" spans="3:26">
      <c r="H99" s="629"/>
    </row>
  </sheetData>
  <mergeCells count="10">
    <mergeCell ref="C50:G50"/>
    <mergeCell ref="I50:M50"/>
    <mergeCell ref="B1:C6"/>
    <mergeCell ref="E2:AU2"/>
    <mergeCell ref="G7:M7"/>
    <mergeCell ref="N7:S7"/>
    <mergeCell ref="G6:M6"/>
    <mergeCell ref="O50:S50"/>
    <mergeCell ref="U50:Z50"/>
    <mergeCell ref="I3:K4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263</v>
      </c>
      <c r="C1" s="11" t="s">
        <v>24</v>
      </c>
      <c r="D1" s="78" t="s">
        <v>60</v>
      </c>
      <c r="E1" s="78" t="s">
        <v>61</v>
      </c>
    </row>
    <row r="2" spans="1:6">
      <c r="A2" s="95">
        <f>Gen!B11</f>
        <v>44075</v>
      </c>
      <c r="B2" s="13">
        <f>SUM('[1]Summery Report'!F5)</f>
        <v>5669</v>
      </c>
      <c r="C2" s="119">
        <f>SUM('[1]Summery Report'!C5)</f>
        <v>0.623</v>
      </c>
      <c r="D2" s="79" t="e">
        <f>SUM('[1]Summery Report'!#REF!)</f>
        <v>#REF!</v>
      </c>
      <c r="E2" s="79" t="e">
        <f>SUM('[1]Summery Report'!#REF!)</f>
        <v>#REF!</v>
      </c>
      <c r="F2" s="19">
        <v>0.1</v>
      </c>
    </row>
    <row r="3" spans="1:6">
      <c r="A3" s="95">
        <f>Gen!B12</f>
        <v>44076</v>
      </c>
      <c r="B3" s="13">
        <f>SUM('[1]Summery Report'!F6)</f>
        <v>6159</v>
      </c>
      <c r="C3" s="119">
        <f>SUM('[1]Summery Report'!C6)</f>
        <v>0.77900000000000003</v>
      </c>
      <c r="D3" s="79" t="e">
        <f>SUM('[1]Summery Report'!#REF!)</f>
        <v>#REF!</v>
      </c>
      <c r="E3" s="79" t="e">
        <f>SUM('[1]Summery Report'!#REF!)</f>
        <v>#REF!</v>
      </c>
      <c r="F3" s="19">
        <v>0.13750000000000001</v>
      </c>
    </row>
    <row r="4" spans="1:6">
      <c r="A4" s="95">
        <f>Gen!B13</f>
        <v>44077</v>
      </c>
      <c r="B4" s="13">
        <f>SUM('[1]Summery Report'!F7)</f>
        <v>6580</v>
      </c>
      <c r="C4" s="119">
        <f>SUM('[1]Summery Report'!C7)</f>
        <v>0.53200000000000003</v>
      </c>
      <c r="D4" s="79" t="e">
        <f>SUM('[1]Summery Report'!#REF!)</f>
        <v>#REF!</v>
      </c>
      <c r="E4" s="79" t="e">
        <f>SUM('[1]Summery Report'!#REF!)</f>
        <v>#REF!</v>
      </c>
      <c r="F4" s="19">
        <v>8.7499999999999994E-2</v>
      </c>
    </row>
    <row r="5" spans="1:6">
      <c r="A5" s="95">
        <f>Gen!B14</f>
        <v>44078</v>
      </c>
      <c r="B5" s="13">
        <f>SUM('[1]Summery Report'!F8)</f>
        <v>6223</v>
      </c>
      <c r="C5" s="119">
        <f>SUM('[1]Summery Report'!C8)</f>
        <v>0.61</v>
      </c>
      <c r="D5" s="79" t="e">
        <f>SUM('[1]Summery Report'!#REF!)</f>
        <v>#REF!</v>
      </c>
      <c r="E5" s="79" t="e">
        <f>SUM('[1]Summery Report'!#REF!)</f>
        <v>#REF!</v>
      </c>
      <c r="F5" s="19">
        <v>0.22500000000000001</v>
      </c>
    </row>
    <row r="6" spans="1:6">
      <c r="A6" s="95">
        <f>Gen!B15</f>
        <v>44079</v>
      </c>
      <c r="B6" s="13">
        <f>SUM('[1]Summery Report'!F9)</f>
        <v>5984</v>
      </c>
      <c r="C6" s="119">
        <f>SUM('[1]Summery Report'!C9)</f>
        <v>0.68799999999999994</v>
      </c>
      <c r="D6" s="79" t="e">
        <f>SUM('[1]Summery Report'!#REF!)</f>
        <v>#REF!</v>
      </c>
      <c r="E6" s="79" t="e">
        <f>SUM('[1]Summery Report'!#REF!)</f>
        <v>#REF!</v>
      </c>
      <c r="F6" s="19">
        <v>0.2</v>
      </c>
    </row>
    <row r="7" spans="1:6">
      <c r="A7" s="95">
        <f>Gen!B16</f>
        <v>44080</v>
      </c>
      <c r="B7" s="13">
        <f>SUM('[1]Summery Report'!F10)</f>
        <v>6103</v>
      </c>
      <c r="C7" s="119">
        <f>SUM('[1]Summery Report'!C10)</f>
        <v>0.53200000000000003</v>
      </c>
      <c r="D7" s="79" t="e">
        <f>SUM('[1]Summery Report'!#REF!)</f>
        <v>#REF!</v>
      </c>
      <c r="E7" s="79" t="e">
        <f>SUM('[1]Summery Report'!#REF!)</f>
        <v>#REF!</v>
      </c>
      <c r="F7" s="19">
        <v>0.35</v>
      </c>
    </row>
    <row r="8" spans="1:6">
      <c r="A8" s="95">
        <f>Gen!B17</f>
        <v>44081</v>
      </c>
      <c r="B8" s="13">
        <f>SUM('[1]Summery Report'!F11)</f>
        <v>5576</v>
      </c>
      <c r="C8" s="119">
        <f>SUM('[1]Summery Report'!C11)</f>
        <v>0.753</v>
      </c>
      <c r="D8" s="79" t="e">
        <f>SUM('[1]Summery Report'!#REF!)</f>
        <v>#REF!</v>
      </c>
      <c r="E8" s="79" t="e">
        <f>SUM('[1]Summery Report'!#REF!)</f>
        <v>#REF!</v>
      </c>
      <c r="F8" s="19">
        <v>0.375</v>
      </c>
    </row>
    <row r="9" spans="1:6">
      <c r="A9" s="95">
        <f>Gen!B18</f>
        <v>44082</v>
      </c>
      <c r="B9" s="13">
        <f>SUM('[1]Summery Report'!F12)</f>
        <v>5532</v>
      </c>
      <c r="C9" s="119">
        <f>SUM('[1]Summery Report'!C12)</f>
        <v>0.156</v>
      </c>
      <c r="D9" s="79" t="e">
        <f>SUM('[1]Summery Report'!#REF!)</f>
        <v>#REF!</v>
      </c>
      <c r="E9" s="79" t="e">
        <f>SUM('[1]Summery Report'!#REF!)</f>
        <v>#REF!</v>
      </c>
      <c r="F9" s="19">
        <v>0.32500000000000001</v>
      </c>
    </row>
    <row r="10" spans="1:6">
      <c r="A10" s="95">
        <f>Gen!B19</f>
        <v>44083</v>
      </c>
      <c r="B10" s="13">
        <f>SUM('[1]Summery Report'!F13)</f>
        <v>6233</v>
      </c>
      <c r="C10" s="119">
        <f>SUM('[1]Summery Report'!C13)</f>
        <v>0.442</v>
      </c>
      <c r="D10" s="79" t="e">
        <f>SUM('[1]Summery Report'!#REF!)</f>
        <v>#REF!</v>
      </c>
      <c r="E10" s="79" t="e">
        <f>SUM('[1]Summery Report'!#REF!)</f>
        <v>#REF!</v>
      </c>
      <c r="F10" s="19">
        <v>0.75</v>
      </c>
    </row>
    <row r="11" spans="1:6">
      <c r="A11" s="95">
        <f>Gen!B20</f>
        <v>44084</v>
      </c>
      <c r="B11" s="13">
        <f>SUM('[1]Summery Report'!F14)</f>
        <v>6063</v>
      </c>
      <c r="C11" s="119">
        <f>SUM('[1]Summery Report'!C14)</f>
        <v>0.32500000000000001</v>
      </c>
      <c r="D11" s="79" t="e">
        <f>SUM('[1]Summery Report'!#REF!)</f>
        <v>#REF!</v>
      </c>
      <c r="E11" s="79" t="e">
        <f>SUM('[1]Summery Report'!#REF!)</f>
        <v>#REF!</v>
      </c>
      <c r="F11" s="19">
        <v>0.76249999999999996</v>
      </c>
    </row>
    <row r="12" spans="1:6">
      <c r="A12" s="95">
        <f>Gen!B21</f>
        <v>44085</v>
      </c>
      <c r="B12" s="13">
        <f>SUM('[1]Summery Report'!F15)</f>
        <v>5967</v>
      </c>
      <c r="C12" s="119">
        <f>SUM('[1]Summery Report'!C15)</f>
        <v>0.45500000000000002</v>
      </c>
      <c r="D12" s="79" t="e">
        <f>SUM('[1]Summery Report'!#REF!)</f>
        <v>#REF!</v>
      </c>
      <c r="E12" s="79" t="e">
        <f>SUM('[1]Summery Report'!#REF!)</f>
        <v>#REF!</v>
      </c>
      <c r="F12" s="19">
        <v>0.16250000000000001</v>
      </c>
    </row>
    <row r="13" spans="1:6">
      <c r="A13" s="95">
        <f>Gen!B22</f>
        <v>44086</v>
      </c>
      <c r="B13" s="13">
        <f>SUM('[1]Summery Report'!F16)</f>
        <v>5863</v>
      </c>
      <c r="C13" s="119">
        <f>SUM('[1]Summery Report'!C16)</f>
        <v>0.41599999999999998</v>
      </c>
      <c r="D13" s="79" t="e">
        <f>SUM('[1]Summery Report'!#REF!)</f>
        <v>#REF!</v>
      </c>
      <c r="E13" s="79" t="e">
        <f>SUM('[1]Summery Report'!#REF!)</f>
        <v>#REF!</v>
      </c>
      <c r="F13" s="19">
        <v>0.1125</v>
      </c>
    </row>
    <row r="14" spans="1:6">
      <c r="A14" s="95">
        <f>Gen!B23</f>
        <v>44087</v>
      </c>
      <c r="B14" s="13">
        <f>SUM('[1]Summery Report'!F17)</f>
        <v>5720</v>
      </c>
      <c r="C14" s="119">
        <f>SUM('[1]Summery Report'!C17)</f>
        <v>0.39</v>
      </c>
      <c r="D14" s="79" t="e">
        <f>SUM('[1]Summery Report'!#REF!)</f>
        <v>#REF!</v>
      </c>
      <c r="E14" s="79" t="e">
        <f>SUM('[1]Summery Report'!#REF!)</f>
        <v>#REF!</v>
      </c>
      <c r="F14" s="19">
        <v>3.7499999999999999E-2</v>
      </c>
    </row>
    <row r="15" spans="1:6">
      <c r="A15" s="95">
        <f>Gen!B24</f>
        <v>44088</v>
      </c>
      <c r="B15" s="13">
        <f>SUM('[1]Summery Report'!F18)</f>
        <v>6195</v>
      </c>
      <c r="C15" s="119">
        <f>SUM('[1]Summery Report'!C18)</f>
        <v>0.63600000000000001</v>
      </c>
      <c r="D15" s="79" t="e">
        <f>SUM('[1]Summery Report'!#REF!)</f>
        <v>#REF!</v>
      </c>
      <c r="E15" s="79" t="e">
        <f>SUM('[1]Summery Report'!#REF!)</f>
        <v>#REF!</v>
      </c>
      <c r="F15" s="19">
        <v>0.125</v>
      </c>
    </row>
    <row r="16" spans="1:6">
      <c r="A16" s="95">
        <f>Gen!B25</f>
        <v>44089</v>
      </c>
      <c r="B16" s="13">
        <f>SUM('[1]Summery Report'!F19)</f>
        <v>6450</v>
      </c>
      <c r="C16" s="119">
        <f>SUM('[1]Summery Report'!C19)</f>
        <v>0.84399999999999997</v>
      </c>
      <c r="D16" s="79" t="e">
        <f>SUM('[1]Summery Report'!#REF!)</f>
        <v>#REF!</v>
      </c>
      <c r="E16" s="79" t="e">
        <f>SUM('[1]Summery Report'!#REF!)</f>
        <v>#REF!</v>
      </c>
      <c r="F16" s="19">
        <v>0.125</v>
      </c>
    </row>
    <row r="17" spans="1:6">
      <c r="A17" s="95">
        <f>Gen!B26</f>
        <v>44090</v>
      </c>
      <c r="B17" s="13">
        <f>SUM('[1]Summery Report'!F20)</f>
        <v>6915</v>
      </c>
      <c r="C17" s="119">
        <f>SUM('[1]Summery Report'!C20)</f>
        <v>0.81799999999999995</v>
      </c>
      <c r="D17" s="79" t="e">
        <f>SUM('[1]Summery Report'!#REF!)</f>
        <v>#REF!</v>
      </c>
      <c r="E17" s="79" t="e">
        <f>SUM('[1]Summery Report'!#REF!)</f>
        <v>#REF!</v>
      </c>
      <c r="F17" s="19">
        <v>0.05</v>
      </c>
    </row>
    <row r="18" spans="1:6">
      <c r="A18" s="95">
        <f>Gen!B27</f>
        <v>44091</v>
      </c>
      <c r="B18" s="13">
        <f>SUM('[1]Summery Report'!F21)</f>
        <v>5962</v>
      </c>
      <c r="C18" s="119">
        <f>SUM('[1]Summery Report'!C21)</f>
        <v>0.20799999999999999</v>
      </c>
      <c r="D18" s="79" t="e">
        <f>SUM('[1]Summery Report'!#REF!)</f>
        <v>#REF!</v>
      </c>
      <c r="E18" s="79" t="e">
        <f>SUM('[1]Summery Report'!#REF!)</f>
        <v>#REF!</v>
      </c>
      <c r="F18" s="19">
        <v>0.21249999999999999</v>
      </c>
    </row>
    <row r="19" spans="1:6">
      <c r="A19" s="95">
        <f>Gen!B28</f>
        <v>44092</v>
      </c>
      <c r="B19" s="13">
        <f>SUM('[1]Summery Report'!F22)</f>
        <v>5257</v>
      </c>
      <c r="C19" s="119">
        <f>SUM('[1]Summery Report'!C22)</f>
        <v>0.221</v>
      </c>
      <c r="D19" s="79" t="e">
        <f>SUM('[1]Summery Report'!#REF!)</f>
        <v>#REF!</v>
      </c>
      <c r="E19" s="79" t="e">
        <f>SUM('[1]Summery Report'!#REF!)</f>
        <v>#REF!</v>
      </c>
      <c r="F19" s="19">
        <v>0.1125</v>
      </c>
    </row>
    <row r="20" spans="1:6">
      <c r="A20" s="95">
        <f>Gen!B29</f>
        <v>44093</v>
      </c>
      <c r="B20" s="13">
        <f>SUM('[1]Summery Report'!F23)</f>
        <v>4691</v>
      </c>
      <c r="C20" s="119">
        <f>SUM('[1]Summery Report'!C23)</f>
        <v>0.11700000000000001</v>
      </c>
      <c r="D20" s="79" t="e">
        <f>SUM('[1]Summery Report'!#REF!)</f>
        <v>#REF!</v>
      </c>
      <c r="E20" s="79" t="e">
        <f>SUM('[1]Summery Report'!#REF!)</f>
        <v>#REF!</v>
      </c>
      <c r="F20" s="19">
        <v>0.13750000000000001</v>
      </c>
    </row>
    <row r="21" spans="1:6">
      <c r="A21" s="95">
        <f>Gen!B30</f>
        <v>44094</v>
      </c>
      <c r="B21" s="13">
        <f>SUM('[1]Summery Report'!F24)</f>
        <v>5712</v>
      </c>
      <c r="C21" s="119">
        <f>SUM('[1]Summery Report'!C24)</f>
        <v>0.57099999999999995</v>
      </c>
      <c r="D21" s="79" t="e">
        <f>SUM('[1]Summery Report'!#REF!)</f>
        <v>#REF!</v>
      </c>
      <c r="E21" s="79" t="e">
        <f>SUM('[1]Summery Report'!#REF!)</f>
        <v>#REF!</v>
      </c>
      <c r="F21" s="19">
        <v>0.15</v>
      </c>
    </row>
    <row r="22" spans="1:6">
      <c r="A22" s="95">
        <f>Gen!B31</f>
        <v>44095</v>
      </c>
      <c r="B22" s="13">
        <f>SUM('[1]Summery Report'!F25)</f>
        <v>5941</v>
      </c>
      <c r="C22" s="119">
        <f>SUM('[1]Summery Report'!C25)</f>
        <v>0.55800000000000005</v>
      </c>
      <c r="D22" s="79" t="e">
        <f>SUM('[1]Summery Report'!#REF!)</f>
        <v>#REF!</v>
      </c>
      <c r="E22" s="79" t="e">
        <f>SUM('[1]Summery Report'!#REF!)</f>
        <v>#REF!</v>
      </c>
      <c r="F22" s="19">
        <v>0.13750000000000001</v>
      </c>
    </row>
    <row r="23" spans="1:6">
      <c r="A23" s="95">
        <f>Gen!B32</f>
        <v>44096</v>
      </c>
      <c r="B23" s="13">
        <f>SUM('[1]Summery Report'!F26)</f>
        <v>5400</v>
      </c>
      <c r="C23" s="119">
        <f>SUM('[1]Summery Report'!C26)</f>
        <v>0.40300000000000002</v>
      </c>
      <c r="D23" s="79" t="e">
        <f>SUM('[1]Summery Report'!#REF!)</f>
        <v>#REF!</v>
      </c>
      <c r="E23" s="79" t="e">
        <f>SUM('[1]Summery Report'!#REF!)</f>
        <v>#REF!</v>
      </c>
      <c r="F23" s="19">
        <v>0</v>
      </c>
    </row>
    <row r="24" spans="1:6">
      <c r="A24" s="95">
        <f>Gen!B33</f>
        <v>44097</v>
      </c>
      <c r="B24" s="13">
        <f>SUM('[1]Summery Report'!F27)</f>
        <v>5371</v>
      </c>
      <c r="C24" s="119">
        <f>SUM('[1]Summery Report'!C27)</f>
        <v>0.24</v>
      </c>
      <c r="D24" s="79" t="e">
        <f>SUM('[1]Summery Report'!#REF!)</f>
        <v>#REF!</v>
      </c>
      <c r="E24" s="79" t="e">
        <f>SUM('[1]Summery Report'!#REF!)</f>
        <v>#REF!</v>
      </c>
      <c r="F24" s="19">
        <v>0.05</v>
      </c>
    </row>
    <row r="25" spans="1:6">
      <c r="A25" s="95">
        <f>Gen!B34</f>
        <v>44098</v>
      </c>
      <c r="B25" s="13">
        <f>SUM('[1]Summery Report'!F28)</f>
        <v>5296</v>
      </c>
      <c r="C25" s="119">
        <f>SUM('[1]Summery Report'!C28)</f>
        <v>0.09</v>
      </c>
      <c r="D25" s="79" t="e">
        <f>SUM('[1]Summery Report'!#REF!)</f>
        <v>#REF!</v>
      </c>
      <c r="E25" s="79" t="e">
        <f>SUM('[1]Summery Report'!#REF!)</f>
        <v>#REF!</v>
      </c>
      <c r="F25" s="19">
        <v>0.1125</v>
      </c>
    </row>
    <row r="26" spans="1:6">
      <c r="A26" s="95">
        <f>Gen!B35</f>
        <v>44099</v>
      </c>
      <c r="B26" s="13">
        <f>SUM('[1]Summery Report'!F29)</f>
        <v>5221</v>
      </c>
      <c r="C26" s="119">
        <f>SUM('[1]Summery Report'!C29)</f>
        <v>0.28599999999999998</v>
      </c>
      <c r="D26" s="79" t="e">
        <f>SUM('[1]Summery Report'!#REF!)</f>
        <v>#REF!</v>
      </c>
      <c r="E26" s="79" t="e">
        <f>SUM('[1]Summery Report'!#REF!)</f>
        <v>#REF!</v>
      </c>
      <c r="F26" s="19">
        <v>0.125</v>
      </c>
    </row>
    <row r="27" spans="1:6">
      <c r="A27" s="95">
        <f>Gen!B36</f>
        <v>44100</v>
      </c>
      <c r="B27" s="13">
        <f>SUM('[1]Summery Report'!F30)</f>
        <v>5665</v>
      </c>
      <c r="C27" s="119">
        <f>SUM('[1]Summery Report'!C30)</f>
        <v>0.54500000000000004</v>
      </c>
      <c r="D27" s="79" t="e">
        <f>SUM('[1]Summery Report'!#REF!)</f>
        <v>#REF!</v>
      </c>
      <c r="E27" s="79" t="e">
        <f>SUM('[1]Summery Report'!#REF!)</f>
        <v>#REF!</v>
      </c>
      <c r="F27" s="19">
        <v>0.17499999999999999</v>
      </c>
    </row>
    <row r="28" spans="1:6">
      <c r="A28" s="95">
        <f>Gen!B37</f>
        <v>44101</v>
      </c>
      <c r="B28" s="13">
        <f>SUM('[1]Summery Report'!F31)</f>
        <v>6109</v>
      </c>
      <c r="C28" s="119">
        <f>SUM('[1]Summery Report'!C31)</f>
        <v>0.67500000000000004</v>
      </c>
      <c r="D28" s="79" t="e">
        <f>SUM('[1]Summery Report'!#REF!)</f>
        <v>#REF!</v>
      </c>
      <c r="E28" s="79" t="e">
        <f>SUM('[1]Summery Report'!#REF!)</f>
        <v>#REF!</v>
      </c>
      <c r="F28" s="19">
        <v>0.125</v>
      </c>
    </row>
    <row r="29" spans="1:6">
      <c r="A29" s="95">
        <f>Gen!B38</f>
        <v>44102</v>
      </c>
      <c r="B29" s="13">
        <f>SUM('[1]Summery Report'!F32)</f>
        <v>0</v>
      </c>
      <c r="C29" s="119">
        <f>SUM('[1]Summery Report'!C32)</f>
        <v>0.27300000000000002</v>
      </c>
      <c r="D29" s="79" t="e">
        <f>SUM('[1]Summery Report'!#REF!)</f>
        <v>#REF!</v>
      </c>
      <c r="E29" s="79" t="e">
        <f>SUM('[1]Summery Report'!#REF!)</f>
        <v>#REF!</v>
      </c>
      <c r="F29" s="19">
        <v>7.4999999999999997E-2</v>
      </c>
    </row>
    <row r="30" spans="1:6">
      <c r="A30" s="95">
        <f>Gen!B39</f>
        <v>44103</v>
      </c>
      <c r="B30" s="13">
        <f>SUM('[1]Summery Report'!F33)</f>
        <v>0</v>
      </c>
      <c r="C30" s="119">
        <f>SUM('[1]Summery Report'!C33)</f>
        <v>0</v>
      </c>
      <c r="D30" s="79" t="e">
        <f>SUM('[1]Summery Report'!#REF!)</f>
        <v>#REF!</v>
      </c>
      <c r="E30" s="79" t="e">
        <f>SUM('[1]Summery Report'!#REF!)</f>
        <v>#REF!</v>
      </c>
      <c r="F30" s="19">
        <v>0.1125</v>
      </c>
    </row>
    <row r="31" spans="1:6">
      <c r="A31" s="95">
        <f>Gen!B40</f>
        <v>44104</v>
      </c>
      <c r="B31" s="13">
        <f>SUM('[1]Summery Report'!F34)</f>
        <v>0</v>
      </c>
      <c r="C31" s="119">
        <f>SUM('[1]Summery Report'!C34)</f>
        <v>0</v>
      </c>
      <c r="D31" s="79" t="e">
        <f>SUM('[1]Summery Report'!#REF!)</f>
        <v>#REF!</v>
      </c>
      <c r="E31" s="79" t="e">
        <f>SUM('[1]Summery Report'!#REF!)</f>
        <v>#REF!</v>
      </c>
      <c r="F31" s="19">
        <v>0.15</v>
      </c>
    </row>
    <row r="32" spans="1:6">
      <c r="A32" s="95">
        <f>Gen!B41</f>
        <v>0</v>
      </c>
      <c r="B32" s="13">
        <f>SUM('[1]Summery Report'!F35)</f>
        <v>0</v>
      </c>
      <c r="C32" s="119">
        <f>SUM('[1]Summery Report'!C35)</f>
        <v>0</v>
      </c>
      <c r="D32" s="79" t="e">
        <f>SUM('[1]Summery Report'!#REF!)</f>
        <v>#REF!</v>
      </c>
      <c r="E32" s="79" t="e">
        <f>SUM('[1]Summery Report'!#REF!)</f>
        <v>#REF!</v>
      </c>
      <c r="F32" s="19">
        <v>0.17499999999999999</v>
      </c>
    </row>
    <row r="33" spans="1:2">
      <c r="A33" s="95">
        <f>Gen!B42</f>
        <v>0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zoomScale="70" zoomScaleNormal="70" workbookViewId="0">
      <selection activeCell="F24" sqref="F24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2" customWidth="1"/>
  </cols>
  <sheetData>
    <row r="1" spans="1:15" ht="15">
      <c r="A1" s="32"/>
      <c r="B1" s="35"/>
      <c r="C1" s="36"/>
      <c r="D1" s="35"/>
      <c r="E1" s="35"/>
      <c r="F1" s="37"/>
      <c r="G1" s="98"/>
      <c r="H1" s="35"/>
      <c r="I1" s="35"/>
      <c r="J1" s="114"/>
    </row>
    <row r="2" spans="1:15" ht="15">
      <c r="A2" s="33"/>
      <c r="B2" s="38"/>
      <c r="C2" s="39"/>
      <c r="D2" s="40"/>
      <c r="E2" s="40"/>
      <c r="F2" s="41"/>
      <c r="G2" s="102"/>
      <c r="H2" s="38"/>
      <c r="I2" s="38"/>
      <c r="J2" s="115"/>
    </row>
    <row r="3" spans="1:15" ht="22.5">
      <c r="A3" s="33"/>
      <c r="B3" s="38"/>
      <c r="C3" s="612" t="s">
        <v>70</v>
      </c>
      <c r="D3" s="613"/>
      <c r="E3" s="613"/>
      <c r="F3" s="614"/>
      <c r="G3" s="615"/>
      <c r="H3" s="42"/>
      <c r="I3" s="42"/>
      <c r="J3" s="116"/>
    </row>
    <row r="4" spans="1:15" ht="15">
      <c r="A4" s="33"/>
      <c r="B4" s="38"/>
      <c r="C4" s="39"/>
      <c r="D4" s="40"/>
      <c r="E4" s="40"/>
      <c r="F4" s="50"/>
      <c r="G4" s="102"/>
      <c r="H4" s="38"/>
      <c r="I4" s="38"/>
      <c r="J4" s="115"/>
    </row>
    <row r="5" spans="1:15" ht="15">
      <c r="A5" s="31"/>
      <c r="B5" s="43"/>
      <c r="C5" s="44"/>
      <c r="D5" s="43"/>
      <c r="E5" s="43"/>
      <c r="F5" s="45"/>
      <c r="G5" s="102"/>
      <c r="H5" s="38"/>
      <c r="I5" s="38"/>
      <c r="J5" s="117"/>
    </row>
    <row r="6" spans="1:15" ht="13.5" customHeight="1">
      <c r="A6" s="5"/>
      <c r="B6" s="46"/>
      <c r="C6" s="832"/>
      <c r="D6" s="833"/>
      <c r="E6" s="834"/>
      <c r="F6" s="834"/>
      <c r="G6" s="49" t="s">
        <v>4</v>
      </c>
      <c r="H6" s="47" t="s">
        <v>14</v>
      </c>
      <c r="I6" s="42"/>
      <c r="J6" s="115"/>
    </row>
    <row r="7" spans="1:15" ht="18" customHeight="1">
      <c r="A7" s="835" t="s">
        <v>7</v>
      </c>
      <c r="B7" s="100" t="s">
        <v>72</v>
      </c>
      <c r="C7" s="99" t="s">
        <v>73</v>
      </c>
      <c r="D7" s="100" t="s">
        <v>74</v>
      </c>
      <c r="E7" s="104"/>
      <c r="F7" s="105" t="s">
        <v>37</v>
      </c>
      <c r="G7" s="106" t="s">
        <v>13</v>
      </c>
      <c r="H7" s="185" t="s">
        <v>12</v>
      </c>
      <c r="I7" s="107" t="s">
        <v>11</v>
      </c>
      <c r="J7" s="48" t="s">
        <v>10</v>
      </c>
    </row>
    <row r="8" spans="1:15" ht="18" customHeight="1">
      <c r="A8" s="836"/>
      <c r="B8" s="346" t="s">
        <v>59</v>
      </c>
      <c r="C8" s="100" t="s">
        <v>36</v>
      </c>
      <c r="D8" s="101" t="s">
        <v>58</v>
      </c>
      <c r="E8" s="109"/>
      <c r="F8" s="112" t="s">
        <v>16</v>
      </c>
      <c r="G8" s="110" t="s">
        <v>71</v>
      </c>
      <c r="H8" s="108" t="s">
        <v>1</v>
      </c>
      <c r="I8" s="111" t="s">
        <v>9</v>
      </c>
      <c r="J8" s="48" t="s">
        <v>8</v>
      </c>
    </row>
    <row r="9" spans="1:15" ht="18.75">
      <c r="A9" s="290"/>
      <c r="B9" s="318"/>
      <c r="C9" s="318"/>
      <c r="D9" s="318"/>
      <c r="E9" s="318"/>
      <c r="F9" s="318">
        <v>72064.87</v>
      </c>
      <c r="G9" s="318"/>
      <c r="H9" s="34"/>
      <c r="I9" s="21"/>
      <c r="J9" s="118"/>
      <c r="N9" s="186"/>
      <c r="O9" s="186"/>
    </row>
    <row r="10" spans="1:15" ht="18.75">
      <c r="A10" s="96">
        <f>Gen!B11</f>
        <v>44075</v>
      </c>
      <c r="B10" s="318">
        <v>85</v>
      </c>
      <c r="C10" s="318">
        <v>85</v>
      </c>
      <c r="D10" s="318">
        <v>2</v>
      </c>
      <c r="E10" s="318"/>
      <c r="F10" s="318">
        <v>72082.820000000007</v>
      </c>
      <c r="G10" s="318">
        <f t="shared" ref="G10:G40" si="0">(F10-F9)*4.4</f>
        <v>78.980000000051234</v>
      </c>
      <c r="H10" s="113">
        <f>Gen!C11</f>
        <v>3.9E-2</v>
      </c>
      <c r="I10" s="6">
        <f>SUM(F10/H10)</f>
        <v>1848277.435897436</v>
      </c>
      <c r="J10" s="118">
        <f t="shared" ref="J10:J40" si="1">SUM(G10/I10)</f>
        <v>4.2731680031413838E-5</v>
      </c>
      <c r="N10" s="186"/>
      <c r="O10" s="186"/>
    </row>
    <row r="11" spans="1:15" ht="18.75">
      <c r="A11" s="96">
        <f>Gen!B12</f>
        <v>44076</v>
      </c>
      <c r="B11" s="318">
        <v>85</v>
      </c>
      <c r="C11" s="318">
        <v>85</v>
      </c>
      <c r="D11" s="318">
        <v>2</v>
      </c>
      <c r="E11" s="318"/>
      <c r="F11" s="318">
        <v>72100.100000000006</v>
      </c>
      <c r="G11" s="318">
        <f t="shared" si="0"/>
        <v>76.031999999994881</v>
      </c>
      <c r="H11" s="113">
        <f>Gen!C12</f>
        <v>3.9E-2</v>
      </c>
      <c r="I11" s="6">
        <f t="shared" ref="I11:I28" si="2">SUM(F11/H11)</f>
        <v>1848720.512820513</v>
      </c>
      <c r="J11" s="118">
        <f t="shared" si="1"/>
        <v>4.11268222928928E-5</v>
      </c>
      <c r="M11" s="186"/>
      <c r="N11" s="186"/>
    </row>
    <row r="12" spans="1:15" ht="18.75">
      <c r="A12" s="96">
        <f>Gen!B13</f>
        <v>44077</v>
      </c>
      <c r="B12" s="318">
        <v>85</v>
      </c>
      <c r="C12" s="318">
        <v>85</v>
      </c>
      <c r="D12" s="318">
        <v>1</v>
      </c>
      <c r="E12" s="318"/>
      <c r="F12" s="318">
        <v>72113.42</v>
      </c>
      <c r="G12" s="318">
        <f t="shared" si="0"/>
        <v>58.607999999966708</v>
      </c>
      <c r="H12" s="113">
        <f>Gen!C13</f>
        <v>3.9E-2</v>
      </c>
      <c r="I12" s="6">
        <f t="shared" si="2"/>
        <v>1849062.0512820513</v>
      </c>
      <c r="J12" s="118">
        <f t="shared" si="1"/>
        <v>3.1696069885448526E-5</v>
      </c>
      <c r="M12" s="186"/>
      <c r="N12" s="186"/>
    </row>
    <row r="13" spans="1:15" ht="18.75">
      <c r="A13" s="96">
        <f>Gen!B14</f>
        <v>44078</v>
      </c>
      <c r="B13" s="318">
        <v>85</v>
      </c>
      <c r="C13" s="318">
        <v>85</v>
      </c>
      <c r="D13" s="318">
        <v>1</v>
      </c>
      <c r="E13" s="318"/>
      <c r="F13" s="318">
        <v>72128.479999999996</v>
      </c>
      <c r="G13" s="318">
        <f t="shared" si="0"/>
        <v>66.263999999989764</v>
      </c>
      <c r="H13" s="113">
        <f>Gen!C14</f>
        <v>9.0899999999999995E-2</v>
      </c>
      <c r="I13" s="6">
        <f t="shared" si="2"/>
        <v>793492.62926292629</v>
      </c>
      <c r="J13" s="118">
        <f t="shared" si="1"/>
        <v>8.3509282325082545E-5</v>
      </c>
      <c r="M13" s="186"/>
      <c r="N13" s="186"/>
    </row>
    <row r="14" spans="1:15" ht="18.75">
      <c r="A14" s="96">
        <f>Gen!B15</f>
        <v>44079</v>
      </c>
      <c r="B14" s="318">
        <v>85</v>
      </c>
      <c r="C14" s="318">
        <v>85</v>
      </c>
      <c r="D14" s="318">
        <v>1</v>
      </c>
      <c r="E14" s="318"/>
      <c r="F14" s="318">
        <v>72142.92</v>
      </c>
      <c r="G14" s="318">
        <f t="shared" si="0"/>
        <v>63.536000000010247</v>
      </c>
      <c r="H14" s="113">
        <f>Gen!C15</f>
        <v>9.0899999999999995E-2</v>
      </c>
      <c r="I14" s="6">
        <f t="shared" si="2"/>
        <v>793651.48514851485</v>
      </c>
      <c r="J14" s="118">
        <f t="shared" si="1"/>
        <v>8.0055290248868931E-5</v>
      </c>
      <c r="M14" s="186"/>
      <c r="N14" s="186"/>
    </row>
    <row r="15" spans="1:15" ht="18.75">
      <c r="A15" s="96">
        <f>Gen!B16</f>
        <v>44080</v>
      </c>
      <c r="B15" s="318">
        <v>85</v>
      </c>
      <c r="C15" s="318">
        <v>85</v>
      </c>
      <c r="D15" s="318">
        <v>1</v>
      </c>
      <c r="E15" s="318"/>
      <c r="F15" s="318">
        <v>72154.3</v>
      </c>
      <c r="G15" s="318">
        <f t="shared" si="0"/>
        <v>50.072000000020495</v>
      </c>
      <c r="H15" s="113">
        <f>Gen!C16</f>
        <v>9.0899999999999995E-2</v>
      </c>
      <c r="I15" s="6">
        <f t="shared" si="2"/>
        <v>793776.67766776681</v>
      </c>
      <c r="J15" s="118">
        <f t="shared" si="1"/>
        <v>6.3080714524316124E-5</v>
      </c>
      <c r="M15" s="186"/>
      <c r="N15" s="186"/>
    </row>
    <row r="16" spans="1:15" ht="18.75">
      <c r="A16" s="96">
        <f>Gen!B17</f>
        <v>44081</v>
      </c>
      <c r="B16" s="318">
        <v>85</v>
      </c>
      <c r="C16" s="318">
        <v>85</v>
      </c>
      <c r="D16" s="318">
        <v>0</v>
      </c>
      <c r="E16" s="318"/>
      <c r="F16" s="318">
        <v>72165.570000000007</v>
      </c>
      <c r="G16" s="318">
        <f t="shared" si="0"/>
        <v>49.588000000017935</v>
      </c>
      <c r="H16" s="113">
        <f>Gen!C17</f>
        <v>2.5999999999999999E-2</v>
      </c>
      <c r="I16" s="6">
        <f t="shared" si="2"/>
        <v>2775598.8461538465</v>
      </c>
      <c r="J16" s="118">
        <f t="shared" si="1"/>
        <v>1.7865694125335199E-5</v>
      </c>
      <c r="M16" s="186"/>
      <c r="N16" s="186"/>
    </row>
    <row r="17" spans="1:14" ht="18.75">
      <c r="A17" s="96">
        <f>Gen!B18</f>
        <v>44082</v>
      </c>
      <c r="B17" s="318">
        <v>85</v>
      </c>
      <c r="C17" s="318">
        <v>81</v>
      </c>
      <c r="D17" s="318">
        <v>0</v>
      </c>
      <c r="E17" s="318"/>
      <c r="F17" s="318">
        <v>72179.789999999994</v>
      </c>
      <c r="G17" s="318">
        <f t="shared" si="0"/>
        <v>62.567999999941101</v>
      </c>
      <c r="H17" s="113">
        <f>Gen!C18</f>
        <v>3.9E-2</v>
      </c>
      <c r="I17" s="6">
        <f t="shared" si="2"/>
        <v>1850763.846153846</v>
      </c>
      <c r="J17" s="118">
        <f t="shared" si="1"/>
        <v>3.3806582147131534E-5</v>
      </c>
      <c r="M17" s="186"/>
      <c r="N17" s="186"/>
    </row>
    <row r="18" spans="1:14" ht="18.75">
      <c r="A18" s="96">
        <f>Gen!B19</f>
        <v>44083</v>
      </c>
      <c r="B18" s="318">
        <v>85</v>
      </c>
      <c r="C18" s="318">
        <v>75</v>
      </c>
      <c r="D18" s="318">
        <v>0</v>
      </c>
      <c r="E18" s="318"/>
      <c r="F18" s="318">
        <v>72192.259999999995</v>
      </c>
      <c r="G18" s="318">
        <f t="shared" si="0"/>
        <v>54.868000000005125</v>
      </c>
      <c r="H18" s="113">
        <f>Gen!C19</f>
        <v>6.5000000000000002E-2</v>
      </c>
      <c r="I18" s="6">
        <f t="shared" si="2"/>
        <v>1110650.1538461538</v>
      </c>
      <c r="J18" s="118">
        <f t="shared" si="1"/>
        <v>4.9401694863138142E-5</v>
      </c>
      <c r="M18" s="186"/>
      <c r="N18" s="186"/>
    </row>
    <row r="19" spans="1:14" ht="18.75">
      <c r="A19" s="96">
        <f>Gen!B20</f>
        <v>44084</v>
      </c>
      <c r="B19" s="318">
        <v>85</v>
      </c>
      <c r="C19" s="318">
        <v>72</v>
      </c>
      <c r="D19" s="318">
        <v>0</v>
      </c>
      <c r="E19" s="318"/>
      <c r="F19" s="318"/>
      <c r="G19" s="318">
        <f t="shared" si="0"/>
        <v>-317645.94400000002</v>
      </c>
      <c r="H19" s="113">
        <f>Gen!C20</f>
        <v>1.2999999999999999E-2</v>
      </c>
      <c r="I19" s="6">
        <f t="shared" si="2"/>
        <v>0</v>
      </c>
      <c r="J19" s="118" t="e">
        <f t="shared" si="1"/>
        <v>#DIV/0!</v>
      </c>
      <c r="M19" s="186"/>
      <c r="N19" s="186"/>
    </row>
    <row r="20" spans="1:14" ht="18.75">
      <c r="A20" s="96">
        <f>Gen!B21</f>
        <v>44085</v>
      </c>
      <c r="B20" s="318"/>
      <c r="C20" s="318"/>
      <c r="D20" s="318"/>
      <c r="E20" s="318"/>
      <c r="F20" s="318"/>
      <c r="G20" s="318">
        <f t="shared" si="0"/>
        <v>0</v>
      </c>
      <c r="H20" s="113">
        <f>Gen!C21</f>
        <v>0</v>
      </c>
      <c r="I20" s="6" t="e">
        <f t="shared" si="2"/>
        <v>#DIV/0!</v>
      </c>
      <c r="J20" s="118" t="e">
        <f t="shared" si="1"/>
        <v>#DIV/0!</v>
      </c>
    </row>
    <row r="21" spans="1:14" ht="18.75">
      <c r="A21" s="96">
        <f>Gen!B22</f>
        <v>44086</v>
      </c>
      <c r="B21" s="318"/>
      <c r="C21" s="318"/>
      <c r="D21" s="318"/>
      <c r="E21" s="318"/>
      <c r="F21" s="318"/>
      <c r="G21" s="318">
        <f t="shared" si="0"/>
        <v>0</v>
      </c>
      <c r="H21" s="113">
        <f>Gen!C22</f>
        <v>0</v>
      </c>
      <c r="I21" s="6" t="e">
        <f t="shared" si="2"/>
        <v>#DIV/0!</v>
      </c>
      <c r="J21" s="118" t="e">
        <f t="shared" si="1"/>
        <v>#DIV/0!</v>
      </c>
    </row>
    <row r="22" spans="1:14" ht="18.75">
      <c r="A22" s="96">
        <f>Gen!B23</f>
        <v>44087</v>
      </c>
      <c r="B22" s="318"/>
      <c r="C22" s="318"/>
      <c r="D22" s="318"/>
      <c r="E22" s="318"/>
      <c r="F22" s="318"/>
      <c r="G22" s="318">
        <f t="shared" si="0"/>
        <v>0</v>
      </c>
      <c r="H22" s="113">
        <f>Gen!C23</f>
        <v>0</v>
      </c>
      <c r="I22" s="6" t="e">
        <f t="shared" si="2"/>
        <v>#DIV/0!</v>
      </c>
      <c r="J22" s="118" t="e">
        <f t="shared" si="1"/>
        <v>#DIV/0!</v>
      </c>
    </row>
    <row r="23" spans="1:14" ht="18.75">
      <c r="A23" s="96">
        <f>Gen!B24</f>
        <v>44088</v>
      </c>
      <c r="B23" s="318"/>
      <c r="C23" s="318"/>
      <c r="D23" s="318"/>
      <c r="E23" s="318"/>
      <c r="F23" s="318"/>
      <c r="G23" s="318">
        <f t="shared" si="0"/>
        <v>0</v>
      </c>
      <c r="H23" s="113">
        <f>Gen!C24</f>
        <v>0</v>
      </c>
      <c r="I23" s="6" t="e">
        <f t="shared" si="2"/>
        <v>#DIV/0!</v>
      </c>
      <c r="J23" s="118" t="e">
        <f t="shared" si="1"/>
        <v>#DIV/0!</v>
      </c>
    </row>
    <row r="24" spans="1:14" ht="18.75">
      <c r="A24" s="96">
        <f>Gen!B25</f>
        <v>44089</v>
      </c>
      <c r="B24" s="318"/>
      <c r="C24" s="318"/>
      <c r="D24" s="318"/>
      <c r="E24" s="318"/>
      <c r="F24" s="318"/>
      <c r="G24" s="318">
        <f t="shared" si="0"/>
        <v>0</v>
      </c>
      <c r="H24" s="113">
        <f>Gen!C25</f>
        <v>0</v>
      </c>
      <c r="I24" s="6" t="e">
        <f t="shared" si="2"/>
        <v>#DIV/0!</v>
      </c>
      <c r="J24" s="118" t="e">
        <f t="shared" si="1"/>
        <v>#DIV/0!</v>
      </c>
    </row>
    <row r="25" spans="1:14" ht="18.75">
      <c r="A25" s="96">
        <f>Gen!B26</f>
        <v>44090</v>
      </c>
      <c r="B25" s="318"/>
      <c r="C25" s="318"/>
      <c r="D25" s="318"/>
      <c r="E25" s="318"/>
      <c r="F25" s="318"/>
      <c r="G25" s="318">
        <f t="shared" si="0"/>
        <v>0</v>
      </c>
      <c r="H25" s="113">
        <f>Gen!C26</f>
        <v>0</v>
      </c>
      <c r="I25" s="6" t="e">
        <f t="shared" si="2"/>
        <v>#DIV/0!</v>
      </c>
      <c r="J25" s="118" t="e">
        <f t="shared" si="1"/>
        <v>#DIV/0!</v>
      </c>
    </row>
    <row r="26" spans="1:14" ht="18.75">
      <c r="A26" s="96">
        <f>Gen!B27</f>
        <v>44091</v>
      </c>
      <c r="B26" s="318"/>
      <c r="C26" s="318"/>
      <c r="D26" s="318"/>
      <c r="E26" s="318"/>
      <c r="F26" s="318"/>
      <c r="G26" s="318">
        <f t="shared" si="0"/>
        <v>0</v>
      </c>
      <c r="H26" s="113">
        <f>Gen!C27</f>
        <v>0</v>
      </c>
      <c r="I26" s="6" t="e">
        <f t="shared" si="2"/>
        <v>#DIV/0!</v>
      </c>
      <c r="J26" s="118" t="e">
        <f t="shared" si="1"/>
        <v>#DIV/0!</v>
      </c>
    </row>
    <row r="27" spans="1:14" ht="18.75">
      <c r="A27" s="96">
        <f>Gen!B28</f>
        <v>44092</v>
      </c>
      <c r="B27" s="318"/>
      <c r="C27" s="318"/>
      <c r="D27" s="318"/>
      <c r="E27" s="318"/>
      <c r="F27" s="318"/>
      <c r="G27" s="318">
        <f t="shared" si="0"/>
        <v>0</v>
      </c>
      <c r="H27" s="113">
        <f>Gen!C28</f>
        <v>0</v>
      </c>
      <c r="I27" s="6" t="e">
        <f t="shared" si="2"/>
        <v>#DIV/0!</v>
      </c>
      <c r="J27" s="118" t="e">
        <f t="shared" si="1"/>
        <v>#DIV/0!</v>
      </c>
    </row>
    <row r="28" spans="1:14" ht="18.75">
      <c r="A28" s="96">
        <f>Gen!B29</f>
        <v>44093</v>
      </c>
      <c r="B28" s="318"/>
      <c r="C28" s="318"/>
      <c r="D28" s="318"/>
      <c r="E28" s="318"/>
      <c r="F28" s="318"/>
      <c r="G28" s="318">
        <f t="shared" si="0"/>
        <v>0</v>
      </c>
      <c r="H28" s="113">
        <f>Gen!C29</f>
        <v>0</v>
      </c>
      <c r="I28" s="6" t="e">
        <f t="shared" si="2"/>
        <v>#DIV/0!</v>
      </c>
      <c r="J28" s="118" t="e">
        <f t="shared" si="1"/>
        <v>#DIV/0!</v>
      </c>
    </row>
    <row r="29" spans="1:14" ht="18.75">
      <c r="A29" s="96">
        <f>Gen!B30</f>
        <v>44094</v>
      </c>
      <c r="B29" s="318"/>
      <c r="C29" s="318"/>
      <c r="D29" s="318"/>
      <c r="E29" s="318"/>
      <c r="F29" s="318"/>
      <c r="G29" s="318">
        <f t="shared" si="0"/>
        <v>0</v>
      </c>
      <c r="H29" s="113">
        <f>Gen!C30</f>
        <v>0</v>
      </c>
      <c r="I29" s="6" t="e">
        <f t="shared" ref="I29:I41" si="3">SUM(F29/H29)</f>
        <v>#DIV/0!</v>
      </c>
      <c r="J29" s="118" t="e">
        <f t="shared" si="1"/>
        <v>#DIV/0!</v>
      </c>
    </row>
    <row r="30" spans="1:14" ht="18.75">
      <c r="A30" s="96">
        <f>Gen!B31</f>
        <v>44095</v>
      </c>
      <c r="B30" s="318"/>
      <c r="C30" s="318"/>
      <c r="D30" s="318"/>
      <c r="E30" s="318"/>
      <c r="F30" s="318"/>
      <c r="G30" s="318">
        <f t="shared" si="0"/>
        <v>0</v>
      </c>
      <c r="H30" s="113">
        <f>Gen!C31</f>
        <v>0</v>
      </c>
      <c r="I30" s="6" t="e">
        <f t="shared" si="3"/>
        <v>#DIV/0!</v>
      </c>
      <c r="J30" s="118" t="e">
        <f t="shared" si="1"/>
        <v>#DIV/0!</v>
      </c>
    </row>
    <row r="31" spans="1:14" ht="18.75">
      <c r="A31" s="96">
        <f>Gen!B32</f>
        <v>44096</v>
      </c>
      <c r="B31" s="318"/>
      <c r="C31" s="318"/>
      <c r="D31" s="318"/>
      <c r="E31" s="318"/>
      <c r="F31" s="318"/>
      <c r="G31" s="318">
        <f t="shared" si="0"/>
        <v>0</v>
      </c>
      <c r="H31" s="113">
        <f>Gen!C32</f>
        <v>0</v>
      </c>
      <c r="I31" s="6" t="e">
        <f t="shared" si="3"/>
        <v>#DIV/0!</v>
      </c>
      <c r="J31" s="118" t="e">
        <f t="shared" si="1"/>
        <v>#DIV/0!</v>
      </c>
    </row>
    <row r="32" spans="1:14" ht="18.75">
      <c r="A32" s="96">
        <f>Gen!B33</f>
        <v>44097</v>
      </c>
      <c r="B32" s="318"/>
      <c r="C32" s="318"/>
      <c r="D32" s="318"/>
      <c r="E32" s="318"/>
      <c r="F32" s="318"/>
      <c r="G32" s="318">
        <f t="shared" si="0"/>
        <v>0</v>
      </c>
      <c r="H32" s="113">
        <f>Gen!C33</f>
        <v>0</v>
      </c>
      <c r="I32" s="6" t="e">
        <f t="shared" si="3"/>
        <v>#DIV/0!</v>
      </c>
      <c r="J32" s="118" t="e">
        <f t="shared" si="1"/>
        <v>#DIV/0!</v>
      </c>
    </row>
    <row r="33" spans="1:10" ht="18.75">
      <c r="A33" s="96">
        <f>Gen!B34</f>
        <v>44098</v>
      </c>
      <c r="B33" s="318"/>
      <c r="C33" s="318"/>
      <c r="D33" s="318"/>
      <c r="E33" s="318"/>
      <c r="F33" s="318"/>
      <c r="G33" s="318">
        <f t="shared" si="0"/>
        <v>0</v>
      </c>
      <c r="H33" s="113">
        <f>Gen!C34</f>
        <v>0</v>
      </c>
      <c r="I33" s="6" t="e">
        <f t="shared" si="3"/>
        <v>#DIV/0!</v>
      </c>
      <c r="J33" s="118" t="e">
        <f t="shared" si="1"/>
        <v>#DIV/0!</v>
      </c>
    </row>
    <row r="34" spans="1:10" ht="18.75">
      <c r="A34" s="96">
        <f>Gen!B35</f>
        <v>44099</v>
      </c>
      <c r="B34" s="318"/>
      <c r="C34" s="318"/>
      <c r="D34" s="318"/>
      <c r="E34" s="318"/>
      <c r="F34" s="318"/>
      <c r="G34" s="318">
        <f t="shared" si="0"/>
        <v>0</v>
      </c>
      <c r="H34" s="113">
        <f>Gen!C35</f>
        <v>0</v>
      </c>
      <c r="I34" s="6" t="e">
        <f t="shared" si="3"/>
        <v>#DIV/0!</v>
      </c>
      <c r="J34" s="118" t="e">
        <f t="shared" si="1"/>
        <v>#DIV/0!</v>
      </c>
    </row>
    <row r="35" spans="1:10" ht="18.75">
      <c r="A35" s="96">
        <f>Gen!B36</f>
        <v>44100</v>
      </c>
      <c r="B35" s="318"/>
      <c r="C35" s="318"/>
      <c r="D35" s="318"/>
      <c r="E35" s="318"/>
      <c r="F35" s="318"/>
      <c r="G35" s="318">
        <f t="shared" si="0"/>
        <v>0</v>
      </c>
      <c r="H35" s="113">
        <f>Gen!C36</f>
        <v>0</v>
      </c>
      <c r="I35" s="6" t="e">
        <f t="shared" si="3"/>
        <v>#DIV/0!</v>
      </c>
      <c r="J35" s="118" t="e">
        <f t="shared" si="1"/>
        <v>#DIV/0!</v>
      </c>
    </row>
    <row r="36" spans="1:10" ht="18.75">
      <c r="A36" s="96">
        <f>Gen!B37</f>
        <v>44101</v>
      </c>
      <c r="B36" s="318"/>
      <c r="C36" s="318"/>
      <c r="D36" s="318"/>
      <c r="E36" s="318"/>
      <c r="F36" s="318"/>
      <c r="G36" s="318">
        <f t="shared" si="0"/>
        <v>0</v>
      </c>
      <c r="H36" s="113">
        <f>Gen!C37</f>
        <v>0</v>
      </c>
      <c r="I36" s="6" t="e">
        <f t="shared" si="3"/>
        <v>#DIV/0!</v>
      </c>
      <c r="J36" s="118" t="e">
        <f t="shared" si="1"/>
        <v>#DIV/0!</v>
      </c>
    </row>
    <row r="37" spans="1:10" ht="18.75">
      <c r="A37" s="96">
        <f>Gen!B38</f>
        <v>44102</v>
      </c>
      <c r="B37" s="318"/>
      <c r="C37" s="318"/>
      <c r="D37" s="318"/>
      <c r="E37" s="318"/>
      <c r="F37" s="318"/>
      <c r="G37" s="318">
        <f t="shared" si="0"/>
        <v>0</v>
      </c>
      <c r="H37" s="113">
        <f>Gen!C38</f>
        <v>0</v>
      </c>
      <c r="I37" s="6" t="e">
        <f t="shared" si="3"/>
        <v>#DIV/0!</v>
      </c>
      <c r="J37" s="118" t="e">
        <f t="shared" si="1"/>
        <v>#DIV/0!</v>
      </c>
    </row>
    <row r="38" spans="1:10" ht="18.75">
      <c r="A38" s="96">
        <f>Gen!B39</f>
        <v>44103</v>
      </c>
      <c r="B38" s="318"/>
      <c r="C38" s="318"/>
      <c r="D38" s="318"/>
      <c r="E38" s="318"/>
      <c r="F38" s="318"/>
      <c r="G38" s="318">
        <f t="shared" si="0"/>
        <v>0</v>
      </c>
      <c r="H38" s="113">
        <f>Gen!C39</f>
        <v>0</v>
      </c>
      <c r="I38" s="6" t="e">
        <f t="shared" si="3"/>
        <v>#DIV/0!</v>
      </c>
      <c r="J38" s="118" t="e">
        <f t="shared" si="1"/>
        <v>#DIV/0!</v>
      </c>
    </row>
    <row r="39" spans="1:10" ht="18.75">
      <c r="A39" s="96">
        <f>Gen!B40</f>
        <v>44104</v>
      </c>
      <c r="B39" s="318"/>
      <c r="C39" s="318"/>
      <c r="D39" s="318"/>
      <c r="E39" s="318"/>
      <c r="F39" s="318"/>
      <c r="G39" s="318">
        <f t="shared" si="0"/>
        <v>0</v>
      </c>
      <c r="H39" s="113">
        <f>Gen!C40</f>
        <v>0</v>
      </c>
      <c r="I39" s="6" t="e">
        <f t="shared" si="3"/>
        <v>#DIV/0!</v>
      </c>
      <c r="J39" s="118" t="e">
        <f t="shared" si="1"/>
        <v>#DIV/0!</v>
      </c>
    </row>
    <row r="40" spans="1:10" ht="18.75">
      <c r="A40" s="96">
        <f>Gen!B41</f>
        <v>0</v>
      </c>
      <c r="B40" s="318"/>
      <c r="C40" s="318"/>
      <c r="D40" s="318"/>
      <c r="E40" s="318"/>
      <c r="F40" s="318"/>
      <c r="G40" s="318">
        <f t="shared" si="0"/>
        <v>0</v>
      </c>
      <c r="H40" s="113">
        <f>Gen!C41</f>
        <v>0</v>
      </c>
      <c r="I40" s="6" t="e">
        <f t="shared" si="3"/>
        <v>#DIV/0!</v>
      </c>
      <c r="J40" s="118" t="e">
        <f t="shared" si="1"/>
        <v>#DIV/0!</v>
      </c>
    </row>
    <row r="41" spans="1:10" ht="18.75">
      <c r="A41" s="96">
        <f>Gen!B42</f>
        <v>0</v>
      </c>
      <c r="B41" s="318"/>
      <c r="C41" s="318"/>
      <c r="D41" s="318"/>
      <c r="E41" s="318"/>
      <c r="F41" s="318"/>
      <c r="G41" s="318"/>
      <c r="H41" s="113">
        <f>Gen!C42</f>
        <v>0</v>
      </c>
      <c r="I41" s="6" t="e">
        <f t="shared" si="3"/>
        <v>#DIV/0!</v>
      </c>
      <c r="J41" s="6"/>
    </row>
    <row r="42" spans="1:10" ht="17.25">
      <c r="A42" s="96"/>
      <c r="B42" s="5"/>
      <c r="C42" s="831" t="s">
        <v>6</v>
      </c>
      <c r="D42" s="831"/>
      <c r="E42" s="2">
        <f t="shared" ref="E42:F42" si="4">SUM(E10:E40)</f>
        <v>0</v>
      </c>
      <c r="F42" s="2">
        <f t="shared" si="4"/>
        <v>649259.66</v>
      </c>
      <c r="G42" s="103">
        <f>SUM(G10:G40)</f>
        <v>-317085.42800000001</v>
      </c>
      <c r="H42" s="7"/>
      <c r="I42" s="6"/>
      <c r="J42" s="118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75</v>
      </c>
      <c r="C1" s="14" t="s">
        <v>24</v>
      </c>
    </row>
    <row r="2" spans="1:3">
      <c r="A2" s="95">
        <f>Gen!B11</f>
        <v>44075</v>
      </c>
      <c r="B2" s="13">
        <f>'[1]Lpg (2)'!G10</f>
        <v>197.55999999997439</v>
      </c>
      <c r="C2" s="93">
        <f>SUM([1]Gen!B11)</f>
        <v>0.623</v>
      </c>
    </row>
    <row r="3" spans="1:3">
      <c r="A3" s="95">
        <f>Gen!B12</f>
        <v>44076</v>
      </c>
      <c r="B3" s="13">
        <f>'[1]Lpg (2)'!G11</f>
        <v>131.95600000002307</v>
      </c>
      <c r="C3" s="93">
        <f>SUM([1]Gen!B12)</f>
        <v>0.77900000000000003</v>
      </c>
    </row>
    <row r="4" spans="1:3">
      <c r="A4" s="95">
        <f>Gen!B13</f>
        <v>44077</v>
      </c>
      <c r="B4" s="13">
        <f>'[1]Lpg (2)'!G12</f>
        <v>117.4799999999872</v>
      </c>
      <c r="C4" s="93">
        <f>SUM([1]Gen!B13)</f>
        <v>0.53200000000000003</v>
      </c>
    </row>
    <row r="5" spans="1:3">
      <c r="A5" s="95">
        <f>Gen!B14</f>
        <v>44078</v>
      </c>
      <c r="B5" s="13">
        <f>'[1]Lpg (2)'!G13</f>
        <v>102.9599999999744</v>
      </c>
      <c r="C5" s="93">
        <f>SUM([1]Gen!B14)</f>
        <v>0.61</v>
      </c>
    </row>
    <row r="6" spans="1:3">
      <c r="A6" s="95">
        <f>Gen!B15</f>
        <v>44079</v>
      </c>
      <c r="B6" s="13">
        <f>'[1]Lpg (2)'!G14</f>
        <v>101.81599999999744</v>
      </c>
      <c r="C6" s="93">
        <f>SUM([1]Gen!B15)</f>
        <v>0.68799999999999994</v>
      </c>
    </row>
    <row r="7" spans="1:3">
      <c r="A7" s="95">
        <f>Gen!B16</f>
        <v>44080</v>
      </c>
      <c r="B7" s="13">
        <f>'[1]Lpg (2)'!G15</f>
        <v>106.92000000001282</v>
      </c>
      <c r="C7" s="93">
        <f>SUM([1]Gen!B16)</f>
        <v>0.53200000000000003</v>
      </c>
    </row>
    <row r="8" spans="1:3">
      <c r="A8" s="95">
        <f>Gen!B17</f>
        <v>44081</v>
      </c>
      <c r="B8" s="13">
        <f>'[1]Lpg (2)'!G16</f>
        <v>116.73199999999488</v>
      </c>
      <c r="C8" s="93">
        <f>SUM([1]Gen!B17)</f>
        <v>0.753</v>
      </c>
    </row>
    <row r="9" spans="1:3">
      <c r="A9" s="95">
        <f>Gen!B18</f>
        <v>44082</v>
      </c>
      <c r="B9" s="13">
        <f>'[1]Lpg (2)'!G17</f>
        <v>105.73199999999488</v>
      </c>
      <c r="C9" s="93">
        <f>SUM([1]Gen!B18)</f>
        <v>0.156</v>
      </c>
    </row>
    <row r="10" spans="1:3">
      <c r="A10" s="95">
        <f>Gen!B19</f>
        <v>44083</v>
      </c>
      <c r="B10" s="13">
        <f>'[1]Lpg (2)'!G18</f>
        <v>114.4</v>
      </c>
      <c r="C10" s="93">
        <f>SUM([1]Gen!B19)</f>
        <v>0.442</v>
      </c>
    </row>
    <row r="11" spans="1:3">
      <c r="A11" s="95">
        <f>Gen!B20</f>
        <v>44084</v>
      </c>
      <c r="B11" s="13">
        <f>'[1]Lpg (2)'!G19</f>
        <v>102.08000000005123</v>
      </c>
      <c r="C11" s="93">
        <f>SUM([1]Gen!B20)</f>
        <v>0.32500000000000001</v>
      </c>
    </row>
    <row r="12" spans="1:3">
      <c r="A12" s="95">
        <f>Gen!B21</f>
        <v>44085</v>
      </c>
      <c r="B12" s="13">
        <f>'[1]Lpg (2)'!G20</f>
        <v>105.29199999996928</v>
      </c>
      <c r="C12" s="93">
        <f>SUM([1]Gen!B21)</f>
        <v>0.45500000000000002</v>
      </c>
    </row>
    <row r="13" spans="1:3">
      <c r="A13" s="95">
        <f>Gen!B22</f>
        <v>44086</v>
      </c>
      <c r="B13" s="13">
        <f>'[1]Lpg (2)'!G21</f>
        <v>114.66399999998977</v>
      </c>
      <c r="C13" s="93">
        <f>SUM([1]Gen!B22)</f>
        <v>0.41599999999999998</v>
      </c>
    </row>
    <row r="14" spans="1:3">
      <c r="A14" s="95">
        <f>Gen!B23</f>
        <v>44087</v>
      </c>
      <c r="B14" s="13">
        <f>'[1]Lpg (2)'!G22</f>
        <v>113.78400000000256</v>
      </c>
      <c r="C14" s="93">
        <f>SUM([1]Gen!B23)</f>
        <v>0.39</v>
      </c>
    </row>
    <row r="15" spans="1:3">
      <c r="A15" s="95">
        <f>Gen!B24</f>
        <v>44088</v>
      </c>
      <c r="B15" s="13">
        <f>'[1]Lpg (2)'!G23</f>
        <v>114.62000000001281</v>
      </c>
      <c r="C15" s="93">
        <f>SUM([1]Gen!B24)</f>
        <v>0.63600000000000001</v>
      </c>
    </row>
    <row r="16" spans="1:3">
      <c r="A16" s="95">
        <f>Gen!B25</f>
        <v>44089</v>
      </c>
      <c r="B16" s="13">
        <f>'[1]Lpg (2)'!G24</f>
        <v>107.49199999996928</v>
      </c>
      <c r="C16" s="93">
        <f>SUM([1]Gen!B25)</f>
        <v>0.84399999999999997</v>
      </c>
    </row>
    <row r="17" spans="1:3">
      <c r="A17" s="95">
        <f>Gen!B26</f>
        <v>44090</v>
      </c>
      <c r="B17" s="13">
        <f>'[1]Lpg (2)'!G25</f>
        <v>106.78800000001793</v>
      </c>
      <c r="C17" s="93">
        <f>SUM([1]Gen!B26)</f>
        <v>0.81799999999999995</v>
      </c>
    </row>
    <row r="18" spans="1:3">
      <c r="A18" s="95">
        <f>Gen!B27</f>
        <v>44091</v>
      </c>
      <c r="B18" s="13">
        <f>'[1]Lpg (2)'!G26</f>
        <v>100.76000000003843</v>
      </c>
      <c r="C18" s="93">
        <f>SUM([1]Gen!B27)</f>
        <v>0.20799999999999999</v>
      </c>
    </row>
    <row r="19" spans="1:3">
      <c r="A19" s="95">
        <f>Gen!B28</f>
        <v>44092</v>
      </c>
      <c r="B19" s="13">
        <f>'[1]Lpg (2)'!G27</f>
        <v>108.6799999999872</v>
      </c>
      <c r="C19" s="93">
        <f>SUM([1]Gen!B28)</f>
        <v>0.221</v>
      </c>
    </row>
    <row r="20" spans="1:3">
      <c r="A20" s="95">
        <f>Gen!B29</f>
        <v>44093</v>
      </c>
      <c r="B20" s="13">
        <f>'[1]Lpg (2)'!G28</f>
        <v>92.795999999984645</v>
      </c>
      <c r="C20" s="93">
        <f>SUM([1]Gen!B29)</f>
        <v>0.11700000000000001</v>
      </c>
    </row>
    <row r="21" spans="1:3">
      <c r="A21" s="95">
        <f>Gen!B30</f>
        <v>44094</v>
      </c>
      <c r="B21" s="13">
        <f>'[1]Lpg (2)'!G29</f>
        <v>137.80800000003075</v>
      </c>
      <c r="C21" s="93">
        <f>SUM([1]Gen!B30)</f>
        <v>0.57099999999999995</v>
      </c>
    </row>
    <row r="22" spans="1:3">
      <c r="A22" s="95">
        <f>Gen!B31</f>
        <v>44095</v>
      </c>
      <c r="B22" s="13">
        <f>'[1]Lpg (2)'!G30</f>
        <v>103.79599999998464</v>
      </c>
      <c r="C22" s="93">
        <f>SUM([1]Gen!B31)</f>
        <v>0.55800000000000005</v>
      </c>
    </row>
    <row r="23" spans="1:3">
      <c r="A23" s="95">
        <f>Gen!B32</f>
        <v>44096</v>
      </c>
      <c r="B23" s="13">
        <f>'[1]Lpg (2)'!G31</f>
        <v>20.415999999997439</v>
      </c>
      <c r="C23" s="93">
        <f>SUM([1]Gen!B32)</f>
        <v>0.40300000000000002</v>
      </c>
    </row>
    <row r="24" spans="1:3">
      <c r="A24" s="95">
        <f>Gen!B33</f>
        <v>44097</v>
      </c>
      <c r="B24" s="13">
        <f>'[1]Lpg (2)'!G32</f>
        <v>197.69199999996928</v>
      </c>
      <c r="C24" s="93">
        <f>SUM([1]Gen!B33)</f>
        <v>0.24</v>
      </c>
    </row>
    <row r="25" spans="1:3">
      <c r="A25" s="95">
        <f>Gen!B34</f>
        <v>44098</v>
      </c>
      <c r="B25" s="13">
        <f>'[1]Lpg (2)'!G33</f>
        <v>101.11200000004611</v>
      </c>
      <c r="C25" s="93">
        <f>SUM([1]Gen!B34)</f>
        <v>0.09</v>
      </c>
    </row>
    <row r="26" spans="1:3">
      <c r="A26" s="95">
        <f>Gen!B35</f>
        <v>44099</v>
      </c>
      <c r="B26" s="13">
        <f>'[1]Lpg (2)'!G34</f>
        <v>95.303999999951344</v>
      </c>
      <c r="C26" s="93">
        <f>SUM([1]Gen!B35)</f>
        <v>0.28599999999999998</v>
      </c>
    </row>
    <row r="27" spans="1:3">
      <c r="A27" s="95">
        <f>Gen!B36</f>
        <v>44100</v>
      </c>
      <c r="B27" s="13">
        <f>'[1]Lpg (2)'!G35</f>
        <v>104.80800000003075</v>
      </c>
      <c r="C27" s="93">
        <f>SUM([1]Gen!B36)</f>
        <v>0.54500000000000004</v>
      </c>
    </row>
    <row r="28" spans="1:3">
      <c r="A28" s="95">
        <f>Gen!B37</f>
        <v>44101</v>
      </c>
      <c r="B28" s="13">
        <f>'[1]Lpg (2)'!G36</f>
        <v>102.43199999999489</v>
      </c>
      <c r="C28" s="93">
        <f>SUM([1]Gen!B37)</f>
        <v>0.67500000000000004</v>
      </c>
    </row>
    <row r="29" spans="1:3">
      <c r="A29" s="95">
        <f>Gen!B38</f>
        <v>44102</v>
      </c>
      <c r="B29" s="13">
        <f>'[1]Lpg (2)'!G37</f>
        <v>-295728.88400000002</v>
      </c>
      <c r="C29" s="93">
        <f>SUM([1]Gen!B38)</f>
        <v>0.27300000000000002</v>
      </c>
    </row>
    <row r="30" spans="1:3">
      <c r="A30" s="95">
        <f>Gen!B39</f>
        <v>44103</v>
      </c>
      <c r="B30" s="13">
        <f>'[1]Lpg (2)'!G38</f>
        <v>0</v>
      </c>
      <c r="C30" s="93" t="e">
        <f>SUM([1]Gen!B39)</f>
        <v>#REF!</v>
      </c>
    </row>
    <row r="31" spans="1:3">
      <c r="A31" s="95">
        <f>Gen!B40</f>
        <v>44104</v>
      </c>
      <c r="B31" s="13">
        <f>'[1]Lpg (2)'!G39</f>
        <v>0</v>
      </c>
      <c r="C31" s="93" t="e">
        <f>SUM([1]Gen!B40)</f>
        <v>#REF!</v>
      </c>
    </row>
    <row r="32" spans="1:3">
      <c r="A32" s="95">
        <f>Gen!B41</f>
        <v>0</v>
      </c>
      <c r="B32" s="13">
        <f>'[1]Lpg (2)'!G40</f>
        <v>0</v>
      </c>
      <c r="C32" s="93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10" zoomScale="94" zoomScaleNormal="94" workbookViewId="0">
      <pane xSplit="1" topLeftCell="R1" activePane="topRight" state="frozen"/>
      <selection pane="topRight" activeCell="W16" sqref="W16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56" t="s">
        <v>318</v>
      </c>
      <c r="B1" s="857"/>
      <c r="C1" s="857"/>
      <c r="D1" s="857"/>
      <c r="E1" s="857"/>
      <c r="F1" s="857"/>
      <c r="G1" s="857"/>
      <c r="H1" s="857"/>
      <c r="I1" s="857"/>
      <c r="J1" s="857"/>
      <c r="K1" s="857"/>
      <c r="L1" s="857"/>
      <c r="M1" s="857"/>
      <c r="N1" s="857"/>
      <c r="O1" s="857"/>
      <c r="P1" s="857"/>
      <c r="Q1" s="857"/>
      <c r="R1" s="857"/>
      <c r="S1" s="857"/>
      <c r="T1" s="857"/>
      <c r="U1" s="857"/>
      <c r="V1" s="857"/>
      <c r="W1" s="857"/>
      <c r="X1" s="857"/>
      <c r="Y1" s="857"/>
      <c r="Z1" s="857"/>
      <c r="AA1" s="857"/>
      <c r="AB1" s="857"/>
      <c r="AC1" s="857"/>
      <c r="AD1" s="857"/>
      <c r="AE1" s="857"/>
      <c r="AF1" s="857"/>
      <c r="AG1" s="857"/>
      <c r="AH1" s="857"/>
      <c r="AI1" s="857"/>
      <c r="AJ1" s="857"/>
      <c r="AK1" s="857"/>
      <c r="AL1" s="857"/>
      <c r="AM1" s="857"/>
      <c r="AN1" s="857"/>
    </row>
    <row r="2" spans="1:40" ht="13.5" customHeight="1" thickTop="1">
      <c r="A2" s="30"/>
      <c r="B2" s="30"/>
      <c r="C2" s="855" t="s">
        <v>52</v>
      </c>
      <c r="D2" s="855"/>
      <c r="E2" s="855"/>
      <c r="F2" s="855" t="s">
        <v>17</v>
      </c>
      <c r="G2" s="855"/>
      <c r="H2" s="855"/>
      <c r="I2" s="855" t="s">
        <v>131</v>
      </c>
      <c r="J2" s="855"/>
      <c r="K2" s="855"/>
      <c r="L2" s="855" t="s">
        <v>134</v>
      </c>
      <c r="M2" s="855"/>
      <c r="N2" s="855"/>
      <c r="O2" s="855" t="s">
        <v>132</v>
      </c>
      <c r="P2" s="855"/>
      <c r="Q2" s="855"/>
      <c r="R2" s="299"/>
      <c r="S2" s="864" t="s">
        <v>181</v>
      </c>
      <c r="T2" s="865"/>
      <c r="U2" s="866"/>
      <c r="V2" s="864" t="s">
        <v>182</v>
      </c>
      <c r="W2" s="865"/>
      <c r="X2" s="866"/>
      <c r="Y2" s="864" t="s">
        <v>183</v>
      </c>
      <c r="Z2" s="865"/>
      <c r="AA2" s="866"/>
      <c r="AB2" s="864" t="s">
        <v>184</v>
      </c>
      <c r="AC2" s="865"/>
      <c r="AD2" s="866"/>
      <c r="AE2" s="858" t="s">
        <v>239</v>
      </c>
      <c r="AF2" s="859"/>
      <c r="AG2" s="870"/>
      <c r="AH2" s="858" t="s">
        <v>243</v>
      </c>
      <c r="AI2" s="859"/>
      <c r="AJ2" s="870"/>
      <c r="AK2" s="858" t="s">
        <v>240</v>
      </c>
      <c r="AL2" s="859"/>
      <c r="AM2" s="859"/>
      <c r="AN2" s="862" t="s">
        <v>189</v>
      </c>
    </row>
    <row r="3" spans="1:40" ht="21.75" customHeight="1" thickBot="1">
      <c r="A3" s="853" t="s">
        <v>7</v>
      </c>
      <c r="B3" s="30"/>
      <c r="C3" s="855" t="s">
        <v>133</v>
      </c>
      <c r="D3" s="855" t="s">
        <v>15</v>
      </c>
      <c r="E3" s="855" t="s">
        <v>16</v>
      </c>
      <c r="F3" s="855" t="s">
        <v>133</v>
      </c>
      <c r="G3" s="855" t="s">
        <v>15</v>
      </c>
      <c r="H3" s="855" t="s">
        <v>16</v>
      </c>
      <c r="I3" s="855" t="s">
        <v>133</v>
      </c>
      <c r="J3" s="855" t="s">
        <v>15</v>
      </c>
      <c r="K3" s="855" t="s">
        <v>16</v>
      </c>
      <c r="L3" s="855" t="s">
        <v>133</v>
      </c>
      <c r="M3" s="855" t="s">
        <v>15</v>
      </c>
      <c r="N3" s="855" t="s">
        <v>16</v>
      </c>
      <c r="O3" s="855" t="s">
        <v>133</v>
      </c>
      <c r="P3" s="855" t="s">
        <v>15</v>
      </c>
      <c r="Q3" s="855" t="s">
        <v>16</v>
      </c>
      <c r="R3" s="872" t="s">
        <v>185</v>
      </c>
      <c r="S3" s="867"/>
      <c r="T3" s="868"/>
      <c r="U3" s="869"/>
      <c r="V3" s="867"/>
      <c r="W3" s="868"/>
      <c r="X3" s="869"/>
      <c r="Y3" s="867"/>
      <c r="Z3" s="868"/>
      <c r="AA3" s="869"/>
      <c r="AB3" s="867"/>
      <c r="AC3" s="868"/>
      <c r="AD3" s="869"/>
      <c r="AE3" s="860"/>
      <c r="AF3" s="861"/>
      <c r="AG3" s="871"/>
      <c r="AH3" s="860"/>
      <c r="AI3" s="861"/>
      <c r="AJ3" s="871"/>
      <c r="AK3" s="860"/>
      <c r="AL3" s="861"/>
      <c r="AM3" s="861"/>
      <c r="AN3" s="863"/>
    </row>
    <row r="4" spans="1:40" ht="15.75" thickTop="1">
      <c r="A4" s="854"/>
      <c r="B4" s="291"/>
      <c r="C4" s="855"/>
      <c r="D4" s="855"/>
      <c r="E4" s="855"/>
      <c r="F4" s="855"/>
      <c r="G4" s="855"/>
      <c r="H4" s="855"/>
      <c r="I4" s="855"/>
      <c r="J4" s="855"/>
      <c r="K4" s="855"/>
      <c r="L4" s="855"/>
      <c r="M4" s="855"/>
      <c r="N4" s="855"/>
      <c r="O4" s="855"/>
      <c r="P4" s="855"/>
      <c r="Q4" s="855"/>
      <c r="R4" s="872"/>
      <c r="S4" s="305" t="s">
        <v>186</v>
      </c>
      <c r="T4" s="306" t="s">
        <v>187</v>
      </c>
      <c r="U4" s="303" t="s">
        <v>188</v>
      </c>
      <c r="V4" s="301" t="s">
        <v>186</v>
      </c>
      <c r="W4" s="302" t="s">
        <v>187</v>
      </c>
      <c r="X4" s="303" t="s">
        <v>188</v>
      </c>
      <c r="Y4" s="301" t="s">
        <v>186</v>
      </c>
      <c r="Z4" s="302" t="s">
        <v>187</v>
      </c>
      <c r="AA4" s="303" t="s">
        <v>188</v>
      </c>
      <c r="AB4" s="755" t="s">
        <v>186</v>
      </c>
      <c r="AC4" s="756" t="s">
        <v>187</v>
      </c>
      <c r="AD4" s="757" t="s">
        <v>119</v>
      </c>
      <c r="AE4" s="301" t="s">
        <v>186</v>
      </c>
      <c r="AF4" s="302" t="s">
        <v>187</v>
      </c>
      <c r="AG4" s="343" t="s">
        <v>119</v>
      </c>
      <c r="AH4" s="301" t="s">
        <v>186</v>
      </c>
      <c r="AI4" s="302" t="s">
        <v>187</v>
      </c>
      <c r="AJ4" s="343" t="s">
        <v>119</v>
      </c>
      <c r="AK4" s="301" t="s">
        <v>186</v>
      </c>
      <c r="AL4" s="302" t="s">
        <v>187</v>
      </c>
      <c r="AM4" s="343" t="s">
        <v>119</v>
      </c>
      <c r="AN4" s="344"/>
    </row>
    <row r="5" spans="1:40" ht="20.25">
      <c r="A5" s="4"/>
      <c r="B5" s="4"/>
      <c r="C5" s="97">
        <f t="shared" ref="C5:C24" si="0">D4</f>
        <v>0</v>
      </c>
      <c r="D5" s="1">
        <v>239973</v>
      </c>
      <c r="E5" s="59">
        <v>45</v>
      </c>
      <c r="F5" s="97">
        <v>38000</v>
      </c>
      <c r="G5" s="452">
        <v>38000</v>
      </c>
      <c r="H5" s="559">
        <v>0</v>
      </c>
      <c r="I5" s="97">
        <v>8020</v>
      </c>
      <c r="J5" s="1">
        <v>8021</v>
      </c>
      <c r="K5" s="559">
        <v>1</v>
      </c>
      <c r="L5" s="97">
        <v>12710</v>
      </c>
      <c r="M5" s="1">
        <v>12740</v>
      </c>
      <c r="N5" s="559">
        <v>0</v>
      </c>
      <c r="O5" s="97">
        <v>20252</v>
      </c>
      <c r="P5" s="448">
        <v>20254</v>
      </c>
      <c r="Q5" s="559">
        <f t="shared" ref="Q5:Q27" si="1">IF((P5-P4)&lt;0,"0",(P5-P4))</f>
        <v>20254</v>
      </c>
      <c r="R5" s="293"/>
      <c r="S5" s="292"/>
      <c r="T5" s="449">
        <v>58181</v>
      </c>
      <c r="U5" s="292"/>
      <c r="V5" s="292">
        <v>73030</v>
      </c>
      <c r="W5" s="449">
        <v>73030</v>
      </c>
      <c r="X5" s="293">
        <v>0</v>
      </c>
      <c r="Y5" s="292">
        <v>83091</v>
      </c>
      <c r="Z5" s="449">
        <v>83091</v>
      </c>
      <c r="AA5" s="293">
        <v>0</v>
      </c>
      <c r="AB5" s="758">
        <v>15108</v>
      </c>
      <c r="AC5" s="293">
        <v>15123</v>
      </c>
      <c r="AD5" s="760"/>
      <c r="AE5" s="292">
        <v>18300</v>
      </c>
      <c r="AF5" s="450">
        <v>18300</v>
      </c>
      <c r="AG5" s="307">
        <v>0</v>
      </c>
      <c r="AH5" s="292">
        <v>25336</v>
      </c>
      <c r="AI5" s="450">
        <v>25336</v>
      </c>
      <c r="AJ5" s="307"/>
      <c r="AK5" s="371" t="str">
        <f t="shared" ref="AK5:AK37" si="2">AL4</f>
        <v>FINAL</v>
      </c>
      <c r="AL5" s="449"/>
      <c r="AM5" s="307"/>
      <c r="AN5" s="454"/>
    </row>
    <row r="6" spans="1:40" ht="23.1" customHeight="1">
      <c r="A6" s="58">
        <f>Gen!B11</f>
        <v>44075</v>
      </c>
      <c r="B6" s="4"/>
      <c r="C6" s="97">
        <f t="shared" si="0"/>
        <v>239973</v>
      </c>
      <c r="D6" s="1">
        <v>240029</v>
      </c>
      <c r="E6" s="59">
        <f t="shared" ref="E6:E15" si="3">IF((D6-D5)&lt;0,"0",(D6-D5))</f>
        <v>56</v>
      </c>
      <c r="F6" s="97">
        <f t="shared" ref="F6:F37" si="4">G5</f>
        <v>38000</v>
      </c>
      <c r="G6" s="452">
        <v>38000</v>
      </c>
      <c r="H6" s="559">
        <f t="shared" ref="H6:H24" si="5">IF((G6-G5)&lt;0,"0",(G6-G5))</f>
        <v>0</v>
      </c>
      <c r="I6" s="97">
        <f t="shared" ref="I6:I24" si="6">J5</f>
        <v>8021</v>
      </c>
      <c r="J6" s="1">
        <v>8023</v>
      </c>
      <c r="K6" s="559">
        <f>J6-J5</f>
        <v>2</v>
      </c>
      <c r="L6" s="97">
        <f t="shared" ref="L6:L24" si="7">M5</f>
        <v>12740</v>
      </c>
      <c r="M6" s="1">
        <v>12745</v>
      </c>
      <c r="N6" s="559">
        <f t="shared" ref="N6:N24" si="8">IF((M6-M5)&lt;0,"0",(M6-M5))</f>
        <v>5</v>
      </c>
      <c r="O6" s="97">
        <f t="shared" ref="O6:O25" si="9">P5</f>
        <v>20254</v>
      </c>
      <c r="P6" s="448">
        <v>20255</v>
      </c>
      <c r="Q6" s="559">
        <f t="shared" si="1"/>
        <v>1</v>
      </c>
      <c r="R6" s="297"/>
      <c r="S6" s="292">
        <f t="shared" ref="S6:S24" si="10">T5</f>
        <v>58181</v>
      </c>
      <c r="T6" s="449">
        <v>58267</v>
      </c>
      <c r="U6" s="560">
        <f t="shared" ref="U6:U24" si="11">IF((T6-T5)&lt;0,"0",(T6-T5))</f>
        <v>86</v>
      </c>
      <c r="V6" s="292">
        <f t="shared" ref="V6:V20" si="12">W5</f>
        <v>73030</v>
      </c>
      <c r="W6" s="449">
        <v>73030</v>
      </c>
      <c r="X6" s="560">
        <f t="shared" ref="X6:X37" si="13">IF((W6-W5)&lt;0,"0",(W6-W5))</f>
        <v>0</v>
      </c>
      <c r="Y6" s="292">
        <f t="shared" ref="Y6:Y37" si="14">Z5</f>
        <v>83091</v>
      </c>
      <c r="Z6" s="449">
        <v>83091</v>
      </c>
      <c r="AA6" s="560">
        <f t="shared" ref="AA6:AA37" si="15">IF((Z6-Z5)&lt;0,"0",(Z6-Z5))</f>
        <v>0</v>
      </c>
      <c r="AB6" s="758">
        <f>AC5</f>
        <v>15123</v>
      </c>
      <c r="AC6" s="759">
        <v>15138</v>
      </c>
      <c r="AD6" s="761">
        <f>IF((AC6-AC5)&lt;0,"0",(AC6-AC5))</f>
        <v>15</v>
      </c>
      <c r="AE6" s="292">
        <f t="shared" ref="AE6:AE37" si="16">AF5</f>
        <v>18300</v>
      </c>
      <c r="AF6" s="450">
        <v>18300</v>
      </c>
      <c r="AG6" s="560">
        <f t="shared" ref="AG6:AG37" si="17">IF((AF6-AF5)&lt;0,"0",(AF6-AF5))</f>
        <v>0</v>
      </c>
      <c r="AH6" s="292">
        <f t="shared" ref="AH6:AH37" si="18">AI5</f>
        <v>25336</v>
      </c>
      <c r="AI6" s="450">
        <v>25341</v>
      </c>
      <c r="AJ6" s="560">
        <f t="shared" ref="AJ6:AJ37" si="19">IF((AI6-AI5)&lt;0,"0",(AI6-AI5))</f>
        <v>5</v>
      </c>
      <c r="AK6" s="371">
        <f t="shared" si="2"/>
        <v>0</v>
      </c>
      <c r="AL6" s="449"/>
      <c r="AM6" s="560">
        <f t="shared" ref="AM6:AM37" si="20">IF((AL6-AL5)&lt;0,"0",(AL6-AL5))</f>
        <v>0</v>
      </c>
      <c r="AN6" s="454">
        <f>U6+X6+AA6+AD6+AG6+AJ6+AM6</f>
        <v>106</v>
      </c>
    </row>
    <row r="7" spans="1:40" ht="23.1" customHeight="1">
      <c r="A7" s="58">
        <f>Gen!B12</f>
        <v>44076</v>
      </c>
      <c r="B7" s="4"/>
      <c r="C7" s="97">
        <f t="shared" si="0"/>
        <v>240029</v>
      </c>
      <c r="D7" s="1">
        <v>240087</v>
      </c>
      <c r="E7" s="59">
        <f t="shared" si="3"/>
        <v>58</v>
      </c>
      <c r="F7" s="97">
        <f t="shared" si="4"/>
        <v>38000</v>
      </c>
      <c r="G7" s="452">
        <v>38000</v>
      </c>
      <c r="H7" s="559">
        <f t="shared" si="5"/>
        <v>0</v>
      </c>
      <c r="I7" s="97">
        <f t="shared" si="6"/>
        <v>8023</v>
      </c>
      <c r="J7" s="1">
        <v>8024</v>
      </c>
      <c r="K7" s="559">
        <f>J7-J6</f>
        <v>1</v>
      </c>
      <c r="L7" s="97">
        <f t="shared" si="7"/>
        <v>12745</v>
      </c>
      <c r="M7" s="1">
        <v>12745</v>
      </c>
      <c r="N7" s="559">
        <f t="shared" si="8"/>
        <v>0</v>
      </c>
      <c r="O7" s="97">
        <f t="shared" si="9"/>
        <v>20255</v>
      </c>
      <c r="P7" s="448">
        <v>20257</v>
      </c>
      <c r="Q7" s="559">
        <f t="shared" si="1"/>
        <v>2</v>
      </c>
      <c r="R7" s="297"/>
      <c r="S7" s="292">
        <f t="shared" si="10"/>
        <v>58267</v>
      </c>
      <c r="T7" s="449">
        <v>58349</v>
      </c>
      <c r="U7" s="560">
        <f t="shared" si="11"/>
        <v>82</v>
      </c>
      <c r="V7" s="292">
        <f t="shared" si="12"/>
        <v>73030</v>
      </c>
      <c r="W7" s="449">
        <v>73030</v>
      </c>
      <c r="X7" s="560">
        <f t="shared" si="13"/>
        <v>0</v>
      </c>
      <c r="Y7" s="292">
        <f t="shared" si="14"/>
        <v>83091</v>
      </c>
      <c r="Z7" s="449">
        <v>83091</v>
      </c>
      <c r="AA7" s="560">
        <f t="shared" si="15"/>
        <v>0</v>
      </c>
      <c r="AB7" s="758">
        <f t="shared" ref="AB7:AB37" si="21">AC6</f>
        <v>15138</v>
      </c>
      <c r="AC7" s="759">
        <v>15155</v>
      </c>
      <c r="AD7" s="761">
        <f t="shared" ref="AD7:AD37" si="22">IF((AC7-AC6)&lt;0,"0",(AC7-AC6))</f>
        <v>17</v>
      </c>
      <c r="AE7" s="292">
        <f t="shared" si="16"/>
        <v>18300</v>
      </c>
      <c r="AF7" s="450">
        <v>18300</v>
      </c>
      <c r="AG7" s="560">
        <f t="shared" si="17"/>
        <v>0</v>
      </c>
      <c r="AH7" s="292">
        <f t="shared" si="18"/>
        <v>25341</v>
      </c>
      <c r="AI7" s="450">
        <v>25367</v>
      </c>
      <c r="AJ7" s="560">
        <f t="shared" si="19"/>
        <v>26</v>
      </c>
      <c r="AK7" s="371">
        <f t="shared" si="2"/>
        <v>0</v>
      </c>
      <c r="AL7" s="449"/>
      <c r="AM7" s="560">
        <f t="shared" si="20"/>
        <v>0</v>
      </c>
      <c r="AN7" s="454">
        <f t="shared" ref="AN7:AN36" si="23">U7+X7+AA7+AD7+AG7+AJ7+AM7</f>
        <v>125</v>
      </c>
    </row>
    <row r="8" spans="1:40" ht="23.1" customHeight="1">
      <c r="A8" s="58">
        <f>Gen!B13</f>
        <v>44077</v>
      </c>
      <c r="B8" s="4"/>
      <c r="C8" s="97">
        <f t="shared" si="0"/>
        <v>240087</v>
      </c>
      <c r="D8" s="1">
        <v>240138</v>
      </c>
      <c r="E8" s="59">
        <f t="shared" si="3"/>
        <v>51</v>
      </c>
      <c r="F8" s="97">
        <f t="shared" si="4"/>
        <v>38000</v>
      </c>
      <c r="G8" s="452">
        <v>38000</v>
      </c>
      <c r="H8" s="559">
        <f t="shared" si="5"/>
        <v>0</v>
      </c>
      <c r="I8" s="97">
        <f t="shared" si="6"/>
        <v>8024</v>
      </c>
      <c r="J8" s="1">
        <v>8025</v>
      </c>
      <c r="K8" s="559">
        <f>J8-J7</f>
        <v>1</v>
      </c>
      <c r="L8" s="97">
        <f t="shared" si="7"/>
        <v>12745</v>
      </c>
      <c r="M8" s="1">
        <v>12745</v>
      </c>
      <c r="N8" s="559">
        <f t="shared" si="8"/>
        <v>0</v>
      </c>
      <c r="O8" s="97">
        <f t="shared" si="9"/>
        <v>20257</v>
      </c>
      <c r="P8" s="448">
        <v>20258</v>
      </c>
      <c r="Q8" s="559">
        <f t="shared" si="1"/>
        <v>1</v>
      </c>
      <c r="R8" s="297"/>
      <c r="S8" s="292">
        <f t="shared" si="10"/>
        <v>58349</v>
      </c>
      <c r="T8" s="449">
        <v>58432</v>
      </c>
      <c r="U8" s="560">
        <f t="shared" si="11"/>
        <v>83</v>
      </c>
      <c r="V8" s="292">
        <f t="shared" si="12"/>
        <v>73030</v>
      </c>
      <c r="W8" s="449">
        <v>73030</v>
      </c>
      <c r="X8" s="560">
        <f t="shared" si="13"/>
        <v>0</v>
      </c>
      <c r="Y8" s="292">
        <f t="shared" si="14"/>
        <v>83091</v>
      </c>
      <c r="Z8" s="449">
        <v>83091</v>
      </c>
      <c r="AA8" s="560">
        <f t="shared" si="15"/>
        <v>0</v>
      </c>
      <c r="AB8" s="758">
        <f t="shared" si="21"/>
        <v>15155</v>
      </c>
      <c r="AC8" s="759">
        <v>15170</v>
      </c>
      <c r="AD8" s="761">
        <f t="shared" si="22"/>
        <v>15</v>
      </c>
      <c r="AE8" s="292">
        <f t="shared" si="16"/>
        <v>18300</v>
      </c>
      <c r="AF8" s="450">
        <v>18300</v>
      </c>
      <c r="AG8" s="560">
        <f t="shared" si="17"/>
        <v>0</v>
      </c>
      <c r="AH8" s="292">
        <f t="shared" si="18"/>
        <v>25367</v>
      </c>
      <c r="AI8" s="450">
        <v>25393</v>
      </c>
      <c r="AJ8" s="560">
        <f t="shared" si="19"/>
        <v>26</v>
      </c>
      <c r="AK8" s="371">
        <f t="shared" si="2"/>
        <v>0</v>
      </c>
      <c r="AL8" s="449"/>
      <c r="AM8" s="560">
        <f t="shared" si="20"/>
        <v>0</v>
      </c>
      <c r="AN8" s="454">
        <f t="shared" si="23"/>
        <v>124</v>
      </c>
    </row>
    <row r="9" spans="1:40" ht="23.1" customHeight="1">
      <c r="A9" s="58">
        <f>Gen!B14</f>
        <v>44078</v>
      </c>
      <c r="B9" s="4"/>
      <c r="C9" s="97">
        <f t="shared" si="0"/>
        <v>240138</v>
      </c>
      <c r="D9" s="1">
        <v>240192</v>
      </c>
      <c r="E9" s="59">
        <f t="shared" si="3"/>
        <v>54</v>
      </c>
      <c r="F9" s="97">
        <f t="shared" si="4"/>
        <v>38000</v>
      </c>
      <c r="G9" s="452">
        <v>38000</v>
      </c>
      <c r="H9" s="559">
        <f t="shared" si="5"/>
        <v>0</v>
      </c>
      <c r="I9" s="97">
        <f t="shared" si="6"/>
        <v>8025</v>
      </c>
      <c r="J9" s="1">
        <v>8026</v>
      </c>
      <c r="K9" s="559">
        <f>J9-J8</f>
        <v>1</v>
      </c>
      <c r="L9" s="97">
        <f t="shared" si="7"/>
        <v>12745</v>
      </c>
      <c r="M9" s="1">
        <v>12750</v>
      </c>
      <c r="N9" s="559">
        <f t="shared" si="8"/>
        <v>5</v>
      </c>
      <c r="O9" s="97">
        <f t="shared" si="9"/>
        <v>20258</v>
      </c>
      <c r="P9" s="448">
        <v>20259</v>
      </c>
      <c r="Q9" s="559">
        <f t="shared" si="1"/>
        <v>1</v>
      </c>
      <c r="R9" s="297"/>
      <c r="S9" s="292">
        <f t="shared" si="10"/>
        <v>58432</v>
      </c>
      <c r="T9" s="449">
        <v>58509</v>
      </c>
      <c r="U9" s="560">
        <f t="shared" si="11"/>
        <v>77</v>
      </c>
      <c r="V9" s="292">
        <f t="shared" si="12"/>
        <v>73030</v>
      </c>
      <c r="W9" s="449">
        <v>73030</v>
      </c>
      <c r="X9" s="560">
        <f t="shared" si="13"/>
        <v>0</v>
      </c>
      <c r="Y9" s="292">
        <f t="shared" si="14"/>
        <v>83091</v>
      </c>
      <c r="Z9" s="449">
        <v>83116</v>
      </c>
      <c r="AA9" s="560">
        <f t="shared" si="15"/>
        <v>25</v>
      </c>
      <c r="AB9" s="758">
        <f t="shared" si="21"/>
        <v>15170</v>
      </c>
      <c r="AC9" s="759">
        <v>15185</v>
      </c>
      <c r="AD9" s="761">
        <f t="shared" si="22"/>
        <v>15</v>
      </c>
      <c r="AE9" s="292">
        <f t="shared" si="16"/>
        <v>18300</v>
      </c>
      <c r="AF9" s="450">
        <v>18300</v>
      </c>
      <c r="AG9" s="560">
        <f t="shared" si="17"/>
        <v>0</v>
      </c>
      <c r="AH9" s="292">
        <f t="shared" ref="AH9" si="24">AI9</f>
        <v>25415</v>
      </c>
      <c r="AI9" s="450">
        <v>25415</v>
      </c>
      <c r="AJ9" s="560">
        <f t="shared" si="19"/>
        <v>22</v>
      </c>
      <c r="AK9" s="371">
        <f t="shared" si="2"/>
        <v>0</v>
      </c>
      <c r="AL9" s="449"/>
      <c r="AM9" s="560">
        <f t="shared" si="20"/>
        <v>0</v>
      </c>
      <c r="AN9" s="454">
        <f t="shared" si="23"/>
        <v>139</v>
      </c>
    </row>
    <row r="10" spans="1:40" ht="23.1" customHeight="1">
      <c r="A10" s="58">
        <f>Gen!B15</f>
        <v>44079</v>
      </c>
      <c r="B10" s="4"/>
      <c r="C10" s="97">
        <f t="shared" si="0"/>
        <v>240192</v>
      </c>
      <c r="D10" s="1">
        <v>240242</v>
      </c>
      <c r="E10" s="59">
        <f t="shared" si="3"/>
        <v>50</v>
      </c>
      <c r="F10" s="97">
        <f t="shared" si="4"/>
        <v>38000</v>
      </c>
      <c r="G10" s="452">
        <v>38000</v>
      </c>
      <c r="H10" s="559">
        <f t="shared" si="5"/>
        <v>0</v>
      </c>
      <c r="I10" s="97">
        <f t="shared" si="6"/>
        <v>8026</v>
      </c>
      <c r="J10" s="1">
        <v>8027</v>
      </c>
      <c r="K10" s="559">
        <f t="shared" ref="K10:K27" si="25">IF((J10-J9)&lt;0,"0",(J10-J9))</f>
        <v>1</v>
      </c>
      <c r="L10" s="97">
        <f t="shared" si="7"/>
        <v>12750</v>
      </c>
      <c r="M10" s="1">
        <v>12750</v>
      </c>
      <c r="N10" s="559">
        <f t="shared" si="8"/>
        <v>0</v>
      </c>
      <c r="O10" s="97">
        <f t="shared" si="9"/>
        <v>20259</v>
      </c>
      <c r="P10" s="448">
        <v>20261</v>
      </c>
      <c r="Q10" s="559">
        <f t="shared" si="1"/>
        <v>2</v>
      </c>
      <c r="R10" s="297"/>
      <c r="S10" s="292">
        <f t="shared" si="10"/>
        <v>58509</v>
      </c>
      <c r="T10" s="449">
        <v>58529</v>
      </c>
      <c r="U10" s="560">
        <f t="shared" si="11"/>
        <v>20</v>
      </c>
      <c r="V10" s="292">
        <f t="shared" si="12"/>
        <v>73030</v>
      </c>
      <c r="W10" s="449">
        <v>73030</v>
      </c>
      <c r="X10" s="560">
        <f t="shared" si="13"/>
        <v>0</v>
      </c>
      <c r="Y10" s="292">
        <f t="shared" si="14"/>
        <v>83116</v>
      </c>
      <c r="Z10" s="449">
        <v>83159</v>
      </c>
      <c r="AA10" s="560">
        <f t="shared" si="15"/>
        <v>43</v>
      </c>
      <c r="AB10" s="758">
        <f t="shared" si="21"/>
        <v>15185</v>
      </c>
      <c r="AC10" s="759">
        <v>15201</v>
      </c>
      <c r="AD10" s="761">
        <f t="shared" si="22"/>
        <v>16</v>
      </c>
      <c r="AE10" s="292">
        <f t="shared" si="16"/>
        <v>18300</v>
      </c>
      <c r="AF10" s="450">
        <v>18300</v>
      </c>
      <c r="AG10" s="560">
        <f t="shared" si="17"/>
        <v>0</v>
      </c>
      <c r="AH10" s="292">
        <f t="shared" si="18"/>
        <v>25415</v>
      </c>
      <c r="AI10" s="450">
        <v>25439</v>
      </c>
      <c r="AJ10" s="560">
        <f t="shared" si="19"/>
        <v>24</v>
      </c>
      <c r="AK10" s="371">
        <f t="shared" si="2"/>
        <v>0</v>
      </c>
      <c r="AL10" s="449"/>
      <c r="AM10" s="560">
        <f t="shared" si="20"/>
        <v>0</v>
      </c>
      <c r="AN10" s="454">
        <f t="shared" si="23"/>
        <v>103</v>
      </c>
    </row>
    <row r="11" spans="1:40" ht="23.1" customHeight="1">
      <c r="A11" s="58">
        <f>Gen!B16</f>
        <v>44080</v>
      </c>
      <c r="B11" s="4"/>
      <c r="C11" s="97">
        <f t="shared" si="0"/>
        <v>240242</v>
      </c>
      <c r="D11" s="1">
        <v>240294</v>
      </c>
      <c r="E11" s="59">
        <f t="shared" si="3"/>
        <v>52</v>
      </c>
      <c r="F11" s="97">
        <f t="shared" si="4"/>
        <v>38000</v>
      </c>
      <c r="G11" s="452">
        <v>38000</v>
      </c>
      <c r="H11" s="559">
        <f t="shared" si="5"/>
        <v>0</v>
      </c>
      <c r="I11" s="97">
        <f t="shared" si="6"/>
        <v>8027</v>
      </c>
      <c r="J11" s="1">
        <v>8028</v>
      </c>
      <c r="K11" s="559">
        <f t="shared" si="25"/>
        <v>1</v>
      </c>
      <c r="L11" s="97">
        <f t="shared" si="7"/>
        <v>12750</v>
      </c>
      <c r="M11" s="1">
        <v>12755</v>
      </c>
      <c r="N11" s="559">
        <f t="shared" si="8"/>
        <v>5</v>
      </c>
      <c r="O11" s="97">
        <f t="shared" si="9"/>
        <v>20261</v>
      </c>
      <c r="P11" s="448">
        <v>20263</v>
      </c>
      <c r="Q11" s="559">
        <f t="shared" si="1"/>
        <v>2</v>
      </c>
      <c r="R11" s="297"/>
      <c r="S11" s="292">
        <f t="shared" si="10"/>
        <v>58529</v>
      </c>
      <c r="T11" s="449">
        <v>58542</v>
      </c>
      <c r="U11" s="560">
        <f t="shared" si="11"/>
        <v>13</v>
      </c>
      <c r="V11" s="292">
        <f t="shared" si="12"/>
        <v>73030</v>
      </c>
      <c r="W11" s="449">
        <v>73030</v>
      </c>
      <c r="X11" s="560">
        <f t="shared" si="13"/>
        <v>0</v>
      </c>
      <c r="Y11" s="292">
        <f t="shared" si="14"/>
        <v>83159</v>
      </c>
      <c r="Z11" s="449">
        <v>83192</v>
      </c>
      <c r="AA11" s="560">
        <f t="shared" si="15"/>
        <v>33</v>
      </c>
      <c r="AB11" s="758">
        <f t="shared" si="21"/>
        <v>15201</v>
      </c>
      <c r="AC11" s="759">
        <v>15216</v>
      </c>
      <c r="AD11" s="761">
        <f t="shared" si="22"/>
        <v>15</v>
      </c>
      <c r="AE11" s="292">
        <f>AF11</f>
        <v>18300</v>
      </c>
      <c r="AF11" s="450">
        <v>18300</v>
      </c>
      <c r="AG11" s="560">
        <f t="shared" si="17"/>
        <v>0</v>
      </c>
      <c r="AH11" s="292">
        <f t="shared" si="18"/>
        <v>25439</v>
      </c>
      <c r="AI11" s="450">
        <v>25461</v>
      </c>
      <c r="AJ11" s="560">
        <f t="shared" si="19"/>
        <v>22</v>
      </c>
      <c r="AK11" s="371">
        <f t="shared" si="2"/>
        <v>0</v>
      </c>
      <c r="AL11" s="449"/>
      <c r="AM11" s="560">
        <f t="shared" si="20"/>
        <v>0</v>
      </c>
      <c r="AN11" s="454">
        <f t="shared" si="23"/>
        <v>83</v>
      </c>
    </row>
    <row r="12" spans="1:40" ht="23.1" customHeight="1">
      <c r="A12" s="58">
        <f>Gen!B17</f>
        <v>44081</v>
      </c>
      <c r="B12" s="4"/>
      <c r="C12" s="97">
        <f t="shared" si="0"/>
        <v>240294</v>
      </c>
      <c r="D12" s="1">
        <v>240352</v>
      </c>
      <c r="E12" s="59">
        <f t="shared" si="3"/>
        <v>58</v>
      </c>
      <c r="F12" s="97">
        <f t="shared" si="4"/>
        <v>38000</v>
      </c>
      <c r="G12" s="452">
        <v>38000</v>
      </c>
      <c r="H12" s="559">
        <f t="shared" si="5"/>
        <v>0</v>
      </c>
      <c r="I12" s="97">
        <f t="shared" si="6"/>
        <v>8028</v>
      </c>
      <c r="J12" s="1">
        <v>8029</v>
      </c>
      <c r="K12" s="559">
        <f t="shared" si="25"/>
        <v>1</v>
      </c>
      <c r="L12" s="97">
        <f t="shared" si="7"/>
        <v>12755</v>
      </c>
      <c r="M12" s="1">
        <v>12755</v>
      </c>
      <c r="N12" s="559">
        <f t="shared" si="8"/>
        <v>0</v>
      </c>
      <c r="O12" s="97">
        <f t="shared" si="9"/>
        <v>20263</v>
      </c>
      <c r="P12" s="448">
        <v>20264</v>
      </c>
      <c r="Q12" s="559">
        <f t="shared" si="1"/>
        <v>1</v>
      </c>
      <c r="R12" s="297"/>
      <c r="S12" s="292">
        <f t="shared" si="10"/>
        <v>58542</v>
      </c>
      <c r="T12" s="449">
        <v>58563</v>
      </c>
      <c r="U12" s="560">
        <f t="shared" si="11"/>
        <v>21</v>
      </c>
      <c r="V12" s="292">
        <f t="shared" si="12"/>
        <v>73030</v>
      </c>
      <c r="W12" s="449">
        <v>73030</v>
      </c>
      <c r="X12" s="560">
        <f t="shared" si="13"/>
        <v>0</v>
      </c>
      <c r="Y12" s="292">
        <f t="shared" si="14"/>
        <v>83192</v>
      </c>
      <c r="Z12" s="449">
        <v>83235</v>
      </c>
      <c r="AA12" s="560">
        <f t="shared" si="15"/>
        <v>43</v>
      </c>
      <c r="AB12" s="758">
        <f t="shared" si="21"/>
        <v>15216</v>
      </c>
      <c r="AC12" s="759">
        <v>15233</v>
      </c>
      <c r="AD12" s="761">
        <f t="shared" si="22"/>
        <v>17</v>
      </c>
      <c r="AE12" s="292">
        <f t="shared" ref="AE12:AE20" si="26">AF12</f>
        <v>18300</v>
      </c>
      <c r="AF12" s="450">
        <v>18300</v>
      </c>
      <c r="AG12" s="560">
        <f t="shared" si="17"/>
        <v>0</v>
      </c>
      <c r="AH12" s="292">
        <f t="shared" si="18"/>
        <v>25461</v>
      </c>
      <c r="AI12" s="450">
        <v>25486</v>
      </c>
      <c r="AJ12" s="560">
        <f t="shared" si="19"/>
        <v>25</v>
      </c>
      <c r="AK12" s="371">
        <f t="shared" si="2"/>
        <v>0</v>
      </c>
      <c r="AL12" s="449"/>
      <c r="AM12" s="560">
        <f t="shared" si="20"/>
        <v>0</v>
      </c>
      <c r="AN12" s="454">
        <f t="shared" si="23"/>
        <v>106</v>
      </c>
    </row>
    <row r="13" spans="1:40" ht="23.1" customHeight="1">
      <c r="A13" s="58">
        <f>Gen!B18</f>
        <v>44082</v>
      </c>
      <c r="B13" s="4"/>
      <c r="C13" s="97">
        <f t="shared" si="0"/>
        <v>240352</v>
      </c>
      <c r="D13" s="1">
        <v>240398</v>
      </c>
      <c r="E13" s="59">
        <f t="shared" si="3"/>
        <v>46</v>
      </c>
      <c r="F13" s="97">
        <f t="shared" si="4"/>
        <v>38000</v>
      </c>
      <c r="G13" s="452">
        <v>38000</v>
      </c>
      <c r="H13" s="559">
        <f t="shared" si="5"/>
        <v>0</v>
      </c>
      <c r="I13" s="97">
        <f t="shared" si="6"/>
        <v>8029</v>
      </c>
      <c r="J13" s="1">
        <v>8030</v>
      </c>
      <c r="K13" s="559">
        <f t="shared" si="25"/>
        <v>1</v>
      </c>
      <c r="L13" s="97">
        <f t="shared" si="7"/>
        <v>12755</v>
      </c>
      <c r="M13" s="1">
        <v>12755</v>
      </c>
      <c r="N13" s="559">
        <f t="shared" si="8"/>
        <v>0</v>
      </c>
      <c r="O13" s="97">
        <f t="shared" si="9"/>
        <v>20264</v>
      </c>
      <c r="P13" s="448">
        <v>20268</v>
      </c>
      <c r="Q13" s="559">
        <f t="shared" si="1"/>
        <v>4</v>
      </c>
      <c r="R13" s="297"/>
      <c r="S13" s="292">
        <f t="shared" si="10"/>
        <v>58563</v>
      </c>
      <c r="T13" s="449">
        <v>58625</v>
      </c>
      <c r="U13" s="560">
        <f t="shared" si="11"/>
        <v>62</v>
      </c>
      <c r="V13" s="292">
        <f t="shared" si="12"/>
        <v>73030</v>
      </c>
      <c r="W13" s="449">
        <v>73030</v>
      </c>
      <c r="X13" s="560">
        <f t="shared" si="13"/>
        <v>0</v>
      </c>
      <c r="Y13" s="292">
        <f t="shared" si="14"/>
        <v>83235</v>
      </c>
      <c r="Z13" s="449">
        <v>83273</v>
      </c>
      <c r="AA13" s="560">
        <f t="shared" si="15"/>
        <v>38</v>
      </c>
      <c r="AB13" s="758">
        <f t="shared" si="21"/>
        <v>15233</v>
      </c>
      <c r="AC13" s="759">
        <v>15248</v>
      </c>
      <c r="AD13" s="761">
        <f t="shared" si="22"/>
        <v>15</v>
      </c>
      <c r="AE13" s="292">
        <f t="shared" si="26"/>
        <v>18300</v>
      </c>
      <c r="AF13" s="450">
        <v>18300</v>
      </c>
      <c r="AG13" s="560">
        <f t="shared" si="17"/>
        <v>0</v>
      </c>
      <c r="AH13" s="292">
        <f t="shared" si="18"/>
        <v>25486</v>
      </c>
      <c r="AI13" s="450">
        <v>25509</v>
      </c>
      <c r="AJ13" s="560">
        <f t="shared" si="19"/>
        <v>23</v>
      </c>
      <c r="AK13" s="371">
        <f t="shared" si="2"/>
        <v>0</v>
      </c>
      <c r="AL13" s="449"/>
      <c r="AM13" s="560">
        <f t="shared" si="20"/>
        <v>0</v>
      </c>
      <c r="AN13" s="454">
        <f t="shared" si="23"/>
        <v>138</v>
      </c>
    </row>
    <row r="14" spans="1:40" ht="23.1" customHeight="1">
      <c r="A14" s="58">
        <f>Gen!B19</f>
        <v>44083</v>
      </c>
      <c r="B14" s="4"/>
      <c r="C14" s="97">
        <f t="shared" si="0"/>
        <v>240398</v>
      </c>
      <c r="D14" s="1">
        <v>240450</v>
      </c>
      <c r="E14" s="59">
        <f t="shared" si="3"/>
        <v>52</v>
      </c>
      <c r="F14" s="97">
        <f t="shared" si="4"/>
        <v>38000</v>
      </c>
      <c r="G14" s="452">
        <v>38000</v>
      </c>
      <c r="H14" s="559">
        <f t="shared" si="5"/>
        <v>0</v>
      </c>
      <c r="I14" s="97">
        <f t="shared" si="6"/>
        <v>8030</v>
      </c>
      <c r="J14" s="1">
        <v>8032</v>
      </c>
      <c r="K14" s="559">
        <f t="shared" si="25"/>
        <v>2</v>
      </c>
      <c r="L14" s="97">
        <f t="shared" si="7"/>
        <v>12755</v>
      </c>
      <c r="M14" s="1">
        <v>12755</v>
      </c>
      <c r="N14" s="559">
        <f t="shared" si="8"/>
        <v>0</v>
      </c>
      <c r="O14" s="97">
        <f t="shared" si="9"/>
        <v>20268</v>
      </c>
      <c r="P14" s="448">
        <v>20269</v>
      </c>
      <c r="Q14" s="559">
        <f t="shared" si="1"/>
        <v>1</v>
      </c>
      <c r="R14" s="297"/>
      <c r="S14" s="292">
        <f t="shared" si="10"/>
        <v>58625</v>
      </c>
      <c r="T14" s="449">
        <v>58642</v>
      </c>
      <c r="U14" s="560">
        <f t="shared" si="11"/>
        <v>17</v>
      </c>
      <c r="V14" s="292">
        <f t="shared" si="12"/>
        <v>73030</v>
      </c>
      <c r="W14" s="449">
        <v>73030</v>
      </c>
      <c r="X14" s="560">
        <f t="shared" si="13"/>
        <v>0</v>
      </c>
      <c r="Y14" s="292">
        <f t="shared" si="14"/>
        <v>83273</v>
      </c>
      <c r="Z14" s="449">
        <v>83310</v>
      </c>
      <c r="AA14" s="560">
        <f t="shared" si="15"/>
        <v>37</v>
      </c>
      <c r="AB14" s="758">
        <f t="shared" si="21"/>
        <v>15248</v>
      </c>
      <c r="AC14" s="762">
        <v>15265</v>
      </c>
      <c r="AD14" s="761">
        <f t="shared" si="22"/>
        <v>17</v>
      </c>
      <c r="AE14" s="292">
        <f t="shared" si="26"/>
        <v>18300</v>
      </c>
      <c r="AF14" s="450">
        <v>18300</v>
      </c>
      <c r="AG14" s="560">
        <f t="shared" si="17"/>
        <v>0</v>
      </c>
      <c r="AH14" s="292">
        <f t="shared" si="18"/>
        <v>25509</v>
      </c>
      <c r="AI14" s="450">
        <v>25530</v>
      </c>
      <c r="AJ14" s="560">
        <f t="shared" si="19"/>
        <v>21</v>
      </c>
      <c r="AK14" s="371">
        <f t="shared" si="2"/>
        <v>0</v>
      </c>
      <c r="AL14" s="449"/>
      <c r="AM14" s="560">
        <f t="shared" si="20"/>
        <v>0</v>
      </c>
      <c r="AN14" s="454">
        <f t="shared" si="23"/>
        <v>92</v>
      </c>
    </row>
    <row r="15" spans="1:40" ht="23.1" customHeight="1">
      <c r="A15" s="58">
        <f>Gen!B20</f>
        <v>44084</v>
      </c>
      <c r="B15" s="4"/>
      <c r="C15" s="97">
        <f t="shared" si="0"/>
        <v>240450</v>
      </c>
      <c r="D15" s="1"/>
      <c r="E15" s="59" t="str">
        <f t="shared" si="3"/>
        <v>0</v>
      </c>
      <c r="F15" s="97">
        <f t="shared" si="4"/>
        <v>38000</v>
      </c>
      <c r="G15" s="452"/>
      <c r="H15" s="559" t="str">
        <f t="shared" si="5"/>
        <v>0</v>
      </c>
      <c r="I15" s="97">
        <f t="shared" si="6"/>
        <v>8032</v>
      </c>
      <c r="J15" s="1"/>
      <c r="K15" s="559" t="str">
        <f t="shared" si="25"/>
        <v>0</v>
      </c>
      <c r="L15" s="97">
        <f t="shared" si="7"/>
        <v>12755</v>
      </c>
      <c r="M15" s="1"/>
      <c r="N15" s="559" t="str">
        <f t="shared" si="8"/>
        <v>0</v>
      </c>
      <c r="O15" s="97">
        <f t="shared" si="9"/>
        <v>20269</v>
      </c>
      <c r="P15" s="448"/>
      <c r="Q15" s="559" t="str">
        <f t="shared" si="1"/>
        <v>0</v>
      </c>
      <c r="R15" s="297"/>
      <c r="S15" s="292">
        <f t="shared" si="10"/>
        <v>58642</v>
      </c>
      <c r="T15" s="449"/>
      <c r="U15" s="560" t="str">
        <f t="shared" si="11"/>
        <v>0</v>
      </c>
      <c r="V15" s="292">
        <f t="shared" si="12"/>
        <v>73030</v>
      </c>
      <c r="W15" s="449"/>
      <c r="X15" s="560" t="str">
        <f t="shared" si="13"/>
        <v>0</v>
      </c>
      <c r="Y15" s="292">
        <f t="shared" si="14"/>
        <v>83310</v>
      </c>
      <c r="Z15" s="449"/>
      <c r="AA15" s="560" t="str">
        <f t="shared" si="15"/>
        <v>0</v>
      </c>
      <c r="AB15" s="758">
        <f t="shared" si="21"/>
        <v>15265</v>
      </c>
      <c r="AC15" s="762"/>
      <c r="AD15" s="761" t="str">
        <f t="shared" si="22"/>
        <v>0</v>
      </c>
      <c r="AE15" s="292">
        <f t="shared" si="26"/>
        <v>0</v>
      </c>
      <c r="AF15" s="450"/>
      <c r="AG15" s="560" t="str">
        <f t="shared" si="17"/>
        <v>0</v>
      </c>
      <c r="AH15" s="292">
        <f t="shared" si="18"/>
        <v>25530</v>
      </c>
      <c r="AI15" s="450"/>
      <c r="AJ15" s="560" t="str">
        <f t="shared" si="19"/>
        <v>0</v>
      </c>
      <c r="AK15" s="371">
        <f t="shared" si="2"/>
        <v>0</v>
      </c>
      <c r="AL15" s="449"/>
      <c r="AM15" s="560">
        <f t="shared" si="20"/>
        <v>0</v>
      </c>
      <c r="AN15" s="454">
        <f t="shared" si="23"/>
        <v>0</v>
      </c>
    </row>
    <row r="16" spans="1:40" ht="23.1" customHeight="1">
      <c r="A16" s="58">
        <f>Gen!B21</f>
        <v>44085</v>
      </c>
      <c r="B16" s="4"/>
      <c r="C16" s="97">
        <f t="shared" si="0"/>
        <v>0</v>
      </c>
      <c r="D16" s="1"/>
      <c r="E16" s="59">
        <f>IF((D16-D15)&lt;0,"0",(D16-D15))</f>
        <v>0</v>
      </c>
      <c r="F16" s="97">
        <f t="shared" si="4"/>
        <v>0</v>
      </c>
      <c r="G16" s="452"/>
      <c r="H16" s="559">
        <f t="shared" si="5"/>
        <v>0</v>
      </c>
      <c r="I16" s="97">
        <f t="shared" si="6"/>
        <v>0</v>
      </c>
      <c r="J16" s="1"/>
      <c r="K16" s="559">
        <f t="shared" si="25"/>
        <v>0</v>
      </c>
      <c r="L16" s="97">
        <f t="shared" si="7"/>
        <v>0</v>
      </c>
      <c r="M16" s="1"/>
      <c r="N16" s="559">
        <f t="shared" si="8"/>
        <v>0</v>
      </c>
      <c r="O16" s="97">
        <f t="shared" si="9"/>
        <v>0</v>
      </c>
      <c r="P16" s="448"/>
      <c r="Q16" s="559">
        <f t="shared" si="1"/>
        <v>0</v>
      </c>
      <c r="R16" s="297"/>
      <c r="S16" s="292">
        <f t="shared" si="10"/>
        <v>0</v>
      </c>
      <c r="T16" s="449"/>
      <c r="U16" s="560">
        <f t="shared" si="11"/>
        <v>0</v>
      </c>
      <c r="V16" s="292">
        <f t="shared" si="12"/>
        <v>0</v>
      </c>
      <c r="W16" s="449"/>
      <c r="X16" s="560">
        <f t="shared" si="13"/>
        <v>0</v>
      </c>
      <c r="Y16" s="292">
        <f t="shared" si="14"/>
        <v>0</v>
      </c>
      <c r="Z16" s="449"/>
      <c r="AA16" s="560">
        <f t="shared" si="15"/>
        <v>0</v>
      </c>
      <c r="AB16" s="758">
        <f t="shared" si="21"/>
        <v>0</v>
      </c>
      <c r="AC16" s="762"/>
      <c r="AD16" s="761">
        <f t="shared" si="22"/>
        <v>0</v>
      </c>
      <c r="AE16" s="292">
        <f t="shared" si="26"/>
        <v>0</v>
      </c>
      <c r="AF16" s="450"/>
      <c r="AG16" s="560">
        <f t="shared" si="17"/>
        <v>0</v>
      </c>
      <c r="AH16" s="292">
        <f t="shared" si="18"/>
        <v>0</v>
      </c>
      <c r="AI16" s="450"/>
      <c r="AJ16" s="560">
        <f t="shared" si="19"/>
        <v>0</v>
      </c>
      <c r="AK16" s="371">
        <f t="shared" si="2"/>
        <v>0</v>
      </c>
      <c r="AL16" s="449"/>
      <c r="AM16" s="560">
        <f t="shared" si="20"/>
        <v>0</v>
      </c>
      <c r="AN16" s="454">
        <f t="shared" si="23"/>
        <v>0</v>
      </c>
    </row>
    <row r="17" spans="1:40" ht="23.1" customHeight="1">
      <c r="A17" s="58">
        <f>Gen!B22</f>
        <v>44086</v>
      </c>
      <c r="B17" s="4"/>
      <c r="C17" s="97">
        <f t="shared" si="0"/>
        <v>0</v>
      </c>
      <c r="D17" s="1"/>
      <c r="E17" s="559">
        <f>IF((D17-D16)&lt;0,"0",(D17-D16))</f>
        <v>0</v>
      </c>
      <c r="F17" s="97">
        <f t="shared" si="4"/>
        <v>0</v>
      </c>
      <c r="G17" s="452"/>
      <c r="H17" s="559">
        <f t="shared" si="5"/>
        <v>0</v>
      </c>
      <c r="I17" s="97">
        <f t="shared" si="6"/>
        <v>0</v>
      </c>
      <c r="J17" s="1"/>
      <c r="K17" s="559">
        <f t="shared" si="25"/>
        <v>0</v>
      </c>
      <c r="L17" s="97">
        <f t="shared" si="7"/>
        <v>0</v>
      </c>
      <c r="M17" s="1"/>
      <c r="N17" s="559">
        <f t="shared" si="8"/>
        <v>0</v>
      </c>
      <c r="O17" s="97">
        <f t="shared" si="9"/>
        <v>0</v>
      </c>
      <c r="P17" s="448"/>
      <c r="Q17" s="559">
        <f t="shared" si="1"/>
        <v>0</v>
      </c>
      <c r="R17" s="297"/>
      <c r="S17" s="292">
        <f t="shared" si="10"/>
        <v>0</v>
      </c>
      <c r="T17" s="449"/>
      <c r="U17" s="560">
        <f t="shared" si="11"/>
        <v>0</v>
      </c>
      <c r="V17" s="292">
        <f t="shared" si="12"/>
        <v>0</v>
      </c>
      <c r="W17" s="449"/>
      <c r="X17" s="560">
        <f>IF((W17-W16)&lt;0,"0",(W17-W16))</f>
        <v>0</v>
      </c>
      <c r="Y17" s="292">
        <f t="shared" si="14"/>
        <v>0</v>
      </c>
      <c r="Z17" s="449"/>
      <c r="AA17" s="560">
        <f>IF((Z17-Z16)&lt;0,"0",(Z17-Z16))</f>
        <v>0</v>
      </c>
      <c r="AB17" s="758">
        <f t="shared" si="21"/>
        <v>0</v>
      </c>
      <c r="AC17" s="762"/>
      <c r="AD17" s="761">
        <f t="shared" si="22"/>
        <v>0</v>
      </c>
      <c r="AE17" s="292">
        <f t="shared" si="26"/>
        <v>0</v>
      </c>
      <c r="AF17" s="450"/>
      <c r="AG17" s="560">
        <f t="shared" si="17"/>
        <v>0</v>
      </c>
      <c r="AH17" s="292">
        <f t="shared" si="18"/>
        <v>0</v>
      </c>
      <c r="AI17" s="450"/>
      <c r="AJ17" s="560">
        <f t="shared" si="19"/>
        <v>0</v>
      </c>
      <c r="AK17" s="371">
        <f t="shared" si="2"/>
        <v>0</v>
      </c>
      <c r="AL17" s="449"/>
      <c r="AM17" s="560">
        <f>IF((AL17-AL16)&lt;0,"0",(AL17-AL16))</f>
        <v>0</v>
      </c>
      <c r="AN17" s="454">
        <f t="shared" si="23"/>
        <v>0</v>
      </c>
    </row>
    <row r="18" spans="1:40" ht="23.1" customHeight="1">
      <c r="A18" s="58">
        <f>Gen!B23</f>
        <v>44087</v>
      </c>
      <c r="B18" s="4"/>
      <c r="C18" s="97">
        <f t="shared" si="0"/>
        <v>0</v>
      </c>
      <c r="D18" s="1"/>
      <c r="E18" s="559">
        <f t="shared" ref="E18:E37" si="27">IF((D18-D17)&lt;0,"0",(D18-D17))</f>
        <v>0</v>
      </c>
      <c r="F18" s="97">
        <f t="shared" si="4"/>
        <v>0</v>
      </c>
      <c r="G18" s="452"/>
      <c r="H18" s="559">
        <f t="shared" si="5"/>
        <v>0</v>
      </c>
      <c r="I18" s="97"/>
      <c r="J18" s="1"/>
      <c r="K18" s="559">
        <f t="shared" si="25"/>
        <v>0</v>
      </c>
      <c r="L18" s="97">
        <f t="shared" si="7"/>
        <v>0</v>
      </c>
      <c r="M18" s="1"/>
      <c r="N18" s="559">
        <f t="shared" si="8"/>
        <v>0</v>
      </c>
      <c r="O18" s="97">
        <f t="shared" si="9"/>
        <v>0</v>
      </c>
      <c r="P18" s="448"/>
      <c r="Q18" s="559">
        <f t="shared" si="1"/>
        <v>0</v>
      </c>
      <c r="R18" s="297"/>
      <c r="S18" s="292">
        <f t="shared" si="10"/>
        <v>0</v>
      </c>
      <c r="T18" s="449"/>
      <c r="U18" s="560">
        <f t="shared" si="11"/>
        <v>0</v>
      </c>
      <c r="V18" s="292">
        <f t="shared" si="12"/>
        <v>0</v>
      </c>
      <c r="W18" s="449"/>
      <c r="X18" s="560">
        <f t="shared" si="13"/>
        <v>0</v>
      </c>
      <c r="Y18" s="292">
        <f t="shared" si="14"/>
        <v>0</v>
      </c>
      <c r="Z18" s="449"/>
      <c r="AA18" s="560">
        <f t="shared" si="15"/>
        <v>0</v>
      </c>
      <c r="AB18" s="758">
        <f t="shared" si="21"/>
        <v>0</v>
      </c>
      <c r="AC18" s="762"/>
      <c r="AD18" s="761">
        <f t="shared" si="22"/>
        <v>0</v>
      </c>
      <c r="AE18" s="292">
        <f t="shared" si="26"/>
        <v>0</v>
      </c>
      <c r="AF18" s="450"/>
      <c r="AG18" s="560">
        <f t="shared" si="17"/>
        <v>0</v>
      </c>
      <c r="AH18" s="292">
        <f>AI17</f>
        <v>0</v>
      </c>
      <c r="AI18" s="450"/>
      <c r="AJ18" s="560">
        <f t="shared" si="19"/>
        <v>0</v>
      </c>
      <c r="AK18" s="371">
        <f t="shared" si="2"/>
        <v>0</v>
      </c>
      <c r="AL18" s="449"/>
      <c r="AM18" s="560">
        <f t="shared" ref="AM18:AM26" si="28">IF((AL18-AL17)&lt;0,"0",(AL18-AL17))</f>
        <v>0</v>
      </c>
      <c r="AN18" s="454">
        <f t="shared" si="23"/>
        <v>0</v>
      </c>
    </row>
    <row r="19" spans="1:40" ht="23.1" customHeight="1">
      <c r="A19" s="58">
        <f>Gen!B24</f>
        <v>44088</v>
      </c>
      <c r="B19" s="4"/>
      <c r="C19" s="97">
        <f t="shared" si="0"/>
        <v>0</v>
      </c>
      <c r="D19" s="1"/>
      <c r="E19" s="559">
        <f t="shared" si="27"/>
        <v>0</v>
      </c>
      <c r="F19" s="97">
        <f t="shared" si="4"/>
        <v>0</v>
      </c>
      <c r="G19" s="452"/>
      <c r="H19" s="559">
        <f t="shared" si="5"/>
        <v>0</v>
      </c>
      <c r="I19" s="97">
        <f t="shared" si="6"/>
        <v>0</v>
      </c>
      <c r="J19" s="1"/>
      <c r="K19" s="559">
        <f t="shared" si="25"/>
        <v>0</v>
      </c>
      <c r="L19" s="97">
        <f t="shared" si="7"/>
        <v>0</v>
      </c>
      <c r="M19" s="1"/>
      <c r="N19" s="559">
        <f t="shared" si="8"/>
        <v>0</v>
      </c>
      <c r="O19" s="97">
        <f t="shared" si="9"/>
        <v>0</v>
      </c>
      <c r="P19" s="448"/>
      <c r="Q19" s="559">
        <f t="shared" si="1"/>
        <v>0</v>
      </c>
      <c r="R19" s="297"/>
      <c r="S19" s="292">
        <f t="shared" si="10"/>
        <v>0</v>
      </c>
      <c r="T19" s="449"/>
      <c r="U19" s="560">
        <f t="shared" si="11"/>
        <v>0</v>
      </c>
      <c r="V19" s="292">
        <f t="shared" si="12"/>
        <v>0</v>
      </c>
      <c r="W19" s="449"/>
      <c r="X19" s="560">
        <f t="shared" si="13"/>
        <v>0</v>
      </c>
      <c r="Y19" s="292">
        <f t="shared" si="14"/>
        <v>0</v>
      </c>
      <c r="Z19" s="449"/>
      <c r="AA19" s="560">
        <f t="shared" si="15"/>
        <v>0</v>
      </c>
      <c r="AB19" s="758">
        <f t="shared" si="21"/>
        <v>0</v>
      </c>
      <c r="AC19" s="762"/>
      <c r="AD19" s="761">
        <f t="shared" si="22"/>
        <v>0</v>
      </c>
      <c r="AE19" s="292">
        <f t="shared" si="26"/>
        <v>0</v>
      </c>
      <c r="AF19" s="450"/>
      <c r="AG19" s="560">
        <f t="shared" si="17"/>
        <v>0</v>
      </c>
      <c r="AH19" s="292">
        <f>AI18</f>
        <v>0</v>
      </c>
      <c r="AI19" s="450"/>
      <c r="AJ19" s="560">
        <f t="shared" si="19"/>
        <v>0</v>
      </c>
      <c r="AK19" s="371">
        <f t="shared" si="2"/>
        <v>0</v>
      </c>
      <c r="AL19" s="449"/>
      <c r="AM19" s="560">
        <f t="shared" si="28"/>
        <v>0</v>
      </c>
      <c r="AN19" s="454">
        <f t="shared" si="23"/>
        <v>0</v>
      </c>
    </row>
    <row r="20" spans="1:40" ht="23.1" customHeight="1">
      <c r="A20" s="58">
        <f>Gen!B25</f>
        <v>44089</v>
      </c>
      <c r="B20" s="4"/>
      <c r="C20" s="97">
        <f t="shared" si="0"/>
        <v>0</v>
      </c>
      <c r="D20" s="1"/>
      <c r="E20" s="559">
        <f t="shared" si="27"/>
        <v>0</v>
      </c>
      <c r="F20" s="97">
        <f t="shared" si="4"/>
        <v>0</v>
      </c>
      <c r="G20" s="452"/>
      <c r="H20" s="559">
        <f t="shared" si="5"/>
        <v>0</v>
      </c>
      <c r="I20" s="97">
        <f t="shared" si="6"/>
        <v>0</v>
      </c>
      <c r="J20" s="1"/>
      <c r="K20" s="559">
        <f t="shared" si="25"/>
        <v>0</v>
      </c>
      <c r="L20" s="97">
        <f t="shared" si="7"/>
        <v>0</v>
      </c>
      <c r="M20" s="1"/>
      <c r="N20" s="559">
        <f t="shared" si="8"/>
        <v>0</v>
      </c>
      <c r="O20" s="97">
        <f t="shared" si="9"/>
        <v>0</v>
      </c>
      <c r="P20" s="448"/>
      <c r="Q20" s="559">
        <f t="shared" si="1"/>
        <v>0</v>
      </c>
      <c r="R20" s="297"/>
      <c r="S20" s="292">
        <f t="shared" si="10"/>
        <v>0</v>
      </c>
      <c r="T20" s="449"/>
      <c r="U20" s="560">
        <f t="shared" si="11"/>
        <v>0</v>
      </c>
      <c r="V20" s="292">
        <f t="shared" si="12"/>
        <v>0</v>
      </c>
      <c r="W20" s="449"/>
      <c r="X20" s="560">
        <f t="shared" si="13"/>
        <v>0</v>
      </c>
      <c r="Y20" s="292">
        <f t="shared" si="14"/>
        <v>0</v>
      </c>
      <c r="Z20" s="449"/>
      <c r="AA20" s="560">
        <f t="shared" si="15"/>
        <v>0</v>
      </c>
      <c r="AB20" s="758">
        <f t="shared" si="21"/>
        <v>0</v>
      </c>
      <c r="AC20" s="762"/>
      <c r="AD20" s="761">
        <f t="shared" si="22"/>
        <v>0</v>
      </c>
      <c r="AE20" s="292">
        <f t="shared" si="26"/>
        <v>0</v>
      </c>
      <c r="AF20" s="450"/>
      <c r="AG20" s="560">
        <f t="shared" si="17"/>
        <v>0</v>
      </c>
      <c r="AH20" s="292">
        <f t="shared" si="18"/>
        <v>0</v>
      </c>
      <c r="AI20" s="450"/>
      <c r="AJ20" s="560">
        <f t="shared" si="19"/>
        <v>0</v>
      </c>
      <c r="AK20" s="371">
        <f t="shared" si="2"/>
        <v>0</v>
      </c>
      <c r="AL20" s="449"/>
      <c r="AM20" s="560">
        <f t="shared" si="28"/>
        <v>0</v>
      </c>
      <c r="AN20" s="454">
        <f t="shared" si="23"/>
        <v>0</v>
      </c>
    </row>
    <row r="21" spans="1:40" ht="23.1" customHeight="1">
      <c r="A21" s="58">
        <f>Gen!B26</f>
        <v>44090</v>
      </c>
      <c r="B21" s="4"/>
      <c r="C21" s="97">
        <f t="shared" si="0"/>
        <v>0</v>
      </c>
      <c r="D21" s="1"/>
      <c r="E21" s="559">
        <f t="shared" si="27"/>
        <v>0</v>
      </c>
      <c r="F21" s="97">
        <f t="shared" si="4"/>
        <v>0</v>
      </c>
      <c r="G21" s="452"/>
      <c r="H21" s="559">
        <f t="shared" si="5"/>
        <v>0</v>
      </c>
      <c r="I21" s="97">
        <f t="shared" si="6"/>
        <v>0</v>
      </c>
      <c r="J21" s="1"/>
      <c r="K21" s="559">
        <f t="shared" si="25"/>
        <v>0</v>
      </c>
      <c r="L21" s="97">
        <f t="shared" si="7"/>
        <v>0</v>
      </c>
      <c r="M21" s="1"/>
      <c r="N21" s="559">
        <f t="shared" si="8"/>
        <v>0</v>
      </c>
      <c r="O21" s="97">
        <f t="shared" si="9"/>
        <v>0</v>
      </c>
      <c r="P21" s="448"/>
      <c r="Q21" s="559">
        <f t="shared" si="1"/>
        <v>0</v>
      </c>
      <c r="R21" s="297"/>
      <c r="S21" s="292">
        <f t="shared" si="10"/>
        <v>0</v>
      </c>
      <c r="T21" s="449"/>
      <c r="U21" s="560">
        <f t="shared" si="11"/>
        <v>0</v>
      </c>
      <c r="V21" s="292">
        <f t="shared" ref="V21:V37" si="29">W20</f>
        <v>0</v>
      </c>
      <c r="W21" s="449"/>
      <c r="X21" s="560">
        <f t="shared" si="13"/>
        <v>0</v>
      </c>
      <c r="Y21" s="292">
        <f t="shared" si="14"/>
        <v>0</v>
      </c>
      <c r="Z21" s="449"/>
      <c r="AA21" s="560">
        <f t="shared" si="15"/>
        <v>0</v>
      </c>
      <c r="AB21" s="758">
        <f t="shared" si="21"/>
        <v>0</v>
      </c>
      <c r="AC21" s="762"/>
      <c r="AD21" s="761">
        <f t="shared" si="22"/>
        <v>0</v>
      </c>
      <c r="AE21" s="292">
        <f t="shared" si="16"/>
        <v>0</v>
      </c>
      <c r="AF21" s="450"/>
      <c r="AG21" s="560">
        <f t="shared" si="17"/>
        <v>0</v>
      </c>
      <c r="AH21" s="292">
        <f t="shared" si="18"/>
        <v>0</v>
      </c>
      <c r="AI21" s="450"/>
      <c r="AJ21" s="560">
        <f t="shared" si="19"/>
        <v>0</v>
      </c>
      <c r="AK21" s="371">
        <f t="shared" si="2"/>
        <v>0</v>
      </c>
      <c r="AL21" s="449"/>
      <c r="AM21" s="560">
        <f t="shared" si="28"/>
        <v>0</v>
      </c>
      <c r="AN21" s="454">
        <f t="shared" si="23"/>
        <v>0</v>
      </c>
    </row>
    <row r="22" spans="1:40" ht="23.1" customHeight="1">
      <c r="A22" s="58">
        <f>Gen!B27</f>
        <v>44091</v>
      </c>
      <c r="B22" s="4"/>
      <c r="C22" s="97">
        <f t="shared" si="0"/>
        <v>0</v>
      </c>
      <c r="D22" s="1"/>
      <c r="E22" s="559">
        <f t="shared" si="27"/>
        <v>0</v>
      </c>
      <c r="F22" s="97">
        <f t="shared" si="4"/>
        <v>0</v>
      </c>
      <c r="G22" s="452"/>
      <c r="H22" s="559">
        <f t="shared" si="5"/>
        <v>0</v>
      </c>
      <c r="I22" s="97">
        <f t="shared" si="6"/>
        <v>0</v>
      </c>
      <c r="J22" s="1"/>
      <c r="K22" s="559">
        <f t="shared" si="25"/>
        <v>0</v>
      </c>
      <c r="L22" s="97">
        <f t="shared" si="7"/>
        <v>0</v>
      </c>
      <c r="M22" s="1"/>
      <c r="N22" s="559">
        <f t="shared" si="8"/>
        <v>0</v>
      </c>
      <c r="O22" s="97">
        <f t="shared" si="9"/>
        <v>0</v>
      </c>
      <c r="P22" s="448"/>
      <c r="Q22" s="559">
        <f t="shared" si="1"/>
        <v>0</v>
      </c>
      <c r="R22" s="297"/>
      <c r="S22" s="292">
        <f t="shared" si="10"/>
        <v>0</v>
      </c>
      <c r="T22" s="449"/>
      <c r="U22" s="560">
        <f t="shared" si="11"/>
        <v>0</v>
      </c>
      <c r="V22" s="292">
        <f t="shared" si="29"/>
        <v>0</v>
      </c>
      <c r="W22" s="449"/>
      <c r="X22" s="560">
        <f t="shared" si="13"/>
        <v>0</v>
      </c>
      <c r="Y22" s="292">
        <f t="shared" si="14"/>
        <v>0</v>
      </c>
      <c r="Z22" s="449"/>
      <c r="AA22" s="560">
        <f t="shared" si="15"/>
        <v>0</v>
      </c>
      <c r="AB22" s="758">
        <f t="shared" si="21"/>
        <v>0</v>
      </c>
      <c r="AC22" s="762"/>
      <c r="AD22" s="761">
        <f t="shared" si="22"/>
        <v>0</v>
      </c>
      <c r="AE22" s="292">
        <f t="shared" si="16"/>
        <v>0</v>
      </c>
      <c r="AF22" s="450"/>
      <c r="AG22" s="560">
        <f t="shared" si="17"/>
        <v>0</v>
      </c>
      <c r="AH22" s="292">
        <f t="shared" si="18"/>
        <v>0</v>
      </c>
      <c r="AI22" s="450"/>
      <c r="AJ22" s="560">
        <f t="shared" si="19"/>
        <v>0</v>
      </c>
      <c r="AK22" s="371">
        <f t="shared" si="2"/>
        <v>0</v>
      </c>
      <c r="AL22" s="449"/>
      <c r="AM22" s="560">
        <f t="shared" si="28"/>
        <v>0</v>
      </c>
      <c r="AN22" s="454">
        <f t="shared" si="23"/>
        <v>0</v>
      </c>
    </row>
    <row r="23" spans="1:40" ht="23.1" customHeight="1">
      <c r="A23" s="58">
        <f>Gen!B28</f>
        <v>44092</v>
      </c>
      <c r="B23" s="4"/>
      <c r="C23" s="97">
        <f t="shared" si="0"/>
        <v>0</v>
      </c>
      <c r="D23" s="1"/>
      <c r="E23" s="559">
        <f t="shared" si="27"/>
        <v>0</v>
      </c>
      <c r="F23" s="97">
        <f t="shared" si="4"/>
        <v>0</v>
      </c>
      <c r="G23" s="452"/>
      <c r="H23" s="559">
        <f t="shared" si="5"/>
        <v>0</v>
      </c>
      <c r="I23" s="97">
        <f t="shared" si="6"/>
        <v>0</v>
      </c>
      <c r="J23" s="1"/>
      <c r="K23" s="559">
        <f t="shared" si="25"/>
        <v>0</v>
      </c>
      <c r="L23" s="97">
        <f t="shared" si="7"/>
        <v>0</v>
      </c>
      <c r="M23" s="1"/>
      <c r="N23" s="559">
        <f t="shared" si="8"/>
        <v>0</v>
      </c>
      <c r="O23" s="97">
        <f t="shared" si="9"/>
        <v>0</v>
      </c>
      <c r="P23" s="448"/>
      <c r="Q23" s="559">
        <f t="shared" si="1"/>
        <v>0</v>
      </c>
      <c r="R23" s="297"/>
      <c r="S23" s="292">
        <f t="shared" si="10"/>
        <v>0</v>
      </c>
      <c r="T23" s="449"/>
      <c r="U23" s="560">
        <f t="shared" si="11"/>
        <v>0</v>
      </c>
      <c r="V23" s="292">
        <f t="shared" si="29"/>
        <v>0</v>
      </c>
      <c r="W23" s="449"/>
      <c r="X23" s="560">
        <f t="shared" si="13"/>
        <v>0</v>
      </c>
      <c r="Y23" s="292">
        <f t="shared" si="14"/>
        <v>0</v>
      </c>
      <c r="Z23" s="449"/>
      <c r="AA23" s="560">
        <f t="shared" si="15"/>
        <v>0</v>
      </c>
      <c r="AB23" s="758">
        <f t="shared" si="21"/>
        <v>0</v>
      </c>
      <c r="AC23" s="759"/>
      <c r="AD23" s="761">
        <f t="shared" si="22"/>
        <v>0</v>
      </c>
      <c r="AE23" s="292">
        <f t="shared" si="16"/>
        <v>0</v>
      </c>
      <c r="AF23" s="450"/>
      <c r="AG23" s="560">
        <f t="shared" si="17"/>
        <v>0</v>
      </c>
      <c r="AH23" s="292">
        <f t="shared" si="18"/>
        <v>0</v>
      </c>
      <c r="AI23" s="450"/>
      <c r="AJ23" s="560">
        <f t="shared" si="19"/>
        <v>0</v>
      </c>
      <c r="AK23" s="371">
        <f t="shared" si="2"/>
        <v>0</v>
      </c>
      <c r="AL23" s="449"/>
      <c r="AM23" s="560">
        <f t="shared" si="28"/>
        <v>0</v>
      </c>
      <c r="AN23" s="454">
        <f t="shared" si="23"/>
        <v>0</v>
      </c>
    </row>
    <row r="24" spans="1:40" ht="23.1" customHeight="1">
      <c r="A24" s="58">
        <f>Gen!B29</f>
        <v>44093</v>
      </c>
      <c r="B24" s="4"/>
      <c r="C24" s="97">
        <f t="shared" si="0"/>
        <v>0</v>
      </c>
      <c r="D24" s="1"/>
      <c r="E24" s="559">
        <f t="shared" si="27"/>
        <v>0</v>
      </c>
      <c r="F24" s="97">
        <f t="shared" si="4"/>
        <v>0</v>
      </c>
      <c r="G24" s="452"/>
      <c r="H24" s="559">
        <f t="shared" si="5"/>
        <v>0</v>
      </c>
      <c r="I24" s="97">
        <f t="shared" si="6"/>
        <v>0</v>
      </c>
      <c r="J24" s="1"/>
      <c r="K24" s="559">
        <f t="shared" si="25"/>
        <v>0</v>
      </c>
      <c r="L24" s="97">
        <f t="shared" si="7"/>
        <v>0</v>
      </c>
      <c r="M24" s="1"/>
      <c r="N24" s="559">
        <f t="shared" si="8"/>
        <v>0</v>
      </c>
      <c r="O24" s="97">
        <f t="shared" si="9"/>
        <v>0</v>
      </c>
      <c r="P24" s="448"/>
      <c r="Q24" s="559">
        <f t="shared" si="1"/>
        <v>0</v>
      </c>
      <c r="R24" s="297"/>
      <c r="S24" s="292">
        <f t="shared" si="10"/>
        <v>0</v>
      </c>
      <c r="T24" s="449"/>
      <c r="U24" s="560">
        <f t="shared" si="11"/>
        <v>0</v>
      </c>
      <c r="V24" s="292">
        <f t="shared" si="29"/>
        <v>0</v>
      </c>
      <c r="W24" s="449"/>
      <c r="X24" s="560">
        <f t="shared" si="13"/>
        <v>0</v>
      </c>
      <c r="Y24" s="292">
        <f t="shared" si="14"/>
        <v>0</v>
      </c>
      <c r="Z24" s="449"/>
      <c r="AA24" s="560">
        <f t="shared" si="15"/>
        <v>0</v>
      </c>
      <c r="AB24" s="758">
        <f t="shared" si="21"/>
        <v>0</v>
      </c>
      <c r="AC24" s="759"/>
      <c r="AD24" s="761">
        <f t="shared" si="22"/>
        <v>0</v>
      </c>
      <c r="AE24" s="292">
        <f t="shared" si="16"/>
        <v>0</v>
      </c>
      <c r="AF24" s="450"/>
      <c r="AG24" s="560">
        <f t="shared" si="17"/>
        <v>0</v>
      </c>
      <c r="AH24" s="292">
        <f t="shared" si="18"/>
        <v>0</v>
      </c>
      <c r="AI24" s="450"/>
      <c r="AJ24" s="560">
        <f t="shared" si="19"/>
        <v>0</v>
      </c>
      <c r="AK24" s="371">
        <f t="shared" si="2"/>
        <v>0</v>
      </c>
      <c r="AL24" s="449"/>
      <c r="AM24" s="560">
        <f t="shared" si="28"/>
        <v>0</v>
      </c>
      <c r="AN24" s="454">
        <f t="shared" si="23"/>
        <v>0</v>
      </c>
    </row>
    <row r="25" spans="1:40" ht="23.1" customHeight="1">
      <c r="A25" s="58">
        <f>Gen!B30</f>
        <v>44094</v>
      </c>
      <c r="B25" s="4"/>
      <c r="C25" s="97">
        <f>D24</f>
        <v>0</v>
      </c>
      <c r="D25" s="1"/>
      <c r="E25" s="559">
        <f t="shared" si="27"/>
        <v>0</v>
      </c>
      <c r="F25" s="97">
        <f t="shared" si="4"/>
        <v>0</v>
      </c>
      <c r="G25" s="452"/>
      <c r="H25" s="559">
        <f>IF((G26-G24)&lt;0,"0",(G26-G24))</f>
        <v>0</v>
      </c>
      <c r="I25" s="97">
        <f t="shared" ref="I25:I37" si="30">J24</f>
        <v>0</v>
      </c>
      <c r="J25" s="1"/>
      <c r="K25" s="559">
        <f t="shared" si="25"/>
        <v>0</v>
      </c>
      <c r="L25" s="97">
        <f t="shared" ref="L25:L37" si="31">M24</f>
        <v>0</v>
      </c>
      <c r="M25" s="1"/>
      <c r="N25" s="559">
        <f t="shared" ref="N25:N37" si="32">IF((M25-M24)&lt;0,"0",(M25-M24))</f>
        <v>0</v>
      </c>
      <c r="O25" s="97">
        <f t="shared" si="9"/>
        <v>0</v>
      </c>
      <c r="P25" s="448"/>
      <c r="Q25" s="559">
        <f t="shared" si="1"/>
        <v>0</v>
      </c>
      <c r="R25" s="297"/>
      <c r="S25" s="292">
        <f t="shared" ref="S25:S37" si="33">T24</f>
        <v>0</v>
      </c>
      <c r="T25" s="449"/>
      <c r="U25" s="560">
        <f t="shared" ref="U25:U37" si="34">IF((T25-T24)&lt;0,"0",(T25-T24))</f>
        <v>0</v>
      </c>
      <c r="V25" s="292">
        <f t="shared" si="29"/>
        <v>0</v>
      </c>
      <c r="W25" s="449"/>
      <c r="X25" s="560">
        <f t="shared" si="13"/>
        <v>0</v>
      </c>
      <c r="Y25" s="292">
        <f t="shared" si="14"/>
        <v>0</v>
      </c>
      <c r="Z25" s="449"/>
      <c r="AA25" s="560">
        <f t="shared" si="15"/>
        <v>0</v>
      </c>
      <c r="AB25" s="758">
        <f t="shared" si="21"/>
        <v>0</v>
      </c>
      <c r="AC25" s="759"/>
      <c r="AD25" s="761">
        <f t="shared" si="22"/>
        <v>0</v>
      </c>
      <c r="AE25" s="292">
        <f t="shared" si="16"/>
        <v>0</v>
      </c>
      <c r="AF25" s="450"/>
      <c r="AG25" s="560">
        <f t="shared" si="17"/>
        <v>0</v>
      </c>
      <c r="AH25" s="292">
        <f t="shared" si="18"/>
        <v>0</v>
      </c>
      <c r="AI25" s="450"/>
      <c r="AJ25" s="560">
        <f t="shared" si="19"/>
        <v>0</v>
      </c>
      <c r="AK25" s="371">
        <f t="shared" si="2"/>
        <v>0</v>
      </c>
      <c r="AL25" s="449"/>
      <c r="AM25" s="560">
        <f t="shared" si="28"/>
        <v>0</v>
      </c>
      <c r="AN25" s="454">
        <f t="shared" si="23"/>
        <v>0</v>
      </c>
    </row>
    <row r="26" spans="1:40" ht="23.1" customHeight="1">
      <c r="A26" s="58">
        <f>Gen!B31</f>
        <v>44095</v>
      </c>
      <c r="B26" s="4"/>
      <c r="C26" s="97">
        <f>D25</f>
        <v>0</v>
      </c>
      <c r="D26" s="1"/>
      <c r="E26" s="559">
        <f t="shared" si="27"/>
        <v>0</v>
      </c>
      <c r="F26" s="97">
        <f>G26</f>
        <v>0</v>
      </c>
      <c r="G26" s="452"/>
      <c r="H26" s="559">
        <f t="shared" ref="H26:H27" si="35">IF((G27-G25)&lt;0,"0",(G27-G25))</f>
        <v>0</v>
      </c>
      <c r="I26" s="97">
        <f t="shared" si="30"/>
        <v>0</v>
      </c>
      <c r="J26" s="1"/>
      <c r="K26" s="559">
        <f t="shared" si="25"/>
        <v>0</v>
      </c>
      <c r="L26" s="97">
        <f t="shared" si="31"/>
        <v>0</v>
      </c>
      <c r="M26" s="1"/>
      <c r="N26" s="559">
        <f t="shared" si="32"/>
        <v>0</v>
      </c>
      <c r="O26" s="97">
        <f t="shared" ref="O26:O37" si="36">P25</f>
        <v>0</v>
      </c>
      <c r="P26" s="448"/>
      <c r="Q26" s="559">
        <f t="shared" si="1"/>
        <v>0</v>
      </c>
      <c r="R26" s="297"/>
      <c r="S26" s="292">
        <f t="shared" si="33"/>
        <v>0</v>
      </c>
      <c r="T26" s="449"/>
      <c r="U26" s="560">
        <f t="shared" si="34"/>
        <v>0</v>
      </c>
      <c r="V26" s="292">
        <f t="shared" si="29"/>
        <v>0</v>
      </c>
      <c r="W26" s="449"/>
      <c r="X26" s="560">
        <f t="shared" si="13"/>
        <v>0</v>
      </c>
      <c r="Y26" s="292">
        <f t="shared" si="14"/>
        <v>0</v>
      </c>
      <c r="Z26" s="449"/>
      <c r="AA26" s="560">
        <f t="shared" si="15"/>
        <v>0</v>
      </c>
      <c r="AB26" s="758">
        <f t="shared" si="21"/>
        <v>0</v>
      </c>
      <c r="AC26" s="759"/>
      <c r="AD26" s="761">
        <f t="shared" si="22"/>
        <v>0</v>
      </c>
      <c r="AE26" s="292">
        <f t="shared" si="16"/>
        <v>0</v>
      </c>
      <c r="AF26" s="450"/>
      <c r="AG26" s="560">
        <f t="shared" si="17"/>
        <v>0</v>
      </c>
      <c r="AH26" s="292">
        <f t="shared" si="18"/>
        <v>0</v>
      </c>
      <c r="AI26" s="450"/>
      <c r="AJ26" s="560">
        <f t="shared" si="19"/>
        <v>0</v>
      </c>
      <c r="AK26" s="371">
        <f t="shared" si="2"/>
        <v>0</v>
      </c>
      <c r="AL26" s="449"/>
      <c r="AM26" s="560">
        <f t="shared" si="28"/>
        <v>0</v>
      </c>
      <c r="AN26" s="454">
        <f t="shared" si="23"/>
        <v>0</v>
      </c>
    </row>
    <row r="27" spans="1:40" ht="23.1" customHeight="1">
      <c r="A27" s="58">
        <f>Gen!B32</f>
        <v>44096</v>
      </c>
      <c r="B27" s="4"/>
      <c r="C27" s="97">
        <f>D26</f>
        <v>0</v>
      </c>
      <c r="D27" s="1"/>
      <c r="E27" s="559">
        <f t="shared" si="27"/>
        <v>0</v>
      </c>
      <c r="F27" s="97">
        <f t="shared" ref="F27:F31" si="37">G27</f>
        <v>0</v>
      </c>
      <c r="G27" s="452"/>
      <c r="H27" s="559">
        <f t="shared" si="35"/>
        <v>0</v>
      </c>
      <c r="I27" s="97">
        <f t="shared" si="30"/>
        <v>0</v>
      </c>
      <c r="J27" s="1"/>
      <c r="K27" s="559">
        <f t="shared" si="25"/>
        <v>0</v>
      </c>
      <c r="L27" s="97">
        <f t="shared" si="31"/>
        <v>0</v>
      </c>
      <c r="M27" s="1"/>
      <c r="N27" s="559">
        <f t="shared" si="32"/>
        <v>0</v>
      </c>
      <c r="O27" s="97">
        <f t="shared" si="36"/>
        <v>0</v>
      </c>
      <c r="P27" s="448"/>
      <c r="Q27" s="559">
        <f t="shared" si="1"/>
        <v>0</v>
      </c>
      <c r="R27" s="297"/>
      <c r="S27" s="292">
        <f t="shared" si="33"/>
        <v>0</v>
      </c>
      <c r="T27" s="449"/>
      <c r="U27" s="560">
        <f t="shared" si="34"/>
        <v>0</v>
      </c>
      <c r="V27" s="292">
        <f t="shared" si="29"/>
        <v>0</v>
      </c>
      <c r="W27" s="449"/>
      <c r="X27" s="560">
        <f t="shared" si="13"/>
        <v>0</v>
      </c>
      <c r="Y27" s="292">
        <f t="shared" si="14"/>
        <v>0</v>
      </c>
      <c r="Z27" s="449"/>
      <c r="AA27" s="560">
        <f t="shared" si="15"/>
        <v>0</v>
      </c>
      <c r="AB27" s="758">
        <f t="shared" si="21"/>
        <v>0</v>
      </c>
      <c r="AC27" s="759"/>
      <c r="AD27" s="761">
        <f t="shared" si="22"/>
        <v>0</v>
      </c>
      <c r="AE27" s="292">
        <f t="shared" si="16"/>
        <v>0</v>
      </c>
      <c r="AF27" s="450"/>
      <c r="AG27" s="560">
        <f t="shared" si="17"/>
        <v>0</v>
      </c>
      <c r="AH27" s="292">
        <f t="shared" si="18"/>
        <v>0</v>
      </c>
      <c r="AI27" s="450"/>
      <c r="AJ27" s="560">
        <f t="shared" si="19"/>
        <v>0</v>
      </c>
      <c r="AK27" s="371">
        <f t="shared" si="2"/>
        <v>0</v>
      </c>
      <c r="AL27" s="449"/>
      <c r="AM27" s="560">
        <f t="shared" si="20"/>
        <v>0</v>
      </c>
      <c r="AN27" s="454">
        <f t="shared" si="23"/>
        <v>0</v>
      </c>
    </row>
    <row r="28" spans="1:40" ht="23.1" customHeight="1">
      <c r="A28" s="58">
        <f>Gen!B33</f>
        <v>44097</v>
      </c>
      <c r="B28" s="4"/>
      <c r="C28" s="97">
        <f t="shared" ref="C28:C37" si="38">D27</f>
        <v>0</v>
      </c>
      <c r="D28" s="1"/>
      <c r="E28" s="559">
        <f t="shared" si="27"/>
        <v>0</v>
      </c>
      <c r="F28" s="97">
        <f t="shared" si="37"/>
        <v>0</v>
      </c>
      <c r="G28" s="452"/>
      <c r="H28" s="559">
        <f t="shared" ref="H28:H37" si="39">IF((G28-G27)&lt;0,"0",(G28-G27))</f>
        <v>0</v>
      </c>
      <c r="I28" s="97">
        <f t="shared" si="30"/>
        <v>0</v>
      </c>
      <c r="J28" s="1"/>
      <c r="K28" s="559">
        <f>IF((J28-J27)&lt;0,"0",(J28-J27))</f>
        <v>0</v>
      </c>
      <c r="L28" s="97">
        <f t="shared" si="31"/>
        <v>0</v>
      </c>
      <c r="M28" s="1"/>
      <c r="N28" s="559">
        <f t="shared" si="32"/>
        <v>0</v>
      </c>
      <c r="O28" s="97">
        <f t="shared" si="36"/>
        <v>0</v>
      </c>
      <c r="P28" s="448"/>
      <c r="Q28" s="559">
        <f t="shared" ref="Q28:Q37" si="40">IF((P28-P27)&lt;0,"0",(P28-P27))</f>
        <v>0</v>
      </c>
      <c r="R28" s="297"/>
      <c r="S28" s="292">
        <f t="shared" si="33"/>
        <v>0</v>
      </c>
      <c r="T28" s="449"/>
      <c r="U28" s="560">
        <f t="shared" si="34"/>
        <v>0</v>
      </c>
      <c r="V28" s="292">
        <f t="shared" si="29"/>
        <v>0</v>
      </c>
      <c r="W28" s="449"/>
      <c r="X28" s="560">
        <f t="shared" si="13"/>
        <v>0</v>
      </c>
      <c r="Y28" s="292">
        <f t="shared" si="14"/>
        <v>0</v>
      </c>
      <c r="Z28" s="449"/>
      <c r="AA28" s="560">
        <f t="shared" si="15"/>
        <v>0</v>
      </c>
      <c r="AB28" s="758">
        <f t="shared" si="21"/>
        <v>0</v>
      </c>
      <c r="AC28" s="759"/>
      <c r="AD28" s="761">
        <f t="shared" si="22"/>
        <v>0</v>
      </c>
      <c r="AE28" s="292">
        <f t="shared" si="16"/>
        <v>0</v>
      </c>
      <c r="AF28" s="450"/>
      <c r="AG28" s="560">
        <f t="shared" si="17"/>
        <v>0</v>
      </c>
      <c r="AH28" s="292">
        <f t="shared" si="18"/>
        <v>0</v>
      </c>
      <c r="AI28" s="450"/>
      <c r="AJ28" s="560">
        <f t="shared" si="19"/>
        <v>0</v>
      </c>
      <c r="AK28" s="371">
        <f t="shared" si="2"/>
        <v>0</v>
      </c>
      <c r="AL28" s="449"/>
      <c r="AM28" s="560">
        <f t="shared" si="20"/>
        <v>0</v>
      </c>
      <c r="AN28" s="454">
        <f t="shared" si="23"/>
        <v>0</v>
      </c>
    </row>
    <row r="29" spans="1:40" ht="23.1" customHeight="1">
      <c r="A29" s="58">
        <f>Gen!B34</f>
        <v>44098</v>
      </c>
      <c r="B29" s="4"/>
      <c r="C29" s="97">
        <f t="shared" si="38"/>
        <v>0</v>
      </c>
      <c r="D29" s="1"/>
      <c r="E29" s="559">
        <f t="shared" si="27"/>
        <v>0</v>
      </c>
      <c r="F29" s="97">
        <f t="shared" si="37"/>
        <v>0</v>
      </c>
      <c r="G29" s="452"/>
      <c r="H29" s="559">
        <f t="shared" si="39"/>
        <v>0</v>
      </c>
      <c r="I29" s="97">
        <f t="shared" si="30"/>
        <v>0</v>
      </c>
      <c r="J29" s="1"/>
      <c r="K29" s="559">
        <f t="shared" ref="K29:K37" si="41">IF((J29-J28)&lt;0,"0",(J29-J28))</f>
        <v>0</v>
      </c>
      <c r="L29" s="97">
        <f t="shared" si="31"/>
        <v>0</v>
      </c>
      <c r="M29" s="1"/>
      <c r="N29" s="559">
        <f t="shared" si="32"/>
        <v>0</v>
      </c>
      <c r="O29" s="97">
        <f t="shared" si="36"/>
        <v>0</v>
      </c>
      <c r="P29" s="448"/>
      <c r="Q29" s="559">
        <f t="shared" si="40"/>
        <v>0</v>
      </c>
      <c r="R29" s="297"/>
      <c r="S29" s="292">
        <f t="shared" si="33"/>
        <v>0</v>
      </c>
      <c r="T29" s="449"/>
      <c r="U29" s="560">
        <f t="shared" si="34"/>
        <v>0</v>
      </c>
      <c r="V29" s="292">
        <f t="shared" si="29"/>
        <v>0</v>
      </c>
      <c r="W29" s="449"/>
      <c r="X29" s="560">
        <f t="shared" si="13"/>
        <v>0</v>
      </c>
      <c r="Y29" s="292">
        <f t="shared" si="14"/>
        <v>0</v>
      </c>
      <c r="Z29" s="449"/>
      <c r="AA29" s="560">
        <f t="shared" si="15"/>
        <v>0</v>
      </c>
      <c r="AB29" s="758">
        <f t="shared" si="21"/>
        <v>0</v>
      </c>
      <c r="AC29" s="759"/>
      <c r="AD29" s="761">
        <f t="shared" si="22"/>
        <v>0</v>
      </c>
      <c r="AE29" s="292">
        <f t="shared" si="16"/>
        <v>0</v>
      </c>
      <c r="AF29" s="450"/>
      <c r="AG29" s="560">
        <f t="shared" si="17"/>
        <v>0</v>
      </c>
      <c r="AH29" s="292">
        <f t="shared" si="18"/>
        <v>0</v>
      </c>
      <c r="AI29" s="450"/>
      <c r="AJ29" s="560">
        <f t="shared" si="19"/>
        <v>0</v>
      </c>
      <c r="AK29" s="371">
        <f t="shared" si="2"/>
        <v>0</v>
      </c>
      <c r="AL29" s="449"/>
      <c r="AM29" s="560">
        <f t="shared" si="20"/>
        <v>0</v>
      </c>
      <c r="AN29" s="454">
        <f t="shared" si="23"/>
        <v>0</v>
      </c>
    </row>
    <row r="30" spans="1:40" ht="23.1" customHeight="1">
      <c r="A30" s="58">
        <f>Gen!B35</f>
        <v>44099</v>
      </c>
      <c r="B30" s="4"/>
      <c r="C30" s="97">
        <f t="shared" si="38"/>
        <v>0</v>
      </c>
      <c r="D30" s="1"/>
      <c r="E30" s="559">
        <f t="shared" si="27"/>
        <v>0</v>
      </c>
      <c r="F30" s="97">
        <f t="shared" si="37"/>
        <v>0</v>
      </c>
      <c r="G30" s="452"/>
      <c r="H30" s="559">
        <f t="shared" si="39"/>
        <v>0</v>
      </c>
      <c r="I30" s="97">
        <f t="shared" si="30"/>
        <v>0</v>
      </c>
      <c r="J30" s="1"/>
      <c r="K30" s="559">
        <f t="shared" si="41"/>
        <v>0</v>
      </c>
      <c r="L30" s="97">
        <f t="shared" si="31"/>
        <v>0</v>
      </c>
      <c r="M30" s="1"/>
      <c r="N30" s="559">
        <f t="shared" si="32"/>
        <v>0</v>
      </c>
      <c r="O30" s="97">
        <f t="shared" si="36"/>
        <v>0</v>
      </c>
      <c r="P30" s="448"/>
      <c r="Q30" s="559">
        <f t="shared" si="40"/>
        <v>0</v>
      </c>
      <c r="R30" s="297"/>
      <c r="S30" s="292">
        <f t="shared" si="33"/>
        <v>0</v>
      </c>
      <c r="T30" s="449"/>
      <c r="U30" s="560">
        <f t="shared" si="34"/>
        <v>0</v>
      </c>
      <c r="V30" s="292">
        <f t="shared" si="29"/>
        <v>0</v>
      </c>
      <c r="W30" s="449"/>
      <c r="X30" s="560">
        <f t="shared" si="13"/>
        <v>0</v>
      </c>
      <c r="Y30" s="292">
        <f t="shared" si="14"/>
        <v>0</v>
      </c>
      <c r="Z30" s="449"/>
      <c r="AA30" s="560">
        <f t="shared" si="15"/>
        <v>0</v>
      </c>
      <c r="AB30" s="758">
        <f t="shared" si="21"/>
        <v>0</v>
      </c>
      <c r="AC30" s="759"/>
      <c r="AD30" s="761">
        <f t="shared" si="22"/>
        <v>0</v>
      </c>
      <c r="AE30" s="292">
        <f t="shared" si="16"/>
        <v>0</v>
      </c>
      <c r="AF30" s="450"/>
      <c r="AG30" s="560">
        <f t="shared" si="17"/>
        <v>0</v>
      </c>
      <c r="AH30" s="292">
        <f t="shared" si="18"/>
        <v>0</v>
      </c>
      <c r="AI30" s="450"/>
      <c r="AJ30" s="560">
        <f t="shared" si="19"/>
        <v>0</v>
      </c>
      <c r="AK30" s="371">
        <f t="shared" si="2"/>
        <v>0</v>
      </c>
      <c r="AL30" s="449"/>
      <c r="AM30" s="560">
        <f t="shared" si="20"/>
        <v>0</v>
      </c>
      <c r="AN30" s="454">
        <f t="shared" si="23"/>
        <v>0</v>
      </c>
    </row>
    <row r="31" spans="1:40" ht="23.1" customHeight="1">
      <c r="A31" s="58">
        <f>Gen!B36</f>
        <v>44100</v>
      </c>
      <c r="B31" s="4"/>
      <c r="C31" s="97">
        <f t="shared" si="38"/>
        <v>0</v>
      </c>
      <c r="D31" s="1"/>
      <c r="E31" s="559">
        <f t="shared" si="27"/>
        <v>0</v>
      </c>
      <c r="F31" s="97">
        <f t="shared" si="37"/>
        <v>0</v>
      </c>
      <c r="G31" s="452"/>
      <c r="H31" s="559">
        <f t="shared" si="39"/>
        <v>0</v>
      </c>
      <c r="I31" s="97">
        <f t="shared" si="30"/>
        <v>0</v>
      </c>
      <c r="J31" s="1"/>
      <c r="K31" s="559">
        <f t="shared" si="41"/>
        <v>0</v>
      </c>
      <c r="L31" s="97">
        <f t="shared" si="31"/>
        <v>0</v>
      </c>
      <c r="M31" s="1"/>
      <c r="N31" s="559">
        <f t="shared" si="32"/>
        <v>0</v>
      </c>
      <c r="O31" s="97">
        <f t="shared" si="36"/>
        <v>0</v>
      </c>
      <c r="P31" s="448"/>
      <c r="Q31" s="559">
        <f t="shared" si="40"/>
        <v>0</v>
      </c>
      <c r="R31" s="297"/>
      <c r="S31" s="292">
        <f t="shared" si="33"/>
        <v>0</v>
      </c>
      <c r="T31" s="449"/>
      <c r="U31" s="560">
        <f t="shared" si="34"/>
        <v>0</v>
      </c>
      <c r="V31" s="292">
        <f t="shared" si="29"/>
        <v>0</v>
      </c>
      <c r="W31" s="449"/>
      <c r="X31" s="560">
        <f t="shared" si="13"/>
        <v>0</v>
      </c>
      <c r="Y31" s="292">
        <f t="shared" si="14"/>
        <v>0</v>
      </c>
      <c r="Z31" s="449"/>
      <c r="AA31" s="560">
        <f t="shared" si="15"/>
        <v>0</v>
      </c>
      <c r="AB31" s="758">
        <f t="shared" si="21"/>
        <v>0</v>
      </c>
      <c r="AC31" s="759"/>
      <c r="AD31" s="761">
        <f t="shared" si="22"/>
        <v>0</v>
      </c>
      <c r="AE31" s="292">
        <f t="shared" si="16"/>
        <v>0</v>
      </c>
      <c r="AF31" s="450"/>
      <c r="AG31" s="560">
        <f t="shared" si="17"/>
        <v>0</v>
      </c>
      <c r="AH31" s="292">
        <f t="shared" si="18"/>
        <v>0</v>
      </c>
      <c r="AI31" s="450"/>
      <c r="AJ31" s="560">
        <f t="shared" si="19"/>
        <v>0</v>
      </c>
      <c r="AK31" s="371">
        <f t="shared" si="2"/>
        <v>0</v>
      </c>
      <c r="AL31" s="449"/>
      <c r="AM31" s="560">
        <f t="shared" si="20"/>
        <v>0</v>
      </c>
      <c r="AN31" s="454">
        <f t="shared" si="23"/>
        <v>0</v>
      </c>
    </row>
    <row r="32" spans="1:40" ht="23.1" customHeight="1">
      <c r="A32" s="58">
        <f>Gen!B37</f>
        <v>44101</v>
      </c>
      <c r="B32" s="4" t="s">
        <v>27</v>
      </c>
      <c r="C32" s="97">
        <f t="shared" si="38"/>
        <v>0</v>
      </c>
      <c r="D32" s="1"/>
      <c r="E32" s="559">
        <f t="shared" si="27"/>
        <v>0</v>
      </c>
      <c r="F32" s="97">
        <f t="shared" si="4"/>
        <v>0</v>
      </c>
      <c r="G32" s="452"/>
      <c r="H32" s="559">
        <f t="shared" si="39"/>
        <v>0</v>
      </c>
      <c r="I32" s="97">
        <f t="shared" si="30"/>
        <v>0</v>
      </c>
      <c r="J32" s="1"/>
      <c r="K32" s="559">
        <f t="shared" si="41"/>
        <v>0</v>
      </c>
      <c r="L32" s="97">
        <f t="shared" si="31"/>
        <v>0</v>
      </c>
      <c r="M32" s="1"/>
      <c r="N32" s="559">
        <f t="shared" si="32"/>
        <v>0</v>
      </c>
      <c r="O32" s="97">
        <f t="shared" si="36"/>
        <v>0</v>
      </c>
      <c r="P32" s="448"/>
      <c r="Q32" s="559">
        <f t="shared" si="40"/>
        <v>0</v>
      </c>
      <c r="R32" s="297"/>
      <c r="S32" s="292">
        <f t="shared" si="33"/>
        <v>0</v>
      </c>
      <c r="T32" s="449"/>
      <c r="U32" s="560">
        <f t="shared" si="34"/>
        <v>0</v>
      </c>
      <c r="V32" s="292">
        <f t="shared" si="29"/>
        <v>0</v>
      </c>
      <c r="W32" s="449"/>
      <c r="X32" s="560">
        <f t="shared" si="13"/>
        <v>0</v>
      </c>
      <c r="Y32" s="292">
        <f t="shared" si="14"/>
        <v>0</v>
      </c>
      <c r="Z32" s="449"/>
      <c r="AA32" s="560">
        <f t="shared" si="15"/>
        <v>0</v>
      </c>
      <c r="AB32" s="758">
        <f t="shared" si="21"/>
        <v>0</v>
      </c>
      <c r="AC32" s="759"/>
      <c r="AD32" s="761">
        <f t="shared" si="22"/>
        <v>0</v>
      </c>
      <c r="AE32" s="292">
        <f t="shared" si="16"/>
        <v>0</v>
      </c>
      <c r="AF32" s="450"/>
      <c r="AG32" s="560">
        <f t="shared" si="17"/>
        <v>0</v>
      </c>
      <c r="AH32" s="292">
        <f t="shared" si="18"/>
        <v>0</v>
      </c>
      <c r="AI32" s="450"/>
      <c r="AJ32" s="560">
        <f t="shared" si="19"/>
        <v>0</v>
      </c>
      <c r="AK32" s="371">
        <f t="shared" si="2"/>
        <v>0</v>
      </c>
      <c r="AL32" s="449"/>
      <c r="AM32" s="560">
        <f t="shared" si="20"/>
        <v>0</v>
      </c>
      <c r="AN32" s="454">
        <f t="shared" si="23"/>
        <v>0</v>
      </c>
    </row>
    <row r="33" spans="1:41" ht="23.1" customHeight="1">
      <c r="A33" s="58">
        <f>Gen!B38</f>
        <v>44102</v>
      </c>
      <c r="B33" s="4"/>
      <c r="C33" s="97">
        <f t="shared" si="38"/>
        <v>0</v>
      </c>
      <c r="D33" s="1"/>
      <c r="E33" s="559">
        <f t="shared" si="27"/>
        <v>0</v>
      </c>
      <c r="F33" s="97">
        <f t="shared" si="4"/>
        <v>0</v>
      </c>
      <c r="G33" s="452"/>
      <c r="H33" s="559">
        <f t="shared" si="39"/>
        <v>0</v>
      </c>
      <c r="I33" s="97">
        <f t="shared" si="30"/>
        <v>0</v>
      </c>
      <c r="J33" s="1"/>
      <c r="K33" s="559">
        <f t="shared" si="41"/>
        <v>0</v>
      </c>
      <c r="L33" s="97">
        <f t="shared" si="31"/>
        <v>0</v>
      </c>
      <c r="M33" s="1"/>
      <c r="N33" s="559">
        <f t="shared" si="32"/>
        <v>0</v>
      </c>
      <c r="O33" s="97">
        <f t="shared" si="36"/>
        <v>0</v>
      </c>
      <c r="P33" s="448"/>
      <c r="Q33" s="559">
        <f t="shared" si="40"/>
        <v>0</v>
      </c>
      <c r="R33" s="297"/>
      <c r="S33" s="292">
        <f t="shared" si="33"/>
        <v>0</v>
      </c>
      <c r="T33" s="449"/>
      <c r="U33" s="560">
        <f t="shared" si="34"/>
        <v>0</v>
      </c>
      <c r="V33" s="292">
        <f t="shared" si="29"/>
        <v>0</v>
      </c>
      <c r="W33" s="449"/>
      <c r="X33" s="560">
        <f t="shared" si="13"/>
        <v>0</v>
      </c>
      <c r="Y33" s="292">
        <f t="shared" si="14"/>
        <v>0</v>
      </c>
      <c r="Z33" s="449"/>
      <c r="AA33" s="560">
        <f t="shared" si="15"/>
        <v>0</v>
      </c>
      <c r="AB33" s="758">
        <f t="shared" si="21"/>
        <v>0</v>
      </c>
      <c r="AC33" s="293"/>
      <c r="AD33" s="761">
        <f t="shared" si="22"/>
        <v>0</v>
      </c>
      <c r="AE33" s="292">
        <f t="shared" si="16"/>
        <v>0</v>
      </c>
      <c r="AF33" s="450"/>
      <c r="AG33" s="560">
        <f t="shared" si="17"/>
        <v>0</v>
      </c>
      <c r="AH33" s="292">
        <f t="shared" si="18"/>
        <v>0</v>
      </c>
      <c r="AI33" s="450"/>
      <c r="AJ33" s="560">
        <f t="shared" si="19"/>
        <v>0</v>
      </c>
      <c r="AK33" s="371">
        <f t="shared" si="2"/>
        <v>0</v>
      </c>
      <c r="AL33" s="449"/>
      <c r="AM33" s="560">
        <f t="shared" si="20"/>
        <v>0</v>
      </c>
      <c r="AN33" s="454">
        <f t="shared" si="23"/>
        <v>0</v>
      </c>
    </row>
    <row r="34" spans="1:41" ht="23.1" customHeight="1">
      <c r="A34" s="58">
        <f>Gen!B39</f>
        <v>44103</v>
      </c>
      <c r="B34" s="169"/>
      <c r="C34" s="97">
        <f t="shared" si="38"/>
        <v>0</v>
      </c>
      <c r="D34" s="1"/>
      <c r="E34" s="559">
        <f t="shared" si="27"/>
        <v>0</v>
      </c>
      <c r="F34" s="97">
        <f t="shared" si="4"/>
        <v>0</v>
      </c>
      <c r="G34" s="452"/>
      <c r="H34" s="559">
        <f t="shared" si="39"/>
        <v>0</v>
      </c>
      <c r="I34" s="97">
        <f t="shared" si="30"/>
        <v>0</v>
      </c>
      <c r="J34" s="1"/>
      <c r="K34" s="559">
        <f t="shared" si="41"/>
        <v>0</v>
      </c>
      <c r="L34" s="97">
        <f t="shared" si="31"/>
        <v>0</v>
      </c>
      <c r="M34" s="1"/>
      <c r="N34" s="559">
        <f t="shared" si="32"/>
        <v>0</v>
      </c>
      <c r="O34" s="97">
        <f t="shared" si="36"/>
        <v>0</v>
      </c>
      <c r="P34" s="448"/>
      <c r="Q34" s="559">
        <f t="shared" si="40"/>
        <v>0</v>
      </c>
      <c r="R34" s="297"/>
      <c r="S34" s="292">
        <f t="shared" si="33"/>
        <v>0</v>
      </c>
      <c r="T34" s="449"/>
      <c r="U34" s="560">
        <f t="shared" si="34"/>
        <v>0</v>
      </c>
      <c r="V34" s="292">
        <f t="shared" si="29"/>
        <v>0</v>
      </c>
      <c r="W34" s="449"/>
      <c r="X34" s="560">
        <f t="shared" si="13"/>
        <v>0</v>
      </c>
      <c r="Y34" s="292">
        <f t="shared" si="14"/>
        <v>0</v>
      </c>
      <c r="Z34" s="449"/>
      <c r="AA34" s="560">
        <f t="shared" si="15"/>
        <v>0</v>
      </c>
      <c r="AB34" s="758">
        <f t="shared" si="21"/>
        <v>0</v>
      </c>
      <c r="AC34" s="293"/>
      <c r="AD34" s="761">
        <f t="shared" si="22"/>
        <v>0</v>
      </c>
      <c r="AE34" s="292">
        <f t="shared" si="16"/>
        <v>0</v>
      </c>
      <c r="AF34" s="450"/>
      <c r="AG34" s="560">
        <f t="shared" si="17"/>
        <v>0</v>
      </c>
      <c r="AH34" s="292">
        <f t="shared" si="18"/>
        <v>0</v>
      </c>
      <c r="AI34" s="450"/>
      <c r="AJ34" s="560">
        <f t="shared" si="19"/>
        <v>0</v>
      </c>
      <c r="AK34" s="371">
        <f t="shared" si="2"/>
        <v>0</v>
      </c>
      <c r="AL34" s="449"/>
      <c r="AM34" s="560">
        <f t="shared" si="20"/>
        <v>0</v>
      </c>
      <c r="AN34" s="454">
        <f t="shared" si="23"/>
        <v>0</v>
      </c>
    </row>
    <row r="35" spans="1:41" ht="23.1" customHeight="1">
      <c r="A35" s="58">
        <f>Gen!B40</f>
        <v>44104</v>
      </c>
      <c r="B35" s="169"/>
      <c r="C35" s="97">
        <f t="shared" si="38"/>
        <v>0</v>
      </c>
      <c r="D35" s="1"/>
      <c r="E35" s="559">
        <f t="shared" si="27"/>
        <v>0</v>
      </c>
      <c r="F35" s="97">
        <f t="shared" si="4"/>
        <v>0</v>
      </c>
      <c r="G35" s="452"/>
      <c r="H35" s="559">
        <f t="shared" si="39"/>
        <v>0</v>
      </c>
      <c r="I35" s="97">
        <f t="shared" si="30"/>
        <v>0</v>
      </c>
      <c r="J35" s="1"/>
      <c r="K35" s="559">
        <f t="shared" si="41"/>
        <v>0</v>
      </c>
      <c r="L35" s="97">
        <f t="shared" si="31"/>
        <v>0</v>
      </c>
      <c r="M35" s="1"/>
      <c r="N35" s="559">
        <f t="shared" si="32"/>
        <v>0</v>
      </c>
      <c r="O35" s="97">
        <f t="shared" si="36"/>
        <v>0</v>
      </c>
      <c r="P35" s="448"/>
      <c r="Q35" s="559">
        <f t="shared" si="40"/>
        <v>0</v>
      </c>
      <c r="R35" s="297"/>
      <c r="S35" s="292">
        <f t="shared" si="33"/>
        <v>0</v>
      </c>
      <c r="T35" s="449"/>
      <c r="U35" s="560">
        <f t="shared" si="34"/>
        <v>0</v>
      </c>
      <c r="V35" s="292">
        <f t="shared" si="29"/>
        <v>0</v>
      </c>
      <c r="W35" s="449"/>
      <c r="X35" s="560">
        <f t="shared" si="13"/>
        <v>0</v>
      </c>
      <c r="Y35" s="292">
        <f t="shared" si="14"/>
        <v>0</v>
      </c>
      <c r="Z35" s="449"/>
      <c r="AA35" s="560">
        <f t="shared" si="15"/>
        <v>0</v>
      </c>
      <c r="AB35" s="758">
        <f t="shared" si="21"/>
        <v>0</v>
      </c>
      <c r="AC35" s="293"/>
      <c r="AD35" s="761">
        <f t="shared" si="22"/>
        <v>0</v>
      </c>
      <c r="AE35" s="292">
        <f t="shared" si="16"/>
        <v>0</v>
      </c>
      <c r="AF35" s="450"/>
      <c r="AG35" s="560">
        <f t="shared" si="17"/>
        <v>0</v>
      </c>
      <c r="AH35" s="292">
        <f t="shared" si="18"/>
        <v>0</v>
      </c>
      <c r="AI35" s="450"/>
      <c r="AJ35" s="560">
        <f t="shared" si="19"/>
        <v>0</v>
      </c>
      <c r="AK35" s="371">
        <f t="shared" si="2"/>
        <v>0</v>
      </c>
      <c r="AL35" s="449"/>
      <c r="AM35" s="560">
        <f t="shared" si="20"/>
        <v>0</v>
      </c>
      <c r="AN35" s="454">
        <f t="shared" si="23"/>
        <v>0</v>
      </c>
    </row>
    <row r="36" spans="1:41" ht="23.1" customHeight="1">
      <c r="A36" s="58">
        <f>Gen!B41</f>
        <v>0</v>
      </c>
      <c r="B36" s="170"/>
      <c r="C36" s="97">
        <f t="shared" si="38"/>
        <v>0</v>
      </c>
      <c r="D36" s="1"/>
      <c r="E36" s="559">
        <f t="shared" si="27"/>
        <v>0</v>
      </c>
      <c r="F36" s="97">
        <f t="shared" si="4"/>
        <v>0</v>
      </c>
      <c r="G36" s="452"/>
      <c r="H36" s="559">
        <f t="shared" si="39"/>
        <v>0</v>
      </c>
      <c r="I36" s="97">
        <f t="shared" si="30"/>
        <v>0</v>
      </c>
      <c r="J36" s="1"/>
      <c r="K36" s="559">
        <f t="shared" si="41"/>
        <v>0</v>
      </c>
      <c r="L36" s="97">
        <f t="shared" si="31"/>
        <v>0</v>
      </c>
      <c r="M36" s="1"/>
      <c r="N36" s="559">
        <f t="shared" si="32"/>
        <v>0</v>
      </c>
      <c r="O36" s="97">
        <f t="shared" si="36"/>
        <v>0</v>
      </c>
      <c r="P36" s="448"/>
      <c r="Q36" s="559">
        <f t="shared" si="40"/>
        <v>0</v>
      </c>
      <c r="R36" s="297"/>
      <c r="S36" s="292">
        <f t="shared" si="33"/>
        <v>0</v>
      </c>
      <c r="T36" s="449"/>
      <c r="U36" s="560">
        <f t="shared" si="34"/>
        <v>0</v>
      </c>
      <c r="V36" s="292">
        <f t="shared" si="29"/>
        <v>0</v>
      </c>
      <c r="W36" s="449"/>
      <c r="X36" s="560">
        <f t="shared" si="13"/>
        <v>0</v>
      </c>
      <c r="Y36" s="292">
        <f t="shared" si="14"/>
        <v>0</v>
      </c>
      <c r="Z36" s="449"/>
      <c r="AA36" s="560">
        <f t="shared" si="15"/>
        <v>0</v>
      </c>
      <c r="AB36" s="758">
        <f t="shared" si="21"/>
        <v>0</v>
      </c>
      <c r="AC36" s="293"/>
      <c r="AD36" s="761">
        <f t="shared" si="22"/>
        <v>0</v>
      </c>
      <c r="AE36" s="292">
        <f t="shared" si="16"/>
        <v>0</v>
      </c>
      <c r="AF36" s="450"/>
      <c r="AG36" s="560">
        <f t="shared" si="17"/>
        <v>0</v>
      </c>
      <c r="AH36" s="292">
        <f t="shared" si="18"/>
        <v>0</v>
      </c>
      <c r="AI36" s="450"/>
      <c r="AJ36" s="560">
        <f t="shared" si="19"/>
        <v>0</v>
      </c>
      <c r="AK36" s="371">
        <f t="shared" si="2"/>
        <v>0</v>
      </c>
      <c r="AL36" s="449"/>
      <c r="AM36" s="560">
        <f t="shared" si="20"/>
        <v>0</v>
      </c>
      <c r="AN36" s="454">
        <f t="shared" si="23"/>
        <v>0</v>
      </c>
    </row>
    <row r="37" spans="1:41" ht="24" customHeight="1">
      <c r="A37" s="58">
        <f>Gen!B42</f>
        <v>0</v>
      </c>
      <c r="B37" s="3"/>
      <c r="C37" s="97">
        <f t="shared" si="38"/>
        <v>0</v>
      </c>
      <c r="D37" s="1"/>
      <c r="E37" s="559">
        <f t="shared" si="27"/>
        <v>0</v>
      </c>
      <c r="F37" s="97">
        <f t="shared" si="4"/>
        <v>0</v>
      </c>
      <c r="G37" s="452"/>
      <c r="H37" s="559">
        <f t="shared" si="39"/>
        <v>0</v>
      </c>
      <c r="I37" s="97">
        <f t="shared" si="30"/>
        <v>0</v>
      </c>
      <c r="J37" s="1"/>
      <c r="K37" s="559">
        <f t="shared" si="41"/>
        <v>0</v>
      </c>
      <c r="L37" s="97">
        <f t="shared" si="31"/>
        <v>0</v>
      </c>
      <c r="M37" s="1"/>
      <c r="N37" s="559">
        <f t="shared" si="32"/>
        <v>0</v>
      </c>
      <c r="O37" s="97">
        <f t="shared" si="36"/>
        <v>0</v>
      </c>
      <c r="P37" s="448"/>
      <c r="Q37" s="559">
        <f t="shared" si="40"/>
        <v>0</v>
      </c>
      <c r="R37" s="297"/>
      <c r="S37" s="292">
        <f t="shared" si="33"/>
        <v>0</v>
      </c>
      <c r="T37" s="449"/>
      <c r="U37" s="560">
        <f t="shared" si="34"/>
        <v>0</v>
      </c>
      <c r="V37" s="292">
        <f t="shared" si="29"/>
        <v>0</v>
      </c>
      <c r="W37" s="449"/>
      <c r="X37" s="560">
        <f t="shared" si="13"/>
        <v>0</v>
      </c>
      <c r="Y37" s="292">
        <f t="shared" si="14"/>
        <v>0</v>
      </c>
      <c r="Z37" s="449"/>
      <c r="AA37" s="560">
        <f t="shared" si="15"/>
        <v>0</v>
      </c>
      <c r="AB37" s="758">
        <f t="shared" si="21"/>
        <v>0</v>
      </c>
      <c r="AC37" s="293"/>
      <c r="AD37" s="761">
        <f t="shared" si="22"/>
        <v>0</v>
      </c>
      <c r="AE37" s="292">
        <f t="shared" si="16"/>
        <v>0</v>
      </c>
      <c r="AF37" s="450"/>
      <c r="AG37" s="560">
        <f t="shared" si="17"/>
        <v>0</v>
      </c>
      <c r="AH37" s="292">
        <f t="shared" si="18"/>
        <v>0</v>
      </c>
      <c r="AI37" s="450"/>
      <c r="AJ37" s="560">
        <f t="shared" si="19"/>
        <v>0</v>
      </c>
      <c r="AK37" s="371">
        <f t="shared" si="2"/>
        <v>0</v>
      </c>
      <c r="AL37" s="449"/>
      <c r="AM37" s="560">
        <f t="shared" si="20"/>
        <v>0</v>
      </c>
      <c r="AN37" s="454">
        <f t="shared" ref="AN37" si="42">U38+X38+AA38+AD38+AG38+AJ38+AM38</f>
        <v>461</v>
      </c>
    </row>
    <row r="38" spans="1:41" ht="18.75">
      <c r="A38" s="58"/>
      <c r="B38" s="22"/>
      <c r="C38" s="873" t="s">
        <v>6</v>
      </c>
      <c r="D38" s="873"/>
      <c r="E38" s="23">
        <f>SUM(E6:E36)</f>
        <v>477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11</v>
      </c>
      <c r="L38" s="168"/>
      <c r="M38" s="168"/>
      <c r="N38" s="29">
        <f t="shared" ref="N38" si="43">M38-M37</f>
        <v>0</v>
      </c>
      <c r="O38" s="27"/>
      <c r="P38" s="294"/>
      <c r="Q38" s="295">
        <f t="shared" ref="Q38" si="44">P38-O38</f>
        <v>0</v>
      </c>
      <c r="R38" s="296">
        <f>E38</f>
        <v>477</v>
      </c>
      <c r="S38" s="294"/>
      <c r="T38" s="294"/>
      <c r="U38" s="304">
        <f>SUM(U6:U37)</f>
        <v>461</v>
      </c>
      <c r="V38" s="294"/>
      <c r="W38" s="294"/>
      <c r="X38" s="294"/>
      <c r="Y38" s="294"/>
      <c r="Z38" s="294"/>
      <c r="AA38" s="294"/>
      <c r="AB38" s="294"/>
      <c r="AC38" s="294"/>
      <c r="AD38" s="294"/>
      <c r="AE38" s="294"/>
      <c r="AF38" s="294"/>
      <c r="AG38" s="294"/>
      <c r="AH38" s="294"/>
      <c r="AI38" s="294"/>
      <c r="AJ38" s="560">
        <f t="shared" ref="AJ38" si="45">IF((AI39-AI37)&lt;0,"0",(AI39-AI37))</f>
        <v>0</v>
      </c>
      <c r="AK38" s="294"/>
      <c r="AL38" s="294"/>
      <c r="AM38" s="294"/>
      <c r="AN38" s="300">
        <f t="shared" ref="AN38" si="46">U38+X38+AA38+AD38+AG38+AJ38+AM38</f>
        <v>461</v>
      </c>
    </row>
    <row r="40" spans="1:41">
      <c r="R40" s="20"/>
      <c r="AF40" t="s">
        <v>253</v>
      </c>
    </row>
    <row r="41" spans="1:41" ht="13.5" thickBot="1">
      <c r="R41" s="20"/>
    </row>
    <row r="42" spans="1:41" ht="18.75" thickBot="1">
      <c r="A42" s="842"/>
      <c r="B42" s="328"/>
      <c r="C42" s="839" t="s">
        <v>222</v>
      </c>
      <c r="D42" s="840"/>
      <c r="E42" s="840"/>
      <c r="F42" s="840"/>
      <c r="G42" s="840"/>
      <c r="H42" s="840"/>
      <c r="I42" s="840"/>
      <c r="J42" s="840"/>
      <c r="K42" s="841"/>
      <c r="R42" s="20"/>
    </row>
    <row r="43" spans="1:41" ht="24.75" customHeight="1">
      <c r="A43" s="843"/>
      <c r="B43" s="20"/>
      <c r="C43" s="845" t="s">
        <v>216</v>
      </c>
      <c r="D43" s="846"/>
      <c r="E43" s="847" t="s">
        <v>237</v>
      </c>
      <c r="F43" s="848"/>
      <c r="G43" s="849" t="s">
        <v>217</v>
      </c>
      <c r="H43" s="850"/>
      <c r="I43" s="849" t="s">
        <v>238</v>
      </c>
      <c r="J43" s="850"/>
      <c r="K43" s="837" t="s">
        <v>223</v>
      </c>
      <c r="R43" s="20"/>
      <c r="T43" s="567"/>
      <c r="U43" s="567"/>
      <c r="V43" s="567"/>
      <c r="W43" s="567"/>
      <c r="X43" s="567"/>
      <c r="Y43" s="567"/>
      <c r="Z43" s="567"/>
      <c r="AA43" s="567"/>
      <c r="AB43" s="567"/>
      <c r="AC43" s="567"/>
      <c r="AD43" s="567"/>
      <c r="AE43" s="567"/>
      <c r="AF43" s="567"/>
      <c r="AG43" s="567"/>
      <c r="AH43" s="567"/>
      <c r="AI43" s="567"/>
      <c r="AJ43" s="567"/>
      <c r="AK43" s="567"/>
      <c r="AL43" s="567"/>
      <c r="AM43" s="567"/>
      <c r="AN43" s="567"/>
      <c r="AO43" s="567"/>
    </row>
    <row r="44" spans="1:41" ht="21" customHeight="1" thickBot="1">
      <c r="A44" s="843"/>
      <c r="B44" s="20"/>
      <c r="C44" s="851" t="s">
        <v>218</v>
      </c>
      <c r="D44" s="852"/>
      <c r="E44" s="851" t="s">
        <v>219</v>
      </c>
      <c r="F44" s="852"/>
      <c r="G44" s="851" t="s">
        <v>220</v>
      </c>
      <c r="H44" s="852"/>
      <c r="I44" s="851" t="s">
        <v>221</v>
      </c>
      <c r="J44" s="852"/>
      <c r="K44" s="838"/>
      <c r="R44" s="20"/>
      <c r="T44" s="567"/>
      <c r="U44" s="567"/>
      <c r="V44" s="567"/>
      <c r="W44" s="567"/>
      <c r="X44" s="567"/>
      <c r="Y44" s="567"/>
      <c r="Z44" s="567"/>
      <c r="AA44" s="567"/>
      <c r="AB44" s="567"/>
      <c r="AC44" s="567"/>
      <c r="AD44" s="567"/>
      <c r="AE44" s="567"/>
      <c r="AF44" s="567"/>
      <c r="AG44" s="567"/>
      <c r="AH44" s="567"/>
      <c r="AI44" s="567"/>
      <c r="AJ44" s="567"/>
      <c r="AK44" s="567"/>
      <c r="AL44" s="567"/>
      <c r="AM44" s="567"/>
      <c r="AN44" s="567"/>
      <c r="AO44" s="567"/>
    </row>
    <row r="45" spans="1:41" ht="21" customHeight="1" thickBot="1">
      <c r="A45" s="844"/>
      <c r="B45" s="20"/>
      <c r="C45" s="383" t="s">
        <v>225</v>
      </c>
      <c r="D45" s="384" t="s">
        <v>224</v>
      </c>
      <c r="E45" s="385" t="s">
        <v>225</v>
      </c>
      <c r="F45" s="386" t="s">
        <v>224</v>
      </c>
      <c r="G45" s="561"/>
      <c r="H45" s="386" t="s">
        <v>224</v>
      </c>
      <c r="I45" s="385" t="s">
        <v>225</v>
      </c>
      <c r="J45" s="386" t="s">
        <v>224</v>
      </c>
      <c r="K45" s="387" t="s">
        <v>224</v>
      </c>
      <c r="R45" s="20"/>
      <c r="T45" s="567"/>
      <c r="U45" s="567"/>
      <c r="V45" s="567"/>
      <c r="W45" s="567"/>
      <c r="X45" s="567"/>
      <c r="Y45" s="567"/>
      <c r="Z45" s="567"/>
      <c r="AA45" s="567"/>
      <c r="AB45" s="567"/>
      <c r="AC45" s="567"/>
      <c r="AD45" s="567"/>
      <c r="AE45" s="567"/>
      <c r="AF45" s="567"/>
      <c r="AG45" s="567"/>
      <c r="AH45" s="567"/>
      <c r="AI45" s="567"/>
      <c r="AJ45" s="567"/>
      <c r="AK45" s="567"/>
      <c r="AL45" s="567"/>
      <c r="AM45" s="567"/>
      <c r="AN45" s="567"/>
      <c r="AO45" s="567"/>
    </row>
    <row r="46" spans="1:41" ht="20.25" customHeight="1">
      <c r="A46" s="345">
        <f>Gen!B11</f>
        <v>44075</v>
      </c>
      <c r="B46" s="20"/>
      <c r="C46" s="63">
        <v>285</v>
      </c>
      <c r="D46" s="382">
        <f t="shared" ref="D46:D77" si="47">C46*217/300</f>
        <v>206.15</v>
      </c>
      <c r="E46" s="6">
        <v>215</v>
      </c>
      <c r="F46" s="382">
        <f t="shared" ref="F46:F77" si="48">E46*92/305</f>
        <v>64.852459016393439</v>
      </c>
      <c r="G46" s="562">
        <v>205</v>
      </c>
      <c r="H46" s="382">
        <f t="shared" ref="H46:H77" si="49">G46*146/383</f>
        <v>78.146214099216706</v>
      </c>
      <c r="I46" s="6">
        <v>298</v>
      </c>
      <c r="J46" s="382">
        <f t="shared" ref="J46:J77" si="50">I46*213/308</f>
        <v>206.08441558441558</v>
      </c>
      <c r="K46" s="388">
        <f>D46+F46+H46+J46</f>
        <v>555.23308870002575</v>
      </c>
      <c r="T46" s="567"/>
      <c r="U46" s="567"/>
      <c r="V46" s="567"/>
      <c r="W46" s="567"/>
      <c r="X46" s="567"/>
      <c r="Y46" s="567"/>
      <c r="Z46" s="567"/>
      <c r="AA46" s="567"/>
      <c r="AB46" s="567"/>
      <c r="AC46" s="567"/>
      <c r="AD46" s="567"/>
      <c r="AE46" s="567"/>
      <c r="AF46" s="567"/>
      <c r="AG46" s="567"/>
      <c r="AH46" s="567"/>
      <c r="AI46" s="567"/>
      <c r="AJ46" s="567"/>
      <c r="AK46" s="567"/>
      <c r="AL46" s="567"/>
      <c r="AM46" s="567"/>
      <c r="AN46" s="567"/>
      <c r="AO46" s="567"/>
    </row>
    <row r="47" spans="1:41" ht="13.5">
      <c r="A47" s="345">
        <f>Gen!B12</f>
        <v>44076</v>
      </c>
      <c r="B47" s="20"/>
      <c r="C47" s="63">
        <v>245</v>
      </c>
      <c r="D47" s="382">
        <f t="shared" si="47"/>
        <v>177.21666666666667</v>
      </c>
      <c r="E47" s="6">
        <v>200</v>
      </c>
      <c r="F47" s="382">
        <f t="shared" si="48"/>
        <v>60.327868852459019</v>
      </c>
      <c r="G47" s="562">
        <v>300</v>
      </c>
      <c r="H47" s="382">
        <f t="shared" si="49"/>
        <v>114.36031331592689</v>
      </c>
      <c r="I47" s="6">
        <v>298</v>
      </c>
      <c r="J47" s="382">
        <f t="shared" si="50"/>
        <v>206.08441558441558</v>
      </c>
      <c r="K47" s="388">
        <f t="shared" ref="K47:K77" si="51">D47+F47+H47+J47</f>
        <v>557.9892644194681</v>
      </c>
      <c r="T47" s="567"/>
      <c r="U47" s="567"/>
      <c r="V47" s="567"/>
      <c r="W47" s="567"/>
      <c r="X47" s="567"/>
      <c r="Y47" s="567"/>
      <c r="Z47" s="567"/>
      <c r="AA47" s="567"/>
      <c r="AB47" s="567"/>
      <c r="AC47" s="567"/>
      <c r="AD47" s="567"/>
      <c r="AE47" s="567"/>
      <c r="AF47" s="567"/>
      <c r="AG47" s="567"/>
      <c r="AH47" s="567"/>
      <c r="AI47" s="567"/>
      <c r="AJ47" s="567"/>
      <c r="AK47" s="567"/>
      <c r="AL47" s="567"/>
      <c r="AM47" s="567"/>
      <c r="AN47" s="567"/>
      <c r="AO47" s="567"/>
    </row>
    <row r="48" spans="1:41" ht="13.5">
      <c r="A48" s="345">
        <f>Gen!B13</f>
        <v>44077</v>
      </c>
      <c r="B48" s="20"/>
      <c r="C48" s="63">
        <v>300</v>
      </c>
      <c r="D48" s="382">
        <f t="shared" si="47"/>
        <v>217</v>
      </c>
      <c r="E48" s="6">
        <v>295</v>
      </c>
      <c r="F48" s="382">
        <f t="shared" si="48"/>
        <v>88.983606557377044</v>
      </c>
      <c r="G48" s="562">
        <v>185</v>
      </c>
      <c r="H48" s="382">
        <f t="shared" si="49"/>
        <v>70.522193211488258</v>
      </c>
      <c r="I48" s="6">
        <v>308</v>
      </c>
      <c r="J48" s="382">
        <f t="shared" si="50"/>
        <v>213</v>
      </c>
      <c r="K48" s="388">
        <f t="shared" si="51"/>
        <v>589.50579976886524</v>
      </c>
      <c r="T48" s="567"/>
      <c r="U48" s="567"/>
      <c r="V48" s="567"/>
      <c r="W48" s="567"/>
      <c r="X48" s="567"/>
      <c r="Y48" s="567"/>
      <c r="Z48" s="567"/>
      <c r="AA48" s="567"/>
      <c r="AB48" s="567"/>
      <c r="AC48" s="567"/>
      <c r="AD48" s="567"/>
      <c r="AE48" s="567"/>
      <c r="AF48" s="567"/>
      <c r="AG48" s="567"/>
      <c r="AH48" s="567"/>
      <c r="AI48" s="567"/>
      <c r="AJ48" s="567"/>
      <c r="AK48" s="567"/>
      <c r="AL48" s="567"/>
      <c r="AM48" s="567"/>
      <c r="AN48" s="567"/>
      <c r="AO48" s="567"/>
    </row>
    <row r="49" spans="1:15" ht="13.5">
      <c r="A49" s="345">
        <f>Gen!B14</f>
        <v>44078</v>
      </c>
      <c r="B49" s="20"/>
      <c r="C49" s="63">
        <v>295</v>
      </c>
      <c r="D49" s="382">
        <f t="shared" si="47"/>
        <v>213.38333333333333</v>
      </c>
      <c r="E49" s="6">
        <v>260</v>
      </c>
      <c r="F49" s="382">
        <f t="shared" si="48"/>
        <v>78.426229508196727</v>
      </c>
      <c r="G49" s="562">
        <v>280</v>
      </c>
      <c r="H49" s="382">
        <f t="shared" si="49"/>
        <v>106.73629242819844</v>
      </c>
      <c r="I49" s="6">
        <v>298</v>
      </c>
      <c r="J49" s="382">
        <f t="shared" si="50"/>
        <v>206.08441558441558</v>
      </c>
      <c r="K49" s="388">
        <f t="shared" si="51"/>
        <v>604.6302708541441</v>
      </c>
    </row>
    <row r="50" spans="1:15" ht="13.5">
      <c r="A50" s="345">
        <f>Gen!B15</f>
        <v>44079</v>
      </c>
      <c r="B50" s="20"/>
      <c r="C50" s="63">
        <v>280</v>
      </c>
      <c r="D50" s="382">
        <f t="shared" si="47"/>
        <v>202.53333333333333</v>
      </c>
      <c r="E50" s="6">
        <v>255</v>
      </c>
      <c r="F50" s="382">
        <f t="shared" si="48"/>
        <v>76.918032786885249</v>
      </c>
      <c r="G50" s="562">
        <v>300</v>
      </c>
      <c r="H50" s="382">
        <f t="shared" si="49"/>
        <v>114.36031331592689</v>
      </c>
      <c r="I50" s="6">
        <v>298</v>
      </c>
      <c r="J50" s="382">
        <f t="shared" si="50"/>
        <v>206.08441558441558</v>
      </c>
      <c r="K50" s="388">
        <f t="shared" si="51"/>
        <v>599.89609502056101</v>
      </c>
    </row>
    <row r="51" spans="1:15" ht="13.5">
      <c r="A51" s="345">
        <f>Gen!B16</f>
        <v>44080</v>
      </c>
      <c r="B51" s="20"/>
      <c r="C51" s="63">
        <v>300</v>
      </c>
      <c r="D51" s="382">
        <f t="shared" si="47"/>
        <v>217</v>
      </c>
      <c r="E51" s="6">
        <v>235</v>
      </c>
      <c r="F51" s="382">
        <f t="shared" si="48"/>
        <v>70.885245901639351</v>
      </c>
      <c r="G51" s="562">
        <v>195</v>
      </c>
      <c r="H51" s="382">
        <f t="shared" si="49"/>
        <v>74.334203655352482</v>
      </c>
      <c r="I51" s="6">
        <v>298</v>
      </c>
      <c r="J51" s="382">
        <f t="shared" si="50"/>
        <v>206.08441558441558</v>
      </c>
      <c r="K51" s="388">
        <f t="shared" si="51"/>
        <v>568.30386514140741</v>
      </c>
    </row>
    <row r="52" spans="1:15" ht="13.5">
      <c r="A52" s="345">
        <f>Gen!B17</f>
        <v>44081</v>
      </c>
      <c r="B52" s="20"/>
      <c r="C52" s="63">
        <v>285</v>
      </c>
      <c r="D52" s="382">
        <f t="shared" si="47"/>
        <v>206.15</v>
      </c>
      <c r="E52" s="6">
        <v>240</v>
      </c>
      <c r="F52" s="382">
        <f t="shared" si="48"/>
        <v>72.393442622950815</v>
      </c>
      <c r="G52" s="562">
        <v>250</v>
      </c>
      <c r="H52" s="382">
        <f t="shared" si="49"/>
        <v>95.300261096605738</v>
      </c>
      <c r="I52" s="6">
        <v>298</v>
      </c>
      <c r="J52" s="382">
        <f t="shared" si="50"/>
        <v>206.08441558441558</v>
      </c>
      <c r="K52" s="388">
        <f t="shared" si="51"/>
        <v>579.92811930397215</v>
      </c>
    </row>
    <row r="53" spans="1:15" ht="13.5">
      <c r="A53" s="345">
        <f>Gen!B18</f>
        <v>44082</v>
      </c>
      <c r="B53" s="20"/>
      <c r="C53" s="63">
        <v>295</v>
      </c>
      <c r="D53" s="382">
        <f t="shared" si="47"/>
        <v>213.38333333333333</v>
      </c>
      <c r="E53" s="6">
        <v>285</v>
      </c>
      <c r="F53" s="382">
        <f t="shared" si="48"/>
        <v>85.967213114754102</v>
      </c>
      <c r="G53" s="562">
        <v>215</v>
      </c>
      <c r="H53" s="382">
        <f t="shared" si="49"/>
        <v>81.958224543080945</v>
      </c>
      <c r="I53" s="6">
        <v>298</v>
      </c>
      <c r="J53" s="382">
        <f t="shared" si="50"/>
        <v>206.08441558441558</v>
      </c>
      <c r="K53" s="388">
        <f t="shared" si="51"/>
        <v>587.39318657558397</v>
      </c>
    </row>
    <row r="54" spans="1:15" ht="13.5">
      <c r="A54" s="345">
        <f>Gen!B19</f>
        <v>44083</v>
      </c>
      <c r="B54" s="20"/>
      <c r="C54" s="63">
        <v>275</v>
      </c>
      <c r="D54" s="382">
        <f t="shared" si="47"/>
        <v>198.91666666666666</v>
      </c>
      <c r="E54" s="6">
        <v>230</v>
      </c>
      <c r="F54" s="382">
        <f t="shared" si="48"/>
        <v>69.377049180327873</v>
      </c>
      <c r="G54" s="562">
        <v>255</v>
      </c>
      <c r="H54" s="382">
        <f t="shared" si="49"/>
        <v>97.206266318537857</v>
      </c>
      <c r="I54" s="6">
        <v>298</v>
      </c>
      <c r="J54" s="382">
        <f t="shared" si="50"/>
        <v>206.08441558441558</v>
      </c>
      <c r="K54" s="388">
        <f t="shared" si="51"/>
        <v>571.58439774994804</v>
      </c>
    </row>
    <row r="55" spans="1:15" ht="13.5">
      <c r="A55" s="345">
        <f>Gen!B20</f>
        <v>44084</v>
      </c>
      <c r="B55" s="20"/>
      <c r="C55" s="63">
        <v>250</v>
      </c>
      <c r="D55" s="382">
        <f t="shared" si="47"/>
        <v>180.83333333333334</v>
      </c>
      <c r="E55" s="6">
        <v>215</v>
      </c>
      <c r="F55" s="382">
        <f t="shared" si="48"/>
        <v>64.852459016393439</v>
      </c>
      <c r="G55" s="562">
        <v>210</v>
      </c>
      <c r="H55" s="382">
        <f t="shared" si="49"/>
        <v>80.052219321148826</v>
      </c>
      <c r="I55" s="6">
        <v>298</v>
      </c>
      <c r="J55" s="382">
        <f t="shared" si="50"/>
        <v>206.08441558441558</v>
      </c>
      <c r="K55" s="388">
        <f t="shared" si="51"/>
        <v>531.82242725529113</v>
      </c>
    </row>
    <row r="56" spans="1:15" ht="13.5">
      <c r="A56" s="345">
        <f>Gen!B21</f>
        <v>44085</v>
      </c>
      <c r="B56" s="20"/>
      <c r="C56" s="63"/>
      <c r="D56" s="382">
        <f t="shared" si="47"/>
        <v>0</v>
      </c>
      <c r="E56" s="6"/>
      <c r="F56" s="382">
        <f t="shared" si="48"/>
        <v>0</v>
      </c>
      <c r="G56" s="562"/>
      <c r="H56" s="382">
        <f t="shared" si="49"/>
        <v>0</v>
      </c>
      <c r="I56" s="6"/>
      <c r="J56" s="382">
        <f t="shared" si="50"/>
        <v>0</v>
      </c>
      <c r="K56" s="388">
        <f t="shared" si="51"/>
        <v>0</v>
      </c>
    </row>
    <row r="57" spans="1:15" ht="13.5">
      <c r="A57" s="345">
        <f>Gen!B22</f>
        <v>44086</v>
      </c>
      <c r="B57" s="20"/>
      <c r="C57" s="63"/>
      <c r="D57" s="382">
        <f t="shared" si="47"/>
        <v>0</v>
      </c>
      <c r="E57" s="6"/>
      <c r="F57" s="382">
        <f t="shared" si="48"/>
        <v>0</v>
      </c>
      <c r="G57" s="562"/>
      <c r="H57" s="382">
        <f t="shared" si="49"/>
        <v>0</v>
      </c>
      <c r="I57" s="6"/>
      <c r="J57" s="382">
        <f t="shared" si="50"/>
        <v>0</v>
      </c>
      <c r="K57" s="388">
        <f t="shared" si="51"/>
        <v>0</v>
      </c>
    </row>
    <row r="58" spans="1:15" ht="13.5">
      <c r="A58" s="345">
        <f>Gen!B23</f>
        <v>44087</v>
      </c>
      <c r="B58" s="20"/>
      <c r="C58" s="63"/>
      <c r="D58" s="382">
        <f t="shared" si="47"/>
        <v>0</v>
      </c>
      <c r="E58" s="6"/>
      <c r="F58" s="382">
        <f t="shared" si="48"/>
        <v>0</v>
      </c>
      <c r="G58" s="562"/>
      <c r="H58" s="382">
        <f t="shared" si="49"/>
        <v>0</v>
      </c>
      <c r="I58" s="6"/>
      <c r="J58" s="382">
        <f t="shared" si="50"/>
        <v>0</v>
      </c>
      <c r="K58" s="388">
        <f t="shared" si="51"/>
        <v>0</v>
      </c>
    </row>
    <row r="59" spans="1:15" ht="13.5">
      <c r="A59" s="345">
        <f>Gen!B24</f>
        <v>44088</v>
      </c>
      <c r="B59" s="20"/>
      <c r="C59" s="63"/>
      <c r="D59" s="382">
        <f t="shared" si="47"/>
        <v>0</v>
      </c>
      <c r="E59" s="6"/>
      <c r="F59" s="382">
        <f t="shared" si="48"/>
        <v>0</v>
      </c>
      <c r="G59" s="562"/>
      <c r="H59" s="382">
        <f t="shared" si="49"/>
        <v>0</v>
      </c>
      <c r="I59" s="6"/>
      <c r="J59" s="382">
        <f t="shared" si="50"/>
        <v>0</v>
      </c>
      <c r="K59" s="388">
        <f t="shared" si="51"/>
        <v>0</v>
      </c>
    </row>
    <row r="60" spans="1:15" ht="13.5">
      <c r="A60" s="345">
        <f>Gen!B25</f>
        <v>44089</v>
      </c>
      <c r="B60" s="20"/>
      <c r="C60" s="63"/>
      <c r="D60" s="382">
        <f t="shared" si="47"/>
        <v>0</v>
      </c>
      <c r="E60" s="6"/>
      <c r="F60" s="382">
        <f t="shared" si="48"/>
        <v>0</v>
      </c>
      <c r="G60" s="562"/>
      <c r="H60" s="382">
        <f t="shared" si="49"/>
        <v>0</v>
      </c>
      <c r="I60" s="6"/>
      <c r="J60" s="382">
        <f t="shared" si="50"/>
        <v>0</v>
      </c>
      <c r="K60" s="388">
        <f t="shared" si="51"/>
        <v>0</v>
      </c>
      <c r="L60" t="s">
        <v>249</v>
      </c>
      <c r="O60" t="s">
        <v>250</v>
      </c>
    </row>
    <row r="61" spans="1:15" ht="13.5">
      <c r="A61" s="345">
        <f>Gen!B26</f>
        <v>44090</v>
      </c>
      <c r="B61" s="20"/>
      <c r="C61" s="63"/>
      <c r="D61" s="382">
        <f t="shared" si="47"/>
        <v>0</v>
      </c>
      <c r="E61" s="6"/>
      <c r="F61" s="382">
        <f t="shared" si="48"/>
        <v>0</v>
      </c>
      <c r="G61" s="562"/>
      <c r="H61" s="382">
        <f t="shared" si="49"/>
        <v>0</v>
      </c>
      <c r="I61" s="6"/>
      <c r="J61" s="382">
        <f t="shared" si="50"/>
        <v>0</v>
      </c>
      <c r="K61" s="388">
        <f t="shared" si="51"/>
        <v>0</v>
      </c>
      <c r="L61" t="s">
        <v>252</v>
      </c>
      <c r="N61" t="s">
        <v>251</v>
      </c>
    </row>
    <row r="62" spans="1:15" ht="13.5">
      <c r="A62" s="345">
        <f>Gen!B27</f>
        <v>44091</v>
      </c>
      <c r="B62" s="20"/>
      <c r="C62" s="63"/>
      <c r="D62" s="382">
        <f t="shared" si="47"/>
        <v>0</v>
      </c>
      <c r="E62" s="6"/>
      <c r="F62" s="382">
        <f t="shared" si="48"/>
        <v>0</v>
      </c>
      <c r="G62" s="562"/>
      <c r="H62" s="382">
        <f t="shared" si="49"/>
        <v>0</v>
      </c>
      <c r="I62" s="6"/>
      <c r="J62" s="382">
        <f t="shared" si="50"/>
        <v>0</v>
      </c>
      <c r="K62" s="388">
        <f t="shared" si="51"/>
        <v>0</v>
      </c>
    </row>
    <row r="63" spans="1:15" ht="13.5">
      <c r="A63" s="345">
        <f>Gen!B28</f>
        <v>44092</v>
      </c>
      <c r="B63" s="20"/>
      <c r="C63" s="63"/>
      <c r="D63" s="382">
        <f t="shared" si="47"/>
        <v>0</v>
      </c>
      <c r="E63" s="6"/>
      <c r="F63" s="382">
        <f t="shared" si="48"/>
        <v>0</v>
      </c>
      <c r="G63" s="562"/>
      <c r="H63" s="382">
        <f t="shared" si="49"/>
        <v>0</v>
      </c>
      <c r="I63" s="6"/>
      <c r="J63" s="382">
        <f t="shared" si="50"/>
        <v>0</v>
      </c>
      <c r="K63" s="388">
        <f t="shared" si="51"/>
        <v>0</v>
      </c>
    </row>
    <row r="64" spans="1:15" ht="13.5">
      <c r="A64" s="345">
        <f>Gen!B29</f>
        <v>44093</v>
      </c>
      <c r="B64" s="20"/>
      <c r="C64" s="63"/>
      <c r="D64" s="382">
        <f t="shared" si="47"/>
        <v>0</v>
      </c>
      <c r="E64" s="6"/>
      <c r="F64" s="382">
        <f t="shared" si="48"/>
        <v>0</v>
      </c>
      <c r="G64" s="562"/>
      <c r="H64" s="382">
        <f t="shared" si="49"/>
        <v>0</v>
      </c>
      <c r="I64" s="6"/>
      <c r="J64" s="382">
        <f t="shared" si="50"/>
        <v>0</v>
      </c>
      <c r="K64" s="388">
        <f t="shared" si="51"/>
        <v>0</v>
      </c>
    </row>
    <row r="65" spans="1:11" ht="13.5">
      <c r="A65" s="345">
        <f>Gen!B30</f>
        <v>44094</v>
      </c>
      <c r="B65" s="20"/>
      <c r="C65" s="63"/>
      <c r="D65" s="382">
        <f t="shared" si="47"/>
        <v>0</v>
      </c>
      <c r="E65" s="6"/>
      <c r="F65" s="382">
        <f t="shared" si="48"/>
        <v>0</v>
      </c>
      <c r="G65" s="562"/>
      <c r="H65" s="382">
        <f t="shared" si="49"/>
        <v>0</v>
      </c>
      <c r="I65" s="6"/>
      <c r="J65" s="382">
        <f t="shared" si="50"/>
        <v>0</v>
      </c>
      <c r="K65" s="388">
        <f t="shared" si="51"/>
        <v>0</v>
      </c>
    </row>
    <row r="66" spans="1:11" ht="13.5">
      <c r="A66" s="345">
        <f>Gen!B31</f>
        <v>44095</v>
      </c>
      <c r="B66" s="20"/>
      <c r="C66" s="63"/>
      <c r="D66" s="382">
        <f t="shared" si="47"/>
        <v>0</v>
      </c>
      <c r="E66" s="6"/>
      <c r="F66" s="382">
        <f t="shared" si="48"/>
        <v>0</v>
      </c>
      <c r="G66" s="562"/>
      <c r="H66" s="382">
        <f t="shared" si="49"/>
        <v>0</v>
      </c>
      <c r="I66" s="6"/>
      <c r="J66" s="382">
        <f t="shared" si="50"/>
        <v>0</v>
      </c>
      <c r="K66" s="388">
        <f t="shared" si="51"/>
        <v>0</v>
      </c>
    </row>
    <row r="67" spans="1:11" ht="13.5">
      <c r="A67" s="345">
        <f>Gen!B32</f>
        <v>44096</v>
      </c>
      <c r="B67" s="20"/>
      <c r="C67" s="63"/>
      <c r="D67" s="382">
        <f t="shared" si="47"/>
        <v>0</v>
      </c>
      <c r="E67" s="6"/>
      <c r="F67" s="382">
        <f t="shared" si="48"/>
        <v>0</v>
      </c>
      <c r="G67" s="562"/>
      <c r="H67" s="382">
        <f t="shared" si="49"/>
        <v>0</v>
      </c>
      <c r="I67" s="6"/>
      <c r="J67" s="382">
        <f t="shared" si="50"/>
        <v>0</v>
      </c>
      <c r="K67" s="388">
        <f t="shared" si="51"/>
        <v>0</v>
      </c>
    </row>
    <row r="68" spans="1:11" ht="13.5">
      <c r="A68" s="345">
        <f>Gen!B33</f>
        <v>44097</v>
      </c>
      <c r="B68" s="20"/>
      <c r="C68" s="63"/>
      <c r="D68" s="382">
        <f t="shared" si="47"/>
        <v>0</v>
      </c>
      <c r="E68" s="6"/>
      <c r="F68" s="382">
        <f t="shared" si="48"/>
        <v>0</v>
      </c>
      <c r="G68" s="562"/>
      <c r="H68" s="382">
        <f t="shared" si="49"/>
        <v>0</v>
      </c>
      <c r="I68" s="6"/>
      <c r="J68" s="382">
        <f t="shared" si="50"/>
        <v>0</v>
      </c>
      <c r="K68" s="388">
        <f t="shared" si="51"/>
        <v>0</v>
      </c>
    </row>
    <row r="69" spans="1:11" ht="13.5">
      <c r="A69" s="345">
        <f>Gen!B34</f>
        <v>44098</v>
      </c>
      <c r="B69" s="20"/>
      <c r="C69" s="63"/>
      <c r="D69" s="382">
        <f t="shared" si="47"/>
        <v>0</v>
      </c>
      <c r="E69" s="6"/>
      <c r="F69" s="382">
        <f t="shared" si="48"/>
        <v>0</v>
      </c>
      <c r="G69" s="562"/>
      <c r="H69" s="382">
        <f t="shared" si="49"/>
        <v>0</v>
      </c>
      <c r="I69" s="6"/>
      <c r="J69" s="382">
        <f t="shared" si="50"/>
        <v>0</v>
      </c>
      <c r="K69" s="388">
        <f t="shared" si="51"/>
        <v>0</v>
      </c>
    </row>
    <row r="70" spans="1:11" ht="13.5">
      <c r="A70" s="345">
        <f>Gen!B35</f>
        <v>44099</v>
      </c>
      <c r="B70" s="20"/>
      <c r="C70" s="63"/>
      <c r="D70" s="382">
        <f t="shared" si="47"/>
        <v>0</v>
      </c>
      <c r="E70" s="6"/>
      <c r="F70" s="382">
        <f t="shared" si="48"/>
        <v>0</v>
      </c>
      <c r="G70" s="562"/>
      <c r="H70" s="382">
        <f t="shared" si="49"/>
        <v>0</v>
      </c>
      <c r="I70" s="6"/>
      <c r="J70" s="382">
        <f t="shared" si="50"/>
        <v>0</v>
      </c>
      <c r="K70" s="388">
        <f t="shared" si="51"/>
        <v>0</v>
      </c>
    </row>
    <row r="71" spans="1:11" ht="13.5">
      <c r="A71" s="345">
        <f>Gen!B36</f>
        <v>44100</v>
      </c>
      <c r="B71" s="20"/>
      <c r="C71" s="63"/>
      <c r="D71" s="382">
        <f t="shared" si="47"/>
        <v>0</v>
      </c>
      <c r="E71" s="6"/>
      <c r="F71" s="382">
        <f t="shared" si="48"/>
        <v>0</v>
      </c>
      <c r="G71" s="562"/>
      <c r="H71" s="382">
        <f t="shared" si="49"/>
        <v>0</v>
      </c>
      <c r="I71" s="6"/>
      <c r="J71" s="382">
        <f t="shared" si="50"/>
        <v>0</v>
      </c>
      <c r="K71" s="388">
        <f t="shared" si="51"/>
        <v>0</v>
      </c>
    </row>
    <row r="72" spans="1:11" ht="13.5">
      <c r="A72" s="345">
        <f>Gen!B37</f>
        <v>44101</v>
      </c>
      <c r="B72" s="20"/>
      <c r="C72" s="63"/>
      <c r="D72" s="382">
        <f t="shared" si="47"/>
        <v>0</v>
      </c>
      <c r="E72" s="6"/>
      <c r="F72" s="382">
        <f t="shared" si="48"/>
        <v>0</v>
      </c>
      <c r="G72" s="562"/>
      <c r="H72" s="382">
        <f t="shared" si="49"/>
        <v>0</v>
      </c>
      <c r="I72" s="6"/>
      <c r="J72" s="382">
        <f t="shared" si="50"/>
        <v>0</v>
      </c>
      <c r="K72" s="388">
        <f t="shared" si="51"/>
        <v>0</v>
      </c>
    </row>
    <row r="73" spans="1:11" ht="13.5">
      <c r="A73" s="345">
        <f>Gen!B38</f>
        <v>44102</v>
      </c>
      <c r="B73" s="20"/>
      <c r="C73" s="63"/>
      <c r="D73" s="382">
        <f t="shared" si="47"/>
        <v>0</v>
      </c>
      <c r="E73" s="6"/>
      <c r="F73" s="382">
        <f t="shared" si="48"/>
        <v>0</v>
      </c>
      <c r="G73" s="562"/>
      <c r="H73" s="382">
        <f t="shared" si="49"/>
        <v>0</v>
      </c>
      <c r="I73" s="6"/>
      <c r="J73" s="382">
        <f t="shared" si="50"/>
        <v>0</v>
      </c>
      <c r="K73" s="388">
        <f t="shared" si="51"/>
        <v>0</v>
      </c>
    </row>
    <row r="74" spans="1:11" ht="13.5">
      <c r="A74" s="345">
        <f>Gen!B39</f>
        <v>44103</v>
      </c>
      <c r="B74" s="20"/>
      <c r="C74" s="63"/>
      <c r="D74" s="382">
        <f t="shared" si="47"/>
        <v>0</v>
      </c>
      <c r="E74" s="6"/>
      <c r="F74" s="382">
        <f t="shared" si="48"/>
        <v>0</v>
      </c>
      <c r="G74" s="562"/>
      <c r="H74" s="382">
        <f t="shared" si="49"/>
        <v>0</v>
      </c>
      <c r="I74" s="6"/>
      <c r="J74" s="382">
        <f t="shared" si="50"/>
        <v>0</v>
      </c>
      <c r="K74" s="388">
        <f t="shared" si="51"/>
        <v>0</v>
      </c>
    </row>
    <row r="75" spans="1:11" ht="14.25" thickBot="1">
      <c r="A75" s="345">
        <f>Gen!B40</f>
        <v>44104</v>
      </c>
      <c r="B75" s="298"/>
      <c r="C75" s="63"/>
      <c r="D75" s="382">
        <f t="shared" si="47"/>
        <v>0</v>
      </c>
      <c r="E75" s="6"/>
      <c r="F75" s="382">
        <f t="shared" si="48"/>
        <v>0</v>
      </c>
      <c r="G75" s="562"/>
      <c r="H75" s="382">
        <f t="shared" si="49"/>
        <v>0</v>
      </c>
      <c r="I75" s="6"/>
      <c r="J75" s="382">
        <f t="shared" si="50"/>
        <v>0</v>
      </c>
      <c r="K75" s="388">
        <f t="shared" si="51"/>
        <v>0</v>
      </c>
    </row>
    <row r="76" spans="1:11" ht="13.5">
      <c r="A76" s="345">
        <f>Gen!B41</f>
        <v>0</v>
      </c>
      <c r="C76" s="63"/>
      <c r="D76" s="382">
        <f t="shared" si="47"/>
        <v>0</v>
      </c>
      <c r="E76" s="6"/>
      <c r="F76" s="382">
        <f t="shared" si="48"/>
        <v>0</v>
      </c>
      <c r="G76" s="562"/>
      <c r="H76" s="382">
        <f t="shared" si="49"/>
        <v>0</v>
      </c>
      <c r="I76" s="6"/>
      <c r="J76" s="382">
        <f t="shared" si="50"/>
        <v>0</v>
      </c>
      <c r="K76" s="388">
        <f t="shared" si="51"/>
        <v>0</v>
      </c>
    </row>
    <row r="77" spans="1:11" ht="14.25" thickBot="1">
      <c r="A77" s="345">
        <f>Gen!B42</f>
        <v>0</v>
      </c>
      <c r="C77" s="63"/>
      <c r="D77" s="382">
        <f t="shared" si="47"/>
        <v>0</v>
      </c>
      <c r="E77" s="6"/>
      <c r="F77" s="382">
        <f t="shared" si="48"/>
        <v>0</v>
      </c>
      <c r="G77" s="562"/>
      <c r="H77" s="382">
        <f t="shared" si="49"/>
        <v>0</v>
      </c>
      <c r="I77" s="6"/>
      <c r="J77" s="382">
        <f t="shared" si="50"/>
        <v>0</v>
      </c>
      <c r="K77" s="389">
        <f t="shared" si="51"/>
        <v>0</v>
      </c>
    </row>
    <row r="78" spans="1:11" ht="13.5">
      <c r="A78" s="345" t="str">
        <f>Gen!B43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5">
        <f>Gen!B11</f>
        <v>44075</v>
      </c>
      <c r="B2" s="13" t="e">
        <f>SUM('[1]Water-Meter'!R10)</f>
        <v>#REF!</v>
      </c>
      <c r="C2" s="93">
        <f>SUM([1]Gen!B11)</f>
        <v>0.623</v>
      </c>
    </row>
    <row r="3" spans="1:3">
      <c r="A3" s="95">
        <f>Gen!B12</f>
        <v>44076</v>
      </c>
      <c r="B3" s="13" t="e">
        <f>SUM('[1]Water-Meter'!R11)</f>
        <v>#REF!</v>
      </c>
      <c r="C3" s="93">
        <f>SUM([1]Gen!B12)</f>
        <v>0.77900000000000003</v>
      </c>
    </row>
    <row r="4" spans="1:3">
      <c r="A4" s="95">
        <f>Gen!B13</f>
        <v>44077</v>
      </c>
      <c r="B4" s="13" t="e">
        <f>SUM('[1]Water-Meter'!R12)</f>
        <v>#REF!</v>
      </c>
      <c r="C4" s="93">
        <f>SUM([1]Gen!B13)</f>
        <v>0.53200000000000003</v>
      </c>
    </row>
    <row r="5" spans="1:3">
      <c r="A5" s="95">
        <f>Gen!B14</f>
        <v>44078</v>
      </c>
      <c r="B5" s="13" t="e">
        <f>SUM('[1]Water-Meter'!R13)</f>
        <v>#REF!</v>
      </c>
      <c r="C5" s="93">
        <f>SUM([1]Gen!B14)</f>
        <v>0.61</v>
      </c>
    </row>
    <row r="6" spans="1:3">
      <c r="A6" s="95">
        <f>Gen!B15</f>
        <v>44079</v>
      </c>
      <c r="B6" s="13" t="e">
        <f>SUM('[1]Water-Meter'!R14)</f>
        <v>#REF!</v>
      </c>
      <c r="C6" s="93">
        <f>SUM([1]Gen!B15)</f>
        <v>0.68799999999999994</v>
      </c>
    </row>
    <row r="7" spans="1:3">
      <c r="A7" s="95">
        <f>Gen!B16</f>
        <v>44080</v>
      </c>
      <c r="B7" s="13" t="e">
        <f>SUM('[1]Water-Meter'!R15)</f>
        <v>#REF!</v>
      </c>
      <c r="C7" s="93">
        <f>SUM([1]Gen!B16)</f>
        <v>0.53200000000000003</v>
      </c>
    </row>
    <row r="8" spans="1:3">
      <c r="A8" s="95">
        <f>Gen!B17</f>
        <v>44081</v>
      </c>
      <c r="B8" s="13" t="e">
        <f>SUM('[1]Water-Meter'!R16)</f>
        <v>#REF!</v>
      </c>
      <c r="C8" s="93">
        <f>SUM([1]Gen!B17)</f>
        <v>0.753</v>
      </c>
    </row>
    <row r="9" spans="1:3">
      <c r="A9" s="95">
        <f>Gen!B18</f>
        <v>44082</v>
      </c>
      <c r="B9" s="13" t="e">
        <f>SUM('[1]Water-Meter'!R17)</f>
        <v>#REF!</v>
      </c>
      <c r="C9" s="93">
        <f>SUM([1]Gen!B18)</f>
        <v>0.156</v>
      </c>
    </row>
    <row r="10" spans="1:3">
      <c r="A10" s="95">
        <f>Gen!B19</f>
        <v>44083</v>
      </c>
      <c r="B10" s="13" t="e">
        <f>SUM('[1]Water-Meter'!R18)</f>
        <v>#REF!</v>
      </c>
      <c r="C10" s="93">
        <f>SUM([1]Gen!B19)</f>
        <v>0.442</v>
      </c>
    </row>
    <row r="11" spans="1:3">
      <c r="A11" s="95">
        <f>Gen!B20</f>
        <v>44084</v>
      </c>
      <c r="B11" s="13" t="e">
        <f>SUM('[1]Water-Meter'!R19)</f>
        <v>#REF!</v>
      </c>
      <c r="C11" s="93">
        <f>SUM([1]Gen!B20)</f>
        <v>0.32500000000000001</v>
      </c>
    </row>
    <row r="12" spans="1:3">
      <c r="A12" s="95">
        <f>Gen!B21</f>
        <v>44085</v>
      </c>
      <c r="B12" s="13" t="e">
        <f>SUM('[1]Water-Meter'!R20)</f>
        <v>#REF!</v>
      </c>
      <c r="C12" s="93">
        <f>SUM([1]Gen!B21)</f>
        <v>0.45500000000000002</v>
      </c>
    </row>
    <row r="13" spans="1:3">
      <c r="A13" s="95">
        <f>Gen!B22</f>
        <v>44086</v>
      </c>
      <c r="B13" s="13" t="e">
        <f>SUM('[1]Water-Meter'!R21)</f>
        <v>#REF!</v>
      </c>
      <c r="C13" s="93">
        <f>SUM([1]Gen!B22)</f>
        <v>0.41599999999999998</v>
      </c>
    </row>
    <row r="14" spans="1:3">
      <c r="A14" s="95">
        <f>Gen!B23</f>
        <v>44087</v>
      </c>
      <c r="B14" s="13" t="e">
        <f>SUM('[1]Water-Meter'!R22)</f>
        <v>#REF!</v>
      </c>
      <c r="C14" s="93">
        <f>SUM([1]Gen!B23)</f>
        <v>0.39</v>
      </c>
    </row>
    <row r="15" spans="1:3">
      <c r="A15" s="95">
        <f>Gen!B24</f>
        <v>44088</v>
      </c>
      <c r="B15" s="13" t="e">
        <f>SUM('[1]Water-Meter'!R23)</f>
        <v>#REF!</v>
      </c>
      <c r="C15" s="93">
        <f>SUM([1]Gen!B24)</f>
        <v>0.63600000000000001</v>
      </c>
    </row>
    <row r="16" spans="1:3">
      <c r="A16" s="95">
        <f>Gen!B25</f>
        <v>44089</v>
      </c>
      <c r="B16" s="13" t="e">
        <f>SUM('[1]Water-Meter'!R24)</f>
        <v>#REF!</v>
      </c>
      <c r="C16" s="93">
        <f>SUM([1]Gen!B25)</f>
        <v>0.84399999999999997</v>
      </c>
    </row>
    <row r="17" spans="1:3">
      <c r="A17" s="95">
        <f>Gen!B26</f>
        <v>44090</v>
      </c>
      <c r="B17" s="13" t="e">
        <f>SUM('[1]Water-Meter'!R25)</f>
        <v>#REF!</v>
      </c>
      <c r="C17" s="93">
        <f>SUM([1]Gen!B26)</f>
        <v>0.81799999999999995</v>
      </c>
    </row>
    <row r="18" spans="1:3">
      <c r="A18" s="95">
        <f>Gen!B27</f>
        <v>44091</v>
      </c>
      <c r="B18" s="13" t="e">
        <f>SUM('[1]Water-Meter'!R26)</f>
        <v>#REF!</v>
      </c>
      <c r="C18" s="93">
        <f>SUM([1]Gen!B27)</f>
        <v>0.20799999999999999</v>
      </c>
    </row>
    <row r="19" spans="1:3">
      <c r="A19" s="95">
        <f>Gen!B28</f>
        <v>44092</v>
      </c>
      <c r="B19" s="13" t="e">
        <f>SUM('[1]Water-Meter'!R27)</f>
        <v>#REF!</v>
      </c>
      <c r="C19" s="93">
        <f>SUM([1]Gen!B28)</f>
        <v>0.221</v>
      </c>
    </row>
    <row r="20" spans="1:3">
      <c r="A20" s="95">
        <f>Gen!B29</f>
        <v>44093</v>
      </c>
      <c r="B20" s="13" t="e">
        <f>SUM('[1]Water-Meter'!R28)</f>
        <v>#REF!</v>
      </c>
      <c r="C20" s="93">
        <f>SUM([1]Gen!B29)</f>
        <v>0.11700000000000001</v>
      </c>
    </row>
    <row r="21" spans="1:3">
      <c r="A21" s="95">
        <f>Gen!B30</f>
        <v>44094</v>
      </c>
      <c r="B21" s="13" t="e">
        <f>SUM('[1]Water-Meter'!R29)</f>
        <v>#REF!</v>
      </c>
      <c r="C21" s="93">
        <f>SUM([1]Gen!B30)</f>
        <v>0.57099999999999995</v>
      </c>
    </row>
    <row r="22" spans="1:3">
      <c r="A22" s="95">
        <f>Gen!B31</f>
        <v>44095</v>
      </c>
      <c r="B22" s="13" t="e">
        <f>SUM('[1]Water-Meter'!R30)</f>
        <v>#REF!</v>
      </c>
      <c r="C22" s="93">
        <f>SUM([1]Gen!B31)</f>
        <v>0.55800000000000005</v>
      </c>
    </row>
    <row r="23" spans="1:3">
      <c r="A23" s="95">
        <f>Gen!B32</f>
        <v>44096</v>
      </c>
      <c r="B23" s="13" t="e">
        <f>SUM('[1]Water-Meter'!R31)</f>
        <v>#REF!</v>
      </c>
      <c r="C23" s="93">
        <f>SUM([1]Gen!B32)</f>
        <v>0.40300000000000002</v>
      </c>
    </row>
    <row r="24" spans="1:3">
      <c r="A24" s="95">
        <f>Gen!B33</f>
        <v>44097</v>
      </c>
      <c r="B24" s="13" t="e">
        <f>SUM('[1]Water-Meter'!R32)</f>
        <v>#REF!</v>
      </c>
      <c r="C24" s="93">
        <f>SUM([1]Gen!B33)</f>
        <v>0.24</v>
      </c>
    </row>
    <row r="25" spans="1:3">
      <c r="A25" s="95">
        <f>Gen!B34</f>
        <v>44098</v>
      </c>
      <c r="B25" s="13" t="e">
        <f>SUM('[1]Water-Meter'!R33)</f>
        <v>#REF!</v>
      </c>
      <c r="C25" s="93">
        <f>SUM([1]Gen!B34)</f>
        <v>0.09</v>
      </c>
    </row>
    <row r="26" spans="1:3">
      <c r="A26" s="95">
        <f>Gen!B35</f>
        <v>44099</v>
      </c>
      <c r="B26" s="13" t="e">
        <f>SUM('[1]Water-Meter'!R34)</f>
        <v>#REF!</v>
      </c>
      <c r="C26" s="93">
        <f>SUM([1]Gen!B35)</f>
        <v>0.28599999999999998</v>
      </c>
    </row>
    <row r="27" spans="1:3">
      <c r="A27" s="95">
        <f>Gen!B36</f>
        <v>44100</v>
      </c>
      <c r="B27" s="13" t="e">
        <f>SUM('[1]Water-Meter'!R35)</f>
        <v>#REF!</v>
      </c>
      <c r="C27" s="93">
        <f>SUM([1]Gen!B36)</f>
        <v>0.54500000000000004</v>
      </c>
    </row>
    <row r="28" spans="1:3">
      <c r="A28" s="95">
        <f>Gen!B37</f>
        <v>44101</v>
      </c>
      <c r="B28" s="13" t="e">
        <f>SUM('[1]Water-Meter'!R36)</f>
        <v>#REF!</v>
      </c>
      <c r="C28" s="93">
        <f>SUM([1]Gen!B37)</f>
        <v>0.67500000000000004</v>
      </c>
    </row>
    <row r="29" spans="1:3">
      <c r="A29" s="95">
        <f>Gen!B38</f>
        <v>44102</v>
      </c>
      <c r="B29" s="13" t="e">
        <f>SUM('[1]Water-Meter'!R37)</f>
        <v>#REF!</v>
      </c>
      <c r="C29" s="93">
        <f>SUM([1]Gen!B38)</f>
        <v>0.27300000000000002</v>
      </c>
    </row>
    <row r="30" spans="1:3">
      <c r="A30" s="95">
        <f>Gen!B39</f>
        <v>44103</v>
      </c>
      <c r="B30" s="13">
        <f>SUM('[1]Water-Meter'!R38)</f>
        <v>-212333</v>
      </c>
      <c r="C30" s="93" t="e">
        <f>SUM([1]Gen!B39)</f>
        <v>#REF!</v>
      </c>
    </row>
    <row r="31" spans="1:3">
      <c r="A31" s="95">
        <f>Gen!B40</f>
        <v>44104</v>
      </c>
      <c r="B31" s="13" t="e">
        <f>SUM('[1]Water-Meter'!R39)</f>
        <v>#REF!</v>
      </c>
      <c r="C31" s="93" t="e">
        <f>SUM([1]Gen!B40)</f>
        <v>#REF!</v>
      </c>
    </row>
    <row r="32" spans="1:3">
      <c r="A32" s="95">
        <f>Gen!B41</f>
        <v>0</v>
      </c>
      <c r="B32" s="13" t="e">
        <f>SUM('[1]Water-Meter'!R40)</f>
        <v>#REF!</v>
      </c>
      <c r="C32" s="93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798" t="s">
        <v>319</v>
      </c>
      <c r="B2" s="799"/>
      <c r="C2" s="799"/>
      <c r="D2" s="799"/>
      <c r="E2" s="80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91">
        <v>2209.85</v>
      </c>
      <c r="R2" s="513" t="s">
        <v>68</v>
      </c>
      <c r="S2" s="513" t="s">
        <v>69</v>
      </c>
      <c r="T2" s="91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1" t="s">
        <v>49</v>
      </c>
      <c r="N3" s="121"/>
      <c r="O3" s="121"/>
      <c r="P3" s="121" t="s">
        <v>44</v>
      </c>
      <c r="Q3" s="122" t="s">
        <v>55</v>
      </c>
      <c r="R3" s="122"/>
      <c r="S3" s="122"/>
      <c r="T3" s="514"/>
      <c r="U3" s="515"/>
      <c r="V3" s="68" t="s">
        <v>56</v>
      </c>
      <c r="W3" s="121" t="s">
        <v>78</v>
      </c>
      <c r="AA3" s="151" t="s">
        <v>79</v>
      </c>
    </row>
    <row r="4" spans="1:27" s="51" customFormat="1" ht="50.25" customHeight="1">
      <c r="A4" s="64" t="s">
        <v>0</v>
      </c>
      <c r="B4" s="81" t="s">
        <v>66</v>
      </c>
      <c r="C4" s="53" t="s">
        <v>50</v>
      </c>
      <c r="D4" s="53" t="s">
        <v>64</v>
      </c>
      <c r="E4" s="53" t="s">
        <v>65</v>
      </c>
      <c r="F4" s="73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3" t="s">
        <v>51</v>
      </c>
      <c r="L4" s="73" t="s">
        <v>76</v>
      </c>
      <c r="M4" s="53">
        <v>3</v>
      </c>
      <c r="N4" s="53">
        <v>2</v>
      </c>
      <c r="O4" s="53">
        <v>1</v>
      </c>
      <c r="P4" s="57"/>
      <c r="Q4" s="60" t="s">
        <v>53</v>
      </c>
      <c r="R4" s="60" t="s">
        <v>63</v>
      </c>
      <c r="S4" s="60" t="s">
        <v>62</v>
      </c>
      <c r="T4" s="60" t="s">
        <v>20</v>
      </c>
      <c r="U4" s="65" t="s">
        <v>54</v>
      </c>
      <c r="V4" s="67"/>
      <c r="W4" s="56"/>
    </row>
    <row r="5" spans="1:27">
      <c r="A5" s="54">
        <f>Gen!B11</f>
        <v>44075</v>
      </c>
      <c r="B5" s="83">
        <v>0</v>
      </c>
      <c r="C5" s="88">
        <f>Gen!C11</f>
        <v>3.9E-2</v>
      </c>
      <c r="D5" s="512">
        <f>SUM(77*C5)</f>
        <v>3.0030000000000001</v>
      </c>
      <c r="E5" s="75"/>
      <c r="F5" s="71">
        <f>Gen!U11</f>
        <v>2111</v>
      </c>
      <c r="G5" s="86">
        <f>Gen!T11</f>
        <v>891.43</v>
      </c>
      <c r="H5" s="86" t="e">
        <f>[1]Gen!#REF!</f>
        <v>#REF!</v>
      </c>
      <c r="I5" s="86" t="e">
        <f t="shared" ref="I5:I35" si="0">SUM(G5:H5)</f>
        <v>#REF!</v>
      </c>
      <c r="J5" s="86">
        <f>[1]Gen!AT11</f>
        <v>47806.650000000031</v>
      </c>
      <c r="K5" s="70">
        <f>'Water-Meter'!E6</f>
        <v>56</v>
      </c>
      <c r="L5" s="526">
        <f>'Lpg (2)'!G10</f>
        <v>78.980000000051234</v>
      </c>
      <c r="M5" s="89" t="e">
        <f>#REF!</f>
        <v>#REF!</v>
      </c>
      <c r="N5" s="89" t="e">
        <f>#REF!</f>
        <v>#REF!</v>
      </c>
      <c r="O5" s="89" t="e">
        <f>#REF!</f>
        <v>#REF!</v>
      </c>
      <c r="P5" s="90">
        <f t="shared" ref="P5:P35" si="1">J5/52000</f>
        <v>0.91935865384615445</v>
      </c>
      <c r="Q5" s="6" t="e">
        <f>I5*Q2</f>
        <v>#REF!</v>
      </c>
      <c r="R5" s="77" t="e">
        <f>SUM(Q5/D5)/X5</f>
        <v>#REF!</v>
      </c>
      <c r="S5" s="516" t="e">
        <f>SUM(Q5/E5)/X5</f>
        <v>#REF!</v>
      </c>
      <c r="T5" s="77">
        <f>(K5*102)/X5</f>
        <v>3.606060606060606</v>
      </c>
      <c r="U5" s="124">
        <f>SUM(L5*1963)/X5</f>
        <v>97.877361111174608</v>
      </c>
      <c r="V5" s="18" t="e">
        <f>SUM(Q5+T5+U5)</f>
        <v>#REF!</v>
      </c>
      <c r="W5" s="126" t="e">
        <f>SUM(V5/E5)/T2</f>
        <v>#REF!</v>
      </c>
      <c r="X5">
        <f>SUM(T2)</f>
        <v>1584</v>
      </c>
      <c r="Y5" s="517">
        <v>106</v>
      </c>
      <c r="Z5" s="80" t="e">
        <f>SUM(Y5-S5)</f>
        <v>#REF!</v>
      </c>
      <c r="AA5">
        <v>106</v>
      </c>
    </row>
    <row r="6" spans="1:27">
      <c r="A6" s="54">
        <f>Gen!B12</f>
        <v>44076</v>
      </c>
      <c r="B6" s="83">
        <v>0</v>
      </c>
      <c r="C6" s="88">
        <f>Gen!C12</f>
        <v>3.9E-2</v>
      </c>
      <c r="D6" s="512">
        <f t="shared" ref="D6:D35" si="2">SUM(77*C6)</f>
        <v>3.0030000000000001</v>
      </c>
      <c r="E6" s="75"/>
      <c r="F6" s="71">
        <f>Gen!U12</f>
        <v>2147</v>
      </c>
      <c r="G6" s="86">
        <f>Gen!T12</f>
        <v>821.92000000000007</v>
      </c>
      <c r="H6" s="86" t="e">
        <f>[1]Gen!#REF!</f>
        <v>#REF!</v>
      </c>
      <c r="I6" s="86" t="e">
        <f t="shared" si="0"/>
        <v>#REF!</v>
      </c>
      <c r="J6" s="86">
        <f>[1]Gen!AT12</f>
        <v>45423.890000000029</v>
      </c>
      <c r="K6" s="70">
        <f>'Water-Meter'!E7</f>
        <v>58</v>
      </c>
      <c r="L6" s="526">
        <f>'Lpg (2)'!G11</f>
        <v>76.031999999994881</v>
      </c>
      <c r="M6" s="89" t="e">
        <f>#REF!</f>
        <v>#REF!</v>
      </c>
      <c r="N6" s="89" t="e">
        <f>#REF!</f>
        <v>#REF!</v>
      </c>
      <c r="O6" s="89" t="e">
        <f>#REF!</f>
        <v>#REF!</v>
      </c>
      <c r="P6" s="90">
        <f t="shared" si="1"/>
        <v>0.87353634615384668</v>
      </c>
      <c r="Q6" s="6" t="e">
        <f>I6*Q2</f>
        <v>#REF!</v>
      </c>
      <c r="R6" s="77" t="e">
        <f t="shared" ref="R6:R35" si="3">SUM(Q6/D6)/X6</f>
        <v>#REF!</v>
      </c>
      <c r="S6" s="516" t="e">
        <f t="shared" ref="S6:S35" si="4">SUM(Q6/E6)/X6</f>
        <v>#REF!</v>
      </c>
      <c r="T6" s="77">
        <f t="shared" ref="T6:T35" si="5">(K6*102)/X6</f>
        <v>3.7348484848484849</v>
      </c>
      <c r="U6" s="124">
        <f t="shared" ref="U6:U35" si="6">SUM(L6*1963)/X6</f>
        <v>94.223999999993651</v>
      </c>
      <c r="V6" s="18" t="e">
        <f t="shared" ref="V6:V36" si="7">SUM(Q6+T6+U6)</f>
        <v>#REF!</v>
      </c>
      <c r="W6" s="126" t="e">
        <f>SUM(V6/E6)/T2</f>
        <v>#REF!</v>
      </c>
      <c r="X6">
        <f>SUM(X5)</f>
        <v>1584</v>
      </c>
      <c r="Y6" s="517">
        <v>106</v>
      </c>
      <c r="Z6" s="80" t="e">
        <f t="shared" ref="Z6:Z35" si="8">SUM(Y6-S6)</f>
        <v>#REF!</v>
      </c>
    </row>
    <row r="7" spans="1:27">
      <c r="A7" s="54">
        <f>Gen!B13</f>
        <v>44077</v>
      </c>
      <c r="B7" s="83">
        <v>0</v>
      </c>
      <c r="C7" s="88">
        <f>Gen!C13</f>
        <v>3.9E-2</v>
      </c>
      <c r="D7" s="512">
        <f t="shared" si="2"/>
        <v>3.0030000000000001</v>
      </c>
      <c r="E7" s="75"/>
      <c r="F7" s="71">
        <f>Gen!U13</f>
        <v>2188</v>
      </c>
      <c r="G7" s="86">
        <f>Gen!T13</f>
        <v>1090.28</v>
      </c>
      <c r="H7" s="86" t="e">
        <f>[1]Gen!#REF!</f>
        <v>#REF!</v>
      </c>
      <c r="I7" s="86" t="e">
        <f t="shared" si="0"/>
        <v>#REF!</v>
      </c>
      <c r="J7" s="86">
        <f>[1]Gen!AT13</f>
        <v>42919.590000000026</v>
      </c>
      <c r="K7" s="70">
        <f>'Water-Meter'!E8</f>
        <v>51</v>
      </c>
      <c r="L7" s="526">
        <f>'Lpg (2)'!G12</f>
        <v>58.607999999966708</v>
      </c>
      <c r="M7" s="89" t="e">
        <f>#REF!</f>
        <v>#REF!</v>
      </c>
      <c r="N7" s="89" t="e">
        <f>#REF!</f>
        <v>#REF!</v>
      </c>
      <c r="O7" s="89" t="e">
        <f>#REF!</f>
        <v>#REF!</v>
      </c>
      <c r="P7" s="90">
        <f t="shared" si="1"/>
        <v>0.82537673076923124</v>
      </c>
      <c r="Q7" s="6" t="e">
        <f>I7*Q2</f>
        <v>#REF!</v>
      </c>
      <c r="R7" s="77" t="e">
        <f t="shared" si="3"/>
        <v>#REF!</v>
      </c>
      <c r="S7" s="516" t="e">
        <f t="shared" si="4"/>
        <v>#REF!</v>
      </c>
      <c r="T7" s="77">
        <f t="shared" si="5"/>
        <v>3.2840909090909092</v>
      </c>
      <c r="U7" s="124">
        <f t="shared" si="6"/>
        <v>72.630999999958746</v>
      </c>
      <c r="V7" s="18" t="e">
        <f t="shared" si="7"/>
        <v>#REF!</v>
      </c>
      <c r="W7" s="126" t="e">
        <f>SUM(V7/E7)/T2</f>
        <v>#REF!</v>
      </c>
      <c r="X7">
        <f t="shared" ref="X7:X35" si="9">SUM(X6)</f>
        <v>1584</v>
      </c>
      <c r="Y7" s="517">
        <v>106</v>
      </c>
      <c r="Z7" s="80" t="e">
        <f t="shared" si="8"/>
        <v>#REF!</v>
      </c>
    </row>
    <row r="8" spans="1:27">
      <c r="A8" s="54">
        <f>Gen!B14</f>
        <v>44078</v>
      </c>
      <c r="B8" s="83">
        <v>0</v>
      </c>
      <c r="C8" s="88">
        <f>Gen!C14</f>
        <v>9.0899999999999995E-2</v>
      </c>
      <c r="D8" s="512">
        <f t="shared" si="2"/>
        <v>6.9992999999999999</v>
      </c>
      <c r="E8" s="75"/>
      <c r="F8" s="71">
        <f>Gen!U14</f>
        <v>2448</v>
      </c>
      <c r="G8" s="86">
        <f>Gen!T14</f>
        <v>868.39</v>
      </c>
      <c r="H8" s="86" t="e">
        <f>[1]Gen!AJ9</f>
        <v>#REF!</v>
      </c>
      <c r="I8" s="86" t="e">
        <f t="shared" si="0"/>
        <v>#REF!</v>
      </c>
      <c r="J8" s="86">
        <f>[1]Gen!AT14</f>
        <v>40258.940000000024</v>
      </c>
      <c r="K8" s="70">
        <f>'Water-Meter'!E9</f>
        <v>54</v>
      </c>
      <c r="L8" s="526">
        <f>'Lpg (2)'!G13</f>
        <v>66.263999999989764</v>
      </c>
      <c r="M8" s="89" t="e">
        <f>#REF!</f>
        <v>#REF!</v>
      </c>
      <c r="N8" s="89" t="e">
        <f>#REF!</f>
        <v>#REF!</v>
      </c>
      <c r="O8" s="89" t="e">
        <f>#REF!</f>
        <v>#REF!</v>
      </c>
      <c r="P8" s="90">
        <f t="shared" si="1"/>
        <v>0.77421038461538505</v>
      </c>
      <c r="Q8" s="6" t="e">
        <f>I8*Q2</f>
        <v>#REF!</v>
      </c>
      <c r="R8" s="77" t="e">
        <f t="shared" si="3"/>
        <v>#REF!</v>
      </c>
      <c r="S8" s="516" t="e">
        <f t="shared" si="4"/>
        <v>#REF!</v>
      </c>
      <c r="T8" s="77">
        <f t="shared" si="5"/>
        <v>3.4772727272727271</v>
      </c>
      <c r="U8" s="124">
        <f t="shared" si="6"/>
        <v>82.118833333320651</v>
      </c>
      <c r="V8" s="18" t="e">
        <f t="shared" si="7"/>
        <v>#REF!</v>
      </c>
      <c r="W8" s="126" t="e">
        <f>SUM(V8/E8)/T2</f>
        <v>#REF!</v>
      </c>
      <c r="X8">
        <f t="shared" si="9"/>
        <v>1584</v>
      </c>
      <c r="Y8" s="517">
        <v>106</v>
      </c>
      <c r="Z8" s="80" t="e">
        <f t="shared" si="8"/>
        <v>#REF!</v>
      </c>
    </row>
    <row r="9" spans="1:27">
      <c r="A9" s="54">
        <f>Gen!B15</f>
        <v>44079</v>
      </c>
      <c r="B9" s="83">
        <v>0</v>
      </c>
      <c r="C9" s="88">
        <f>Gen!C15</f>
        <v>9.0899999999999995E-2</v>
      </c>
      <c r="D9" s="512">
        <f t="shared" si="2"/>
        <v>6.9992999999999999</v>
      </c>
      <c r="E9" s="75"/>
      <c r="F9" s="71">
        <f>Gen!U15</f>
        <v>2152</v>
      </c>
      <c r="G9" s="86">
        <f>Gen!T15</f>
        <v>841.98</v>
      </c>
      <c r="H9" s="86">
        <f>[1]Gen!AJ10</f>
        <v>0</v>
      </c>
      <c r="I9" s="86">
        <f t="shared" si="0"/>
        <v>841.98</v>
      </c>
      <c r="J9" s="86">
        <f>[1]Gen!AT15</f>
        <v>37525.210000000021</v>
      </c>
      <c r="K9" s="70">
        <f>'Water-Meter'!E10</f>
        <v>50</v>
      </c>
      <c r="L9" s="526">
        <f>'Lpg (2)'!G14</f>
        <v>63.536000000010247</v>
      </c>
      <c r="M9" s="89" t="e">
        <f>#REF!</f>
        <v>#REF!</v>
      </c>
      <c r="N9" s="89" t="e">
        <f>#REF!</f>
        <v>#REF!</v>
      </c>
      <c r="O9" s="89" t="e">
        <f>#REF!</f>
        <v>#REF!</v>
      </c>
      <c r="P9" s="90">
        <f t="shared" si="1"/>
        <v>0.72163865384615422</v>
      </c>
      <c r="Q9" s="6">
        <f>I9*Q2</f>
        <v>1860649.503</v>
      </c>
      <c r="R9" s="77">
        <f t="shared" si="3"/>
        <v>167.82427728703607</v>
      </c>
      <c r="S9" s="516" t="e">
        <f t="shared" si="4"/>
        <v>#DIV/0!</v>
      </c>
      <c r="T9" s="77">
        <f t="shared" si="5"/>
        <v>3.2196969696969697</v>
      </c>
      <c r="U9" s="124">
        <f t="shared" si="6"/>
        <v>78.738111111123814</v>
      </c>
      <c r="V9" s="18">
        <f t="shared" si="7"/>
        <v>1860731.4608080809</v>
      </c>
      <c r="W9" s="126" t="e">
        <f>SUM(V9/E9)/T2</f>
        <v>#DIV/0!</v>
      </c>
      <c r="X9">
        <f t="shared" si="9"/>
        <v>1584</v>
      </c>
      <c r="Y9" s="517">
        <v>106</v>
      </c>
      <c r="Z9" s="80" t="e">
        <f t="shared" si="8"/>
        <v>#DIV/0!</v>
      </c>
    </row>
    <row r="10" spans="1:27">
      <c r="A10" s="54">
        <f>Gen!B16</f>
        <v>44080</v>
      </c>
      <c r="B10" s="83">
        <v>0</v>
      </c>
      <c r="C10" s="88">
        <f>Gen!C16</f>
        <v>9.0899999999999995E-2</v>
      </c>
      <c r="D10" s="512">
        <f t="shared" si="2"/>
        <v>6.9992999999999999</v>
      </c>
      <c r="E10" s="75"/>
      <c r="F10" s="71">
        <f>Gen!U16</f>
        <v>2052</v>
      </c>
      <c r="G10" s="86">
        <f>Gen!T16</f>
        <v>938.54</v>
      </c>
      <c r="H10" s="86" t="e">
        <f>[1]Gen!#REF!</f>
        <v>#REF!</v>
      </c>
      <c r="I10" s="86" t="e">
        <f t="shared" si="0"/>
        <v>#REF!</v>
      </c>
      <c r="J10" s="86">
        <f>[1]Gen!AT16</f>
        <v>35107.690000000024</v>
      </c>
      <c r="K10" s="70">
        <f>'Water-Meter'!E11</f>
        <v>52</v>
      </c>
      <c r="L10" s="526">
        <f>'Lpg (2)'!G15</f>
        <v>50.072000000020495</v>
      </c>
      <c r="M10" s="89" t="e">
        <f>#REF!</f>
        <v>#REF!</v>
      </c>
      <c r="N10" s="89" t="e">
        <f>#REF!</f>
        <v>#REF!</v>
      </c>
      <c r="O10" s="89" t="e">
        <f>#REF!</f>
        <v>#REF!</v>
      </c>
      <c r="P10" s="90">
        <f t="shared" si="1"/>
        <v>0.67514788461538511</v>
      </c>
      <c r="Q10" s="6" t="e">
        <f>I10*Q2</f>
        <v>#REF!</v>
      </c>
      <c r="R10" s="77" t="e">
        <f t="shared" si="3"/>
        <v>#REF!</v>
      </c>
      <c r="S10" s="516" t="e">
        <f t="shared" si="4"/>
        <v>#REF!</v>
      </c>
      <c r="T10" s="77">
        <f t="shared" si="5"/>
        <v>3.3484848484848486</v>
      </c>
      <c r="U10" s="124">
        <f t="shared" si="6"/>
        <v>62.052611111136507</v>
      </c>
      <c r="V10" s="18" t="e">
        <f t="shared" si="7"/>
        <v>#REF!</v>
      </c>
      <c r="W10" s="126" t="e">
        <f>SUM(V10/E10)/T2</f>
        <v>#REF!</v>
      </c>
      <c r="X10">
        <f t="shared" si="9"/>
        <v>1584</v>
      </c>
      <c r="Y10" s="517">
        <v>106</v>
      </c>
      <c r="Z10" s="80" t="e">
        <f t="shared" si="8"/>
        <v>#REF!</v>
      </c>
    </row>
    <row r="11" spans="1:27">
      <c r="A11" s="54">
        <f>Gen!B17</f>
        <v>44081</v>
      </c>
      <c r="B11" s="83">
        <v>0</v>
      </c>
      <c r="C11" s="88">
        <f>Gen!C17</f>
        <v>2.5999999999999999E-2</v>
      </c>
      <c r="D11" s="512">
        <f t="shared" si="2"/>
        <v>2.0019999999999998</v>
      </c>
      <c r="E11" s="75"/>
      <c r="F11" s="71">
        <f>Gen!U17</f>
        <v>2010</v>
      </c>
      <c r="G11" s="86">
        <f>Gen!T17</f>
        <v>910.27</v>
      </c>
      <c r="H11" s="86">
        <f>[1]Gen!AJ25</f>
        <v>80.56</v>
      </c>
      <c r="I11" s="86">
        <f t="shared" si="0"/>
        <v>990.82999999999993</v>
      </c>
      <c r="J11" s="86">
        <f>[1]Gen!AT17</f>
        <v>47513.140000000029</v>
      </c>
      <c r="K11" s="70">
        <f>'Water-Meter'!E12</f>
        <v>58</v>
      </c>
      <c r="L11" s="526">
        <f>'Lpg (2)'!G16</f>
        <v>49.588000000017935</v>
      </c>
      <c r="M11" s="89" t="e">
        <f>#REF!</f>
        <v>#REF!</v>
      </c>
      <c r="N11" s="89" t="e">
        <f>#REF!</f>
        <v>#REF!</v>
      </c>
      <c r="O11" s="89" t="e">
        <f>#REF!</f>
        <v>#REF!</v>
      </c>
      <c r="P11" s="90">
        <f t="shared" si="1"/>
        <v>0.91371423076923131</v>
      </c>
      <c r="Q11" s="6">
        <f>I11*Q2</f>
        <v>2189585.6754999999</v>
      </c>
      <c r="R11" s="77">
        <f t="shared" si="3"/>
        <v>690.46662791123015</v>
      </c>
      <c r="S11" s="516" t="e">
        <f t="shared" si="4"/>
        <v>#DIV/0!</v>
      </c>
      <c r="T11" s="77">
        <f t="shared" si="5"/>
        <v>3.7348484848484849</v>
      </c>
      <c r="U11" s="124">
        <f t="shared" si="6"/>
        <v>61.452805555577783</v>
      </c>
      <c r="V11" s="18">
        <f t="shared" si="7"/>
        <v>2189650.8631540402</v>
      </c>
      <c r="W11" s="126" t="e">
        <f>SUM(V11/E11)/T2</f>
        <v>#DIV/0!</v>
      </c>
      <c r="X11">
        <f t="shared" si="9"/>
        <v>1584</v>
      </c>
      <c r="Y11" s="517">
        <v>106</v>
      </c>
      <c r="Z11" s="80" t="e">
        <f t="shared" si="8"/>
        <v>#DIV/0!</v>
      </c>
    </row>
    <row r="12" spans="1:27">
      <c r="A12" s="54">
        <f>Gen!B18</f>
        <v>44082</v>
      </c>
      <c r="B12" s="83">
        <v>0</v>
      </c>
      <c r="C12" s="88">
        <f>Gen!C18</f>
        <v>3.9E-2</v>
      </c>
      <c r="D12" s="512">
        <f t="shared" si="2"/>
        <v>3.0030000000000001</v>
      </c>
      <c r="E12" s="75"/>
      <c r="F12" s="71">
        <f>Gen!U18</f>
        <v>2245</v>
      </c>
      <c r="G12" s="86">
        <f>Gen!T18</f>
        <v>948.21</v>
      </c>
      <c r="H12" s="86" t="e">
        <f>[1]Gen!#REF!</f>
        <v>#REF!</v>
      </c>
      <c r="I12" s="86" t="e">
        <f t="shared" si="0"/>
        <v>#REF!</v>
      </c>
      <c r="J12" s="86">
        <f>[1]Gen!AT18</f>
        <v>45161.890000000029</v>
      </c>
      <c r="K12" s="70">
        <f>'Water-Meter'!E13</f>
        <v>46</v>
      </c>
      <c r="L12" s="526">
        <f>'Lpg (2)'!G17</f>
        <v>62.567999999941101</v>
      </c>
      <c r="M12" s="89" t="e">
        <f>#REF!</f>
        <v>#REF!</v>
      </c>
      <c r="N12" s="89" t="e">
        <f>#REF!</f>
        <v>#REF!</v>
      </c>
      <c r="O12" s="89" t="e">
        <f>#REF!</f>
        <v>#REF!</v>
      </c>
      <c r="P12" s="90">
        <f t="shared" si="1"/>
        <v>0.86849788461538513</v>
      </c>
      <c r="Q12" s="6" t="e">
        <f>I12*Q2</f>
        <v>#REF!</v>
      </c>
      <c r="R12" s="77" t="e">
        <f t="shared" si="3"/>
        <v>#REF!</v>
      </c>
      <c r="S12" s="516" t="e">
        <f t="shared" si="4"/>
        <v>#REF!</v>
      </c>
      <c r="T12" s="77">
        <f t="shared" si="5"/>
        <v>2.9621212121212119</v>
      </c>
      <c r="U12" s="124">
        <f t="shared" si="6"/>
        <v>77.538499999927012</v>
      </c>
      <c r="V12" s="18" t="e">
        <f t="shared" si="7"/>
        <v>#REF!</v>
      </c>
      <c r="W12" s="126" t="e">
        <f>SUM(V12/E12)/T2</f>
        <v>#REF!</v>
      </c>
      <c r="X12">
        <f t="shared" si="9"/>
        <v>1584</v>
      </c>
      <c r="Y12" s="517">
        <v>106</v>
      </c>
      <c r="Z12" s="80" t="e">
        <f t="shared" si="8"/>
        <v>#REF!</v>
      </c>
    </row>
    <row r="13" spans="1:27">
      <c r="A13" s="54">
        <f>Gen!B19</f>
        <v>44083</v>
      </c>
      <c r="B13" s="83">
        <v>0</v>
      </c>
      <c r="C13" s="88">
        <f>Gen!C19</f>
        <v>6.5000000000000002E-2</v>
      </c>
      <c r="D13" s="512">
        <f t="shared" si="2"/>
        <v>5.0049999999999999</v>
      </c>
      <c r="E13" s="75"/>
      <c r="F13" s="71">
        <f>Gen!U19</f>
        <v>2101</v>
      </c>
      <c r="G13" s="86">
        <f>Gen!T19</f>
        <v>916.32999999999993</v>
      </c>
      <c r="H13" s="86" t="e">
        <f>[1]Gen!#REF!</f>
        <v>#REF!</v>
      </c>
      <c r="I13" s="86" t="e">
        <f t="shared" si="0"/>
        <v>#REF!</v>
      </c>
      <c r="J13" s="86">
        <f>[1]Gen!AT19</f>
        <v>42825.480000000025</v>
      </c>
      <c r="K13" s="70">
        <f>'Water-Meter'!E14</f>
        <v>52</v>
      </c>
      <c r="L13" s="526">
        <f>'Lpg (2)'!G18</f>
        <v>54.868000000005125</v>
      </c>
      <c r="M13" s="89" t="e">
        <f>#REF!</f>
        <v>#REF!</v>
      </c>
      <c r="N13" s="89" t="e">
        <f>#REF!</f>
        <v>#REF!</v>
      </c>
      <c r="O13" s="89" t="e">
        <f>#REF!</f>
        <v>#REF!</v>
      </c>
      <c r="P13" s="90">
        <f t="shared" si="1"/>
        <v>0.82356692307692358</v>
      </c>
      <c r="Q13" s="6" t="e">
        <f>I13*Q2</f>
        <v>#REF!</v>
      </c>
      <c r="R13" s="77" t="e">
        <f t="shared" si="3"/>
        <v>#REF!</v>
      </c>
      <c r="S13" s="516" t="e">
        <f t="shared" si="4"/>
        <v>#REF!</v>
      </c>
      <c r="T13" s="77">
        <f t="shared" si="5"/>
        <v>3.3484848484848486</v>
      </c>
      <c r="U13" s="124">
        <f t="shared" si="6"/>
        <v>67.996138888895246</v>
      </c>
      <c r="V13" s="18" t="e">
        <f t="shared" si="7"/>
        <v>#REF!</v>
      </c>
      <c r="W13" s="126" t="e">
        <f>SUM(V13/E13)/T2</f>
        <v>#REF!</v>
      </c>
      <c r="X13">
        <f t="shared" si="9"/>
        <v>1584</v>
      </c>
      <c r="Y13" s="517">
        <v>106</v>
      </c>
      <c r="Z13" s="80" t="e">
        <f t="shared" si="8"/>
        <v>#REF!</v>
      </c>
    </row>
    <row r="14" spans="1:27">
      <c r="A14" s="54">
        <f>Gen!B20</f>
        <v>44084</v>
      </c>
      <c r="B14" s="83">
        <v>0</v>
      </c>
      <c r="C14" s="88">
        <f>Gen!C20</f>
        <v>1.2999999999999999E-2</v>
      </c>
      <c r="D14" s="512">
        <f t="shared" si="2"/>
        <v>1.0009999999999999</v>
      </c>
      <c r="E14" s="75"/>
      <c r="F14" s="71">
        <f>Gen!U20</f>
        <v>0</v>
      </c>
      <c r="G14" s="86">
        <f>Gen!T20</f>
        <v>0</v>
      </c>
      <c r="H14" s="86" t="e">
        <f>[1]Gen!#REF!</f>
        <v>#REF!</v>
      </c>
      <c r="I14" s="86" t="e">
        <f t="shared" si="0"/>
        <v>#REF!</v>
      </c>
      <c r="J14" s="86">
        <f>[1]Gen!AT20</f>
        <v>40110.380000000026</v>
      </c>
      <c r="K14" s="70" t="str">
        <f>'Water-Meter'!E15</f>
        <v>0</v>
      </c>
      <c r="L14" s="526">
        <f>'Lpg (2)'!G19</f>
        <v>-317645.94400000002</v>
      </c>
      <c r="M14" s="89" t="e">
        <f>#REF!</f>
        <v>#REF!</v>
      </c>
      <c r="N14" s="89" t="e">
        <f>#REF!</f>
        <v>#REF!</v>
      </c>
      <c r="O14" s="89" t="e">
        <f>#REF!</f>
        <v>#REF!</v>
      </c>
      <c r="P14" s="90">
        <f t="shared" si="1"/>
        <v>0.77135346153846207</v>
      </c>
      <c r="Q14" s="6" t="e">
        <f>I14*Q2</f>
        <v>#REF!</v>
      </c>
      <c r="R14" s="77" t="e">
        <f t="shared" si="3"/>
        <v>#REF!</v>
      </c>
      <c r="S14" s="516" t="e">
        <f t="shared" si="4"/>
        <v>#REF!</v>
      </c>
      <c r="T14" s="77">
        <f t="shared" si="5"/>
        <v>0</v>
      </c>
      <c r="U14" s="124">
        <f t="shared" si="6"/>
        <v>-393648.35105555557</v>
      </c>
      <c r="V14" s="18" t="e">
        <f t="shared" si="7"/>
        <v>#REF!</v>
      </c>
      <c r="W14" s="126" t="e">
        <f>SUM(V14/E14)/T2</f>
        <v>#REF!</v>
      </c>
      <c r="X14">
        <f t="shared" si="9"/>
        <v>1584</v>
      </c>
      <c r="Y14" s="517">
        <v>106</v>
      </c>
      <c r="Z14" s="80" t="e">
        <f t="shared" si="8"/>
        <v>#REF!</v>
      </c>
    </row>
    <row r="15" spans="1:27">
      <c r="A15" s="54">
        <f>Gen!B21</f>
        <v>44085</v>
      </c>
      <c r="B15" s="83">
        <v>0</v>
      </c>
      <c r="C15" s="88">
        <f>Gen!C21</f>
        <v>0</v>
      </c>
      <c r="D15" s="512">
        <f t="shared" si="2"/>
        <v>0</v>
      </c>
      <c r="E15" s="75"/>
      <c r="F15" s="71">
        <f>Gen!U21</f>
        <v>0</v>
      </c>
      <c r="G15" s="86">
        <f>Gen!T21</f>
        <v>0</v>
      </c>
      <c r="H15" s="86" t="e">
        <f>[1]Gen!#REF!</f>
        <v>#REF!</v>
      </c>
      <c r="I15" s="86" t="e">
        <f t="shared" si="0"/>
        <v>#REF!</v>
      </c>
      <c r="J15" s="86">
        <f>[1]Gen!AT21</f>
        <v>37540.570000000029</v>
      </c>
      <c r="K15" s="70">
        <f>'Water-Meter'!E16</f>
        <v>0</v>
      </c>
      <c r="L15" s="526">
        <f>'Lpg (2)'!G20</f>
        <v>0</v>
      </c>
      <c r="M15" s="89" t="e">
        <f>#REF!</f>
        <v>#REF!</v>
      </c>
      <c r="N15" s="89" t="e">
        <f>#REF!</f>
        <v>#REF!</v>
      </c>
      <c r="O15" s="89" t="e">
        <f>#REF!</f>
        <v>#REF!</v>
      </c>
      <c r="P15" s="90">
        <f t="shared" si="1"/>
        <v>0.72193403846153903</v>
      </c>
      <c r="Q15" s="6" t="e">
        <f>I15*Q2</f>
        <v>#REF!</v>
      </c>
      <c r="R15" s="77" t="e">
        <f t="shared" si="3"/>
        <v>#REF!</v>
      </c>
      <c r="S15" s="516" t="e">
        <f t="shared" si="4"/>
        <v>#REF!</v>
      </c>
      <c r="T15" s="77">
        <f t="shared" si="5"/>
        <v>0</v>
      </c>
      <c r="U15" s="124">
        <f t="shared" si="6"/>
        <v>0</v>
      </c>
      <c r="V15" s="18" t="e">
        <f t="shared" si="7"/>
        <v>#REF!</v>
      </c>
      <c r="W15" s="126" t="e">
        <f>SUM(V15/E15)/T2</f>
        <v>#REF!</v>
      </c>
      <c r="X15">
        <f t="shared" si="9"/>
        <v>1584</v>
      </c>
      <c r="Y15" s="517">
        <v>106</v>
      </c>
      <c r="Z15" s="80" t="e">
        <f t="shared" si="8"/>
        <v>#REF!</v>
      </c>
    </row>
    <row r="16" spans="1:27">
      <c r="A16" s="54">
        <f>Gen!B22</f>
        <v>44086</v>
      </c>
      <c r="B16" s="83">
        <v>0</v>
      </c>
      <c r="C16" s="88">
        <f>Gen!C22</f>
        <v>0</v>
      </c>
      <c r="D16" s="512">
        <f t="shared" si="2"/>
        <v>0</v>
      </c>
      <c r="E16" s="75"/>
      <c r="F16" s="71">
        <f>Gen!U22</f>
        <v>0</v>
      </c>
      <c r="G16" s="86">
        <f>Gen!T22</f>
        <v>0</v>
      </c>
      <c r="H16" s="86" t="e">
        <f>[1]Gen!#REF!</f>
        <v>#REF!</v>
      </c>
      <c r="I16" s="86" t="e">
        <f t="shared" si="0"/>
        <v>#REF!</v>
      </c>
      <c r="J16" s="86">
        <f>[1]Gen!AT22</f>
        <v>34967.29000000003</v>
      </c>
      <c r="K16" s="70">
        <f>'Water-Meter'!E17</f>
        <v>0</v>
      </c>
      <c r="L16" s="526">
        <f>'Lpg (2)'!G21</f>
        <v>0</v>
      </c>
      <c r="M16" s="89" t="e">
        <f>#REF!</f>
        <v>#REF!</v>
      </c>
      <c r="N16" s="89" t="e">
        <f>#REF!</f>
        <v>#REF!</v>
      </c>
      <c r="O16" s="89" t="e">
        <f>#REF!</f>
        <v>#REF!</v>
      </c>
      <c r="P16" s="90">
        <f t="shared" si="1"/>
        <v>0.67244788461538518</v>
      </c>
      <c r="Q16" s="6" t="e">
        <f>I16*Q2</f>
        <v>#REF!</v>
      </c>
      <c r="R16" s="77" t="e">
        <f t="shared" si="3"/>
        <v>#REF!</v>
      </c>
      <c r="S16" s="516" t="e">
        <f t="shared" si="4"/>
        <v>#REF!</v>
      </c>
      <c r="T16" s="77">
        <f t="shared" si="5"/>
        <v>0</v>
      </c>
      <c r="U16" s="124">
        <f t="shared" si="6"/>
        <v>0</v>
      </c>
      <c r="V16" s="18" t="e">
        <f t="shared" si="7"/>
        <v>#REF!</v>
      </c>
      <c r="W16" s="126" t="e">
        <f>SUM(V16/E16)/T2</f>
        <v>#REF!</v>
      </c>
      <c r="X16">
        <f t="shared" si="9"/>
        <v>1584</v>
      </c>
      <c r="Y16" s="517">
        <v>106</v>
      </c>
      <c r="Z16" s="80" t="e">
        <f t="shared" si="8"/>
        <v>#REF!</v>
      </c>
    </row>
    <row r="17" spans="1:26">
      <c r="A17" s="54">
        <f>Gen!B23</f>
        <v>44087</v>
      </c>
      <c r="B17" s="83">
        <v>0</v>
      </c>
      <c r="C17" s="88">
        <f>Gen!C23</f>
        <v>0</v>
      </c>
      <c r="D17" s="512">
        <f t="shared" si="2"/>
        <v>0</v>
      </c>
      <c r="E17" s="75"/>
      <c r="F17" s="71">
        <f>Gen!U23</f>
        <v>0</v>
      </c>
      <c r="G17" s="86">
        <f>Gen!T23</f>
        <v>0</v>
      </c>
      <c r="H17" s="86" t="e">
        <f>[1]Gen!#REF!</f>
        <v>#REF!</v>
      </c>
      <c r="I17" s="86" t="e">
        <f t="shared" si="0"/>
        <v>#REF!</v>
      </c>
      <c r="J17" s="86">
        <f>[1]Gen!AT23</f>
        <v>32228.760000000031</v>
      </c>
      <c r="K17" s="70">
        <f>'Water-Meter'!E18</f>
        <v>0</v>
      </c>
      <c r="L17" s="526">
        <f>'Lpg (2)'!G22</f>
        <v>0</v>
      </c>
      <c r="M17" s="89" t="e">
        <f>#REF!</f>
        <v>#REF!</v>
      </c>
      <c r="N17" s="89" t="e">
        <f>#REF!</f>
        <v>#REF!</v>
      </c>
      <c r="O17" s="89" t="e">
        <f>#REF!</f>
        <v>#REF!</v>
      </c>
      <c r="P17" s="90">
        <f t="shared" si="1"/>
        <v>0.61978384615384674</v>
      </c>
      <c r="Q17" s="6" t="e">
        <f>I17*Q2</f>
        <v>#REF!</v>
      </c>
      <c r="R17" s="77" t="e">
        <f t="shared" si="3"/>
        <v>#REF!</v>
      </c>
      <c r="S17" s="516" t="e">
        <f t="shared" si="4"/>
        <v>#REF!</v>
      </c>
      <c r="T17" s="77">
        <f t="shared" si="5"/>
        <v>0</v>
      </c>
      <c r="U17" s="124">
        <f t="shared" si="6"/>
        <v>0</v>
      </c>
      <c r="V17" s="18" t="e">
        <f t="shared" si="7"/>
        <v>#REF!</v>
      </c>
      <c r="W17" s="126" t="e">
        <f>SUM(V17/E17)/T2</f>
        <v>#REF!</v>
      </c>
      <c r="X17">
        <f t="shared" si="9"/>
        <v>1584</v>
      </c>
      <c r="Y17" s="517">
        <v>106</v>
      </c>
      <c r="Z17" s="80" t="e">
        <f t="shared" si="8"/>
        <v>#REF!</v>
      </c>
    </row>
    <row r="18" spans="1:26">
      <c r="A18" s="54">
        <f>Gen!B24</f>
        <v>44088</v>
      </c>
      <c r="B18" s="83">
        <v>0</v>
      </c>
      <c r="C18" s="88">
        <f>Gen!C24</f>
        <v>0</v>
      </c>
      <c r="D18" s="512">
        <f t="shared" si="2"/>
        <v>0</v>
      </c>
      <c r="E18" s="75"/>
      <c r="F18" s="71">
        <f>Gen!U24</f>
        <v>0</v>
      </c>
      <c r="G18" s="86">
        <f>Gen!T24</f>
        <v>0</v>
      </c>
      <c r="H18" s="86">
        <f>[1]Gen!AJ27</f>
        <v>597.9</v>
      </c>
      <c r="I18" s="86">
        <f t="shared" si="0"/>
        <v>597.9</v>
      </c>
      <c r="J18" s="86">
        <f>[1]Gen!AT24</f>
        <v>29915.45000000003</v>
      </c>
      <c r="K18" s="70">
        <f>'Water-Meter'!E19</f>
        <v>0</v>
      </c>
      <c r="L18" s="526">
        <f>'Lpg (2)'!G23</f>
        <v>0</v>
      </c>
      <c r="M18" s="89" t="e">
        <f>#REF!</f>
        <v>#REF!</v>
      </c>
      <c r="N18" s="89" t="e">
        <f>#REF!</f>
        <v>#REF!</v>
      </c>
      <c r="O18" s="89" t="e">
        <f>#REF!</f>
        <v>#REF!</v>
      </c>
      <c r="P18" s="90">
        <f t="shared" si="1"/>
        <v>0.57529711538461592</v>
      </c>
      <c r="Q18" s="6">
        <f>I18*Q2</f>
        <v>1321269.3149999999</v>
      </c>
      <c r="R18" s="77" t="e">
        <f t="shared" si="3"/>
        <v>#DIV/0!</v>
      </c>
      <c r="S18" s="516" t="e">
        <f t="shared" si="4"/>
        <v>#DIV/0!</v>
      </c>
      <c r="T18" s="77">
        <f t="shared" si="5"/>
        <v>0</v>
      </c>
      <c r="U18" s="124">
        <f t="shared" si="6"/>
        <v>0</v>
      </c>
      <c r="V18" s="18">
        <f t="shared" si="7"/>
        <v>1321269.3149999999</v>
      </c>
      <c r="W18" s="126" t="e">
        <f>SUM(V18/E18)/T2</f>
        <v>#DIV/0!</v>
      </c>
      <c r="X18">
        <f t="shared" si="9"/>
        <v>1584</v>
      </c>
      <c r="Y18" s="517">
        <v>106</v>
      </c>
      <c r="Z18" s="80" t="e">
        <f t="shared" si="8"/>
        <v>#DIV/0!</v>
      </c>
    </row>
    <row r="19" spans="1:26">
      <c r="A19" s="54">
        <f>Gen!B25</f>
        <v>44089</v>
      </c>
      <c r="B19" s="83">
        <v>0</v>
      </c>
      <c r="C19" s="88">
        <f>Gen!C25</f>
        <v>0</v>
      </c>
      <c r="D19" s="512">
        <f t="shared" si="2"/>
        <v>0</v>
      </c>
      <c r="E19" s="75"/>
      <c r="F19" s="71">
        <f>Gen!U25</f>
        <v>0</v>
      </c>
      <c r="G19" s="86">
        <f>Gen!T25</f>
        <v>0</v>
      </c>
      <c r="H19" s="86">
        <f>[1]Gen!AJ28</f>
        <v>227.73000000000002</v>
      </c>
      <c r="I19" s="86">
        <f t="shared" si="0"/>
        <v>227.73000000000002</v>
      </c>
      <c r="J19" s="86">
        <f>[1]Gen!AT25</f>
        <v>42248.240000000034</v>
      </c>
      <c r="K19" s="70">
        <f>'Water-Meter'!E20</f>
        <v>0</v>
      </c>
      <c r="L19" s="526">
        <f>'Lpg (2)'!G24</f>
        <v>0</v>
      </c>
      <c r="M19" s="89" t="e">
        <f>#REF!</f>
        <v>#REF!</v>
      </c>
      <c r="N19" s="89" t="e">
        <f>#REF!</f>
        <v>#REF!</v>
      </c>
      <c r="O19" s="89" t="e">
        <f>#REF!</f>
        <v>#REF!</v>
      </c>
      <c r="P19" s="90">
        <f t="shared" si="1"/>
        <v>0.8124661538461545</v>
      </c>
      <c r="Q19" s="6">
        <f>I19*Q2</f>
        <v>503249.14050000004</v>
      </c>
      <c r="R19" s="77" t="e">
        <f t="shared" si="3"/>
        <v>#DIV/0!</v>
      </c>
      <c r="S19" s="516" t="e">
        <f t="shared" si="4"/>
        <v>#DIV/0!</v>
      </c>
      <c r="T19" s="77">
        <f t="shared" si="5"/>
        <v>0</v>
      </c>
      <c r="U19" s="124">
        <f t="shared" si="6"/>
        <v>0</v>
      </c>
      <c r="V19" s="18">
        <f t="shared" si="7"/>
        <v>503249.14050000004</v>
      </c>
      <c r="W19" s="77" t="e">
        <f>SUM(V19/E19)/T2</f>
        <v>#DIV/0!</v>
      </c>
      <c r="X19">
        <f t="shared" si="9"/>
        <v>1584</v>
      </c>
      <c r="Y19" s="517">
        <v>106</v>
      </c>
      <c r="Z19" s="80" t="e">
        <f t="shared" si="8"/>
        <v>#DIV/0!</v>
      </c>
    </row>
    <row r="20" spans="1:26">
      <c r="A20" s="54">
        <f>Gen!B26</f>
        <v>44090</v>
      </c>
      <c r="B20" s="83">
        <v>0</v>
      </c>
      <c r="C20" s="88">
        <f>Gen!C26</f>
        <v>0</v>
      </c>
      <c r="D20" s="512">
        <f t="shared" si="2"/>
        <v>0</v>
      </c>
      <c r="E20" s="75"/>
      <c r="F20" s="71">
        <f>Gen!U26</f>
        <v>0</v>
      </c>
      <c r="G20" s="86">
        <f>Gen!T26</f>
        <v>0</v>
      </c>
      <c r="H20" s="86">
        <f>[1]Gen!AJ29</f>
        <v>88.289999999999992</v>
      </c>
      <c r="I20" s="86">
        <f t="shared" si="0"/>
        <v>88.289999999999992</v>
      </c>
      <c r="J20" s="86">
        <f>[1]Gen!AT26</f>
        <v>39497.370000000032</v>
      </c>
      <c r="K20" s="70">
        <f>'Water-Meter'!E21</f>
        <v>0</v>
      </c>
      <c r="L20" s="526">
        <f>'Lpg (2)'!G25</f>
        <v>0</v>
      </c>
      <c r="M20" s="89" t="e">
        <f>#REF!</f>
        <v>#REF!</v>
      </c>
      <c r="N20" s="89" t="e">
        <f>#REF!</f>
        <v>#REF!</v>
      </c>
      <c r="O20" s="89" t="e">
        <f>#REF!</f>
        <v>#REF!</v>
      </c>
      <c r="P20" s="90">
        <f t="shared" si="1"/>
        <v>0.75956480769230827</v>
      </c>
      <c r="Q20" s="6">
        <f>I20*Q2</f>
        <v>195107.65649999998</v>
      </c>
      <c r="R20" s="77" t="e">
        <f t="shared" si="3"/>
        <v>#DIV/0!</v>
      </c>
      <c r="S20" s="516" t="e">
        <f t="shared" si="4"/>
        <v>#DIV/0!</v>
      </c>
      <c r="T20" s="77">
        <f t="shared" si="5"/>
        <v>0</v>
      </c>
      <c r="U20" s="124">
        <f t="shared" si="6"/>
        <v>0</v>
      </c>
      <c r="V20" s="18">
        <f t="shared" si="7"/>
        <v>195107.65649999998</v>
      </c>
      <c r="W20" s="77" t="e">
        <f>SUM(V20/E20)/T2</f>
        <v>#DIV/0!</v>
      </c>
      <c r="X20">
        <f t="shared" si="9"/>
        <v>1584</v>
      </c>
      <c r="Y20" s="517">
        <v>106</v>
      </c>
      <c r="Z20" s="80" t="e">
        <f t="shared" si="8"/>
        <v>#DIV/0!</v>
      </c>
    </row>
    <row r="21" spans="1:26">
      <c r="A21" s="54">
        <f>Gen!B27</f>
        <v>44091</v>
      </c>
      <c r="B21" s="83">
        <v>0</v>
      </c>
      <c r="C21" s="88">
        <f>Gen!C27</f>
        <v>0</v>
      </c>
      <c r="D21" s="512">
        <f t="shared" si="2"/>
        <v>0</v>
      </c>
      <c r="E21" s="75"/>
      <c r="F21" s="71">
        <f>Gen!U27</f>
        <v>0</v>
      </c>
      <c r="G21" s="86">
        <f>Gen!T27</f>
        <v>0</v>
      </c>
      <c r="H21" s="86">
        <f>[1]Gen!AJ30</f>
        <v>783.92</v>
      </c>
      <c r="I21" s="86">
        <f t="shared" si="0"/>
        <v>783.92</v>
      </c>
      <c r="J21" s="86">
        <f>[1]Gen!AT27</f>
        <v>36688.350000000035</v>
      </c>
      <c r="K21" s="70">
        <f>'Water-Meter'!E22</f>
        <v>0</v>
      </c>
      <c r="L21" s="526">
        <f>'Lpg (2)'!G26</f>
        <v>0</v>
      </c>
      <c r="M21" s="89" t="e">
        <f>#REF!</f>
        <v>#REF!</v>
      </c>
      <c r="N21" s="89" t="e">
        <f>#REF!</f>
        <v>#REF!</v>
      </c>
      <c r="O21" s="89" t="e">
        <f>#REF!</f>
        <v>#REF!</v>
      </c>
      <c r="P21" s="90">
        <f t="shared" si="1"/>
        <v>0.70554519230769297</v>
      </c>
      <c r="Q21" s="6">
        <f>I21*Q2</f>
        <v>1732345.6119999997</v>
      </c>
      <c r="R21" s="77" t="e">
        <f t="shared" si="3"/>
        <v>#DIV/0!</v>
      </c>
      <c r="S21" s="516" t="e">
        <f t="shared" si="4"/>
        <v>#DIV/0!</v>
      </c>
      <c r="T21" s="77">
        <f t="shared" si="5"/>
        <v>0</v>
      </c>
      <c r="U21" s="124">
        <f t="shared" si="6"/>
        <v>0</v>
      </c>
      <c r="V21" s="18">
        <f t="shared" si="7"/>
        <v>1732345.6119999997</v>
      </c>
      <c r="W21" s="77" t="e">
        <f>SUM(V21/E21)/T2</f>
        <v>#DIV/0!</v>
      </c>
      <c r="X21">
        <f t="shared" si="9"/>
        <v>1584</v>
      </c>
      <c r="Y21" s="517">
        <v>106</v>
      </c>
      <c r="Z21" s="80" t="e">
        <f t="shared" si="8"/>
        <v>#DIV/0!</v>
      </c>
    </row>
    <row r="22" spans="1:26">
      <c r="A22" s="54">
        <f>Gen!B28</f>
        <v>44092</v>
      </c>
      <c r="B22" s="83">
        <v>0</v>
      </c>
      <c r="C22" s="88">
        <f>Gen!C28</f>
        <v>0</v>
      </c>
      <c r="D22" s="512">
        <f t="shared" si="2"/>
        <v>0</v>
      </c>
      <c r="E22" s="75"/>
      <c r="F22" s="71">
        <f>Gen!U28</f>
        <v>0</v>
      </c>
      <c r="G22" s="86">
        <f>Gen!T28</f>
        <v>0</v>
      </c>
      <c r="H22" s="86" t="e">
        <f>[1]Gen!#REF!</f>
        <v>#REF!</v>
      </c>
      <c r="I22" s="86" t="e">
        <f t="shared" si="0"/>
        <v>#REF!</v>
      </c>
      <c r="J22" s="86">
        <f>[1]Gen!AT28</f>
        <v>33769.340000000033</v>
      </c>
      <c r="K22" s="70">
        <f>'Water-Meter'!E23</f>
        <v>0</v>
      </c>
      <c r="L22" s="526">
        <f>'Lpg (2)'!G27</f>
        <v>0</v>
      </c>
      <c r="M22" s="89" t="e">
        <f>#REF!</f>
        <v>#REF!</v>
      </c>
      <c r="N22" s="89" t="e">
        <f>#REF!</f>
        <v>#REF!</v>
      </c>
      <c r="O22" s="89" t="e">
        <f>#REF!</f>
        <v>#REF!</v>
      </c>
      <c r="P22" s="90">
        <f t="shared" si="1"/>
        <v>0.64941038461538525</v>
      </c>
      <c r="Q22" s="6" t="e">
        <f>I22*Q2</f>
        <v>#REF!</v>
      </c>
      <c r="R22" s="77" t="e">
        <f t="shared" si="3"/>
        <v>#REF!</v>
      </c>
      <c r="S22" s="516" t="e">
        <f t="shared" si="4"/>
        <v>#REF!</v>
      </c>
      <c r="T22" s="77">
        <f t="shared" si="5"/>
        <v>0</v>
      </c>
      <c r="U22" s="124">
        <f t="shared" si="6"/>
        <v>0</v>
      </c>
      <c r="V22" s="18" t="e">
        <f t="shared" si="7"/>
        <v>#REF!</v>
      </c>
      <c r="W22" s="77" t="e">
        <f>SUM(V22/E22)/T2</f>
        <v>#REF!</v>
      </c>
      <c r="X22">
        <f t="shared" si="9"/>
        <v>1584</v>
      </c>
      <c r="Y22" s="517">
        <v>106</v>
      </c>
      <c r="Z22" s="80" t="e">
        <f t="shared" si="8"/>
        <v>#REF!</v>
      </c>
    </row>
    <row r="23" spans="1:26">
      <c r="A23" s="54">
        <f>Gen!B29</f>
        <v>44093</v>
      </c>
      <c r="B23" s="83">
        <v>0</v>
      </c>
      <c r="C23" s="88">
        <f>Gen!C29</f>
        <v>0</v>
      </c>
      <c r="D23" s="512">
        <f t="shared" si="2"/>
        <v>0</v>
      </c>
      <c r="E23" s="75"/>
      <c r="F23" s="71">
        <f>Gen!U29</f>
        <v>0</v>
      </c>
      <c r="G23" s="86">
        <f>Gen!T29</f>
        <v>0</v>
      </c>
      <c r="H23" s="86" t="e">
        <f>[1]Gen!#REF!</f>
        <v>#REF!</v>
      </c>
      <c r="I23" s="86" t="e">
        <f t="shared" si="0"/>
        <v>#REF!</v>
      </c>
      <c r="J23" s="86">
        <f>[1]Gen!AT29</f>
        <v>31336.770000000033</v>
      </c>
      <c r="K23" s="70">
        <f>'Water-Meter'!E24</f>
        <v>0</v>
      </c>
      <c r="L23" s="526">
        <f>'Lpg (2)'!G28</f>
        <v>0</v>
      </c>
      <c r="M23" s="89" t="e">
        <f>#REF!</f>
        <v>#REF!</v>
      </c>
      <c r="N23" s="89" t="e">
        <f>#REF!</f>
        <v>#REF!</v>
      </c>
      <c r="O23" s="89" t="e">
        <f>#REF!</f>
        <v>#REF!</v>
      </c>
      <c r="P23" s="90">
        <f t="shared" si="1"/>
        <v>0.60263019230769299</v>
      </c>
      <c r="Q23" s="6" t="e">
        <f>I23*Q2</f>
        <v>#REF!</v>
      </c>
      <c r="R23" s="77" t="e">
        <f t="shared" si="3"/>
        <v>#REF!</v>
      </c>
      <c r="S23" s="516" t="e">
        <f t="shared" si="4"/>
        <v>#REF!</v>
      </c>
      <c r="T23" s="77">
        <f t="shared" si="5"/>
        <v>0</v>
      </c>
      <c r="U23" s="124">
        <f t="shared" si="6"/>
        <v>0</v>
      </c>
      <c r="V23" s="18" t="e">
        <f t="shared" si="7"/>
        <v>#REF!</v>
      </c>
      <c r="W23" s="77" t="e">
        <f>SUM(V23/E23)/T2</f>
        <v>#REF!</v>
      </c>
      <c r="X23">
        <f t="shared" si="9"/>
        <v>1584</v>
      </c>
      <c r="Y23" s="517">
        <v>106</v>
      </c>
      <c r="Z23" s="80" t="e">
        <f t="shared" si="8"/>
        <v>#REF!</v>
      </c>
    </row>
    <row r="24" spans="1:26">
      <c r="A24" s="54">
        <f>Gen!B30</f>
        <v>44094</v>
      </c>
      <c r="B24" s="83">
        <v>0</v>
      </c>
      <c r="C24" s="88">
        <f>Gen!C30</f>
        <v>0</v>
      </c>
      <c r="D24" s="512">
        <f t="shared" si="2"/>
        <v>0</v>
      </c>
      <c r="E24" s="75"/>
      <c r="F24" s="71">
        <f>Gen!U30</f>
        <v>0</v>
      </c>
      <c r="G24" s="86">
        <f>Gen!T30</f>
        <v>0</v>
      </c>
      <c r="H24" s="86" t="e">
        <f>[1]Gen!#REF!</f>
        <v>#REF!</v>
      </c>
      <c r="I24" s="86" t="e">
        <f t="shared" si="0"/>
        <v>#REF!</v>
      </c>
      <c r="J24" s="86">
        <f>[1]Gen!AT30</f>
        <v>29403.300000000032</v>
      </c>
      <c r="K24" s="70">
        <f>'Water-Meter'!E25</f>
        <v>0</v>
      </c>
      <c r="L24" s="526">
        <f>'Lpg (2)'!G29</f>
        <v>0</v>
      </c>
      <c r="M24" s="89" t="e">
        <f>#REF!</f>
        <v>#REF!</v>
      </c>
      <c r="N24" s="89" t="e">
        <f>#REF!</f>
        <v>#REF!</v>
      </c>
      <c r="O24" s="89" t="e">
        <f>#REF!</f>
        <v>#REF!</v>
      </c>
      <c r="P24" s="90">
        <f t="shared" si="1"/>
        <v>0.56544807692307753</v>
      </c>
      <c r="Q24" s="6" t="e">
        <f>I24*Q2</f>
        <v>#REF!</v>
      </c>
      <c r="R24" s="77" t="e">
        <f t="shared" si="3"/>
        <v>#REF!</v>
      </c>
      <c r="S24" s="516" t="e">
        <f t="shared" si="4"/>
        <v>#REF!</v>
      </c>
      <c r="T24" s="77">
        <f t="shared" si="5"/>
        <v>0</v>
      </c>
      <c r="U24" s="124">
        <f t="shared" si="6"/>
        <v>0</v>
      </c>
      <c r="V24" s="18" t="e">
        <f t="shared" si="7"/>
        <v>#REF!</v>
      </c>
      <c r="W24" s="77" t="e">
        <f>SUM(V24/E24)/T2</f>
        <v>#REF!</v>
      </c>
      <c r="X24">
        <f t="shared" si="9"/>
        <v>1584</v>
      </c>
      <c r="Y24" s="517">
        <v>106</v>
      </c>
      <c r="Z24" s="80" t="e">
        <f t="shared" si="8"/>
        <v>#REF!</v>
      </c>
    </row>
    <row r="25" spans="1:26">
      <c r="A25" s="54">
        <f>Gen!B31</f>
        <v>44095</v>
      </c>
      <c r="B25" s="83">
        <v>0</v>
      </c>
      <c r="C25" s="88">
        <f>Gen!C31</f>
        <v>0</v>
      </c>
      <c r="D25" s="512">
        <f t="shared" si="2"/>
        <v>0</v>
      </c>
      <c r="E25" s="75"/>
      <c r="F25" s="71">
        <f>Gen!U31</f>
        <v>0</v>
      </c>
      <c r="G25" s="86">
        <f>Gen!T31</f>
        <v>0</v>
      </c>
      <c r="H25" s="86">
        <f>[1]Gen!AJ31</f>
        <v>172.05</v>
      </c>
      <c r="I25" s="86">
        <f t="shared" si="0"/>
        <v>172.05</v>
      </c>
      <c r="J25" s="86">
        <f>[1]Gen!AT31</f>
        <v>41422.370000000032</v>
      </c>
      <c r="K25" s="70">
        <f>'Water-Meter'!E26</f>
        <v>0</v>
      </c>
      <c r="L25" s="526">
        <f>'Lpg (2)'!G30</f>
        <v>0</v>
      </c>
      <c r="M25" s="89" t="e">
        <f>#REF!</f>
        <v>#REF!</v>
      </c>
      <c r="N25" s="89" t="e">
        <f>#REF!</f>
        <v>#REF!</v>
      </c>
      <c r="O25" s="89" t="e">
        <f>#REF!</f>
        <v>#REF!</v>
      </c>
      <c r="P25" s="90">
        <f t="shared" si="1"/>
        <v>0.79658403846153902</v>
      </c>
      <c r="Q25" s="6">
        <f>I25*Q2</f>
        <v>380204.6925</v>
      </c>
      <c r="R25" s="77" t="e">
        <f t="shared" si="3"/>
        <v>#DIV/0!</v>
      </c>
      <c r="S25" s="516" t="e">
        <f t="shared" si="4"/>
        <v>#DIV/0!</v>
      </c>
      <c r="T25" s="77">
        <f t="shared" si="5"/>
        <v>0</v>
      </c>
      <c r="U25" s="124">
        <f t="shared" si="6"/>
        <v>0</v>
      </c>
      <c r="V25" s="18">
        <f t="shared" si="7"/>
        <v>380204.6925</v>
      </c>
      <c r="W25" s="77" t="e">
        <f>SUM(V25/E25)/T2</f>
        <v>#DIV/0!</v>
      </c>
      <c r="X25">
        <f t="shared" si="9"/>
        <v>1584</v>
      </c>
      <c r="Y25" s="517">
        <v>106</v>
      </c>
      <c r="Z25" s="80" t="e">
        <f t="shared" si="8"/>
        <v>#DIV/0!</v>
      </c>
    </row>
    <row r="26" spans="1:26">
      <c r="A26" s="54">
        <f>Gen!B32</f>
        <v>44096</v>
      </c>
      <c r="B26" s="83">
        <v>0</v>
      </c>
      <c r="C26" s="88">
        <f>Gen!C32</f>
        <v>0</v>
      </c>
      <c r="D26" s="512">
        <f t="shared" si="2"/>
        <v>0</v>
      </c>
      <c r="E26" s="75"/>
      <c r="F26" s="71">
        <f>Gen!U32</f>
        <v>0</v>
      </c>
      <c r="G26" s="86">
        <f>Gen!T32</f>
        <v>0</v>
      </c>
      <c r="H26" s="86">
        <f>[1]Gen!AJ32</f>
        <v>18.63</v>
      </c>
      <c r="I26" s="86">
        <f t="shared" si="0"/>
        <v>18.63</v>
      </c>
      <c r="J26" s="86">
        <f>[1]Gen!AT32</f>
        <v>38988.160000000033</v>
      </c>
      <c r="K26" s="70">
        <f>'Water-Meter'!E27</f>
        <v>0</v>
      </c>
      <c r="L26" s="526">
        <f>'Lpg (2)'!G31</f>
        <v>0</v>
      </c>
      <c r="M26" s="89" t="e">
        <f>#REF!</f>
        <v>#REF!</v>
      </c>
      <c r="N26" s="89" t="e">
        <f>#REF!</f>
        <v>#REF!</v>
      </c>
      <c r="O26" s="89" t="e">
        <f>#REF!</f>
        <v>#REF!</v>
      </c>
      <c r="P26" s="90">
        <f t="shared" si="1"/>
        <v>0.74977230769230829</v>
      </c>
      <c r="Q26" s="6">
        <f>I26*Q2</f>
        <v>41169.505499999999</v>
      </c>
      <c r="R26" s="77" t="e">
        <f t="shared" si="3"/>
        <v>#DIV/0!</v>
      </c>
      <c r="S26" s="516" t="e">
        <f t="shared" si="4"/>
        <v>#DIV/0!</v>
      </c>
      <c r="T26" s="77">
        <f t="shared" si="5"/>
        <v>0</v>
      </c>
      <c r="U26" s="124">
        <f t="shared" si="6"/>
        <v>0</v>
      </c>
      <c r="V26" s="18">
        <f t="shared" si="7"/>
        <v>41169.505499999999</v>
      </c>
      <c r="W26" s="77" t="e">
        <f>SUM(V26/E26)/T2</f>
        <v>#DIV/0!</v>
      </c>
      <c r="X26">
        <f t="shared" si="9"/>
        <v>1584</v>
      </c>
      <c r="Y26" s="517">
        <v>106</v>
      </c>
      <c r="Z26" s="80" t="e">
        <f t="shared" si="8"/>
        <v>#DIV/0!</v>
      </c>
    </row>
    <row r="27" spans="1:26">
      <c r="A27" s="54">
        <f>Gen!B33</f>
        <v>44097</v>
      </c>
      <c r="B27" s="83">
        <v>0</v>
      </c>
      <c r="C27" s="88">
        <f>Gen!C33</f>
        <v>0</v>
      </c>
      <c r="D27" s="512">
        <f t="shared" si="2"/>
        <v>0</v>
      </c>
      <c r="E27" s="75"/>
      <c r="F27" s="71">
        <f>Gen!U33</f>
        <v>0</v>
      </c>
      <c r="G27" s="86">
        <f>Gen!T33</f>
        <v>0</v>
      </c>
      <c r="H27" s="86">
        <f>[1]Gen!AJ33</f>
        <v>311.34000000000003</v>
      </c>
      <c r="I27" s="86">
        <f t="shared" si="0"/>
        <v>311.34000000000003</v>
      </c>
      <c r="J27" s="86">
        <f>[1]Gen!AT33</f>
        <v>36682.670000000035</v>
      </c>
      <c r="K27" s="70">
        <f>'Water-Meter'!E28</f>
        <v>0</v>
      </c>
      <c r="L27" s="526">
        <f>'Lpg (2)'!G32</f>
        <v>0</v>
      </c>
      <c r="M27" s="89" t="e">
        <f>#REF!</f>
        <v>#REF!</v>
      </c>
      <c r="N27" s="89" t="e">
        <f>#REF!</f>
        <v>#REF!</v>
      </c>
      <c r="O27" s="89" t="e">
        <f>#REF!</f>
        <v>#REF!</v>
      </c>
      <c r="P27" s="90">
        <f t="shared" si="1"/>
        <v>0.70543596153846222</v>
      </c>
      <c r="Q27" s="6">
        <f>I27*Q2</f>
        <v>688014.69900000002</v>
      </c>
      <c r="R27" s="77" t="e">
        <f t="shared" si="3"/>
        <v>#DIV/0!</v>
      </c>
      <c r="S27" s="516" t="e">
        <f t="shared" si="4"/>
        <v>#DIV/0!</v>
      </c>
      <c r="T27" s="77">
        <f t="shared" si="5"/>
        <v>0</v>
      </c>
      <c r="U27" s="124">
        <f t="shared" si="6"/>
        <v>0</v>
      </c>
      <c r="V27" s="18">
        <f t="shared" si="7"/>
        <v>688014.69900000002</v>
      </c>
      <c r="W27" s="77" t="e">
        <f>SUM(V27/E27)/T2</f>
        <v>#DIV/0!</v>
      </c>
      <c r="X27">
        <f t="shared" si="9"/>
        <v>1584</v>
      </c>
      <c r="Y27" s="517">
        <v>106</v>
      </c>
      <c r="Z27" s="80" t="e">
        <f t="shared" si="8"/>
        <v>#DIV/0!</v>
      </c>
    </row>
    <row r="28" spans="1:26">
      <c r="A28" s="54">
        <f>Gen!B34</f>
        <v>44098</v>
      </c>
      <c r="B28" s="83">
        <v>0</v>
      </c>
      <c r="C28" s="88">
        <f>Gen!C34</f>
        <v>0</v>
      </c>
      <c r="D28" s="512">
        <f t="shared" si="2"/>
        <v>0</v>
      </c>
      <c r="E28" s="75"/>
      <c r="F28" s="71">
        <f>Gen!U34</f>
        <v>0</v>
      </c>
      <c r="G28" s="86">
        <f>Gen!T34</f>
        <v>0</v>
      </c>
      <c r="H28" s="86">
        <f>[1]Gen!AJ34</f>
        <v>380.7</v>
      </c>
      <c r="I28" s="86">
        <f t="shared" si="0"/>
        <v>380.7</v>
      </c>
      <c r="J28" s="86">
        <f>[1]Gen!AT34</f>
        <v>44223.030000000035</v>
      </c>
      <c r="K28" s="70">
        <f>'Water-Meter'!E29</f>
        <v>0</v>
      </c>
      <c r="L28" s="526">
        <f>'Lpg (2)'!G33</f>
        <v>0</v>
      </c>
      <c r="M28" s="89" t="e">
        <f>#REF!</f>
        <v>#REF!</v>
      </c>
      <c r="N28" s="89" t="e">
        <f>#REF!</f>
        <v>#REF!</v>
      </c>
      <c r="O28" s="89" t="e">
        <f>#REF!</f>
        <v>#REF!</v>
      </c>
      <c r="P28" s="90">
        <f t="shared" si="1"/>
        <v>0.85044288461538531</v>
      </c>
      <c r="Q28" s="6">
        <f>I28*Q2</f>
        <v>841289.8949999999</v>
      </c>
      <c r="R28" s="77" t="e">
        <f t="shared" si="3"/>
        <v>#DIV/0!</v>
      </c>
      <c r="S28" s="516" t="e">
        <f t="shared" si="4"/>
        <v>#DIV/0!</v>
      </c>
      <c r="T28" s="77">
        <f t="shared" si="5"/>
        <v>0</v>
      </c>
      <c r="U28" s="124">
        <f t="shared" si="6"/>
        <v>0</v>
      </c>
      <c r="V28" s="18">
        <f t="shared" si="7"/>
        <v>841289.8949999999</v>
      </c>
      <c r="W28" s="77" t="e">
        <f>SUM(V28/E28)/T2</f>
        <v>#DIV/0!</v>
      </c>
      <c r="X28">
        <f t="shared" si="9"/>
        <v>1584</v>
      </c>
      <c r="Y28" s="517">
        <v>106</v>
      </c>
      <c r="Z28" s="80" t="e">
        <f t="shared" si="8"/>
        <v>#DIV/0!</v>
      </c>
    </row>
    <row r="29" spans="1:26">
      <c r="A29" s="54">
        <f>Gen!B35</f>
        <v>44099</v>
      </c>
      <c r="B29" s="83">
        <v>0</v>
      </c>
      <c r="C29" s="88">
        <f>Gen!C35</f>
        <v>0</v>
      </c>
      <c r="D29" s="512">
        <f t="shared" si="2"/>
        <v>0</v>
      </c>
      <c r="E29" s="75"/>
      <c r="F29" s="71">
        <f>Gen!U35</f>
        <v>0</v>
      </c>
      <c r="G29" s="86">
        <f>Gen!T35</f>
        <v>0</v>
      </c>
      <c r="H29" s="86">
        <f>[1]Gen!AJ35</f>
        <v>273.37</v>
      </c>
      <c r="I29" s="86">
        <f t="shared" si="0"/>
        <v>273.37</v>
      </c>
      <c r="J29" s="86">
        <f>[1]Gen!AT35</f>
        <v>41629.060000000034</v>
      </c>
      <c r="K29" s="70">
        <f>'Water-Meter'!E30</f>
        <v>0</v>
      </c>
      <c r="L29" s="526">
        <f>'Lpg (2)'!G34</f>
        <v>0</v>
      </c>
      <c r="M29" s="89" t="e">
        <f>#REF!</f>
        <v>#REF!</v>
      </c>
      <c r="N29" s="89" t="e">
        <f>#REF!</f>
        <v>#REF!</v>
      </c>
      <c r="O29" s="89" t="e">
        <f>#REF!</f>
        <v>#REF!</v>
      </c>
      <c r="P29" s="90">
        <f t="shared" si="1"/>
        <v>0.80055884615384676</v>
      </c>
      <c r="Q29" s="6">
        <f>I29*Q2</f>
        <v>604106.69449999998</v>
      </c>
      <c r="R29" s="77" t="e">
        <f t="shared" si="3"/>
        <v>#DIV/0!</v>
      </c>
      <c r="S29" s="516" t="e">
        <f t="shared" si="4"/>
        <v>#DIV/0!</v>
      </c>
      <c r="T29" s="77">
        <f t="shared" si="5"/>
        <v>0</v>
      </c>
      <c r="U29" s="124">
        <f t="shared" si="6"/>
        <v>0</v>
      </c>
      <c r="V29" s="18">
        <f t="shared" si="7"/>
        <v>604106.69449999998</v>
      </c>
      <c r="W29" s="77" t="e">
        <f>SUM(V29/E29)/T2</f>
        <v>#DIV/0!</v>
      </c>
      <c r="X29">
        <f t="shared" si="9"/>
        <v>1584</v>
      </c>
      <c r="Y29" s="517">
        <v>106</v>
      </c>
      <c r="Z29" s="80" t="e">
        <f t="shared" si="8"/>
        <v>#DIV/0!</v>
      </c>
    </row>
    <row r="30" spans="1:26">
      <c r="A30" s="54">
        <f>Gen!B36</f>
        <v>44100</v>
      </c>
      <c r="B30" s="83">
        <v>0</v>
      </c>
      <c r="C30" s="88">
        <f>Gen!C36</f>
        <v>0</v>
      </c>
      <c r="D30" s="512">
        <f t="shared" si="2"/>
        <v>0</v>
      </c>
      <c r="E30" s="75"/>
      <c r="F30" s="71">
        <f>Gen!U36</f>
        <v>0</v>
      </c>
      <c r="G30" s="86">
        <f>Gen!T36</f>
        <v>0</v>
      </c>
      <c r="H30" s="86">
        <f>[1]Gen!AJ36</f>
        <v>396.56</v>
      </c>
      <c r="I30" s="86">
        <f t="shared" si="0"/>
        <v>396.56</v>
      </c>
      <c r="J30" s="86">
        <f>[1]Gen!AT36</f>
        <v>39251.170000000035</v>
      </c>
      <c r="K30" s="70">
        <f>'Water-Meter'!E31</f>
        <v>0</v>
      </c>
      <c r="L30" s="526">
        <f>'Lpg (2)'!G35</f>
        <v>0</v>
      </c>
      <c r="M30" s="89" t="e">
        <f>#REF!</f>
        <v>#REF!</v>
      </c>
      <c r="N30" s="89" t="e">
        <f>#REF!</f>
        <v>#REF!</v>
      </c>
      <c r="O30" s="89" t="e">
        <f>#REF!</f>
        <v>#REF!</v>
      </c>
      <c r="P30" s="90">
        <f t="shared" si="1"/>
        <v>0.75483019230769299</v>
      </c>
      <c r="Q30" s="6">
        <f>I30*Q2</f>
        <v>876338.11599999992</v>
      </c>
      <c r="R30" s="77" t="e">
        <f t="shared" si="3"/>
        <v>#DIV/0!</v>
      </c>
      <c r="S30" s="516" t="e">
        <f t="shared" si="4"/>
        <v>#DIV/0!</v>
      </c>
      <c r="T30" s="77">
        <f t="shared" si="5"/>
        <v>0</v>
      </c>
      <c r="U30" s="124">
        <f t="shared" si="6"/>
        <v>0</v>
      </c>
      <c r="V30" s="18">
        <f t="shared" si="7"/>
        <v>876338.11599999992</v>
      </c>
      <c r="W30" s="77" t="e">
        <f>SUM(V30/E30)/T2</f>
        <v>#DIV/0!</v>
      </c>
      <c r="X30">
        <f t="shared" si="9"/>
        <v>1584</v>
      </c>
      <c r="Y30" s="517">
        <v>106</v>
      </c>
      <c r="Z30" s="80" t="e">
        <f t="shared" si="8"/>
        <v>#DIV/0!</v>
      </c>
    </row>
    <row r="31" spans="1:26">
      <c r="A31" s="54">
        <f>Gen!B37</f>
        <v>44101</v>
      </c>
      <c r="B31" s="83">
        <v>0</v>
      </c>
      <c r="C31" s="88">
        <f>Gen!C37</f>
        <v>0</v>
      </c>
      <c r="D31" s="512">
        <f t="shared" si="2"/>
        <v>0</v>
      </c>
      <c r="E31" s="75"/>
      <c r="F31" s="71">
        <f>Gen!U37</f>
        <v>0</v>
      </c>
      <c r="G31" s="86">
        <f>Gen!T37</f>
        <v>0</v>
      </c>
      <c r="H31" s="86">
        <f>[1]Gen!AJ37</f>
        <v>280.63</v>
      </c>
      <c r="I31" s="86">
        <f t="shared" si="0"/>
        <v>280.63</v>
      </c>
      <c r="J31" s="86">
        <f>[1]Gen!AT37</f>
        <v>36384.370000000032</v>
      </c>
      <c r="K31" s="70">
        <f>'Water-Meter'!E32</f>
        <v>0</v>
      </c>
      <c r="L31" s="526">
        <f>'Lpg (2)'!G36</f>
        <v>0</v>
      </c>
      <c r="M31" s="89" t="e">
        <f>#REF!</f>
        <v>#REF!</v>
      </c>
      <c r="N31" s="89" t="e">
        <f>#REF!</f>
        <v>#REF!</v>
      </c>
      <c r="O31" s="89" t="e">
        <f>#REF!</f>
        <v>#REF!</v>
      </c>
      <c r="P31" s="90">
        <f t="shared" si="1"/>
        <v>0.69969942307692368</v>
      </c>
      <c r="Q31" s="6">
        <f>I31*Q2</f>
        <v>620150.20549999992</v>
      </c>
      <c r="R31" s="77" t="e">
        <f t="shared" si="3"/>
        <v>#DIV/0!</v>
      </c>
      <c r="S31" s="516" t="e">
        <f t="shared" si="4"/>
        <v>#DIV/0!</v>
      </c>
      <c r="T31" s="77">
        <f t="shared" si="5"/>
        <v>0</v>
      </c>
      <c r="U31" s="124">
        <f t="shared" si="6"/>
        <v>0</v>
      </c>
      <c r="V31" s="18">
        <f t="shared" si="7"/>
        <v>620150.20549999992</v>
      </c>
      <c r="W31" s="77" t="e">
        <f>SUM(V31/E31)/T2</f>
        <v>#DIV/0!</v>
      </c>
      <c r="X31">
        <f t="shared" si="9"/>
        <v>1584</v>
      </c>
      <c r="Y31" s="517">
        <v>106</v>
      </c>
      <c r="Z31" s="80" t="e">
        <f t="shared" si="8"/>
        <v>#DIV/0!</v>
      </c>
    </row>
    <row r="32" spans="1:26">
      <c r="A32" s="54">
        <f>Gen!B38</f>
        <v>44102</v>
      </c>
      <c r="B32" s="83">
        <v>0</v>
      </c>
      <c r="C32" s="88">
        <f>Gen!C38</f>
        <v>0</v>
      </c>
      <c r="D32" s="512">
        <f t="shared" si="2"/>
        <v>0</v>
      </c>
      <c r="E32" s="75"/>
      <c r="F32" s="71">
        <f>Gen!U38</f>
        <v>0</v>
      </c>
      <c r="G32" s="86">
        <f>Gen!T38</f>
        <v>0</v>
      </c>
      <c r="H32" s="86">
        <f>[1]Gen!AJ38</f>
        <v>0</v>
      </c>
      <c r="I32" s="86">
        <f t="shared" si="0"/>
        <v>0</v>
      </c>
      <c r="J32" s="86">
        <f>[1]Gen!AT38</f>
        <v>33780.000000000029</v>
      </c>
      <c r="K32" s="70">
        <f>'Water-Meter'!E33</f>
        <v>0</v>
      </c>
      <c r="L32" s="526">
        <f>'Lpg (2)'!G37</f>
        <v>0</v>
      </c>
      <c r="M32" s="89" t="e">
        <f>#REF!</f>
        <v>#REF!</v>
      </c>
      <c r="N32" s="89" t="e">
        <f>#REF!</f>
        <v>#REF!</v>
      </c>
      <c r="O32" s="89" t="e">
        <f>#REF!</f>
        <v>#REF!</v>
      </c>
      <c r="P32" s="90">
        <f t="shared" si="1"/>
        <v>0.64961538461538515</v>
      </c>
      <c r="Q32" s="6">
        <f>I32*Q2</f>
        <v>0</v>
      </c>
      <c r="R32" s="77" t="e">
        <f t="shared" si="3"/>
        <v>#DIV/0!</v>
      </c>
      <c r="S32" s="516" t="e">
        <f t="shared" si="4"/>
        <v>#DIV/0!</v>
      </c>
      <c r="T32" s="77">
        <f t="shared" si="5"/>
        <v>0</v>
      </c>
      <c r="U32" s="124">
        <f t="shared" si="6"/>
        <v>0</v>
      </c>
      <c r="V32" s="18">
        <f t="shared" si="7"/>
        <v>0</v>
      </c>
      <c r="W32" s="77" t="e">
        <f>SUM(V32/E32)/T2</f>
        <v>#DIV/0!</v>
      </c>
      <c r="X32">
        <f t="shared" si="9"/>
        <v>1584</v>
      </c>
      <c r="Y32" s="517">
        <v>106</v>
      </c>
      <c r="Z32" s="80" t="e">
        <f t="shared" si="8"/>
        <v>#DIV/0!</v>
      </c>
    </row>
    <row r="33" spans="1:26">
      <c r="A33" s="54">
        <f>Gen!B39</f>
        <v>44103</v>
      </c>
      <c r="B33" s="83">
        <v>0</v>
      </c>
      <c r="C33" s="88">
        <f>Gen!C39</f>
        <v>0</v>
      </c>
      <c r="D33" s="512">
        <f t="shared" si="2"/>
        <v>0</v>
      </c>
      <c r="E33" s="75"/>
      <c r="F33" s="71">
        <f>Gen!U39</f>
        <v>0</v>
      </c>
      <c r="G33" s="86">
        <f>Gen!T39</f>
        <v>0</v>
      </c>
      <c r="H33" s="86">
        <f>[1]Gen!AJ39</f>
        <v>0</v>
      </c>
      <c r="I33" s="86">
        <f t="shared" si="0"/>
        <v>0</v>
      </c>
      <c r="J33" s="86">
        <f>[1]Gen!AT39</f>
        <v>33780.000000000029</v>
      </c>
      <c r="K33" s="70">
        <f>'Water-Meter'!E34</f>
        <v>0</v>
      </c>
      <c r="L33" s="526">
        <f>'Lpg (2)'!G38</f>
        <v>0</v>
      </c>
      <c r="M33" s="89" t="e">
        <f>#REF!</f>
        <v>#REF!</v>
      </c>
      <c r="N33" s="89" t="e">
        <f>#REF!</f>
        <v>#REF!</v>
      </c>
      <c r="O33" s="89" t="e">
        <f>#REF!</f>
        <v>#REF!</v>
      </c>
      <c r="P33" s="90">
        <f t="shared" si="1"/>
        <v>0.64961538461538515</v>
      </c>
      <c r="Q33" s="6">
        <f>I33*Q2</f>
        <v>0</v>
      </c>
      <c r="R33" s="77" t="e">
        <f t="shared" si="3"/>
        <v>#DIV/0!</v>
      </c>
      <c r="S33" s="516" t="e">
        <f t="shared" si="4"/>
        <v>#DIV/0!</v>
      </c>
      <c r="T33" s="77">
        <f t="shared" si="5"/>
        <v>0</v>
      </c>
      <c r="U33" s="124">
        <f t="shared" si="6"/>
        <v>0</v>
      </c>
      <c r="V33" s="18">
        <f t="shared" si="7"/>
        <v>0</v>
      </c>
      <c r="W33" s="77" t="e">
        <f>SUM(V33/E33)/T2</f>
        <v>#DIV/0!</v>
      </c>
      <c r="X33">
        <f t="shared" si="9"/>
        <v>1584</v>
      </c>
      <c r="Y33" s="517">
        <v>106</v>
      </c>
      <c r="Z33" s="80" t="e">
        <f t="shared" si="8"/>
        <v>#DIV/0!</v>
      </c>
    </row>
    <row r="34" spans="1:26">
      <c r="A34" s="54">
        <f>Gen!B40</f>
        <v>44104</v>
      </c>
      <c r="B34" s="83">
        <v>0</v>
      </c>
      <c r="C34" s="88">
        <f>Gen!C40</f>
        <v>0</v>
      </c>
      <c r="D34" s="512">
        <f t="shared" si="2"/>
        <v>0</v>
      </c>
      <c r="E34" s="75"/>
      <c r="F34" s="71">
        <f>Gen!U40</f>
        <v>0</v>
      </c>
      <c r="G34" s="86">
        <f>Gen!T40</f>
        <v>0</v>
      </c>
      <c r="H34" s="86">
        <f>[1]Gen!AJ40</f>
        <v>0</v>
      </c>
      <c r="I34" s="86">
        <f t="shared" si="0"/>
        <v>0</v>
      </c>
      <c r="J34" s="86">
        <f>[1]Gen!AT40</f>
        <v>33780.000000000029</v>
      </c>
      <c r="K34" s="70">
        <f>'Water-Meter'!E35</f>
        <v>0</v>
      </c>
      <c r="L34" s="526">
        <f>'Lpg (2)'!G39</f>
        <v>0</v>
      </c>
      <c r="M34" s="89" t="e">
        <f>#REF!</f>
        <v>#REF!</v>
      </c>
      <c r="N34" s="89" t="e">
        <f>#REF!</f>
        <v>#REF!</v>
      </c>
      <c r="O34" s="89" t="e">
        <f>#REF!</f>
        <v>#REF!</v>
      </c>
      <c r="P34" s="90">
        <f t="shared" si="1"/>
        <v>0.64961538461538515</v>
      </c>
      <c r="Q34" s="6">
        <f>I34*Q2</f>
        <v>0</v>
      </c>
      <c r="R34" s="77" t="e">
        <f t="shared" si="3"/>
        <v>#DIV/0!</v>
      </c>
      <c r="S34" s="516" t="e">
        <f t="shared" si="4"/>
        <v>#DIV/0!</v>
      </c>
      <c r="T34" s="77">
        <f t="shared" si="5"/>
        <v>0</v>
      </c>
      <c r="U34" s="124">
        <f t="shared" si="6"/>
        <v>0</v>
      </c>
      <c r="V34" s="18">
        <f t="shared" si="7"/>
        <v>0</v>
      </c>
      <c r="W34" s="77" t="e">
        <f>SUM(V34/E34)/T2</f>
        <v>#DIV/0!</v>
      </c>
      <c r="X34">
        <f t="shared" si="9"/>
        <v>1584</v>
      </c>
      <c r="Y34" s="517">
        <v>106</v>
      </c>
      <c r="Z34" s="80" t="e">
        <f t="shared" si="8"/>
        <v>#DIV/0!</v>
      </c>
    </row>
    <row r="35" spans="1:26">
      <c r="A35" s="54">
        <f>Gen!B41</f>
        <v>0</v>
      </c>
      <c r="B35" s="83">
        <v>0</v>
      </c>
      <c r="C35" s="88">
        <f>Gen!C41</f>
        <v>0</v>
      </c>
      <c r="D35" s="512">
        <f t="shared" si="2"/>
        <v>0</v>
      </c>
      <c r="E35" s="75"/>
      <c r="F35" s="71">
        <f>Gen!U41</f>
        <v>0</v>
      </c>
      <c r="G35" s="86">
        <f>Gen!T41</f>
        <v>0</v>
      </c>
      <c r="H35" s="86">
        <f>[1]Gen!AJ41</f>
        <v>0</v>
      </c>
      <c r="I35" s="86">
        <f t="shared" si="0"/>
        <v>0</v>
      </c>
      <c r="J35" s="86">
        <f>[1]Gen!AT41</f>
        <v>33780.000000000029</v>
      </c>
      <c r="K35" s="70">
        <f>'Water-Meter'!E36</f>
        <v>0</v>
      </c>
      <c r="L35" s="526">
        <f>'Lpg (2)'!G40</f>
        <v>0</v>
      </c>
      <c r="M35" s="89" t="e">
        <f>#REF!</f>
        <v>#REF!</v>
      </c>
      <c r="N35" s="89" t="e">
        <f>#REF!</f>
        <v>#REF!</v>
      </c>
      <c r="O35" s="89" t="e">
        <f>#REF!</f>
        <v>#REF!</v>
      </c>
      <c r="P35" s="90">
        <f t="shared" si="1"/>
        <v>0.64961538461538515</v>
      </c>
      <c r="Q35" s="6">
        <f>I35*Q2</f>
        <v>0</v>
      </c>
      <c r="R35" s="77" t="e">
        <f t="shared" si="3"/>
        <v>#DIV/0!</v>
      </c>
      <c r="S35" s="516" t="e">
        <f t="shared" si="4"/>
        <v>#DIV/0!</v>
      </c>
      <c r="T35" s="77">
        <f t="shared" si="5"/>
        <v>0</v>
      </c>
      <c r="U35" s="124">
        <f t="shared" si="6"/>
        <v>0</v>
      </c>
      <c r="V35" s="18">
        <f t="shared" si="7"/>
        <v>0</v>
      </c>
      <c r="W35" s="77" t="e">
        <f>SUM(V35/E35)/T2</f>
        <v>#DIV/0!</v>
      </c>
      <c r="X35">
        <f t="shared" si="9"/>
        <v>1584</v>
      </c>
      <c r="Y35" s="517">
        <v>106</v>
      </c>
      <c r="Z35" s="80" t="e">
        <f t="shared" si="8"/>
        <v>#DIV/0!</v>
      </c>
    </row>
    <row r="36" spans="1:26" ht="13.5" thickBot="1">
      <c r="A36" s="55"/>
      <c r="B36" s="82"/>
      <c r="C36" s="72"/>
      <c r="D36" s="85"/>
      <c r="E36" s="8"/>
      <c r="F36" s="72"/>
      <c r="G36" s="87"/>
      <c r="H36" s="87"/>
      <c r="I36" s="87"/>
      <c r="J36" s="87"/>
      <c r="K36" s="70">
        <f>'Water-Meter'!E37</f>
        <v>0</v>
      </c>
      <c r="L36" s="69"/>
      <c r="M36" s="87"/>
      <c r="N36" s="87"/>
      <c r="O36" s="87"/>
      <c r="P36" s="87"/>
      <c r="Q36" s="6">
        <f>I36*2057.79</f>
        <v>0</v>
      </c>
      <c r="R36" s="76"/>
      <c r="S36" s="76"/>
      <c r="T36" s="123"/>
      <c r="U36" s="125"/>
      <c r="V36" s="18">
        <f t="shared" si="7"/>
        <v>0</v>
      </c>
      <c r="W36" s="123"/>
    </row>
    <row r="37" spans="1:26">
      <c r="K37" s="70">
        <f>'Water-Meter'!E38</f>
        <v>477</v>
      </c>
      <c r="S37" s="80" t="e">
        <f>SUM(S5:S16)/[1]Gen!A47</f>
        <v>#REF!</v>
      </c>
    </row>
    <row r="38" spans="1:26">
      <c r="B38" s="84" t="e">
        <f>SUM(B5:B37)/[1]Gen!A47</f>
        <v>#REF!</v>
      </c>
      <c r="M38">
        <f>0.5*2057.79</f>
        <v>1028.895</v>
      </c>
    </row>
    <row r="39" spans="1:26">
      <c r="B39" s="84" t="e">
        <f>SUM(B38*[1]Gen!A47)</f>
        <v>#REF!</v>
      </c>
      <c r="C39" s="84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80" t="e">
        <f>SUM(S37-Y35)</f>
        <v>#REF!</v>
      </c>
    </row>
    <row r="40" spans="1:26">
      <c r="P40">
        <f>P39/K5</f>
        <v>1940.4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8"/>
  <sheetViews>
    <sheetView topLeftCell="A7" workbookViewId="0">
      <selection activeCell="K21" sqref="K21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74" t="s">
        <v>180</v>
      </c>
      <c r="B1" s="875"/>
      <c r="C1" s="875"/>
      <c r="D1" s="875"/>
      <c r="E1" s="875"/>
      <c r="F1" s="875"/>
      <c r="G1" s="876"/>
    </row>
    <row r="2" spans="1:7" ht="13.5" thickBot="1">
      <c r="A2" s="354"/>
      <c r="B2" s="877" t="s">
        <v>175</v>
      </c>
      <c r="C2" s="878"/>
      <c r="D2" s="879"/>
      <c r="E2" s="877" t="s">
        <v>176</v>
      </c>
      <c r="F2" s="878"/>
      <c r="G2" s="879"/>
    </row>
    <row r="3" spans="1:7" ht="40.5" customHeight="1">
      <c r="A3" s="375" t="s">
        <v>7</v>
      </c>
      <c r="B3" s="376" t="s">
        <v>177</v>
      </c>
      <c r="C3" s="376" t="s">
        <v>178</v>
      </c>
      <c r="D3" s="376" t="s">
        <v>179</v>
      </c>
      <c r="E3" s="376" t="s">
        <v>177</v>
      </c>
      <c r="F3" s="376" t="s">
        <v>178</v>
      </c>
      <c r="G3" s="377" t="s">
        <v>179</v>
      </c>
    </row>
    <row r="4" spans="1:7">
      <c r="A4" s="287">
        <v>42736</v>
      </c>
      <c r="B4" s="568">
        <v>24085</v>
      </c>
      <c r="C4" s="289">
        <v>25775</v>
      </c>
      <c r="D4" s="378">
        <f t="shared" ref="D4:D47" si="0">C4-B4</f>
        <v>1690</v>
      </c>
      <c r="E4" s="379">
        <v>190896</v>
      </c>
      <c r="F4" s="321">
        <v>193152</v>
      </c>
      <c r="G4" s="311">
        <f t="shared" ref="G4:G47" si="1">F4-E4</f>
        <v>2256</v>
      </c>
    </row>
    <row r="5" spans="1:7">
      <c r="A5" s="287">
        <v>42767</v>
      </c>
      <c r="B5" s="568">
        <f t="shared" ref="B5:B48" si="2">C4</f>
        <v>25775</v>
      </c>
      <c r="C5" s="289">
        <v>27592</v>
      </c>
      <c r="D5" s="378">
        <f t="shared" si="0"/>
        <v>1817</v>
      </c>
      <c r="E5" s="379">
        <f t="shared" ref="E5:E50" si="3">F4</f>
        <v>193152</v>
      </c>
      <c r="F5" s="321">
        <v>195378</v>
      </c>
      <c r="G5" s="311">
        <f t="shared" si="1"/>
        <v>2226</v>
      </c>
    </row>
    <row r="6" spans="1:7">
      <c r="A6" s="287">
        <v>42795</v>
      </c>
      <c r="B6" s="568">
        <f t="shared" si="2"/>
        <v>27592</v>
      </c>
      <c r="C6" s="321">
        <v>29398</v>
      </c>
      <c r="D6" s="378">
        <f t="shared" si="0"/>
        <v>1806</v>
      </c>
      <c r="E6" s="379">
        <f t="shared" si="3"/>
        <v>195378</v>
      </c>
      <c r="F6" s="321">
        <v>197503</v>
      </c>
      <c r="G6" s="311">
        <f t="shared" si="1"/>
        <v>2125</v>
      </c>
    </row>
    <row r="7" spans="1:7">
      <c r="A7" s="287">
        <v>42826</v>
      </c>
      <c r="B7" s="568">
        <f t="shared" si="2"/>
        <v>29398</v>
      </c>
      <c r="C7" s="289">
        <v>31148</v>
      </c>
      <c r="D7" s="378">
        <f t="shared" si="0"/>
        <v>1750</v>
      </c>
      <c r="E7" s="379">
        <f t="shared" si="3"/>
        <v>197503</v>
      </c>
      <c r="F7" s="321">
        <v>199571</v>
      </c>
      <c r="G7" s="311">
        <f t="shared" si="1"/>
        <v>2068</v>
      </c>
    </row>
    <row r="8" spans="1:7">
      <c r="A8" s="287">
        <v>42856</v>
      </c>
      <c r="B8" s="568">
        <f t="shared" si="2"/>
        <v>31148</v>
      </c>
      <c r="C8" s="289">
        <v>32896</v>
      </c>
      <c r="D8" s="378">
        <f t="shared" si="0"/>
        <v>1748</v>
      </c>
      <c r="E8" s="379">
        <f t="shared" si="3"/>
        <v>199571</v>
      </c>
      <c r="F8" s="321">
        <v>201766</v>
      </c>
      <c r="G8" s="311">
        <f t="shared" si="1"/>
        <v>2195</v>
      </c>
    </row>
    <row r="9" spans="1:7">
      <c r="A9" s="287">
        <v>42887</v>
      </c>
      <c r="B9" s="568">
        <f t="shared" si="2"/>
        <v>32896</v>
      </c>
      <c r="C9" s="289">
        <v>34620</v>
      </c>
      <c r="D9" s="378">
        <f t="shared" si="0"/>
        <v>1724</v>
      </c>
      <c r="E9" s="379">
        <f t="shared" si="3"/>
        <v>201766</v>
      </c>
      <c r="F9" s="321">
        <v>203951</v>
      </c>
      <c r="G9" s="311">
        <f t="shared" si="1"/>
        <v>2185</v>
      </c>
    </row>
    <row r="10" spans="1:7">
      <c r="A10" s="287">
        <v>42917</v>
      </c>
      <c r="B10" s="568">
        <f t="shared" si="2"/>
        <v>34620</v>
      </c>
      <c r="C10" s="289">
        <v>36384</v>
      </c>
      <c r="D10" s="378">
        <f t="shared" si="0"/>
        <v>1764</v>
      </c>
      <c r="E10" s="379">
        <f t="shared" si="3"/>
        <v>203951</v>
      </c>
      <c r="F10" s="321">
        <v>206045</v>
      </c>
      <c r="G10" s="311">
        <f t="shared" si="1"/>
        <v>2094</v>
      </c>
    </row>
    <row r="11" spans="1:7">
      <c r="A11" s="287">
        <v>42948</v>
      </c>
      <c r="B11" s="568">
        <f t="shared" si="2"/>
        <v>36384</v>
      </c>
      <c r="C11" s="289">
        <v>38320</v>
      </c>
      <c r="D11" s="378">
        <f t="shared" si="0"/>
        <v>1936</v>
      </c>
      <c r="E11" s="379">
        <f t="shared" si="3"/>
        <v>206045</v>
      </c>
      <c r="F11" s="321">
        <v>208289</v>
      </c>
      <c r="G11" s="311">
        <f t="shared" si="1"/>
        <v>2244</v>
      </c>
    </row>
    <row r="12" spans="1:7">
      <c r="A12" s="287">
        <v>42979</v>
      </c>
      <c r="B12" s="568">
        <f t="shared" si="2"/>
        <v>38320</v>
      </c>
      <c r="C12" s="289">
        <v>40226</v>
      </c>
      <c r="D12" s="378">
        <f t="shared" si="0"/>
        <v>1906</v>
      </c>
      <c r="E12" s="379">
        <f t="shared" si="3"/>
        <v>208289</v>
      </c>
      <c r="F12" s="321">
        <v>210468</v>
      </c>
      <c r="G12" s="311">
        <f t="shared" si="1"/>
        <v>2179</v>
      </c>
    </row>
    <row r="13" spans="1:7">
      <c r="A13" s="287">
        <v>43009</v>
      </c>
      <c r="B13" s="568">
        <f t="shared" si="2"/>
        <v>40226</v>
      </c>
      <c r="C13" s="289">
        <v>41900</v>
      </c>
      <c r="D13" s="378">
        <f t="shared" si="0"/>
        <v>1674</v>
      </c>
      <c r="E13" s="379">
        <f t="shared" si="3"/>
        <v>210468</v>
      </c>
      <c r="F13" s="321">
        <v>212474</v>
      </c>
      <c r="G13" s="311">
        <f t="shared" si="1"/>
        <v>2006</v>
      </c>
    </row>
    <row r="14" spans="1:7">
      <c r="A14" s="287">
        <v>43040</v>
      </c>
      <c r="B14" s="568">
        <f t="shared" si="2"/>
        <v>41900</v>
      </c>
      <c r="C14" s="289">
        <v>43712</v>
      </c>
      <c r="D14" s="378">
        <f t="shared" si="0"/>
        <v>1812</v>
      </c>
      <c r="E14" s="379">
        <f t="shared" si="3"/>
        <v>212474</v>
      </c>
      <c r="F14" s="321">
        <v>214566</v>
      </c>
      <c r="G14" s="311">
        <f t="shared" si="1"/>
        <v>2092</v>
      </c>
    </row>
    <row r="15" spans="1:7">
      <c r="A15" s="287">
        <v>43070</v>
      </c>
      <c r="B15" s="568">
        <f t="shared" si="2"/>
        <v>43712</v>
      </c>
      <c r="C15" s="289">
        <v>46071</v>
      </c>
      <c r="D15" s="378">
        <f t="shared" si="0"/>
        <v>2359</v>
      </c>
      <c r="E15" s="379">
        <f t="shared" si="3"/>
        <v>214566</v>
      </c>
      <c r="F15" s="321">
        <v>216654</v>
      </c>
      <c r="G15" s="311">
        <f t="shared" si="1"/>
        <v>2088</v>
      </c>
    </row>
    <row r="16" spans="1:7">
      <c r="A16" s="287">
        <v>43101</v>
      </c>
      <c r="B16" s="568">
        <f t="shared" si="2"/>
        <v>46071</v>
      </c>
      <c r="C16" s="289">
        <v>48188</v>
      </c>
      <c r="D16" s="378">
        <f t="shared" si="0"/>
        <v>2117</v>
      </c>
      <c r="E16" s="379">
        <f t="shared" si="3"/>
        <v>216654</v>
      </c>
      <c r="F16" s="321">
        <v>218779</v>
      </c>
      <c r="G16" s="311">
        <f t="shared" si="1"/>
        <v>2125</v>
      </c>
    </row>
    <row r="17" spans="1:7">
      <c r="A17" s="287">
        <v>43132</v>
      </c>
      <c r="B17" s="568">
        <f t="shared" si="2"/>
        <v>48188</v>
      </c>
      <c r="C17" s="289">
        <v>50066</v>
      </c>
      <c r="D17" s="378">
        <f t="shared" si="0"/>
        <v>1878</v>
      </c>
      <c r="E17" s="379">
        <f t="shared" si="3"/>
        <v>218779</v>
      </c>
      <c r="F17" s="321">
        <v>220744</v>
      </c>
      <c r="G17" s="311">
        <f t="shared" si="1"/>
        <v>1965</v>
      </c>
    </row>
    <row r="18" spans="1:7">
      <c r="A18" s="287">
        <v>43160</v>
      </c>
      <c r="B18" s="568">
        <f t="shared" si="2"/>
        <v>50066</v>
      </c>
      <c r="C18" s="289">
        <v>51916</v>
      </c>
      <c r="D18" s="378">
        <f t="shared" si="0"/>
        <v>1850</v>
      </c>
      <c r="E18" s="379">
        <f t="shared" si="3"/>
        <v>220744</v>
      </c>
      <c r="F18" s="321">
        <v>222873</v>
      </c>
      <c r="G18" s="311">
        <f t="shared" si="1"/>
        <v>2129</v>
      </c>
    </row>
    <row r="19" spans="1:7">
      <c r="A19" s="287">
        <v>43191</v>
      </c>
      <c r="B19" s="568">
        <f t="shared" si="2"/>
        <v>51916</v>
      </c>
      <c r="C19" s="289">
        <v>53641</v>
      </c>
      <c r="D19" s="378">
        <f t="shared" si="0"/>
        <v>1725</v>
      </c>
      <c r="E19" s="379">
        <f t="shared" si="3"/>
        <v>222873</v>
      </c>
      <c r="F19" s="321">
        <v>224922</v>
      </c>
      <c r="G19" s="311">
        <f t="shared" si="1"/>
        <v>2049</v>
      </c>
    </row>
    <row r="20" spans="1:7">
      <c r="A20" s="287">
        <v>43221</v>
      </c>
      <c r="B20" s="568">
        <f t="shared" si="2"/>
        <v>53641</v>
      </c>
      <c r="C20" s="289">
        <v>55409</v>
      </c>
      <c r="D20" s="378">
        <f t="shared" si="0"/>
        <v>1768</v>
      </c>
      <c r="E20" s="379">
        <f t="shared" si="3"/>
        <v>224922</v>
      </c>
      <c r="F20" s="321">
        <v>227063</v>
      </c>
      <c r="G20" s="311">
        <f t="shared" si="1"/>
        <v>2141</v>
      </c>
    </row>
    <row r="21" spans="1:7">
      <c r="A21" s="287">
        <v>43252</v>
      </c>
      <c r="B21" s="568">
        <f t="shared" si="2"/>
        <v>55409</v>
      </c>
      <c r="C21" s="289">
        <v>57396</v>
      </c>
      <c r="D21" s="378">
        <f t="shared" si="0"/>
        <v>1987</v>
      </c>
      <c r="E21" s="379">
        <f t="shared" si="3"/>
        <v>227063</v>
      </c>
      <c r="F21" s="321">
        <v>229163</v>
      </c>
      <c r="G21" s="311">
        <f t="shared" si="1"/>
        <v>2100</v>
      </c>
    </row>
    <row r="22" spans="1:7">
      <c r="A22" s="287">
        <v>43282</v>
      </c>
      <c r="B22" s="568">
        <f t="shared" si="2"/>
        <v>57396</v>
      </c>
      <c r="C22" s="289">
        <v>59391</v>
      </c>
      <c r="D22" s="378">
        <f t="shared" si="0"/>
        <v>1995</v>
      </c>
      <c r="E22" s="379">
        <f t="shared" si="3"/>
        <v>229163</v>
      </c>
      <c r="F22" s="321">
        <v>231359</v>
      </c>
      <c r="G22" s="311">
        <f t="shared" si="1"/>
        <v>2196</v>
      </c>
    </row>
    <row r="23" spans="1:7">
      <c r="A23" s="287">
        <v>43313</v>
      </c>
      <c r="B23" s="568">
        <f t="shared" si="2"/>
        <v>59391</v>
      </c>
      <c r="C23" s="289">
        <v>61427</v>
      </c>
      <c r="D23" s="378">
        <f t="shared" si="0"/>
        <v>2036</v>
      </c>
      <c r="E23" s="379">
        <f t="shared" si="3"/>
        <v>231359</v>
      </c>
      <c r="F23" s="321">
        <v>233548</v>
      </c>
      <c r="G23" s="311">
        <f t="shared" si="1"/>
        <v>2189</v>
      </c>
    </row>
    <row r="24" spans="1:7">
      <c r="A24" s="287">
        <v>43344</v>
      </c>
      <c r="B24" s="568">
        <f t="shared" si="2"/>
        <v>61427</v>
      </c>
      <c r="C24" s="289">
        <v>63464</v>
      </c>
      <c r="D24" s="378">
        <f t="shared" si="0"/>
        <v>2037</v>
      </c>
      <c r="E24" s="379">
        <f t="shared" si="3"/>
        <v>233548</v>
      </c>
      <c r="F24" s="321">
        <v>235653</v>
      </c>
      <c r="G24" s="311">
        <f t="shared" si="1"/>
        <v>2105</v>
      </c>
    </row>
    <row r="25" spans="1:7">
      <c r="A25" s="287">
        <v>43374</v>
      </c>
      <c r="B25" s="568">
        <f t="shared" si="2"/>
        <v>63464</v>
      </c>
      <c r="C25" s="289">
        <v>65577</v>
      </c>
      <c r="D25" s="378">
        <f t="shared" si="0"/>
        <v>2113</v>
      </c>
      <c r="E25" s="379">
        <f t="shared" si="3"/>
        <v>235653</v>
      </c>
      <c r="F25" s="321">
        <v>237802</v>
      </c>
      <c r="G25" s="311">
        <f t="shared" si="1"/>
        <v>2149</v>
      </c>
    </row>
    <row r="26" spans="1:7">
      <c r="A26" s="287">
        <v>43405</v>
      </c>
      <c r="B26" s="568">
        <f t="shared" si="2"/>
        <v>65577</v>
      </c>
      <c r="C26" s="289">
        <v>67714</v>
      </c>
      <c r="D26" s="378">
        <f t="shared" si="0"/>
        <v>2137</v>
      </c>
      <c r="E26" s="379">
        <f t="shared" si="3"/>
        <v>237802</v>
      </c>
      <c r="F26" s="321">
        <v>239883</v>
      </c>
      <c r="G26" s="311">
        <f t="shared" si="1"/>
        <v>2081</v>
      </c>
    </row>
    <row r="27" spans="1:7">
      <c r="A27" s="287">
        <v>43435</v>
      </c>
      <c r="B27" s="568">
        <f t="shared" si="2"/>
        <v>67714</v>
      </c>
      <c r="C27" s="289">
        <v>69886</v>
      </c>
      <c r="D27" s="378">
        <f t="shared" si="0"/>
        <v>2172</v>
      </c>
      <c r="E27" s="379">
        <f t="shared" si="3"/>
        <v>239883</v>
      </c>
      <c r="F27" s="321">
        <v>242023</v>
      </c>
      <c r="G27" s="311">
        <f t="shared" si="1"/>
        <v>2140</v>
      </c>
    </row>
    <row r="28" spans="1:7">
      <c r="A28" s="287">
        <v>43466</v>
      </c>
      <c r="B28" s="568">
        <f t="shared" si="2"/>
        <v>69886</v>
      </c>
      <c r="C28" s="289">
        <v>72120</v>
      </c>
      <c r="D28" s="378">
        <f t="shared" si="0"/>
        <v>2234</v>
      </c>
      <c r="E28" s="379">
        <f t="shared" si="3"/>
        <v>242023</v>
      </c>
      <c r="F28" s="321">
        <v>244252</v>
      </c>
      <c r="G28" s="311">
        <f t="shared" si="1"/>
        <v>2229</v>
      </c>
    </row>
    <row r="29" spans="1:7">
      <c r="A29" s="287">
        <v>43497</v>
      </c>
      <c r="B29" s="568">
        <f t="shared" si="2"/>
        <v>72120</v>
      </c>
      <c r="C29" s="289">
        <v>74132</v>
      </c>
      <c r="D29" s="378">
        <f t="shared" si="0"/>
        <v>2012</v>
      </c>
      <c r="E29" s="379">
        <f t="shared" si="3"/>
        <v>244252</v>
      </c>
      <c r="F29" s="321">
        <v>246272</v>
      </c>
      <c r="G29" s="311">
        <f t="shared" si="1"/>
        <v>2020</v>
      </c>
    </row>
    <row r="30" spans="1:7">
      <c r="A30" s="287">
        <v>43525</v>
      </c>
      <c r="B30" s="568">
        <f t="shared" si="2"/>
        <v>74132</v>
      </c>
      <c r="C30" s="289">
        <v>76130</v>
      </c>
      <c r="D30" s="378">
        <f t="shared" si="0"/>
        <v>1998</v>
      </c>
      <c r="E30" s="379">
        <f t="shared" si="3"/>
        <v>246272</v>
      </c>
      <c r="F30" s="321">
        <v>248562</v>
      </c>
      <c r="G30" s="311">
        <f t="shared" si="1"/>
        <v>2290</v>
      </c>
    </row>
    <row r="31" spans="1:7">
      <c r="A31" s="287">
        <v>43556</v>
      </c>
      <c r="B31" s="568">
        <f t="shared" si="2"/>
        <v>76130</v>
      </c>
      <c r="C31" s="289">
        <v>77859</v>
      </c>
      <c r="D31" s="378">
        <f t="shared" si="0"/>
        <v>1729</v>
      </c>
      <c r="E31" s="379">
        <f t="shared" si="3"/>
        <v>248562</v>
      </c>
      <c r="F31" s="321">
        <v>250789</v>
      </c>
      <c r="G31" s="311">
        <f t="shared" si="1"/>
        <v>2227</v>
      </c>
    </row>
    <row r="32" spans="1:7">
      <c r="A32" s="287">
        <v>43586</v>
      </c>
      <c r="B32" s="568">
        <f t="shared" si="2"/>
        <v>77859</v>
      </c>
      <c r="C32" s="289">
        <v>79636</v>
      </c>
      <c r="D32" s="378">
        <f t="shared" si="0"/>
        <v>1777</v>
      </c>
      <c r="E32" s="379">
        <f t="shared" si="3"/>
        <v>250789</v>
      </c>
      <c r="F32" s="321">
        <v>252878</v>
      </c>
      <c r="G32" s="311">
        <f t="shared" si="1"/>
        <v>2089</v>
      </c>
    </row>
    <row r="33" spans="1:7">
      <c r="A33" s="287">
        <v>43617</v>
      </c>
      <c r="B33" s="568">
        <f t="shared" si="2"/>
        <v>79636</v>
      </c>
      <c r="C33" s="289">
        <v>81603</v>
      </c>
      <c r="D33" s="378">
        <f t="shared" si="0"/>
        <v>1967</v>
      </c>
      <c r="E33" s="379">
        <f t="shared" si="3"/>
        <v>252878</v>
      </c>
      <c r="F33" s="321">
        <v>254783</v>
      </c>
      <c r="G33" s="311">
        <f t="shared" si="1"/>
        <v>1905</v>
      </c>
    </row>
    <row r="34" spans="1:7">
      <c r="A34" s="287">
        <v>43647</v>
      </c>
      <c r="B34" s="568">
        <f t="shared" si="2"/>
        <v>81603</v>
      </c>
      <c r="C34" s="289">
        <v>83511</v>
      </c>
      <c r="D34" s="378">
        <f t="shared" si="0"/>
        <v>1908</v>
      </c>
      <c r="E34" s="379">
        <f t="shared" si="3"/>
        <v>254783</v>
      </c>
      <c r="F34" s="289">
        <v>257138</v>
      </c>
      <c r="G34" s="311">
        <f t="shared" si="1"/>
        <v>2355</v>
      </c>
    </row>
    <row r="35" spans="1:7">
      <c r="A35" s="287">
        <v>43678</v>
      </c>
      <c r="B35" s="568">
        <f t="shared" si="2"/>
        <v>83511</v>
      </c>
      <c r="C35" s="289">
        <v>85418</v>
      </c>
      <c r="D35" s="378">
        <f t="shared" si="0"/>
        <v>1907</v>
      </c>
      <c r="E35" s="379">
        <f t="shared" si="3"/>
        <v>257138</v>
      </c>
      <c r="F35" s="289">
        <v>259453</v>
      </c>
      <c r="G35" s="311">
        <f t="shared" si="1"/>
        <v>2315</v>
      </c>
    </row>
    <row r="36" spans="1:7">
      <c r="A36" s="287">
        <v>43709</v>
      </c>
      <c r="B36" s="568">
        <f t="shared" si="2"/>
        <v>85418</v>
      </c>
      <c r="C36" s="289">
        <v>87262</v>
      </c>
      <c r="D36" s="378">
        <f t="shared" si="0"/>
        <v>1844</v>
      </c>
      <c r="E36" s="379">
        <f t="shared" si="3"/>
        <v>259453</v>
      </c>
      <c r="F36" s="289">
        <v>261652</v>
      </c>
      <c r="G36" s="311">
        <f t="shared" si="1"/>
        <v>2199</v>
      </c>
    </row>
    <row r="37" spans="1:7">
      <c r="A37" s="287">
        <v>43739</v>
      </c>
      <c r="B37" s="568">
        <f t="shared" si="2"/>
        <v>87262</v>
      </c>
      <c r="C37" s="289">
        <v>89489</v>
      </c>
      <c r="D37" s="378">
        <f t="shared" si="0"/>
        <v>2227</v>
      </c>
      <c r="E37" s="379">
        <f t="shared" si="3"/>
        <v>261652</v>
      </c>
      <c r="F37" s="289">
        <v>263905</v>
      </c>
      <c r="G37" s="311">
        <f t="shared" si="1"/>
        <v>2253</v>
      </c>
    </row>
    <row r="38" spans="1:7">
      <c r="A38" s="287">
        <v>43770</v>
      </c>
      <c r="B38" s="568">
        <f t="shared" si="2"/>
        <v>89489</v>
      </c>
      <c r="C38" s="289">
        <v>91615</v>
      </c>
      <c r="D38" s="378">
        <f t="shared" si="0"/>
        <v>2126</v>
      </c>
      <c r="E38" s="379">
        <f t="shared" si="3"/>
        <v>263905</v>
      </c>
      <c r="F38" s="289">
        <v>265969</v>
      </c>
      <c r="G38" s="311">
        <f t="shared" si="1"/>
        <v>2064</v>
      </c>
    </row>
    <row r="39" spans="1:7">
      <c r="A39" s="287">
        <v>43800</v>
      </c>
      <c r="B39" s="568">
        <f t="shared" si="2"/>
        <v>91615</v>
      </c>
      <c r="C39" s="289">
        <v>93828</v>
      </c>
      <c r="D39" s="378">
        <f t="shared" si="0"/>
        <v>2213</v>
      </c>
      <c r="E39" s="379">
        <f t="shared" si="3"/>
        <v>265969</v>
      </c>
      <c r="F39" s="289">
        <v>268212</v>
      </c>
      <c r="G39" s="311">
        <f t="shared" si="1"/>
        <v>2243</v>
      </c>
    </row>
    <row r="40" spans="1:7">
      <c r="A40" s="287">
        <v>43831</v>
      </c>
      <c r="B40" s="568">
        <f t="shared" si="2"/>
        <v>93828</v>
      </c>
      <c r="C40" s="289">
        <v>95998</v>
      </c>
      <c r="D40" s="378">
        <f t="shared" si="0"/>
        <v>2170</v>
      </c>
      <c r="E40" s="379">
        <f t="shared" si="3"/>
        <v>268212</v>
      </c>
      <c r="F40" s="289">
        <v>270443</v>
      </c>
      <c r="G40" s="311">
        <f t="shared" si="1"/>
        <v>2231</v>
      </c>
    </row>
    <row r="41" spans="1:7">
      <c r="A41" s="287">
        <v>43862</v>
      </c>
      <c r="B41" s="568">
        <f t="shared" si="2"/>
        <v>95998</v>
      </c>
      <c r="C41" s="289">
        <v>98070</v>
      </c>
      <c r="D41" s="378">
        <f t="shared" si="0"/>
        <v>2072</v>
      </c>
      <c r="E41" s="379">
        <f t="shared" si="3"/>
        <v>270443</v>
      </c>
      <c r="F41" s="289">
        <v>272554</v>
      </c>
      <c r="G41" s="311">
        <f t="shared" si="1"/>
        <v>2111</v>
      </c>
    </row>
    <row r="42" spans="1:7">
      <c r="A42" s="287">
        <v>43891</v>
      </c>
      <c r="B42" s="568">
        <f t="shared" si="2"/>
        <v>98070</v>
      </c>
      <c r="C42" s="289">
        <v>100381</v>
      </c>
      <c r="D42" s="378">
        <f t="shared" si="0"/>
        <v>2311</v>
      </c>
      <c r="E42" s="379">
        <f t="shared" si="3"/>
        <v>272554</v>
      </c>
      <c r="F42" s="289">
        <v>274788</v>
      </c>
      <c r="G42" s="311">
        <f t="shared" si="1"/>
        <v>2234</v>
      </c>
    </row>
    <row r="43" spans="1:7">
      <c r="A43" s="287">
        <v>43922</v>
      </c>
      <c r="B43" s="568">
        <f t="shared" si="2"/>
        <v>100381</v>
      </c>
      <c r="C43" s="289">
        <v>102607</v>
      </c>
      <c r="D43" s="378">
        <f t="shared" si="0"/>
        <v>2226</v>
      </c>
      <c r="E43" s="379">
        <f t="shared" si="3"/>
        <v>274788</v>
      </c>
      <c r="F43" s="289">
        <v>276874</v>
      </c>
      <c r="G43" s="311">
        <f t="shared" si="1"/>
        <v>2086</v>
      </c>
    </row>
    <row r="44" spans="1:7">
      <c r="A44" s="287">
        <v>43952</v>
      </c>
      <c r="B44" s="568">
        <f t="shared" si="2"/>
        <v>102607</v>
      </c>
      <c r="C44" s="289">
        <v>104898</v>
      </c>
      <c r="D44" s="378">
        <f t="shared" si="0"/>
        <v>2291</v>
      </c>
      <c r="E44" s="379">
        <f t="shared" si="3"/>
        <v>276874</v>
      </c>
      <c r="F44" s="289">
        <v>279093</v>
      </c>
      <c r="G44" s="311">
        <f t="shared" si="1"/>
        <v>2219</v>
      </c>
    </row>
    <row r="45" spans="1:7">
      <c r="A45" s="287">
        <v>43983</v>
      </c>
      <c r="B45" s="568">
        <f t="shared" si="2"/>
        <v>104898</v>
      </c>
      <c r="C45" s="289"/>
      <c r="D45" s="378">
        <f t="shared" si="0"/>
        <v>-104898</v>
      </c>
      <c r="E45" s="379">
        <f t="shared" si="3"/>
        <v>279093</v>
      </c>
      <c r="F45" s="289"/>
      <c r="G45" s="311">
        <f t="shared" si="1"/>
        <v>-279093</v>
      </c>
    </row>
    <row r="46" spans="1:7">
      <c r="A46" s="287">
        <v>44013</v>
      </c>
      <c r="B46" s="568">
        <f t="shared" si="2"/>
        <v>0</v>
      </c>
      <c r="C46" s="289"/>
      <c r="D46" s="378">
        <f t="shared" si="0"/>
        <v>0</v>
      </c>
      <c r="E46" s="379">
        <f t="shared" si="3"/>
        <v>0</v>
      </c>
      <c r="F46" s="289"/>
      <c r="G46" s="311">
        <f t="shared" si="1"/>
        <v>0</v>
      </c>
    </row>
    <row r="47" spans="1:7">
      <c r="A47" s="287">
        <v>44044</v>
      </c>
      <c r="B47" s="568">
        <f t="shared" si="2"/>
        <v>0</v>
      </c>
      <c r="C47" s="289"/>
      <c r="D47" s="378">
        <f t="shared" si="0"/>
        <v>0</v>
      </c>
      <c r="E47" s="379">
        <f t="shared" si="3"/>
        <v>0</v>
      </c>
      <c r="F47" s="289"/>
      <c r="G47" s="311">
        <f t="shared" si="1"/>
        <v>0</v>
      </c>
    </row>
    <row r="48" spans="1:7">
      <c r="A48" s="287">
        <v>44075</v>
      </c>
      <c r="B48" s="568">
        <f t="shared" si="2"/>
        <v>0</v>
      </c>
      <c r="C48" s="289"/>
      <c r="D48" s="378">
        <f t="shared" ref="D48:D78" si="4">C48-B48</f>
        <v>0</v>
      </c>
      <c r="E48" s="379">
        <f t="shared" si="3"/>
        <v>0</v>
      </c>
      <c r="F48" s="289"/>
      <c r="G48" s="311">
        <f t="shared" ref="G48:G78" si="5">F48-E48</f>
        <v>0</v>
      </c>
    </row>
    <row r="49" spans="1:7">
      <c r="A49" s="287">
        <v>44105</v>
      </c>
      <c r="B49" s="568">
        <f t="shared" ref="B49:B78" si="6">C48</f>
        <v>0</v>
      </c>
      <c r="C49" s="289"/>
      <c r="D49" s="378">
        <f t="shared" si="4"/>
        <v>0</v>
      </c>
      <c r="E49" s="379">
        <f t="shared" si="3"/>
        <v>0</v>
      </c>
      <c r="F49" s="289"/>
      <c r="G49" s="311">
        <f t="shared" si="5"/>
        <v>0</v>
      </c>
    </row>
    <row r="50" spans="1:7">
      <c r="A50" s="287">
        <v>44136</v>
      </c>
      <c r="B50" s="568">
        <f t="shared" si="6"/>
        <v>0</v>
      </c>
      <c r="C50" s="289"/>
      <c r="D50" s="378">
        <f t="shared" si="4"/>
        <v>0</v>
      </c>
      <c r="E50" s="379">
        <f t="shared" si="3"/>
        <v>0</v>
      </c>
      <c r="F50" s="289"/>
      <c r="G50" s="311">
        <f t="shared" si="5"/>
        <v>0</v>
      </c>
    </row>
    <row r="51" spans="1:7">
      <c r="A51" s="287">
        <v>44166</v>
      </c>
      <c r="B51" s="568">
        <f t="shared" si="6"/>
        <v>0</v>
      </c>
      <c r="C51" s="289"/>
      <c r="D51" s="378">
        <f t="shared" si="4"/>
        <v>0</v>
      </c>
      <c r="E51" s="379">
        <f t="shared" ref="E51:E78" si="7">F50</f>
        <v>0</v>
      </c>
      <c r="F51" s="289"/>
      <c r="G51" s="311">
        <f t="shared" si="5"/>
        <v>0</v>
      </c>
    </row>
    <row r="52" spans="1:7">
      <c r="A52" s="287">
        <v>44197</v>
      </c>
      <c r="B52" s="568">
        <f t="shared" si="6"/>
        <v>0</v>
      </c>
      <c r="C52" s="289"/>
      <c r="D52" s="378">
        <f t="shared" si="4"/>
        <v>0</v>
      </c>
      <c r="E52" s="379">
        <f t="shared" si="7"/>
        <v>0</v>
      </c>
      <c r="F52" s="289"/>
      <c r="G52" s="311">
        <f t="shared" si="5"/>
        <v>0</v>
      </c>
    </row>
    <row r="53" spans="1:7">
      <c r="A53" s="287">
        <v>44228</v>
      </c>
      <c r="B53" s="568">
        <f t="shared" si="6"/>
        <v>0</v>
      </c>
      <c r="C53" s="289"/>
      <c r="D53" s="378">
        <f t="shared" si="4"/>
        <v>0</v>
      </c>
      <c r="E53" s="379">
        <f t="shared" si="7"/>
        <v>0</v>
      </c>
      <c r="F53" s="289"/>
      <c r="G53" s="311">
        <f t="shared" si="5"/>
        <v>0</v>
      </c>
    </row>
    <row r="54" spans="1:7">
      <c r="A54" s="287">
        <v>44256</v>
      </c>
      <c r="B54" s="568">
        <f t="shared" si="6"/>
        <v>0</v>
      </c>
      <c r="C54" s="289"/>
      <c r="D54" s="378">
        <f t="shared" si="4"/>
        <v>0</v>
      </c>
      <c r="E54" s="379">
        <f t="shared" si="7"/>
        <v>0</v>
      </c>
      <c r="F54" s="289"/>
      <c r="G54" s="311">
        <f t="shared" si="5"/>
        <v>0</v>
      </c>
    </row>
    <row r="55" spans="1:7">
      <c r="A55" s="287">
        <v>44287</v>
      </c>
      <c r="B55" s="568">
        <f t="shared" si="6"/>
        <v>0</v>
      </c>
      <c r="C55" s="289"/>
      <c r="D55" s="378">
        <f t="shared" si="4"/>
        <v>0</v>
      </c>
      <c r="E55" s="379">
        <f t="shared" si="7"/>
        <v>0</v>
      </c>
      <c r="F55" s="289"/>
      <c r="G55" s="311">
        <f t="shared" si="5"/>
        <v>0</v>
      </c>
    </row>
    <row r="56" spans="1:7">
      <c r="A56" s="287">
        <v>44317</v>
      </c>
      <c r="B56" s="568">
        <f t="shared" si="6"/>
        <v>0</v>
      </c>
      <c r="C56" s="289"/>
      <c r="D56" s="378">
        <f t="shared" si="4"/>
        <v>0</v>
      </c>
      <c r="E56" s="379">
        <f t="shared" si="7"/>
        <v>0</v>
      </c>
      <c r="F56" s="289"/>
      <c r="G56" s="311">
        <f t="shared" si="5"/>
        <v>0</v>
      </c>
    </row>
    <row r="57" spans="1:7">
      <c r="A57" s="287">
        <v>44348</v>
      </c>
      <c r="B57" s="568">
        <f t="shared" si="6"/>
        <v>0</v>
      </c>
      <c r="C57" s="289"/>
      <c r="D57" s="378">
        <f t="shared" si="4"/>
        <v>0</v>
      </c>
      <c r="E57" s="379">
        <f t="shared" si="7"/>
        <v>0</v>
      </c>
      <c r="F57" s="289"/>
      <c r="G57" s="311">
        <f t="shared" si="5"/>
        <v>0</v>
      </c>
    </row>
    <row r="58" spans="1:7">
      <c r="A58" s="287">
        <v>44378</v>
      </c>
      <c r="B58" s="568">
        <f t="shared" si="6"/>
        <v>0</v>
      </c>
      <c r="C58" s="289"/>
      <c r="D58" s="378">
        <f t="shared" si="4"/>
        <v>0</v>
      </c>
      <c r="E58" s="379">
        <f t="shared" si="7"/>
        <v>0</v>
      </c>
      <c r="F58" s="289"/>
      <c r="G58" s="311">
        <f t="shared" si="5"/>
        <v>0</v>
      </c>
    </row>
    <row r="59" spans="1:7">
      <c r="A59" s="287">
        <v>44409</v>
      </c>
      <c r="B59" s="568">
        <f t="shared" si="6"/>
        <v>0</v>
      </c>
      <c r="C59" s="289"/>
      <c r="D59" s="378">
        <f t="shared" si="4"/>
        <v>0</v>
      </c>
      <c r="E59" s="379">
        <f t="shared" si="7"/>
        <v>0</v>
      </c>
      <c r="F59" s="289"/>
      <c r="G59" s="311">
        <f t="shared" si="5"/>
        <v>0</v>
      </c>
    </row>
    <row r="60" spans="1:7">
      <c r="A60" s="287">
        <v>44440</v>
      </c>
      <c r="B60" s="568">
        <f t="shared" si="6"/>
        <v>0</v>
      </c>
      <c r="C60" s="289"/>
      <c r="D60" s="378">
        <f t="shared" si="4"/>
        <v>0</v>
      </c>
      <c r="E60" s="379">
        <f t="shared" si="7"/>
        <v>0</v>
      </c>
      <c r="F60" s="289"/>
      <c r="G60" s="311">
        <f t="shared" si="5"/>
        <v>0</v>
      </c>
    </row>
    <row r="61" spans="1:7">
      <c r="A61" s="287">
        <v>44470</v>
      </c>
      <c r="B61" s="568">
        <f t="shared" si="6"/>
        <v>0</v>
      </c>
      <c r="C61" s="289"/>
      <c r="D61" s="378">
        <f t="shared" si="4"/>
        <v>0</v>
      </c>
      <c r="E61" s="379">
        <f t="shared" si="7"/>
        <v>0</v>
      </c>
      <c r="F61" s="6"/>
      <c r="G61" s="311">
        <f t="shared" si="5"/>
        <v>0</v>
      </c>
    </row>
    <row r="62" spans="1:7">
      <c r="A62" s="287">
        <v>44501</v>
      </c>
      <c r="B62" s="568">
        <f t="shared" si="6"/>
        <v>0</v>
      </c>
      <c r="C62" s="289"/>
      <c r="D62" s="378">
        <f t="shared" si="4"/>
        <v>0</v>
      </c>
      <c r="E62" s="379">
        <f t="shared" si="7"/>
        <v>0</v>
      </c>
      <c r="F62" s="6"/>
      <c r="G62" s="311">
        <f t="shared" si="5"/>
        <v>0</v>
      </c>
    </row>
    <row r="63" spans="1:7">
      <c r="A63" s="287">
        <v>44531</v>
      </c>
      <c r="B63" s="568">
        <f t="shared" si="6"/>
        <v>0</v>
      </c>
      <c r="C63" s="289"/>
      <c r="D63" s="378">
        <f t="shared" si="4"/>
        <v>0</v>
      </c>
      <c r="E63" s="379">
        <f t="shared" si="7"/>
        <v>0</v>
      </c>
      <c r="F63" s="6"/>
      <c r="G63" s="311">
        <f t="shared" si="5"/>
        <v>0</v>
      </c>
    </row>
    <row r="64" spans="1:7">
      <c r="A64" s="287">
        <v>44562</v>
      </c>
      <c r="B64" s="568">
        <f t="shared" si="6"/>
        <v>0</v>
      </c>
      <c r="C64" s="289"/>
      <c r="D64" s="378">
        <f t="shared" si="4"/>
        <v>0</v>
      </c>
      <c r="E64" s="379">
        <f t="shared" si="7"/>
        <v>0</v>
      </c>
      <c r="F64" s="6"/>
      <c r="G64" s="311">
        <f t="shared" si="5"/>
        <v>0</v>
      </c>
    </row>
    <row r="65" spans="1:7">
      <c r="A65" s="287">
        <v>44593</v>
      </c>
      <c r="B65" s="568">
        <f t="shared" si="6"/>
        <v>0</v>
      </c>
      <c r="C65" s="6"/>
      <c r="D65" s="378">
        <f t="shared" si="4"/>
        <v>0</v>
      </c>
      <c r="E65" s="379">
        <f t="shared" si="7"/>
        <v>0</v>
      </c>
      <c r="F65" s="6"/>
      <c r="G65" s="311">
        <f t="shared" si="5"/>
        <v>0</v>
      </c>
    </row>
    <row r="66" spans="1:7">
      <c r="A66" s="287">
        <v>44621</v>
      </c>
      <c r="B66" s="568">
        <f t="shared" si="6"/>
        <v>0</v>
      </c>
      <c r="C66" s="6"/>
      <c r="D66" s="378">
        <f t="shared" si="4"/>
        <v>0</v>
      </c>
      <c r="E66" s="379">
        <f t="shared" si="7"/>
        <v>0</v>
      </c>
      <c r="F66" s="6"/>
      <c r="G66" s="311">
        <f t="shared" si="5"/>
        <v>0</v>
      </c>
    </row>
    <row r="67" spans="1:7">
      <c r="A67" s="287">
        <v>44652</v>
      </c>
      <c r="B67" s="568">
        <f t="shared" si="6"/>
        <v>0</v>
      </c>
      <c r="C67" s="6"/>
      <c r="D67" s="378">
        <f t="shared" si="4"/>
        <v>0</v>
      </c>
      <c r="E67" s="379">
        <f t="shared" si="7"/>
        <v>0</v>
      </c>
      <c r="F67" s="6"/>
      <c r="G67" s="311">
        <f t="shared" si="5"/>
        <v>0</v>
      </c>
    </row>
    <row r="68" spans="1:7">
      <c r="A68" s="287">
        <v>44682</v>
      </c>
      <c r="B68" s="568">
        <f t="shared" si="6"/>
        <v>0</v>
      </c>
      <c r="C68" s="6"/>
      <c r="D68" s="378">
        <f t="shared" si="4"/>
        <v>0</v>
      </c>
      <c r="E68" s="379">
        <f t="shared" si="7"/>
        <v>0</v>
      </c>
      <c r="F68" s="6"/>
      <c r="G68" s="311">
        <f t="shared" si="5"/>
        <v>0</v>
      </c>
    </row>
    <row r="69" spans="1:7">
      <c r="A69" s="287">
        <v>44713</v>
      </c>
      <c r="B69" s="568">
        <f t="shared" si="6"/>
        <v>0</v>
      </c>
      <c r="C69" s="6"/>
      <c r="D69" s="378">
        <f t="shared" si="4"/>
        <v>0</v>
      </c>
      <c r="E69" s="379">
        <f t="shared" si="7"/>
        <v>0</v>
      </c>
      <c r="F69" s="6"/>
      <c r="G69" s="311">
        <f t="shared" si="5"/>
        <v>0</v>
      </c>
    </row>
    <row r="70" spans="1:7">
      <c r="A70" s="287">
        <v>44743</v>
      </c>
      <c r="B70" s="568">
        <f t="shared" si="6"/>
        <v>0</v>
      </c>
      <c r="C70" s="6"/>
      <c r="D70" s="378">
        <f t="shared" si="4"/>
        <v>0</v>
      </c>
      <c r="E70" s="379">
        <f t="shared" si="7"/>
        <v>0</v>
      </c>
      <c r="F70" s="6"/>
      <c r="G70" s="311">
        <f t="shared" si="5"/>
        <v>0</v>
      </c>
    </row>
    <row r="71" spans="1:7">
      <c r="A71" s="287">
        <v>44774</v>
      </c>
      <c r="B71" s="568">
        <f t="shared" si="6"/>
        <v>0</v>
      </c>
      <c r="C71" s="6"/>
      <c r="D71" s="378">
        <f t="shared" si="4"/>
        <v>0</v>
      </c>
      <c r="E71" s="379">
        <f t="shared" si="7"/>
        <v>0</v>
      </c>
      <c r="F71" s="6"/>
      <c r="G71" s="311">
        <f t="shared" si="5"/>
        <v>0</v>
      </c>
    </row>
    <row r="72" spans="1:7">
      <c r="A72" s="287">
        <v>44805</v>
      </c>
      <c r="B72" s="568">
        <f t="shared" si="6"/>
        <v>0</v>
      </c>
      <c r="C72" s="6"/>
      <c r="D72" s="378">
        <f t="shared" si="4"/>
        <v>0</v>
      </c>
      <c r="E72" s="379">
        <f t="shared" si="7"/>
        <v>0</v>
      </c>
      <c r="F72" s="6"/>
      <c r="G72" s="311">
        <f t="shared" si="5"/>
        <v>0</v>
      </c>
    </row>
    <row r="73" spans="1:7">
      <c r="A73" s="287">
        <v>44835</v>
      </c>
      <c r="B73" s="568">
        <f t="shared" si="6"/>
        <v>0</v>
      </c>
      <c r="C73" s="6"/>
      <c r="D73" s="378">
        <f t="shared" si="4"/>
        <v>0</v>
      </c>
      <c r="E73" s="379">
        <f t="shared" si="7"/>
        <v>0</v>
      </c>
      <c r="F73" s="6"/>
      <c r="G73" s="311">
        <f t="shared" si="5"/>
        <v>0</v>
      </c>
    </row>
    <row r="74" spans="1:7">
      <c r="A74" s="287">
        <v>44866</v>
      </c>
      <c r="B74" s="568">
        <f t="shared" si="6"/>
        <v>0</v>
      </c>
      <c r="C74" s="6"/>
      <c r="D74" s="378">
        <f t="shared" si="4"/>
        <v>0</v>
      </c>
      <c r="E74" s="379">
        <f t="shared" si="7"/>
        <v>0</v>
      </c>
      <c r="F74" s="6"/>
      <c r="G74" s="311">
        <f t="shared" si="5"/>
        <v>0</v>
      </c>
    </row>
    <row r="75" spans="1:7">
      <c r="A75" s="287">
        <v>44896</v>
      </c>
      <c r="B75" s="568">
        <f t="shared" si="6"/>
        <v>0</v>
      </c>
      <c r="C75" s="6"/>
      <c r="D75" s="378">
        <f t="shared" si="4"/>
        <v>0</v>
      </c>
      <c r="E75" s="379">
        <f t="shared" si="7"/>
        <v>0</v>
      </c>
      <c r="F75" s="6"/>
      <c r="G75" s="311">
        <f t="shared" si="5"/>
        <v>0</v>
      </c>
    </row>
    <row r="76" spans="1:7">
      <c r="A76" s="287">
        <v>44927</v>
      </c>
      <c r="B76" s="568">
        <f t="shared" si="6"/>
        <v>0</v>
      </c>
      <c r="C76" s="6"/>
      <c r="D76" s="378">
        <f t="shared" si="4"/>
        <v>0</v>
      </c>
      <c r="E76" s="379">
        <f t="shared" si="7"/>
        <v>0</v>
      </c>
      <c r="F76" s="6"/>
      <c r="G76" s="311">
        <f t="shared" si="5"/>
        <v>0</v>
      </c>
    </row>
    <row r="77" spans="1:7">
      <c r="A77" s="287">
        <v>44958</v>
      </c>
      <c r="B77" s="568">
        <f t="shared" si="6"/>
        <v>0</v>
      </c>
      <c r="C77" s="6"/>
      <c r="D77" s="378">
        <f t="shared" si="4"/>
        <v>0</v>
      </c>
      <c r="E77" s="379">
        <f t="shared" si="7"/>
        <v>0</v>
      </c>
      <c r="F77" s="6"/>
      <c r="G77" s="311">
        <f t="shared" si="5"/>
        <v>0</v>
      </c>
    </row>
    <row r="78" spans="1:7" ht="13.5" thickBot="1">
      <c r="A78" s="287">
        <v>44986</v>
      </c>
      <c r="B78" s="569">
        <f t="shared" si="6"/>
        <v>0</v>
      </c>
      <c r="C78" s="8"/>
      <c r="D78" s="570">
        <f t="shared" si="4"/>
        <v>0</v>
      </c>
      <c r="E78" s="571">
        <f t="shared" si="7"/>
        <v>0</v>
      </c>
      <c r="F78" s="8"/>
      <c r="G78" s="356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6"/>
  <sheetViews>
    <sheetView topLeftCell="A13" workbookViewId="0">
      <selection activeCell="C49" sqref="C49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74" t="s">
        <v>230</v>
      </c>
      <c r="B1" s="875"/>
      <c r="C1" s="875"/>
      <c r="D1" s="875"/>
      <c r="G1" s="325"/>
      <c r="H1" s="326" t="s">
        <v>231</v>
      </c>
      <c r="I1" s="326"/>
      <c r="J1" s="325"/>
      <c r="K1" s="325"/>
    </row>
    <row r="2" spans="1:12" ht="39" thickBot="1">
      <c r="A2" s="572" t="s">
        <v>7</v>
      </c>
      <c r="B2" s="573" t="s">
        <v>177</v>
      </c>
      <c r="C2" s="573" t="s">
        <v>178</v>
      </c>
      <c r="D2" s="574" t="s">
        <v>194</v>
      </c>
      <c r="E2" s="574" t="s">
        <v>236</v>
      </c>
      <c r="F2" s="575" t="s">
        <v>214</v>
      </c>
      <c r="G2" s="576" t="s">
        <v>232</v>
      </c>
      <c r="H2" s="577" t="s">
        <v>233</v>
      </c>
      <c r="I2" s="578" t="s">
        <v>234</v>
      </c>
      <c r="J2" s="577" t="s">
        <v>235</v>
      </c>
      <c r="K2" s="577" t="s">
        <v>214</v>
      </c>
      <c r="L2" s="579" t="s">
        <v>195</v>
      </c>
    </row>
    <row r="3" spans="1:12">
      <c r="A3" s="287">
        <v>42736</v>
      </c>
      <c r="B3" s="370">
        <v>5670348</v>
      </c>
      <c r="C3" s="289">
        <v>5735627</v>
      </c>
      <c r="D3" s="457">
        <f t="shared" ref="D3:D66" si="0">C3-B3</f>
        <v>65279</v>
      </c>
      <c r="E3" s="289">
        <v>65276.07</v>
      </c>
      <c r="F3" s="580">
        <f t="shared" ref="F3:F66" si="1">D3-E3</f>
        <v>2.930000000000291</v>
      </c>
      <c r="G3" s="581">
        <v>0</v>
      </c>
      <c r="H3" s="6"/>
      <c r="I3" s="320">
        <f t="shared" ref="I3:I66" si="2">H3-G3</f>
        <v>0</v>
      </c>
      <c r="J3" s="6"/>
      <c r="K3" s="327">
        <f t="shared" ref="K3:K66" si="3">I3-J3</f>
        <v>0</v>
      </c>
      <c r="L3" s="582"/>
    </row>
    <row r="4" spans="1:12">
      <c r="A4" s="287">
        <v>42767</v>
      </c>
      <c r="B4" s="370">
        <f t="shared" ref="B4:B67" si="4">C3</f>
        <v>5735627</v>
      </c>
      <c r="C4" s="289">
        <v>5797781</v>
      </c>
      <c r="D4" s="457">
        <f t="shared" si="0"/>
        <v>62154</v>
      </c>
      <c r="E4" s="289">
        <v>62154.9</v>
      </c>
      <c r="F4" s="580">
        <f t="shared" si="1"/>
        <v>-0.90000000000145519</v>
      </c>
      <c r="G4" s="581">
        <f t="shared" ref="G4:G67" si="5">H3</f>
        <v>0</v>
      </c>
      <c r="H4" s="6"/>
      <c r="I4" s="320">
        <f t="shared" si="2"/>
        <v>0</v>
      </c>
      <c r="J4" s="6"/>
      <c r="K4" s="327">
        <f t="shared" si="3"/>
        <v>0</v>
      </c>
      <c r="L4" s="582"/>
    </row>
    <row r="5" spans="1:12">
      <c r="A5" s="287">
        <v>42795</v>
      </c>
      <c r="B5" s="370">
        <f t="shared" si="4"/>
        <v>5797781</v>
      </c>
      <c r="C5" s="289">
        <v>5864602</v>
      </c>
      <c r="D5" s="457">
        <f t="shared" si="0"/>
        <v>66821</v>
      </c>
      <c r="E5" s="583">
        <v>66820.89</v>
      </c>
      <c r="F5" s="580">
        <f t="shared" si="1"/>
        <v>0.11000000000058208</v>
      </c>
      <c r="G5" s="581">
        <f t="shared" si="5"/>
        <v>0</v>
      </c>
      <c r="H5" s="6"/>
      <c r="I5" s="320">
        <f t="shared" si="2"/>
        <v>0</v>
      </c>
      <c r="J5" s="6"/>
      <c r="K5" s="327">
        <f t="shared" si="3"/>
        <v>0</v>
      </c>
      <c r="L5" s="582"/>
    </row>
    <row r="6" spans="1:12">
      <c r="A6" s="287">
        <v>42826</v>
      </c>
      <c r="B6" s="370">
        <f t="shared" si="4"/>
        <v>5864602</v>
      </c>
      <c r="C6" s="321">
        <v>5927895</v>
      </c>
      <c r="D6" s="457">
        <f t="shared" si="0"/>
        <v>63293</v>
      </c>
      <c r="E6" s="289">
        <v>63292.38</v>
      </c>
      <c r="F6" s="580">
        <f t="shared" si="1"/>
        <v>0.62000000000261934</v>
      </c>
      <c r="G6" s="581">
        <f t="shared" si="5"/>
        <v>0</v>
      </c>
      <c r="H6" s="6"/>
      <c r="I6" s="320">
        <f t="shared" si="2"/>
        <v>0</v>
      </c>
      <c r="J6" s="6"/>
      <c r="K6" s="327">
        <f t="shared" si="3"/>
        <v>0</v>
      </c>
      <c r="L6" s="582"/>
    </row>
    <row r="7" spans="1:12">
      <c r="A7" s="287">
        <v>42856</v>
      </c>
      <c r="B7" s="370">
        <f t="shared" si="4"/>
        <v>5927895</v>
      </c>
      <c r="C7" s="289">
        <v>5995212</v>
      </c>
      <c r="D7" s="457">
        <f t="shared" si="0"/>
        <v>67317</v>
      </c>
      <c r="E7" s="289">
        <v>67313.47</v>
      </c>
      <c r="F7" s="580">
        <f t="shared" si="1"/>
        <v>3.5299999999988358</v>
      </c>
      <c r="G7" s="581">
        <f t="shared" si="5"/>
        <v>0</v>
      </c>
      <c r="H7" s="6"/>
      <c r="I7" s="320">
        <f t="shared" si="2"/>
        <v>0</v>
      </c>
      <c r="J7" s="6"/>
      <c r="K7" s="327">
        <f t="shared" si="3"/>
        <v>0</v>
      </c>
      <c r="L7" s="582"/>
    </row>
    <row r="8" spans="1:12">
      <c r="A8" s="287">
        <v>42887</v>
      </c>
      <c r="B8" s="370">
        <f t="shared" si="4"/>
        <v>5995212</v>
      </c>
      <c r="C8" s="289">
        <v>6065754</v>
      </c>
      <c r="D8" s="457">
        <f t="shared" si="0"/>
        <v>70542</v>
      </c>
      <c r="E8" s="289">
        <v>70542.600000000006</v>
      </c>
      <c r="F8" s="580">
        <f t="shared" si="1"/>
        <v>-0.60000000000582077</v>
      </c>
      <c r="G8" s="581">
        <f t="shared" si="5"/>
        <v>0</v>
      </c>
      <c r="H8" s="6"/>
      <c r="I8" s="320">
        <f t="shared" si="2"/>
        <v>0</v>
      </c>
      <c r="J8" s="289"/>
      <c r="K8" s="327">
        <f t="shared" si="3"/>
        <v>0</v>
      </c>
      <c r="L8" s="582"/>
    </row>
    <row r="9" spans="1:12">
      <c r="A9" s="287">
        <v>42917</v>
      </c>
      <c r="B9" s="370">
        <f t="shared" si="4"/>
        <v>6065754</v>
      </c>
      <c r="C9" s="289">
        <v>6141089</v>
      </c>
      <c r="D9" s="457">
        <f t="shared" si="0"/>
        <v>75335</v>
      </c>
      <c r="E9" s="289">
        <v>75335</v>
      </c>
      <c r="F9" s="580">
        <f t="shared" si="1"/>
        <v>0</v>
      </c>
      <c r="G9" s="581">
        <v>2442</v>
      </c>
      <c r="H9" s="289">
        <v>15003</v>
      </c>
      <c r="I9" s="320">
        <f t="shared" si="2"/>
        <v>12561</v>
      </c>
      <c r="J9" s="289"/>
      <c r="K9" s="327">
        <f t="shared" si="3"/>
        <v>12561</v>
      </c>
      <c r="L9" s="582"/>
    </row>
    <row r="10" spans="1:12">
      <c r="A10" s="287">
        <v>42948</v>
      </c>
      <c r="B10" s="370">
        <f t="shared" si="4"/>
        <v>6141089</v>
      </c>
      <c r="C10" s="289">
        <v>6212470</v>
      </c>
      <c r="D10" s="457">
        <f t="shared" si="0"/>
        <v>71381</v>
      </c>
      <c r="E10" s="289">
        <v>71379.899999999994</v>
      </c>
      <c r="F10" s="580">
        <f t="shared" si="1"/>
        <v>1.1000000000058208</v>
      </c>
      <c r="G10" s="581">
        <f t="shared" si="5"/>
        <v>15003</v>
      </c>
      <c r="H10" s="289">
        <v>25033</v>
      </c>
      <c r="I10" s="320">
        <f t="shared" si="2"/>
        <v>10030</v>
      </c>
      <c r="J10" s="289">
        <v>10029.74</v>
      </c>
      <c r="K10" s="327">
        <f t="shared" si="3"/>
        <v>0.26000000000021828</v>
      </c>
      <c r="L10" s="582">
        <f>I10+D10</f>
        <v>81411</v>
      </c>
    </row>
    <row r="11" spans="1:12">
      <c r="A11" s="287">
        <v>42979</v>
      </c>
      <c r="B11" s="370">
        <f t="shared" si="4"/>
        <v>6212470</v>
      </c>
      <c r="C11" s="321">
        <v>6276921</v>
      </c>
      <c r="D11" s="457">
        <f t="shared" si="0"/>
        <v>64451</v>
      </c>
      <c r="E11" s="321">
        <v>64450.62</v>
      </c>
      <c r="F11" s="580">
        <f t="shared" si="1"/>
        <v>0.37999999999738066</v>
      </c>
      <c r="G11" s="581">
        <f t="shared" si="5"/>
        <v>25033</v>
      </c>
      <c r="H11" s="321">
        <v>32815</v>
      </c>
      <c r="I11" s="320">
        <f t="shared" si="2"/>
        <v>7782</v>
      </c>
      <c r="J11" s="321">
        <v>7781.72</v>
      </c>
      <c r="K11" s="327">
        <f t="shared" si="3"/>
        <v>0.27999999999974534</v>
      </c>
      <c r="L11" s="582">
        <f t="shared" ref="L11:L74" si="6">I11+D11</f>
        <v>72233</v>
      </c>
    </row>
    <row r="12" spans="1:12">
      <c r="A12" s="287">
        <v>43009</v>
      </c>
      <c r="B12" s="370">
        <f t="shared" si="4"/>
        <v>6276921</v>
      </c>
      <c r="C12" s="321">
        <v>6352831</v>
      </c>
      <c r="D12" s="457">
        <f t="shared" si="0"/>
        <v>75910</v>
      </c>
      <c r="E12" s="321">
        <v>75906.789999999994</v>
      </c>
      <c r="F12" s="580">
        <f t="shared" si="1"/>
        <v>3.2100000000064028</v>
      </c>
      <c r="G12" s="581">
        <f t="shared" si="5"/>
        <v>32815</v>
      </c>
      <c r="H12" s="321">
        <v>39587</v>
      </c>
      <c r="I12" s="320">
        <f t="shared" si="2"/>
        <v>6772</v>
      </c>
      <c r="J12" s="321">
        <v>6772.04</v>
      </c>
      <c r="K12" s="327">
        <f t="shared" si="3"/>
        <v>-3.999999999996362E-2</v>
      </c>
      <c r="L12" s="582">
        <f t="shared" si="6"/>
        <v>82682</v>
      </c>
    </row>
    <row r="13" spans="1:12">
      <c r="A13" s="287">
        <v>43040</v>
      </c>
      <c r="B13" s="370">
        <f t="shared" si="4"/>
        <v>6352831</v>
      </c>
      <c r="C13" s="321">
        <v>6410003</v>
      </c>
      <c r="D13" s="457">
        <f t="shared" si="0"/>
        <v>57172</v>
      </c>
      <c r="E13" s="321">
        <v>57171.51</v>
      </c>
      <c r="F13" s="580">
        <f t="shared" si="1"/>
        <v>0.48999999999796273</v>
      </c>
      <c r="G13" s="581">
        <f t="shared" si="5"/>
        <v>39587</v>
      </c>
      <c r="H13" s="321">
        <v>45717</v>
      </c>
      <c r="I13" s="320">
        <f t="shared" si="2"/>
        <v>6130</v>
      </c>
      <c r="J13" s="321">
        <v>6129.55</v>
      </c>
      <c r="K13" s="327">
        <f t="shared" si="3"/>
        <v>0.4499999999998181</v>
      </c>
      <c r="L13" s="582">
        <f t="shared" si="6"/>
        <v>63302</v>
      </c>
    </row>
    <row r="14" spans="1:12">
      <c r="A14" s="287">
        <v>43070</v>
      </c>
      <c r="B14" s="370">
        <f t="shared" si="4"/>
        <v>6410003</v>
      </c>
      <c r="C14" s="289">
        <v>6476953</v>
      </c>
      <c r="D14" s="457">
        <f t="shared" si="0"/>
        <v>66950</v>
      </c>
      <c r="E14" s="289">
        <v>66951.14</v>
      </c>
      <c r="F14" s="580">
        <f t="shared" si="1"/>
        <v>-1.1399999999994179</v>
      </c>
      <c r="G14" s="581">
        <f t="shared" si="5"/>
        <v>45717</v>
      </c>
      <c r="H14" s="289">
        <v>52890</v>
      </c>
      <c r="I14" s="320">
        <f t="shared" si="2"/>
        <v>7173</v>
      </c>
      <c r="J14" s="289">
        <v>7173.94</v>
      </c>
      <c r="K14" s="327">
        <f t="shared" si="3"/>
        <v>-0.93999999999959982</v>
      </c>
      <c r="L14" s="582">
        <f t="shared" si="6"/>
        <v>74123</v>
      </c>
    </row>
    <row r="15" spans="1:12">
      <c r="A15" s="287">
        <v>43101</v>
      </c>
      <c r="B15" s="370">
        <f t="shared" si="4"/>
        <v>6476953</v>
      </c>
      <c r="C15" s="289">
        <v>6542879</v>
      </c>
      <c r="D15" s="457">
        <f t="shared" si="0"/>
        <v>65926</v>
      </c>
      <c r="E15" s="289">
        <v>65927.77</v>
      </c>
      <c r="F15" s="580">
        <f t="shared" si="1"/>
        <v>-1.7700000000040745</v>
      </c>
      <c r="G15" s="581">
        <f t="shared" si="5"/>
        <v>52890</v>
      </c>
      <c r="H15" s="289">
        <v>59763</v>
      </c>
      <c r="I15" s="320">
        <f t="shared" si="2"/>
        <v>6873</v>
      </c>
      <c r="J15" s="289">
        <v>6874.87</v>
      </c>
      <c r="K15" s="327">
        <f t="shared" si="3"/>
        <v>-1.8699999999998909</v>
      </c>
      <c r="L15" s="582">
        <f t="shared" si="6"/>
        <v>72799</v>
      </c>
    </row>
    <row r="16" spans="1:12">
      <c r="A16" s="287">
        <v>43132</v>
      </c>
      <c r="B16" s="370">
        <f t="shared" si="4"/>
        <v>6542879</v>
      </c>
      <c r="C16" s="289">
        <v>6604433</v>
      </c>
      <c r="D16" s="457">
        <f t="shared" si="0"/>
        <v>61554</v>
      </c>
      <c r="E16" s="355">
        <v>61553.03</v>
      </c>
      <c r="F16" s="580">
        <f t="shared" si="1"/>
        <v>0.97000000000116415</v>
      </c>
      <c r="G16" s="581">
        <f t="shared" si="5"/>
        <v>59763</v>
      </c>
      <c r="H16" s="289">
        <v>66652</v>
      </c>
      <c r="I16" s="320">
        <f t="shared" si="2"/>
        <v>6889</v>
      </c>
      <c r="J16" s="289">
        <v>6890.89</v>
      </c>
      <c r="K16" s="327">
        <f t="shared" si="3"/>
        <v>-1.8900000000003274</v>
      </c>
      <c r="L16" s="582">
        <f t="shared" si="6"/>
        <v>68443</v>
      </c>
    </row>
    <row r="17" spans="1:12">
      <c r="A17" s="287">
        <v>43160</v>
      </c>
      <c r="B17" s="370">
        <f t="shared" si="4"/>
        <v>6604433</v>
      </c>
      <c r="C17" s="321">
        <v>6660226</v>
      </c>
      <c r="D17" s="457">
        <f t="shared" si="0"/>
        <v>55793</v>
      </c>
      <c r="E17" s="321">
        <v>55792.75</v>
      </c>
      <c r="F17" s="580">
        <f t="shared" si="1"/>
        <v>0.25</v>
      </c>
      <c r="G17" s="581">
        <f t="shared" si="5"/>
        <v>66652</v>
      </c>
      <c r="H17" s="321">
        <v>77607</v>
      </c>
      <c r="I17" s="320">
        <f t="shared" si="2"/>
        <v>10955</v>
      </c>
      <c r="J17" s="321">
        <v>10955.45</v>
      </c>
      <c r="K17" s="327">
        <f t="shared" si="3"/>
        <v>-0.4500000000007276</v>
      </c>
      <c r="L17" s="582">
        <f t="shared" si="6"/>
        <v>66748</v>
      </c>
    </row>
    <row r="18" spans="1:12">
      <c r="A18" s="287">
        <v>43191</v>
      </c>
      <c r="B18" s="370">
        <f t="shared" si="4"/>
        <v>6660226</v>
      </c>
      <c r="C18" s="289">
        <v>6714539</v>
      </c>
      <c r="D18" s="457">
        <f t="shared" si="0"/>
        <v>54313</v>
      </c>
      <c r="E18" s="321">
        <v>54312.28</v>
      </c>
      <c r="F18" s="580">
        <f t="shared" si="1"/>
        <v>0.72000000000116415</v>
      </c>
      <c r="G18" s="581">
        <f t="shared" si="5"/>
        <v>77607</v>
      </c>
      <c r="H18" s="289">
        <v>82271</v>
      </c>
      <c r="I18" s="320">
        <f t="shared" si="2"/>
        <v>4664</v>
      </c>
      <c r="J18" s="321">
        <v>4665.22</v>
      </c>
      <c r="K18" s="327">
        <f t="shared" si="3"/>
        <v>-1.2200000000002547</v>
      </c>
      <c r="L18" s="582">
        <f t="shared" si="6"/>
        <v>58977</v>
      </c>
    </row>
    <row r="19" spans="1:12">
      <c r="A19" s="310">
        <v>43221</v>
      </c>
      <c r="B19" s="370">
        <f t="shared" si="4"/>
        <v>6714539</v>
      </c>
      <c r="C19" s="289">
        <v>6774547</v>
      </c>
      <c r="D19" s="457">
        <f t="shared" si="0"/>
        <v>60008</v>
      </c>
      <c r="E19" s="289">
        <v>60007.47</v>
      </c>
      <c r="F19" s="580">
        <f t="shared" si="1"/>
        <v>0.52999999999883585</v>
      </c>
      <c r="G19" s="581">
        <f t="shared" si="5"/>
        <v>82271</v>
      </c>
      <c r="H19" s="289">
        <v>88664</v>
      </c>
      <c r="I19" s="320">
        <f t="shared" si="2"/>
        <v>6393</v>
      </c>
      <c r="J19" s="289">
        <v>6392.14</v>
      </c>
      <c r="K19" s="327">
        <f t="shared" si="3"/>
        <v>0.85999999999967258</v>
      </c>
      <c r="L19" s="582">
        <f t="shared" si="6"/>
        <v>66401</v>
      </c>
    </row>
    <row r="20" spans="1:12">
      <c r="A20" s="287">
        <v>43252</v>
      </c>
      <c r="B20" s="370">
        <f t="shared" si="4"/>
        <v>6774547</v>
      </c>
      <c r="C20" s="289">
        <v>6845214</v>
      </c>
      <c r="D20" s="457">
        <f t="shared" si="0"/>
        <v>70667</v>
      </c>
      <c r="E20" s="289">
        <v>70666.289999999994</v>
      </c>
      <c r="F20" s="580">
        <f t="shared" si="1"/>
        <v>0.71000000000640284</v>
      </c>
      <c r="G20" s="581">
        <f t="shared" si="5"/>
        <v>88664</v>
      </c>
      <c r="H20" s="289">
        <v>99683</v>
      </c>
      <c r="I20" s="320">
        <f t="shared" si="2"/>
        <v>11019</v>
      </c>
      <c r="J20" s="321">
        <v>11020.51</v>
      </c>
      <c r="K20" s="327">
        <f t="shared" si="3"/>
        <v>-1.5100000000002183</v>
      </c>
      <c r="L20" s="582">
        <f t="shared" si="6"/>
        <v>81686</v>
      </c>
    </row>
    <row r="21" spans="1:12">
      <c r="A21" s="287">
        <v>43282</v>
      </c>
      <c r="B21" s="370">
        <f t="shared" si="4"/>
        <v>6845214</v>
      </c>
      <c r="C21" s="321">
        <v>6921964</v>
      </c>
      <c r="D21" s="457">
        <f t="shared" si="0"/>
        <v>76750</v>
      </c>
      <c r="E21" s="321">
        <v>76750.25</v>
      </c>
      <c r="F21" s="580">
        <f t="shared" si="1"/>
        <v>-0.25</v>
      </c>
      <c r="G21" s="581">
        <f t="shared" si="5"/>
        <v>99683</v>
      </c>
      <c r="H21" s="321">
        <v>107936</v>
      </c>
      <c r="I21" s="320">
        <f t="shared" si="2"/>
        <v>8253</v>
      </c>
      <c r="J21" s="321">
        <v>8252.24</v>
      </c>
      <c r="K21" s="327">
        <f t="shared" si="3"/>
        <v>0.76000000000021828</v>
      </c>
      <c r="L21" s="582">
        <f t="shared" si="6"/>
        <v>85003</v>
      </c>
    </row>
    <row r="22" spans="1:12">
      <c r="A22" s="287">
        <v>43313</v>
      </c>
      <c r="B22" s="370">
        <f t="shared" si="4"/>
        <v>6921964</v>
      </c>
      <c r="C22" s="321">
        <v>7001142</v>
      </c>
      <c r="D22" s="457">
        <f t="shared" si="0"/>
        <v>79178</v>
      </c>
      <c r="E22" s="321">
        <v>79179.56</v>
      </c>
      <c r="F22" s="580">
        <f t="shared" si="1"/>
        <v>-1.5599999999976717</v>
      </c>
      <c r="G22" s="581">
        <f t="shared" si="5"/>
        <v>107936</v>
      </c>
      <c r="H22" s="321">
        <v>116730</v>
      </c>
      <c r="I22" s="320">
        <f t="shared" si="2"/>
        <v>8794</v>
      </c>
      <c r="J22" s="321">
        <v>8793.1200000000008</v>
      </c>
      <c r="K22" s="327">
        <f t="shared" si="3"/>
        <v>0.87999999999919964</v>
      </c>
      <c r="L22" s="582">
        <f t="shared" si="6"/>
        <v>87972</v>
      </c>
    </row>
    <row r="23" spans="1:12">
      <c r="A23" s="287">
        <v>43344</v>
      </c>
      <c r="B23" s="370">
        <f t="shared" si="4"/>
        <v>7001142</v>
      </c>
      <c r="C23" s="321">
        <v>7074217</v>
      </c>
      <c r="D23" s="457">
        <f t="shared" si="0"/>
        <v>73075</v>
      </c>
      <c r="E23" s="321">
        <v>73076.960000000006</v>
      </c>
      <c r="F23" s="580">
        <f t="shared" si="1"/>
        <v>-1.9600000000064028</v>
      </c>
      <c r="G23" s="581">
        <f t="shared" si="5"/>
        <v>116730</v>
      </c>
      <c r="H23" s="321">
        <v>127346</v>
      </c>
      <c r="I23" s="320">
        <f t="shared" si="2"/>
        <v>10616</v>
      </c>
      <c r="J23" s="321">
        <v>10615.37</v>
      </c>
      <c r="K23" s="327">
        <f t="shared" si="3"/>
        <v>0.62999999999919964</v>
      </c>
      <c r="L23" s="582">
        <f t="shared" si="6"/>
        <v>83691</v>
      </c>
    </row>
    <row r="24" spans="1:12">
      <c r="A24" s="287">
        <v>43374</v>
      </c>
      <c r="B24" s="370">
        <f t="shared" si="4"/>
        <v>7074217</v>
      </c>
      <c r="C24" s="289">
        <v>7154506</v>
      </c>
      <c r="D24" s="457">
        <f t="shared" si="0"/>
        <v>80289</v>
      </c>
      <c r="E24" s="289">
        <v>80287.839999999997</v>
      </c>
      <c r="F24" s="580">
        <f t="shared" si="1"/>
        <v>1.1600000000034925</v>
      </c>
      <c r="G24" s="581">
        <f t="shared" si="5"/>
        <v>127346</v>
      </c>
      <c r="H24" s="289">
        <v>134840</v>
      </c>
      <c r="I24" s="320">
        <f t="shared" si="2"/>
        <v>7494</v>
      </c>
      <c r="J24" s="289">
        <v>7493.99</v>
      </c>
      <c r="K24" s="327">
        <f t="shared" si="3"/>
        <v>1.0000000000218279E-2</v>
      </c>
      <c r="L24" s="582">
        <f t="shared" si="6"/>
        <v>87783</v>
      </c>
    </row>
    <row r="25" spans="1:12">
      <c r="A25" s="287">
        <v>43405</v>
      </c>
      <c r="B25" s="370">
        <f t="shared" si="4"/>
        <v>7154506</v>
      </c>
      <c r="C25" s="289">
        <v>7225359</v>
      </c>
      <c r="D25" s="457">
        <f t="shared" si="0"/>
        <v>70853</v>
      </c>
      <c r="E25" s="289">
        <v>70852.88</v>
      </c>
      <c r="F25" s="580">
        <f t="shared" si="1"/>
        <v>0.11999999999534339</v>
      </c>
      <c r="G25" s="581">
        <f t="shared" si="5"/>
        <v>134840</v>
      </c>
      <c r="H25" s="289">
        <v>145302</v>
      </c>
      <c r="I25" s="320">
        <f t="shared" si="2"/>
        <v>10462</v>
      </c>
      <c r="J25" s="289">
        <v>10462.700000000001</v>
      </c>
      <c r="K25" s="327">
        <f t="shared" si="3"/>
        <v>-0.7000000000007276</v>
      </c>
      <c r="L25" s="582">
        <f t="shared" si="6"/>
        <v>81315</v>
      </c>
    </row>
    <row r="26" spans="1:12">
      <c r="A26" s="287">
        <v>43435</v>
      </c>
      <c r="B26" s="370">
        <f t="shared" si="4"/>
        <v>7225359</v>
      </c>
      <c r="C26" s="289">
        <v>7296581</v>
      </c>
      <c r="D26" s="457">
        <f t="shared" si="0"/>
        <v>71222</v>
      </c>
      <c r="E26" s="289">
        <v>71221.22</v>
      </c>
      <c r="F26" s="580">
        <f t="shared" si="1"/>
        <v>0.77999999999883585</v>
      </c>
      <c r="G26" s="581">
        <f t="shared" si="5"/>
        <v>145302</v>
      </c>
      <c r="H26" s="289">
        <v>154999</v>
      </c>
      <c r="I26" s="320">
        <f t="shared" si="2"/>
        <v>9697</v>
      </c>
      <c r="J26" s="289">
        <v>9696.7999999999993</v>
      </c>
      <c r="K26" s="327">
        <f t="shared" si="3"/>
        <v>0.2000000000007276</v>
      </c>
      <c r="L26" s="582">
        <f t="shared" si="6"/>
        <v>80919</v>
      </c>
    </row>
    <row r="27" spans="1:12">
      <c r="A27" s="287">
        <v>43466</v>
      </c>
      <c r="B27" s="370">
        <f t="shared" si="4"/>
        <v>7296581</v>
      </c>
      <c r="C27" s="289">
        <v>7366625</v>
      </c>
      <c r="D27" s="457">
        <f t="shared" si="0"/>
        <v>70044</v>
      </c>
      <c r="E27" s="289">
        <v>70042.86</v>
      </c>
      <c r="F27" s="580">
        <f t="shared" si="1"/>
        <v>1.1399999999994179</v>
      </c>
      <c r="G27" s="581">
        <f t="shared" si="5"/>
        <v>154999</v>
      </c>
      <c r="H27" s="289">
        <v>161103</v>
      </c>
      <c r="I27" s="320">
        <f t="shared" si="2"/>
        <v>6104</v>
      </c>
      <c r="J27" s="289">
        <v>6107.32</v>
      </c>
      <c r="K27" s="327">
        <f t="shared" si="3"/>
        <v>-3.319999999999709</v>
      </c>
      <c r="L27" s="582">
        <f t="shared" si="6"/>
        <v>76148</v>
      </c>
    </row>
    <row r="28" spans="1:12">
      <c r="A28" s="287">
        <v>43497</v>
      </c>
      <c r="B28" s="370">
        <f t="shared" si="4"/>
        <v>7366625</v>
      </c>
      <c r="C28" s="289">
        <v>7427612</v>
      </c>
      <c r="D28" s="457">
        <f t="shared" si="0"/>
        <v>60987</v>
      </c>
      <c r="E28" s="289">
        <v>60986.27</v>
      </c>
      <c r="F28" s="580">
        <f t="shared" si="1"/>
        <v>0.73000000000320142</v>
      </c>
      <c r="G28" s="581">
        <f t="shared" si="5"/>
        <v>161103</v>
      </c>
      <c r="H28" s="289">
        <v>167784</v>
      </c>
      <c r="I28" s="320">
        <f t="shared" si="2"/>
        <v>6681</v>
      </c>
      <c r="J28" s="289">
        <v>6681</v>
      </c>
      <c r="K28" s="327">
        <f t="shared" si="3"/>
        <v>0</v>
      </c>
      <c r="L28" s="582">
        <f t="shared" si="6"/>
        <v>67668</v>
      </c>
    </row>
    <row r="29" spans="1:12">
      <c r="A29" s="287">
        <v>43525</v>
      </c>
      <c r="B29" s="370">
        <f t="shared" si="4"/>
        <v>7427612</v>
      </c>
      <c r="C29" s="289">
        <v>7494502</v>
      </c>
      <c r="D29" s="457">
        <f t="shared" si="0"/>
        <v>66890</v>
      </c>
      <c r="E29" s="289">
        <v>66888.649999999994</v>
      </c>
      <c r="F29" s="580">
        <f t="shared" si="1"/>
        <v>1.3500000000058208</v>
      </c>
      <c r="G29" s="581">
        <f t="shared" si="5"/>
        <v>167784</v>
      </c>
      <c r="H29" s="289">
        <v>178453</v>
      </c>
      <c r="I29" s="320">
        <f t="shared" si="2"/>
        <v>10669</v>
      </c>
      <c r="J29" s="289">
        <v>10669.59</v>
      </c>
      <c r="K29" s="327">
        <f t="shared" si="3"/>
        <v>-0.59000000000014552</v>
      </c>
      <c r="L29" s="582">
        <f t="shared" si="6"/>
        <v>77559</v>
      </c>
    </row>
    <row r="30" spans="1:12">
      <c r="A30" s="287">
        <v>43556</v>
      </c>
      <c r="B30" s="370">
        <f t="shared" si="4"/>
        <v>7494502</v>
      </c>
      <c r="C30" s="289">
        <v>7567839</v>
      </c>
      <c r="D30" s="457">
        <f t="shared" si="0"/>
        <v>73337</v>
      </c>
      <c r="E30" s="289">
        <v>73336.570000000007</v>
      </c>
      <c r="F30" s="580">
        <f t="shared" si="1"/>
        <v>0.42999999999301508</v>
      </c>
      <c r="G30" s="581">
        <f t="shared" si="5"/>
        <v>178453</v>
      </c>
      <c r="H30" s="289">
        <v>185868</v>
      </c>
      <c r="I30" s="320">
        <f t="shared" si="2"/>
        <v>7415</v>
      </c>
      <c r="J30" s="289">
        <v>7415.91</v>
      </c>
      <c r="K30" s="327">
        <f t="shared" si="3"/>
        <v>-0.90999999999985448</v>
      </c>
      <c r="L30" s="582">
        <f t="shared" si="6"/>
        <v>80752</v>
      </c>
    </row>
    <row r="31" spans="1:12">
      <c r="A31" s="287">
        <v>43586</v>
      </c>
      <c r="B31" s="370">
        <f t="shared" si="4"/>
        <v>7567839</v>
      </c>
      <c r="C31" s="289">
        <v>7635177</v>
      </c>
      <c r="D31" s="457">
        <f t="shared" si="0"/>
        <v>67338</v>
      </c>
      <c r="E31" s="289">
        <v>67338.48</v>
      </c>
      <c r="F31" s="580">
        <f t="shared" si="1"/>
        <v>-0.47999999999592546</v>
      </c>
      <c r="G31" s="581">
        <f t="shared" si="5"/>
        <v>185868</v>
      </c>
      <c r="H31" s="289">
        <v>191580</v>
      </c>
      <c r="I31" s="320">
        <f t="shared" si="2"/>
        <v>5712</v>
      </c>
      <c r="J31" s="289">
        <v>5711.08</v>
      </c>
      <c r="K31" s="327">
        <f t="shared" si="3"/>
        <v>0.92000000000007276</v>
      </c>
      <c r="L31" s="582">
        <f t="shared" si="6"/>
        <v>73050</v>
      </c>
    </row>
    <row r="32" spans="1:12">
      <c r="A32" s="287">
        <v>43617</v>
      </c>
      <c r="B32" s="370">
        <f t="shared" si="4"/>
        <v>7635177</v>
      </c>
      <c r="C32" s="289">
        <v>7705814</v>
      </c>
      <c r="D32" s="457">
        <f t="shared" si="0"/>
        <v>70637</v>
      </c>
      <c r="E32" s="289">
        <v>70631.199999999997</v>
      </c>
      <c r="F32" s="580">
        <f>D32-E32</f>
        <v>5.8000000000029104</v>
      </c>
      <c r="G32" s="581">
        <f t="shared" si="5"/>
        <v>191580</v>
      </c>
      <c r="H32" s="289">
        <v>198910</v>
      </c>
      <c r="I32" s="320">
        <f t="shared" si="2"/>
        <v>7330</v>
      </c>
      <c r="J32" s="289">
        <v>7352.54</v>
      </c>
      <c r="K32" s="327">
        <f t="shared" si="3"/>
        <v>-22.539999999999964</v>
      </c>
      <c r="L32" s="582">
        <f t="shared" si="6"/>
        <v>77967</v>
      </c>
    </row>
    <row r="33" spans="1:12">
      <c r="A33" s="287">
        <v>43647</v>
      </c>
      <c r="B33" s="370">
        <f t="shared" si="4"/>
        <v>7705814</v>
      </c>
      <c r="C33" s="289">
        <v>7789265</v>
      </c>
      <c r="D33" s="457">
        <f t="shared" si="0"/>
        <v>83451</v>
      </c>
      <c r="E33" s="289">
        <v>83450.259999999995</v>
      </c>
      <c r="F33" s="580">
        <f t="shared" si="1"/>
        <v>0.74000000000523869</v>
      </c>
      <c r="G33" s="581">
        <f t="shared" si="5"/>
        <v>198910</v>
      </c>
      <c r="H33" s="289">
        <v>208208</v>
      </c>
      <c r="I33" s="320">
        <f t="shared" si="2"/>
        <v>9298</v>
      </c>
      <c r="J33" s="289">
        <v>8921.51</v>
      </c>
      <c r="K33" s="327">
        <f t="shared" si="3"/>
        <v>376.48999999999978</v>
      </c>
      <c r="L33" s="582">
        <f t="shared" si="6"/>
        <v>92749</v>
      </c>
    </row>
    <row r="34" spans="1:12">
      <c r="A34" s="287">
        <v>43678</v>
      </c>
      <c r="B34" s="370">
        <f t="shared" si="4"/>
        <v>7789265</v>
      </c>
      <c r="C34" s="289">
        <v>7867728</v>
      </c>
      <c r="D34" s="457">
        <f t="shared" si="0"/>
        <v>78463</v>
      </c>
      <c r="E34" s="289">
        <v>78463.600000000006</v>
      </c>
      <c r="F34" s="580">
        <f>D34-E34</f>
        <v>-0.60000000000582077</v>
      </c>
      <c r="G34" s="581">
        <f t="shared" si="5"/>
        <v>208208</v>
      </c>
      <c r="H34" s="289">
        <v>216205</v>
      </c>
      <c r="I34" s="320">
        <f t="shared" si="2"/>
        <v>7997</v>
      </c>
      <c r="J34" s="289">
        <v>7870.33</v>
      </c>
      <c r="K34" s="327">
        <f t="shared" si="3"/>
        <v>126.67000000000007</v>
      </c>
      <c r="L34" s="582">
        <f t="shared" si="6"/>
        <v>86460</v>
      </c>
    </row>
    <row r="35" spans="1:12">
      <c r="A35" s="287">
        <v>43709</v>
      </c>
      <c r="B35" s="370">
        <f t="shared" si="4"/>
        <v>7867728</v>
      </c>
      <c r="C35" s="289">
        <v>7937278</v>
      </c>
      <c r="D35" s="457">
        <f t="shared" si="0"/>
        <v>69550</v>
      </c>
      <c r="E35" s="289">
        <v>69549.31</v>
      </c>
      <c r="F35" s="580">
        <f t="shared" si="1"/>
        <v>0.69000000000232831</v>
      </c>
      <c r="G35" s="581">
        <f t="shared" si="5"/>
        <v>216205</v>
      </c>
      <c r="H35" s="289">
        <v>223195</v>
      </c>
      <c r="I35" s="320">
        <f t="shared" si="2"/>
        <v>6990</v>
      </c>
      <c r="J35" s="289">
        <v>6989.22</v>
      </c>
      <c r="K35" s="327">
        <f t="shared" si="3"/>
        <v>0.77999999999974534</v>
      </c>
      <c r="L35" s="582">
        <f t="shared" si="6"/>
        <v>76540</v>
      </c>
    </row>
    <row r="36" spans="1:12">
      <c r="A36" s="287">
        <v>43739</v>
      </c>
      <c r="B36" s="370">
        <f t="shared" si="4"/>
        <v>7937278</v>
      </c>
      <c r="C36" s="289">
        <v>8009185</v>
      </c>
      <c r="D36" s="457">
        <f t="shared" si="0"/>
        <v>71907</v>
      </c>
      <c r="E36" s="289">
        <v>71906.240000000005</v>
      </c>
      <c r="F36" s="580">
        <f t="shared" si="1"/>
        <v>0.75999999999476131</v>
      </c>
      <c r="G36" s="581">
        <f t="shared" si="5"/>
        <v>223195</v>
      </c>
      <c r="H36" s="289">
        <v>229902</v>
      </c>
      <c r="I36" s="320">
        <f t="shared" si="2"/>
        <v>6707</v>
      </c>
      <c r="J36" s="289">
        <v>6706</v>
      </c>
      <c r="K36" s="327">
        <f t="shared" si="3"/>
        <v>1</v>
      </c>
      <c r="L36" s="582">
        <f t="shared" si="6"/>
        <v>78614</v>
      </c>
    </row>
    <row r="37" spans="1:12">
      <c r="A37" s="287">
        <v>43770</v>
      </c>
      <c r="B37" s="370">
        <f t="shared" si="4"/>
        <v>8009185</v>
      </c>
      <c r="C37" s="289">
        <v>8069975</v>
      </c>
      <c r="D37" s="457">
        <f t="shared" si="0"/>
        <v>60790</v>
      </c>
      <c r="E37" s="289">
        <v>60788.44</v>
      </c>
      <c r="F37" s="580">
        <f t="shared" si="1"/>
        <v>1.5599999999976717</v>
      </c>
      <c r="G37" s="581">
        <f t="shared" si="5"/>
        <v>229902</v>
      </c>
      <c r="H37" s="289">
        <v>235486</v>
      </c>
      <c r="I37" s="320">
        <f t="shared" si="2"/>
        <v>5584</v>
      </c>
      <c r="J37" s="289">
        <v>5584</v>
      </c>
      <c r="K37" s="327">
        <f t="shared" si="3"/>
        <v>0</v>
      </c>
      <c r="L37" s="582">
        <f t="shared" si="6"/>
        <v>66374</v>
      </c>
    </row>
    <row r="38" spans="1:12">
      <c r="A38" s="287">
        <v>43800</v>
      </c>
      <c r="B38" s="370">
        <f t="shared" si="4"/>
        <v>8069975</v>
      </c>
      <c r="C38" s="321">
        <v>8133966</v>
      </c>
      <c r="D38" s="457">
        <f t="shared" si="0"/>
        <v>63991</v>
      </c>
      <c r="E38" s="321">
        <v>63990.63</v>
      </c>
      <c r="F38" s="580">
        <f t="shared" si="1"/>
        <v>0.37000000000261934</v>
      </c>
      <c r="G38" s="581">
        <f t="shared" si="5"/>
        <v>235486</v>
      </c>
      <c r="H38" s="321">
        <v>245835</v>
      </c>
      <c r="I38" s="320">
        <f t="shared" si="2"/>
        <v>10349</v>
      </c>
      <c r="J38" s="321">
        <v>10348.06</v>
      </c>
      <c r="K38" s="327">
        <f t="shared" si="3"/>
        <v>0.94000000000050932</v>
      </c>
      <c r="L38" s="582">
        <f t="shared" si="6"/>
        <v>74340</v>
      </c>
    </row>
    <row r="39" spans="1:12">
      <c r="A39" s="287">
        <v>43831</v>
      </c>
      <c r="B39" s="370">
        <f t="shared" si="4"/>
        <v>8133966</v>
      </c>
      <c r="C39" s="289">
        <v>8200024</v>
      </c>
      <c r="D39" s="457">
        <f t="shared" si="0"/>
        <v>66058</v>
      </c>
      <c r="E39" s="289">
        <v>66057.75</v>
      </c>
      <c r="F39" s="580">
        <f t="shared" si="1"/>
        <v>0.25</v>
      </c>
      <c r="G39" s="581">
        <f t="shared" si="5"/>
        <v>245835</v>
      </c>
      <c r="H39" s="289">
        <v>253278</v>
      </c>
      <c r="I39" s="320">
        <f t="shared" si="2"/>
        <v>7443</v>
      </c>
      <c r="J39" s="289">
        <v>7443.22</v>
      </c>
      <c r="K39" s="327">
        <f t="shared" si="3"/>
        <v>-0.22000000000025466</v>
      </c>
      <c r="L39" s="582">
        <f t="shared" si="6"/>
        <v>73501</v>
      </c>
    </row>
    <row r="40" spans="1:12">
      <c r="A40" s="287">
        <v>43862</v>
      </c>
      <c r="B40" s="370">
        <f t="shared" si="4"/>
        <v>8200024</v>
      </c>
      <c r="C40" s="289">
        <v>8265856</v>
      </c>
      <c r="D40" s="457">
        <f t="shared" si="0"/>
        <v>65832</v>
      </c>
      <c r="E40" s="289">
        <v>65831.210000000006</v>
      </c>
      <c r="F40" s="580">
        <f t="shared" si="1"/>
        <v>0.78999999999359716</v>
      </c>
      <c r="G40" s="581">
        <f t="shared" si="5"/>
        <v>253278</v>
      </c>
      <c r="H40" s="289">
        <v>259127</v>
      </c>
      <c r="I40" s="320">
        <f t="shared" si="2"/>
        <v>5849</v>
      </c>
      <c r="J40" s="289">
        <v>5848.37</v>
      </c>
      <c r="K40" s="327">
        <f t="shared" si="3"/>
        <v>0.63000000000010914</v>
      </c>
      <c r="L40" s="582">
        <f t="shared" si="6"/>
        <v>71681</v>
      </c>
    </row>
    <row r="41" spans="1:12">
      <c r="A41" s="287">
        <v>43891</v>
      </c>
      <c r="B41" s="370">
        <f t="shared" si="4"/>
        <v>8265856</v>
      </c>
      <c r="C41" s="289">
        <v>8316467</v>
      </c>
      <c r="D41" s="457">
        <f t="shared" si="0"/>
        <v>50611</v>
      </c>
      <c r="E41" s="289">
        <v>50610.58</v>
      </c>
      <c r="F41" s="580">
        <f t="shared" si="1"/>
        <v>0.41999999999825377</v>
      </c>
      <c r="G41" s="581">
        <f t="shared" si="5"/>
        <v>259127</v>
      </c>
      <c r="H41" s="289">
        <v>262770</v>
      </c>
      <c r="I41" s="320">
        <f t="shared" si="2"/>
        <v>3643</v>
      </c>
      <c r="J41" s="289">
        <v>3643.28</v>
      </c>
      <c r="K41" s="327">
        <f t="shared" si="3"/>
        <v>-0.28000000000020009</v>
      </c>
      <c r="L41" s="582">
        <f t="shared" si="6"/>
        <v>54254</v>
      </c>
    </row>
    <row r="42" spans="1:12">
      <c r="A42" s="287">
        <v>43922</v>
      </c>
      <c r="B42" s="370">
        <f t="shared" si="4"/>
        <v>8316467</v>
      </c>
      <c r="C42" s="321">
        <v>8339290</v>
      </c>
      <c r="D42" s="457">
        <f t="shared" si="0"/>
        <v>22823</v>
      </c>
      <c r="E42" s="321">
        <v>22822.77</v>
      </c>
      <c r="F42" s="580">
        <f t="shared" si="1"/>
        <v>0.22999999999956344</v>
      </c>
      <c r="G42" s="581">
        <f t="shared" si="5"/>
        <v>262770</v>
      </c>
      <c r="H42" s="321">
        <v>264628</v>
      </c>
      <c r="I42" s="320">
        <f t="shared" si="2"/>
        <v>1858</v>
      </c>
      <c r="J42" s="321">
        <v>1858.41</v>
      </c>
      <c r="K42" s="327">
        <f t="shared" si="3"/>
        <v>-0.41000000000008185</v>
      </c>
      <c r="L42" s="582">
        <f t="shared" si="6"/>
        <v>24681</v>
      </c>
    </row>
    <row r="43" spans="1:12">
      <c r="A43" s="287">
        <v>43952</v>
      </c>
      <c r="B43" s="370">
        <f t="shared" si="4"/>
        <v>8339290</v>
      </c>
      <c r="C43" s="289">
        <v>8359648</v>
      </c>
      <c r="D43" s="457">
        <f t="shared" si="0"/>
        <v>20358</v>
      </c>
      <c r="E43" s="289">
        <v>20357.990000000002</v>
      </c>
      <c r="F43" s="580">
        <f t="shared" si="1"/>
        <v>9.9999999983992893E-3</v>
      </c>
      <c r="G43" s="581">
        <f t="shared" si="5"/>
        <v>264628</v>
      </c>
      <c r="H43" s="289">
        <v>265578</v>
      </c>
      <c r="I43" s="320">
        <f t="shared" si="2"/>
        <v>950</v>
      </c>
      <c r="J43" s="289">
        <v>949.76</v>
      </c>
      <c r="K43" s="327">
        <f t="shared" si="3"/>
        <v>0.24000000000000909</v>
      </c>
      <c r="L43" s="582">
        <f t="shared" si="6"/>
        <v>21308</v>
      </c>
    </row>
    <row r="44" spans="1:12">
      <c r="A44" s="287">
        <v>43983</v>
      </c>
      <c r="B44" s="370">
        <f t="shared" si="4"/>
        <v>8359648</v>
      </c>
      <c r="C44" s="289">
        <v>8379633</v>
      </c>
      <c r="D44" s="457">
        <f t="shared" si="0"/>
        <v>19985</v>
      </c>
      <c r="E44" s="289">
        <v>19986.830000000002</v>
      </c>
      <c r="F44" s="580">
        <f t="shared" si="1"/>
        <v>-1.8300000000017462</v>
      </c>
      <c r="G44" s="581">
        <f t="shared" si="5"/>
        <v>265578</v>
      </c>
      <c r="H44" s="289">
        <v>266245</v>
      </c>
      <c r="I44" s="320">
        <f t="shared" si="2"/>
        <v>667</v>
      </c>
      <c r="J44" s="289">
        <v>667.51</v>
      </c>
      <c r="K44" s="327">
        <f t="shared" si="3"/>
        <v>-0.50999999999999091</v>
      </c>
      <c r="L44" s="582">
        <f t="shared" si="6"/>
        <v>20652</v>
      </c>
    </row>
    <row r="45" spans="1:12">
      <c r="A45" s="287">
        <v>44013</v>
      </c>
      <c r="B45" s="370">
        <f t="shared" si="4"/>
        <v>8379633</v>
      </c>
      <c r="C45" s="289">
        <v>8401424</v>
      </c>
      <c r="D45" s="457">
        <f t="shared" si="0"/>
        <v>21791</v>
      </c>
      <c r="E45" s="289">
        <v>21791.54</v>
      </c>
      <c r="F45" s="580">
        <f t="shared" si="1"/>
        <v>-0.54000000000087311</v>
      </c>
      <c r="G45" s="581">
        <f t="shared" si="5"/>
        <v>266245</v>
      </c>
      <c r="H45" s="289">
        <v>267428</v>
      </c>
      <c r="I45" s="320">
        <f t="shared" si="2"/>
        <v>1183</v>
      </c>
      <c r="J45" s="289">
        <v>1182.19</v>
      </c>
      <c r="K45" s="327">
        <f t="shared" si="3"/>
        <v>0.80999999999994543</v>
      </c>
      <c r="L45" s="582">
        <f t="shared" si="6"/>
        <v>22974</v>
      </c>
    </row>
    <row r="46" spans="1:12">
      <c r="A46" s="287">
        <v>44044</v>
      </c>
      <c r="B46" s="370">
        <f t="shared" si="4"/>
        <v>8401424</v>
      </c>
      <c r="C46" s="289"/>
      <c r="D46" s="457">
        <f t="shared" si="0"/>
        <v>-8401424</v>
      </c>
      <c r="E46" s="289"/>
      <c r="F46" s="580">
        <f t="shared" si="1"/>
        <v>-8401424</v>
      </c>
      <c r="G46" s="581">
        <f t="shared" si="5"/>
        <v>267428</v>
      </c>
      <c r="H46" s="289"/>
      <c r="I46" s="320">
        <f t="shared" si="2"/>
        <v>-267428</v>
      </c>
      <c r="J46" s="289"/>
      <c r="K46" s="327">
        <f t="shared" si="3"/>
        <v>-267428</v>
      </c>
      <c r="L46" s="582">
        <f t="shared" si="6"/>
        <v>-8668852</v>
      </c>
    </row>
    <row r="47" spans="1:12">
      <c r="A47" s="287">
        <v>44075</v>
      </c>
      <c r="B47" s="370">
        <f t="shared" si="4"/>
        <v>0</v>
      </c>
      <c r="C47" s="289"/>
      <c r="D47" s="457">
        <f t="shared" si="0"/>
        <v>0</v>
      </c>
      <c r="E47" s="289"/>
      <c r="F47" s="580">
        <f t="shared" si="1"/>
        <v>0</v>
      </c>
      <c r="G47" s="581">
        <f t="shared" si="5"/>
        <v>0</v>
      </c>
      <c r="H47" s="289"/>
      <c r="I47" s="320">
        <f t="shared" si="2"/>
        <v>0</v>
      </c>
      <c r="J47" s="289"/>
      <c r="K47" s="327">
        <f t="shared" si="3"/>
        <v>0</v>
      </c>
      <c r="L47" s="582">
        <f t="shared" si="6"/>
        <v>0</v>
      </c>
    </row>
    <row r="48" spans="1:12">
      <c r="A48" s="287">
        <v>44105</v>
      </c>
      <c r="B48" s="370">
        <f t="shared" si="4"/>
        <v>0</v>
      </c>
      <c r="C48" s="289"/>
      <c r="D48" s="457">
        <f t="shared" si="0"/>
        <v>0</v>
      </c>
      <c r="E48" s="289"/>
      <c r="F48" s="580">
        <f t="shared" si="1"/>
        <v>0</v>
      </c>
      <c r="G48" s="581">
        <f t="shared" si="5"/>
        <v>0</v>
      </c>
      <c r="H48" s="289"/>
      <c r="I48" s="320">
        <f t="shared" si="2"/>
        <v>0</v>
      </c>
      <c r="J48" s="289"/>
      <c r="K48" s="327">
        <f t="shared" si="3"/>
        <v>0</v>
      </c>
      <c r="L48" s="582">
        <f t="shared" si="6"/>
        <v>0</v>
      </c>
    </row>
    <row r="49" spans="1:12">
      <c r="A49" s="287">
        <v>44136</v>
      </c>
      <c r="B49" s="370">
        <f t="shared" si="4"/>
        <v>0</v>
      </c>
      <c r="C49" s="289"/>
      <c r="D49" s="457">
        <f t="shared" si="0"/>
        <v>0</v>
      </c>
      <c r="E49" s="289"/>
      <c r="F49" s="580">
        <f t="shared" si="1"/>
        <v>0</v>
      </c>
      <c r="G49" s="581">
        <f t="shared" si="5"/>
        <v>0</v>
      </c>
      <c r="H49" s="289"/>
      <c r="I49" s="320">
        <f t="shared" si="2"/>
        <v>0</v>
      </c>
      <c r="J49" s="289"/>
      <c r="K49" s="327">
        <f t="shared" si="3"/>
        <v>0</v>
      </c>
      <c r="L49" s="582">
        <f t="shared" si="6"/>
        <v>0</v>
      </c>
    </row>
    <row r="50" spans="1:12">
      <c r="A50" s="287">
        <v>44166</v>
      </c>
      <c r="B50" s="370">
        <f t="shared" si="4"/>
        <v>0</v>
      </c>
      <c r="C50" s="289"/>
      <c r="D50" s="457">
        <f t="shared" si="0"/>
        <v>0</v>
      </c>
      <c r="E50" s="289"/>
      <c r="F50" s="580">
        <f t="shared" si="1"/>
        <v>0</v>
      </c>
      <c r="G50" s="581">
        <f t="shared" si="5"/>
        <v>0</v>
      </c>
      <c r="H50" s="289"/>
      <c r="I50" s="320">
        <f t="shared" si="2"/>
        <v>0</v>
      </c>
      <c r="J50" s="289"/>
      <c r="K50" s="327">
        <f t="shared" si="3"/>
        <v>0</v>
      </c>
      <c r="L50" s="582">
        <f t="shared" si="6"/>
        <v>0</v>
      </c>
    </row>
    <row r="51" spans="1:12">
      <c r="A51" s="287">
        <v>44197</v>
      </c>
      <c r="B51" s="370">
        <f t="shared" si="4"/>
        <v>0</v>
      </c>
      <c r="C51" s="289"/>
      <c r="D51" s="457">
        <f t="shared" si="0"/>
        <v>0</v>
      </c>
      <c r="E51" s="289"/>
      <c r="F51" s="580">
        <f t="shared" si="1"/>
        <v>0</v>
      </c>
      <c r="G51" s="581">
        <f t="shared" si="5"/>
        <v>0</v>
      </c>
      <c r="H51" s="289"/>
      <c r="I51" s="320">
        <f t="shared" si="2"/>
        <v>0</v>
      </c>
      <c r="J51" s="289"/>
      <c r="K51" s="327">
        <f t="shared" si="3"/>
        <v>0</v>
      </c>
      <c r="L51" s="582">
        <f t="shared" si="6"/>
        <v>0</v>
      </c>
    </row>
    <row r="52" spans="1:12">
      <c r="A52" s="287">
        <v>44228</v>
      </c>
      <c r="B52" s="370">
        <f t="shared" si="4"/>
        <v>0</v>
      </c>
      <c r="C52" s="289"/>
      <c r="D52" s="457">
        <f t="shared" si="0"/>
        <v>0</v>
      </c>
      <c r="E52" s="289"/>
      <c r="F52" s="580">
        <f t="shared" si="1"/>
        <v>0</v>
      </c>
      <c r="G52" s="581">
        <f t="shared" si="5"/>
        <v>0</v>
      </c>
      <c r="H52" s="289"/>
      <c r="I52" s="320">
        <f t="shared" si="2"/>
        <v>0</v>
      </c>
      <c r="J52" s="289"/>
      <c r="K52" s="327">
        <f t="shared" si="3"/>
        <v>0</v>
      </c>
      <c r="L52" s="582">
        <f t="shared" si="6"/>
        <v>0</v>
      </c>
    </row>
    <row r="53" spans="1:12">
      <c r="A53" s="287">
        <v>44256</v>
      </c>
      <c r="B53" s="370">
        <f t="shared" si="4"/>
        <v>0</v>
      </c>
      <c r="C53" s="289"/>
      <c r="D53" s="457">
        <f t="shared" si="0"/>
        <v>0</v>
      </c>
      <c r="E53" s="289"/>
      <c r="F53" s="580">
        <f t="shared" si="1"/>
        <v>0</v>
      </c>
      <c r="G53" s="581">
        <f t="shared" si="5"/>
        <v>0</v>
      </c>
      <c r="H53" s="289"/>
      <c r="I53" s="320">
        <f t="shared" si="2"/>
        <v>0</v>
      </c>
      <c r="J53" s="289"/>
      <c r="K53" s="327">
        <f t="shared" si="3"/>
        <v>0</v>
      </c>
      <c r="L53" s="582">
        <f t="shared" si="6"/>
        <v>0</v>
      </c>
    </row>
    <row r="54" spans="1:12">
      <c r="A54" s="287">
        <v>44287</v>
      </c>
      <c r="B54" s="370">
        <f t="shared" si="4"/>
        <v>0</v>
      </c>
      <c r="C54" s="289"/>
      <c r="D54" s="457">
        <f t="shared" si="0"/>
        <v>0</v>
      </c>
      <c r="E54" s="289"/>
      <c r="F54" s="580">
        <f t="shared" si="1"/>
        <v>0</v>
      </c>
      <c r="G54" s="581">
        <f t="shared" si="5"/>
        <v>0</v>
      </c>
      <c r="H54" s="289"/>
      <c r="I54" s="320">
        <f t="shared" si="2"/>
        <v>0</v>
      </c>
      <c r="J54" s="289"/>
      <c r="K54" s="327">
        <f t="shared" si="3"/>
        <v>0</v>
      </c>
      <c r="L54" s="582">
        <f t="shared" si="6"/>
        <v>0</v>
      </c>
    </row>
    <row r="55" spans="1:12">
      <c r="A55" s="287">
        <v>44317</v>
      </c>
      <c r="B55" s="370">
        <f t="shared" si="4"/>
        <v>0</v>
      </c>
      <c r="C55" s="289"/>
      <c r="D55" s="457">
        <f t="shared" si="0"/>
        <v>0</v>
      </c>
      <c r="E55" s="289"/>
      <c r="F55" s="580">
        <f t="shared" si="1"/>
        <v>0</v>
      </c>
      <c r="G55" s="581">
        <f t="shared" si="5"/>
        <v>0</v>
      </c>
      <c r="H55" s="289"/>
      <c r="I55" s="320">
        <f t="shared" si="2"/>
        <v>0</v>
      </c>
      <c r="J55" s="289"/>
      <c r="K55" s="327">
        <f t="shared" si="3"/>
        <v>0</v>
      </c>
      <c r="L55" s="582">
        <f t="shared" si="6"/>
        <v>0</v>
      </c>
    </row>
    <row r="56" spans="1:12" ht="12.75" customHeight="1">
      <c r="A56" s="287">
        <v>44348</v>
      </c>
      <c r="B56" s="370">
        <f t="shared" si="4"/>
        <v>0</v>
      </c>
      <c r="C56" s="289"/>
      <c r="D56" s="457">
        <f t="shared" si="0"/>
        <v>0</v>
      </c>
      <c r="E56" s="289"/>
      <c r="F56" s="580">
        <f t="shared" si="1"/>
        <v>0</v>
      </c>
      <c r="G56" s="581">
        <f t="shared" si="5"/>
        <v>0</v>
      </c>
      <c r="H56" s="289"/>
      <c r="I56" s="320">
        <f t="shared" si="2"/>
        <v>0</v>
      </c>
      <c r="J56" s="289"/>
      <c r="K56" s="327">
        <f t="shared" si="3"/>
        <v>0</v>
      </c>
      <c r="L56" s="582">
        <f t="shared" si="6"/>
        <v>0</v>
      </c>
    </row>
    <row r="57" spans="1:12" ht="13.5" customHeight="1">
      <c r="A57" s="287">
        <v>44378</v>
      </c>
      <c r="B57" s="370">
        <f t="shared" si="4"/>
        <v>0</v>
      </c>
      <c r="C57" s="289"/>
      <c r="D57" s="457">
        <f t="shared" si="0"/>
        <v>0</v>
      </c>
      <c r="E57" s="289"/>
      <c r="F57" s="580">
        <f t="shared" si="1"/>
        <v>0</v>
      </c>
      <c r="G57" s="581">
        <f t="shared" si="5"/>
        <v>0</v>
      </c>
      <c r="H57" s="289"/>
      <c r="I57" s="320">
        <f t="shared" si="2"/>
        <v>0</v>
      </c>
      <c r="J57" s="289"/>
      <c r="K57" s="327">
        <f t="shared" si="3"/>
        <v>0</v>
      </c>
      <c r="L57" s="582">
        <f t="shared" si="6"/>
        <v>0</v>
      </c>
    </row>
    <row r="58" spans="1:12">
      <c r="A58" s="287">
        <v>44409</v>
      </c>
      <c r="B58" s="370">
        <f t="shared" si="4"/>
        <v>0</v>
      </c>
      <c r="C58" s="289"/>
      <c r="D58" s="457">
        <f t="shared" si="0"/>
        <v>0</v>
      </c>
      <c r="E58" s="289"/>
      <c r="F58" s="580">
        <f t="shared" si="1"/>
        <v>0</v>
      </c>
      <c r="G58" s="581">
        <f t="shared" si="5"/>
        <v>0</v>
      </c>
      <c r="H58" s="289"/>
      <c r="I58" s="320">
        <f t="shared" si="2"/>
        <v>0</v>
      </c>
      <c r="J58" s="289"/>
      <c r="K58" s="327">
        <f t="shared" si="3"/>
        <v>0</v>
      </c>
      <c r="L58" s="582">
        <f t="shared" si="6"/>
        <v>0</v>
      </c>
    </row>
    <row r="59" spans="1:12">
      <c r="A59" s="287">
        <v>44440</v>
      </c>
      <c r="B59" s="370">
        <f t="shared" si="4"/>
        <v>0</v>
      </c>
      <c r="C59" s="289"/>
      <c r="D59" s="457">
        <f t="shared" si="0"/>
        <v>0</v>
      </c>
      <c r="E59" s="289"/>
      <c r="F59" s="580">
        <f t="shared" si="1"/>
        <v>0</v>
      </c>
      <c r="G59" s="581">
        <f t="shared" si="5"/>
        <v>0</v>
      </c>
      <c r="H59" s="289"/>
      <c r="I59" s="320">
        <f t="shared" si="2"/>
        <v>0</v>
      </c>
      <c r="J59" s="289"/>
      <c r="K59" s="327">
        <f t="shared" si="3"/>
        <v>0</v>
      </c>
      <c r="L59" s="582">
        <f t="shared" si="6"/>
        <v>0</v>
      </c>
    </row>
    <row r="60" spans="1:12">
      <c r="A60" s="287">
        <v>44470</v>
      </c>
      <c r="B60" s="370">
        <f t="shared" si="4"/>
        <v>0</v>
      </c>
      <c r="C60" s="289"/>
      <c r="D60" s="457">
        <f t="shared" si="0"/>
        <v>0</v>
      </c>
      <c r="E60" s="289"/>
      <c r="F60" s="580">
        <f t="shared" si="1"/>
        <v>0</v>
      </c>
      <c r="G60" s="581">
        <f t="shared" si="5"/>
        <v>0</v>
      </c>
      <c r="H60" s="289"/>
      <c r="I60" s="320">
        <f t="shared" si="2"/>
        <v>0</v>
      </c>
      <c r="J60" s="289"/>
      <c r="K60" s="327">
        <f t="shared" si="3"/>
        <v>0</v>
      </c>
      <c r="L60" s="582">
        <f t="shared" si="6"/>
        <v>0</v>
      </c>
    </row>
    <row r="61" spans="1:12">
      <c r="A61" s="287">
        <v>44501</v>
      </c>
      <c r="B61" s="370">
        <f t="shared" si="4"/>
        <v>0</v>
      </c>
      <c r="C61" s="289"/>
      <c r="D61" s="457">
        <f t="shared" si="0"/>
        <v>0</v>
      </c>
      <c r="E61" s="289"/>
      <c r="F61" s="580">
        <f t="shared" si="1"/>
        <v>0</v>
      </c>
      <c r="G61" s="581">
        <f t="shared" si="5"/>
        <v>0</v>
      </c>
      <c r="H61" s="289"/>
      <c r="I61" s="320">
        <f t="shared" si="2"/>
        <v>0</v>
      </c>
      <c r="J61" s="289"/>
      <c r="K61" s="327">
        <f t="shared" si="3"/>
        <v>0</v>
      </c>
      <c r="L61" s="582">
        <f t="shared" si="6"/>
        <v>0</v>
      </c>
    </row>
    <row r="62" spans="1:12">
      <c r="A62" s="287">
        <v>44531</v>
      </c>
      <c r="B62" s="370">
        <f t="shared" si="4"/>
        <v>0</v>
      </c>
      <c r="C62" s="289"/>
      <c r="D62" s="457">
        <f t="shared" si="0"/>
        <v>0</v>
      </c>
      <c r="E62" s="289"/>
      <c r="F62" s="580">
        <f t="shared" si="1"/>
        <v>0</v>
      </c>
      <c r="G62" s="581">
        <f t="shared" si="5"/>
        <v>0</v>
      </c>
      <c r="H62" s="289"/>
      <c r="I62" s="320">
        <f t="shared" si="2"/>
        <v>0</v>
      </c>
      <c r="J62" s="289"/>
      <c r="K62" s="327">
        <f t="shared" si="3"/>
        <v>0</v>
      </c>
      <c r="L62" s="582">
        <f t="shared" si="6"/>
        <v>0</v>
      </c>
    </row>
    <row r="63" spans="1:12">
      <c r="A63" s="287">
        <v>44562</v>
      </c>
      <c r="B63" s="370">
        <f t="shared" si="4"/>
        <v>0</v>
      </c>
      <c r="C63" s="289"/>
      <c r="D63" s="457">
        <f t="shared" si="0"/>
        <v>0</v>
      </c>
      <c r="E63" s="289"/>
      <c r="F63" s="580">
        <f t="shared" si="1"/>
        <v>0</v>
      </c>
      <c r="G63" s="581">
        <f t="shared" si="5"/>
        <v>0</v>
      </c>
      <c r="H63" s="289"/>
      <c r="I63" s="320">
        <f t="shared" si="2"/>
        <v>0</v>
      </c>
      <c r="J63" s="289"/>
      <c r="K63" s="327">
        <f t="shared" si="3"/>
        <v>0</v>
      </c>
      <c r="L63" s="582">
        <f t="shared" si="6"/>
        <v>0</v>
      </c>
    </row>
    <row r="64" spans="1:12">
      <c r="A64" s="287">
        <v>44593</v>
      </c>
      <c r="B64" s="370">
        <f t="shared" si="4"/>
        <v>0</v>
      </c>
      <c r="C64" s="289"/>
      <c r="D64" s="457">
        <f t="shared" si="0"/>
        <v>0</v>
      </c>
      <c r="E64" s="289"/>
      <c r="F64" s="580">
        <f t="shared" si="1"/>
        <v>0</v>
      </c>
      <c r="G64" s="581">
        <f t="shared" si="5"/>
        <v>0</v>
      </c>
      <c r="H64" s="289"/>
      <c r="I64" s="320">
        <f t="shared" si="2"/>
        <v>0</v>
      </c>
      <c r="J64" s="289"/>
      <c r="K64" s="327">
        <f t="shared" si="3"/>
        <v>0</v>
      </c>
      <c r="L64" s="582">
        <f t="shared" si="6"/>
        <v>0</v>
      </c>
    </row>
    <row r="65" spans="1:12">
      <c r="A65" s="287">
        <v>44621</v>
      </c>
      <c r="B65" s="370">
        <f t="shared" si="4"/>
        <v>0</v>
      </c>
      <c r="C65" s="289"/>
      <c r="D65" s="457">
        <f t="shared" si="0"/>
        <v>0</v>
      </c>
      <c r="E65" s="289"/>
      <c r="F65" s="580">
        <f t="shared" si="1"/>
        <v>0</v>
      </c>
      <c r="G65" s="581">
        <f t="shared" si="5"/>
        <v>0</v>
      </c>
      <c r="H65" s="289"/>
      <c r="I65" s="320">
        <f t="shared" si="2"/>
        <v>0</v>
      </c>
      <c r="J65" s="289"/>
      <c r="K65" s="327">
        <f t="shared" si="3"/>
        <v>0</v>
      </c>
      <c r="L65" s="582">
        <f t="shared" si="6"/>
        <v>0</v>
      </c>
    </row>
    <row r="66" spans="1:12">
      <c r="A66" s="287">
        <v>44652</v>
      </c>
      <c r="B66" s="370">
        <f t="shared" si="4"/>
        <v>0</v>
      </c>
      <c r="C66" s="289"/>
      <c r="D66" s="457">
        <f t="shared" si="0"/>
        <v>0</v>
      </c>
      <c r="E66" s="289"/>
      <c r="F66" s="580">
        <f t="shared" si="1"/>
        <v>0</v>
      </c>
      <c r="G66" s="581">
        <f t="shared" si="5"/>
        <v>0</v>
      </c>
      <c r="H66" s="289"/>
      <c r="I66" s="320">
        <f t="shared" si="2"/>
        <v>0</v>
      </c>
      <c r="J66" s="289"/>
      <c r="K66" s="327">
        <f t="shared" si="3"/>
        <v>0</v>
      </c>
      <c r="L66" s="582">
        <f t="shared" si="6"/>
        <v>0</v>
      </c>
    </row>
    <row r="67" spans="1:12">
      <c r="A67" s="287">
        <v>44682</v>
      </c>
      <c r="B67" s="370">
        <f t="shared" si="4"/>
        <v>0</v>
      </c>
      <c r="C67" s="289"/>
      <c r="D67" s="457">
        <f t="shared" ref="D67:D77" si="7">C67-B67</f>
        <v>0</v>
      </c>
      <c r="E67" s="289"/>
      <c r="F67" s="580">
        <f t="shared" ref="F67:F77" si="8">D67-E67</f>
        <v>0</v>
      </c>
      <c r="G67" s="581">
        <f t="shared" si="5"/>
        <v>0</v>
      </c>
      <c r="H67" s="289"/>
      <c r="I67" s="320">
        <f t="shared" ref="I67:I77" si="9">H67-G67</f>
        <v>0</v>
      </c>
      <c r="J67" s="289"/>
      <c r="K67" s="327">
        <f t="shared" ref="K67:K77" si="10">I67-J67</f>
        <v>0</v>
      </c>
      <c r="L67" s="582">
        <f t="shared" si="6"/>
        <v>0</v>
      </c>
    </row>
    <row r="68" spans="1:12">
      <c r="A68" s="287">
        <v>44713</v>
      </c>
      <c r="B68" s="370">
        <f t="shared" ref="B68:B77" si="11">C67</f>
        <v>0</v>
      </c>
      <c r="C68" s="289"/>
      <c r="D68" s="457">
        <f t="shared" si="7"/>
        <v>0</v>
      </c>
      <c r="E68" s="289"/>
      <c r="F68" s="580">
        <f t="shared" si="8"/>
        <v>0</v>
      </c>
      <c r="G68" s="581">
        <f t="shared" ref="G68:G77" si="12">H67</f>
        <v>0</v>
      </c>
      <c r="H68" s="289"/>
      <c r="I68" s="320">
        <f t="shared" si="9"/>
        <v>0</v>
      </c>
      <c r="J68" s="289"/>
      <c r="K68" s="327">
        <f t="shared" si="10"/>
        <v>0</v>
      </c>
      <c r="L68" s="582">
        <f t="shared" si="6"/>
        <v>0</v>
      </c>
    </row>
    <row r="69" spans="1:12">
      <c r="A69" s="287">
        <v>44743</v>
      </c>
      <c r="B69" s="370">
        <f t="shared" si="11"/>
        <v>0</v>
      </c>
      <c r="C69" s="289"/>
      <c r="D69" s="457">
        <f t="shared" si="7"/>
        <v>0</v>
      </c>
      <c r="E69" s="289"/>
      <c r="F69" s="580">
        <f t="shared" si="8"/>
        <v>0</v>
      </c>
      <c r="G69" s="581">
        <f t="shared" si="12"/>
        <v>0</v>
      </c>
      <c r="H69" s="289"/>
      <c r="I69" s="320">
        <f t="shared" si="9"/>
        <v>0</v>
      </c>
      <c r="J69" s="289"/>
      <c r="K69" s="327">
        <f t="shared" si="10"/>
        <v>0</v>
      </c>
      <c r="L69" s="582">
        <f t="shared" si="6"/>
        <v>0</v>
      </c>
    </row>
    <row r="70" spans="1:12">
      <c r="A70" s="287">
        <v>44774</v>
      </c>
      <c r="B70" s="370">
        <f t="shared" si="11"/>
        <v>0</v>
      </c>
      <c r="C70" s="289"/>
      <c r="D70" s="457">
        <f t="shared" si="7"/>
        <v>0</v>
      </c>
      <c r="E70" s="289"/>
      <c r="F70" s="580">
        <f t="shared" si="8"/>
        <v>0</v>
      </c>
      <c r="G70" s="581">
        <f t="shared" si="12"/>
        <v>0</v>
      </c>
      <c r="H70" s="289"/>
      <c r="I70" s="320">
        <f t="shared" si="9"/>
        <v>0</v>
      </c>
      <c r="J70" s="289"/>
      <c r="K70" s="327">
        <f t="shared" si="10"/>
        <v>0</v>
      </c>
      <c r="L70" s="582">
        <f t="shared" si="6"/>
        <v>0</v>
      </c>
    </row>
    <row r="71" spans="1:12">
      <c r="A71" s="287">
        <v>44805</v>
      </c>
      <c r="B71" s="370">
        <f t="shared" si="11"/>
        <v>0</v>
      </c>
      <c r="C71" s="289"/>
      <c r="D71" s="457">
        <f t="shared" si="7"/>
        <v>0</v>
      </c>
      <c r="E71" s="289"/>
      <c r="F71" s="580">
        <f t="shared" si="8"/>
        <v>0</v>
      </c>
      <c r="G71" s="581">
        <f t="shared" si="12"/>
        <v>0</v>
      </c>
      <c r="H71" s="289"/>
      <c r="I71" s="320">
        <f t="shared" si="9"/>
        <v>0</v>
      </c>
      <c r="J71" s="289"/>
      <c r="K71" s="327">
        <f t="shared" si="10"/>
        <v>0</v>
      </c>
      <c r="L71" s="582">
        <f t="shared" si="6"/>
        <v>0</v>
      </c>
    </row>
    <row r="72" spans="1:12">
      <c r="A72" s="287">
        <v>44835</v>
      </c>
      <c r="B72" s="370">
        <f t="shared" si="11"/>
        <v>0</v>
      </c>
      <c r="C72" s="289"/>
      <c r="D72" s="457">
        <f t="shared" si="7"/>
        <v>0</v>
      </c>
      <c r="E72" s="289"/>
      <c r="F72" s="580">
        <f t="shared" si="8"/>
        <v>0</v>
      </c>
      <c r="G72" s="581">
        <f t="shared" si="12"/>
        <v>0</v>
      </c>
      <c r="H72" s="289"/>
      <c r="I72" s="320">
        <f t="shared" si="9"/>
        <v>0</v>
      </c>
      <c r="J72" s="289"/>
      <c r="K72" s="327">
        <f t="shared" si="10"/>
        <v>0</v>
      </c>
      <c r="L72" s="582">
        <f t="shared" si="6"/>
        <v>0</v>
      </c>
    </row>
    <row r="73" spans="1:12">
      <c r="A73" s="287">
        <v>44866</v>
      </c>
      <c r="B73" s="370">
        <f t="shared" si="11"/>
        <v>0</v>
      </c>
      <c r="C73" s="289"/>
      <c r="D73" s="457">
        <f t="shared" si="7"/>
        <v>0</v>
      </c>
      <c r="E73" s="289"/>
      <c r="F73" s="580">
        <f t="shared" si="8"/>
        <v>0</v>
      </c>
      <c r="G73" s="581">
        <f t="shared" si="12"/>
        <v>0</v>
      </c>
      <c r="H73" s="289"/>
      <c r="I73" s="320">
        <f t="shared" si="9"/>
        <v>0</v>
      </c>
      <c r="J73" s="289"/>
      <c r="K73" s="327">
        <f t="shared" si="10"/>
        <v>0</v>
      </c>
      <c r="L73" s="582">
        <f t="shared" si="6"/>
        <v>0</v>
      </c>
    </row>
    <row r="74" spans="1:12">
      <c r="A74" s="287">
        <v>44896</v>
      </c>
      <c r="B74" s="370">
        <f t="shared" si="11"/>
        <v>0</v>
      </c>
      <c r="C74" s="289"/>
      <c r="D74" s="457">
        <f t="shared" si="7"/>
        <v>0</v>
      </c>
      <c r="E74" s="289"/>
      <c r="F74" s="580">
        <f t="shared" si="8"/>
        <v>0</v>
      </c>
      <c r="G74" s="581">
        <f t="shared" si="12"/>
        <v>0</v>
      </c>
      <c r="H74" s="289"/>
      <c r="I74" s="320">
        <f t="shared" si="9"/>
        <v>0</v>
      </c>
      <c r="J74" s="289"/>
      <c r="K74" s="327">
        <f t="shared" si="10"/>
        <v>0</v>
      </c>
      <c r="L74" s="582">
        <f t="shared" si="6"/>
        <v>0</v>
      </c>
    </row>
    <row r="75" spans="1:12">
      <c r="A75" s="287">
        <v>44927</v>
      </c>
      <c r="B75" s="370">
        <f t="shared" si="11"/>
        <v>0</v>
      </c>
      <c r="C75" s="289"/>
      <c r="D75" s="457">
        <f t="shared" si="7"/>
        <v>0</v>
      </c>
      <c r="E75" s="289"/>
      <c r="F75" s="580">
        <f t="shared" si="8"/>
        <v>0</v>
      </c>
      <c r="G75" s="581">
        <f t="shared" si="12"/>
        <v>0</v>
      </c>
      <c r="H75" s="289"/>
      <c r="I75" s="320">
        <f t="shared" si="9"/>
        <v>0</v>
      </c>
      <c r="J75" s="289"/>
      <c r="K75" s="327">
        <f t="shared" si="10"/>
        <v>0</v>
      </c>
      <c r="L75" s="582">
        <f t="shared" ref="L75:L77" si="13">I75+D75</f>
        <v>0</v>
      </c>
    </row>
    <row r="76" spans="1:12">
      <c r="A76" s="287">
        <v>44958</v>
      </c>
      <c r="B76" s="370">
        <f t="shared" si="11"/>
        <v>0</v>
      </c>
      <c r="C76" s="289"/>
      <c r="D76" s="457">
        <f t="shared" si="7"/>
        <v>0</v>
      </c>
      <c r="E76" s="289"/>
      <c r="F76" s="580">
        <f t="shared" si="8"/>
        <v>0</v>
      </c>
      <c r="G76" s="581">
        <f t="shared" si="12"/>
        <v>0</v>
      </c>
      <c r="H76" s="289"/>
      <c r="I76" s="320">
        <f t="shared" si="9"/>
        <v>0</v>
      </c>
      <c r="J76" s="289"/>
      <c r="K76" s="327">
        <f t="shared" si="10"/>
        <v>0</v>
      </c>
      <c r="L76" s="582">
        <f t="shared" si="13"/>
        <v>0</v>
      </c>
    </row>
    <row r="77" spans="1:12" ht="13.5" thickBot="1">
      <c r="A77" s="287">
        <v>44986</v>
      </c>
      <c r="B77" s="621">
        <f t="shared" si="11"/>
        <v>0</v>
      </c>
      <c r="C77" s="543"/>
      <c r="D77" s="622">
        <f t="shared" si="7"/>
        <v>0</v>
      </c>
      <c r="E77" s="543"/>
      <c r="F77" s="623">
        <f t="shared" si="8"/>
        <v>0</v>
      </c>
      <c r="G77" s="624">
        <f t="shared" si="12"/>
        <v>0</v>
      </c>
      <c r="H77" s="543"/>
      <c r="I77" s="625">
        <f t="shared" si="9"/>
        <v>0</v>
      </c>
      <c r="J77" s="543"/>
      <c r="K77" s="626">
        <f t="shared" si="10"/>
        <v>0</v>
      </c>
      <c r="L77" s="627">
        <f t="shared" si="13"/>
        <v>0</v>
      </c>
    </row>
    <row r="78" spans="1:12" ht="13.5" thickBot="1"/>
    <row r="79" spans="1:12">
      <c r="B79" s="880"/>
      <c r="C79" s="881"/>
      <c r="D79" s="881"/>
      <c r="E79" s="882"/>
      <c r="H79" s="880"/>
      <c r="I79" s="881"/>
      <c r="J79" s="881"/>
      <c r="K79" s="881"/>
      <c r="L79" s="882"/>
    </row>
    <row r="80" spans="1:12">
      <c r="B80" s="883"/>
      <c r="C80" s="884"/>
      <c r="D80" s="884"/>
      <c r="E80" s="885"/>
      <c r="H80" s="883"/>
      <c r="I80" s="884"/>
      <c r="J80" s="884"/>
      <c r="K80" s="884"/>
      <c r="L80" s="885"/>
    </row>
    <row r="81" spans="2:12">
      <c r="B81" s="883"/>
      <c r="C81" s="884"/>
      <c r="D81" s="884"/>
      <c r="E81" s="885"/>
      <c r="H81" s="883"/>
      <c r="I81" s="884"/>
      <c r="J81" s="884"/>
      <c r="K81" s="884"/>
      <c r="L81" s="885"/>
    </row>
    <row r="82" spans="2:12">
      <c r="B82" s="883"/>
      <c r="C82" s="884"/>
      <c r="D82" s="884"/>
      <c r="E82" s="885"/>
      <c r="H82" s="883"/>
      <c r="I82" s="884"/>
      <c r="J82" s="884"/>
      <c r="K82" s="884"/>
      <c r="L82" s="885"/>
    </row>
    <row r="83" spans="2:12">
      <c r="B83" s="883"/>
      <c r="C83" s="884"/>
      <c r="D83" s="884"/>
      <c r="E83" s="885"/>
      <c r="H83" s="883"/>
      <c r="I83" s="884"/>
      <c r="J83" s="884"/>
      <c r="K83" s="884"/>
      <c r="L83" s="885"/>
    </row>
    <row r="84" spans="2:12">
      <c r="B84" s="883"/>
      <c r="C84" s="884"/>
      <c r="D84" s="884"/>
      <c r="E84" s="885"/>
      <c r="H84" s="883"/>
      <c r="I84" s="884"/>
      <c r="J84" s="884"/>
      <c r="K84" s="884"/>
      <c r="L84" s="885"/>
    </row>
    <row r="85" spans="2:12">
      <c r="B85" s="883"/>
      <c r="C85" s="884"/>
      <c r="D85" s="884"/>
      <c r="E85" s="885"/>
      <c r="H85" s="883"/>
      <c r="I85" s="884"/>
      <c r="J85" s="884"/>
      <c r="K85" s="884"/>
      <c r="L85" s="885"/>
    </row>
    <row r="86" spans="2:12">
      <c r="B86" s="883"/>
      <c r="C86" s="884"/>
      <c r="D86" s="884"/>
      <c r="E86" s="885"/>
      <c r="H86" s="883"/>
      <c r="I86" s="884"/>
      <c r="J86" s="884"/>
      <c r="K86" s="884"/>
      <c r="L86" s="885"/>
    </row>
    <row r="87" spans="2:12">
      <c r="B87" s="883"/>
      <c r="C87" s="884"/>
      <c r="D87" s="884"/>
      <c r="E87" s="885"/>
      <c r="H87" s="883"/>
      <c r="I87" s="884"/>
      <c r="J87" s="884"/>
      <c r="K87" s="884"/>
      <c r="L87" s="885"/>
    </row>
    <row r="88" spans="2:12">
      <c r="B88" s="883"/>
      <c r="C88" s="884"/>
      <c r="D88" s="884"/>
      <c r="E88" s="885"/>
      <c r="H88" s="883"/>
      <c r="I88" s="884"/>
      <c r="J88" s="884"/>
      <c r="K88" s="884"/>
      <c r="L88" s="885"/>
    </row>
    <row r="89" spans="2:12">
      <c r="B89" s="883"/>
      <c r="C89" s="884"/>
      <c r="D89" s="884"/>
      <c r="E89" s="885"/>
      <c r="H89" s="883"/>
      <c r="I89" s="884"/>
      <c r="J89" s="884"/>
      <c r="K89" s="884"/>
      <c r="L89" s="885"/>
    </row>
    <row r="90" spans="2:12">
      <c r="B90" s="883"/>
      <c r="C90" s="884"/>
      <c r="D90" s="884"/>
      <c r="E90" s="885"/>
      <c r="H90" s="883"/>
      <c r="I90" s="884"/>
      <c r="J90" s="884"/>
      <c r="K90" s="884"/>
      <c r="L90" s="885"/>
    </row>
    <row r="91" spans="2:12">
      <c r="B91" s="883"/>
      <c r="C91" s="884"/>
      <c r="D91" s="884"/>
      <c r="E91" s="885"/>
      <c r="H91" s="883"/>
      <c r="I91" s="884"/>
      <c r="J91" s="884"/>
      <c r="K91" s="884"/>
      <c r="L91" s="885"/>
    </row>
    <row r="92" spans="2:12">
      <c r="B92" s="883"/>
      <c r="C92" s="884"/>
      <c r="D92" s="884"/>
      <c r="E92" s="885"/>
      <c r="H92" s="883"/>
      <c r="I92" s="884"/>
      <c r="J92" s="884"/>
      <c r="K92" s="884"/>
      <c r="L92" s="885"/>
    </row>
    <row r="93" spans="2:12" ht="13.5" thickBot="1">
      <c r="B93" s="886"/>
      <c r="C93" s="887"/>
      <c r="D93" s="887"/>
      <c r="E93" s="888"/>
      <c r="H93" s="886"/>
      <c r="I93" s="887"/>
      <c r="J93" s="887"/>
      <c r="K93" s="887"/>
      <c r="L93" s="888"/>
    </row>
    <row r="94" spans="2:12">
      <c r="B94" s="889" t="s">
        <v>313</v>
      </c>
      <c r="C94" s="890"/>
      <c r="D94" s="890"/>
      <c r="E94" s="891"/>
      <c r="H94" s="889" t="s">
        <v>314</v>
      </c>
      <c r="I94" s="890"/>
      <c r="J94" s="890"/>
      <c r="K94" s="890"/>
      <c r="L94" s="891"/>
    </row>
    <row r="95" spans="2:12">
      <c r="B95" s="892"/>
      <c r="C95" s="893"/>
      <c r="D95" s="893"/>
      <c r="E95" s="894"/>
      <c r="H95" s="892"/>
      <c r="I95" s="893"/>
      <c r="J95" s="893"/>
      <c r="K95" s="893"/>
      <c r="L95" s="894"/>
    </row>
    <row r="96" spans="2:12" ht="13.5" thickBot="1">
      <c r="B96" s="895"/>
      <c r="C96" s="896"/>
      <c r="D96" s="896"/>
      <c r="E96" s="897"/>
      <c r="H96" s="895"/>
      <c r="I96" s="896"/>
      <c r="J96" s="896"/>
      <c r="K96" s="896"/>
      <c r="L96" s="897"/>
    </row>
  </sheetData>
  <mergeCells count="5">
    <mergeCell ref="A1:D1"/>
    <mergeCell ref="B79:E93"/>
    <mergeCell ref="H79:L93"/>
    <mergeCell ref="B94:E96"/>
    <mergeCell ref="H94:L96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D15" sqref="D15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898" t="s">
        <v>254</v>
      </c>
      <c r="B1" s="898"/>
      <c r="C1" s="898"/>
      <c r="D1" s="898"/>
      <c r="E1" s="898"/>
      <c r="F1" s="898"/>
      <c r="G1" s="898"/>
      <c r="H1" s="898"/>
      <c r="I1" s="898"/>
      <c r="J1" s="898"/>
    </row>
    <row r="2" spans="1:10" ht="19.5" thickBot="1">
      <c r="A2" s="907">
        <f>A5</f>
        <v>44075</v>
      </c>
      <c r="B2" s="908"/>
      <c r="C2" s="908"/>
      <c r="D2" s="908"/>
      <c r="E2" s="908"/>
      <c r="F2" s="908"/>
      <c r="G2" s="908"/>
      <c r="H2" s="908"/>
      <c r="I2" s="908"/>
      <c r="J2" s="908"/>
    </row>
    <row r="3" spans="1:10" ht="15.75" thickBot="1">
      <c r="A3" s="899" t="s">
        <v>7</v>
      </c>
      <c r="B3" s="901" t="s">
        <v>255</v>
      </c>
      <c r="C3" s="518"/>
      <c r="D3" s="903" t="s">
        <v>256</v>
      </c>
      <c r="E3" s="904"/>
      <c r="F3" s="905" t="s">
        <v>257</v>
      </c>
      <c r="G3" s="906"/>
      <c r="H3" s="904"/>
      <c r="I3" s="905" t="s">
        <v>258</v>
      </c>
      <c r="J3" s="904"/>
    </row>
    <row r="4" spans="1:10" ht="30.75" thickBot="1">
      <c r="A4" s="900"/>
      <c r="B4" s="902"/>
      <c r="C4" s="524" t="s">
        <v>303</v>
      </c>
      <c r="D4" s="458" t="s">
        <v>259</v>
      </c>
      <c r="E4" s="463" t="s">
        <v>3</v>
      </c>
      <c r="F4" s="458" t="s">
        <v>259</v>
      </c>
      <c r="G4" s="458" t="s">
        <v>260</v>
      </c>
      <c r="H4" s="458" t="s">
        <v>261</v>
      </c>
      <c r="I4" s="458" t="s">
        <v>17</v>
      </c>
      <c r="J4" s="458" t="s">
        <v>262</v>
      </c>
    </row>
    <row r="5" spans="1:10" ht="17.100000000000001" customHeight="1">
      <c r="A5" s="263">
        <f>Gen!B11</f>
        <v>44075</v>
      </c>
      <c r="B5" s="465">
        <f>Gen!C11</f>
        <v>3.9E-2</v>
      </c>
      <c r="C5" s="522">
        <f>Gen!AK11</f>
        <v>69.209999999999994</v>
      </c>
      <c r="D5" s="523">
        <f>Gen!T11</f>
        <v>891.43</v>
      </c>
      <c r="E5" s="460">
        <f>Gen!D11</f>
        <v>43590.620000000017</v>
      </c>
      <c r="F5" s="461">
        <f>'Water-Meter'!E6</f>
        <v>56</v>
      </c>
      <c r="G5" s="462">
        <f>'Water-Meter'!AN6</f>
        <v>106</v>
      </c>
      <c r="H5" s="460">
        <f>'Utility report '!AC6</f>
        <v>74</v>
      </c>
      <c r="I5" s="459">
        <f>'Kit report'!F4</f>
        <v>191.99999999982538</v>
      </c>
      <c r="J5" s="460">
        <f>'Kit report'!X4</f>
        <v>80.000000000109139</v>
      </c>
    </row>
    <row r="6" spans="1:10" ht="17.100000000000001" customHeight="1">
      <c r="A6" s="263">
        <f>Gen!B12</f>
        <v>44076</v>
      </c>
      <c r="B6" s="464">
        <f>Gen!C12</f>
        <v>3.9E-2</v>
      </c>
      <c r="C6" s="522">
        <f>Gen!AK12</f>
        <v>80.650000000000006</v>
      </c>
      <c r="D6" s="523">
        <f>Gen!T12</f>
        <v>821.92000000000007</v>
      </c>
      <c r="E6" s="460">
        <f>Gen!D12</f>
        <v>42629.980000000018</v>
      </c>
      <c r="F6" s="461">
        <f>'Water-Meter'!E7</f>
        <v>58</v>
      </c>
      <c r="G6" s="462">
        <f>'Water-Meter'!AN7</f>
        <v>125</v>
      </c>
      <c r="H6" s="460">
        <f>'Utility report '!AC7</f>
        <v>26</v>
      </c>
      <c r="I6" s="459">
        <f>'Kit report'!F5</f>
        <v>192.00000000004366</v>
      </c>
      <c r="J6" s="460">
        <f>'Kit report'!X5</f>
        <v>19.999999999890861</v>
      </c>
    </row>
    <row r="7" spans="1:10" ht="17.100000000000001" customHeight="1">
      <c r="A7" s="263">
        <f>Gen!B13</f>
        <v>44077</v>
      </c>
      <c r="B7" s="464">
        <f>Gen!C13</f>
        <v>3.9E-2</v>
      </c>
      <c r="C7" s="522">
        <f>Gen!AK13</f>
        <v>10.02</v>
      </c>
      <c r="D7" s="523">
        <f>Gen!T13</f>
        <v>1090.28</v>
      </c>
      <c r="E7" s="460">
        <f>Gen!D13</f>
        <v>41727.410000000018</v>
      </c>
      <c r="F7" s="461">
        <f>'Water-Meter'!E8</f>
        <v>51</v>
      </c>
      <c r="G7" s="462">
        <f>'Water-Meter'!AN8</f>
        <v>124</v>
      </c>
      <c r="H7" s="460">
        <f>'Utility report '!AC8</f>
        <v>79</v>
      </c>
      <c r="I7" s="459">
        <f>'Kit report'!F6</f>
        <v>204.00000000008731</v>
      </c>
      <c r="J7" s="460">
        <f>'Kit report'!X6</f>
        <v>39.99999999996362</v>
      </c>
    </row>
    <row r="8" spans="1:10" ht="17.100000000000001" customHeight="1">
      <c r="A8" s="263">
        <f>Gen!B14</f>
        <v>44078</v>
      </c>
      <c r="B8" s="464">
        <f>Gen!C14</f>
        <v>9.0899999999999995E-2</v>
      </c>
      <c r="C8" s="522">
        <f>Gen!AK14</f>
        <v>0</v>
      </c>
      <c r="D8" s="523">
        <f>Gen!T14</f>
        <v>868.39</v>
      </c>
      <c r="E8" s="460">
        <f>Gen!D14</f>
        <v>40627.110000000015</v>
      </c>
      <c r="F8" s="461">
        <f>'Water-Meter'!E9</f>
        <v>54</v>
      </c>
      <c r="G8" s="462">
        <f>'Water-Meter'!AN9</f>
        <v>139</v>
      </c>
      <c r="H8" s="460">
        <f>'Utility report '!AC9</f>
        <v>92</v>
      </c>
      <c r="I8" s="459">
        <f>'Kit report'!F7</f>
        <v>215.99999999991269</v>
      </c>
      <c r="J8" s="460">
        <f>'Kit report'!X7</f>
        <v>100</v>
      </c>
    </row>
    <row r="9" spans="1:10" ht="17.100000000000001" customHeight="1">
      <c r="A9" s="263">
        <f>Gen!B15</f>
        <v>44079</v>
      </c>
      <c r="B9" s="464">
        <f>Gen!C15</f>
        <v>9.0899999999999995E-2</v>
      </c>
      <c r="C9" s="522">
        <f>Gen!AK15</f>
        <v>27.01</v>
      </c>
      <c r="D9" s="523">
        <f>Gen!T15</f>
        <v>841.98</v>
      </c>
      <c r="E9" s="460">
        <f>Gen!D15</f>
        <v>39758.720000000016</v>
      </c>
      <c r="F9" s="461">
        <f>'Water-Meter'!E10</f>
        <v>50</v>
      </c>
      <c r="G9" s="462">
        <f>'Water-Meter'!AN10</f>
        <v>103</v>
      </c>
      <c r="H9" s="460">
        <f>'Utility report '!AC10</f>
        <v>1</v>
      </c>
      <c r="I9" s="459">
        <f>'Kit report'!F8</f>
        <v>204.00000000008731</v>
      </c>
      <c r="J9" s="460">
        <f>'Kit report'!X8</f>
        <v>40.000000000145519</v>
      </c>
    </row>
    <row r="10" spans="1:10" ht="17.100000000000001" customHeight="1">
      <c r="A10" s="263">
        <f>Gen!B16</f>
        <v>44080</v>
      </c>
      <c r="B10" s="464">
        <f>Gen!C16</f>
        <v>9.0899999999999995E-2</v>
      </c>
      <c r="C10" s="522">
        <f>Gen!AK16</f>
        <v>0</v>
      </c>
      <c r="D10" s="523">
        <f>Gen!T16</f>
        <v>938.54</v>
      </c>
      <c r="E10" s="460">
        <f>Gen!D16</f>
        <v>38889.730000000018</v>
      </c>
      <c r="F10" s="461">
        <f>'Water-Meter'!E11</f>
        <v>52</v>
      </c>
      <c r="G10" s="462">
        <f>'Water-Meter'!AN11</f>
        <v>83</v>
      </c>
      <c r="H10" s="460">
        <f>'Utility report '!AC11</f>
        <v>68</v>
      </c>
      <c r="I10" s="459">
        <f>'Kit report'!F9</f>
        <v>143.99999999986903</v>
      </c>
      <c r="J10" s="460">
        <f>'Kit report'!X9</f>
        <v>59.999999999854481</v>
      </c>
    </row>
    <row r="11" spans="1:10" ht="17.100000000000001" customHeight="1">
      <c r="A11" s="263">
        <f>Gen!B17</f>
        <v>44081</v>
      </c>
      <c r="B11" s="464">
        <f>Gen!C17</f>
        <v>2.5999999999999999E-2</v>
      </c>
      <c r="C11" s="522">
        <f>Gen!AK17</f>
        <v>258.14</v>
      </c>
      <c r="D11" s="523">
        <f>Gen!T17</f>
        <v>910.27</v>
      </c>
      <c r="E11" s="460">
        <f>Gen!D17</f>
        <v>37951.190000000017</v>
      </c>
      <c r="F11" s="461">
        <f>'Water-Meter'!E12</f>
        <v>58</v>
      </c>
      <c r="G11" s="462">
        <f>'Water-Meter'!AN12</f>
        <v>106</v>
      </c>
      <c r="H11" s="460">
        <f>'Utility report '!AC12</f>
        <v>45</v>
      </c>
      <c r="I11" s="459">
        <f>'Kit report'!F10</f>
        <v>192.00000000004366</v>
      </c>
      <c r="J11" s="460">
        <f>'Kit report'!X10</f>
        <v>40.000000000145519</v>
      </c>
    </row>
    <row r="12" spans="1:10" ht="17.100000000000001" customHeight="1">
      <c r="A12" s="263">
        <f>Gen!B18</f>
        <v>44082</v>
      </c>
      <c r="B12" s="464">
        <f>Gen!C18</f>
        <v>3.9E-2</v>
      </c>
      <c r="C12" s="522">
        <f>Gen!AK18</f>
        <v>123.3</v>
      </c>
      <c r="D12" s="523">
        <f>Gen!T18</f>
        <v>948.21</v>
      </c>
      <c r="E12" s="460">
        <f>Gen!D18</f>
        <v>36782.780000000013</v>
      </c>
      <c r="F12" s="461">
        <f>'Water-Meter'!E13</f>
        <v>46</v>
      </c>
      <c r="G12" s="462">
        <f>'Water-Meter'!AN13</f>
        <v>138</v>
      </c>
      <c r="H12" s="460">
        <f>'Utility report '!AC13</f>
        <v>54</v>
      </c>
      <c r="I12" s="459">
        <f>'Kit report'!F11</f>
        <v>192.00000000004366</v>
      </c>
      <c r="J12" s="460">
        <f>'Kit report'!X11</f>
        <v>59.999999999854481</v>
      </c>
    </row>
    <row r="13" spans="1:10" ht="17.100000000000001" customHeight="1">
      <c r="A13" s="263">
        <f>Gen!B19</f>
        <v>44083</v>
      </c>
      <c r="B13" s="464">
        <f>Gen!C19</f>
        <v>6.5000000000000002E-2</v>
      </c>
      <c r="C13" s="522">
        <f>Gen!AK19</f>
        <v>0</v>
      </c>
      <c r="D13" s="523">
        <f>Gen!T19</f>
        <v>916.32999999999993</v>
      </c>
      <c r="E13" s="460">
        <f>Gen!D19</f>
        <v>35711.270000000011</v>
      </c>
      <c r="F13" s="461">
        <f>'Water-Meter'!E14</f>
        <v>52</v>
      </c>
      <c r="G13" s="462">
        <f>'Water-Meter'!AN14</f>
        <v>92</v>
      </c>
      <c r="H13" s="460">
        <f>'Utility report '!AC14</f>
        <v>46</v>
      </c>
      <c r="I13" s="459">
        <f>'Kit report'!F12</f>
        <v>192.00000000004366</v>
      </c>
      <c r="J13" s="460">
        <f>'Kit report'!X12</f>
        <v>0</v>
      </c>
    </row>
    <row r="14" spans="1:10" ht="17.100000000000001" customHeight="1">
      <c r="A14" s="263">
        <f>Gen!B20</f>
        <v>44084</v>
      </c>
      <c r="B14" s="464">
        <f>Gen!C20</f>
        <v>1.2999999999999999E-2</v>
      </c>
      <c r="C14" s="522">
        <f>Gen!AK20</f>
        <v>0</v>
      </c>
      <c r="D14" s="523">
        <f>Gen!T20</f>
        <v>0</v>
      </c>
      <c r="E14" s="460">
        <f>Gen!D20</f>
        <v>34794.94000000001</v>
      </c>
      <c r="F14" s="461" t="str">
        <f>'Water-Meter'!E15</f>
        <v>0</v>
      </c>
      <c r="G14" s="462">
        <f>'Water-Meter'!AN15</f>
        <v>0</v>
      </c>
      <c r="H14" s="460">
        <f>'Utility report '!AC15</f>
        <v>-38293</v>
      </c>
      <c r="I14" s="459">
        <f>'Kit report'!F13</f>
        <v>-1057092</v>
      </c>
      <c r="J14" s="460">
        <f>'Kit report'!X13</f>
        <v>-1564280</v>
      </c>
    </row>
    <row r="15" spans="1:10" ht="17.100000000000001" customHeight="1">
      <c r="A15" s="263">
        <f>Gen!B21</f>
        <v>44085</v>
      </c>
      <c r="B15" s="464">
        <f>Gen!C21</f>
        <v>0</v>
      </c>
      <c r="C15" s="522">
        <f>Gen!AK21</f>
        <v>0</v>
      </c>
      <c r="D15" s="523">
        <f>Gen!T21</f>
        <v>0</v>
      </c>
      <c r="E15" s="460">
        <f>Gen!D21</f>
        <v>34794.94000000001</v>
      </c>
      <c r="F15" s="461">
        <f>'Water-Meter'!E16</f>
        <v>0</v>
      </c>
      <c r="G15" s="462">
        <f>'Water-Meter'!AN16</f>
        <v>0</v>
      </c>
      <c r="H15" s="460">
        <f>'Utility report '!AC16</f>
        <v>0</v>
      </c>
      <c r="I15" s="459">
        <f>'Kit report'!F14</f>
        <v>0</v>
      </c>
      <c r="J15" s="460">
        <f>'Kit report'!X14</f>
        <v>0</v>
      </c>
    </row>
    <row r="16" spans="1:10" ht="17.100000000000001" customHeight="1">
      <c r="A16" s="263">
        <f>Gen!B22</f>
        <v>44086</v>
      </c>
      <c r="B16" s="464">
        <f>Gen!C22</f>
        <v>0</v>
      </c>
      <c r="C16" s="522">
        <f>Gen!AK22</f>
        <v>0</v>
      </c>
      <c r="D16" s="523">
        <f>Gen!T22</f>
        <v>0</v>
      </c>
      <c r="E16" s="460">
        <f>Gen!D22</f>
        <v>34794.94000000001</v>
      </c>
      <c r="F16" s="461">
        <f>'Water-Meter'!E17</f>
        <v>0</v>
      </c>
      <c r="G16" s="462">
        <f>'Water-Meter'!AN17</f>
        <v>0</v>
      </c>
      <c r="H16" s="460">
        <f>'Utility report '!AC17</f>
        <v>0</v>
      </c>
      <c r="I16" s="459">
        <f>'Kit report'!F15</f>
        <v>0</v>
      </c>
      <c r="J16" s="460">
        <f>'Kit report'!X15</f>
        <v>0</v>
      </c>
    </row>
    <row r="17" spans="1:10" ht="17.100000000000001" customHeight="1">
      <c r="A17" s="263">
        <f>Gen!B23</f>
        <v>44087</v>
      </c>
      <c r="B17" s="464">
        <f>Gen!C23</f>
        <v>0</v>
      </c>
      <c r="C17" s="522">
        <f>Gen!AK23</f>
        <v>0</v>
      </c>
      <c r="D17" s="523">
        <f>Gen!T23</f>
        <v>0</v>
      </c>
      <c r="E17" s="460">
        <f>Gen!D23</f>
        <v>34794.94000000001</v>
      </c>
      <c r="F17" s="461">
        <f>'Water-Meter'!E18</f>
        <v>0</v>
      </c>
      <c r="G17" s="462">
        <f>'Water-Meter'!AN18</f>
        <v>0</v>
      </c>
      <c r="H17" s="460">
        <f>'Utility report '!AC18</f>
        <v>0</v>
      </c>
      <c r="I17" s="459">
        <f>'Kit report'!F16</f>
        <v>0</v>
      </c>
      <c r="J17" s="460">
        <f>'Kit report'!X16</f>
        <v>0</v>
      </c>
    </row>
    <row r="18" spans="1:10" ht="17.100000000000001" customHeight="1">
      <c r="A18" s="263">
        <f>Gen!B24</f>
        <v>44088</v>
      </c>
      <c r="B18" s="464">
        <f>Gen!C24</f>
        <v>0</v>
      </c>
      <c r="C18" s="522">
        <f>Gen!AK24</f>
        <v>0</v>
      </c>
      <c r="D18" s="523">
        <f>Gen!T24</f>
        <v>0</v>
      </c>
      <c r="E18" s="460">
        <f>Gen!D24</f>
        <v>34794.94000000001</v>
      </c>
      <c r="F18" s="461">
        <f>'Water-Meter'!E19</f>
        <v>0</v>
      </c>
      <c r="G18" s="462">
        <f>'Water-Meter'!AN19</f>
        <v>0</v>
      </c>
      <c r="H18" s="460">
        <f>'Utility report '!AC19</f>
        <v>0</v>
      </c>
      <c r="I18" s="459">
        <f>'Kit report'!F17</f>
        <v>0</v>
      </c>
      <c r="J18" s="460">
        <f>'Kit report'!X17</f>
        <v>0</v>
      </c>
    </row>
    <row r="19" spans="1:10" ht="17.100000000000001" customHeight="1">
      <c r="A19" s="263">
        <f>Gen!B25</f>
        <v>44089</v>
      </c>
      <c r="B19" s="464">
        <f>Gen!C25</f>
        <v>0</v>
      </c>
      <c r="C19" s="522">
        <f>Gen!AK25</f>
        <v>0</v>
      </c>
      <c r="D19" s="523">
        <f>Gen!T25</f>
        <v>0</v>
      </c>
      <c r="E19" s="460">
        <f>Gen!D25</f>
        <v>34794.94000000001</v>
      </c>
      <c r="F19" s="461">
        <f>'Water-Meter'!E20</f>
        <v>0</v>
      </c>
      <c r="G19" s="462">
        <f>'Water-Meter'!AN20</f>
        <v>0</v>
      </c>
      <c r="H19" s="460">
        <f>'Utility report '!AC20</f>
        <v>0</v>
      </c>
      <c r="I19" s="459">
        <f>'Kit report'!F18</f>
        <v>0</v>
      </c>
      <c r="J19" s="460">
        <f>'Kit report'!X18</f>
        <v>0</v>
      </c>
    </row>
    <row r="20" spans="1:10" ht="17.100000000000001" customHeight="1">
      <c r="A20" s="263">
        <f>Gen!B26</f>
        <v>44090</v>
      </c>
      <c r="B20" s="464">
        <f>Gen!C26</f>
        <v>0</v>
      </c>
      <c r="C20" s="522">
        <f>Gen!AK26</f>
        <v>0</v>
      </c>
      <c r="D20" s="523">
        <f>Gen!T26</f>
        <v>0</v>
      </c>
      <c r="E20" s="460">
        <f>Gen!D26</f>
        <v>34794.94000000001</v>
      </c>
      <c r="F20" s="461">
        <f>'Water-Meter'!E21</f>
        <v>0</v>
      </c>
      <c r="G20" s="462">
        <f>'Water-Meter'!AN21</f>
        <v>0</v>
      </c>
      <c r="H20" s="460">
        <f>'Utility report '!AC21</f>
        <v>0</v>
      </c>
      <c r="I20" s="459">
        <f>'Kit report'!F19</f>
        <v>0</v>
      </c>
      <c r="J20" s="460">
        <f>'Kit report'!X19</f>
        <v>0</v>
      </c>
    </row>
    <row r="21" spans="1:10" ht="15">
      <c r="A21" s="263">
        <f>Gen!B27</f>
        <v>44091</v>
      </c>
      <c r="B21" s="464">
        <f>Gen!C27</f>
        <v>0</v>
      </c>
      <c r="C21" s="522">
        <f>Gen!AK27</f>
        <v>0</v>
      </c>
      <c r="D21" s="523">
        <f>Gen!T27</f>
        <v>0</v>
      </c>
      <c r="E21" s="460">
        <f>Gen!D27</f>
        <v>34794.94000000001</v>
      </c>
      <c r="F21" s="461">
        <f>'Water-Meter'!E22</f>
        <v>0</v>
      </c>
      <c r="G21" s="462">
        <f>'Water-Meter'!AN22</f>
        <v>0</v>
      </c>
      <c r="H21" s="460">
        <f>'Utility report '!AC22</f>
        <v>0</v>
      </c>
      <c r="I21" s="459">
        <f>'Kit report'!F20</f>
        <v>0</v>
      </c>
      <c r="J21" s="460">
        <f>'Kit report'!X20</f>
        <v>0</v>
      </c>
    </row>
    <row r="22" spans="1:10" ht="15" customHeight="1">
      <c r="A22" s="263">
        <f>Gen!B28</f>
        <v>44092</v>
      </c>
      <c r="B22" s="464">
        <f>Gen!C28</f>
        <v>0</v>
      </c>
      <c r="C22" s="522">
        <f>Gen!AK28</f>
        <v>0</v>
      </c>
      <c r="D22" s="523">
        <f>Gen!T28</f>
        <v>0</v>
      </c>
      <c r="E22" s="460">
        <f>Gen!D28</f>
        <v>34794.94000000001</v>
      </c>
      <c r="F22" s="461">
        <f>'Water-Meter'!E23</f>
        <v>0</v>
      </c>
      <c r="G22" s="462">
        <f>'Water-Meter'!AN23</f>
        <v>0</v>
      </c>
      <c r="H22" s="460">
        <f>'Utility report '!AC23</f>
        <v>0</v>
      </c>
      <c r="I22" s="459">
        <f>'Kit report'!F21</f>
        <v>0</v>
      </c>
      <c r="J22" s="460">
        <f>'Kit report'!X21</f>
        <v>0</v>
      </c>
    </row>
    <row r="23" spans="1:10" ht="15" customHeight="1">
      <c r="A23" s="263">
        <f>Gen!B29</f>
        <v>44093</v>
      </c>
      <c r="B23" s="464">
        <f>Gen!C29</f>
        <v>0</v>
      </c>
      <c r="C23" s="522">
        <f>Gen!AK29</f>
        <v>0</v>
      </c>
      <c r="D23" s="523">
        <f>Gen!T29</f>
        <v>0</v>
      </c>
      <c r="E23" s="460">
        <f>Gen!D29</f>
        <v>34794.94000000001</v>
      </c>
      <c r="F23" s="461">
        <f>'Water-Meter'!E24</f>
        <v>0</v>
      </c>
      <c r="G23" s="462">
        <f>'Water-Meter'!AN24</f>
        <v>0</v>
      </c>
      <c r="H23" s="460">
        <f>'Utility report '!AC24</f>
        <v>0</v>
      </c>
      <c r="I23" s="459">
        <f>'Kit report'!F22</f>
        <v>0</v>
      </c>
      <c r="J23" s="460">
        <f>'Kit report'!X22</f>
        <v>0</v>
      </c>
    </row>
    <row r="24" spans="1:10" ht="15" customHeight="1">
      <c r="A24" s="263">
        <f>Gen!B30</f>
        <v>44094</v>
      </c>
      <c r="B24" s="464">
        <f>Gen!C30</f>
        <v>0</v>
      </c>
      <c r="C24" s="522">
        <f>Gen!AK30</f>
        <v>0</v>
      </c>
      <c r="D24" s="523">
        <f>Gen!T30</f>
        <v>0</v>
      </c>
      <c r="E24" s="460">
        <f>Gen!D30</f>
        <v>34794.94000000001</v>
      </c>
      <c r="F24" s="461">
        <f>'Water-Meter'!E25</f>
        <v>0</v>
      </c>
      <c r="G24" s="462">
        <f>'Water-Meter'!AN25</f>
        <v>0</v>
      </c>
      <c r="H24" s="460">
        <f>'Utility report '!AC25</f>
        <v>0</v>
      </c>
      <c r="I24" s="459">
        <f>'Kit report'!F23</f>
        <v>0</v>
      </c>
      <c r="J24" s="460">
        <f>'Kit report'!X23</f>
        <v>0</v>
      </c>
    </row>
    <row r="25" spans="1:10" ht="15" customHeight="1">
      <c r="A25" s="263">
        <f>Gen!B31</f>
        <v>44095</v>
      </c>
      <c r="B25" s="464">
        <f>Gen!C31</f>
        <v>0</v>
      </c>
      <c r="C25" s="522">
        <f>Gen!AK31</f>
        <v>0</v>
      </c>
      <c r="D25" s="523">
        <f>Gen!T31</f>
        <v>0</v>
      </c>
      <c r="E25" s="460">
        <f>Gen!D31</f>
        <v>34794.94000000001</v>
      </c>
      <c r="F25" s="461">
        <f>'Water-Meter'!E26</f>
        <v>0</v>
      </c>
      <c r="G25" s="462">
        <f>'Water-Meter'!AN26</f>
        <v>0</v>
      </c>
      <c r="H25" s="460">
        <f>'Utility report '!AC26</f>
        <v>0</v>
      </c>
      <c r="I25" s="459">
        <f>'Kit report'!F24</f>
        <v>0</v>
      </c>
      <c r="J25" s="460">
        <f>'Kit report'!X24</f>
        <v>0</v>
      </c>
    </row>
    <row r="26" spans="1:10" ht="15" customHeight="1">
      <c r="A26" s="263">
        <f>Gen!B32</f>
        <v>44096</v>
      </c>
      <c r="B26" s="464">
        <f>Gen!C32</f>
        <v>0</v>
      </c>
      <c r="C26" s="522">
        <f>Gen!AK32</f>
        <v>0</v>
      </c>
      <c r="D26" s="523">
        <f>Gen!T32</f>
        <v>0</v>
      </c>
      <c r="E26" s="460">
        <f>Gen!D32</f>
        <v>34794.94000000001</v>
      </c>
      <c r="F26" s="461">
        <f>'Water-Meter'!E27</f>
        <v>0</v>
      </c>
      <c r="G26" s="462">
        <f>'Water-Meter'!AN27</f>
        <v>0</v>
      </c>
      <c r="H26" s="460">
        <f>'Utility report '!AC27</f>
        <v>0</v>
      </c>
      <c r="I26" s="459">
        <f>'Kit report'!F25</f>
        <v>0</v>
      </c>
      <c r="J26" s="460">
        <f>'Kit report'!X25</f>
        <v>0</v>
      </c>
    </row>
    <row r="27" spans="1:10" ht="15" customHeight="1">
      <c r="A27" s="263">
        <f>Gen!B33</f>
        <v>44097</v>
      </c>
      <c r="B27" s="464">
        <f>Gen!C33</f>
        <v>0</v>
      </c>
      <c r="C27" s="522">
        <f>Gen!AK33</f>
        <v>0</v>
      </c>
      <c r="D27" s="523">
        <f>Gen!T33</f>
        <v>0</v>
      </c>
      <c r="E27" s="460">
        <f>Gen!D33</f>
        <v>34794.94000000001</v>
      </c>
      <c r="F27" s="461">
        <f>'Water-Meter'!E28</f>
        <v>0</v>
      </c>
      <c r="G27" s="462">
        <f>'Water-Meter'!AN28</f>
        <v>0</v>
      </c>
      <c r="H27" s="460">
        <f>'Utility report '!AC28</f>
        <v>0</v>
      </c>
      <c r="I27" s="459">
        <f>'Kit report'!F26</f>
        <v>0</v>
      </c>
      <c r="J27" s="460">
        <f>'Kit report'!X26</f>
        <v>0</v>
      </c>
    </row>
    <row r="28" spans="1:10" ht="15" customHeight="1">
      <c r="A28" s="263">
        <f>Gen!B34</f>
        <v>44098</v>
      </c>
      <c r="B28" s="464">
        <v>9.0999999999999998E-2</v>
      </c>
      <c r="C28" s="522">
        <f>Gen!AK34</f>
        <v>0</v>
      </c>
      <c r="D28" s="523">
        <f>Gen!T34</f>
        <v>0</v>
      </c>
      <c r="E28" s="460">
        <f>Gen!D34</f>
        <v>34794.94000000001</v>
      </c>
      <c r="F28" s="461">
        <f>'Water-Meter'!E29</f>
        <v>0</v>
      </c>
      <c r="G28" s="462">
        <f>'Water-Meter'!AN29</f>
        <v>0</v>
      </c>
      <c r="H28" s="460">
        <f>'Utility report '!AC29</f>
        <v>0</v>
      </c>
      <c r="I28" s="459">
        <f>'Kit report'!F27</f>
        <v>0</v>
      </c>
      <c r="J28" s="460">
        <f>'Kit report'!X27</f>
        <v>0</v>
      </c>
    </row>
    <row r="29" spans="1:10" ht="15" customHeight="1">
      <c r="A29" s="263">
        <f>Gen!B35</f>
        <v>44099</v>
      </c>
      <c r="B29" s="464">
        <f>Gen!C35</f>
        <v>0</v>
      </c>
      <c r="C29" s="522">
        <f>Gen!AK35</f>
        <v>0</v>
      </c>
      <c r="D29" s="523">
        <f>Gen!T35</f>
        <v>0</v>
      </c>
      <c r="E29" s="460">
        <f>Gen!D35</f>
        <v>34794.94000000001</v>
      </c>
      <c r="F29" s="461">
        <f>'Water-Meter'!E30</f>
        <v>0</v>
      </c>
      <c r="G29" s="462">
        <f>'Water-Meter'!AN30</f>
        <v>0</v>
      </c>
      <c r="H29" s="460">
        <f>'Utility report '!AC30</f>
        <v>0</v>
      </c>
      <c r="I29" s="459">
        <f>'Kit report'!F28</f>
        <v>0</v>
      </c>
      <c r="J29" s="460">
        <f>'Kit report'!X28</f>
        <v>0</v>
      </c>
    </row>
    <row r="30" spans="1:10" ht="15" customHeight="1">
      <c r="A30" s="263">
        <f>Gen!B36</f>
        <v>44100</v>
      </c>
      <c r="B30" s="464">
        <f>Gen!C36</f>
        <v>0</v>
      </c>
      <c r="C30" s="522">
        <f>Gen!AK36</f>
        <v>0</v>
      </c>
      <c r="D30" s="523">
        <f>Gen!T36</f>
        <v>0</v>
      </c>
      <c r="E30" s="460">
        <f>Gen!D36</f>
        <v>34794.94000000001</v>
      </c>
      <c r="F30" s="461">
        <f>'Water-Meter'!E31</f>
        <v>0</v>
      </c>
      <c r="G30" s="462">
        <f>'Water-Meter'!AN31</f>
        <v>0</v>
      </c>
      <c r="H30" s="460">
        <f>'Utility report '!AC31</f>
        <v>0</v>
      </c>
      <c r="I30" s="459">
        <f>'Kit report'!F29</f>
        <v>0</v>
      </c>
      <c r="J30" s="460">
        <f>'Kit report'!X29</f>
        <v>0</v>
      </c>
    </row>
    <row r="31" spans="1:10" ht="15" customHeight="1">
      <c r="A31" s="263">
        <f>Gen!B37</f>
        <v>44101</v>
      </c>
      <c r="B31" s="464">
        <f>Gen!C37</f>
        <v>0</v>
      </c>
      <c r="C31" s="522">
        <f>Gen!AK37</f>
        <v>0</v>
      </c>
      <c r="D31" s="523">
        <f>Gen!T37</f>
        <v>0</v>
      </c>
      <c r="E31" s="460">
        <f>Gen!D37</f>
        <v>34794.94000000001</v>
      </c>
      <c r="F31" s="461">
        <f>'Water-Meter'!E32</f>
        <v>0</v>
      </c>
      <c r="G31" s="462">
        <f>'Water-Meter'!AN32</f>
        <v>0</v>
      </c>
      <c r="H31" s="460">
        <f>'Utility report '!AC32</f>
        <v>0</v>
      </c>
      <c r="I31" s="459">
        <f>'Kit report'!F30</f>
        <v>0</v>
      </c>
      <c r="J31" s="460">
        <f>'Kit report'!X30</f>
        <v>0</v>
      </c>
    </row>
    <row r="32" spans="1:10" ht="15" customHeight="1">
      <c r="A32" s="263">
        <f>Gen!B38</f>
        <v>44102</v>
      </c>
      <c r="B32" s="464">
        <f>Gen!C38</f>
        <v>0</v>
      </c>
      <c r="C32" s="522">
        <f>Gen!AK38</f>
        <v>0</v>
      </c>
      <c r="D32" s="523">
        <f>Gen!T38</f>
        <v>0</v>
      </c>
      <c r="E32" s="460">
        <f>Gen!D38</f>
        <v>34794.94000000001</v>
      </c>
      <c r="F32" s="461">
        <f>'Water-Meter'!E33</f>
        <v>0</v>
      </c>
      <c r="G32" s="462">
        <f>'Water-Meter'!AN33</f>
        <v>0</v>
      </c>
      <c r="H32" s="460">
        <f>'Utility report '!AC33</f>
        <v>0</v>
      </c>
      <c r="I32" s="459">
        <f>'Kit report'!F31</f>
        <v>0</v>
      </c>
      <c r="J32" s="460">
        <f>'Kit report'!X31</f>
        <v>0</v>
      </c>
    </row>
    <row r="33" spans="1:10" ht="15" customHeight="1">
      <c r="A33" s="263">
        <f>Gen!B39</f>
        <v>44103</v>
      </c>
      <c r="B33" s="464">
        <f>Gen!C39</f>
        <v>0</v>
      </c>
      <c r="C33" s="522">
        <f>Gen!AK39</f>
        <v>0</v>
      </c>
      <c r="D33" s="523">
        <f>Gen!T39</f>
        <v>0</v>
      </c>
      <c r="E33" s="460">
        <f>Gen!D39</f>
        <v>34794.94000000001</v>
      </c>
      <c r="F33" s="461">
        <f>'Water-Meter'!E34</f>
        <v>0</v>
      </c>
      <c r="G33" s="462">
        <f>'Water-Meter'!AN34</f>
        <v>0</v>
      </c>
      <c r="H33" s="460">
        <f>'Utility report '!AC34</f>
        <v>0</v>
      </c>
      <c r="I33" s="459">
        <f>'Kit report'!F32</f>
        <v>0</v>
      </c>
      <c r="J33" s="460">
        <f>'Kit report'!X32</f>
        <v>0</v>
      </c>
    </row>
    <row r="34" spans="1:10" ht="15" customHeight="1">
      <c r="A34" s="263">
        <f>Gen!B40</f>
        <v>44104</v>
      </c>
      <c r="B34" s="520">
        <f>Gen!C40</f>
        <v>0</v>
      </c>
      <c r="C34" s="522">
        <f>Gen!AK40</f>
        <v>0</v>
      </c>
      <c r="D34" s="523">
        <f>Gen!T40</f>
        <v>0</v>
      </c>
      <c r="E34" s="521">
        <f>Gen!D40</f>
        <v>34794.94000000001</v>
      </c>
      <c r="F34" s="461">
        <f>'Water-Meter'!E35</f>
        <v>0</v>
      </c>
      <c r="G34" s="462">
        <f>'Water-Meter'!AN35</f>
        <v>0</v>
      </c>
      <c r="H34" s="460">
        <f>'Utility report '!AC35</f>
        <v>0</v>
      </c>
      <c r="I34" s="459">
        <f>'Kit report'!F33</f>
        <v>0</v>
      </c>
      <c r="J34" s="460">
        <f>'Kit report'!X33</f>
        <v>0</v>
      </c>
    </row>
    <row r="35" spans="1:10" ht="15" customHeight="1">
      <c r="A35" s="263">
        <f>Gen!B41</f>
        <v>0</v>
      </c>
      <c r="B35" s="464">
        <f>Gen!C41</f>
        <v>0</v>
      </c>
      <c r="C35" s="522">
        <f>Gen!AK41</f>
        <v>0</v>
      </c>
      <c r="D35" s="523">
        <f>Gen!T41</f>
        <v>0</v>
      </c>
      <c r="E35" s="462">
        <f>Gen!D41</f>
        <v>34794.94000000001</v>
      </c>
      <c r="F35" s="461">
        <f>'Water-Meter'!E36</f>
        <v>0</v>
      </c>
      <c r="G35" s="462">
        <f>'Water-Meter'!AN36</f>
        <v>0</v>
      </c>
      <c r="H35" s="460">
        <f>'Utility report '!AC36</f>
        <v>0</v>
      </c>
      <c r="I35" s="459">
        <f>'Kit report'!F34</f>
        <v>0</v>
      </c>
      <c r="J35" s="460">
        <f>'Kit report'!X34</f>
        <v>0</v>
      </c>
    </row>
    <row r="36" spans="1:10" ht="15">
      <c r="A36" s="263"/>
      <c r="B36" s="18"/>
      <c r="C36" s="522">
        <f>Gen!AK42</f>
        <v>0</v>
      </c>
      <c r="D36" s="523">
        <f>Gen!T42</f>
        <v>0</v>
      </c>
      <c r="E36" s="462">
        <f>Gen!D42</f>
        <v>34794.94000000001</v>
      </c>
      <c r="F36" s="461">
        <f>'Water-Meter'!E37</f>
        <v>0</v>
      </c>
      <c r="G36" s="462">
        <f>'Water-Meter'!AN37</f>
        <v>461</v>
      </c>
      <c r="H36" s="460">
        <f>'Utility report '!AC37</f>
        <v>0</v>
      </c>
      <c r="I36" s="459">
        <f>'Kit report'!F35</f>
        <v>587.99999999995634</v>
      </c>
      <c r="J36" s="460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john.japhet</cp:lastModifiedBy>
  <cp:lastPrinted>2020-08-16T05:05:58Z</cp:lastPrinted>
  <dcterms:created xsi:type="dcterms:W3CDTF">2009-01-25T09:02:38Z</dcterms:created>
  <dcterms:modified xsi:type="dcterms:W3CDTF">2020-09-10T03:56:49Z</dcterms:modified>
</cp:coreProperties>
</file>