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1.11.6\Share_ENG\Readings\Readings 2020\"/>
    </mc:Choice>
  </mc:AlternateContent>
  <bookViews>
    <workbookView xWindow="0" yWindow="0" windowWidth="10710" windowHeight="9030" activeTab="4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1" l="1"/>
  <c r="O35" i="1"/>
  <c r="C31" i="6" l="1"/>
  <c r="I31" i="6" s="1"/>
  <c r="G31" i="6"/>
  <c r="G32" i="6"/>
  <c r="AC34" i="1" l="1"/>
  <c r="Q35" i="1"/>
  <c r="Q33" i="1"/>
  <c r="Q34" i="1"/>
  <c r="U19" i="1" l="1"/>
  <c r="U20" i="1"/>
  <c r="U21" i="1"/>
  <c r="U22" i="1"/>
  <c r="U23" i="1"/>
  <c r="U24" i="1"/>
  <c r="U25" i="1"/>
  <c r="S7" i="1"/>
  <c r="S8" i="1"/>
  <c r="S9" i="1"/>
  <c r="S10" i="1"/>
  <c r="S11" i="1"/>
  <c r="G28" i="2" l="1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D53" i="11"/>
  <c r="D52" i="11"/>
  <c r="Y6" i="1"/>
  <c r="J2" i="12" s="1"/>
  <c r="Y7" i="1"/>
  <c r="W6" i="1"/>
  <c r="I2" i="12" s="1"/>
  <c r="W7" i="1"/>
  <c r="I3" i="12" s="1"/>
  <c r="U6" i="1"/>
  <c r="U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AJ26" i="12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H30" i="12"/>
  <c r="H31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L30" i="12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G6" i="9" s="1"/>
  <c r="O8" i="1"/>
  <c r="G7" i="9" s="1"/>
  <c r="O9" i="1"/>
  <c r="G8" i="9" s="1"/>
  <c r="O10" i="1"/>
  <c r="G9" i="9" s="1"/>
  <c r="O11" i="1"/>
  <c r="G10" i="9" s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G33" i="9"/>
  <c r="G34" i="9"/>
  <c r="M6" i="1"/>
  <c r="E5" i="9" s="1"/>
  <c r="M7" i="1"/>
  <c r="E6" i="9" s="1"/>
  <c r="M8" i="1"/>
  <c r="E7" i="9" s="1"/>
  <c r="M9" i="1"/>
  <c r="E8" i="9" s="1"/>
  <c r="M10" i="1"/>
  <c r="M11" i="1"/>
  <c r="E10" i="9" s="1"/>
  <c r="M12" i="1"/>
  <c r="E11" i="9" s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M22" i="1"/>
  <c r="M23" i="1"/>
  <c r="E22" i="9" s="1"/>
  <c r="M24" i="1"/>
  <c r="E23" i="9" s="1"/>
  <c r="M25" i="1"/>
  <c r="E24" i="9" s="1"/>
  <c r="M26" i="1"/>
  <c r="M27" i="1"/>
  <c r="E26" i="9" s="1"/>
  <c r="M28" i="1"/>
  <c r="E27" i="9" s="1"/>
  <c r="M29" i="1"/>
  <c r="E28" i="9" s="1"/>
  <c r="M30" i="1"/>
  <c r="E29" i="9" s="1"/>
  <c r="M31" i="1"/>
  <c r="E30" i="9" s="1"/>
  <c r="M32" i="1"/>
  <c r="E31" i="9" s="1"/>
  <c r="M34" i="1"/>
  <c r="E33" i="9" s="1"/>
  <c r="M35" i="1"/>
  <c r="K35" i="1" s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U10" i="1"/>
  <c r="U9" i="1"/>
  <c r="U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H6" i="11"/>
  <c r="D34" i="11"/>
  <c r="J46" i="1"/>
  <c r="A51" i="6" s="1"/>
  <c r="J42" i="6" s="1"/>
  <c r="AJ37" i="9" s="1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AT10" i="9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4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AE25" i="12"/>
  <c r="AE26" i="12"/>
  <c r="AE27" i="12"/>
  <c r="Q479" i="10"/>
  <c r="Q1258" i="10"/>
  <c r="Q1651" i="10"/>
  <c r="Q2264" i="10"/>
  <c r="Q1523" i="10"/>
  <c r="Q359" i="10"/>
  <c r="G40" i="4"/>
  <c r="L2353" i="10"/>
  <c r="D66" i="10"/>
  <c r="BL39" i="1"/>
  <c r="BL40" i="1" s="1"/>
  <c r="BN40" i="1" s="1"/>
  <c r="Q557" i="10"/>
  <c r="Q801" i="10"/>
  <c r="Q471" i="10"/>
  <c r="Q308" i="10"/>
  <c r="Q1009" i="10"/>
  <c r="Q2112" i="10"/>
  <c r="P52" i="10"/>
  <c r="Q1112" i="10"/>
  <c r="BQ41" i="1"/>
  <c r="H32" i="2"/>
  <c r="I27" i="13" s="1"/>
  <c r="H33" i="2"/>
  <c r="P31" i="9" s="1"/>
  <c r="Q1143" i="10"/>
  <c r="Q1012" i="10"/>
  <c r="Q442" i="10"/>
  <c r="Q10" i="10"/>
  <c r="Q1389" i="10"/>
  <c r="Q2216" i="10"/>
  <c r="Q1704" i="10"/>
  <c r="G17" i="4"/>
  <c r="BQ5" i="9"/>
  <c r="BE35" i="1"/>
  <c r="BE34" i="1"/>
  <c r="BE33" i="1"/>
  <c r="Y29" i="12" s="1"/>
  <c r="G33" i="4" l="1"/>
  <c r="BQ44" i="1"/>
  <c r="C18" i="9"/>
  <c r="H27" i="6"/>
  <c r="G12" i="4"/>
  <c r="G28" i="4"/>
  <c r="H11" i="6"/>
  <c r="G16" i="4"/>
  <c r="G32" i="4"/>
  <c r="G36" i="4"/>
  <c r="Q1221" i="10"/>
  <c r="Q1878" i="10"/>
  <c r="P55" i="10"/>
  <c r="Q178" i="10"/>
  <c r="Q1776" i="10"/>
  <c r="Q1914" i="10"/>
  <c r="Q2179" i="10"/>
  <c r="Q1940" i="10"/>
  <c r="Q1669" i="10"/>
  <c r="Q577" i="10"/>
  <c r="Q968" i="10"/>
  <c r="Q1100" i="10"/>
  <c r="Q1446" i="10"/>
  <c r="Q1901" i="10"/>
  <c r="Q1264" i="10"/>
  <c r="Q1710" i="10"/>
  <c r="Q1609" i="10"/>
  <c r="Q580" i="10"/>
  <c r="Q2101" i="10"/>
  <c r="Q1402" i="10"/>
  <c r="Q27" i="10"/>
  <c r="Q1675" i="10"/>
  <c r="Q1554" i="10"/>
  <c r="Q2011" i="10"/>
  <c r="Q1294" i="10"/>
  <c r="Q926" i="10"/>
  <c r="Q978" i="10"/>
  <c r="Q576" i="10"/>
  <c r="Q1960" i="10"/>
  <c r="Q293" i="10"/>
  <c r="Q201" i="10"/>
  <c r="Q358" i="10"/>
  <c r="Q933" i="10"/>
  <c r="Q2306" i="10"/>
  <c r="Q734" i="10"/>
  <c r="P15" i="10"/>
  <c r="Q806" i="10"/>
  <c r="Q2129" i="10"/>
  <c r="Q1941" i="10"/>
  <c r="Q857" i="10"/>
  <c r="P4" i="10"/>
  <c r="Q2147" i="10"/>
  <c r="Q1747" i="10"/>
  <c r="Q1758" i="10"/>
  <c r="Q737" i="10"/>
  <c r="Q1629" i="10"/>
  <c r="Q1889" i="10"/>
  <c r="Q1057" i="10"/>
  <c r="Q1982" i="10"/>
  <c r="Q1487" i="10"/>
  <c r="Q519" i="10"/>
  <c r="Q1707" i="10"/>
  <c r="Q1502" i="10"/>
  <c r="Q312" i="10"/>
  <c r="Q925" i="10"/>
  <c r="Q1210" i="10"/>
  <c r="Q484" i="10"/>
  <c r="Q1260" i="10"/>
  <c r="H36" i="6"/>
  <c r="BS42" i="1"/>
  <c r="BN42" i="1"/>
  <c r="D2353" i="10"/>
  <c r="BQ43" i="1"/>
  <c r="H2353" i="10"/>
  <c r="H31" i="6"/>
  <c r="H30" i="6"/>
  <c r="H24" i="6"/>
  <c r="AH28" i="9"/>
  <c r="G25" i="4"/>
  <c r="BL44" i="1"/>
  <c r="BL43" i="1"/>
  <c r="BN43" i="1" s="1"/>
  <c r="BR42" i="1"/>
  <c r="C15" i="9"/>
  <c r="C37" i="1"/>
  <c r="C38" i="1" s="1"/>
  <c r="C30" i="9"/>
  <c r="K36" i="6"/>
  <c r="G31" i="13" s="1"/>
  <c r="C24" i="9"/>
  <c r="H11" i="2"/>
  <c r="I6" i="13" s="1"/>
  <c r="C11" i="9"/>
  <c r="Q1576" i="10"/>
  <c r="Q1832" i="10"/>
  <c r="Q2088" i="10"/>
  <c r="Q1053" i="10"/>
  <c r="Q2025" i="10"/>
  <c r="Q1497" i="10"/>
  <c r="Q709" i="10"/>
  <c r="Q2325" i="10"/>
  <c r="Q1639" i="10"/>
  <c r="Q1262" i="10"/>
  <c r="Q556" i="10"/>
  <c r="Q1224" i="10"/>
  <c r="Q760" i="10"/>
  <c r="Q408" i="10"/>
  <c r="Q1867" i="10"/>
  <c r="Q130" i="10"/>
  <c r="Q720" i="10"/>
  <c r="Q457" i="10"/>
  <c r="Q607" i="10"/>
  <c r="Q1958" i="10"/>
  <c r="Q1819" i="10"/>
  <c r="Q1790" i="10"/>
  <c r="Q2256" i="10"/>
  <c r="Q633" i="10"/>
  <c r="Q1714" i="10"/>
  <c r="Q159" i="10"/>
  <c r="Q1114" i="10"/>
  <c r="Q844" i="10"/>
  <c r="Q45" i="10"/>
  <c r="Q537" i="10"/>
  <c r="Q2253" i="10"/>
  <c r="Q356" i="10"/>
  <c r="Q1353" i="10"/>
  <c r="Q1833" i="10"/>
  <c r="Q1381" i="10"/>
  <c r="Q1952" i="10"/>
  <c r="Q1600" i="10"/>
  <c r="Q125" i="10"/>
  <c r="Q124" i="10"/>
  <c r="P41" i="10"/>
  <c r="Q2237" i="10"/>
  <c r="Q1845" i="10"/>
  <c r="Q460" i="10"/>
  <c r="Q2170" i="10"/>
  <c r="Q1658" i="10"/>
  <c r="Q1031" i="10"/>
  <c r="Q215" i="10"/>
  <c r="Q470" i="10"/>
  <c r="Q1226" i="10"/>
  <c r="Q1424" i="10"/>
  <c r="Q1944" i="10"/>
  <c r="Q1273" i="10"/>
  <c r="Q229" i="10"/>
  <c r="Q1750" i="10"/>
  <c r="Q233" i="10"/>
  <c r="Q354" i="10"/>
  <c r="Q1741" i="10"/>
  <c r="Q1587" i="10"/>
  <c r="Q1328" i="10"/>
  <c r="Q501" i="10"/>
  <c r="Q1799" i="10"/>
  <c r="Q1574" i="10"/>
  <c r="Q75" i="10"/>
  <c r="Q432" i="10"/>
  <c r="Q1650" i="10"/>
  <c r="Q2133" i="10"/>
  <c r="Q797" i="10"/>
  <c r="Q1613" i="10"/>
  <c r="Q163" i="10"/>
  <c r="Q640" i="10"/>
  <c r="Q1425" i="10"/>
  <c r="Q368" i="10"/>
  <c r="Q2077" i="10"/>
  <c r="Q1162" i="10"/>
  <c r="Q769" i="10"/>
  <c r="Q147" i="10"/>
  <c r="Q2132" i="10"/>
  <c r="Q1807" i="10"/>
  <c r="Q1802" i="10"/>
  <c r="Q37" i="10"/>
  <c r="Q1939" i="10"/>
  <c r="Q303" i="10"/>
  <c r="Q1158" i="10"/>
  <c r="Q1846" i="10"/>
  <c r="Q1321" i="10"/>
  <c r="Q2209" i="10"/>
  <c r="Q1090" i="10"/>
  <c r="Q539" i="10"/>
  <c r="Q488" i="10"/>
  <c r="Q1316" i="10"/>
  <c r="Q992" i="10"/>
  <c r="Q1589" i="10"/>
  <c r="Q177" i="10"/>
  <c r="Q2229" i="10"/>
  <c r="Q113" i="10"/>
  <c r="Q1172" i="10"/>
  <c r="P29" i="10"/>
  <c r="Q273" i="10"/>
  <c r="Q1156" i="10"/>
  <c r="Q1378" i="10"/>
  <c r="Q723" i="10"/>
  <c r="Q222" i="10"/>
  <c r="Q84" i="10"/>
  <c r="Q1315" i="10"/>
  <c r="Q181" i="10"/>
  <c r="Q1003" i="10"/>
  <c r="Q815" i="10"/>
  <c r="Q1868" i="10"/>
  <c r="Q2248" i="10"/>
  <c r="Q2181" i="10"/>
  <c r="Q600" i="10"/>
  <c r="Q1627" i="10"/>
  <c r="Q1666" i="10"/>
  <c r="Q1280" i="10"/>
  <c r="Q366" i="10"/>
  <c r="Q1109" i="10"/>
  <c r="Q1603" i="10"/>
  <c r="Q976" i="10"/>
  <c r="Q1147" i="10"/>
  <c r="Q751" i="10"/>
  <c r="P2341" i="10"/>
  <c r="Q2138" i="10"/>
  <c r="Q1863" i="10"/>
  <c r="Q1383" i="10"/>
  <c r="Q2086" i="10"/>
  <c r="Q695" i="10"/>
  <c r="Q1342" i="10"/>
  <c r="Q2090" i="10"/>
  <c r="Q2055" i="10"/>
  <c r="Q1511" i="10"/>
  <c r="Q1755" i="10"/>
  <c r="Q1836" i="10"/>
  <c r="Q388" i="10"/>
  <c r="Q1334" i="10"/>
  <c r="Q870" i="10"/>
  <c r="Q107" i="10"/>
  <c r="Q2087" i="10"/>
  <c r="Q346" i="10"/>
  <c r="Q654" i="10"/>
  <c r="Q2069" i="10"/>
  <c r="Q583" i="10"/>
  <c r="Q1541" i="10"/>
  <c r="Q1622" i="10"/>
  <c r="Q2296" i="10"/>
  <c r="Q2167" i="10"/>
  <c r="Q2165" i="10"/>
  <c r="Q487" i="10"/>
  <c r="Q1605" i="10"/>
  <c r="Q2006" i="10"/>
  <c r="Q1906" i="10"/>
  <c r="Q2343" i="10"/>
  <c r="Q1806" i="10"/>
  <c r="Q1748" i="10"/>
  <c r="Q176" i="10"/>
  <c r="Q882" i="10"/>
  <c r="Q1885" i="10"/>
  <c r="Q2333" i="10"/>
  <c r="Q1426" i="10"/>
  <c r="Q1237" i="10"/>
  <c r="Q582" i="10"/>
  <c r="Q823" i="10"/>
  <c r="Q2066" i="10"/>
  <c r="Q1640" i="10"/>
  <c r="Q1768" i="10"/>
  <c r="Q1896" i="10"/>
  <c r="Q2024" i="10"/>
  <c r="Q2152" i="10"/>
  <c r="Q1413" i="10"/>
  <c r="Q541" i="10"/>
  <c r="Q2287" i="10"/>
  <c r="Q1335" i="10"/>
  <c r="Q1625" i="10"/>
  <c r="Q1369" i="10"/>
  <c r="Q965" i="10"/>
  <c r="Q420" i="10"/>
  <c r="P60" i="10"/>
  <c r="Q2261" i="10"/>
  <c r="Q1921" i="10"/>
  <c r="Q793" i="10"/>
  <c r="Q1774" i="10"/>
  <c r="Q2362" i="10"/>
  <c r="Q114" i="10"/>
  <c r="Q812" i="10"/>
  <c r="Q1096" i="10"/>
  <c r="Q1291" i="10"/>
  <c r="Q2003" i="10"/>
  <c r="Q504" i="10"/>
  <c r="Q241" i="10"/>
  <c r="Q1366" i="10"/>
  <c r="Q685" i="10"/>
  <c r="Q236" i="10"/>
  <c r="Q820" i="10"/>
  <c r="P2360" i="10"/>
  <c r="Q1849" i="10"/>
  <c r="Q592" i="10"/>
  <c r="Q186" i="10"/>
  <c r="Q329" i="10"/>
  <c r="Q53" i="10"/>
  <c r="Q1119" i="10"/>
  <c r="Q1702" i="10"/>
  <c r="Q1677" i="10"/>
  <c r="Q2075" i="10"/>
  <c r="P2369" i="10"/>
  <c r="Q98" i="10"/>
  <c r="Q721" i="10"/>
  <c r="Q2320" i="10"/>
  <c r="Q2137" i="10"/>
  <c r="Q1599" i="10"/>
  <c r="P66" i="10"/>
  <c r="Q1970" i="10"/>
  <c r="Q1458" i="10"/>
  <c r="Q631" i="10"/>
  <c r="Q415" i="10"/>
  <c r="Q678" i="10"/>
  <c r="Q2023" i="10"/>
  <c r="Q1699" i="10"/>
  <c r="Q1240" i="10"/>
  <c r="Q984" i="10"/>
  <c r="Q588" i="10"/>
  <c r="Q325" i="10"/>
  <c r="Q1135" i="10"/>
  <c r="Q1645" i="10"/>
  <c r="Q1575" i="10"/>
  <c r="Q2131" i="10"/>
  <c r="Q2317" i="10"/>
  <c r="Q705" i="10"/>
  <c r="Q677" i="10"/>
  <c r="Q1189" i="10"/>
  <c r="Q1481" i="10"/>
  <c r="Q2208" i="10"/>
  <c r="Q2271" i="10"/>
  <c r="Q861" i="10"/>
  <c r="Q2242" i="10"/>
  <c r="Q2032" i="10"/>
  <c r="Q1856" i="10"/>
  <c r="Q1696" i="10"/>
  <c r="Q884" i="10"/>
  <c r="Q445" i="10"/>
  <c r="Q1167" i="10"/>
  <c r="Q196" i="10"/>
  <c r="Q689" i="10"/>
  <c r="P2348" i="10"/>
  <c r="P9" i="10"/>
  <c r="Q2274" i="10"/>
  <c r="Q2173" i="10"/>
  <c r="Q1973" i="10"/>
  <c r="Q1717" i="10"/>
  <c r="Q1201" i="10"/>
  <c r="Q2251" i="10"/>
  <c r="Q1341" i="10"/>
  <c r="Q2042" i="10"/>
  <c r="Q1786" i="10"/>
  <c r="Q1530" i="10"/>
  <c r="Q1274" i="10"/>
  <c r="Q775" i="10"/>
  <c r="Q81" i="10"/>
  <c r="Q343" i="10"/>
  <c r="Q214" i="10"/>
  <c r="Q606" i="10"/>
  <c r="Q970" i="10"/>
  <c r="Q1735" i="10"/>
  <c r="Q595" i="10"/>
  <c r="Q725" i="10"/>
  <c r="Q1688" i="10"/>
  <c r="Q2226" i="10"/>
  <c r="Q2200" i="10"/>
  <c r="Q156" i="10"/>
  <c r="Q493" i="10"/>
  <c r="Q936" i="10"/>
  <c r="Q138" i="10"/>
  <c r="Q1164" i="10"/>
  <c r="Q496" i="10"/>
  <c r="Q1382" i="10"/>
  <c r="Q489" i="10"/>
  <c r="Q188" i="10"/>
  <c r="Q2185" i="10"/>
  <c r="Q2159" i="10"/>
  <c r="Q319" i="10"/>
  <c r="E45" i="7"/>
  <c r="E51" i="7" s="1"/>
  <c r="Q409" i="10"/>
  <c r="Q2360" i="10"/>
  <c r="Q257" i="10"/>
  <c r="Q1772" i="10"/>
  <c r="Q1857" i="10"/>
  <c r="Q1661" i="10"/>
  <c r="Q951" i="10"/>
  <c r="Q1793" i="10"/>
  <c r="Q2230" i="10"/>
  <c r="Q741" i="10"/>
  <c r="Q1010" i="10"/>
  <c r="Q2004" i="10"/>
  <c r="Q2311" i="10"/>
  <c r="Q2323" i="10"/>
  <c r="Q17" i="10"/>
  <c r="Q545" i="10"/>
  <c r="Q2134" i="10"/>
  <c r="Q360" i="10"/>
  <c r="Q686" i="10"/>
  <c r="Q1621" i="10"/>
  <c r="Q571" i="10"/>
  <c r="Q1122" i="10"/>
  <c r="Q2241" i="10"/>
  <c r="Q1449" i="10"/>
  <c r="P39" i="10"/>
  <c r="Q895" i="10"/>
  <c r="Q854" i="10"/>
  <c r="Q89" i="10"/>
  <c r="P2363" i="10"/>
  <c r="Q218" i="10"/>
  <c r="Q526" i="10"/>
  <c r="Q1362" i="10"/>
  <c r="Q1266" i="10"/>
  <c r="Q956" i="10"/>
  <c r="Q1038" i="10"/>
  <c r="Q1097" i="10"/>
  <c r="Q1194" i="10"/>
  <c r="Q395" i="10"/>
  <c r="Q1705" i="10"/>
  <c r="Q187" i="10"/>
  <c r="G22" i="4"/>
  <c r="H22" i="4"/>
  <c r="Q20" i="10"/>
  <c r="Q1067" i="10"/>
  <c r="Q2276" i="10"/>
  <c r="Q830" i="10"/>
  <c r="Q444" i="10"/>
  <c r="Q2194" i="10"/>
  <c r="Q1664" i="10"/>
  <c r="Q60" i="10"/>
  <c r="Q1943" i="10"/>
  <c r="Q1352" i="10"/>
  <c r="Q700" i="10"/>
  <c r="Q1099" i="10"/>
  <c r="P47" i="10"/>
  <c r="Q2245" i="10"/>
  <c r="Q458" i="10"/>
  <c r="Q1371" i="10"/>
  <c r="Q1602" i="10"/>
  <c r="Q1171" i="10"/>
  <c r="Q334" i="10"/>
  <c r="Q1441" i="10"/>
  <c r="Q1539" i="10"/>
  <c r="Q782" i="10"/>
  <c r="Q665" i="10"/>
  <c r="Q1652" i="10"/>
  <c r="Q859" i="10"/>
  <c r="Q449" i="10"/>
  <c r="Q2206" i="10"/>
  <c r="Q2236" i="10"/>
  <c r="Q1724" i="10"/>
  <c r="Q1108" i="10"/>
  <c r="Q1593" i="10"/>
  <c r="Q1642" i="10"/>
  <c r="Q2000" i="10"/>
  <c r="Q1076" i="10"/>
  <c r="Q1561" i="10"/>
  <c r="Q1690" i="10"/>
  <c r="Q1657" i="10"/>
  <c r="Q2122" i="10"/>
  <c r="Q1920" i="10"/>
  <c r="Q780" i="10"/>
  <c r="Q876" i="10"/>
  <c r="Q1670" i="10"/>
  <c r="Q1041" i="10"/>
  <c r="Q589" i="10"/>
  <c r="P2358" i="10"/>
  <c r="Q2273" i="10"/>
  <c r="Q1751" i="10"/>
  <c r="Q610" i="10"/>
  <c r="Q347" i="10"/>
  <c r="Q1451" i="10"/>
  <c r="Q1251" i="10"/>
  <c r="Q2015" i="10"/>
  <c r="Q1110" i="10"/>
  <c r="Q1654" i="10"/>
  <c r="Q1281" i="10"/>
  <c r="Q1388" i="10"/>
  <c r="Q141" i="10"/>
  <c r="Q108" i="10"/>
  <c r="Q2297" i="10"/>
  <c r="Q765" i="10"/>
  <c r="Q486" i="10"/>
  <c r="Q429" i="10"/>
  <c r="Q495" i="10"/>
  <c r="Q1546" i="10"/>
  <c r="Q916" i="10"/>
  <c r="Q879" i="10"/>
  <c r="Q1403" i="10"/>
  <c r="Q927" i="10"/>
  <c r="Q2307" i="10"/>
  <c r="Q12" i="10"/>
  <c r="Q207" i="10"/>
  <c r="Q1955" i="10"/>
  <c r="Q2039" i="10"/>
  <c r="Q682" i="10"/>
  <c r="Q419" i="10"/>
  <c r="Q2038" i="10"/>
  <c r="Q1400" i="10"/>
  <c r="Q71" i="10"/>
  <c r="Q1182" i="10"/>
  <c r="Q1116" i="10"/>
  <c r="Q641" i="10"/>
  <c r="Q1460" i="10"/>
  <c r="Q635" i="10"/>
  <c r="Q1923" i="10"/>
  <c r="Q921" i="10"/>
  <c r="Q1370" i="10"/>
  <c r="Q2334" i="10"/>
  <c r="Q1635" i="10"/>
  <c r="Q991" i="10"/>
  <c r="Q704" i="10"/>
  <c r="Q515" i="10"/>
  <c r="Q1479" i="10"/>
  <c r="Q1006" i="10"/>
  <c r="Q1212" i="10"/>
  <c r="Q1660" i="10"/>
  <c r="Q1391" i="10"/>
  <c r="Q212" i="10"/>
  <c r="Q50" i="10"/>
  <c r="Q1931" i="10"/>
  <c r="Q543" i="10"/>
  <c r="Q226" i="10"/>
  <c r="Q2161" i="10"/>
  <c r="Q1506" i="10"/>
  <c r="Q1018" i="10"/>
  <c r="Q1892" i="10"/>
  <c r="Q428" i="10"/>
  <c r="Q642" i="10"/>
  <c r="Q443" i="10"/>
  <c r="Q1129" i="10"/>
  <c r="Q1668" i="10"/>
  <c r="Q491" i="10"/>
  <c r="Q1443" i="10"/>
  <c r="Q950" i="10"/>
  <c r="Q856" i="10"/>
  <c r="Q2151" i="10"/>
  <c r="Q1420" i="10"/>
  <c r="Q683" i="10"/>
  <c r="Q2115" i="10"/>
  <c r="Q1977" i="10"/>
  <c r="Q821" i="10"/>
  <c r="Q1269" i="10"/>
  <c r="Q1676" i="10"/>
  <c r="Q937" i="10"/>
  <c r="Q2342" i="10"/>
  <c r="V40" i="2" s="1"/>
  <c r="V42" i="2" s="1"/>
  <c r="V41" i="2" s="1"/>
  <c r="Q1989" i="10"/>
  <c r="Q1712" i="10"/>
  <c r="Q2081" i="10"/>
  <c r="Q848" i="10"/>
  <c r="Q1196" i="10"/>
  <c r="Q249" i="10"/>
  <c r="Q1915" i="10"/>
  <c r="Q316" i="10"/>
  <c r="Q1725" i="10"/>
  <c r="Q1794" i="10"/>
  <c r="Q335" i="10"/>
  <c r="Q284" i="10"/>
  <c r="Q1408" i="10"/>
  <c r="Q1911" i="10"/>
  <c r="Q802" i="10"/>
  <c r="Q430" i="10"/>
  <c r="Q387" i="10"/>
  <c r="Q264" i="10"/>
  <c r="Q897" i="10"/>
  <c r="Q1336" i="10"/>
  <c r="Q16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Q833" i="10"/>
  <c r="Q2279" i="10"/>
  <c r="Q1577" i="10"/>
  <c r="Q506" i="10"/>
  <c r="Q2263" i="10"/>
  <c r="Q810" i="10"/>
  <c r="Q997" i="10"/>
  <c r="Q736" i="10"/>
  <c r="Q2332" i="10"/>
  <c r="Q111" i="10"/>
  <c r="Q96" i="10"/>
  <c r="Q286" i="10"/>
  <c r="Q1217" i="10"/>
  <c r="Q2079" i="10"/>
  <c r="Q596" i="10"/>
  <c r="Q2068" i="10"/>
  <c r="Q1913" i="10"/>
  <c r="P32" i="10"/>
  <c r="Q2060" i="10"/>
  <c r="Q531" i="10"/>
  <c r="Q2105" i="10"/>
  <c r="Q389" i="10"/>
  <c r="Q768" i="10"/>
  <c r="Q482" i="10"/>
  <c r="Q2223" i="10"/>
  <c r="Q954" i="10"/>
  <c r="Q160" i="10"/>
  <c r="Q650" i="10"/>
  <c r="Q195" i="10"/>
  <c r="Q1732" i="10"/>
  <c r="Q2095" i="10"/>
  <c r="Q1086" i="10"/>
  <c r="Q511" i="10"/>
  <c r="Q1473" i="10"/>
  <c r="Q1364" i="10"/>
  <c r="Q66" i="10"/>
  <c r="Q1184" i="10"/>
  <c r="P16" i="10"/>
  <c r="Q1149" i="10"/>
  <c r="Q351" i="10"/>
  <c r="P5" i="10"/>
  <c r="Q691" i="10"/>
  <c r="Q1957" i="10"/>
  <c r="Q1616" i="10"/>
  <c r="Q255" i="10"/>
  <c r="Q100" i="10"/>
  <c r="Q1228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E38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E37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W5" i="9"/>
  <c r="AU29" i="9"/>
  <c r="W11" i="2"/>
  <c r="BN9" i="9" s="1"/>
  <c r="G37" i="4"/>
  <c r="J29" i="6"/>
  <c r="AJ27" i="9" s="1"/>
  <c r="H24" i="2"/>
  <c r="I19" i="13" s="1"/>
  <c r="AU21" i="9"/>
  <c r="AH16" i="9"/>
  <c r="AE3" i="12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E33" i="7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E39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J16" i="6"/>
  <c r="AJ14" i="9" s="1"/>
  <c r="BO44" i="1"/>
  <c r="O2368" i="10"/>
  <c r="F2353" i="10"/>
  <c r="S38" i="2"/>
  <c r="C22" i="7" s="1"/>
  <c r="E25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C5" i="9"/>
  <c r="F66" i="10"/>
  <c r="C2370" i="10"/>
  <c r="AL6" i="1"/>
  <c r="K31" i="1"/>
  <c r="G27" i="12" s="1"/>
  <c r="K11" i="1"/>
  <c r="G7" i="12" s="1"/>
  <c r="BB33" i="1"/>
  <c r="X29" i="12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AL14" i="1"/>
  <c r="Q32" i="2"/>
  <c r="X30" i="9" s="1"/>
  <c r="P30" i="9"/>
  <c r="AF31" i="12"/>
  <c r="H36" i="2"/>
  <c r="X36" i="2" s="1"/>
  <c r="K31" i="6"/>
  <c r="G26" i="13" s="1"/>
  <c r="AH29" i="9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G31" i="12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K28" i="6"/>
  <c r="G23" i="13" s="1"/>
  <c r="K24" i="6"/>
  <c r="G19" i="13" s="1"/>
  <c r="O2369" i="10"/>
  <c r="BE37" i="1"/>
  <c r="BE38" i="1" s="1"/>
  <c r="BP40" i="1"/>
  <c r="BR43" i="1"/>
  <c r="BS43" i="1"/>
  <c r="I10" i="4"/>
  <c r="Z40" i="2"/>
  <c r="BQ35" i="9" s="1"/>
  <c r="I28" i="13"/>
  <c r="U33" i="2"/>
  <c r="BM31" i="9" s="1"/>
  <c r="E37" i="1"/>
  <c r="E38" i="1" s="1"/>
  <c r="X32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Y43" i="2" l="1"/>
  <c r="BP38" i="9" s="1"/>
  <c r="O2353" i="10"/>
  <c r="U11" i="2"/>
  <c r="BM9" i="9" s="1"/>
  <c r="O2370" i="10"/>
  <c r="R33" i="9"/>
  <c r="P26" i="9"/>
  <c r="W24" i="2"/>
  <c r="BN22" i="9" s="1"/>
  <c r="U24" i="2"/>
  <c r="BM22" i="9" s="1"/>
  <c r="P12" i="9"/>
  <c r="U25" i="2"/>
  <c r="BM23" i="9" s="1"/>
  <c r="X24" i="2"/>
  <c r="Z24" i="2" s="1"/>
  <c r="BQ22" i="9" s="1"/>
  <c r="Q24" i="2"/>
  <c r="X22" i="9" s="1"/>
  <c r="P22" i="9"/>
  <c r="X13" i="2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Z28" i="2" s="1"/>
  <c r="BQ26" i="9" s="1"/>
  <c r="W28" i="2"/>
  <c r="BN26" i="9" s="1"/>
  <c r="U17" i="2"/>
  <c r="BM15" i="9" s="1"/>
  <c r="W14" i="2"/>
  <c r="BN12" i="9" s="1"/>
  <c r="G54" i="11"/>
  <c r="G43" i="11"/>
  <c r="X26" i="2"/>
  <c r="Z26" i="2" s="1"/>
  <c r="BQ24" i="9" s="1"/>
  <c r="BO20" i="9"/>
  <c r="I17" i="13"/>
  <c r="W22" i="2"/>
  <c r="BN20" i="9" s="1"/>
  <c r="Y22" i="2"/>
  <c r="BP20" i="9" s="1"/>
  <c r="Q22" i="2"/>
  <c r="X20" i="9" s="1"/>
  <c r="I20" i="13"/>
  <c r="BO35" i="9"/>
  <c r="X44" i="2"/>
  <c r="Y44" i="2" s="1"/>
  <c r="BP39" i="9" s="1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13" i="2"/>
  <c r="BQ11" i="9" s="1"/>
  <c r="Z44" i="2"/>
  <c r="BQ39" i="9" s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8" i="2"/>
  <c r="BP26" i="9" s="1"/>
  <c r="G34" i="11" l="1"/>
  <c r="G35" i="11" s="1"/>
  <c r="BO39" i="9"/>
  <c r="Y24" i="2"/>
  <c r="BP22" i="9" s="1"/>
  <c r="Y17" i="2"/>
  <c r="BP15" i="9" s="1"/>
  <c r="BO26" i="9"/>
  <c r="Y26" i="2"/>
  <c r="BP24" i="9" s="1"/>
  <c r="BO24" i="9"/>
  <c r="BO22" i="9"/>
  <c r="Y8" i="2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K18" i="11" s="1"/>
  <c r="K16" i="11" s="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<sst xmlns="http://schemas.openxmlformats.org/spreadsheetml/2006/main" count="889" uniqueCount="414">
  <si>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</si>
  <si>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</si>
  <si>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</si>
  <si>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</si>
  <si>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</si>
  <si>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</si>
  <si>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</si>
  <si>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</si>
  <si>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</si>
  <si>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</si>
  <si>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</si>
  <si>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</si>
  <si>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</si>
  <si>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</si>
  <si>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</si>
  <si>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</si>
  <si>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</si>
  <si>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</si>
  <si>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</si>
  <si>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</si>
  <si>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</si>
  <si>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</si>
  <si>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</si>
  <si>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</si>
  <si>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</si>
  <si>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</si>
  <si>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</si>
  <si>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</si>
  <si>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</si>
  <si>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</si>
  <si>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</si>
  <si>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</si>
  <si>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</si>
  <si>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</si>
  <si>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</si>
  <si>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</si>
  <si>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</si>
  <si>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</si>
  <si>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</si>
  <si>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</si>
  <si>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</si>
  <si>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</si>
  <si>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</si>
  <si>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</si>
  <si>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</si>
  <si>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</si>
  <si>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</si>
  <si>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</si>
  <si>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</si>
  <si>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</si>
  <si>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</si>
  <si>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</si>
  <si>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</si>
  <si>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</si>
  <si>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</si>
  <si>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</si>
  <si>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</si>
  <si>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</si>
  <si>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</si>
  <si>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</si>
  <si>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</si>
  <si>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</si>
  <si>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</si>
  <si>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</si>
  <si>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</si>
  <si>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</si>
  <si>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</si>
  <si>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</si>
  <si>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</si>
  <si>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</si>
  <si>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</si>
  <si>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</si>
  <si>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</si>
  <si>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</si>
  <si>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</si>
  <si>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</si>
  <si>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</si>
  <si>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</si>
  <si>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</si>
  <si>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</si>
  <si>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</si>
  <si>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</si>
  <si>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</si>
  <si>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</si>
  <si>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</si>
  <si>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</si>
  <si>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</si>
  <si>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</si>
  <si>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</si>
  <si>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</si>
  <si>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</si>
  <si>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</si>
  <si>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</si>
  <si>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</si>
  <si>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</si>
  <si>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</si>
  <si>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</si>
  <si>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</si>
  <si>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</si>
  <si>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</si>
  <si>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</si>
  <si>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</si>
  <si>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</si>
  <si>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</si>
  <si>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</si>
  <si>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</si>
  <si>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</si>
  <si>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</si>
  <si>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</si>
  <si>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</si>
  <si>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</si>
  <si>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</si>
  <si>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</si>
  <si>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</si>
  <si>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</si>
  <si>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</si>
  <si>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</si>
  <si>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</si>
  <si>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</si>
  <si>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</si>
  <si>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</si>
  <si>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</si>
  <si>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</si>
  <si>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</si>
  <si>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</si>
  <si>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</si>
  <si>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</si>
  <si>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</si>
  <si>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</si>
  <si>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</si>
  <si>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</si>
  <si>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</si>
  <si>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</si>
  <si>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</si>
  <si>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</si>
  <si>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</si>
  <si>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</si>
  <si>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</si>
  <si>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</si>
  <si>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</si>
  <si>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</si>
  <si>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</si>
  <si>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</si>
  <si>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</si>
  <si>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</si>
  <si>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</si>
  <si>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</si>
  <si>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</si>
  <si>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</si>
  <si>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</si>
  <si>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</si>
  <si>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</si>
  <si>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</si>
  <si>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</si>
  <si>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</si>
  <si>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</si>
  <si>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</si>
  <si>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</si>
  <si>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</si>
  <si>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</si>
  <si>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</si>
  <si>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</si>
  <si>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</si>
  <si>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</si>
  <si>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</si>
  <si>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</si>
  <si>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</si>
  <si>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</si>
  <si>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</si>
  <si>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</si>
  <si>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</si>
  <si>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</si>
  <si>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</si>
  <si>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</si>
  <si>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</si>
  <si>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</si>
  <si>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</si>
  <si>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</si>
  <si>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</si>
  <si>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</si>
  <si>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</si>
  <si>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</si>
  <si>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</si>
  <si>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</si>
  <si>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</si>
  <si>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</si>
  <si>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</si>
  <si>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</si>
  <si>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</si>
  <si>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</si>
  <si>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</si>
  <si>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</si>
  <si>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</si>
  <si>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</si>
  <si>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</si>
  <si>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</si>
  <si>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</si>
  <si>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</si>
  <si>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</si>
  <si>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</si>
  <si>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</si>
  <si>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</si>
  <si>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</si>
  <si>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</si>
  <si>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</si>
  <si>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</si>
  <si>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</si>
  <si>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</si>
  <si>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</si>
  <si>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</si>
  <si>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</si>
  <si>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</si>
  <si>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</si>
  <si>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</si>
  <si>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</si>
  <si>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</si>
  <si>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</si>
  <si>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</si>
  <si>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</si>
  <si>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</si>
  <si>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</si>
  <si>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</si>
  <si>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</si>
  <si>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</si>
  <si>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</si>
  <si>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</si>
  <si>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</si>
  <si>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</si>
  <si>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</si>
  <si>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</si>
  <si>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</si>
  <si>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</si>
  <si>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</si>
  <si>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</si>
  <si>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</si>
  <si>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</si>
  <si>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</si>
  <si>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</si>
  <si>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</si>
  <si>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</si>
  <si>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</si>
  <si>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</si>
  <si>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</si>
  <si>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</si>
  <si>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</si>
  <si>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</si>
  <si>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</si>
  <si>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</si>
  <si>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</si>
  <si>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</si>
  <si>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</si>
  <si>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</si>
  <si>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</si>
  <si>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</si>
  <si>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</si>
  <si>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</si>
  <si>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</si>
  <si>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</si>
  <si>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</si>
  <si>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</si>
  <si>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</si>
  <si>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</si>
  <si>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</si>
  <si>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</si>
  <si>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</si>
  <si>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</si>
  <si>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</si>
  <si>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</si>
  <si>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</si>
  <si>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</si>
  <si>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</si>
  <si>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</si>
  <si>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</si>
  <si>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</si>
  <si>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</si>
  <si>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</si>
  <si>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</si>
  <si>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</si>
  <si>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</si>
  <si>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</si>
  <si>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</si>
  <si>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</si>
  <si>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</si>
  <si>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</si>
  <si>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</si>
  <si>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</si>
  <si>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</si>
  <si>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</si>
  <si>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</si>
  <si>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</si>
  <si>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</si>
  <si>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</si>
  <si>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</si>
  <si>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</si>
  <si>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</si>
  <si>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</si>
  <si>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</si>
  <si>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</si>
  <si>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</si>
  <si>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</si>
  <si>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</si>
  <si>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</si>
  <si>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</si>
  <si>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</si>
  <si>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</si>
  <si>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</si>
  <si>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</si>
  <si>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</si>
  <si>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</si>
  <si>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</si>
  <si>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</si>
  <si>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</si>
  <si>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</si>
  <si>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</si>
  <si>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</si>
  <si>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</si>
  <si>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</si>
  <si>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</si>
  <si>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</si>
  <si>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</si>
  <si>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</si>
  <si>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</si>
  <si>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</si>
  <si>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</si>
  <si>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</si>
  <si>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</si>
  <si>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</si>
  <si>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</si>
  <si>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</si>
  <si>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</si>
  <si>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</si>
  <si>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</si>
  <si>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</si>
  <si>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</si>
  <si>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</si>
  <si>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</si>
  <si>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</si>
  <si>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</si>
  <si>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</si>
  <si>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</si>
  <si>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</si>
  <si>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</si>
  <si>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</si>
  <si>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</si>
  <si>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</si>
  <si>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</si>
  <si>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</si>
  <si>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</si>
  <si>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</si>
  <si>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</si>
  <si>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</si>
  <si>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</si>
  <si>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</si>
  <si>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</si>
  <si>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</si>
  <si>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</si>
  <si>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</si>
  <si>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</si>
  <si>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</si>
  <si>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</si>
  <si>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</si>
  <si>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</si>
  <si>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</si>
  <si>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</si>
  <si>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</si>
  <si>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</si>
  <si>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</si>
  <si>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</si>
  <si>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</si>
  <si>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</si>
  <si>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</si>
  <si>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</si>
  <si>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</si>
  <si>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</si>
  <si>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</si>
  <si>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</si>
  <si>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</si>
  <si>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</si>
  <si>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</si>
  <si>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</si>
  <si>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</si>
  <si>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</si>
  <si>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</si>
  <si>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</si>
  <si>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</si>
  <si>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</si>
  <si>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</si>
  <si>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</si>
  <si>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</si>
  <si>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</si>
  <si>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</si>
  <si>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</si>
  <si>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</si>
  <si>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</si>
  <si>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</si>
  <si>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</si>
  <si>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</si>
  <si>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</si>
  <si>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</si>
  <si>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</si>
  <si>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</si>
  <si>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</si>
  <si>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</si>
  <si>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</si>
  <si>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</si>
  <si>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</si>
  <si>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</si>
  <si>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</si>
  <si>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</si>
  <si>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</si>
  <si>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</si>
  <si>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April</t>
  </si>
  <si>
    <t>Average elec Tariff</t>
  </si>
  <si>
    <t>Utilties total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</si>
</sst>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6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1" fontId="68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8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9" fillId="0" borderId="0" xfId="0" applyFont="1"/>
    <xf numFmtId="0" fontId="69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0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1" fillId="0" borderId="110" xfId="0" applyFont="1" applyBorder="1" applyAlignment="1">
      <alignment vertical="center"/>
    </xf>
    <xf numFmtId="0" fontId="72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80" xfId="0" applyFont="1" applyBorder="1"/>
    <xf numFmtId="0" fontId="69" fillId="0" borderId="106" xfId="0" applyFont="1" applyBorder="1" applyAlignment="1">
      <alignment horizontal="center"/>
    </xf>
    <xf numFmtId="0" fontId="69" fillId="0" borderId="106" xfId="0" applyFont="1" applyBorder="1" applyAlignment="1" applyProtection="1">
      <alignment horizontal="center"/>
      <protection locked="0"/>
    </xf>
    <xf numFmtId="0" fontId="69" fillId="0" borderId="27" xfId="0" applyFont="1" applyBorder="1" applyAlignment="1">
      <alignment horizontal="center"/>
    </xf>
    <xf numFmtId="0" fontId="69" fillId="0" borderId="98" xfId="0" applyFont="1" applyBorder="1"/>
    <xf numFmtId="0" fontId="69" fillId="0" borderId="102" xfId="0" applyFont="1" applyBorder="1"/>
    <xf numFmtId="0" fontId="69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71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71" fillId="0" borderId="35" xfId="0" applyNumberFormat="1" applyFont="1" applyBorder="1" applyAlignment="1" applyProtection="1">
      <alignment horizontal="center"/>
    </xf>
    <xf numFmtId="175" fontId="71" fillId="17" borderId="1" xfId="0" applyNumberFormat="1" applyFont="1" applyFill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1" fontId="73" fillId="0" borderId="1" xfId="0" applyNumberFormat="1" applyFont="1" applyFill="1" applyBorder="1" applyAlignment="1" applyProtection="1">
      <alignment horizontal="center" vertical="center"/>
      <protection locked="0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20992"/>
        <c:axId val="19832752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23168"/>
        <c:axId val="198324256"/>
      </c:lineChart>
      <c:catAx>
        <c:axId val="198320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75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8327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0992"/>
        <c:crosses val="autoZero"/>
        <c:crossBetween val="between"/>
      </c:valAx>
      <c:catAx>
        <c:axId val="198323168"/>
        <c:scaling>
          <c:orientation val="minMax"/>
        </c:scaling>
        <c:delete val="1"/>
        <c:axPos val="b"/>
        <c:majorTickMark val="out"/>
        <c:minorTickMark val="none"/>
        <c:tickLblPos val="none"/>
        <c:crossAx val="198324256"/>
        <c:crosses val="autoZero"/>
        <c:auto val="0"/>
        <c:lblAlgn val="ctr"/>
        <c:lblOffset val="100"/>
        <c:noMultiLvlLbl val="0"/>
      </c:catAx>
      <c:valAx>
        <c:axId val="19832425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316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3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17184"/>
        <c:axId val="1983269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18816"/>
        <c:axId val="197041568"/>
      </c:lineChart>
      <c:catAx>
        <c:axId val="1983171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69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832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17184"/>
        <c:crosses val="autoZero"/>
        <c:crossBetween val="between"/>
      </c:valAx>
      <c:catAx>
        <c:axId val="198318816"/>
        <c:scaling>
          <c:orientation val="minMax"/>
        </c:scaling>
        <c:delete val="1"/>
        <c:axPos val="b"/>
        <c:majorTickMark val="out"/>
        <c:minorTickMark val="none"/>
        <c:tickLblPos val="none"/>
        <c:crossAx val="197041568"/>
        <c:crosses val="autoZero"/>
        <c:auto val="0"/>
        <c:lblAlgn val="ctr"/>
        <c:lblOffset val="100"/>
        <c:noMultiLvlLbl val="0"/>
      </c:catAx>
      <c:valAx>
        <c:axId val="19704156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18816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workbookViewId="0">
      <selection activeCell="E22" sqref="E22"/>
    </sheetView>
  </sheetViews>
  <sheetFormatPr defaultColWidth="11.5703125" defaultRowHeight="12.75"/>
  <cols>
    <col min="1" max="1" width="24" style="927" bestFit="1" customWidth="1"/>
    <col min="2" max="3" width="11.5703125" style="928"/>
    <col min="4" max="4" width="13.42578125" style="928" customWidth="1"/>
    <col min="5" max="5" width="20.7109375" style="100" customWidth="1"/>
    <col min="6" max="6" width="20.140625" style="928" customWidth="1"/>
    <col min="7" max="7" width="18.28515625" style="100" customWidth="1"/>
    <col min="8" max="8" width="17.42578125" style="928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0" customFormat="1" ht="30">
      <c r="A1" s="950" t="s">
        <v>365</v>
      </c>
      <c r="B1" s="951" t="s">
        <v>10</v>
      </c>
      <c r="C1" s="951" t="s">
        <v>366</v>
      </c>
      <c r="D1" s="951" t="s">
        <v>367</v>
      </c>
      <c r="E1" s="944" t="s">
        <v>370</v>
      </c>
      <c r="F1" s="945" t="s">
        <v>371</v>
      </c>
      <c r="G1" s="944" t="s">
        <v>372</v>
      </c>
      <c r="H1" s="945" t="s">
        <v>373</v>
      </c>
      <c r="I1" s="944" t="s">
        <v>374</v>
      </c>
      <c r="J1" s="944" t="s">
        <v>375</v>
      </c>
      <c r="K1" s="944" t="s">
        <v>368</v>
      </c>
    </row>
    <row r="2" spans="1:12">
      <c r="A2" s="953" t="s">
        <v>369</v>
      </c>
      <c r="B2" s="954">
        <v>1</v>
      </c>
      <c r="C2" s="955">
        <v>3</v>
      </c>
      <c r="D2" s="956">
        <v>2020</v>
      </c>
      <c r="E2" s="949">
        <f>Elect!BL6</f>
        <v>9275.7000000000007</v>
      </c>
      <c r="F2" s="946">
        <f>'Utility Consnsumption'!K13/'Utility Consnsumption'!J13</f>
        <v>1.6379640383834146</v>
      </c>
      <c r="G2" s="947">
        <f>Gas!K7</f>
        <v>191.86</v>
      </c>
      <c r="H2" s="946">
        <v>3.8</v>
      </c>
      <c r="I2" s="947">
        <f>Water!H7</f>
        <v>52.199999999999996</v>
      </c>
      <c r="J2" s="948">
        <v>10</v>
      </c>
      <c r="K2" s="947">
        <f>Elect!BM6</f>
        <v>0</v>
      </c>
    </row>
    <row r="3" spans="1:12">
      <c r="A3" s="957" t="s">
        <v>369</v>
      </c>
      <c r="B3" s="952">
        <f>B2+1</f>
        <v>2</v>
      </c>
      <c r="C3" s="955">
        <v>3</v>
      </c>
      <c r="D3" s="956">
        <v>2020</v>
      </c>
      <c r="E3" s="949">
        <f>Elect!BL7</f>
        <v>16199.26</v>
      </c>
      <c r="F3" s="946">
        <f>F2</f>
        <v>1.6379640383834146</v>
      </c>
      <c r="G3" s="947">
        <f>Gas!K8</f>
        <v>170.66</v>
      </c>
      <c r="H3" s="946">
        <v>3.8</v>
      </c>
      <c r="I3" s="947">
        <f>Water!H8</f>
        <v>139.19999999999999</v>
      </c>
      <c r="J3" s="948">
        <v>10</v>
      </c>
      <c r="K3" s="947">
        <f>Elect!BM7</f>
        <v>0</v>
      </c>
    </row>
    <row r="4" spans="1:12">
      <c r="A4" s="957" t="s">
        <v>369</v>
      </c>
      <c r="B4" s="952">
        <f t="shared" ref="B4:B32" si="0">B3+1</f>
        <v>3</v>
      </c>
      <c r="C4" s="955">
        <v>3</v>
      </c>
      <c r="D4" s="956">
        <v>2020</v>
      </c>
      <c r="E4" s="949">
        <f>Elect!BL8</f>
        <v>6850.27</v>
      </c>
      <c r="F4" s="946">
        <f t="shared" ref="F4:F32" si="1">F3</f>
        <v>1.6379640383834146</v>
      </c>
      <c r="G4" s="947">
        <f>Gas!K9</f>
        <v>170.66</v>
      </c>
      <c r="H4" s="946">
        <v>3.8</v>
      </c>
      <c r="I4" s="947">
        <f>Water!H9</f>
        <v>133.39999999999998</v>
      </c>
      <c r="J4" s="948">
        <v>10</v>
      </c>
      <c r="K4" s="947">
        <f>Elect!BM8</f>
        <v>0</v>
      </c>
    </row>
    <row r="5" spans="1:12">
      <c r="A5" s="957" t="s">
        <v>369</v>
      </c>
      <c r="B5" s="952">
        <f t="shared" si="0"/>
        <v>4</v>
      </c>
      <c r="C5" s="955">
        <v>3</v>
      </c>
      <c r="D5" s="956">
        <v>2020</v>
      </c>
      <c r="E5" s="949">
        <f>Elect!BL9</f>
        <v>12233.130000000001</v>
      </c>
      <c r="F5" s="946">
        <f t="shared" si="1"/>
        <v>1.6379640383834146</v>
      </c>
      <c r="G5" s="947">
        <f>Gas!K10</f>
        <v>170.66</v>
      </c>
      <c r="H5" s="946">
        <v>3.8</v>
      </c>
      <c r="I5" s="947">
        <f>Water!H10</f>
        <v>243.59999999999997</v>
      </c>
      <c r="J5" s="948">
        <v>10</v>
      </c>
      <c r="K5" s="947">
        <f>Elect!BM9</f>
        <v>0</v>
      </c>
    </row>
    <row r="6" spans="1:12">
      <c r="A6" s="957" t="s">
        <v>369</v>
      </c>
      <c r="B6" s="952">
        <f t="shared" si="0"/>
        <v>5</v>
      </c>
      <c r="C6" s="955">
        <v>3</v>
      </c>
      <c r="D6" s="956">
        <v>2020</v>
      </c>
      <c r="E6" s="949">
        <f>Elect!BL10</f>
        <v>15742.95</v>
      </c>
      <c r="F6" s="946">
        <f t="shared" si="1"/>
        <v>1.6379640383834146</v>
      </c>
      <c r="G6" s="947">
        <f>Gas!K11</f>
        <v>280.21212121209476</v>
      </c>
      <c r="H6" s="946">
        <v>3.8</v>
      </c>
      <c r="I6" s="947">
        <f>Water!H11</f>
        <v>145</v>
      </c>
      <c r="J6" s="948">
        <v>10</v>
      </c>
      <c r="K6" s="947">
        <f>Elect!BM10</f>
        <v>0</v>
      </c>
    </row>
    <row r="7" spans="1:12">
      <c r="A7" s="957" t="s">
        <v>369</v>
      </c>
      <c r="B7" s="952">
        <f t="shared" si="0"/>
        <v>6</v>
      </c>
      <c r="C7" s="955">
        <v>3</v>
      </c>
      <c r="D7" s="956">
        <v>2020</v>
      </c>
      <c r="E7" s="949">
        <f>Elect!BL11</f>
        <v>6712.55</v>
      </c>
      <c r="F7" s="946">
        <f t="shared" si="1"/>
        <v>1.6379640383834146</v>
      </c>
      <c r="G7" s="947">
        <f>Gas!K12</f>
        <v>319.86606060640997</v>
      </c>
      <c r="H7" s="946">
        <v>3.8</v>
      </c>
      <c r="I7" s="947">
        <f>Water!H12</f>
        <v>92.8</v>
      </c>
      <c r="J7" s="948">
        <v>10</v>
      </c>
      <c r="K7" s="947">
        <f>Elect!BM11</f>
        <v>0</v>
      </c>
    </row>
    <row r="8" spans="1:12">
      <c r="A8" s="957" t="s">
        <v>369</v>
      </c>
      <c r="B8" s="952">
        <f t="shared" si="0"/>
        <v>7</v>
      </c>
      <c r="C8" s="955">
        <v>3</v>
      </c>
      <c r="D8" s="956">
        <v>2020</v>
      </c>
      <c r="E8" s="949">
        <f>Elect!BL12</f>
        <v>15222.27</v>
      </c>
      <c r="F8" s="946">
        <f t="shared" si="1"/>
        <v>1.6379640383834146</v>
      </c>
      <c r="G8" s="947">
        <f>Gas!K13</f>
        <v>319.86606060569693</v>
      </c>
      <c r="H8" s="946">
        <v>3.8</v>
      </c>
      <c r="I8" s="947">
        <f>Water!H13</f>
        <v>98.6</v>
      </c>
      <c r="J8" s="948">
        <v>10</v>
      </c>
      <c r="K8" s="947">
        <f>Elect!BM12</f>
        <v>0</v>
      </c>
    </row>
    <row r="9" spans="1:12">
      <c r="A9" s="957" t="s">
        <v>369</v>
      </c>
      <c r="B9" s="952">
        <f t="shared" si="0"/>
        <v>8</v>
      </c>
      <c r="C9" s="955">
        <v>3</v>
      </c>
      <c r="D9" s="956">
        <v>2020</v>
      </c>
      <c r="E9" s="949">
        <f>Elect!BL13</f>
        <v>13930.720000000001</v>
      </c>
      <c r="F9" s="946">
        <f t="shared" si="1"/>
        <v>1.6379640383834146</v>
      </c>
      <c r="G9" s="947">
        <f>Gas!K14</f>
        <v>319.86606060638962</v>
      </c>
      <c r="H9" s="946">
        <v>3.8</v>
      </c>
      <c r="I9" s="947">
        <f>Water!H14</f>
        <v>115.99999999999999</v>
      </c>
      <c r="J9" s="948">
        <v>10</v>
      </c>
      <c r="K9" s="947">
        <f>Elect!BM13</f>
        <v>0</v>
      </c>
    </row>
    <row r="10" spans="1:12">
      <c r="A10" s="957" t="s">
        <v>369</v>
      </c>
      <c r="B10" s="952">
        <f t="shared" si="0"/>
        <v>9</v>
      </c>
      <c r="C10" s="955">
        <v>3</v>
      </c>
      <c r="D10" s="956">
        <v>2020</v>
      </c>
      <c r="E10" s="949">
        <f>Elect!BL14</f>
        <v>8231.14</v>
      </c>
      <c r="F10" s="946">
        <f t="shared" si="1"/>
        <v>1.6379640383834146</v>
      </c>
      <c r="G10" s="947">
        <f>Gas!K15</f>
        <v>319.86606060571734</v>
      </c>
      <c r="H10" s="946">
        <v>3.8</v>
      </c>
      <c r="I10" s="947">
        <f>Water!H15</f>
        <v>133.39999999999998</v>
      </c>
      <c r="J10" s="948">
        <v>10</v>
      </c>
      <c r="K10" s="947">
        <f>Elect!BM14</f>
        <v>0</v>
      </c>
    </row>
    <row r="11" spans="1:12">
      <c r="A11" s="957" t="s">
        <v>369</v>
      </c>
      <c r="B11" s="952">
        <f t="shared" si="0"/>
        <v>10</v>
      </c>
      <c r="C11" s="955">
        <v>3</v>
      </c>
      <c r="D11" s="956">
        <v>2020</v>
      </c>
      <c r="E11" s="949">
        <f>Elect!BL15</f>
        <v>13092.23</v>
      </c>
      <c r="F11" s="946">
        <f t="shared" si="1"/>
        <v>1.6379640383834146</v>
      </c>
      <c r="G11" s="947">
        <f>Gas!K16</f>
        <v>319.86606060638962</v>
      </c>
      <c r="H11" s="946">
        <v>3.8</v>
      </c>
      <c r="I11" s="947">
        <f>Water!H16</f>
        <v>54.519999999999989</v>
      </c>
      <c r="J11" s="948">
        <v>10</v>
      </c>
      <c r="K11" s="947">
        <f>Elect!BM15</f>
        <v>0</v>
      </c>
    </row>
    <row r="12" spans="1:12">
      <c r="A12" s="957" t="s">
        <v>369</v>
      </c>
      <c r="B12" s="952">
        <f t="shared" si="0"/>
        <v>11</v>
      </c>
      <c r="C12" s="955">
        <v>3</v>
      </c>
      <c r="D12" s="956">
        <v>2020</v>
      </c>
      <c r="E12" s="949">
        <f>Elect!BL16</f>
        <v>9014.2999999999993</v>
      </c>
      <c r="F12" s="946">
        <f t="shared" si="1"/>
        <v>1.6379640383834146</v>
      </c>
      <c r="G12" s="947">
        <f>Gas!K17</f>
        <v>319.86606060569693</v>
      </c>
      <c r="H12" s="946">
        <v>3.8</v>
      </c>
      <c r="I12" s="947">
        <f>Water!H17</f>
        <v>80.61999999999999</v>
      </c>
      <c r="J12" s="948">
        <v>10</v>
      </c>
      <c r="K12" s="947">
        <f>Elect!BM16</f>
        <v>0</v>
      </c>
      <c r="L12" s="931" t="s">
        <v>9</v>
      </c>
    </row>
    <row r="13" spans="1:12">
      <c r="A13" s="957" t="s">
        <v>369</v>
      </c>
      <c r="B13" s="952">
        <f t="shared" si="0"/>
        <v>12</v>
      </c>
      <c r="C13" s="955">
        <v>3</v>
      </c>
      <c r="D13" s="956">
        <v>2020</v>
      </c>
      <c r="E13" s="949">
        <f>Elect!BL17</f>
        <v>10233.369999999999</v>
      </c>
      <c r="F13" s="946">
        <f t="shared" si="1"/>
        <v>1.6379640383834146</v>
      </c>
      <c r="G13" s="947">
        <f>Gas!K18</f>
        <v>319.86606060640997</v>
      </c>
      <c r="H13" s="946">
        <v>3.8</v>
      </c>
      <c r="I13" s="947">
        <f>Water!H18</f>
        <v>77.139999999999986</v>
      </c>
      <c r="J13" s="948">
        <v>10</v>
      </c>
      <c r="K13" s="947">
        <f>Elect!BM17</f>
        <v>0</v>
      </c>
      <c r="L13" s="931" t="s">
        <v>376</v>
      </c>
    </row>
    <row r="14" spans="1:12">
      <c r="A14" s="957" t="s">
        <v>369</v>
      </c>
      <c r="B14" s="952">
        <f t="shared" si="0"/>
        <v>13</v>
      </c>
      <c r="C14" s="955">
        <v>3</v>
      </c>
      <c r="D14" s="956">
        <v>2020</v>
      </c>
      <c r="E14" s="949">
        <f>Elect!BL18</f>
        <v>10826.080000000002</v>
      </c>
      <c r="F14" s="946">
        <f t="shared" si="1"/>
        <v>1.6379640383834146</v>
      </c>
      <c r="G14" s="947">
        <f>Gas!K19</f>
        <v>319.86606060569693</v>
      </c>
      <c r="H14" s="946">
        <v>3.8</v>
      </c>
      <c r="I14" s="947">
        <f>Water!H19</f>
        <v>117.15999999999998</v>
      </c>
      <c r="J14" s="948">
        <v>10</v>
      </c>
      <c r="K14" s="947">
        <f>Elect!BM18</f>
        <v>0</v>
      </c>
    </row>
    <row r="15" spans="1:12">
      <c r="A15" s="957" t="s">
        <v>369</v>
      </c>
      <c r="B15" s="952">
        <f t="shared" si="0"/>
        <v>14</v>
      </c>
      <c r="C15" s="955">
        <v>3</v>
      </c>
      <c r="D15" s="956">
        <v>2020</v>
      </c>
      <c r="E15" s="949">
        <f>Elect!BL19</f>
        <v>12099.830000000002</v>
      </c>
      <c r="F15" s="946">
        <f t="shared" si="1"/>
        <v>1.6379640383834146</v>
      </c>
      <c r="G15" s="947">
        <f>Gas!K20</f>
        <v>319.86606060638962</v>
      </c>
      <c r="H15" s="946">
        <v>3.8</v>
      </c>
      <c r="I15" s="947">
        <f>Water!H20</f>
        <v>77.139999999999986</v>
      </c>
      <c r="J15" s="948">
        <v>10</v>
      </c>
      <c r="K15" s="947">
        <f>Elect!BM19</f>
        <v>0</v>
      </c>
    </row>
    <row r="16" spans="1:12">
      <c r="A16" s="957" t="s">
        <v>369</v>
      </c>
      <c r="B16" s="952">
        <f t="shared" si="0"/>
        <v>15</v>
      </c>
      <c r="C16" s="955">
        <v>3</v>
      </c>
      <c r="D16" s="956">
        <v>2020</v>
      </c>
      <c r="E16" s="949">
        <f>Elect!BL20</f>
        <v>10557.95</v>
      </c>
      <c r="F16" s="946">
        <f t="shared" si="1"/>
        <v>1.6379640383834146</v>
      </c>
      <c r="G16" s="947">
        <f>Gas!K21</f>
        <v>382.15333333310787</v>
      </c>
      <c r="H16" s="946">
        <v>3.8</v>
      </c>
      <c r="I16" s="947">
        <f>Water!H21</f>
        <v>108.46</v>
      </c>
      <c r="J16" s="948">
        <v>10</v>
      </c>
      <c r="K16" s="947">
        <f>Elect!BM20</f>
        <v>0</v>
      </c>
    </row>
    <row r="17" spans="1:11">
      <c r="A17" s="957" t="s">
        <v>369</v>
      </c>
      <c r="B17" s="952">
        <f t="shared" si="0"/>
        <v>16</v>
      </c>
      <c r="C17" s="955">
        <v>3</v>
      </c>
      <c r="D17" s="956">
        <v>2020</v>
      </c>
      <c r="E17" s="949">
        <f>Elect!BL21</f>
        <v>12292.96</v>
      </c>
      <c r="F17" s="946">
        <f t="shared" si="1"/>
        <v>1.6379640383834146</v>
      </c>
      <c r="G17" s="947">
        <f>Gas!K22</f>
        <v>275.65999999999997</v>
      </c>
      <c r="H17" s="946">
        <v>3.8</v>
      </c>
      <c r="I17" s="947">
        <f>Water!H22</f>
        <v>78.88</v>
      </c>
      <c r="J17" s="948">
        <v>10</v>
      </c>
      <c r="K17" s="947">
        <f>Elect!BM21</f>
        <v>0</v>
      </c>
    </row>
    <row r="18" spans="1:11">
      <c r="A18" s="957" t="s">
        <v>369</v>
      </c>
      <c r="B18" s="952">
        <f t="shared" si="0"/>
        <v>17</v>
      </c>
      <c r="C18" s="955">
        <v>3</v>
      </c>
      <c r="D18" s="956">
        <v>2020</v>
      </c>
      <c r="E18" s="949">
        <f>Elect!BL22</f>
        <v>14980.3</v>
      </c>
      <c r="F18" s="946">
        <f t="shared" si="1"/>
        <v>1.6379640383834146</v>
      </c>
      <c r="G18" s="947">
        <f>Gas!K23</f>
        <v>326.05999999999995</v>
      </c>
      <c r="H18" s="946">
        <v>3.8</v>
      </c>
      <c r="I18" s="947">
        <f>Water!H23</f>
        <v>53.359999999999992</v>
      </c>
      <c r="J18" s="948">
        <v>10</v>
      </c>
      <c r="K18" s="947">
        <f>Elect!BM22</f>
        <v>0</v>
      </c>
    </row>
    <row r="19" spans="1:11">
      <c r="A19" s="957" t="s">
        <v>369</v>
      </c>
      <c r="B19" s="952">
        <f t="shared" si="0"/>
        <v>18</v>
      </c>
      <c r="C19" s="955">
        <v>3</v>
      </c>
      <c r="D19" s="956">
        <v>2020</v>
      </c>
      <c r="E19" s="949">
        <f>Elect!BL23</f>
        <v>7800.6100000000006</v>
      </c>
      <c r="F19" s="946">
        <f t="shared" si="1"/>
        <v>1.6379640383834146</v>
      </c>
      <c r="G19" s="947">
        <f>Gas!K24</f>
        <v>225.95999999999998</v>
      </c>
      <c r="H19" s="946">
        <v>3.8</v>
      </c>
      <c r="I19" s="947">
        <f>Water!H24</f>
        <v>66.11999999999999</v>
      </c>
      <c r="J19" s="948">
        <v>10</v>
      </c>
      <c r="K19" s="947">
        <f>Elect!BM23</f>
        <v>0</v>
      </c>
    </row>
    <row r="20" spans="1:11">
      <c r="A20" s="957" t="s">
        <v>369</v>
      </c>
      <c r="B20" s="952">
        <f t="shared" si="0"/>
        <v>19</v>
      </c>
      <c r="C20" s="955">
        <v>3</v>
      </c>
      <c r="D20" s="956">
        <v>2020</v>
      </c>
      <c r="E20" s="949">
        <f>Elect!BL24</f>
        <v>13195.760000000002</v>
      </c>
      <c r="F20" s="946">
        <f t="shared" si="1"/>
        <v>1.6379640383834146</v>
      </c>
      <c r="G20" s="947">
        <f>Gas!K25</f>
        <v>221.06</v>
      </c>
      <c r="H20" s="946">
        <v>3.8</v>
      </c>
      <c r="I20" s="947">
        <f>Water!H25</f>
        <v>63.8</v>
      </c>
      <c r="J20" s="948">
        <v>10</v>
      </c>
      <c r="K20" s="947">
        <f>Elect!BM24</f>
        <v>0</v>
      </c>
    </row>
    <row r="21" spans="1:11">
      <c r="A21" s="957" t="s">
        <v>369</v>
      </c>
      <c r="B21" s="952">
        <f t="shared" si="0"/>
        <v>20</v>
      </c>
      <c r="C21" s="955">
        <v>3</v>
      </c>
      <c r="D21" s="956">
        <v>2020</v>
      </c>
      <c r="E21" s="949">
        <f>Elect!BL25</f>
        <v>10500.59</v>
      </c>
      <c r="F21" s="946">
        <f t="shared" si="1"/>
        <v>1.6379640383834146</v>
      </c>
      <c r="G21" s="947">
        <f>Gas!K26</f>
        <v>543.05999999999995</v>
      </c>
      <c r="H21" s="946">
        <v>3.8</v>
      </c>
      <c r="I21" s="947">
        <f>Water!H26</f>
        <v>23.779999999999998</v>
      </c>
      <c r="J21" s="948">
        <v>10</v>
      </c>
      <c r="K21" s="947">
        <f>Elect!BM25</f>
        <v>0</v>
      </c>
    </row>
    <row r="22" spans="1:11">
      <c r="A22" s="957" t="s">
        <v>369</v>
      </c>
      <c r="B22" s="952">
        <f t="shared" si="0"/>
        <v>21</v>
      </c>
      <c r="C22" s="955">
        <v>3</v>
      </c>
      <c r="D22" s="956">
        <v>2020</v>
      </c>
      <c r="E22" s="949">
        <f>Elect!BL26</f>
        <v>11469.960000000001</v>
      </c>
      <c r="F22" s="946">
        <f t="shared" si="1"/>
        <v>1.6379640383834146</v>
      </c>
      <c r="G22" s="947">
        <f>Gas!K27</f>
        <v>299.45999999999998</v>
      </c>
      <c r="H22" s="946">
        <v>3.8</v>
      </c>
      <c r="I22" s="947">
        <f>Water!H27</f>
        <v>11.6</v>
      </c>
      <c r="J22" s="948">
        <v>10</v>
      </c>
      <c r="K22" s="947">
        <f>Elect!BM26</f>
        <v>0</v>
      </c>
    </row>
    <row r="23" spans="1:11">
      <c r="A23" s="957" t="s">
        <v>369</v>
      </c>
      <c r="B23" s="952">
        <f t="shared" si="0"/>
        <v>22</v>
      </c>
      <c r="C23" s="955">
        <v>3</v>
      </c>
      <c r="D23" s="956">
        <v>2020</v>
      </c>
      <c r="E23" s="949">
        <f>Elect!BL27</f>
        <v>10200.990000000002</v>
      </c>
      <c r="F23" s="946">
        <f t="shared" si="1"/>
        <v>1.6379640383834146</v>
      </c>
      <c r="G23" s="947">
        <f>Gas!K28</f>
        <v>307.15999999999997</v>
      </c>
      <c r="H23" s="946">
        <v>3.8</v>
      </c>
      <c r="I23" s="947">
        <f>Water!H28</f>
        <v>23.2</v>
      </c>
      <c r="J23" s="948">
        <v>10</v>
      </c>
      <c r="K23" s="947">
        <f>Elect!BM27</f>
        <v>0</v>
      </c>
    </row>
    <row r="24" spans="1:11">
      <c r="A24" s="957" t="s">
        <v>369</v>
      </c>
      <c r="B24" s="952">
        <f t="shared" si="0"/>
        <v>23</v>
      </c>
      <c r="C24" s="955">
        <v>3</v>
      </c>
      <c r="D24" s="956">
        <v>2020</v>
      </c>
      <c r="E24" s="949">
        <f>Elect!BL28</f>
        <v>11826.64</v>
      </c>
      <c r="F24" s="946">
        <f t="shared" si="1"/>
        <v>1.6379640383834146</v>
      </c>
      <c r="G24" s="947">
        <f>Gas!K29</f>
        <v>317.65999999999997</v>
      </c>
      <c r="H24" s="946">
        <v>3.8</v>
      </c>
      <c r="I24" s="947">
        <f>Water!H29</f>
        <v>162.39999999999998</v>
      </c>
      <c r="J24" s="948">
        <v>10</v>
      </c>
      <c r="K24" s="947">
        <f>Elect!BM28</f>
        <v>0</v>
      </c>
    </row>
    <row r="25" spans="1:11">
      <c r="A25" s="957" t="s">
        <v>369</v>
      </c>
      <c r="B25" s="952">
        <f t="shared" si="0"/>
        <v>24</v>
      </c>
      <c r="C25" s="955">
        <v>3</v>
      </c>
      <c r="D25" s="956">
        <v>2020</v>
      </c>
      <c r="E25" s="949">
        <f>Elect!BL29</f>
        <v>16126.93</v>
      </c>
      <c r="F25" s="946">
        <f t="shared" si="1"/>
        <v>1.6379640383834146</v>
      </c>
      <c r="G25" s="947">
        <f>Gas!K30</f>
        <v>303.65999999999997</v>
      </c>
      <c r="H25" s="946">
        <v>3.8</v>
      </c>
      <c r="I25" s="947">
        <f>Water!H30</f>
        <v>69.599999999999994</v>
      </c>
      <c r="J25" s="948">
        <v>10</v>
      </c>
      <c r="K25" s="947">
        <f>Elect!BM29</f>
        <v>0</v>
      </c>
    </row>
    <row r="26" spans="1:11">
      <c r="A26" s="957" t="s">
        <v>369</v>
      </c>
      <c r="B26" s="952">
        <f>B25+1</f>
        <v>25</v>
      </c>
      <c r="C26" s="955">
        <v>3</v>
      </c>
      <c r="D26" s="956">
        <v>2020</v>
      </c>
      <c r="E26" s="949">
        <f>Elect!BL30</f>
        <v>8370.3100000000013</v>
      </c>
      <c r="F26" s="946">
        <f t="shared" si="1"/>
        <v>1.6379640383834146</v>
      </c>
      <c r="G26" s="947">
        <f>Gas!K31</f>
        <v>303.65999999999997</v>
      </c>
      <c r="H26" s="946">
        <v>3.8</v>
      </c>
      <c r="I26" s="947">
        <f>Water!H31</f>
        <v>81.199999999999989</v>
      </c>
      <c r="J26" s="948">
        <v>10</v>
      </c>
      <c r="K26" s="947">
        <f>Elect!BM30</f>
        <v>0</v>
      </c>
    </row>
    <row r="27" spans="1:11">
      <c r="A27" s="957" t="s">
        <v>369</v>
      </c>
      <c r="B27" s="952">
        <f t="shared" si="0"/>
        <v>26</v>
      </c>
      <c r="C27" s="955">
        <v>3</v>
      </c>
      <c r="D27" s="956">
        <v>2020</v>
      </c>
      <c r="E27" s="949">
        <f>Elect!BL31</f>
        <v>12405.83</v>
      </c>
      <c r="F27" s="946">
        <f t="shared" si="1"/>
        <v>1.6379640383834146</v>
      </c>
      <c r="G27" s="947">
        <f>Gas!K32</f>
        <v>307.86</v>
      </c>
      <c r="H27" s="946">
        <v>3.8</v>
      </c>
      <c r="I27" s="947">
        <f>Water!H32</f>
        <v>98.6</v>
      </c>
      <c r="J27" s="948">
        <v>10</v>
      </c>
      <c r="K27" s="947">
        <f>Elect!BM31</f>
        <v>0</v>
      </c>
    </row>
    <row r="28" spans="1:11">
      <c r="A28" s="957" t="s">
        <v>369</v>
      </c>
      <c r="B28" s="952">
        <f t="shared" si="0"/>
        <v>27</v>
      </c>
      <c r="C28" s="955">
        <v>3</v>
      </c>
      <c r="D28" s="956">
        <v>2020</v>
      </c>
      <c r="E28" s="949">
        <f>Elect!BL32</f>
        <v>13394.560000000001</v>
      </c>
      <c r="F28" s="946">
        <f t="shared" si="1"/>
        <v>1.6379640383834146</v>
      </c>
      <c r="G28" s="947">
        <f>Gas!K33</f>
        <v>318.36</v>
      </c>
      <c r="H28" s="946">
        <v>3.8</v>
      </c>
      <c r="I28" s="947">
        <f>Water!H33</f>
        <v>75.399999999999991</v>
      </c>
      <c r="J28" s="948">
        <v>10</v>
      </c>
      <c r="K28" s="947">
        <f>Elect!BM32</f>
        <v>0</v>
      </c>
    </row>
    <row r="29" spans="1:11">
      <c r="A29" s="957" t="s">
        <v>369</v>
      </c>
      <c r="B29" s="952">
        <f t="shared" si="0"/>
        <v>28</v>
      </c>
      <c r="C29" s="955">
        <v>3</v>
      </c>
      <c r="D29" s="956">
        <v>2020</v>
      </c>
      <c r="E29" s="949">
        <f>Elect!BL33</f>
        <v>10018.16</v>
      </c>
      <c r="F29" s="946">
        <f t="shared" si="1"/>
        <v>1.6379640383834146</v>
      </c>
      <c r="G29" s="947">
        <f>Gas!K34</f>
        <v>135.30000000000001</v>
      </c>
      <c r="H29" s="946">
        <v>3.8</v>
      </c>
      <c r="I29" s="947">
        <f>Water!H34</f>
        <v>69.599999999999994</v>
      </c>
      <c r="J29" s="948">
        <v>10</v>
      </c>
      <c r="K29" s="947">
        <f>Elect!BM33</f>
        <v>0</v>
      </c>
    </row>
    <row r="30" spans="1:11">
      <c r="A30" s="957" t="s">
        <v>369</v>
      </c>
      <c r="B30" s="952">
        <f t="shared" si="0"/>
        <v>29</v>
      </c>
      <c r="C30" s="955">
        <v>3</v>
      </c>
      <c r="D30" s="956">
        <v>2020</v>
      </c>
      <c r="E30" s="949">
        <f>Elect!BL34</f>
        <v>14045.5</v>
      </c>
      <c r="F30" s="946">
        <f t="shared" si="1"/>
        <v>1.6379640383834146</v>
      </c>
      <c r="G30" s="947">
        <f>Gas!K35</f>
        <v>195.04</v>
      </c>
      <c r="H30" s="946">
        <v>3.8</v>
      </c>
      <c r="I30" s="947">
        <f>Water!H35</f>
        <v>46.399999999999991</v>
      </c>
      <c r="J30" s="948">
        <v>10</v>
      </c>
      <c r="K30" s="947">
        <f>Elect!BM34</f>
        <v>0</v>
      </c>
    </row>
    <row r="31" spans="1:11">
      <c r="A31" s="957" t="s">
        <v>369</v>
      </c>
      <c r="B31" s="952">
        <f t="shared" si="0"/>
        <v>30</v>
      </c>
      <c r="C31" s="955">
        <v>3</v>
      </c>
      <c r="D31" s="956">
        <v>2020</v>
      </c>
      <c r="E31" s="949">
        <f>Elect!BL35</f>
        <v>14045.5</v>
      </c>
      <c r="F31" s="946">
        <f t="shared" si="1"/>
        <v>1.6379640383834146</v>
      </c>
      <c r="G31" s="947">
        <f>Gas!K36</f>
        <v>195.04</v>
      </c>
      <c r="H31" s="946">
        <v>3.8</v>
      </c>
      <c r="I31" s="947">
        <f>Water!H36</f>
        <v>46.399999999999991</v>
      </c>
      <c r="J31" s="948">
        <v>10</v>
      </c>
      <c r="K31" s="947">
        <f>Elect!BM35</f>
        <v>0</v>
      </c>
    </row>
    <row r="32" spans="1:11">
      <c r="A32" s="958" t="s">
        <v>369</v>
      </c>
      <c r="B32" s="959">
        <f t="shared" si="0"/>
        <v>31</v>
      </c>
      <c r="C32" s="955">
        <v>3</v>
      </c>
      <c r="D32" s="956">
        <v>2020</v>
      </c>
      <c r="E32" s="949">
        <f>Elect!BL36</f>
        <v>0</v>
      </c>
      <c r="F32" s="946">
        <f t="shared" si="1"/>
        <v>1.6379640383834146</v>
      </c>
      <c r="G32" s="947">
        <f>Gas!K37</f>
        <v>0</v>
      </c>
      <c r="H32" s="946">
        <v>3.8</v>
      </c>
      <c r="I32" s="947">
        <f>Water!H37</f>
        <v>0</v>
      </c>
      <c r="J32" s="948">
        <v>10</v>
      </c>
      <c r="K32" s="947">
        <f>Elect!BM36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33"/>
  <sheetViews>
    <sheetView workbookViewId="0">
      <selection activeCell="G13" sqref="G13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2" t="s">
        <v>365</v>
      </c>
      <c r="B1" s="943" t="s">
        <v>10</v>
      </c>
      <c r="C1" s="943" t="s">
        <v>366</v>
      </c>
      <c r="D1" s="943" t="s">
        <v>367</v>
      </c>
      <c r="E1" s="970" t="s">
        <v>259</v>
      </c>
      <c r="F1" s="938" t="s">
        <v>381</v>
      </c>
      <c r="G1" s="939" t="s">
        <v>382</v>
      </c>
      <c r="H1" s="938" t="s">
        <v>383</v>
      </c>
      <c r="I1" s="938" t="s">
        <v>384</v>
      </c>
      <c r="J1" s="938" t="s">
        <v>385</v>
      </c>
      <c r="K1" s="929" t="s">
        <v>386</v>
      </c>
      <c r="L1" s="929" t="s">
        <v>387</v>
      </c>
      <c r="M1" s="961" t="s">
        <v>388</v>
      </c>
      <c r="N1" s="961" t="s">
        <v>389</v>
      </c>
      <c r="O1" s="961" t="s">
        <v>390</v>
      </c>
      <c r="P1" s="961" t="s">
        <v>391</v>
      </c>
      <c r="Q1" s="961" t="s">
        <v>392</v>
      </c>
      <c r="R1" s="961" t="s">
        <v>393</v>
      </c>
      <c r="S1" s="961" t="s">
        <v>394</v>
      </c>
      <c r="T1" s="961" t="s">
        <v>395</v>
      </c>
      <c r="U1" s="961" t="s">
        <v>396</v>
      </c>
      <c r="V1" s="961" t="s">
        <v>397</v>
      </c>
      <c r="W1" s="961" t="s">
        <v>398</v>
      </c>
      <c r="X1" s="961" t="s">
        <v>399</v>
      </c>
      <c r="Y1" s="961" t="s">
        <v>400</v>
      </c>
      <c r="Z1" s="961" t="s">
        <v>401</v>
      </c>
      <c r="AA1" s="961" t="s">
        <v>402</v>
      </c>
      <c r="AB1" s="961" t="s">
        <v>403</v>
      </c>
      <c r="AC1" s="961" t="s">
        <v>410</v>
      </c>
      <c r="AD1" s="961" t="s">
        <v>404</v>
      </c>
      <c r="AE1" s="961" t="s">
        <v>405</v>
      </c>
      <c r="AF1" s="961" t="s">
        <v>406</v>
      </c>
      <c r="AG1" s="961" t="s">
        <v>56</v>
      </c>
      <c r="AH1" s="961" t="s">
        <v>407</v>
      </c>
      <c r="AI1" s="961" t="s">
        <v>408</v>
      </c>
      <c r="AJ1" s="961" t="s">
        <v>409</v>
      </c>
      <c r="AK1" s="944" t="s">
        <v>368</v>
      </c>
    </row>
    <row r="2" spans="1:37" ht="19.5" customHeight="1">
      <c r="A2" s="953" t="s">
        <v>369</v>
      </c>
      <c r="B2" s="954">
        <v>1</v>
      </c>
      <c r="C2" s="955">
        <v>3</v>
      </c>
      <c r="D2" s="956">
        <v>2020</v>
      </c>
      <c r="E2" s="971"/>
      <c r="F2" s="940">
        <f>Elect!J6</f>
        <v>1534</v>
      </c>
      <c r="G2" s="940">
        <f>Elect!K6</f>
        <v>1084</v>
      </c>
      <c r="H2" s="940">
        <f>Elect!Q6</f>
        <v>0</v>
      </c>
      <c r="I2" s="940">
        <f>Elect!W6</f>
        <v>120</v>
      </c>
      <c r="J2" s="940">
        <f>Elect!Y6</f>
        <v>98</v>
      </c>
      <c r="K2" s="940">
        <f>Elect!AA6</f>
        <v>0</v>
      </c>
      <c r="L2" s="940">
        <f>Elect!AC6</f>
        <v>314.29000000000002</v>
      </c>
      <c r="M2" s="960">
        <f>Elect!AE6</f>
        <v>465.34000000000003</v>
      </c>
      <c r="N2" s="960">
        <f>Elect!AG6</f>
        <v>326.48</v>
      </c>
      <c r="O2" s="960">
        <f>Elect!AI6</f>
        <v>288.85000000000002</v>
      </c>
      <c r="P2" s="960">
        <f>Elect!AK6</f>
        <v>1751.65</v>
      </c>
      <c r="Q2" s="960">
        <f>Elect!AN6</f>
        <v>23</v>
      </c>
      <c r="R2" s="960">
        <f>Elect!AP6</f>
        <v>3</v>
      </c>
      <c r="S2" s="960">
        <f>Elect!AR6</f>
        <v>3.19</v>
      </c>
      <c r="T2" s="960">
        <f>Elect!AT6</f>
        <v>27</v>
      </c>
      <c r="U2" s="960">
        <f>Elect!AV6</f>
        <v>273</v>
      </c>
      <c r="V2" s="960">
        <f>Elect!AX6</f>
        <v>39</v>
      </c>
      <c r="W2" s="960">
        <f>Elect!AZ6</f>
        <v>1473</v>
      </c>
      <c r="X2" s="960">
        <f>Elect!BB6</f>
        <v>2753.9</v>
      </c>
      <c r="Y2" s="960">
        <f>Elect!BE6</f>
        <v>0</v>
      </c>
      <c r="Z2" s="960">
        <f>Elect!BG6</f>
        <v>756</v>
      </c>
      <c r="AA2" s="960">
        <f>Elect!BI6</f>
        <v>67</v>
      </c>
      <c r="AB2" s="960">
        <f>Elect!BK6</f>
        <v>154</v>
      </c>
      <c r="AC2" s="960"/>
      <c r="AD2" s="960">
        <f>Water!C7</f>
        <v>40.599999999999994</v>
      </c>
      <c r="AE2" s="960">
        <f>Water!E7</f>
        <v>11.6</v>
      </c>
      <c r="AF2" s="960">
        <f>Water!G7</f>
        <v>0</v>
      </c>
      <c r="AG2" s="960"/>
      <c r="AH2" s="960">
        <f>Gas!C7</f>
        <v>191.86</v>
      </c>
      <c r="AI2" s="960">
        <f>Gas!E7</f>
        <v>0</v>
      </c>
      <c r="AJ2" s="960">
        <f>Gas!G7</f>
        <v>3</v>
      </c>
      <c r="AK2" s="947">
        <f>Elect!BM6</f>
        <v>0</v>
      </c>
    </row>
    <row r="3" spans="1:37" ht="12.75" customHeight="1">
      <c r="A3" s="957" t="s">
        <v>369</v>
      </c>
      <c r="B3" s="952">
        <f>B2+1</f>
        <v>2</v>
      </c>
      <c r="C3" s="955">
        <v>3</v>
      </c>
      <c r="D3" s="956">
        <v>2020</v>
      </c>
      <c r="E3" s="971"/>
      <c r="F3" s="940">
        <f>Elect!J7</f>
        <v>1896</v>
      </c>
      <c r="G3" s="940">
        <f>Elect!K7</f>
        <v>1790</v>
      </c>
      <c r="H3" s="940">
        <f>Elect!Q7</f>
        <v>90</v>
      </c>
      <c r="I3" s="940">
        <f>Elect!W7</f>
        <v>150</v>
      </c>
      <c r="J3" s="940">
        <f>Elect!Y7</f>
        <v>96</v>
      </c>
      <c r="K3" s="940">
        <f>Elect!AA7</f>
        <v>0</v>
      </c>
      <c r="L3" s="940">
        <f>Elect!AC7</f>
        <v>531.59</v>
      </c>
      <c r="M3" s="960">
        <f>Elect!AE7</f>
        <v>1767.5500000000002</v>
      </c>
      <c r="N3" s="960">
        <f>Elect!AG7</f>
        <v>105.47</v>
      </c>
      <c r="O3" s="960">
        <f>Elect!AI7</f>
        <v>647.13</v>
      </c>
      <c r="P3" s="960">
        <f>Elect!AK7</f>
        <v>3112.1600000000003</v>
      </c>
      <c r="Q3" s="960">
        <f>Elect!AN7</f>
        <v>27</v>
      </c>
      <c r="R3" s="960">
        <f>Elect!AP7</f>
        <v>2</v>
      </c>
      <c r="S3" s="960">
        <f>Elect!AR7</f>
        <v>6.16</v>
      </c>
      <c r="T3" s="960">
        <f>Elect!AT7</f>
        <v>45</v>
      </c>
      <c r="U3" s="960">
        <f>Elect!AV7</f>
        <v>453</v>
      </c>
      <c r="V3" s="960">
        <f>Elect!AX7</f>
        <v>38</v>
      </c>
      <c r="W3" s="960">
        <f>Elect!AZ7</f>
        <v>2358</v>
      </c>
      <c r="X3" s="960">
        <f>Elect!BB7</f>
        <v>5120.2</v>
      </c>
      <c r="Y3" s="960">
        <f>Elect!BE7</f>
        <v>0</v>
      </c>
      <c r="Z3" s="960">
        <f>Elect!BG7</f>
        <v>1328</v>
      </c>
      <c r="AA3" s="960">
        <f>Elect!BI7</f>
        <v>114</v>
      </c>
      <c r="AB3" s="960">
        <f>Elect!BK7</f>
        <v>289</v>
      </c>
      <c r="AC3" s="960"/>
      <c r="AD3" s="960">
        <f>Water!C8</f>
        <v>133.39999999999998</v>
      </c>
      <c r="AE3" s="960">
        <f>Water!E8</f>
        <v>5.8</v>
      </c>
      <c r="AF3" s="960">
        <f>Water!G8</f>
        <v>0</v>
      </c>
      <c r="AG3" s="960"/>
      <c r="AH3" s="960">
        <f>Gas!C8</f>
        <v>170.66</v>
      </c>
      <c r="AI3" s="960">
        <f>Gas!E8</f>
        <v>0</v>
      </c>
      <c r="AJ3" s="960">
        <f>Gas!G8</f>
        <v>2</v>
      </c>
      <c r="AK3" s="947">
        <f>Elect!BM7</f>
        <v>0</v>
      </c>
    </row>
    <row r="4" spans="1:37" ht="12.75" customHeight="1">
      <c r="A4" s="957" t="s">
        <v>369</v>
      </c>
      <c r="B4" s="952">
        <f t="shared" ref="B4:B31" si="0">B3+1</f>
        <v>3</v>
      </c>
      <c r="C4" s="955">
        <v>3</v>
      </c>
      <c r="D4" s="956">
        <v>2020</v>
      </c>
      <c r="E4" s="971"/>
      <c r="F4" s="940">
        <f>Elect!J8</f>
        <v>1702</v>
      </c>
      <c r="G4" s="940">
        <f>Elect!K8</f>
        <v>776</v>
      </c>
      <c r="H4" s="940">
        <f>Elect!Q8</f>
        <v>30</v>
      </c>
      <c r="I4" s="940">
        <f>Elect!W8</f>
        <v>87</v>
      </c>
      <c r="J4" s="940">
        <f>Elect!Y8</f>
        <v>297</v>
      </c>
      <c r="K4" s="940">
        <f>Elect!AA8</f>
        <v>0</v>
      </c>
      <c r="L4" s="940">
        <f>Elect!AC8</f>
        <v>320.12</v>
      </c>
      <c r="M4" s="960">
        <f>Elect!AE8</f>
        <v>178.08</v>
      </c>
      <c r="N4" s="960">
        <f>Elect!AG8</f>
        <v>0</v>
      </c>
      <c r="O4" s="960">
        <f>Elect!AI8</f>
        <v>229.49</v>
      </c>
      <c r="P4" s="960">
        <f>Elect!AK8</f>
        <v>1278.8900000000001</v>
      </c>
      <c r="Q4" s="960">
        <f>Elect!AN8</f>
        <v>4</v>
      </c>
      <c r="R4" s="960">
        <f>Elect!AP8</f>
        <v>2</v>
      </c>
      <c r="S4" s="960">
        <f>Elect!AR8</f>
        <v>2.09</v>
      </c>
      <c r="T4" s="960">
        <f>Elect!AT8</f>
        <v>24</v>
      </c>
      <c r="U4" s="960">
        <f>Elect!AV8</f>
        <v>221</v>
      </c>
      <c r="V4" s="960">
        <f>Elect!AX8</f>
        <v>32</v>
      </c>
      <c r="W4" s="960">
        <f>Elect!AZ8</f>
        <v>966</v>
      </c>
      <c r="X4" s="960">
        <f>Elect!BB8</f>
        <v>1860.6</v>
      </c>
      <c r="Y4" s="960">
        <f>Elect!BE8</f>
        <v>0</v>
      </c>
      <c r="Z4" s="960">
        <f>Elect!BG8</f>
        <v>594</v>
      </c>
      <c r="AA4" s="960">
        <f>Elect!BI8</f>
        <v>46</v>
      </c>
      <c r="AB4" s="960">
        <f>Elect!BK8</f>
        <v>108</v>
      </c>
      <c r="AC4" s="960"/>
      <c r="AD4" s="960">
        <f>Water!C9</f>
        <v>92.8</v>
      </c>
      <c r="AE4" s="960">
        <f>Water!E9</f>
        <v>40.599999999999994</v>
      </c>
      <c r="AF4" s="960">
        <f>Water!G9</f>
        <v>0</v>
      </c>
      <c r="AG4" s="960"/>
      <c r="AH4" s="960">
        <f>Gas!C9</f>
        <v>170.66</v>
      </c>
      <c r="AI4" s="960">
        <f>Gas!E9</f>
        <v>0</v>
      </c>
      <c r="AJ4" s="960">
        <f>Gas!G9</f>
        <v>0</v>
      </c>
      <c r="AK4" s="947">
        <f>Elect!BM8</f>
        <v>0</v>
      </c>
    </row>
    <row r="5" spans="1:37" ht="12.75" customHeight="1">
      <c r="A5" s="957" t="s">
        <v>369</v>
      </c>
      <c r="B5" s="952">
        <f t="shared" si="0"/>
        <v>4</v>
      </c>
      <c r="C5" s="955">
        <v>3</v>
      </c>
      <c r="D5" s="956">
        <v>2020</v>
      </c>
      <c r="E5" s="971"/>
      <c r="F5" s="940">
        <f>Elect!J9</f>
        <v>1993</v>
      </c>
      <c r="G5" s="940">
        <f>Elect!K9</f>
        <v>1226</v>
      </c>
      <c r="H5" s="940">
        <f>Elect!Q9</f>
        <v>90</v>
      </c>
      <c r="I5" s="940">
        <f>Elect!W9</f>
        <v>135</v>
      </c>
      <c r="J5" s="940">
        <f>Elect!Y9</f>
        <v>228</v>
      </c>
      <c r="K5" s="940">
        <f>Elect!AA9</f>
        <v>0</v>
      </c>
      <c r="L5" s="940">
        <f>Elect!AC9</f>
        <v>1511.03</v>
      </c>
      <c r="M5" s="960">
        <f>Elect!AE9</f>
        <v>0</v>
      </c>
      <c r="N5" s="960">
        <f>Elect!AG9</f>
        <v>0</v>
      </c>
      <c r="O5" s="960">
        <f>Elect!AI9</f>
        <v>396.97</v>
      </c>
      <c r="P5" s="960">
        <f>Elect!AK9</f>
        <v>2288.54</v>
      </c>
      <c r="Q5" s="960">
        <f>Elect!AN9</f>
        <v>12</v>
      </c>
      <c r="R5" s="960">
        <f>Elect!AP9</f>
        <v>2</v>
      </c>
      <c r="S5" s="960">
        <f>Elect!AR9</f>
        <v>4.29</v>
      </c>
      <c r="T5" s="960">
        <f>Elect!AT9</f>
        <v>32</v>
      </c>
      <c r="U5" s="960">
        <f>Elect!AV9</f>
        <v>361</v>
      </c>
      <c r="V5" s="960">
        <f>Elect!AX9</f>
        <v>37</v>
      </c>
      <c r="W5" s="960">
        <f>Elect!AZ9</f>
        <v>1838</v>
      </c>
      <c r="X5" s="960">
        <f>Elect!BB9</f>
        <v>3667.3</v>
      </c>
      <c r="Y5" s="960">
        <f>Elect!BE9</f>
        <v>0</v>
      </c>
      <c r="Z5" s="960">
        <f>Elect!BG9</f>
        <v>917</v>
      </c>
      <c r="AA5" s="960">
        <f>Elect!BI9</f>
        <v>85</v>
      </c>
      <c r="AB5" s="960">
        <f>Elect!BK9</f>
        <v>202</v>
      </c>
      <c r="AC5" s="960"/>
      <c r="AD5" s="960">
        <f>Water!C10</f>
        <v>231.99999999999997</v>
      </c>
      <c r="AE5" s="960">
        <f>Water!E10</f>
        <v>11.6</v>
      </c>
      <c r="AF5" s="960">
        <f>Water!G10</f>
        <v>0</v>
      </c>
      <c r="AG5" s="960"/>
      <c r="AH5" s="960">
        <f>Gas!C10</f>
        <v>170.66</v>
      </c>
      <c r="AI5" s="960">
        <f>Gas!E10</f>
        <v>0</v>
      </c>
      <c r="AJ5" s="960">
        <f>Gas!G10</f>
        <v>2</v>
      </c>
      <c r="AK5" s="947">
        <f>Elect!BM9</f>
        <v>0</v>
      </c>
    </row>
    <row r="6" spans="1:37" ht="12.75" customHeight="1">
      <c r="A6" s="957" t="s">
        <v>369</v>
      </c>
      <c r="B6" s="952">
        <f t="shared" si="0"/>
        <v>5</v>
      </c>
      <c r="C6" s="955">
        <v>3</v>
      </c>
      <c r="D6" s="956">
        <v>2020</v>
      </c>
      <c r="E6" s="971"/>
      <c r="F6" s="940">
        <f>Elect!J10</f>
        <v>1723</v>
      </c>
      <c r="G6" s="940">
        <f>Elect!K10</f>
        <v>1590</v>
      </c>
      <c r="H6" s="940">
        <f>Elect!Q10</f>
        <v>60</v>
      </c>
      <c r="I6" s="940">
        <f>Elect!W10</f>
        <v>114</v>
      </c>
      <c r="J6" s="940">
        <f>Elect!Y10</f>
        <v>191</v>
      </c>
      <c r="K6" s="940">
        <f>Elect!AA10</f>
        <v>0</v>
      </c>
      <c r="L6" s="940">
        <f>Elect!AC10</f>
        <v>2708.3</v>
      </c>
      <c r="M6" s="960">
        <f>Elect!AE10</f>
        <v>0</v>
      </c>
      <c r="N6" s="960">
        <f>Elect!AG10</f>
        <v>0</v>
      </c>
      <c r="O6" s="960">
        <f>Elect!AI10</f>
        <v>508.8</v>
      </c>
      <c r="P6" s="960">
        <f>Elect!AK10</f>
        <v>2934.61</v>
      </c>
      <c r="Q6" s="960">
        <f>Elect!AN10</f>
        <v>29</v>
      </c>
      <c r="R6" s="960">
        <f>Elect!AP10</f>
        <v>2</v>
      </c>
      <c r="S6" s="960">
        <f>Elect!AR10</f>
        <v>5.94</v>
      </c>
      <c r="T6" s="960">
        <f>Elect!AT10</f>
        <v>41</v>
      </c>
      <c r="U6" s="960">
        <f>Elect!AV10</f>
        <v>485</v>
      </c>
      <c r="V6" s="960">
        <f>Elect!AX10</f>
        <v>39</v>
      </c>
      <c r="W6" s="960">
        <f>Elect!AZ10</f>
        <v>2436</v>
      </c>
      <c r="X6" s="960">
        <f>Elect!BB10</f>
        <v>4770.3</v>
      </c>
      <c r="Y6" s="960">
        <f>Elect!BE10</f>
        <v>0</v>
      </c>
      <c r="Z6" s="960">
        <f>Elect!BG10</f>
        <v>1282</v>
      </c>
      <c r="AA6" s="960">
        <f>Elect!BI10</f>
        <v>107</v>
      </c>
      <c r="AB6" s="960">
        <f>Elect!BK10</f>
        <v>262</v>
      </c>
      <c r="AC6" s="960"/>
      <c r="AD6" s="960">
        <f>Water!C11</f>
        <v>81.199999999999989</v>
      </c>
      <c r="AE6" s="960">
        <f>Water!E11</f>
        <v>63.8</v>
      </c>
      <c r="AF6" s="960">
        <f>Water!G11</f>
        <v>0</v>
      </c>
      <c r="AG6" s="960"/>
      <c r="AH6" s="960">
        <f>Gas!C11</f>
        <v>170.66</v>
      </c>
      <c r="AI6" s="960">
        <f>Gas!E11</f>
        <v>109.55212121209479</v>
      </c>
      <c r="AJ6" s="960">
        <f>Gas!G11</f>
        <v>2</v>
      </c>
      <c r="AK6" s="947">
        <f>Elect!BM10</f>
        <v>0</v>
      </c>
    </row>
    <row r="7" spans="1:37" ht="12.75" customHeight="1">
      <c r="A7" s="957" t="s">
        <v>369</v>
      </c>
      <c r="B7" s="952">
        <f t="shared" si="0"/>
        <v>6</v>
      </c>
      <c r="C7" s="955">
        <v>3</v>
      </c>
      <c r="D7" s="956">
        <v>2020</v>
      </c>
      <c r="E7" s="971"/>
      <c r="F7" s="940">
        <f>Elect!J11</f>
        <v>1827</v>
      </c>
      <c r="G7" s="940">
        <f>Elect!K11</f>
        <v>1427</v>
      </c>
      <c r="H7" s="940">
        <f>Elect!Q11</f>
        <v>60</v>
      </c>
      <c r="I7" s="940">
        <f>Elect!W11</f>
        <v>113</v>
      </c>
      <c r="J7" s="940">
        <f>Elect!Y11</f>
        <v>189</v>
      </c>
      <c r="K7" s="940">
        <f>Elect!AA11</f>
        <v>0</v>
      </c>
      <c r="L7" s="940">
        <f>Elect!AC11</f>
        <v>992.16000000000008</v>
      </c>
      <c r="M7" s="960">
        <f>Elect!AE11</f>
        <v>0</v>
      </c>
      <c r="N7" s="960">
        <f>Elect!AG11</f>
        <v>0</v>
      </c>
      <c r="O7" s="960">
        <f>Elect!AI11</f>
        <v>179.14000000000001</v>
      </c>
      <c r="P7" s="960">
        <f>Elect!AK11</f>
        <v>909.48</v>
      </c>
      <c r="Q7" s="960">
        <f>Elect!AN11</f>
        <v>47</v>
      </c>
      <c r="R7" s="960">
        <f>Elect!AP11</f>
        <v>2</v>
      </c>
      <c r="S7" s="960">
        <f>Elect!AR11</f>
        <v>1.87</v>
      </c>
      <c r="T7" s="960">
        <f>Elect!AT11</f>
        <v>18</v>
      </c>
      <c r="U7" s="960">
        <f>Elect!AV11</f>
        <v>197</v>
      </c>
      <c r="V7" s="960">
        <f>Elect!AX11</f>
        <v>33</v>
      </c>
      <c r="W7" s="960">
        <f>Elect!AZ11</f>
        <v>867</v>
      </c>
      <c r="X7" s="960">
        <f>Elect!BB11</f>
        <v>1578.9</v>
      </c>
      <c r="Y7" s="960">
        <f>Elect!BE11</f>
        <v>0</v>
      </c>
      <c r="Z7" s="960">
        <f>Elect!BG11</f>
        <v>471</v>
      </c>
      <c r="AA7" s="960">
        <f>Elect!BI11</f>
        <v>35</v>
      </c>
      <c r="AB7" s="960">
        <f>Elect!BK11</f>
        <v>84</v>
      </c>
      <c r="AC7" s="960"/>
      <c r="AD7" s="960">
        <f>Water!C12</f>
        <v>46.4</v>
      </c>
      <c r="AE7" s="960">
        <f>Water!E12</f>
        <v>46.4</v>
      </c>
      <c r="AF7" s="960">
        <f>Water!G12</f>
        <v>0</v>
      </c>
      <c r="AG7" s="960"/>
      <c r="AH7" s="960">
        <f>Gas!C12</f>
        <v>170.66</v>
      </c>
      <c r="AI7" s="960">
        <f>Gas!E12</f>
        <v>149.20606060641001</v>
      </c>
      <c r="AJ7" s="960">
        <f>Gas!G12</f>
        <v>1</v>
      </c>
      <c r="AK7" s="947">
        <f>Elect!BM11</f>
        <v>0</v>
      </c>
    </row>
    <row r="8" spans="1:37" ht="12.75" customHeight="1">
      <c r="A8" s="957" t="s">
        <v>369</v>
      </c>
      <c r="B8" s="952">
        <f t="shared" si="0"/>
        <v>7</v>
      </c>
      <c r="C8" s="955">
        <v>3</v>
      </c>
      <c r="D8" s="956">
        <v>2020</v>
      </c>
      <c r="E8" s="971"/>
      <c r="F8" s="940">
        <f>Elect!J12</f>
        <v>2458</v>
      </c>
      <c r="G8" s="940">
        <f>Elect!K12</f>
        <v>1967</v>
      </c>
      <c r="H8" s="940">
        <f>Elect!Q12</f>
        <v>120</v>
      </c>
      <c r="I8" s="940">
        <f>Elect!W12</f>
        <v>160</v>
      </c>
      <c r="J8" s="940">
        <f>Elect!Y12</f>
        <v>263</v>
      </c>
      <c r="K8" s="940">
        <f>Elect!AA12</f>
        <v>0</v>
      </c>
      <c r="L8" s="940">
        <f>Elect!AC12</f>
        <v>507.21000000000004</v>
      </c>
      <c r="M8" s="960">
        <f>Elect!AE12</f>
        <v>1939.2700000000002</v>
      </c>
      <c r="N8" s="960">
        <f>Elect!AG12</f>
        <v>0</v>
      </c>
      <c r="O8" s="960">
        <f>Elect!AI12</f>
        <v>437.78000000000003</v>
      </c>
      <c r="P8" s="960">
        <f>Elect!AK12</f>
        <v>2415.7400000000002</v>
      </c>
      <c r="Q8" s="960">
        <f>Elect!AN12</f>
        <v>15</v>
      </c>
      <c r="R8" s="960">
        <f>Elect!AP12</f>
        <v>2</v>
      </c>
      <c r="S8" s="960">
        <f>Elect!AR12</f>
        <v>5.17</v>
      </c>
      <c r="T8" s="960">
        <f>Elect!AT12</f>
        <v>36</v>
      </c>
      <c r="U8" s="960">
        <f>Elect!AV12</f>
        <v>371</v>
      </c>
      <c r="V8" s="960">
        <f>Elect!AX12</f>
        <v>44</v>
      </c>
      <c r="W8" s="960">
        <f>Elect!AZ12</f>
        <v>2571</v>
      </c>
      <c r="X8" s="960">
        <f>Elect!BB12</f>
        <v>4300.1000000000004</v>
      </c>
      <c r="Y8" s="960">
        <f>Elect!BE12</f>
        <v>0</v>
      </c>
      <c r="Z8" s="960">
        <f>Elect!BG12</f>
        <v>1339</v>
      </c>
      <c r="AA8" s="960">
        <f>Elect!BI12</f>
        <v>95</v>
      </c>
      <c r="AB8" s="960">
        <f>Elect!BK12</f>
        <v>232</v>
      </c>
      <c r="AC8" s="960"/>
      <c r="AD8" s="960">
        <f>Water!C13</f>
        <v>69.599999999999994</v>
      </c>
      <c r="AE8" s="960">
        <f>Water!E13</f>
        <v>28.999999999999996</v>
      </c>
      <c r="AF8" s="960">
        <f>Water!G13</f>
        <v>0</v>
      </c>
      <c r="AG8" s="960"/>
      <c r="AH8" s="960">
        <f>Gas!C13</f>
        <v>170.66</v>
      </c>
      <c r="AI8" s="960">
        <f>Gas!E13</f>
        <v>149.20606060569696</v>
      </c>
      <c r="AJ8" s="960">
        <f>Gas!G13</f>
        <v>1</v>
      </c>
      <c r="AK8" s="947">
        <f>Elect!BM12</f>
        <v>0</v>
      </c>
    </row>
    <row r="9" spans="1:37" ht="12.75" customHeight="1">
      <c r="A9" s="957" t="s">
        <v>369</v>
      </c>
      <c r="B9" s="952">
        <f t="shared" si="0"/>
        <v>8</v>
      </c>
      <c r="C9" s="955">
        <v>3</v>
      </c>
      <c r="D9" s="956">
        <v>2020</v>
      </c>
      <c r="E9" s="971"/>
      <c r="F9" s="940">
        <f>Elect!J13</f>
        <v>2104</v>
      </c>
      <c r="G9" s="940">
        <f>Elect!K13</f>
        <v>1316</v>
      </c>
      <c r="H9" s="940">
        <f>Elect!Q13</f>
        <v>90</v>
      </c>
      <c r="I9" s="940">
        <f>Elect!W13</f>
        <v>148</v>
      </c>
      <c r="J9" s="940">
        <f>Elect!Y13</f>
        <v>237</v>
      </c>
      <c r="K9" s="940">
        <f>Elect!AA13</f>
        <v>0</v>
      </c>
      <c r="L9" s="940">
        <f>Elect!AC13</f>
        <v>0</v>
      </c>
      <c r="M9" s="960">
        <f>Elect!AE13</f>
        <v>2327.23</v>
      </c>
      <c r="N9" s="960">
        <f>Elect!AG13</f>
        <v>0</v>
      </c>
      <c r="O9" s="960">
        <f>Elect!AI13</f>
        <v>444.14000000000004</v>
      </c>
      <c r="P9" s="960">
        <f>Elect!AK13</f>
        <v>2433.23</v>
      </c>
      <c r="Q9" s="960">
        <f>Elect!AN13</f>
        <v>12</v>
      </c>
      <c r="R9" s="960">
        <f>Elect!AP13</f>
        <v>3</v>
      </c>
      <c r="S9" s="960">
        <f>Elect!AR13</f>
        <v>4.62</v>
      </c>
      <c r="T9" s="960">
        <f>Elect!AT13</f>
        <v>31</v>
      </c>
      <c r="U9" s="960">
        <f>Elect!AV13</f>
        <v>332</v>
      </c>
      <c r="V9" s="960">
        <f>Elect!AX13</f>
        <v>38</v>
      </c>
      <c r="W9" s="960">
        <f>Elect!AZ13</f>
        <v>2215</v>
      </c>
      <c r="X9" s="960">
        <f>Elect!BB13</f>
        <v>3896.5</v>
      </c>
      <c r="Y9" s="960">
        <f>Elect!BE13</f>
        <v>0</v>
      </c>
      <c r="Z9" s="960">
        <f>Elect!BG13</f>
        <v>1175</v>
      </c>
      <c r="AA9" s="960">
        <f>Elect!BI13</f>
        <v>89</v>
      </c>
      <c r="AB9" s="960">
        <f>Elect!BK13</f>
        <v>217</v>
      </c>
      <c r="AC9" s="960"/>
      <c r="AD9" s="960">
        <f>Water!C14</f>
        <v>75.399999999999991</v>
      </c>
      <c r="AE9" s="960">
        <f>Water!E14</f>
        <v>40.599999999999994</v>
      </c>
      <c r="AF9" s="960">
        <f>Water!G14</f>
        <v>0</v>
      </c>
      <c r="AG9" s="960"/>
      <c r="AH9" s="960">
        <f>Gas!C14</f>
        <v>170.66</v>
      </c>
      <c r="AI9" s="960">
        <f>Gas!E14</f>
        <v>149.20606060638966</v>
      </c>
      <c r="AJ9" s="960">
        <f>Gas!G14</f>
        <v>1</v>
      </c>
      <c r="AK9" s="947">
        <f>Elect!BM13</f>
        <v>0</v>
      </c>
    </row>
    <row r="10" spans="1:37" ht="12.75" customHeight="1">
      <c r="A10" s="957" t="s">
        <v>369</v>
      </c>
      <c r="B10" s="952">
        <f t="shared" si="0"/>
        <v>9</v>
      </c>
      <c r="C10" s="955">
        <v>3</v>
      </c>
      <c r="D10" s="956">
        <v>2020</v>
      </c>
      <c r="E10" s="971"/>
      <c r="F10" s="940">
        <f>Elect!J14</f>
        <v>962</v>
      </c>
      <c r="G10" s="940">
        <f>Elect!K14</f>
        <v>981</v>
      </c>
      <c r="H10" s="940">
        <f>Elect!Q14</f>
        <v>30</v>
      </c>
      <c r="I10" s="940">
        <f>Elect!W14</f>
        <v>73</v>
      </c>
      <c r="J10" s="940">
        <f>Elect!Y14</f>
        <v>117</v>
      </c>
      <c r="K10" s="940">
        <f>Elect!AA14</f>
        <v>0</v>
      </c>
      <c r="L10" s="940">
        <f>Elect!AC14</f>
        <v>0</v>
      </c>
      <c r="M10" s="960">
        <f>Elect!AE14</f>
        <v>1698.65</v>
      </c>
      <c r="N10" s="960">
        <f>Elect!AG14</f>
        <v>0</v>
      </c>
      <c r="O10" s="960">
        <f>Elect!AI14</f>
        <v>333.90000000000003</v>
      </c>
      <c r="P10" s="960">
        <f>Elect!AK14</f>
        <v>1850.76</v>
      </c>
      <c r="Q10" s="960">
        <f>Elect!AN14</f>
        <v>6</v>
      </c>
      <c r="R10" s="960">
        <f>Elect!AP14</f>
        <v>1</v>
      </c>
      <c r="S10" s="960">
        <f>Elect!AR14</f>
        <v>2.5299999999999998</v>
      </c>
      <c r="T10" s="960">
        <f>Elect!AT14</f>
        <v>27</v>
      </c>
      <c r="U10" s="960">
        <f>Elect!AV14</f>
        <v>251</v>
      </c>
      <c r="V10" s="960">
        <f>Elect!AX14</f>
        <v>19</v>
      </c>
      <c r="W10" s="960">
        <f>Elect!AZ14</f>
        <v>943</v>
      </c>
      <c r="X10" s="960">
        <f>Elect!BB14</f>
        <v>2106.3000000000002</v>
      </c>
      <c r="Y10" s="960">
        <f>Elect!BE14</f>
        <v>0</v>
      </c>
      <c r="Z10" s="960">
        <f>Elect!BG14</f>
        <v>627</v>
      </c>
      <c r="AA10" s="960">
        <f>Elect!BI14</f>
        <v>49</v>
      </c>
      <c r="AB10" s="960">
        <f>Elect!BK14</f>
        <v>117</v>
      </c>
      <c r="AC10" s="960"/>
      <c r="AD10" s="960">
        <f>Water!C15</f>
        <v>98.6</v>
      </c>
      <c r="AE10" s="960">
        <f>Water!E15</f>
        <v>34.799999999999997</v>
      </c>
      <c r="AF10" s="960">
        <f>Water!G15</f>
        <v>0</v>
      </c>
      <c r="AG10" s="960"/>
      <c r="AH10" s="960">
        <f>Gas!C15</f>
        <v>170.66</v>
      </c>
      <c r="AI10" s="960">
        <f>Gas!E15</f>
        <v>149.20606060571734</v>
      </c>
      <c r="AJ10" s="960">
        <f>Gas!G15</f>
        <v>0</v>
      </c>
      <c r="AK10" s="947">
        <f>Elect!BM14</f>
        <v>0</v>
      </c>
    </row>
    <row r="11" spans="1:37" ht="12.75" customHeight="1">
      <c r="A11" s="957" t="s">
        <v>369</v>
      </c>
      <c r="B11" s="952">
        <f t="shared" si="0"/>
        <v>10</v>
      </c>
      <c r="C11" s="955">
        <v>3</v>
      </c>
      <c r="D11" s="956">
        <v>2020</v>
      </c>
      <c r="E11" s="971"/>
      <c r="F11" s="940">
        <f>Elect!J15</f>
        <v>2501</v>
      </c>
      <c r="G11" s="940">
        <f>Elect!K15</f>
        <v>1330</v>
      </c>
      <c r="H11" s="940">
        <f>Elect!Q15</f>
        <v>90</v>
      </c>
      <c r="I11" s="940">
        <f>Elect!W15</f>
        <v>189</v>
      </c>
      <c r="J11" s="940">
        <f>Elect!Y15</f>
        <v>168</v>
      </c>
      <c r="K11" s="940">
        <f>Elect!AA15</f>
        <v>0</v>
      </c>
      <c r="L11" s="940">
        <f>Elect!AC15</f>
        <v>0</v>
      </c>
      <c r="M11" s="960">
        <f>Elect!AE15</f>
        <v>360.40000000000003</v>
      </c>
      <c r="N11" s="960">
        <f>Elect!AG15</f>
        <v>527.35</v>
      </c>
      <c r="O11" s="960">
        <f>Elect!AI15</f>
        <v>149.46</v>
      </c>
      <c r="P11" s="960">
        <f>Elect!AK15</f>
        <v>1974.25</v>
      </c>
      <c r="Q11" s="960">
        <f>Elect!AN15</f>
        <v>15</v>
      </c>
      <c r="R11" s="960">
        <f>Elect!AP15</f>
        <v>3</v>
      </c>
      <c r="S11" s="960">
        <f>Elect!AR15</f>
        <v>6.2700000000000005</v>
      </c>
      <c r="T11" s="960">
        <f>Elect!AT15</f>
        <v>41</v>
      </c>
      <c r="U11" s="960">
        <f>Elect!AV15</f>
        <v>343</v>
      </c>
      <c r="V11" s="960">
        <f>Elect!AX15</f>
        <v>43</v>
      </c>
      <c r="W11" s="960">
        <f>Elect!AZ15</f>
        <v>2196</v>
      </c>
      <c r="X11" s="960">
        <f>Elect!BB15</f>
        <v>4842.5</v>
      </c>
      <c r="Y11" s="960">
        <f>Elect!BE15</f>
        <v>0</v>
      </c>
      <c r="Z11" s="960">
        <f>Elect!BG15</f>
        <v>1375</v>
      </c>
      <c r="AA11" s="960">
        <f>Elect!BI15</f>
        <v>111</v>
      </c>
      <c r="AB11" s="960">
        <f>Elect!BK15</f>
        <v>274</v>
      </c>
      <c r="AC11" s="960"/>
      <c r="AD11" s="960">
        <f>Water!C16</f>
        <v>28.999999999999996</v>
      </c>
      <c r="AE11" s="960">
        <f>Water!E16</f>
        <v>17.399999999999999</v>
      </c>
      <c r="AF11" s="960">
        <f>Water!G16</f>
        <v>8.1199999999999992</v>
      </c>
      <c r="AG11" s="960"/>
      <c r="AH11" s="960">
        <f>Gas!C16</f>
        <v>170.66</v>
      </c>
      <c r="AI11" s="960">
        <f>Gas!E16</f>
        <v>149.20606060638966</v>
      </c>
      <c r="AJ11" s="960">
        <f>Gas!G16</f>
        <v>2</v>
      </c>
      <c r="AK11" s="947">
        <f>Elect!BM15</f>
        <v>0</v>
      </c>
    </row>
    <row r="12" spans="1:37" ht="12.75" customHeight="1">
      <c r="A12" s="957" t="s">
        <v>369</v>
      </c>
      <c r="B12" s="952">
        <f t="shared" si="0"/>
        <v>11</v>
      </c>
      <c r="C12" s="955">
        <v>3</v>
      </c>
      <c r="D12" s="956">
        <v>2020</v>
      </c>
      <c r="E12" s="971"/>
      <c r="F12" s="940">
        <f>Elect!J16</f>
        <v>1367</v>
      </c>
      <c r="G12" s="940">
        <f>Elect!K16</f>
        <v>911</v>
      </c>
      <c r="H12" s="940">
        <f>Elect!Q16</f>
        <v>60</v>
      </c>
      <c r="I12" s="940">
        <f>Elect!W16</f>
        <v>99</v>
      </c>
      <c r="J12" s="940">
        <f>Elect!Y16</f>
        <v>292</v>
      </c>
      <c r="K12" s="940">
        <f>Elect!AA16</f>
        <v>0</v>
      </c>
      <c r="L12" s="940">
        <f>Elect!AC16</f>
        <v>601.55000000000007</v>
      </c>
      <c r="M12" s="960">
        <f>Elect!AE16</f>
        <v>991.1</v>
      </c>
      <c r="N12" s="960">
        <f>Elect!AG16</f>
        <v>0</v>
      </c>
      <c r="O12" s="960">
        <f>Elect!AI16</f>
        <v>234.79000000000002</v>
      </c>
      <c r="P12" s="960">
        <f>Elect!AK16</f>
        <v>1706.0700000000002</v>
      </c>
      <c r="Q12" s="960">
        <f>Elect!AN16</f>
        <v>8</v>
      </c>
      <c r="R12" s="960">
        <f>Elect!AP16</f>
        <v>2</v>
      </c>
      <c r="S12" s="960">
        <f>Elect!AR16</f>
        <v>3.19</v>
      </c>
      <c r="T12" s="960">
        <f>Elect!AT16</f>
        <v>31</v>
      </c>
      <c r="U12" s="960">
        <f>Elect!AV16</f>
        <v>221</v>
      </c>
      <c r="V12" s="960">
        <f>Elect!AX16</f>
        <v>21</v>
      </c>
      <c r="W12" s="960">
        <f>Elect!AZ16</f>
        <v>1197</v>
      </c>
      <c r="X12" s="960">
        <f>Elect!BB16</f>
        <v>2570.6</v>
      </c>
      <c r="Y12" s="960">
        <f>Elect!BE16</f>
        <v>0</v>
      </c>
      <c r="Z12" s="960">
        <f>Elect!BG16</f>
        <v>789</v>
      </c>
      <c r="AA12" s="960">
        <f>Elect!BI16</f>
        <v>62</v>
      </c>
      <c r="AB12" s="960">
        <f>Elect!BK16</f>
        <v>150</v>
      </c>
      <c r="AC12" s="960"/>
      <c r="AD12" s="960">
        <f>Water!C17</f>
        <v>46.4</v>
      </c>
      <c r="AE12" s="960">
        <f>Water!E17</f>
        <v>28.999999999999996</v>
      </c>
      <c r="AF12" s="960">
        <f>Water!G17</f>
        <v>5.22</v>
      </c>
      <c r="AG12" s="960"/>
      <c r="AH12" s="960">
        <f>Gas!C17</f>
        <v>170.66</v>
      </c>
      <c r="AI12" s="960">
        <f>Gas!E17</f>
        <v>149.20606060569696</v>
      </c>
      <c r="AJ12" s="960">
        <f>Gas!G17</f>
        <v>4</v>
      </c>
      <c r="AK12" s="947">
        <f>Elect!BM16</f>
        <v>0</v>
      </c>
    </row>
    <row r="13" spans="1:37" ht="12.75" customHeight="1">
      <c r="A13" s="957" t="s">
        <v>369</v>
      </c>
      <c r="B13" s="952">
        <f t="shared" si="0"/>
        <v>12</v>
      </c>
      <c r="C13" s="955">
        <v>3</v>
      </c>
      <c r="D13" s="956">
        <v>2020</v>
      </c>
      <c r="E13" s="971"/>
      <c r="F13" s="940">
        <f>Elect!J17</f>
        <v>1552</v>
      </c>
      <c r="G13" s="940">
        <f>Elect!K17</f>
        <v>1122</v>
      </c>
      <c r="H13" s="940">
        <f>Elect!Q17</f>
        <v>60</v>
      </c>
      <c r="I13" s="940">
        <f>Elect!W17</f>
        <v>99</v>
      </c>
      <c r="J13" s="940">
        <f>Elect!Y17</f>
        <v>158</v>
      </c>
      <c r="K13" s="940">
        <f>Elect!AA17</f>
        <v>0</v>
      </c>
      <c r="L13" s="940">
        <f>Elect!AC17</f>
        <v>0</v>
      </c>
      <c r="M13" s="960">
        <f>Elect!AE17</f>
        <v>2015.0600000000002</v>
      </c>
      <c r="N13" s="960">
        <f>Elect!AG17</f>
        <v>0</v>
      </c>
      <c r="O13" s="960">
        <f>Elect!AI17</f>
        <v>383.72</v>
      </c>
      <c r="P13" s="960">
        <f>Elect!AK17</f>
        <v>2061.7000000000003</v>
      </c>
      <c r="Q13" s="960">
        <f>Elect!AN17</f>
        <v>8</v>
      </c>
      <c r="R13" s="960">
        <f>Elect!AP17</f>
        <v>1</v>
      </c>
      <c r="S13" s="960">
        <f>Elect!AR17</f>
        <v>3.19</v>
      </c>
      <c r="T13" s="960">
        <f>Elect!AT17</f>
        <v>22</v>
      </c>
      <c r="U13" s="960">
        <f>Elect!AV17</f>
        <v>283</v>
      </c>
      <c r="V13" s="960">
        <f>Elect!AX17</f>
        <v>15</v>
      </c>
      <c r="W13" s="960">
        <f>Elect!AZ17</f>
        <v>1187</v>
      </c>
      <c r="X13" s="960">
        <f>Elect!BB17</f>
        <v>2641.7</v>
      </c>
      <c r="Y13" s="960">
        <f>Elect!BE17</f>
        <v>0</v>
      </c>
      <c r="Z13" s="960">
        <f>Elect!BG17</f>
        <v>733</v>
      </c>
      <c r="AA13" s="960">
        <f>Elect!BI17</f>
        <v>63</v>
      </c>
      <c r="AB13" s="960">
        <f>Elect!BK17</f>
        <v>157</v>
      </c>
      <c r="AC13" s="960"/>
      <c r="AD13" s="960">
        <f>Water!C18</f>
        <v>40.599999999999994</v>
      </c>
      <c r="AE13" s="960">
        <f>Water!E18</f>
        <v>28.999999999999996</v>
      </c>
      <c r="AF13" s="960">
        <f>Water!G18</f>
        <v>7.5399999999999991</v>
      </c>
      <c r="AG13" s="960"/>
      <c r="AH13" s="960">
        <f>Gas!C18</f>
        <v>170.66</v>
      </c>
      <c r="AI13" s="960">
        <f>Gas!E18</f>
        <v>149.20606060641001</v>
      </c>
      <c r="AJ13" s="960">
        <f>Gas!G18</f>
        <v>1</v>
      </c>
      <c r="AK13" s="947">
        <f>Elect!BM17</f>
        <v>0</v>
      </c>
    </row>
    <row r="14" spans="1:37" ht="12.75" customHeight="1">
      <c r="A14" s="957" t="s">
        <v>369</v>
      </c>
      <c r="B14" s="952">
        <f t="shared" si="0"/>
        <v>13</v>
      </c>
      <c r="C14" s="955">
        <v>3</v>
      </c>
      <c r="D14" s="956">
        <v>2020</v>
      </c>
      <c r="E14" s="971"/>
      <c r="F14" s="940">
        <f>Elect!J18</f>
        <v>1989</v>
      </c>
      <c r="G14" s="940">
        <f>Elect!K18</f>
        <v>1336</v>
      </c>
      <c r="H14" s="940">
        <f>Elect!Q18</f>
        <v>30</v>
      </c>
      <c r="I14" s="940">
        <f>Elect!W18</f>
        <v>136</v>
      </c>
      <c r="J14" s="940">
        <f>Elect!Y18</f>
        <v>217</v>
      </c>
      <c r="K14" s="940">
        <f>Elect!AA18</f>
        <v>0</v>
      </c>
      <c r="L14" s="940">
        <f>Elect!AC18</f>
        <v>0</v>
      </c>
      <c r="M14" s="960">
        <f>Elect!AE18</f>
        <v>555.97</v>
      </c>
      <c r="N14" s="960">
        <f>Elect!AG18</f>
        <v>914.25</v>
      </c>
      <c r="O14" s="960">
        <f>Elect!AI18</f>
        <v>227.9</v>
      </c>
      <c r="P14" s="960">
        <f>Elect!AK18</f>
        <v>1314.93</v>
      </c>
      <c r="Q14" s="960">
        <f>Elect!AN18</f>
        <v>11</v>
      </c>
      <c r="R14" s="960">
        <f>Elect!AP18</f>
        <v>2</v>
      </c>
      <c r="S14" s="960">
        <f>Elect!AR18</f>
        <v>3.63</v>
      </c>
      <c r="T14" s="960">
        <f>Elect!AT18</f>
        <v>29</v>
      </c>
      <c r="U14" s="960">
        <f>Elect!AV18</f>
        <v>298</v>
      </c>
      <c r="V14" s="960">
        <f>Elect!AX18</f>
        <v>0</v>
      </c>
      <c r="W14" s="960">
        <f>Elect!AZ18</f>
        <v>2023</v>
      </c>
      <c r="X14" s="960">
        <f>Elect!BB18</f>
        <v>3427.4</v>
      </c>
      <c r="Y14" s="960">
        <f>Elect!BE18</f>
        <v>0</v>
      </c>
      <c r="Z14" s="960">
        <f>Elect!BG18</f>
        <v>816</v>
      </c>
      <c r="AA14" s="960">
        <f>Elect!BI18</f>
        <v>90</v>
      </c>
      <c r="AB14" s="960">
        <f>Elect!BK18</f>
        <v>212</v>
      </c>
      <c r="AC14" s="960"/>
      <c r="AD14" s="960">
        <f>Water!C19</f>
        <v>63.8</v>
      </c>
      <c r="AE14" s="960">
        <f>Water!E19</f>
        <v>46.4</v>
      </c>
      <c r="AF14" s="960">
        <f>Water!G19</f>
        <v>6.9599999999999991</v>
      </c>
      <c r="AG14" s="960"/>
      <c r="AH14" s="960">
        <f>Gas!C19</f>
        <v>170.66</v>
      </c>
      <c r="AI14" s="960">
        <f>Gas!E19</f>
        <v>149.20606060569696</v>
      </c>
      <c r="AJ14" s="960">
        <f>Gas!G19</f>
        <v>1</v>
      </c>
      <c r="AK14" s="947">
        <f>Elect!BM18</f>
        <v>0</v>
      </c>
    </row>
    <row r="15" spans="1:37" ht="12.75" customHeight="1">
      <c r="A15" s="957" t="s">
        <v>369</v>
      </c>
      <c r="B15" s="952">
        <f t="shared" si="0"/>
        <v>14</v>
      </c>
      <c r="C15" s="955">
        <v>3</v>
      </c>
      <c r="D15" s="956">
        <v>2020</v>
      </c>
      <c r="E15" s="971"/>
      <c r="F15" s="940">
        <f>Elect!J19</f>
        <v>2081</v>
      </c>
      <c r="G15" s="940">
        <f>Elect!K19</f>
        <v>1361</v>
      </c>
      <c r="H15" s="940">
        <f>Elect!Q19</f>
        <v>30</v>
      </c>
      <c r="I15" s="940">
        <f>Elect!W19</f>
        <v>137</v>
      </c>
      <c r="J15" s="940">
        <f>Elect!Y19</f>
        <v>221</v>
      </c>
      <c r="K15" s="940">
        <f>Elect!AA19</f>
        <v>0</v>
      </c>
      <c r="L15" s="940">
        <f>Elect!AC19</f>
        <v>0</v>
      </c>
      <c r="M15" s="960">
        <f>Elect!AE19</f>
        <v>594.66000000000008</v>
      </c>
      <c r="N15" s="960">
        <f>Elect!AG19</f>
        <v>1021.84</v>
      </c>
      <c r="O15" s="960">
        <f>Elect!AI19</f>
        <v>186.56</v>
      </c>
      <c r="P15" s="960">
        <f>Elect!AK19</f>
        <v>2284.3000000000002</v>
      </c>
      <c r="Q15" s="960">
        <f>Elect!AN19</f>
        <v>10</v>
      </c>
      <c r="R15" s="960">
        <f>Elect!AP19</f>
        <v>1</v>
      </c>
      <c r="S15" s="960">
        <f>Elect!AR19</f>
        <v>5.17</v>
      </c>
      <c r="T15" s="960">
        <f>Elect!AT19</f>
        <v>36</v>
      </c>
      <c r="U15" s="960">
        <f>Elect!AV19</f>
        <v>301</v>
      </c>
      <c r="V15" s="960">
        <f>Elect!AX19</f>
        <v>1</v>
      </c>
      <c r="W15" s="960">
        <f>Elect!AZ19</f>
        <v>2023</v>
      </c>
      <c r="X15" s="960">
        <f>Elect!BB19</f>
        <v>3524.3</v>
      </c>
      <c r="Y15" s="960">
        <f>Elect!BE19</f>
        <v>0</v>
      </c>
      <c r="Z15" s="960">
        <f>Elect!BG19</f>
        <v>1062</v>
      </c>
      <c r="AA15" s="960">
        <f>Elect!BI19</f>
        <v>77</v>
      </c>
      <c r="AB15" s="960">
        <f>Elect!BK19</f>
        <v>190</v>
      </c>
      <c r="AC15" s="960"/>
      <c r="AD15" s="960">
        <f>Water!C20</f>
        <v>40.599999999999994</v>
      </c>
      <c r="AE15" s="960">
        <f>Water!E20</f>
        <v>28.999999999999996</v>
      </c>
      <c r="AF15" s="960">
        <f>Water!G20</f>
        <v>7.5399999999999991</v>
      </c>
      <c r="AG15" s="960"/>
      <c r="AH15" s="960">
        <f>Gas!C20</f>
        <v>170.66</v>
      </c>
      <c r="AI15" s="960">
        <f>Gas!E20</f>
        <v>149.20606060638966</v>
      </c>
      <c r="AJ15" s="960">
        <f>Gas!G20</f>
        <v>1</v>
      </c>
      <c r="AK15" s="947">
        <f>Elect!BM19</f>
        <v>0</v>
      </c>
    </row>
    <row r="16" spans="1:37" ht="12.75" customHeight="1">
      <c r="A16" s="957" t="s">
        <v>369</v>
      </c>
      <c r="B16" s="952">
        <f t="shared" si="0"/>
        <v>15</v>
      </c>
      <c r="C16" s="955">
        <v>3</v>
      </c>
      <c r="D16" s="956">
        <v>2020</v>
      </c>
      <c r="E16" s="971"/>
      <c r="F16" s="940">
        <f>Elect!J20</f>
        <v>1796</v>
      </c>
      <c r="G16" s="940">
        <f>Elect!K20</f>
        <v>1328</v>
      </c>
      <c r="H16" s="940">
        <f>Elect!Q20</f>
        <v>60</v>
      </c>
      <c r="I16" s="940">
        <f>Elect!W20</f>
        <v>115</v>
      </c>
      <c r="J16" s="940">
        <f>Elect!Y20</f>
        <v>198</v>
      </c>
      <c r="K16" s="940">
        <f>Elect!AA20</f>
        <v>0</v>
      </c>
      <c r="L16" s="940">
        <f>Elect!AC20</f>
        <v>0</v>
      </c>
      <c r="M16" s="960">
        <f>Elect!AE20</f>
        <v>36.04</v>
      </c>
      <c r="N16" s="960">
        <f>Elect!AG20</f>
        <v>1620.74</v>
      </c>
      <c r="O16" s="960">
        <f>Elect!AI20</f>
        <v>233.73000000000002</v>
      </c>
      <c r="P16" s="960">
        <f>Elect!AK20</f>
        <v>1832.21</v>
      </c>
      <c r="Q16" s="960">
        <f>Elect!AN20</f>
        <v>10</v>
      </c>
      <c r="R16" s="960">
        <f>Elect!AP20</f>
        <v>2</v>
      </c>
      <c r="S16" s="960">
        <f>Elect!AR20</f>
        <v>3.63</v>
      </c>
      <c r="T16" s="960">
        <f>Elect!AT20</f>
        <v>29</v>
      </c>
      <c r="U16" s="960">
        <f>Elect!AV20</f>
        <v>300</v>
      </c>
      <c r="V16" s="960">
        <f>Elect!AX20</f>
        <v>0</v>
      </c>
      <c r="W16" s="960">
        <f>Elect!AZ20</f>
        <v>1626</v>
      </c>
      <c r="X16" s="960">
        <f>Elect!BB20</f>
        <v>3008.6</v>
      </c>
      <c r="Y16" s="960">
        <f>Elect!BE20</f>
        <v>0</v>
      </c>
      <c r="Z16" s="960">
        <f>Elect!BG20</f>
        <v>989</v>
      </c>
      <c r="AA16" s="960">
        <f>Elect!BI20</f>
        <v>74</v>
      </c>
      <c r="AB16" s="960">
        <f>Elect!BK20</f>
        <v>173</v>
      </c>
      <c r="AC16" s="960"/>
      <c r="AD16" s="960">
        <f>Water!C21</f>
        <v>52.199999999999996</v>
      </c>
      <c r="AE16" s="960">
        <f>Water!E21</f>
        <v>52.199999999999996</v>
      </c>
      <c r="AF16" s="960">
        <f>Water!G21</f>
        <v>4.0599999999999996</v>
      </c>
      <c r="AG16" s="960"/>
      <c r="AH16" s="960">
        <f>Gas!C21</f>
        <v>170.66</v>
      </c>
      <c r="AI16" s="960">
        <f>Gas!E21</f>
        <v>211.49333333310787</v>
      </c>
      <c r="AJ16" s="960">
        <f>Gas!G21</f>
        <v>0</v>
      </c>
      <c r="AK16" s="947">
        <f>Elect!BM20</f>
        <v>0</v>
      </c>
    </row>
    <row r="17" spans="1:37" ht="12.75" customHeight="1">
      <c r="A17" s="957" t="s">
        <v>369</v>
      </c>
      <c r="B17" s="952">
        <f t="shared" si="0"/>
        <v>16</v>
      </c>
      <c r="C17" s="955">
        <v>3</v>
      </c>
      <c r="D17" s="956">
        <v>2020</v>
      </c>
      <c r="E17" s="971"/>
      <c r="F17" s="940">
        <f>Elect!J21</f>
        <v>1801</v>
      </c>
      <c r="G17" s="940">
        <f>Elect!K21</f>
        <v>1379</v>
      </c>
      <c r="H17" s="940">
        <f>Elect!Q21</f>
        <v>90</v>
      </c>
      <c r="I17" s="940">
        <f>Elect!W21</f>
        <v>108</v>
      </c>
      <c r="J17" s="940">
        <f>Elect!Y21</f>
        <v>188</v>
      </c>
      <c r="K17" s="940">
        <f>Elect!AA21</f>
        <v>0</v>
      </c>
      <c r="L17" s="940">
        <f>Elect!AC21</f>
        <v>0</v>
      </c>
      <c r="M17" s="960">
        <f>Elect!AE21</f>
        <v>2494.1800000000003</v>
      </c>
      <c r="N17" s="960">
        <f>Elect!AG21</f>
        <v>0</v>
      </c>
      <c r="O17" s="960">
        <f>Elect!AI21</f>
        <v>382.66</v>
      </c>
      <c r="P17" s="960">
        <f>Elect!AK21</f>
        <v>2220.17</v>
      </c>
      <c r="Q17" s="960">
        <f>Elect!AN21</f>
        <v>15</v>
      </c>
      <c r="R17" s="960">
        <f>Elect!AP21</f>
        <v>2</v>
      </c>
      <c r="S17" s="960">
        <f>Elect!AR21</f>
        <v>3.85</v>
      </c>
      <c r="T17" s="960">
        <f>Elect!AT21</f>
        <v>28</v>
      </c>
      <c r="U17" s="960">
        <f>Elect!AV21</f>
        <v>328</v>
      </c>
      <c r="V17" s="960">
        <f>Elect!AX21</f>
        <v>0</v>
      </c>
      <c r="W17" s="960">
        <f>Elect!AZ21</f>
        <v>1736</v>
      </c>
      <c r="X17" s="960">
        <f>Elect!BB21</f>
        <v>3192.1</v>
      </c>
      <c r="Y17" s="960">
        <f>Elect!BE21</f>
        <v>0</v>
      </c>
      <c r="Z17" s="960">
        <f>Elect!BG21</f>
        <v>1054</v>
      </c>
      <c r="AA17" s="960">
        <f>Elect!BI21</f>
        <v>73</v>
      </c>
      <c r="AB17" s="960">
        <f>Elect!BK21</f>
        <v>184</v>
      </c>
      <c r="AC17" s="960"/>
      <c r="AD17" s="960">
        <f>Water!C22</f>
        <v>34.799999999999997</v>
      </c>
      <c r="AE17" s="960">
        <f>Water!E22</f>
        <v>40.599999999999994</v>
      </c>
      <c r="AF17" s="960">
        <f>Water!G22</f>
        <v>3.4799999999999995</v>
      </c>
      <c r="AG17" s="960"/>
      <c r="AH17" s="960">
        <f>Gas!C22</f>
        <v>170.66</v>
      </c>
      <c r="AI17" s="960">
        <f>Gas!E22</f>
        <v>105</v>
      </c>
      <c r="AJ17" s="960">
        <f>Gas!G22</f>
        <v>2</v>
      </c>
      <c r="AK17" s="947">
        <f>Elect!BM21</f>
        <v>0</v>
      </c>
    </row>
    <row r="18" spans="1:37" ht="12.75" customHeight="1">
      <c r="A18" s="957" t="s">
        <v>369</v>
      </c>
      <c r="B18" s="952">
        <f t="shared" si="0"/>
        <v>17</v>
      </c>
      <c r="C18" s="955">
        <v>3</v>
      </c>
      <c r="D18" s="956">
        <v>2020</v>
      </c>
      <c r="E18" s="971"/>
      <c r="F18" s="940">
        <f>Elect!J22</f>
        <v>2538</v>
      </c>
      <c r="G18" s="940">
        <f>Elect!K22</f>
        <v>967</v>
      </c>
      <c r="H18" s="940">
        <f>Elect!Q22</f>
        <v>120</v>
      </c>
      <c r="I18" s="940">
        <f>Elect!W22</f>
        <v>131</v>
      </c>
      <c r="J18" s="940">
        <f>Elect!Y22</f>
        <v>221</v>
      </c>
      <c r="K18" s="940">
        <f>Elect!AA22</f>
        <v>0</v>
      </c>
      <c r="L18" s="940">
        <f>Elect!AC22</f>
        <v>0</v>
      </c>
      <c r="M18" s="960">
        <f>Elect!AE22</f>
        <v>2516.44</v>
      </c>
      <c r="N18" s="960">
        <f>Elect!AG22</f>
        <v>857.54000000000008</v>
      </c>
      <c r="O18" s="960">
        <f>Elect!AI22</f>
        <v>274.54000000000002</v>
      </c>
      <c r="P18" s="960">
        <f>Elect!AK22</f>
        <v>2166.6400000000003</v>
      </c>
      <c r="Q18" s="960">
        <f>Elect!AN22</f>
        <v>12</v>
      </c>
      <c r="R18" s="960">
        <f>Elect!AP22</f>
        <v>2</v>
      </c>
      <c r="S18" s="960">
        <f>Elect!AR22</f>
        <v>2.64</v>
      </c>
      <c r="T18" s="960">
        <f>Elect!AT22</f>
        <v>34</v>
      </c>
      <c r="U18" s="960">
        <f>Elect!AV22</f>
        <v>348</v>
      </c>
      <c r="V18" s="960">
        <f>Elect!AX22</f>
        <v>0</v>
      </c>
      <c r="W18" s="960">
        <f>Elect!AZ22</f>
        <v>1881</v>
      </c>
      <c r="X18" s="960">
        <f>Elect!BB22</f>
        <v>4227.5</v>
      </c>
      <c r="Y18" s="960">
        <f>Elect!BE22</f>
        <v>0</v>
      </c>
      <c r="Z18" s="960">
        <f>Elect!BG22</f>
        <v>1380</v>
      </c>
      <c r="AA18" s="960">
        <f>Elect!BI22</f>
        <v>83</v>
      </c>
      <c r="AB18" s="960">
        <f>Elect!BK22</f>
        <v>175</v>
      </c>
      <c r="AC18" s="960"/>
      <c r="AD18" s="960">
        <f>Water!C23</f>
        <v>17.399999999999999</v>
      </c>
      <c r="AE18" s="960">
        <f>Water!E23</f>
        <v>34.799999999999997</v>
      </c>
      <c r="AF18" s="960">
        <f>Water!G23</f>
        <v>1.1599999999999999</v>
      </c>
      <c r="AG18" s="960"/>
      <c r="AH18" s="960">
        <f>Gas!C23</f>
        <v>170.66</v>
      </c>
      <c r="AI18" s="960">
        <f>Gas!E23</f>
        <v>155.39999999999998</v>
      </c>
      <c r="AJ18" s="960">
        <f>Gas!G23</f>
        <v>1</v>
      </c>
      <c r="AK18" s="947">
        <f>Elect!BM22</f>
        <v>0</v>
      </c>
    </row>
    <row r="19" spans="1:37" ht="12.75" customHeight="1">
      <c r="A19" s="957" t="s">
        <v>369</v>
      </c>
      <c r="B19" s="952">
        <f t="shared" si="0"/>
        <v>18</v>
      </c>
      <c r="C19" s="955">
        <v>3</v>
      </c>
      <c r="D19" s="956">
        <v>2020</v>
      </c>
      <c r="E19" s="971"/>
      <c r="F19" s="940">
        <f>Elect!J23</f>
        <v>1400</v>
      </c>
      <c r="G19" s="940">
        <f>Elect!K23</f>
        <v>1300</v>
      </c>
      <c r="H19" s="940">
        <f>Elect!Q23</f>
        <v>90</v>
      </c>
      <c r="I19" s="940">
        <f>Elect!W23</f>
        <v>133</v>
      </c>
      <c r="J19" s="940">
        <f>Elect!Y23</f>
        <v>200</v>
      </c>
      <c r="K19" s="940">
        <f>Elect!AA23</f>
        <v>0</v>
      </c>
      <c r="L19" s="940">
        <f>Elect!AC23</f>
        <v>0</v>
      </c>
      <c r="M19" s="960">
        <f>Elect!AE23</f>
        <v>0</v>
      </c>
      <c r="N19" s="960">
        <f>Elect!AG23</f>
        <v>0</v>
      </c>
      <c r="O19" s="960">
        <f>Elect!AI23</f>
        <v>318</v>
      </c>
      <c r="P19" s="960">
        <f>Elect!AK23</f>
        <v>1802</v>
      </c>
      <c r="Q19" s="960">
        <f>Elect!AN23</f>
        <v>8</v>
      </c>
      <c r="R19" s="960">
        <f>Elect!AP23</f>
        <v>2</v>
      </c>
      <c r="S19" s="960">
        <f>Elect!AR23</f>
        <v>5.61</v>
      </c>
      <c r="T19" s="960">
        <f>Elect!AT23</f>
        <v>30</v>
      </c>
      <c r="U19" s="960">
        <f>Elect!AV23</f>
        <v>260</v>
      </c>
      <c r="V19" s="960">
        <f>Elect!AX23</f>
        <v>0</v>
      </c>
      <c r="W19" s="960">
        <f>Elect!AZ23</f>
        <v>1600</v>
      </c>
      <c r="X19" s="960">
        <f>Elect!BB23</f>
        <v>2285</v>
      </c>
      <c r="Y19" s="960">
        <f>Elect!BE23</f>
        <v>0</v>
      </c>
      <c r="Z19" s="960">
        <f>Elect!BG23</f>
        <v>800</v>
      </c>
      <c r="AA19" s="960">
        <f>Elect!BI23</f>
        <v>70</v>
      </c>
      <c r="AB19" s="960">
        <f>Elect!BK23</f>
        <v>200</v>
      </c>
      <c r="AC19" s="960"/>
      <c r="AD19" s="960">
        <f>Water!C24</f>
        <v>34.799999999999997</v>
      </c>
      <c r="AE19" s="960">
        <f>Water!E24</f>
        <v>28.999999999999996</v>
      </c>
      <c r="AF19" s="960">
        <f>Water!G24</f>
        <v>2.3199999999999998</v>
      </c>
      <c r="AG19" s="960"/>
      <c r="AH19" s="960">
        <f>Gas!C24</f>
        <v>170.66</v>
      </c>
      <c r="AI19" s="960">
        <f>Gas!E24</f>
        <v>55.3</v>
      </c>
      <c r="AJ19" s="960">
        <f>Gas!G24</f>
        <v>0</v>
      </c>
      <c r="AK19" s="947">
        <f>Elect!BM23</f>
        <v>0</v>
      </c>
    </row>
    <row r="20" spans="1:37" ht="12.75" customHeight="1">
      <c r="A20" s="957" t="s">
        <v>369</v>
      </c>
      <c r="B20" s="952">
        <f t="shared" si="0"/>
        <v>19</v>
      </c>
      <c r="C20" s="955">
        <v>3</v>
      </c>
      <c r="D20" s="956">
        <v>2020</v>
      </c>
      <c r="E20" s="971"/>
      <c r="F20" s="940">
        <f>Elect!J24</f>
        <v>1869</v>
      </c>
      <c r="G20" s="940">
        <f>Elect!K24</f>
        <v>1475</v>
      </c>
      <c r="H20" s="940">
        <f>Elect!Q24</f>
        <v>90</v>
      </c>
      <c r="I20" s="940">
        <f>Elect!W24</f>
        <v>122</v>
      </c>
      <c r="J20" s="940">
        <f>Elect!Y24</f>
        <v>201</v>
      </c>
      <c r="K20" s="940">
        <f>Elect!AA24</f>
        <v>0</v>
      </c>
      <c r="L20" s="940">
        <f>Elect!AC24</f>
        <v>0</v>
      </c>
      <c r="M20" s="960">
        <f>Elect!AE24</f>
        <v>2567.85</v>
      </c>
      <c r="N20" s="960">
        <f>Elect!AG24</f>
        <v>0</v>
      </c>
      <c r="O20" s="960">
        <f>Elect!AI24</f>
        <v>465.34000000000003</v>
      </c>
      <c r="P20" s="960">
        <f>Elect!AK24</f>
        <v>2591.7000000000003</v>
      </c>
      <c r="Q20" s="960">
        <f>Elect!AN24</f>
        <v>21</v>
      </c>
      <c r="R20" s="960">
        <f>Elect!AP24</f>
        <v>3</v>
      </c>
      <c r="S20" s="960">
        <f>Elect!AR24</f>
        <v>4.07</v>
      </c>
      <c r="T20" s="960">
        <f>Elect!AT24</f>
        <v>32</v>
      </c>
      <c r="U20" s="960">
        <f>Elect!AV24</f>
        <v>379</v>
      </c>
      <c r="V20" s="960">
        <f>Elect!AX24</f>
        <v>0</v>
      </c>
      <c r="W20" s="960">
        <f>Elect!AZ24</f>
        <v>1873</v>
      </c>
      <c r="X20" s="960">
        <f>Elect!BB24</f>
        <v>3299.8</v>
      </c>
      <c r="Y20" s="960">
        <f>Elect!BE24</f>
        <v>0</v>
      </c>
      <c r="Z20" s="960">
        <f>Elect!BG24</f>
        <v>1137</v>
      </c>
      <c r="AA20" s="960">
        <f>Elect!BI24</f>
        <v>74</v>
      </c>
      <c r="AB20" s="960">
        <f>Elect!BK24</f>
        <v>190</v>
      </c>
      <c r="AC20" s="960"/>
      <c r="AD20" s="960">
        <f>Water!C25</f>
        <v>11.6</v>
      </c>
      <c r="AE20" s="960">
        <f>Water!E25</f>
        <v>52.199999999999996</v>
      </c>
      <c r="AF20" s="960">
        <f>Water!G25</f>
        <v>0</v>
      </c>
      <c r="AG20" s="960"/>
      <c r="AH20" s="960">
        <f>Gas!C25</f>
        <v>170.66</v>
      </c>
      <c r="AI20" s="960">
        <f>Gas!E25</f>
        <v>50.4</v>
      </c>
      <c r="AJ20" s="960">
        <f>Gas!G25</f>
        <v>1</v>
      </c>
      <c r="AK20" s="947">
        <f>Elect!BM24</f>
        <v>0</v>
      </c>
    </row>
    <row r="21" spans="1:37" ht="12.75" customHeight="1">
      <c r="A21" s="957" t="s">
        <v>369</v>
      </c>
      <c r="B21" s="952">
        <f t="shared" si="0"/>
        <v>20</v>
      </c>
      <c r="C21" s="955">
        <v>3</v>
      </c>
      <c r="D21" s="956">
        <v>2020</v>
      </c>
      <c r="E21" s="971"/>
      <c r="F21" s="940">
        <f>Elect!J25</f>
        <v>1989</v>
      </c>
      <c r="G21" s="940">
        <f>Elect!K25</f>
        <v>1026</v>
      </c>
      <c r="H21" s="940">
        <f>Elect!Q25</f>
        <v>90</v>
      </c>
      <c r="I21" s="940">
        <f>Elect!W25</f>
        <v>144</v>
      </c>
      <c r="J21" s="940">
        <f>Elect!Y25</f>
        <v>235</v>
      </c>
      <c r="K21" s="940">
        <f>Elect!AA25</f>
        <v>0</v>
      </c>
      <c r="L21" s="940">
        <f>Elect!AC25</f>
        <v>0</v>
      </c>
      <c r="M21" s="960">
        <f>Elect!AE25</f>
        <v>1537.53</v>
      </c>
      <c r="N21" s="960">
        <f>Elect!AG25</f>
        <v>0</v>
      </c>
      <c r="O21" s="960">
        <f>Elect!AI25</f>
        <v>228.43</v>
      </c>
      <c r="P21" s="960">
        <f>Elect!AK25</f>
        <v>1496.72</v>
      </c>
      <c r="Q21" s="960">
        <f>Elect!AN25</f>
        <v>10</v>
      </c>
      <c r="R21" s="960">
        <f>Elect!AP25</f>
        <v>1</v>
      </c>
      <c r="S21" s="960">
        <f>Elect!AR25</f>
        <v>4.51</v>
      </c>
      <c r="T21" s="960">
        <f>Elect!AT25</f>
        <v>24</v>
      </c>
      <c r="U21" s="960">
        <f>Elect!AV25</f>
        <v>262</v>
      </c>
      <c r="V21" s="960">
        <f>Elect!AX25</f>
        <v>0</v>
      </c>
      <c r="W21" s="960">
        <f>Elect!AZ25</f>
        <v>1392</v>
      </c>
      <c r="X21" s="960">
        <f>Elect!BB25</f>
        <v>3465.4</v>
      </c>
      <c r="Y21" s="960">
        <f>Elect!BE25</f>
        <v>0</v>
      </c>
      <c r="Z21" s="960">
        <f>Elect!BG25</f>
        <v>1206</v>
      </c>
      <c r="AA21" s="960">
        <f>Elect!BI25</f>
        <v>84</v>
      </c>
      <c r="AB21" s="960">
        <f>Elect!BK25</f>
        <v>205</v>
      </c>
      <c r="AC21" s="960"/>
      <c r="AD21" s="960">
        <f>Water!C26</f>
        <v>11.6</v>
      </c>
      <c r="AE21" s="960">
        <f>Water!E26</f>
        <v>11.6</v>
      </c>
      <c r="AF21" s="960">
        <f>Water!G26</f>
        <v>0.57999999999999996</v>
      </c>
      <c r="AG21" s="960"/>
      <c r="AH21" s="960">
        <f>Gas!C26</f>
        <v>170.66</v>
      </c>
      <c r="AI21" s="960">
        <f>Gas!E26</f>
        <v>372.4</v>
      </c>
      <c r="AJ21" s="960">
        <f>Gas!G26</f>
        <v>3</v>
      </c>
      <c r="AK21" s="947">
        <f>Elect!BM25</f>
        <v>0</v>
      </c>
    </row>
    <row r="22" spans="1:37" ht="12.75" customHeight="1">
      <c r="A22" s="957" t="s">
        <v>369</v>
      </c>
      <c r="B22" s="952">
        <f t="shared" si="0"/>
        <v>21</v>
      </c>
      <c r="C22" s="955">
        <v>3</v>
      </c>
      <c r="D22" s="956">
        <v>2020</v>
      </c>
      <c r="E22" s="971"/>
      <c r="F22" s="940">
        <f>Elect!J26</f>
        <v>2346</v>
      </c>
      <c r="G22" s="940">
        <f>Elect!K26</f>
        <v>1677</v>
      </c>
      <c r="H22" s="940">
        <f>Elect!Q26</f>
        <v>120</v>
      </c>
      <c r="I22" s="940">
        <f>Elect!W26</f>
        <v>165</v>
      </c>
      <c r="J22" s="940">
        <f>Elect!Y26</f>
        <v>272</v>
      </c>
      <c r="K22" s="940">
        <f>Elect!AA26</f>
        <v>0</v>
      </c>
      <c r="L22" s="940">
        <f>Elect!AC26</f>
        <v>0</v>
      </c>
      <c r="M22" s="960">
        <f>Elect!AE26</f>
        <v>2101.98</v>
      </c>
      <c r="N22" s="960">
        <f>Elect!AG26</f>
        <v>0</v>
      </c>
      <c r="O22" s="960">
        <f>Elect!AI26</f>
        <v>541.66000000000008</v>
      </c>
      <c r="P22" s="960">
        <f>Elect!AK26</f>
        <v>2335.71</v>
      </c>
      <c r="Q22" s="960">
        <f>Elect!AN26</f>
        <v>27</v>
      </c>
      <c r="R22" s="960">
        <f>Elect!AP26</f>
        <v>3</v>
      </c>
      <c r="S22" s="960">
        <f>Elect!AR26</f>
        <v>5.61</v>
      </c>
      <c r="T22" s="960">
        <f>Elect!AT26</f>
        <v>40</v>
      </c>
      <c r="U22" s="960">
        <f>Elect!AV26</f>
        <v>473</v>
      </c>
      <c r="V22" s="960">
        <f>Elect!AX26</f>
        <v>0</v>
      </c>
      <c r="W22" s="960">
        <f>Elect!AZ26</f>
        <v>2070</v>
      </c>
      <c r="X22" s="960">
        <f>Elect!BB26</f>
        <v>1406</v>
      </c>
      <c r="Y22" s="960">
        <f>Elect!BE26</f>
        <v>0</v>
      </c>
      <c r="Z22" s="960">
        <f>Elect!BG26</f>
        <v>1565</v>
      </c>
      <c r="AA22" s="960">
        <f>Elect!BI26</f>
        <v>102</v>
      </c>
      <c r="AB22" s="960">
        <f>Elect!BK26</f>
        <v>264</v>
      </c>
      <c r="AC22" s="960"/>
      <c r="AD22" s="960">
        <f>Water!C27</f>
        <v>5.8</v>
      </c>
      <c r="AE22" s="960">
        <f>Water!E27</f>
        <v>5.8</v>
      </c>
      <c r="AF22" s="960">
        <f>Water!G27</f>
        <v>0</v>
      </c>
      <c r="AG22" s="960"/>
      <c r="AH22" s="960">
        <f>Gas!C27</f>
        <v>170.66</v>
      </c>
      <c r="AI22" s="960">
        <f>Gas!E27</f>
        <v>128.79999999999998</v>
      </c>
      <c r="AJ22" s="960">
        <f>Gas!G27</f>
        <v>1</v>
      </c>
      <c r="AK22" s="947">
        <f>Elect!BM26</f>
        <v>0</v>
      </c>
    </row>
    <row r="23" spans="1:37" ht="12.75" customHeight="1">
      <c r="A23" s="957" t="s">
        <v>369</v>
      </c>
      <c r="B23" s="952">
        <f t="shared" si="0"/>
        <v>22</v>
      </c>
      <c r="C23" s="955">
        <v>3</v>
      </c>
      <c r="D23" s="956">
        <v>2020</v>
      </c>
      <c r="E23" s="971"/>
      <c r="F23" s="940">
        <f>Elect!J27</f>
        <v>1254</v>
      </c>
      <c r="G23" s="940">
        <f>Elect!K27</f>
        <v>883</v>
      </c>
      <c r="H23" s="940">
        <f>Elect!Q27</f>
        <v>30</v>
      </c>
      <c r="I23" s="940">
        <f>Elect!W27</f>
        <v>62</v>
      </c>
      <c r="J23" s="940">
        <f>Elect!Y27</f>
        <v>105</v>
      </c>
      <c r="K23" s="940">
        <f>Elect!AA27</f>
        <v>0</v>
      </c>
      <c r="L23" s="940">
        <f>Elect!AC27</f>
        <v>0</v>
      </c>
      <c r="M23" s="960">
        <f>Elect!AE27</f>
        <v>1805.18</v>
      </c>
      <c r="N23" s="960">
        <f>Elect!AG27</f>
        <v>0</v>
      </c>
      <c r="O23" s="960">
        <f>Elect!AI27</f>
        <v>270.3</v>
      </c>
      <c r="P23" s="960">
        <f>Elect!AK27</f>
        <v>1246.5600000000002</v>
      </c>
      <c r="Q23" s="960">
        <f>Elect!AN27</f>
        <v>16</v>
      </c>
      <c r="R23" s="960">
        <f>Elect!AP27</f>
        <v>0</v>
      </c>
      <c r="S23" s="960">
        <f>Elect!AR27</f>
        <v>1.65</v>
      </c>
      <c r="T23" s="960">
        <f>Elect!AT27</f>
        <v>21</v>
      </c>
      <c r="U23" s="960">
        <f>Elect!AV27</f>
        <v>240</v>
      </c>
      <c r="V23" s="960">
        <f>Elect!AX27</f>
        <v>0</v>
      </c>
      <c r="W23" s="960">
        <f>Elect!AZ27</f>
        <v>931</v>
      </c>
      <c r="X23" s="960">
        <f>Elect!BB27</f>
        <v>4385.3</v>
      </c>
      <c r="Y23" s="960">
        <f>Elect!BE27</f>
        <v>0</v>
      </c>
      <c r="Z23" s="960">
        <f>Elect!BG27</f>
        <v>472</v>
      </c>
      <c r="AA23" s="960">
        <f>Elect!BI27</f>
        <v>39</v>
      </c>
      <c r="AB23" s="960">
        <f>Elect!BK27</f>
        <v>79</v>
      </c>
      <c r="AC23" s="960"/>
      <c r="AD23" s="960">
        <f>Water!C28</f>
        <v>5.8</v>
      </c>
      <c r="AE23" s="960">
        <f>Water!E28</f>
        <v>17.399999999999999</v>
      </c>
      <c r="AF23" s="960">
        <f>Water!G28</f>
        <v>0</v>
      </c>
      <c r="AG23" s="960"/>
      <c r="AH23" s="960">
        <f>Gas!C28</f>
        <v>170.66</v>
      </c>
      <c r="AI23" s="960">
        <f>Gas!E28</f>
        <v>136.5</v>
      </c>
      <c r="AJ23" s="960">
        <f>Gas!G28</f>
        <v>2</v>
      </c>
      <c r="AK23" s="947">
        <f>Elect!BM27</f>
        <v>0</v>
      </c>
    </row>
    <row r="24" spans="1:37" ht="12.75" customHeight="1">
      <c r="A24" s="957" t="s">
        <v>369</v>
      </c>
      <c r="B24" s="952">
        <f t="shared" si="0"/>
        <v>23</v>
      </c>
      <c r="C24" s="955">
        <v>3</v>
      </c>
      <c r="D24" s="956">
        <v>2020</v>
      </c>
      <c r="E24" s="971"/>
      <c r="F24" s="940">
        <f>Elect!J28</f>
        <v>1754</v>
      </c>
      <c r="G24" s="940">
        <f>Elect!K28</f>
        <v>1201</v>
      </c>
      <c r="H24" s="940">
        <f>Elect!Q28</f>
        <v>60</v>
      </c>
      <c r="I24" s="940">
        <f>Elect!W28</f>
        <v>123</v>
      </c>
      <c r="J24" s="940">
        <f>Elect!Y28</f>
        <v>207</v>
      </c>
      <c r="K24" s="940">
        <f>Elect!AA28</f>
        <v>0</v>
      </c>
      <c r="L24" s="940">
        <f>Elect!AC28</f>
        <v>0</v>
      </c>
      <c r="M24" s="960">
        <f>Elect!AE28</f>
        <v>1936.6200000000001</v>
      </c>
      <c r="N24" s="960">
        <f>Elect!AG28</f>
        <v>0</v>
      </c>
      <c r="O24" s="960">
        <f>Elect!AI28</f>
        <v>454.21000000000004</v>
      </c>
      <c r="P24" s="960">
        <f>Elect!AK28</f>
        <v>1695.47</v>
      </c>
      <c r="Q24" s="960">
        <f>Elect!AN28</f>
        <v>23</v>
      </c>
      <c r="R24" s="960">
        <f>Elect!AP28</f>
        <v>1</v>
      </c>
      <c r="S24" s="960">
        <f>Elect!AR28</f>
        <v>4.84</v>
      </c>
      <c r="T24" s="960">
        <f>Elect!AT28</f>
        <v>31</v>
      </c>
      <c r="U24" s="960">
        <f>Elect!AV28</f>
        <v>367</v>
      </c>
      <c r="V24" s="960">
        <f>Elect!AX28</f>
        <v>0</v>
      </c>
      <c r="W24" s="960">
        <f>Elect!AZ28</f>
        <v>1929</v>
      </c>
      <c r="X24" s="960">
        <f>Elect!BB28</f>
        <v>3570.5</v>
      </c>
      <c r="Y24" s="960">
        <f>Elect!BE28</f>
        <v>0</v>
      </c>
      <c r="Z24" s="960">
        <f>Elect!BG28</f>
        <v>1230</v>
      </c>
      <c r="AA24" s="960">
        <f>Elect!BI28</f>
        <v>85</v>
      </c>
      <c r="AB24" s="960">
        <f>Elect!BK28</f>
        <v>204</v>
      </c>
      <c r="AC24" s="960"/>
      <c r="AD24" s="960">
        <f>Water!C29</f>
        <v>0</v>
      </c>
      <c r="AE24" s="960">
        <f>Water!E29</f>
        <v>162.39999999999998</v>
      </c>
      <c r="AF24" s="960">
        <f>Water!G29</f>
        <v>0</v>
      </c>
      <c r="AG24" s="960"/>
      <c r="AH24" s="960">
        <f>Gas!C29</f>
        <v>170.66</v>
      </c>
      <c r="AI24" s="960">
        <f>Gas!E29</f>
        <v>147</v>
      </c>
      <c r="AJ24" s="960">
        <f>Gas!G29</f>
        <v>1</v>
      </c>
      <c r="AK24" s="947">
        <f>Elect!BM28</f>
        <v>0</v>
      </c>
    </row>
    <row r="25" spans="1:37" ht="12.75" customHeight="1">
      <c r="A25" s="957" t="s">
        <v>369</v>
      </c>
      <c r="B25" s="952">
        <f t="shared" si="0"/>
        <v>24</v>
      </c>
      <c r="C25" s="955">
        <v>3</v>
      </c>
      <c r="D25" s="956">
        <v>2020</v>
      </c>
      <c r="E25" s="971"/>
      <c r="F25" s="940">
        <f>Elect!J29</f>
        <v>1532</v>
      </c>
      <c r="G25" s="940">
        <f>Elect!K29</f>
        <v>1881</v>
      </c>
      <c r="H25" s="940">
        <f>Elect!Q29</f>
        <v>120</v>
      </c>
      <c r="I25" s="940">
        <f>Elect!W29</f>
        <v>193</v>
      </c>
      <c r="J25" s="940">
        <f>Elect!Y29</f>
        <v>322</v>
      </c>
      <c r="K25" s="940">
        <f>Elect!AA29</f>
        <v>0</v>
      </c>
      <c r="L25" s="940">
        <f>Elect!AC29</f>
        <v>0</v>
      </c>
      <c r="M25" s="960">
        <f>Elect!AE29</f>
        <v>2718.9</v>
      </c>
      <c r="N25" s="960">
        <f>Elect!AG29</f>
        <v>0</v>
      </c>
      <c r="O25" s="960">
        <f>Elect!AI29</f>
        <v>597.31000000000006</v>
      </c>
      <c r="P25" s="960">
        <f>Elect!AK29</f>
        <v>2708.83</v>
      </c>
      <c r="Q25" s="960">
        <f>Elect!AN29</f>
        <v>35</v>
      </c>
      <c r="R25" s="960">
        <f>Elect!AP29</f>
        <v>3</v>
      </c>
      <c r="S25" s="960">
        <f>Elect!AR29</f>
        <v>6.49</v>
      </c>
      <c r="T25" s="960">
        <f>Elect!AT29</f>
        <v>61</v>
      </c>
      <c r="U25" s="960">
        <f>Elect!AV29</f>
        <v>507</v>
      </c>
      <c r="V25" s="960">
        <f>Elect!AX29</f>
        <v>0</v>
      </c>
      <c r="W25" s="960">
        <f>Elect!AZ29</f>
        <v>2872</v>
      </c>
      <c r="X25" s="960">
        <f>Elect!BB29</f>
        <v>4965.3999999999996</v>
      </c>
      <c r="Y25" s="960">
        <f>Elect!BE29</f>
        <v>0</v>
      </c>
      <c r="Z25" s="960">
        <f>Elect!BG29</f>
        <v>1556</v>
      </c>
      <c r="AA25" s="960">
        <f>Elect!BI29</f>
        <v>118</v>
      </c>
      <c r="AB25" s="960">
        <f>Elect!BK29</f>
        <v>289</v>
      </c>
      <c r="AC25" s="960"/>
      <c r="AD25" s="960">
        <f>Water!C30</f>
        <v>0</v>
      </c>
      <c r="AE25" s="960">
        <f>Water!E30</f>
        <v>69.599999999999994</v>
      </c>
      <c r="AF25" s="960">
        <f>Water!G30</f>
        <v>0</v>
      </c>
      <c r="AG25" s="960"/>
      <c r="AH25" s="960">
        <f>Gas!C30</f>
        <v>170.66</v>
      </c>
      <c r="AI25" s="960">
        <f>Gas!E30</f>
        <v>133</v>
      </c>
      <c r="AJ25" s="960">
        <f>Gas!G30</f>
        <v>0</v>
      </c>
      <c r="AK25" s="947">
        <f>Elect!BM29</f>
        <v>0</v>
      </c>
    </row>
    <row r="26" spans="1:37" ht="12.75" customHeight="1">
      <c r="A26" s="957" t="s">
        <v>369</v>
      </c>
      <c r="B26" s="952">
        <f>B25+1</f>
        <v>25</v>
      </c>
      <c r="C26" s="955">
        <v>3</v>
      </c>
      <c r="D26" s="956">
        <v>2020</v>
      </c>
      <c r="E26" s="971"/>
      <c r="F26" s="940">
        <f>Elect!J30</f>
        <v>2468</v>
      </c>
      <c r="G26" s="940">
        <f>Elect!K30</f>
        <v>772</v>
      </c>
      <c r="H26" s="940">
        <f>Elect!Q30</f>
        <v>0</v>
      </c>
      <c r="I26" s="940">
        <f>Elect!W30</f>
        <v>55</v>
      </c>
      <c r="J26" s="940">
        <f>Elect!Y30</f>
        <v>91</v>
      </c>
      <c r="K26" s="940">
        <f>Elect!AA30</f>
        <v>0</v>
      </c>
      <c r="L26" s="940">
        <f>Elect!AC30</f>
        <v>0</v>
      </c>
      <c r="M26" s="960">
        <f>Elect!AE30</f>
        <v>1605.9</v>
      </c>
      <c r="N26" s="960">
        <f>Elect!AG30</f>
        <v>0</v>
      </c>
      <c r="O26" s="960">
        <f>Elect!AI30</f>
        <v>245.39000000000001</v>
      </c>
      <c r="P26" s="960">
        <f>Elect!AK30</f>
        <v>1416.16</v>
      </c>
      <c r="Q26" s="960">
        <f>Elect!AN30</f>
        <v>19</v>
      </c>
      <c r="R26" s="960">
        <f>Elect!AP30</f>
        <v>0</v>
      </c>
      <c r="S26" s="960">
        <f>Elect!AR30</f>
        <v>1.76</v>
      </c>
      <c r="T26" s="960">
        <f>Elect!AT30</f>
        <v>21</v>
      </c>
      <c r="U26" s="960">
        <f>Elect!AV30</f>
        <v>217</v>
      </c>
      <c r="V26" s="960">
        <f>Elect!AX30</f>
        <v>0</v>
      </c>
      <c r="W26" s="960">
        <f>Elect!AZ30</f>
        <v>991</v>
      </c>
      <c r="X26" s="960">
        <f>Elect!BB30</f>
        <v>1385.1</v>
      </c>
      <c r="Y26" s="960">
        <f>Elect!BE30</f>
        <v>0</v>
      </c>
      <c r="Z26" s="960">
        <f>Elect!BG30</f>
        <v>414</v>
      </c>
      <c r="AA26" s="960">
        <f>Elect!BI30</f>
        <v>35</v>
      </c>
      <c r="AB26" s="960">
        <f>Elect!BK30</f>
        <v>81</v>
      </c>
      <c r="AC26" s="960"/>
      <c r="AD26" s="960">
        <f>Water!C31</f>
        <v>0</v>
      </c>
      <c r="AE26" s="960">
        <f>Water!E31</f>
        <v>81.199999999999989</v>
      </c>
      <c r="AF26" s="960">
        <f>Water!G31</f>
        <v>0</v>
      </c>
      <c r="AG26" s="960"/>
      <c r="AH26" s="960">
        <f>Gas!C31</f>
        <v>170.66</v>
      </c>
      <c r="AI26" s="960">
        <f>Gas!E31</f>
        <v>133</v>
      </c>
      <c r="AJ26" s="960">
        <f>Gas!G31</f>
        <v>0</v>
      </c>
      <c r="AK26" s="947">
        <f>Elect!BM30</f>
        <v>0</v>
      </c>
    </row>
    <row r="27" spans="1:37" ht="12.75" customHeight="1">
      <c r="A27" s="957" t="s">
        <v>369</v>
      </c>
      <c r="B27" s="952">
        <f t="shared" si="0"/>
        <v>26</v>
      </c>
      <c r="C27" s="955">
        <v>3</v>
      </c>
      <c r="D27" s="956">
        <v>2020</v>
      </c>
      <c r="E27" s="971"/>
      <c r="F27" s="940">
        <f>Elect!J31</f>
        <v>1519</v>
      </c>
      <c r="G27" s="940">
        <f>Elect!K31</f>
        <v>1238</v>
      </c>
      <c r="H27" s="940">
        <f>Elect!Q31</f>
        <v>120</v>
      </c>
      <c r="I27" s="940">
        <f>Elect!W31</f>
        <v>138</v>
      </c>
      <c r="J27" s="940">
        <f>Elect!Y31</f>
        <v>230</v>
      </c>
      <c r="K27" s="940">
        <f>Elect!AA31</f>
        <v>0</v>
      </c>
      <c r="L27" s="940">
        <f>Elect!AC31</f>
        <v>0</v>
      </c>
      <c r="M27" s="960">
        <f>Elect!AE31</f>
        <v>2197.9100000000003</v>
      </c>
      <c r="N27" s="960">
        <f>Elect!AG31</f>
        <v>0</v>
      </c>
      <c r="O27" s="960">
        <f>Elect!AI31</f>
        <v>425.06</v>
      </c>
      <c r="P27" s="960">
        <f>Elect!AK31</f>
        <v>2263.1</v>
      </c>
      <c r="Q27" s="960">
        <f>Elect!AN31</f>
        <v>22</v>
      </c>
      <c r="R27" s="960">
        <f>Elect!AP31</f>
        <v>3</v>
      </c>
      <c r="S27" s="960">
        <f>Elect!AR31</f>
        <v>9.4600000000000009</v>
      </c>
      <c r="T27" s="960">
        <f>Elect!AT31</f>
        <v>31</v>
      </c>
      <c r="U27" s="960">
        <f>Elect!AV31</f>
        <v>300</v>
      </c>
      <c r="V27" s="960">
        <f>Elect!AX31</f>
        <v>0</v>
      </c>
      <c r="W27" s="960">
        <f>Elect!AZ31</f>
        <v>1995</v>
      </c>
      <c r="X27" s="960">
        <f>Elect!BB31</f>
        <v>3520.3</v>
      </c>
      <c r="Y27" s="960">
        <f>Elect!BE31</f>
        <v>0</v>
      </c>
      <c r="Z27" s="960">
        <f>Elect!BG31</f>
        <v>1007</v>
      </c>
      <c r="AA27" s="960">
        <f>Elect!BI31</f>
        <v>85</v>
      </c>
      <c r="AB27" s="960">
        <f>Elect!BK31</f>
        <v>200</v>
      </c>
      <c r="AC27" s="960"/>
      <c r="AD27" s="960">
        <f>Water!C32</f>
        <v>5.8</v>
      </c>
      <c r="AE27" s="960">
        <f>Water!E32</f>
        <v>92.8</v>
      </c>
      <c r="AF27" s="960">
        <f>Water!G32</f>
        <v>0</v>
      </c>
      <c r="AG27" s="960"/>
      <c r="AH27" s="960">
        <f>Gas!C32</f>
        <v>170.66</v>
      </c>
      <c r="AI27" s="960">
        <f>Gas!E32</f>
        <v>137.19999999999999</v>
      </c>
      <c r="AJ27" s="960">
        <f>Gas!G32</f>
        <v>2</v>
      </c>
      <c r="AK27" s="947">
        <f>Elect!BM31</f>
        <v>0</v>
      </c>
    </row>
    <row r="28" spans="1:37" ht="12.75" customHeight="1">
      <c r="A28" s="957" t="s">
        <v>369</v>
      </c>
      <c r="B28" s="952">
        <f t="shared" si="0"/>
        <v>27</v>
      </c>
      <c r="C28" s="955">
        <v>3</v>
      </c>
      <c r="D28" s="956">
        <v>2020</v>
      </c>
      <c r="E28" s="971"/>
      <c r="F28" s="940">
        <f>Elect!J32</f>
        <v>2311</v>
      </c>
      <c r="G28" s="940">
        <f>Elect!K32</f>
        <v>1352</v>
      </c>
      <c r="H28" s="940">
        <f>Elect!Q32</f>
        <v>90</v>
      </c>
      <c r="I28" s="940">
        <f>Elect!W32</f>
        <v>135</v>
      </c>
      <c r="J28" s="940">
        <f>Elect!Y32</f>
        <v>230</v>
      </c>
      <c r="K28" s="940">
        <f>Elect!AA32</f>
        <v>0</v>
      </c>
      <c r="L28" s="940">
        <f>Elect!AC32</f>
        <v>0</v>
      </c>
      <c r="M28" s="960">
        <f>Elect!AE32</f>
        <v>1967.3600000000001</v>
      </c>
      <c r="N28" s="960">
        <f>Elect!AG32</f>
        <v>197.16</v>
      </c>
      <c r="O28" s="960">
        <f>Elect!AI32</f>
        <v>453.68</v>
      </c>
      <c r="P28" s="960">
        <f>Elect!AK32</f>
        <v>2240.84</v>
      </c>
      <c r="Q28" s="960">
        <f>Elect!AN32</f>
        <v>25</v>
      </c>
      <c r="R28" s="960">
        <f>Elect!AP32</f>
        <v>3</v>
      </c>
      <c r="S28" s="960">
        <f>Elect!AR32</f>
        <v>3.52</v>
      </c>
      <c r="T28" s="960">
        <f>Elect!AT32</f>
        <v>33</v>
      </c>
      <c r="U28" s="960">
        <f>Elect!AV32</f>
        <v>354</v>
      </c>
      <c r="V28" s="960">
        <f>Elect!AX32</f>
        <v>0</v>
      </c>
      <c r="W28" s="960">
        <f>Elect!AZ32</f>
        <v>2115</v>
      </c>
      <c r="X28" s="960">
        <f>Elect!BB32</f>
        <v>3601</v>
      </c>
      <c r="Y28" s="960">
        <f>Elect!BE32</f>
        <v>0</v>
      </c>
      <c r="Z28" s="960">
        <f>Elect!BG32</f>
        <v>1020</v>
      </c>
      <c r="AA28" s="960">
        <f>Elect!BI32</f>
        <v>86</v>
      </c>
      <c r="AB28" s="960">
        <f>Elect!BK32</f>
        <v>203</v>
      </c>
      <c r="AC28" s="960"/>
      <c r="AD28" s="960">
        <f>Water!C33</f>
        <v>0</v>
      </c>
      <c r="AE28" s="960">
        <f>Water!E33</f>
        <v>75.399999999999991</v>
      </c>
      <c r="AF28" s="960">
        <f>Water!G33</f>
        <v>0</v>
      </c>
      <c r="AG28" s="960"/>
      <c r="AH28" s="960">
        <f>Gas!C33</f>
        <v>170.66</v>
      </c>
      <c r="AI28" s="960">
        <f>Gas!E33</f>
        <v>147.69999999999999</v>
      </c>
      <c r="AJ28" s="960">
        <f>Gas!G33</f>
        <v>0</v>
      </c>
      <c r="AK28" s="947">
        <f>Elect!BM32</f>
        <v>0</v>
      </c>
    </row>
    <row r="29" spans="1:37" ht="12.75" customHeight="1">
      <c r="A29" s="957" t="s">
        <v>369</v>
      </c>
      <c r="B29" s="952">
        <f t="shared" si="0"/>
        <v>28</v>
      </c>
      <c r="C29" s="955">
        <v>3</v>
      </c>
      <c r="D29" s="956">
        <v>2020</v>
      </c>
      <c r="E29" s="971"/>
      <c r="F29" s="940">
        <f>Elect!J33</f>
        <v>1680</v>
      </c>
      <c r="G29" s="940">
        <f>Elect!K33</f>
        <v>1161</v>
      </c>
      <c r="H29" s="940">
        <f>Elect!Q33</f>
        <v>60</v>
      </c>
      <c r="I29" s="940">
        <f>Elect!W33</f>
        <v>130</v>
      </c>
      <c r="J29" s="940">
        <f>Elect!Y33</f>
        <v>220</v>
      </c>
      <c r="K29" s="940">
        <f>Elect!AA33</f>
        <v>0</v>
      </c>
      <c r="L29" s="940">
        <f>Elect!AC33</f>
        <v>0</v>
      </c>
      <c r="M29" s="960">
        <f>Elect!AE33</f>
        <v>448.91</v>
      </c>
      <c r="N29" s="960">
        <f>Elect!AG33</f>
        <v>1168.1200000000001</v>
      </c>
      <c r="O29" s="960">
        <f>Elect!AI33</f>
        <v>304.22000000000003</v>
      </c>
      <c r="P29" s="960">
        <f>Elect!AK33</f>
        <v>1874.6100000000001</v>
      </c>
      <c r="Q29" s="960">
        <f>Elect!AN33</f>
        <v>21</v>
      </c>
      <c r="R29" s="960">
        <f>Elect!AP33</f>
        <v>3</v>
      </c>
      <c r="S29" s="960">
        <f>Elect!AR33</f>
        <v>5.5</v>
      </c>
      <c r="T29" s="960">
        <f>Elect!AT33</f>
        <v>16</v>
      </c>
      <c r="U29" s="960">
        <f>Elect!AV33</f>
        <v>298</v>
      </c>
      <c r="V29" s="960">
        <f>Elect!AX33</f>
        <v>0</v>
      </c>
      <c r="W29" s="960">
        <f>Elect!AZ33</f>
        <v>1514</v>
      </c>
      <c r="X29" s="960">
        <f>Elect!BB33</f>
        <v>2624.8</v>
      </c>
      <c r="Y29" s="960">
        <f>Elect!BE33</f>
        <v>0</v>
      </c>
      <c r="Z29" s="960">
        <f>Elect!BG33</f>
        <v>752</v>
      </c>
      <c r="AA29" s="960">
        <f>Elect!BI33</f>
        <v>60</v>
      </c>
      <c r="AB29" s="960">
        <f>Elect!BK33</f>
        <v>154</v>
      </c>
      <c r="AC29" s="960"/>
      <c r="AD29" s="960">
        <f>Water!C34</f>
        <v>5.8</v>
      </c>
      <c r="AE29" s="960">
        <f>Water!E34</f>
        <v>63.8</v>
      </c>
      <c r="AF29" s="960">
        <f>Water!G34</f>
        <v>0</v>
      </c>
      <c r="AG29" s="960"/>
      <c r="AH29" s="960">
        <f>Gas!C34</f>
        <v>58.300000000000004</v>
      </c>
      <c r="AI29" s="960">
        <f>Gas!E34</f>
        <v>77</v>
      </c>
      <c r="AJ29" s="960">
        <f>Gas!G34</f>
        <v>1</v>
      </c>
      <c r="AK29" s="947">
        <f>Elect!BM33</f>
        <v>0</v>
      </c>
    </row>
    <row r="30" spans="1:37" ht="12.75" customHeight="1">
      <c r="A30" s="957" t="s">
        <v>369</v>
      </c>
      <c r="B30" s="952">
        <f t="shared" si="0"/>
        <v>29</v>
      </c>
      <c r="C30" s="955">
        <v>3</v>
      </c>
      <c r="D30" s="956">
        <v>2020</v>
      </c>
      <c r="E30" s="971"/>
      <c r="F30" s="940">
        <f>Elect!J34</f>
        <v>2214</v>
      </c>
      <c r="G30" s="940">
        <f>Elect!K34</f>
        <v>1625</v>
      </c>
      <c r="H30" s="940">
        <f>Elect!Q34</f>
        <v>90</v>
      </c>
      <c r="I30" s="940">
        <f>Elect!W34</f>
        <v>111</v>
      </c>
      <c r="J30" s="940">
        <f>Elect!Y34</f>
        <v>188</v>
      </c>
      <c r="K30" s="940">
        <f>Elect!AA34</f>
        <v>0</v>
      </c>
      <c r="L30" s="940">
        <f>Elect!AC34</f>
        <v>0</v>
      </c>
      <c r="M30" s="960">
        <f>Elect!AE34</f>
        <v>294.68</v>
      </c>
      <c r="N30" s="960">
        <f>Elect!AG34</f>
        <v>1504.14</v>
      </c>
      <c r="O30" s="960">
        <f>Elect!AI34</f>
        <v>506.15000000000003</v>
      </c>
      <c r="P30" s="960">
        <f>Elect!AK34</f>
        <v>2859.3500000000004</v>
      </c>
      <c r="Q30" s="960">
        <f>Elect!AN34</f>
        <v>24</v>
      </c>
      <c r="R30" s="960">
        <f>Elect!AP34</f>
        <v>1</v>
      </c>
      <c r="S30" s="960">
        <f>Elect!AR34</f>
        <v>7.48</v>
      </c>
      <c r="T30" s="960">
        <f>Elect!AT34</f>
        <v>22</v>
      </c>
      <c r="U30" s="960">
        <f>Elect!AV34</f>
        <v>405</v>
      </c>
      <c r="V30" s="960">
        <f>Elect!AX34</f>
        <v>0</v>
      </c>
      <c r="W30" s="960">
        <f>Elect!AZ34</f>
        <v>2361</v>
      </c>
      <c r="X30" s="960">
        <f>Elect!BB34</f>
        <v>3756.7</v>
      </c>
      <c r="Y30" s="960">
        <f>Elect!BE34</f>
        <v>0</v>
      </c>
      <c r="Z30" s="960">
        <f>Elect!BG34</f>
        <v>1013</v>
      </c>
      <c r="AA30" s="960">
        <f>Elect!BI34</f>
        <v>85</v>
      </c>
      <c r="AB30" s="960">
        <f>Elect!BK34</f>
        <v>216</v>
      </c>
      <c r="AC30" s="960"/>
      <c r="AD30" s="960">
        <f>Water!C35</f>
        <v>5.8</v>
      </c>
      <c r="AE30" s="960">
        <f>Water!E35</f>
        <v>40.599999999999994</v>
      </c>
      <c r="AF30" s="960">
        <f>Water!G35</f>
        <v>0</v>
      </c>
      <c r="AG30" s="960"/>
      <c r="AH30" s="960">
        <f>Gas!C35</f>
        <v>120.84</v>
      </c>
      <c r="AI30" s="960">
        <f>Gas!E35</f>
        <v>74.199999999999989</v>
      </c>
      <c r="AJ30" s="960">
        <f>Gas!G35</f>
        <v>0</v>
      </c>
      <c r="AK30" s="947">
        <f>Elect!BM34</f>
        <v>0</v>
      </c>
    </row>
    <row r="31" spans="1:37" ht="12.75" customHeight="1">
      <c r="A31" s="957" t="s">
        <v>369</v>
      </c>
      <c r="B31" s="952">
        <f t="shared" si="0"/>
        <v>30</v>
      </c>
      <c r="C31" s="955">
        <v>3</v>
      </c>
      <c r="D31" s="956">
        <v>2020</v>
      </c>
      <c r="E31" s="971"/>
      <c r="F31" s="940">
        <f>Elect!J35</f>
        <v>2214</v>
      </c>
      <c r="G31" s="940">
        <f>Elect!K35</f>
        <v>1625</v>
      </c>
      <c r="H31" s="940">
        <f>Elect!Q35</f>
        <v>90</v>
      </c>
      <c r="I31" s="940">
        <f>Elect!W35</f>
        <v>111</v>
      </c>
      <c r="J31" s="940">
        <f>Elect!Y35</f>
        <v>188</v>
      </c>
      <c r="K31" s="940">
        <f>Elect!AA35</f>
        <v>0</v>
      </c>
      <c r="L31" s="940">
        <f>Elect!AC35</f>
        <v>0</v>
      </c>
      <c r="M31" s="960">
        <f>Elect!AE35</f>
        <v>294.68</v>
      </c>
      <c r="N31" s="960">
        <f>Elect!AG35</f>
        <v>1504.14</v>
      </c>
      <c r="O31" s="960">
        <f>Elect!AI35</f>
        <v>506.15000000000003</v>
      </c>
      <c r="P31" s="960">
        <f>Elect!AK35</f>
        <v>2859.3500000000004</v>
      </c>
      <c r="Q31" s="960">
        <f>Elect!AN35</f>
        <v>24</v>
      </c>
      <c r="R31" s="960">
        <f>Elect!AP35</f>
        <v>1</v>
      </c>
      <c r="S31" s="960">
        <f>Elect!AR35</f>
        <v>7.48</v>
      </c>
      <c r="T31" s="960">
        <f>Elect!AT35</f>
        <v>22</v>
      </c>
      <c r="U31" s="960">
        <f>Elect!AV35</f>
        <v>405</v>
      </c>
      <c r="V31" s="960">
        <f>Elect!AX35</f>
        <v>0</v>
      </c>
      <c r="W31" s="960">
        <f>Elect!AZ35</f>
        <v>2361</v>
      </c>
      <c r="X31" s="960">
        <f>Elect!BB35</f>
        <v>3756.7</v>
      </c>
      <c r="Y31" s="960">
        <f>Elect!BE35</f>
        <v>0</v>
      </c>
      <c r="Z31" s="960">
        <f>Elect!BG35</f>
        <v>1013</v>
      </c>
      <c r="AA31" s="960">
        <f>Elect!BI35</f>
        <v>85</v>
      </c>
      <c r="AB31" s="960">
        <f>Elect!BK35</f>
        <v>216</v>
      </c>
      <c r="AC31" s="960"/>
      <c r="AD31" s="960">
        <f>Water!C36</f>
        <v>5.8</v>
      </c>
      <c r="AE31" s="960">
        <f>Water!E36</f>
        <v>40.599999999999994</v>
      </c>
      <c r="AF31" s="960">
        <f>Water!G36</f>
        <v>0</v>
      </c>
      <c r="AG31" s="960"/>
      <c r="AH31" s="960">
        <f>Gas!C36</f>
        <v>120.84</v>
      </c>
      <c r="AI31" s="960">
        <f>Gas!E36</f>
        <v>74.199999999999989</v>
      </c>
      <c r="AJ31" s="960">
        <f>Gas!G36</f>
        <v>0</v>
      </c>
      <c r="AK31" s="947">
        <f>Elect!BM35</f>
        <v>0</v>
      </c>
    </row>
    <row r="32" spans="1:37" ht="12.75" customHeight="1">
      <c r="A32" s="958" t="s">
        <v>369</v>
      </c>
      <c r="B32" s="959">
        <f>B31+1</f>
        <v>31</v>
      </c>
      <c r="C32" s="955">
        <v>3</v>
      </c>
      <c r="D32" s="956">
        <v>2020</v>
      </c>
      <c r="E32" s="972"/>
      <c r="F32" s="940">
        <f>Elect!J36</f>
        <v>0</v>
      </c>
      <c r="G32" s="940">
        <f>Elect!K36</f>
        <v>0</v>
      </c>
      <c r="H32" s="940">
        <f>Elect!Q36</f>
        <v>0</v>
      </c>
      <c r="I32" s="940">
        <f>Elect!W36</f>
        <v>0</v>
      </c>
      <c r="J32" s="940">
        <f>Elect!Y36</f>
        <v>0</v>
      </c>
      <c r="K32" s="940">
        <f>Elect!AA36</f>
        <v>0</v>
      </c>
      <c r="L32" s="940">
        <f>Elect!AC36</f>
        <v>0</v>
      </c>
      <c r="M32" s="960">
        <f>Elect!AE36</f>
        <v>0</v>
      </c>
      <c r="N32" s="960">
        <f>Elect!AG36</f>
        <v>0</v>
      </c>
      <c r="O32" s="960">
        <f>Elect!AI36</f>
        <v>0</v>
      </c>
      <c r="P32" s="960">
        <f>Elect!AK36</f>
        <v>0</v>
      </c>
      <c r="Q32" s="960">
        <f>Elect!AN36</f>
        <v>0</v>
      </c>
      <c r="R32" s="960">
        <f>Elect!AP36</f>
        <v>0</v>
      </c>
      <c r="S32" s="960">
        <f>Elect!AR36</f>
        <v>0</v>
      </c>
      <c r="T32" s="960">
        <f>Elect!AT36</f>
        <v>0</v>
      </c>
      <c r="U32" s="960">
        <f>Elect!AV36</f>
        <v>0</v>
      </c>
      <c r="V32" s="960">
        <f>Elect!AX36</f>
        <v>0</v>
      </c>
      <c r="W32" s="960">
        <f>Elect!AZ36</f>
        <v>0</v>
      </c>
      <c r="X32" s="960">
        <f>Elect!BB36</f>
        <v>0</v>
      </c>
      <c r="Y32" s="960">
        <f>Elect!BE36</f>
        <v>0</v>
      </c>
      <c r="Z32" s="960">
        <f>Elect!BG36</f>
        <v>0</v>
      </c>
      <c r="AA32" s="960">
        <f>Elect!BI36</f>
        <v>0</v>
      </c>
      <c r="AB32" s="960">
        <f>Elect!BK36</f>
        <v>0</v>
      </c>
      <c r="AC32" s="960"/>
      <c r="AD32" s="960">
        <f>Water!C37</f>
        <v>0</v>
      </c>
      <c r="AE32" s="960">
        <f>Water!E37</f>
        <v>0</v>
      </c>
      <c r="AF32" s="960">
        <f>Water!G37</f>
        <v>0</v>
      </c>
      <c r="AG32" s="960"/>
      <c r="AH32" s="960">
        <f>Gas!C37</f>
        <v>0</v>
      </c>
      <c r="AI32" s="960">
        <f>Gas!E37</f>
        <v>0</v>
      </c>
      <c r="AJ32" s="960">
        <f>Gas!G37</f>
        <v>0</v>
      </c>
      <c r="AK32" s="947">
        <f>Elect!BM36</f>
        <v>0</v>
      </c>
    </row>
    <row r="33" spans="34:36">
      <c r="AH33" s="937"/>
      <c r="AI33" s="937"/>
      <c r="AJ33" s="93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topLeftCell="K13" zoomScale="60" zoomScaleNormal="60" zoomScaleSheetLayoutView="70" workbookViewId="0">
      <selection activeCell="V35" sqref="V35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5.8554687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73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75" t="s">
        <v>259</v>
      </c>
      <c r="N1" s="975"/>
      <c r="O1" s="975"/>
      <c r="Q1" s="975"/>
      <c r="R1" s="975"/>
      <c r="S1" s="975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4"/>
      <c r="B2" s="118"/>
      <c r="C2" s="30"/>
      <c r="D2" s="30"/>
      <c r="E2" s="198"/>
      <c r="F2" s="198"/>
      <c r="I2" s="199"/>
      <c r="M2" s="976"/>
      <c r="N2" s="976"/>
      <c r="O2" s="976"/>
      <c r="Q2" s="976"/>
      <c r="R2" s="976"/>
      <c r="S2" s="976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85" t="s">
        <v>0</v>
      </c>
      <c r="B3" s="987" t="s">
        <v>1</v>
      </c>
      <c r="C3" s="988"/>
      <c r="D3" s="977" t="s">
        <v>2</v>
      </c>
      <c r="E3" s="977"/>
      <c r="F3" s="977" t="s">
        <v>3</v>
      </c>
      <c r="G3" s="977"/>
      <c r="H3" s="989" t="s">
        <v>4</v>
      </c>
      <c r="I3" s="675" t="s">
        <v>322</v>
      </c>
      <c r="J3" s="603"/>
      <c r="K3" s="604"/>
      <c r="L3" s="977"/>
      <c r="M3" s="977"/>
      <c r="N3" s="977"/>
      <c r="O3" s="977"/>
      <c r="P3" s="977"/>
      <c r="Q3" s="977"/>
      <c r="R3" s="980" t="s">
        <v>324</v>
      </c>
      <c r="S3" s="981"/>
      <c r="T3" s="981"/>
      <c r="U3" s="981"/>
      <c r="V3" s="981"/>
      <c r="W3" s="982"/>
      <c r="X3" s="912"/>
      <c r="Y3" s="912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8"/>
      <c r="BE3" s="856"/>
      <c r="BF3" s="856"/>
      <c r="BG3" s="856" t="s">
        <v>354</v>
      </c>
      <c r="BH3" s="856"/>
      <c r="BI3" s="856"/>
      <c r="BJ3" s="856"/>
      <c r="BK3" s="857"/>
      <c r="BL3" s="978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7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6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90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5" t="s">
        <v>280</v>
      </c>
      <c r="U4" s="605" t="s">
        <v>276</v>
      </c>
      <c r="V4" s="855" t="s">
        <v>360</v>
      </c>
      <c r="W4" s="605" t="s">
        <v>276</v>
      </c>
      <c r="X4" s="855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0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9"/>
      <c r="BM4" s="605" t="s">
        <v>315</v>
      </c>
      <c r="BN4" s="605" t="s">
        <v>316</v>
      </c>
      <c r="BO4" s="605" t="s">
        <v>8</v>
      </c>
      <c r="BP4" s="605" t="s">
        <v>8</v>
      </c>
      <c r="BQ4" s="983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480">
        <v>20903264</v>
      </c>
      <c r="J5" s="760">
        <f>IF(I5&gt;=I4,I5-I4,0)</f>
        <v>0</v>
      </c>
      <c r="K5" s="760">
        <f t="shared" ref="K5:K36" si="0">M5+O5</f>
        <v>0</v>
      </c>
      <c r="L5" s="480">
        <v>639087</v>
      </c>
      <c r="M5" s="760">
        <f t="shared" ref="M5:M36" si="1">IF(L5&gt;=L4,L5-L4,0)</f>
        <v>0</v>
      </c>
      <c r="N5" s="480">
        <v>625772</v>
      </c>
      <c r="O5" s="760">
        <f t="shared" ref="O5:O36" si="2">IF(N5&gt;=N4,N5-N4,0)</f>
        <v>0</v>
      </c>
      <c r="P5" s="854">
        <v>210667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89901</v>
      </c>
      <c r="W5" s="760">
        <f t="shared" si="4"/>
        <v>0</v>
      </c>
      <c r="X5" s="480">
        <v>167667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480">
        <v>657605</v>
      </c>
      <c r="AC5" s="760">
        <f t="shared" ref="AC5:AC28" si="7">IF(AB5&gt;=AB4,AB5-AB4,0)*0.53</f>
        <v>0</v>
      </c>
      <c r="AD5" s="480">
        <v>728396</v>
      </c>
      <c r="AE5" s="760">
        <f t="shared" ref="AE5:AE36" si="8">IF(AD5&gt;=AD4,AD5-AD4,0)*0.53</f>
        <v>0</v>
      </c>
      <c r="AF5" s="480">
        <v>704806</v>
      </c>
      <c r="AG5" s="760">
        <f t="shared" ref="AG5:AG36" si="9">IF(AF5&gt;=AF4,AF5-AF4,0)*0.53</f>
        <v>0</v>
      </c>
      <c r="AH5" s="480">
        <v>196777</v>
      </c>
      <c r="AI5" s="760">
        <f t="shared" ref="AI5:AI36" si="10">IF(AH5&gt;=AH4,AH5-AH4,0)*0.53</f>
        <v>0</v>
      </c>
      <c r="AJ5" s="480">
        <v>230037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6884066</v>
      </c>
      <c r="AN5" s="760">
        <f t="shared" ref="AN5:AN36" si="12">IF(AM5&gt;=AM4,AM5-AM4,0)</f>
        <v>0</v>
      </c>
      <c r="AO5" s="480">
        <v>536155</v>
      </c>
      <c r="AP5" s="760">
        <f t="shared" ref="AP5:AP36" si="13">IF(AO5&gt;=AO4,AO5-AO4,0)</f>
        <v>0</v>
      </c>
      <c r="AQ5" s="480">
        <v>880427</v>
      </c>
      <c r="AR5" s="760">
        <f t="shared" ref="AR5:AR36" si="14">IF(AQ5&gt;=AQ4,AQ5-AQ4,0)*0.11</f>
        <v>0</v>
      </c>
      <c r="AS5" s="480">
        <v>781476</v>
      </c>
      <c r="AT5" s="760">
        <f t="shared" ref="AT5:AT36" si="15">IF(AS5&gt;=AS4,AS5-AS4,0)</f>
        <v>0</v>
      </c>
      <c r="AU5" s="480">
        <v>2151442</v>
      </c>
      <c r="AV5" s="760">
        <f t="shared" ref="AV5:AV36" si="16">IF(AU5&gt;=AU4,AU5-AU4,0)</f>
        <v>0</v>
      </c>
      <c r="AW5" s="480">
        <v>194717</v>
      </c>
      <c r="AX5" s="760">
        <v>0</v>
      </c>
      <c r="AY5" s="480">
        <v>16702581</v>
      </c>
      <c r="AZ5" s="760">
        <f t="shared" ref="AZ5:AZ36" si="17">IF(AY5&gt;=AY4,AY5-AY4,0)</f>
        <v>0</v>
      </c>
      <c r="BA5" s="854">
        <v>20196681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4">
        <v>1323286</v>
      </c>
      <c r="BE5" s="760">
        <f t="shared" ref="BE5:BE36" si="20">IF(BD5&gt;=BD4,BD5-BD4,0)</f>
        <v>0</v>
      </c>
      <c r="BF5" s="480">
        <v>3122359</v>
      </c>
      <c r="BG5" s="760">
        <f t="shared" ref="BG5:BG36" si="21">IF(BF5&gt;=BF4,BF5-BF4,0)</f>
        <v>0</v>
      </c>
      <c r="BH5" s="480">
        <v>346792</v>
      </c>
      <c r="BI5" s="760">
        <f t="shared" ref="BI5:BI36" si="22">IF(BH5&gt;=BH4,BH5-BH4,0)</f>
        <v>0</v>
      </c>
      <c r="BJ5" s="480">
        <v>394126</v>
      </c>
      <c r="BK5" s="760">
        <f>IF(BJ5&gt;=BJ4,BJ5-BJ4,0)</f>
        <v>0</v>
      </c>
      <c r="BL5" s="480"/>
      <c r="BM5" s="907"/>
      <c r="BN5" s="481"/>
      <c r="BO5" s="904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4">
        <v>20904798</v>
      </c>
      <c r="J6" s="760">
        <f t="shared" ref="J6:J36" si="23">IF(I6&gt;=I5,I6-I5,0)</f>
        <v>1534</v>
      </c>
      <c r="K6" s="760">
        <f t="shared" si="0"/>
        <v>1084</v>
      </c>
      <c r="L6" s="854">
        <v>639631</v>
      </c>
      <c r="M6" s="760">
        <f t="shared" si="1"/>
        <v>544</v>
      </c>
      <c r="N6" s="854">
        <v>626312</v>
      </c>
      <c r="O6" s="760">
        <f>IF(N6&gt;=N5,N6-N5,0)</f>
        <v>540</v>
      </c>
      <c r="P6" s="854">
        <v>210667</v>
      </c>
      <c r="Q6" s="760">
        <f t="shared" si="3"/>
        <v>0</v>
      </c>
      <c r="R6" s="480">
        <v>702925</v>
      </c>
      <c r="S6" s="760">
        <f>IF(R6&gt;=R5,R6-R5,0)</f>
        <v>0</v>
      </c>
      <c r="T6" s="480">
        <v>344001</v>
      </c>
      <c r="U6" s="760">
        <f t="shared" si="4"/>
        <v>0</v>
      </c>
      <c r="V6" s="480">
        <v>90021</v>
      </c>
      <c r="W6" s="760">
        <f t="shared" si="4"/>
        <v>120</v>
      </c>
      <c r="X6" s="480">
        <v>167765</v>
      </c>
      <c r="Y6" s="760">
        <f t="shared" si="5"/>
        <v>98</v>
      </c>
      <c r="Z6" s="480">
        <v>315108</v>
      </c>
      <c r="AA6" s="760">
        <f t="shared" si="6"/>
        <v>0</v>
      </c>
      <c r="AB6" s="854">
        <v>658198</v>
      </c>
      <c r="AC6" s="760">
        <f t="shared" si="7"/>
        <v>314.29000000000002</v>
      </c>
      <c r="AD6" s="854">
        <v>729274</v>
      </c>
      <c r="AE6" s="760">
        <f t="shared" si="8"/>
        <v>465.34000000000003</v>
      </c>
      <c r="AF6" s="480">
        <v>705422</v>
      </c>
      <c r="AG6" s="760">
        <f t="shared" si="9"/>
        <v>326.48</v>
      </c>
      <c r="AH6" s="480">
        <v>197322</v>
      </c>
      <c r="AI6" s="760">
        <f t="shared" si="10"/>
        <v>288.85000000000002</v>
      </c>
      <c r="AJ6" s="480">
        <v>233342</v>
      </c>
      <c r="AK6" s="760">
        <f>IF(AJ6&gt;=AJ5,AJ6-AJ5,0)*0.53</f>
        <v>1751.65</v>
      </c>
      <c r="AL6" s="760">
        <f>AA6+AC6+AE6+AG6+AI6+AK6</f>
        <v>3146.61</v>
      </c>
      <c r="AM6" s="480">
        <v>6884089</v>
      </c>
      <c r="AN6" s="760">
        <f t="shared" si="12"/>
        <v>23</v>
      </c>
      <c r="AO6" s="854">
        <v>536158</v>
      </c>
      <c r="AP6" s="760">
        <f t="shared" si="13"/>
        <v>3</v>
      </c>
      <c r="AQ6" s="854">
        <v>880456</v>
      </c>
      <c r="AR6" s="760">
        <f t="shared" si="14"/>
        <v>3.19</v>
      </c>
      <c r="AS6" s="854">
        <v>781503</v>
      </c>
      <c r="AT6" s="760">
        <f t="shared" si="15"/>
        <v>27</v>
      </c>
      <c r="AU6" s="480">
        <v>2151715</v>
      </c>
      <c r="AV6" s="760">
        <f t="shared" si="16"/>
        <v>273</v>
      </c>
      <c r="AW6" s="854">
        <v>194756</v>
      </c>
      <c r="AX6" s="760">
        <f t="shared" ref="AX6:AX18" si="24">IF(AW6&gt;=AW5,AW6-AW5,0)</f>
        <v>39</v>
      </c>
      <c r="AY6" s="854">
        <v>16704054</v>
      </c>
      <c r="AZ6" s="760">
        <f t="shared" si="17"/>
        <v>1473</v>
      </c>
      <c r="BA6" s="854">
        <v>20200076</v>
      </c>
      <c r="BB6" s="760">
        <f t="shared" si="18"/>
        <v>2753.9</v>
      </c>
      <c r="BC6" s="760">
        <f t="shared" si="19"/>
        <v>4595.09</v>
      </c>
      <c r="BD6" s="854">
        <v>1323286</v>
      </c>
      <c r="BE6" s="760">
        <f t="shared" si="20"/>
        <v>0</v>
      </c>
      <c r="BF6" s="854">
        <v>3123115</v>
      </c>
      <c r="BG6" s="760">
        <f t="shared" si="21"/>
        <v>756</v>
      </c>
      <c r="BH6" s="854">
        <v>346859</v>
      </c>
      <c r="BI6" s="760">
        <f t="shared" si="22"/>
        <v>67</v>
      </c>
      <c r="BJ6" s="854">
        <v>394280</v>
      </c>
      <c r="BK6" s="760">
        <f>IF(BJ6&gt;=BJ5,BJ6-BJ5,0)</f>
        <v>154</v>
      </c>
      <c r="BL6" s="868">
        <f t="shared" ref="BL6:BL36" si="25">J6+Q6+AL6+BC6</f>
        <v>9275.7000000000007</v>
      </c>
      <c r="BM6" s="869"/>
      <c r="BN6" s="868" t="e">
        <f>IF(BL6&gt;0,BL6/#REF!,0)</f>
        <v>#REF!</v>
      </c>
      <c r="BO6" s="869"/>
      <c r="BP6" s="868" t="e">
        <f t="shared" ref="BP6:BP36" si="26">IF(BL6&gt;0,BL6/BO6,0)</f>
        <v>#DIV/0!</v>
      </c>
      <c r="BQ6" s="868">
        <f>BL6*BS1</f>
        <v>4266.8220000000001</v>
      </c>
      <c r="BR6" s="868" t="e">
        <f>IF(BQ6&gt;0,BQ6/#REF!,0)</f>
        <v>#REF!</v>
      </c>
      <c r="BS6" s="870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4">
        <v>20906694</v>
      </c>
      <c r="J7" s="760">
        <f t="shared" si="23"/>
        <v>1896</v>
      </c>
      <c r="K7" s="760">
        <f t="shared" si="0"/>
        <v>1790</v>
      </c>
      <c r="L7" s="854">
        <v>640561</v>
      </c>
      <c r="M7" s="760">
        <f>IF(L7&gt;=L6,L7-L6,0)</f>
        <v>930</v>
      </c>
      <c r="N7" s="854">
        <v>627172</v>
      </c>
      <c r="O7" s="760">
        <f>IF(N7&gt;=N6,N7-N6,0)</f>
        <v>860</v>
      </c>
      <c r="P7" s="854">
        <v>210670</v>
      </c>
      <c r="Q7" s="760">
        <f t="shared" si="3"/>
        <v>90</v>
      </c>
      <c r="R7" s="480">
        <v>702925</v>
      </c>
      <c r="S7" s="760">
        <f t="shared" ref="S7:S11" si="27">IF(R7&gt;=R6,R7-R6,0)</f>
        <v>0</v>
      </c>
      <c r="T7" s="480">
        <v>344001</v>
      </c>
      <c r="U7" s="760">
        <f t="shared" si="4"/>
        <v>0</v>
      </c>
      <c r="V7" s="480">
        <v>90171</v>
      </c>
      <c r="W7" s="760">
        <f t="shared" si="4"/>
        <v>150</v>
      </c>
      <c r="X7" s="480">
        <v>167861</v>
      </c>
      <c r="Y7" s="760">
        <f t="shared" si="5"/>
        <v>96</v>
      </c>
      <c r="Z7" s="480">
        <v>315108</v>
      </c>
      <c r="AA7" s="760">
        <f t="shared" si="6"/>
        <v>0</v>
      </c>
      <c r="AB7" s="854">
        <v>659201</v>
      </c>
      <c r="AC7" s="760">
        <f t="shared" si="7"/>
        <v>531.59</v>
      </c>
      <c r="AD7" s="854">
        <v>732609</v>
      </c>
      <c r="AE7" s="760">
        <f t="shared" si="8"/>
        <v>1767.5500000000002</v>
      </c>
      <c r="AF7" s="480">
        <v>705621</v>
      </c>
      <c r="AG7" s="760">
        <f t="shared" si="9"/>
        <v>105.47</v>
      </c>
      <c r="AH7" s="854">
        <v>198543</v>
      </c>
      <c r="AI7" s="760">
        <f t="shared" si="10"/>
        <v>647.13</v>
      </c>
      <c r="AJ7" s="854">
        <v>239214</v>
      </c>
      <c r="AK7" s="760">
        <f t="shared" ref="AK7:AK36" si="28">IF(AJ7&gt;=AJ6,AJ7-AJ6,0)*0.53</f>
        <v>3112.1600000000003</v>
      </c>
      <c r="AL7" s="760">
        <f t="shared" si="11"/>
        <v>6163.9000000000005</v>
      </c>
      <c r="AM7" s="480">
        <v>6884116</v>
      </c>
      <c r="AN7" s="760">
        <f t="shared" si="12"/>
        <v>27</v>
      </c>
      <c r="AO7" s="480">
        <v>536160</v>
      </c>
      <c r="AP7" s="760">
        <f t="shared" si="13"/>
        <v>2</v>
      </c>
      <c r="AQ7" s="480">
        <v>880512</v>
      </c>
      <c r="AR7" s="760">
        <f t="shared" si="14"/>
        <v>6.16</v>
      </c>
      <c r="AS7" s="905">
        <v>781548</v>
      </c>
      <c r="AT7" s="760">
        <f t="shared" si="15"/>
        <v>45</v>
      </c>
      <c r="AU7" s="854">
        <v>2152168</v>
      </c>
      <c r="AV7" s="760">
        <f t="shared" si="16"/>
        <v>453</v>
      </c>
      <c r="AW7" s="480">
        <v>194794</v>
      </c>
      <c r="AX7" s="760">
        <f t="shared" si="24"/>
        <v>38</v>
      </c>
      <c r="AY7" s="854">
        <v>16706412</v>
      </c>
      <c r="AZ7" s="760">
        <f t="shared" si="17"/>
        <v>2358</v>
      </c>
      <c r="BA7" s="854">
        <v>20206339</v>
      </c>
      <c r="BB7" s="760">
        <f t="shared" si="18"/>
        <v>5120.2</v>
      </c>
      <c r="BC7" s="760">
        <f t="shared" si="19"/>
        <v>8049.36</v>
      </c>
      <c r="BD7" s="854">
        <v>1323286</v>
      </c>
      <c r="BE7" s="760">
        <f t="shared" si="20"/>
        <v>0</v>
      </c>
      <c r="BF7" s="854">
        <v>3124443</v>
      </c>
      <c r="BG7" s="760">
        <f t="shared" si="21"/>
        <v>1328</v>
      </c>
      <c r="BH7" s="854">
        <v>346973</v>
      </c>
      <c r="BI7" s="760">
        <f t="shared" si="22"/>
        <v>114</v>
      </c>
      <c r="BJ7" s="480">
        <v>394569</v>
      </c>
      <c r="BK7" s="760">
        <f t="shared" ref="BK7:BK36" si="29">IF(BJ7&gt;=BJ6,BJ7-BJ6,0)</f>
        <v>289</v>
      </c>
      <c r="BL7" s="868">
        <f t="shared" si="25"/>
        <v>16199.26</v>
      </c>
      <c r="BM7" s="869"/>
      <c r="BN7" s="868" t="e">
        <f t="shared" ref="BN7:BN12" si="30">IF(BL7&gt;0,BL7/BM6,0)</f>
        <v>#DIV/0!</v>
      </c>
      <c r="BO7" s="869"/>
      <c r="BP7" s="868" t="e">
        <f t="shared" si="26"/>
        <v>#DIV/0!</v>
      </c>
      <c r="BQ7" s="868">
        <f>BL7*BS1</f>
        <v>7451.6596000000009</v>
      </c>
      <c r="BR7" s="868" t="e">
        <f t="shared" ref="BR7:BR15" si="31">IF(BQ7&gt;0,BQ7/BM6,0)</f>
        <v>#DIV/0!</v>
      </c>
      <c r="BS7" s="870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480">
        <v>20908396</v>
      </c>
      <c r="J8" s="760">
        <f t="shared" si="23"/>
        <v>1702</v>
      </c>
      <c r="K8" s="760">
        <f t="shared" si="0"/>
        <v>776</v>
      </c>
      <c r="L8" s="480">
        <v>640963</v>
      </c>
      <c r="M8" s="760">
        <f>IF(L8&gt;=L7,L8-L7,0)</f>
        <v>402</v>
      </c>
      <c r="N8" s="854">
        <v>627546</v>
      </c>
      <c r="O8" s="760">
        <f t="shared" si="2"/>
        <v>374</v>
      </c>
      <c r="P8" s="854">
        <v>210671</v>
      </c>
      <c r="Q8" s="760">
        <f t="shared" si="3"/>
        <v>30</v>
      </c>
      <c r="R8" s="480">
        <v>702925</v>
      </c>
      <c r="S8" s="760">
        <f t="shared" si="27"/>
        <v>0</v>
      </c>
      <c r="T8" s="480">
        <v>344001</v>
      </c>
      <c r="U8" s="760">
        <f t="shared" si="4"/>
        <v>0</v>
      </c>
      <c r="V8" s="480">
        <v>90258</v>
      </c>
      <c r="W8" s="760">
        <f t="shared" si="4"/>
        <v>87</v>
      </c>
      <c r="X8" s="480">
        <v>168158</v>
      </c>
      <c r="Y8" s="760">
        <f t="shared" si="5"/>
        <v>297</v>
      </c>
      <c r="Z8" s="480">
        <v>315108</v>
      </c>
      <c r="AA8" s="760">
        <f t="shared" si="6"/>
        <v>0</v>
      </c>
      <c r="AB8" s="854">
        <v>659805</v>
      </c>
      <c r="AC8" s="760">
        <f t="shared" si="7"/>
        <v>320.12</v>
      </c>
      <c r="AD8" s="480">
        <v>732945</v>
      </c>
      <c r="AE8" s="760">
        <f t="shared" si="8"/>
        <v>178.08</v>
      </c>
      <c r="AF8" s="480">
        <v>705621</v>
      </c>
      <c r="AG8" s="760">
        <f t="shared" si="9"/>
        <v>0</v>
      </c>
      <c r="AH8" s="480">
        <v>198976</v>
      </c>
      <c r="AI8" s="760">
        <f t="shared" si="10"/>
        <v>229.49</v>
      </c>
      <c r="AJ8" s="854">
        <v>241627</v>
      </c>
      <c r="AK8" s="760">
        <f t="shared" si="28"/>
        <v>1278.8900000000001</v>
      </c>
      <c r="AL8" s="760">
        <f>AA8+AC8+AE8+AG8+AI8+AK8</f>
        <v>2006.5800000000002</v>
      </c>
      <c r="AM8" s="480">
        <v>6884120</v>
      </c>
      <c r="AN8" s="760">
        <f t="shared" si="12"/>
        <v>4</v>
      </c>
      <c r="AO8" s="480">
        <v>536162</v>
      </c>
      <c r="AP8" s="760">
        <f t="shared" si="13"/>
        <v>2</v>
      </c>
      <c r="AQ8" s="854">
        <v>880531</v>
      </c>
      <c r="AR8" s="760">
        <f t="shared" si="14"/>
        <v>2.09</v>
      </c>
      <c r="AS8" s="905">
        <v>781572</v>
      </c>
      <c r="AT8" s="760">
        <f>IF(AS8&gt;=AS7,AS8-AS7,0)</f>
        <v>24</v>
      </c>
      <c r="AU8" s="854">
        <v>2152389</v>
      </c>
      <c r="AV8" s="760">
        <f t="shared" si="16"/>
        <v>221</v>
      </c>
      <c r="AW8" s="854">
        <v>194826</v>
      </c>
      <c r="AX8" s="760">
        <f t="shared" si="24"/>
        <v>32</v>
      </c>
      <c r="AY8" s="480">
        <v>16707378</v>
      </c>
      <c r="AZ8" s="760">
        <f t="shared" si="17"/>
        <v>966</v>
      </c>
      <c r="BA8" s="854">
        <v>20208687</v>
      </c>
      <c r="BB8" s="760">
        <f t="shared" si="18"/>
        <v>1860.6</v>
      </c>
      <c r="BC8" s="760">
        <f t="shared" si="19"/>
        <v>3111.69</v>
      </c>
      <c r="BD8" s="854">
        <v>1323286</v>
      </c>
      <c r="BE8" s="760">
        <f t="shared" si="20"/>
        <v>0</v>
      </c>
      <c r="BF8" s="480">
        <v>3125037</v>
      </c>
      <c r="BG8" s="760">
        <f t="shared" si="21"/>
        <v>594</v>
      </c>
      <c r="BH8" s="480">
        <v>347019</v>
      </c>
      <c r="BI8" s="760">
        <f t="shared" si="22"/>
        <v>46</v>
      </c>
      <c r="BJ8" s="480">
        <v>394677</v>
      </c>
      <c r="BK8" s="760">
        <f t="shared" si="29"/>
        <v>108</v>
      </c>
      <c r="BL8" s="868">
        <f t="shared" si="25"/>
        <v>6850.27</v>
      </c>
      <c r="BM8" s="869"/>
      <c r="BN8" s="868" t="e">
        <f t="shared" si="30"/>
        <v>#DIV/0!</v>
      </c>
      <c r="BO8" s="869"/>
      <c r="BP8" s="868" t="e">
        <f t="shared" si="26"/>
        <v>#DIV/0!</v>
      </c>
      <c r="BQ8" s="868">
        <f>BL8*BS1</f>
        <v>3151.1242000000002</v>
      </c>
      <c r="BR8" s="868" t="e">
        <f t="shared" si="31"/>
        <v>#DIV/0!</v>
      </c>
      <c r="BS8" s="870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20910389</v>
      </c>
      <c r="J9" s="760">
        <f>IF(I9&gt;=I8,I9-I8,0)</f>
        <v>1993</v>
      </c>
      <c r="K9" s="760">
        <f t="shared" si="0"/>
        <v>1226</v>
      </c>
      <c r="L9" s="480">
        <v>641597</v>
      </c>
      <c r="M9" s="760">
        <f>IF(L9&gt;=L8,L9-L8,0)</f>
        <v>634</v>
      </c>
      <c r="N9" s="480">
        <v>628138</v>
      </c>
      <c r="O9" s="760">
        <f t="shared" si="2"/>
        <v>592</v>
      </c>
      <c r="P9" s="854">
        <v>210674</v>
      </c>
      <c r="Q9" s="760">
        <f t="shared" si="3"/>
        <v>90</v>
      </c>
      <c r="R9" s="480">
        <v>702925</v>
      </c>
      <c r="S9" s="760">
        <f t="shared" si="27"/>
        <v>0</v>
      </c>
      <c r="T9" s="480">
        <v>344001</v>
      </c>
      <c r="U9" s="760">
        <f t="shared" si="4"/>
        <v>0</v>
      </c>
      <c r="V9" s="480">
        <v>90393</v>
      </c>
      <c r="W9" s="760">
        <f t="shared" si="4"/>
        <v>135</v>
      </c>
      <c r="X9" s="480">
        <v>168386</v>
      </c>
      <c r="Y9" s="760">
        <f t="shared" si="5"/>
        <v>228</v>
      </c>
      <c r="Z9" s="480">
        <v>315108</v>
      </c>
      <c r="AA9" s="760">
        <f t="shared" si="6"/>
        <v>0</v>
      </c>
      <c r="AB9" s="854">
        <v>662656</v>
      </c>
      <c r="AC9" s="760">
        <f t="shared" si="7"/>
        <v>1511.03</v>
      </c>
      <c r="AD9" s="902">
        <v>732945</v>
      </c>
      <c r="AE9" s="760">
        <f t="shared" si="8"/>
        <v>0</v>
      </c>
      <c r="AF9" s="480">
        <v>705621</v>
      </c>
      <c r="AG9" s="760">
        <f t="shared" si="9"/>
        <v>0</v>
      </c>
      <c r="AH9" s="480">
        <v>199725</v>
      </c>
      <c r="AI9" s="760">
        <f t="shared" si="10"/>
        <v>396.97</v>
      </c>
      <c r="AJ9" s="480">
        <v>245945</v>
      </c>
      <c r="AK9" s="760">
        <f t="shared" si="28"/>
        <v>2288.54</v>
      </c>
      <c r="AL9" s="760">
        <f t="shared" si="11"/>
        <v>4196.54</v>
      </c>
      <c r="AM9" s="480">
        <v>6884132</v>
      </c>
      <c r="AN9" s="760">
        <f t="shared" si="12"/>
        <v>12</v>
      </c>
      <c r="AO9" s="854">
        <v>536164</v>
      </c>
      <c r="AP9" s="760">
        <f t="shared" si="13"/>
        <v>2</v>
      </c>
      <c r="AQ9" s="480">
        <v>880570</v>
      </c>
      <c r="AR9" s="760">
        <f t="shared" si="14"/>
        <v>4.29</v>
      </c>
      <c r="AS9" s="480">
        <v>781604</v>
      </c>
      <c r="AT9" s="760">
        <f>IF(AS9&gt;=AS8,AS9-AS8,0)</f>
        <v>32</v>
      </c>
      <c r="AU9" s="480">
        <v>2152750</v>
      </c>
      <c r="AV9" s="760">
        <f t="shared" si="16"/>
        <v>361</v>
      </c>
      <c r="AW9" s="480">
        <v>194863</v>
      </c>
      <c r="AX9" s="760">
        <f t="shared" si="24"/>
        <v>37</v>
      </c>
      <c r="AY9" s="480">
        <v>16709216</v>
      </c>
      <c r="AZ9" s="760">
        <f t="shared" si="17"/>
        <v>1838</v>
      </c>
      <c r="BA9" s="854">
        <v>20213149</v>
      </c>
      <c r="BB9" s="760">
        <f t="shared" si="18"/>
        <v>3667.3</v>
      </c>
      <c r="BC9" s="760">
        <f t="shared" si="19"/>
        <v>5953.59</v>
      </c>
      <c r="BD9" s="854">
        <v>1323286</v>
      </c>
      <c r="BE9" s="760">
        <f t="shared" si="20"/>
        <v>0</v>
      </c>
      <c r="BF9" s="480">
        <v>3125954</v>
      </c>
      <c r="BG9" s="760">
        <f t="shared" si="21"/>
        <v>917</v>
      </c>
      <c r="BH9" s="480">
        <v>347104</v>
      </c>
      <c r="BI9" s="760">
        <f t="shared" si="22"/>
        <v>85</v>
      </c>
      <c r="BJ9" s="480">
        <v>394879</v>
      </c>
      <c r="BK9" s="760">
        <f t="shared" si="29"/>
        <v>202</v>
      </c>
      <c r="BL9" s="868">
        <f t="shared" si="25"/>
        <v>12233.130000000001</v>
      </c>
      <c r="BM9" s="869"/>
      <c r="BN9" s="868" t="e">
        <f t="shared" si="30"/>
        <v>#DIV/0!</v>
      </c>
      <c r="BO9" s="869"/>
      <c r="BP9" s="868" t="e">
        <f t="shared" si="26"/>
        <v>#DIV/0!</v>
      </c>
      <c r="BQ9" s="868">
        <f>BL9*BS1</f>
        <v>5627.2398000000003</v>
      </c>
      <c r="BR9" s="868" t="e">
        <f t="shared" si="31"/>
        <v>#DIV/0!</v>
      </c>
      <c r="BS9" s="870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4">
        <v>20912112</v>
      </c>
      <c r="J10" s="760">
        <f>IF(I10&gt;=I9,I10-I9,0)</f>
        <v>1723</v>
      </c>
      <c r="K10" s="760">
        <f t="shared" si="0"/>
        <v>1590</v>
      </c>
      <c r="L10" s="854">
        <v>642226</v>
      </c>
      <c r="M10" s="760">
        <f>IF(L10&gt;=L9,L10-L9,0)</f>
        <v>629</v>
      </c>
      <c r="N10" s="854">
        <v>629099</v>
      </c>
      <c r="O10" s="760">
        <f t="shared" si="2"/>
        <v>961</v>
      </c>
      <c r="P10" s="854">
        <v>210676</v>
      </c>
      <c r="Q10" s="760">
        <f t="shared" si="3"/>
        <v>60</v>
      </c>
      <c r="R10" s="480">
        <v>702925</v>
      </c>
      <c r="S10" s="760">
        <f t="shared" si="27"/>
        <v>0</v>
      </c>
      <c r="T10" s="480">
        <v>344001</v>
      </c>
      <c r="U10" s="760">
        <f t="shared" si="4"/>
        <v>0</v>
      </c>
      <c r="V10" s="480">
        <v>90507</v>
      </c>
      <c r="W10" s="760">
        <f t="shared" si="4"/>
        <v>114</v>
      </c>
      <c r="X10" s="480">
        <v>168577</v>
      </c>
      <c r="Y10" s="760">
        <f t="shared" si="5"/>
        <v>191</v>
      </c>
      <c r="Z10" s="480">
        <v>315108</v>
      </c>
      <c r="AA10" s="760">
        <f t="shared" si="6"/>
        <v>0</v>
      </c>
      <c r="AB10" s="854">
        <v>667766</v>
      </c>
      <c r="AC10" s="760">
        <f t="shared" si="7"/>
        <v>2708.3</v>
      </c>
      <c r="AD10" s="480">
        <v>732945</v>
      </c>
      <c r="AE10" s="760">
        <f t="shared" si="8"/>
        <v>0</v>
      </c>
      <c r="AF10" s="480">
        <v>705621</v>
      </c>
      <c r="AG10" s="760">
        <f t="shared" si="9"/>
        <v>0</v>
      </c>
      <c r="AH10" s="854">
        <v>200685</v>
      </c>
      <c r="AI10" s="760">
        <f t="shared" si="10"/>
        <v>508.8</v>
      </c>
      <c r="AJ10" s="854">
        <v>251482</v>
      </c>
      <c r="AK10" s="760">
        <f t="shared" si="28"/>
        <v>2934.61</v>
      </c>
      <c r="AL10" s="760">
        <f t="shared" si="11"/>
        <v>6151.7100000000009</v>
      </c>
      <c r="AM10" s="480">
        <v>6884161</v>
      </c>
      <c r="AN10" s="760">
        <f t="shared" si="12"/>
        <v>29</v>
      </c>
      <c r="AO10" s="854">
        <v>536166</v>
      </c>
      <c r="AP10" s="760">
        <f t="shared" si="13"/>
        <v>2</v>
      </c>
      <c r="AQ10" s="854">
        <v>880624</v>
      </c>
      <c r="AR10" s="760">
        <f t="shared" si="14"/>
        <v>5.94</v>
      </c>
      <c r="AS10" s="480">
        <v>781645</v>
      </c>
      <c r="AT10" s="760">
        <f>IF(AS10&gt;=AS9,AS10-AS9,0)</f>
        <v>41</v>
      </c>
      <c r="AU10" s="480">
        <v>2153235</v>
      </c>
      <c r="AV10" s="760">
        <f t="shared" si="16"/>
        <v>485</v>
      </c>
      <c r="AW10" s="480">
        <v>194902</v>
      </c>
      <c r="AX10" s="760">
        <f t="shared" si="24"/>
        <v>39</v>
      </c>
      <c r="AY10" s="480">
        <v>16711652</v>
      </c>
      <c r="AZ10" s="760">
        <f t="shared" si="17"/>
        <v>2436</v>
      </c>
      <c r="BA10" s="854">
        <v>20219004</v>
      </c>
      <c r="BB10" s="760">
        <f t="shared" si="18"/>
        <v>4770.3</v>
      </c>
      <c r="BC10" s="760">
        <f t="shared" si="19"/>
        <v>7808.24</v>
      </c>
      <c r="BD10" s="854">
        <v>1323286</v>
      </c>
      <c r="BE10" s="760">
        <f t="shared" si="20"/>
        <v>0</v>
      </c>
      <c r="BF10" s="854">
        <v>3127236</v>
      </c>
      <c r="BG10" s="760">
        <f t="shared" si="21"/>
        <v>1282</v>
      </c>
      <c r="BH10" s="854">
        <v>347211</v>
      </c>
      <c r="BI10" s="760">
        <f t="shared" si="22"/>
        <v>107</v>
      </c>
      <c r="BJ10" s="854">
        <v>395141</v>
      </c>
      <c r="BK10" s="760">
        <f t="shared" si="29"/>
        <v>262</v>
      </c>
      <c r="BL10" s="868">
        <f t="shared" si="25"/>
        <v>15742.95</v>
      </c>
      <c r="BM10" s="869"/>
      <c r="BN10" s="868" t="e">
        <f t="shared" si="30"/>
        <v>#DIV/0!</v>
      </c>
      <c r="BO10" s="869"/>
      <c r="BP10" s="868" t="e">
        <f t="shared" si="26"/>
        <v>#DIV/0!</v>
      </c>
      <c r="BQ10" s="868">
        <f>BL10*BS1</f>
        <v>7241.7570000000005</v>
      </c>
      <c r="BR10" s="868" t="e">
        <f t="shared" si="31"/>
        <v>#DIV/0!</v>
      </c>
      <c r="BS10" s="870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4">
        <v>20913939</v>
      </c>
      <c r="J11" s="760">
        <f>IF(I11&gt;=I10,I11-I10,0)</f>
        <v>1827</v>
      </c>
      <c r="K11" s="760">
        <f t="shared" si="0"/>
        <v>1427</v>
      </c>
      <c r="L11" s="480">
        <v>642761</v>
      </c>
      <c r="M11" s="760">
        <f>IF(L11&gt;=L10,L11-L10,0)</f>
        <v>535</v>
      </c>
      <c r="N11" s="480">
        <v>629991</v>
      </c>
      <c r="O11" s="760">
        <f t="shared" si="2"/>
        <v>892</v>
      </c>
      <c r="P11" s="480">
        <v>210678</v>
      </c>
      <c r="Q11" s="760">
        <f t="shared" si="3"/>
        <v>60</v>
      </c>
      <c r="R11" s="480">
        <v>702925</v>
      </c>
      <c r="S11" s="760">
        <f t="shared" si="27"/>
        <v>0</v>
      </c>
      <c r="T11" s="480">
        <v>344001</v>
      </c>
      <c r="U11" s="760">
        <f t="shared" si="4"/>
        <v>0</v>
      </c>
      <c r="V11" s="480">
        <v>90620</v>
      </c>
      <c r="W11" s="760">
        <f t="shared" si="4"/>
        <v>113</v>
      </c>
      <c r="X11" s="480">
        <v>168766</v>
      </c>
      <c r="Y11" s="760">
        <f t="shared" si="5"/>
        <v>189</v>
      </c>
      <c r="Z11" s="480">
        <v>315108</v>
      </c>
      <c r="AA11" s="760">
        <f t="shared" si="6"/>
        <v>0</v>
      </c>
      <c r="AB11" s="854">
        <v>669638</v>
      </c>
      <c r="AC11" s="760">
        <f t="shared" si="7"/>
        <v>992.16000000000008</v>
      </c>
      <c r="AD11" s="480">
        <v>732945</v>
      </c>
      <c r="AE11" s="760">
        <f t="shared" si="8"/>
        <v>0</v>
      </c>
      <c r="AF11" s="480">
        <v>705621</v>
      </c>
      <c r="AG11" s="760">
        <f>IF(AF11&gt;=AF10,AF11-AF10,0)*0.53</f>
        <v>0</v>
      </c>
      <c r="AH11" s="480">
        <v>201023</v>
      </c>
      <c r="AI11" s="760">
        <f t="shared" si="10"/>
        <v>179.14000000000001</v>
      </c>
      <c r="AJ11" s="854">
        <v>253198</v>
      </c>
      <c r="AK11" s="760">
        <f t="shared" si="28"/>
        <v>909.48</v>
      </c>
      <c r="AL11" s="760">
        <f t="shared" si="11"/>
        <v>2080.7800000000002</v>
      </c>
      <c r="AM11" s="480">
        <v>6884208</v>
      </c>
      <c r="AN11" s="760">
        <f t="shared" si="12"/>
        <v>47</v>
      </c>
      <c r="AO11" s="480">
        <v>536168</v>
      </c>
      <c r="AP11" s="760">
        <f t="shared" si="13"/>
        <v>2</v>
      </c>
      <c r="AQ11" s="480">
        <v>880641</v>
      </c>
      <c r="AR11" s="760">
        <f t="shared" si="14"/>
        <v>1.87</v>
      </c>
      <c r="AS11" s="480">
        <v>781663</v>
      </c>
      <c r="AT11" s="760">
        <f t="shared" si="15"/>
        <v>18</v>
      </c>
      <c r="AU11" s="854">
        <v>2153432</v>
      </c>
      <c r="AV11" s="760">
        <f t="shared" si="16"/>
        <v>197</v>
      </c>
      <c r="AW11" s="854">
        <v>194935</v>
      </c>
      <c r="AX11" s="760">
        <f t="shared" si="24"/>
        <v>33</v>
      </c>
      <c r="AY11" s="854">
        <v>16712519</v>
      </c>
      <c r="AZ11" s="760">
        <f t="shared" si="17"/>
        <v>867</v>
      </c>
      <c r="BA11" s="480">
        <v>20220967</v>
      </c>
      <c r="BB11" s="760">
        <f t="shared" si="18"/>
        <v>1578.9</v>
      </c>
      <c r="BC11" s="760">
        <f t="shared" si="19"/>
        <v>2744.77</v>
      </c>
      <c r="BD11" s="854">
        <v>1323286</v>
      </c>
      <c r="BE11" s="760">
        <f t="shared" si="20"/>
        <v>0</v>
      </c>
      <c r="BF11" s="480">
        <v>3127707</v>
      </c>
      <c r="BG11" s="760">
        <f t="shared" si="21"/>
        <v>471</v>
      </c>
      <c r="BH11" s="480">
        <v>347246</v>
      </c>
      <c r="BI11" s="936">
        <f t="shared" si="22"/>
        <v>35</v>
      </c>
      <c r="BJ11" s="480">
        <v>395225</v>
      </c>
      <c r="BK11" s="760">
        <f t="shared" si="29"/>
        <v>84</v>
      </c>
      <c r="BL11" s="868">
        <f t="shared" si="25"/>
        <v>6712.55</v>
      </c>
      <c r="BM11" s="869"/>
      <c r="BN11" s="868" t="e">
        <f t="shared" si="30"/>
        <v>#DIV/0!</v>
      </c>
      <c r="BO11" s="869"/>
      <c r="BP11" s="868" t="e">
        <f t="shared" si="26"/>
        <v>#DIV/0!</v>
      </c>
      <c r="BQ11" s="868">
        <f>BL11*BS1</f>
        <v>3087.7730000000001</v>
      </c>
      <c r="BR11" s="868" t="e">
        <f t="shared" si="31"/>
        <v>#DIV/0!</v>
      </c>
      <c r="BS11" s="870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4">
        <v>20916397</v>
      </c>
      <c r="J12" s="760">
        <f>IF(I12&gt;=I11,I12-I11,0)</f>
        <v>2458</v>
      </c>
      <c r="K12" s="760">
        <f t="shared" si="0"/>
        <v>1967</v>
      </c>
      <c r="L12" s="854">
        <v>643637</v>
      </c>
      <c r="M12" s="760">
        <f t="shared" si="1"/>
        <v>876</v>
      </c>
      <c r="N12" s="854">
        <v>631082</v>
      </c>
      <c r="O12" s="760">
        <f>IF(N12&gt;=N11,N12-N11,0)</f>
        <v>1091</v>
      </c>
      <c r="P12" s="854">
        <v>210682</v>
      </c>
      <c r="Q12" s="760">
        <f t="shared" si="3"/>
        <v>120</v>
      </c>
      <c r="R12" s="480">
        <v>702925</v>
      </c>
      <c r="S12" s="760">
        <f t="shared" ref="S12:S18" si="36">IF(R12&gt;=R11,R12-R11,0)</f>
        <v>0</v>
      </c>
      <c r="T12" s="480">
        <v>344001</v>
      </c>
      <c r="U12" s="760">
        <f t="shared" si="4"/>
        <v>0</v>
      </c>
      <c r="V12" s="480">
        <v>90780</v>
      </c>
      <c r="W12" s="760">
        <f t="shared" si="4"/>
        <v>160</v>
      </c>
      <c r="X12" s="480">
        <v>169029</v>
      </c>
      <c r="Y12" s="760">
        <f t="shared" si="5"/>
        <v>263</v>
      </c>
      <c r="Z12" s="480">
        <v>315108</v>
      </c>
      <c r="AA12" s="760">
        <f t="shared" si="6"/>
        <v>0</v>
      </c>
      <c r="AB12" s="854">
        <v>670595</v>
      </c>
      <c r="AC12" s="760">
        <f t="shared" si="7"/>
        <v>507.21000000000004</v>
      </c>
      <c r="AD12" s="854">
        <v>736604</v>
      </c>
      <c r="AE12" s="760">
        <f t="shared" si="8"/>
        <v>1939.2700000000002</v>
      </c>
      <c r="AF12" s="480">
        <v>705621</v>
      </c>
      <c r="AG12" s="760">
        <f t="shared" si="9"/>
        <v>0</v>
      </c>
      <c r="AH12" s="480">
        <v>201849</v>
      </c>
      <c r="AI12" s="760">
        <f t="shared" si="10"/>
        <v>437.78000000000003</v>
      </c>
      <c r="AJ12" s="480">
        <v>257756</v>
      </c>
      <c r="AK12" s="760">
        <f t="shared" si="28"/>
        <v>2415.7400000000002</v>
      </c>
      <c r="AL12" s="760">
        <f t="shared" si="11"/>
        <v>5300.0000000000009</v>
      </c>
      <c r="AM12" s="480">
        <v>6884223</v>
      </c>
      <c r="AN12" s="760">
        <f t="shared" si="12"/>
        <v>15</v>
      </c>
      <c r="AO12" s="854">
        <v>536170</v>
      </c>
      <c r="AP12" s="760">
        <f t="shared" si="13"/>
        <v>2</v>
      </c>
      <c r="AQ12" s="854">
        <v>880688</v>
      </c>
      <c r="AR12" s="760">
        <f t="shared" si="14"/>
        <v>5.17</v>
      </c>
      <c r="AS12" s="854">
        <v>781699</v>
      </c>
      <c r="AT12" s="760">
        <f t="shared" si="15"/>
        <v>36</v>
      </c>
      <c r="AU12" s="480">
        <v>2153803</v>
      </c>
      <c r="AV12" s="760">
        <f t="shared" si="16"/>
        <v>371</v>
      </c>
      <c r="AW12" s="854">
        <v>194979</v>
      </c>
      <c r="AX12" s="760">
        <f t="shared" si="24"/>
        <v>44</v>
      </c>
      <c r="AY12" s="480">
        <v>16715090</v>
      </c>
      <c r="AZ12" s="760">
        <f t="shared" si="17"/>
        <v>2571</v>
      </c>
      <c r="BA12" s="854">
        <v>20226350</v>
      </c>
      <c r="BB12" s="760">
        <f t="shared" si="18"/>
        <v>4300.1000000000004</v>
      </c>
      <c r="BC12" s="760">
        <f t="shared" si="19"/>
        <v>7344.27</v>
      </c>
      <c r="BD12" s="854">
        <v>1323286</v>
      </c>
      <c r="BE12" s="760">
        <f t="shared" si="20"/>
        <v>0</v>
      </c>
      <c r="BF12" s="854">
        <v>3129046</v>
      </c>
      <c r="BG12" s="760">
        <f t="shared" si="21"/>
        <v>1339</v>
      </c>
      <c r="BH12" s="854">
        <v>347341</v>
      </c>
      <c r="BI12" s="760">
        <f t="shared" si="22"/>
        <v>95</v>
      </c>
      <c r="BJ12" s="854">
        <v>395457</v>
      </c>
      <c r="BK12" s="760">
        <f t="shared" si="29"/>
        <v>232</v>
      </c>
      <c r="BL12" s="868">
        <f t="shared" si="25"/>
        <v>15222.27</v>
      </c>
      <c r="BM12" s="869"/>
      <c r="BN12" s="868" t="e">
        <f t="shared" si="30"/>
        <v>#DIV/0!</v>
      </c>
      <c r="BO12" s="869"/>
      <c r="BP12" s="868" t="e">
        <f t="shared" si="26"/>
        <v>#DIV/0!</v>
      </c>
      <c r="BQ12" s="868">
        <f>BL12*BS1</f>
        <v>7002.2442000000001</v>
      </c>
      <c r="BR12" s="868" t="e">
        <f t="shared" si="31"/>
        <v>#DIV/0!</v>
      </c>
      <c r="BS12" s="870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4">
        <v>20918501</v>
      </c>
      <c r="J13" s="760">
        <f t="shared" si="23"/>
        <v>2104</v>
      </c>
      <c r="K13" s="760">
        <f t="shared" si="0"/>
        <v>1316</v>
      </c>
      <c r="L13" s="854">
        <v>644414</v>
      </c>
      <c r="M13" s="760">
        <f t="shared" si="1"/>
        <v>777</v>
      </c>
      <c r="N13" s="854">
        <v>631621</v>
      </c>
      <c r="O13" s="760">
        <f>IF(N13&gt;=N12,N13-N12,0)</f>
        <v>539</v>
      </c>
      <c r="P13" s="854">
        <v>210685</v>
      </c>
      <c r="Q13" s="760">
        <f t="shared" si="3"/>
        <v>90</v>
      </c>
      <c r="R13" s="480">
        <v>702925</v>
      </c>
      <c r="S13" s="760">
        <f t="shared" si="36"/>
        <v>0</v>
      </c>
      <c r="T13" s="480">
        <v>344001</v>
      </c>
      <c r="U13" s="760">
        <f t="shared" si="4"/>
        <v>0</v>
      </c>
      <c r="V13" s="480">
        <v>90928</v>
      </c>
      <c r="W13" s="760">
        <f t="shared" si="4"/>
        <v>148</v>
      </c>
      <c r="X13" s="480">
        <v>169266</v>
      </c>
      <c r="Y13" s="760">
        <f t="shared" si="5"/>
        <v>237</v>
      </c>
      <c r="Z13" s="480">
        <v>315108</v>
      </c>
      <c r="AA13" s="760">
        <f t="shared" si="6"/>
        <v>0</v>
      </c>
      <c r="AB13" s="854">
        <v>670595</v>
      </c>
      <c r="AC13" s="760">
        <f t="shared" si="7"/>
        <v>0</v>
      </c>
      <c r="AD13" s="854">
        <v>740995</v>
      </c>
      <c r="AE13" s="760">
        <f t="shared" si="8"/>
        <v>2327.23</v>
      </c>
      <c r="AF13" s="480">
        <v>705621</v>
      </c>
      <c r="AG13" s="760">
        <f t="shared" si="9"/>
        <v>0</v>
      </c>
      <c r="AH13" s="854">
        <v>202687</v>
      </c>
      <c r="AI13" s="760">
        <f t="shared" si="10"/>
        <v>444.14000000000004</v>
      </c>
      <c r="AJ13" s="854">
        <v>262347</v>
      </c>
      <c r="AK13" s="760">
        <f t="shared" si="28"/>
        <v>2433.23</v>
      </c>
      <c r="AL13" s="760">
        <f t="shared" si="11"/>
        <v>5204.6000000000004</v>
      </c>
      <c r="AM13" s="480">
        <v>6884235</v>
      </c>
      <c r="AN13" s="760">
        <f t="shared" si="12"/>
        <v>12</v>
      </c>
      <c r="AO13" s="480">
        <v>536173</v>
      </c>
      <c r="AP13" s="760">
        <f t="shared" si="13"/>
        <v>3</v>
      </c>
      <c r="AQ13" s="854">
        <v>880730</v>
      </c>
      <c r="AR13" s="760">
        <f t="shared" si="14"/>
        <v>4.62</v>
      </c>
      <c r="AS13" s="480">
        <v>781730</v>
      </c>
      <c r="AT13" s="760">
        <f t="shared" si="15"/>
        <v>31</v>
      </c>
      <c r="AU13" s="854">
        <v>2154135</v>
      </c>
      <c r="AV13" s="760">
        <f t="shared" si="16"/>
        <v>332</v>
      </c>
      <c r="AW13" s="480">
        <v>195017</v>
      </c>
      <c r="AX13" s="760">
        <f t="shared" si="24"/>
        <v>38</v>
      </c>
      <c r="AY13" s="854">
        <v>16717305</v>
      </c>
      <c r="AZ13" s="760">
        <f t="shared" si="17"/>
        <v>2215</v>
      </c>
      <c r="BA13" s="854">
        <v>20231213</v>
      </c>
      <c r="BB13" s="760">
        <f t="shared" si="18"/>
        <v>3896.5</v>
      </c>
      <c r="BC13" s="760">
        <f t="shared" si="19"/>
        <v>6532.12</v>
      </c>
      <c r="BD13" s="854">
        <v>1323286</v>
      </c>
      <c r="BE13" s="760">
        <f t="shared" si="20"/>
        <v>0</v>
      </c>
      <c r="BF13" s="854">
        <v>3130221</v>
      </c>
      <c r="BG13" s="760">
        <f t="shared" si="21"/>
        <v>1175</v>
      </c>
      <c r="BH13" s="854">
        <v>347430</v>
      </c>
      <c r="BI13" s="760">
        <f t="shared" si="22"/>
        <v>89</v>
      </c>
      <c r="BJ13" s="480">
        <v>395674</v>
      </c>
      <c r="BK13" s="760">
        <f t="shared" si="29"/>
        <v>217</v>
      </c>
      <c r="BL13" s="868">
        <f t="shared" si="25"/>
        <v>13930.720000000001</v>
      </c>
      <c r="BM13" s="869"/>
      <c r="BN13" s="868" t="e">
        <f t="shared" ref="BN13:BN19" si="37">IF(BL13&gt;0,BL13/BM12,0)</f>
        <v>#DIV/0!</v>
      </c>
      <c r="BO13" s="869"/>
      <c r="BP13" s="868" t="e">
        <f t="shared" si="26"/>
        <v>#DIV/0!</v>
      </c>
      <c r="BQ13" s="868">
        <f>BL13*BS1</f>
        <v>6408.1312000000007</v>
      </c>
      <c r="BR13" s="868" t="e">
        <f t="shared" si="31"/>
        <v>#DIV/0!</v>
      </c>
      <c r="BS13" s="870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4">
        <v>20919463</v>
      </c>
      <c r="J14" s="760">
        <f t="shared" si="23"/>
        <v>962</v>
      </c>
      <c r="K14" s="760">
        <f t="shared" si="0"/>
        <v>981</v>
      </c>
      <c r="L14" s="854">
        <v>644997</v>
      </c>
      <c r="M14" s="760">
        <f>IF(L14&gt;=L13,L14-L13,0)</f>
        <v>583</v>
      </c>
      <c r="N14" s="854">
        <v>632019</v>
      </c>
      <c r="O14" s="760">
        <f t="shared" si="2"/>
        <v>398</v>
      </c>
      <c r="P14" s="854">
        <v>210686</v>
      </c>
      <c r="Q14" s="760">
        <f t="shared" si="3"/>
        <v>30</v>
      </c>
      <c r="R14" s="480">
        <v>702925</v>
      </c>
      <c r="S14" s="760">
        <f t="shared" si="36"/>
        <v>0</v>
      </c>
      <c r="T14" s="480">
        <v>344001</v>
      </c>
      <c r="U14" s="760">
        <f t="shared" si="4"/>
        <v>0</v>
      </c>
      <c r="V14" s="480">
        <v>91001</v>
      </c>
      <c r="W14" s="760">
        <f t="shared" si="4"/>
        <v>73</v>
      </c>
      <c r="X14" s="480">
        <v>169383</v>
      </c>
      <c r="Y14" s="760">
        <f t="shared" si="5"/>
        <v>117</v>
      </c>
      <c r="Z14" s="480">
        <v>315108</v>
      </c>
      <c r="AA14" s="760">
        <f t="shared" si="6"/>
        <v>0</v>
      </c>
      <c r="AB14" s="854">
        <v>670595</v>
      </c>
      <c r="AC14" s="760">
        <f t="shared" si="7"/>
        <v>0</v>
      </c>
      <c r="AD14" s="854">
        <v>744200</v>
      </c>
      <c r="AE14" s="760">
        <f t="shared" si="8"/>
        <v>1698.65</v>
      </c>
      <c r="AF14" s="480">
        <v>705621</v>
      </c>
      <c r="AG14" s="760">
        <f t="shared" si="9"/>
        <v>0</v>
      </c>
      <c r="AH14" s="480">
        <v>203317</v>
      </c>
      <c r="AI14" s="760">
        <f t="shared" si="10"/>
        <v>333.90000000000003</v>
      </c>
      <c r="AJ14" s="854">
        <v>265839</v>
      </c>
      <c r="AK14" s="760">
        <f t="shared" si="28"/>
        <v>1850.76</v>
      </c>
      <c r="AL14" s="760">
        <f t="shared" si="11"/>
        <v>3883.3100000000004</v>
      </c>
      <c r="AM14" s="480">
        <v>6884241</v>
      </c>
      <c r="AN14" s="760">
        <f t="shared" si="12"/>
        <v>6</v>
      </c>
      <c r="AO14" s="854">
        <v>536174</v>
      </c>
      <c r="AP14" s="760">
        <f t="shared" si="13"/>
        <v>1</v>
      </c>
      <c r="AQ14" s="854">
        <v>880753</v>
      </c>
      <c r="AR14" s="760">
        <f t="shared" si="14"/>
        <v>2.5299999999999998</v>
      </c>
      <c r="AS14" s="854">
        <v>781757</v>
      </c>
      <c r="AT14" s="760">
        <f t="shared" si="15"/>
        <v>27</v>
      </c>
      <c r="AU14" s="480">
        <v>2154386</v>
      </c>
      <c r="AV14" s="760">
        <f t="shared" si="16"/>
        <v>251</v>
      </c>
      <c r="AW14" s="854">
        <v>195036</v>
      </c>
      <c r="AX14" s="760">
        <f t="shared" si="24"/>
        <v>19</v>
      </c>
      <c r="AY14" s="854">
        <v>16718248</v>
      </c>
      <c r="AZ14" s="760">
        <f t="shared" si="17"/>
        <v>943</v>
      </c>
      <c r="BA14" s="854">
        <v>20233837</v>
      </c>
      <c r="BB14" s="760">
        <f t="shared" si="18"/>
        <v>2106.3000000000002</v>
      </c>
      <c r="BC14" s="760">
        <f t="shared" si="19"/>
        <v>3355.83</v>
      </c>
      <c r="BD14" s="854">
        <v>1323286</v>
      </c>
      <c r="BE14" s="760">
        <f t="shared" si="20"/>
        <v>0</v>
      </c>
      <c r="BF14" s="854">
        <v>3130848</v>
      </c>
      <c r="BG14" s="760">
        <f t="shared" si="21"/>
        <v>627</v>
      </c>
      <c r="BH14" s="854">
        <v>347479</v>
      </c>
      <c r="BI14" s="760">
        <f t="shared" si="22"/>
        <v>49</v>
      </c>
      <c r="BJ14" s="854">
        <v>395791</v>
      </c>
      <c r="BK14" s="760">
        <f t="shared" si="29"/>
        <v>117</v>
      </c>
      <c r="BL14" s="868">
        <f t="shared" si="25"/>
        <v>8231.14</v>
      </c>
      <c r="BM14" s="869"/>
      <c r="BN14" s="868" t="e">
        <f t="shared" si="37"/>
        <v>#DIV/0!</v>
      </c>
      <c r="BO14" s="869"/>
      <c r="BP14" s="868" t="e">
        <f t="shared" si="26"/>
        <v>#DIV/0!</v>
      </c>
      <c r="BQ14" s="868">
        <f>BL14*BS1</f>
        <v>3786.3244</v>
      </c>
      <c r="BR14" s="868" t="e">
        <f t="shared" si="31"/>
        <v>#DIV/0!</v>
      </c>
      <c r="BS14" s="870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4">
        <v>20921964</v>
      </c>
      <c r="J15" s="760">
        <f t="shared" si="23"/>
        <v>2501</v>
      </c>
      <c r="K15" s="760">
        <f t="shared" si="0"/>
        <v>1330</v>
      </c>
      <c r="L15" s="854">
        <v>645807</v>
      </c>
      <c r="M15" s="760">
        <f>IF(L15&gt;=L14,L15-L14,0)</f>
        <v>810</v>
      </c>
      <c r="N15" s="854">
        <v>632539</v>
      </c>
      <c r="O15" s="760">
        <f t="shared" si="2"/>
        <v>520</v>
      </c>
      <c r="P15" s="854">
        <v>210689</v>
      </c>
      <c r="Q15" s="760">
        <f t="shared" si="3"/>
        <v>90</v>
      </c>
      <c r="R15" s="480">
        <v>702925</v>
      </c>
      <c r="S15" s="760">
        <f t="shared" si="36"/>
        <v>0</v>
      </c>
      <c r="T15" s="480">
        <v>344001</v>
      </c>
      <c r="U15" s="760">
        <f t="shared" si="4"/>
        <v>0</v>
      </c>
      <c r="V15" s="480">
        <v>91190</v>
      </c>
      <c r="W15" s="760">
        <f t="shared" si="4"/>
        <v>189</v>
      </c>
      <c r="X15" s="480">
        <v>169551</v>
      </c>
      <c r="Y15" s="760">
        <f t="shared" si="5"/>
        <v>168</v>
      </c>
      <c r="Z15" s="480">
        <v>315108</v>
      </c>
      <c r="AA15" s="760">
        <f t="shared" si="6"/>
        <v>0</v>
      </c>
      <c r="AB15" s="854">
        <v>670595</v>
      </c>
      <c r="AC15" s="760">
        <f t="shared" si="7"/>
        <v>0</v>
      </c>
      <c r="AD15" s="854">
        <v>744880</v>
      </c>
      <c r="AE15" s="760">
        <f t="shared" si="8"/>
        <v>360.40000000000003</v>
      </c>
      <c r="AF15" s="480">
        <v>706616</v>
      </c>
      <c r="AG15" s="760">
        <f t="shared" si="9"/>
        <v>527.35</v>
      </c>
      <c r="AH15" s="854">
        <v>203599</v>
      </c>
      <c r="AI15" s="760">
        <f t="shared" si="10"/>
        <v>149.46</v>
      </c>
      <c r="AJ15" s="480">
        <v>269564</v>
      </c>
      <c r="AK15" s="760">
        <f t="shared" si="28"/>
        <v>1974.25</v>
      </c>
      <c r="AL15" s="760">
        <f t="shared" si="11"/>
        <v>3011.46</v>
      </c>
      <c r="AM15" s="480">
        <v>6884256</v>
      </c>
      <c r="AN15" s="760">
        <f t="shared" si="12"/>
        <v>15</v>
      </c>
      <c r="AO15" s="480">
        <v>536177</v>
      </c>
      <c r="AP15" s="760">
        <f t="shared" si="13"/>
        <v>3</v>
      </c>
      <c r="AQ15" s="854">
        <v>880810</v>
      </c>
      <c r="AR15" s="760">
        <f t="shared" si="14"/>
        <v>6.2700000000000005</v>
      </c>
      <c r="AS15" s="480">
        <v>781798</v>
      </c>
      <c r="AT15" s="760">
        <f t="shared" si="15"/>
        <v>41</v>
      </c>
      <c r="AU15" s="854">
        <v>2154729</v>
      </c>
      <c r="AV15" s="760">
        <f t="shared" si="16"/>
        <v>343</v>
      </c>
      <c r="AW15" s="854">
        <v>195079</v>
      </c>
      <c r="AX15" s="760">
        <f t="shared" si="24"/>
        <v>43</v>
      </c>
      <c r="AY15" s="854">
        <v>16720444</v>
      </c>
      <c r="AZ15" s="760">
        <f t="shared" si="17"/>
        <v>2196</v>
      </c>
      <c r="BA15" s="854">
        <v>20239834</v>
      </c>
      <c r="BB15" s="760">
        <f t="shared" si="18"/>
        <v>4842.5</v>
      </c>
      <c r="BC15" s="760">
        <f t="shared" si="19"/>
        <v>7489.77</v>
      </c>
      <c r="BD15" s="854">
        <v>1323286</v>
      </c>
      <c r="BE15" s="760">
        <f t="shared" si="20"/>
        <v>0</v>
      </c>
      <c r="BF15" s="854">
        <v>3132223</v>
      </c>
      <c r="BG15" s="760">
        <f t="shared" si="21"/>
        <v>1375</v>
      </c>
      <c r="BH15" s="854">
        <v>347590</v>
      </c>
      <c r="BI15" s="760">
        <f t="shared" si="22"/>
        <v>111</v>
      </c>
      <c r="BJ15" s="854">
        <v>396065</v>
      </c>
      <c r="BK15" s="760">
        <f t="shared" si="29"/>
        <v>274</v>
      </c>
      <c r="BL15" s="868">
        <f t="shared" si="25"/>
        <v>13092.23</v>
      </c>
      <c r="BM15" s="869"/>
      <c r="BN15" s="868" t="e">
        <f t="shared" si="37"/>
        <v>#DIV/0!</v>
      </c>
      <c r="BO15" s="869"/>
      <c r="BP15" s="868" t="e">
        <f t="shared" si="26"/>
        <v>#DIV/0!</v>
      </c>
      <c r="BQ15" s="868">
        <f>BL15*BS1</f>
        <v>6022.4258</v>
      </c>
      <c r="BR15" s="868" t="e">
        <f t="shared" si="31"/>
        <v>#DIV/0!</v>
      </c>
      <c r="BS15" s="870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4">
        <v>20923331</v>
      </c>
      <c r="J16" s="760">
        <f t="shared" si="23"/>
        <v>1367</v>
      </c>
      <c r="K16" s="760">
        <f t="shared" si="0"/>
        <v>911</v>
      </c>
      <c r="L16" s="854">
        <v>646356</v>
      </c>
      <c r="M16" s="760">
        <f>IF(L16&gt;=L15,L16-L15,0)</f>
        <v>549</v>
      </c>
      <c r="N16" s="480">
        <v>632901</v>
      </c>
      <c r="O16" s="760">
        <f t="shared" si="2"/>
        <v>362</v>
      </c>
      <c r="P16" s="854">
        <v>210691</v>
      </c>
      <c r="Q16" s="760">
        <f t="shared" si="3"/>
        <v>60</v>
      </c>
      <c r="R16" s="480">
        <v>702925</v>
      </c>
      <c r="S16" s="760">
        <f t="shared" si="36"/>
        <v>0</v>
      </c>
      <c r="T16" s="480">
        <v>344001</v>
      </c>
      <c r="U16" s="760">
        <f>IF(T20&gt;=T15,T20-T15,0)</f>
        <v>0</v>
      </c>
      <c r="V16" s="480">
        <v>91289</v>
      </c>
      <c r="W16" s="760">
        <f t="shared" si="4"/>
        <v>99</v>
      </c>
      <c r="X16" s="480">
        <v>169843</v>
      </c>
      <c r="Y16" s="760">
        <f t="shared" si="5"/>
        <v>292</v>
      </c>
      <c r="Z16" s="480">
        <v>315108</v>
      </c>
      <c r="AA16" s="760">
        <f t="shared" si="6"/>
        <v>0</v>
      </c>
      <c r="AB16" s="854">
        <v>671730</v>
      </c>
      <c r="AC16" s="760">
        <f t="shared" si="7"/>
        <v>601.55000000000007</v>
      </c>
      <c r="AD16" s="854">
        <v>746750</v>
      </c>
      <c r="AE16" s="760">
        <f t="shared" si="8"/>
        <v>991.1</v>
      </c>
      <c r="AF16" s="480">
        <v>706616</v>
      </c>
      <c r="AG16" s="760">
        <f t="shared" si="9"/>
        <v>0</v>
      </c>
      <c r="AH16" s="480">
        <v>204042</v>
      </c>
      <c r="AI16" s="760">
        <f t="shared" si="10"/>
        <v>234.79000000000002</v>
      </c>
      <c r="AJ16" s="854">
        <v>272783</v>
      </c>
      <c r="AK16" s="760">
        <f t="shared" si="28"/>
        <v>1706.0700000000002</v>
      </c>
      <c r="AL16" s="760">
        <f t="shared" si="11"/>
        <v>3533.51</v>
      </c>
      <c r="AM16" s="902">
        <v>6884264</v>
      </c>
      <c r="AN16" s="760">
        <f t="shared" si="12"/>
        <v>8</v>
      </c>
      <c r="AO16" s="480">
        <v>536179</v>
      </c>
      <c r="AP16" s="760">
        <f t="shared" si="13"/>
        <v>2</v>
      </c>
      <c r="AQ16" s="480">
        <v>880839</v>
      </c>
      <c r="AR16" s="760">
        <f t="shared" si="14"/>
        <v>3.19</v>
      </c>
      <c r="AS16" s="480">
        <v>781829</v>
      </c>
      <c r="AT16" s="760">
        <f t="shared" si="15"/>
        <v>31</v>
      </c>
      <c r="AU16" s="480">
        <v>2154950</v>
      </c>
      <c r="AV16" s="760">
        <f t="shared" si="16"/>
        <v>221</v>
      </c>
      <c r="AW16" s="480">
        <v>195100</v>
      </c>
      <c r="AX16" s="760">
        <f t="shared" si="24"/>
        <v>21</v>
      </c>
      <c r="AY16" s="480">
        <v>16721641</v>
      </c>
      <c r="AZ16" s="760">
        <f t="shared" si="17"/>
        <v>1197</v>
      </c>
      <c r="BA16" s="854">
        <v>20243059</v>
      </c>
      <c r="BB16" s="760">
        <f t="shared" si="18"/>
        <v>2570.6</v>
      </c>
      <c r="BC16" s="760">
        <f t="shared" si="19"/>
        <v>4053.79</v>
      </c>
      <c r="BD16" s="854">
        <v>1323286</v>
      </c>
      <c r="BE16" s="760">
        <f t="shared" si="20"/>
        <v>0</v>
      </c>
      <c r="BF16" s="854">
        <v>3133012</v>
      </c>
      <c r="BG16" s="760">
        <f t="shared" si="21"/>
        <v>789</v>
      </c>
      <c r="BH16" s="480">
        <v>347652</v>
      </c>
      <c r="BI16" s="760">
        <f t="shared" si="22"/>
        <v>62</v>
      </c>
      <c r="BJ16" s="480">
        <v>396215</v>
      </c>
      <c r="BK16" s="760">
        <f t="shared" si="29"/>
        <v>150</v>
      </c>
      <c r="BL16" s="868">
        <f t="shared" si="25"/>
        <v>9014.2999999999993</v>
      </c>
      <c r="BM16" s="869"/>
      <c r="BN16" s="868" t="e">
        <f t="shared" si="37"/>
        <v>#DIV/0!</v>
      </c>
      <c r="BO16" s="869"/>
      <c r="BP16" s="868" t="e">
        <f t="shared" si="26"/>
        <v>#DIV/0!</v>
      </c>
      <c r="BQ16" s="868">
        <f>BL16*BS1</f>
        <v>4146.5779999999995</v>
      </c>
      <c r="BR16" s="868" t="e">
        <f>IF(BQ16&gt;0,BQ16/BM15,0)</f>
        <v>#DIV/0!</v>
      </c>
      <c r="BS16" s="870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20924883</v>
      </c>
      <c r="J17" s="760">
        <f t="shared" si="23"/>
        <v>1552</v>
      </c>
      <c r="K17" s="760">
        <f t="shared" si="0"/>
        <v>1122</v>
      </c>
      <c r="L17" s="480">
        <v>647009</v>
      </c>
      <c r="M17" s="760">
        <f>IF(L17&gt;=L16,L17-L16,0)</f>
        <v>653</v>
      </c>
      <c r="N17" s="480">
        <v>633370</v>
      </c>
      <c r="O17" s="760">
        <f t="shared" si="2"/>
        <v>469</v>
      </c>
      <c r="P17" s="854">
        <v>210693</v>
      </c>
      <c r="Q17" s="760">
        <f t="shared" si="3"/>
        <v>60</v>
      </c>
      <c r="R17" s="480">
        <v>702925</v>
      </c>
      <c r="S17" s="760">
        <f>IF(R17&gt;=R16,R17-R16,0)</f>
        <v>0</v>
      </c>
      <c r="T17" s="480">
        <v>344001</v>
      </c>
      <c r="U17" s="760">
        <f>IF(T17&gt;=T20,T17-T20,0)</f>
        <v>0</v>
      </c>
      <c r="V17" s="854">
        <v>91388</v>
      </c>
      <c r="W17" s="760">
        <f t="shared" si="4"/>
        <v>99</v>
      </c>
      <c r="X17" s="854">
        <v>170001</v>
      </c>
      <c r="Y17" s="760">
        <f t="shared" si="5"/>
        <v>158</v>
      </c>
      <c r="Z17" s="480">
        <v>315108</v>
      </c>
      <c r="AA17" s="760">
        <f t="shared" si="6"/>
        <v>0</v>
      </c>
      <c r="AB17" s="480">
        <v>671730</v>
      </c>
      <c r="AC17" s="760">
        <f t="shared" si="7"/>
        <v>0</v>
      </c>
      <c r="AD17" s="902">
        <v>750552</v>
      </c>
      <c r="AE17" s="760">
        <f t="shared" si="8"/>
        <v>2015.0600000000002</v>
      </c>
      <c r="AF17" s="480">
        <v>706616</v>
      </c>
      <c r="AG17" s="760">
        <f t="shared" si="9"/>
        <v>0</v>
      </c>
      <c r="AH17" s="480">
        <v>204766</v>
      </c>
      <c r="AI17" s="760">
        <f t="shared" si="10"/>
        <v>383.72</v>
      </c>
      <c r="AJ17" s="480">
        <v>276673</v>
      </c>
      <c r="AK17" s="760">
        <f t="shared" si="28"/>
        <v>2061.7000000000003</v>
      </c>
      <c r="AL17" s="760">
        <f t="shared" si="11"/>
        <v>4460.4800000000005</v>
      </c>
      <c r="AM17" s="480">
        <v>6884272</v>
      </c>
      <c r="AN17" s="760">
        <f t="shared" si="12"/>
        <v>8</v>
      </c>
      <c r="AO17" s="480">
        <v>536180</v>
      </c>
      <c r="AP17" s="760">
        <f t="shared" si="13"/>
        <v>1</v>
      </c>
      <c r="AQ17" s="480">
        <v>880868</v>
      </c>
      <c r="AR17" s="760">
        <f t="shared" si="14"/>
        <v>3.19</v>
      </c>
      <c r="AS17" s="480">
        <v>781851</v>
      </c>
      <c r="AT17" s="760">
        <f t="shared" si="15"/>
        <v>22</v>
      </c>
      <c r="AU17" s="480">
        <v>2155233</v>
      </c>
      <c r="AV17" s="760">
        <f t="shared" si="16"/>
        <v>283</v>
      </c>
      <c r="AW17" s="480">
        <v>195115</v>
      </c>
      <c r="AX17" s="760">
        <f t="shared" si="24"/>
        <v>15</v>
      </c>
      <c r="AY17" s="480">
        <v>16722828</v>
      </c>
      <c r="AZ17" s="760">
        <f t="shared" si="17"/>
        <v>1187</v>
      </c>
      <c r="BA17" s="854">
        <v>20246329</v>
      </c>
      <c r="BB17" s="760">
        <f t="shared" si="18"/>
        <v>2641.7</v>
      </c>
      <c r="BC17" s="760">
        <f t="shared" si="19"/>
        <v>4160.8899999999994</v>
      </c>
      <c r="BD17" s="854">
        <v>1323286</v>
      </c>
      <c r="BE17" s="760">
        <f>IF(BD17&gt;=BF16,BD17-BF16,0)</f>
        <v>0</v>
      </c>
      <c r="BF17" s="480">
        <v>3133745</v>
      </c>
      <c r="BG17" s="760">
        <f t="shared" si="21"/>
        <v>733</v>
      </c>
      <c r="BH17" s="480">
        <v>347715</v>
      </c>
      <c r="BI17" s="760">
        <f t="shared" si="22"/>
        <v>63</v>
      </c>
      <c r="BJ17" s="480">
        <v>396372</v>
      </c>
      <c r="BK17" s="760">
        <f t="shared" si="29"/>
        <v>157</v>
      </c>
      <c r="BL17" s="868">
        <f t="shared" si="25"/>
        <v>10233.369999999999</v>
      </c>
      <c r="BM17" s="869"/>
      <c r="BN17" s="868" t="e">
        <f t="shared" si="37"/>
        <v>#DIV/0!</v>
      </c>
      <c r="BO17" s="869"/>
      <c r="BP17" s="868" t="e">
        <f t="shared" si="26"/>
        <v>#DIV/0!</v>
      </c>
      <c r="BQ17" s="868">
        <f>BL17*BS1</f>
        <v>4707.3501999999999</v>
      </c>
      <c r="BR17" s="868" t="e">
        <f>IF(BQ17&gt;0,BQ17/BM16,0)</f>
        <v>#DIV/0!</v>
      </c>
      <c r="BS17" s="870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854">
        <v>20926872</v>
      </c>
      <c r="J18" s="760">
        <f t="shared" si="23"/>
        <v>1989</v>
      </c>
      <c r="K18" s="760">
        <f t="shared" si="0"/>
        <v>1336</v>
      </c>
      <c r="L18" s="854">
        <v>647634</v>
      </c>
      <c r="M18" s="760">
        <f>IF(L18&gt;=L17,L18-L17,0)</f>
        <v>625</v>
      </c>
      <c r="N18" s="854">
        <v>634081</v>
      </c>
      <c r="O18" s="760">
        <f t="shared" si="2"/>
        <v>711</v>
      </c>
      <c r="P18" s="854">
        <v>210694</v>
      </c>
      <c r="Q18" s="760">
        <f t="shared" si="3"/>
        <v>30</v>
      </c>
      <c r="R18" s="480">
        <v>702925</v>
      </c>
      <c r="S18" s="760">
        <f t="shared" si="36"/>
        <v>0</v>
      </c>
      <c r="T18" s="480">
        <v>344001</v>
      </c>
      <c r="U18" s="760">
        <f t="shared" si="4"/>
        <v>0</v>
      </c>
      <c r="V18" s="480">
        <v>91524</v>
      </c>
      <c r="W18" s="760">
        <f t="shared" si="4"/>
        <v>136</v>
      </c>
      <c r="X18" s="480">
        <v>170218</v>
      </c>
      <c r="Y18" s="760">
        <f t="shared" si="5"/>
        <v>217</v>
      </c>
      <c r="Z18" s="480">
        <v>315108</v>
      </c>
      <c r="AA18" s="760">
        <f t="shared" si="6"/>
        <v>0</v>
      </c>
      <c r="AB18" s="480">
        <v>671730</v>
      </c>
      <c r="AC18" s="760">
        <f t="shared" si="7"/>
        <v>0</v>
      </c>
      <c r="AD18" s="902">
        <v>751601</v>
      </c>
      <c r="AE18" s="760">
        <f t="shared" si="8"/>
        <v>555.97</v>
      </c>
      <c r="AF18" s="480">
        <v>708341</v>
      </c>
      <c r="AG18" s="760">
        <f t="shared" si="9"/>
        <v>914.25</v>
      </c>
      <c r="AH18" s="854">
        <v>205196</v>
      </c>
      <c r="AI18" s="760">
        <f t="shared" si="10"/>
        <v>227.9</v>
      </c>
      <c r="AJ18" s="480">
        <v>279154</v>
      </c>
      <c r="AK18" s="760">
        <f t="shared" si="28"/>
        <v>1314.93</v>
      </c>
      <c r="AL18" s="760">
        <f t="shared" si="11"/>
        <v>3013.05</v>
      </c>
      <c r="AM18" s="480">
        <v>6884283</v>
      </c>
      <c r="AN18" s="760">
        <f t="shared" si="12"/>
        <v>11</v>
      </c>
      <c r="AO18" s="854">
        <v>536182</v>
      </c>
      <c r="AP18" s="760">
        <f t="shared" si="13"/>
        <v>2</v>
      </c>
      <c r="AQ18" s="480">
        <v>880901</v>
      </c>
      <c r="AR18" s="760">
        <f t="shared" si="14"/>
        <v>3.63</v>
      </c>
      <c r="AS18" s="480">
        <v>781880</v>
      </c>
      <c r="AT18" s="760">
        <f t="shared" si="15"/>
        <v>29</v>
      </c>
      <c r="AU18" s="854">
        <v>2155531</v>
      </c>
      <c r="AV18" s="760">
        <f t="shared" si="16"/>
        <v>298</v>
      </c>
      <c r="AW18" s="854">
        <v>195115</v>
      </c>
      <c r="AX18" s="760">
        <f t="shared" si="24"/>
        <v>0</v>
      </c>
      <c r="AY18" s="854">
        <v>16724851</v>
      </c>
      <c r="AZ18" s="760">
        <f t="shared" si="17"/>
        <v>2023</v>
      </c>
      <c r="BA18" s="854">
        <v>20250503</v>
      </c>
      <c r="BB18" s="760">
        <f t="shared" si="18"/>
        <v>3427.4</v>
      </c>
      <c r="BC18" s="760">
        <f t="shared" si="19"/>
        <v>5794.0300000000007</v>
      </c>
      <c r="BD18" s="854">
        <v>1323286</v>
      </c>
      <c r="BE18" s="760">
        <f t="shared" si="20"/>
        <v>0</v>
      </c>
      <c r="BF18" s="480">
        <v>3134561</v>
      </c>
      <c r="BG18" s="760">
        <f t="shared" si="21"/>
        <v>816</v>
      </c>
      <c r="BH18" s="480">
        <v>347805</v>
      </c>
      <c r="BI18" s="760">
        <f t="shared" si="22"/>
        <v>90</v>
      </c>
      <c r="BJ18" s="480">
        <v>396584</v>
      </c>
      <c r="BK18" s="760">
        <f t="shared" si="29"/>
        <v>212</v>
      </c>
      <c r="BL18" s="868">
        <f t="shared" si="25"/>
        <v>10826.080000000002</v>
      </c>
      <c r="BM18" s="869"/>
      <c r="BN18" s="868" t="e">
        <f t="shared" si="37"/>
        <v>#DIV/0!</v>
      </c>
      <c r="BO18" s="869"/>
      <c r="BP18" s="868" t="e">
        <f t="shared" si="26"/>
        <v>#DIV/0!</v>
      </c>
      <c r="BQ18" s="868">
        <f>BL18*BS1</f>
        <v>4979.9968000000008</v>
      </c>
      <c r="BR18" s="868" t="e">
        <f>IF(BQ18&gt;0,BQ18/BM17,0)</f>
        <v>#DIV/0!</v>
      </c>
      <c r="BS18" s="870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20928953</v>
      </c>
      <c r="J19" s="760">
        <f t="shared" si="23"/>
        <v>2081</v>
      </c>
      <c r="K19" s="760">
        <f t="shared" si="0"/>
        <v>1361</v>
      </c>
      <c r="L19" s="854">
        <v>648360</v>
      </c>
      <c r="M19" s="760">
        <f t="shared" si="1"/>
        <v>726</v>
      </c>
      <c r="N19" s="854">
        <v>634716</v>
      </c>
      <c r="O19" s="760">
        <f t="shared" si="2"/>
        <v>635</v>
      </c>
      <c r="P19" s="854">
        <v>210695</v>
      </c>
      <c r="Q19" s="760">
        <f t="shared" ref="Q19:Q36" si="38">IF(P19&gt;=P18,P19-P18,0)*30</f>
        <v>30</v>
      </c>
      <c r="R19" s="480">
        <v>702925</v>
      </c>
      <c r="S19" s="760">
        <f t="shared" ref="S19:S36" si="39">IF(R19&gt;=R18,R19-R18,0)</f>
        <v>0</v>
      </c>
      <c r="T19" s="480">
        <v>344001</v>
      </c>
      <c r="U19" s="760">
        <f t="shared" si="4"/>
        <v>0</v>
      </c>
      <c r="V19" s="480">
        <v>91661</v>
      </c>
      <c r="W19" s="760">
        <f t="shared" si="4"/>
        <v>137</v>
      </c>
      <c r="X19" s="480">
        <v>170439</v>
      </c>
      <c r="Y19" s="760">
        <f t="shared" si="5"/>
        <v>221</v>
      </c>
      <c r="Z19" s="480">
        <v>315108</v>
      </c>
      <c r="AA19" s="760">
        <f t="shared" si="6"/>
        <v>0</v>
      </c>
      <c r="AB19" s="480">
        <v>671730</v>
      </c>
      <c r="AC19" s="760">
        <f t="shared" si="7"/>
        <v>0</v>
      </c>
      <c r="AD19" s="854">
        <v>752723</v>
      </c>
      <c r="AE19" s="760">
        <f t="shared" si="8"/>
        <v>594.66000000000008</v>
      </c>
      <c r="AF19" s="480">
        <v>710269</v>
      </c>
      <c r="AG19" s="760">
        <f t="shared" si="9"/>
        <v>1021.84</v>
      </c>
      <c r="AH19" s="854">
        <v>205548</v>
      </c>
      <c r="AI19" s="760">
        <f t="shared" si="10"/>
        <v>186.56</v>
      </c>
      <c r="AJ19" s="480">
        <v>283464</v>
      </c>
      <c r="AK19" s="760">
        <f t="shared" si="28"/>
        <v>2284.3000000000002</v>
      </c>
      <c r="AL19" s="760">
        <f t="shared" si="11"/>
        <v>4087.36</v>
      </c>
      <c r="AM19" s="902">
        <v>6884293</v>
      </c>
      <c r="AN19" s="760">
        <f t="shared" si="12"/>
        <v>10</v>
      </c>
      <c r="AO19" s="480">
        <v>536183</v>
      </c>
      <c r="AP19" s="760">
        <f t="shared" si="13"/>
        <v>1</v>
      </c>
      <c r="AQ19" s="854">
        <v>880948</v>
      </c>
      <c r="AR19" s="760">
        <f t="shared" si="14"/>
        <v>5.17</v>
      </c>
      <c r="AS19" s="480">
        <v>781916</v>
      </c>
      <c r="AT19" s="760">
        <f t="shared" si="15"/>
        <v>36</v>
      </c>
      <c r="AU19" s="854">
        <v>2155832</v>
      </c>
      <c r="AV19" s="760">
        <f t="shared" si="16"/>
        <v>301</v>
      </c>
      <c r="AW19" s="480">
        <v>195116</v>
      </c>
      <c r="AX19" s="760">
        <f t="shared" ref="AX19:AX36" si="40">IF(AW19&gt;=AW18,AW19-AW18,0)</f>
        <v>1</v>
      </c>
      <c r="AY19" s="854">
        <v>16726874</v>
      </c>
      <c r="AZ19" s="760">
        <f t="shared" si="17"/>
        <v>2023</v>
      </c>
      <c r="BA19" s="854">
        <v>20254893</v>
      </c>
      <c r="BB19" s="760">
        <f t="shared" si="18"/>
        <v>3524.3</v>
      </c>
      <c r="BC19" s="760">
        <f t="shared" si="19"/>
        <v>5901.47</v>
      </c>
      <c r="BD19" s="854">
        <v>1323286</v>
      </c>
      <c r="BE19" s="760">
        <f t="shared" si="20"/>
        <v>0</v>
      </c>
      <c r="BF19" s="480">
        <v>3135623</v>
      </c>
      <c r="BG19" s="760">
        <f t="shared" si="21"/>
        <v>1062</v>
      </c>
      <c r="BH19" s="902">
        <v>347882</v>
      </c>
      <c r="BI19" s="760">
        <f t="shared" si="22"/>
        <v>77</v>
      </c>
      <c r="BJ19" s="854">
        <v>396774</v>
      </c>
      <c r="BK19" s="760">
        <f t="shared" si="29"/>
        <v>190</v>
      </c>
      <c r="BL19" s="868">
        <f t="shared" si="25"/>
        <v>12099.830000000002</v>
      </c>
      <c r="BM19" s="902"/>
      <c r="BN19" s="868" t="e">
        <f t="shared" si="37"/>
        <v>#DIV/0!</v>
      </c>
      <c r="BO19" s="869"/>
      <c r="BP19" s="868" t="e">
        <f t="shared" si="26"/>
        <v>#DIV/0!</v>
      </c>
      <c r="BQ19" s="868">
        <f>BL19*BS1</f>
        <v>5565.921800000001</v>
      </c>
      <c r="BR19" s="868" t="e">
        <f>IF(BQ19&gt;0,BQ19/BM18,0)</f>
        <v>#DIV/0!</v>
      </c>
      <c r="BS19" s="870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20930749</v>
      </c>
      <c r="J20" s="760">
        <f t="shared" si="23"/>
        <v>1796</v>
      </c>
      <c r="K20" s="760">
        <f t="shared" si="0"/>
        <v>1328</v>
      </c>
      <c r="L20" s="854">
        <v>648989</v>
      </c>
      <c r="M20" s="760">
        <f t="shared" si="1"/>
        <v>629</v>
      </c>
      <c r="N20" s="480">
        <v>635415</v>
      </c>
      <c r="O20" s="760">
        <f t="shared" si="2"/>
        <v>699</v>
      </c>
      <c r="P20" s="854">
        <v>210697</v>
      </c>
      <c r="Q20" s="760">
        <f t="shared" si="38"/>
        <v>60</v>
      </c>
      <c r="R20" s="480">
        <v>702925</v>
      </c>
      <c r="S20" s="760">
        <f t="shared" si="39"/>
        <v>0</v>
      </c>
      <c r="T20" s="480">
        <v>344001</v>
      </c>
      <c r="U20" s="760">
        <f t="shared" si="4"/>
        <v>0</v>
      </c>
      <c r="V20" s="480">
        <v>91776</v>
      </c>
      <c r="W20" s="760">
        <f t="shared" si="4"/>
        <v>115</v>
      </c>
      <c r="X20" s="480">
        <v>170637</v>
      </c>
      <c r="Y20" s="760">
        <f t="shared" si="5"/>
        <v>198</v>
      </c>
      <c r="Z20" s="480">
        <v>315108</v>
      </c>
      <c r="AA20" s="760">
        <f t="shared" si="6"/>
        <v>0</v>
      </c>
      <c r="AB20" s="480">
        <v>671730</v>
      </c>
      <c r="AC20" s="760">
        <f t="shared" si="7"/>
        <v>0</v>
      </c>
      <c r="AD20" s="854">
        <v>752791</v>
      </c>
      <c r="AE20" s="760">
        <f t="shared" si="8"/>
        <v>36.04</v>
      </c>
      <c r="AF20" s="480">
        <v>713327</v>
      </c>
      <c r="AG20" s="760">
        <f t="shared" si="9"/>
        <v>1620.74</v>
      </c>
      <c r="AH20" s="480">
        <v>205989</v>
      </c>
      <c r="AI20" s="760">
        <f t="shared" si="10"/>
        <v>233.73000000000002</v>
      </c>
      <c r="AJ20" s="480">
        <v>286921</v>
      </c>
      <c r="AK20" s="760">
        <f t="shared" si="28"/>
        <v>1832.21</v>
      </c>
      <c r="AL20" s="760">
        <f t="shared" si="11"/>
        <v>3722.7200000000003</v>
      </c>
      <c r="AM20" s="480">
        <v>6884303</v>
      </c>
      <c r="AN20" s="760">
        <f t="shared" si="12"/>
        <v>10</v>
      </c>
      <c r="AO20" s="480">
        <v>536185</v>
      </c>
      <c r="AP20" s="760">
        <f t="shared" si="13"/>
        <v>2</v>
      </c>
      <c r="AQ20" s="480">
        <v>880981</v>
      </c>
      <c r="AR20" s="760">
        <f t="shared" si="14"/>
        <v>3.63</v>
      </c>
      <c r="AS20" s="480">
        <v>781945</v>
      </c>
      <c r="AT20" s="760">
        <f t="shared" si="15"/>
        <v>29</v>
      </c>
      <c r="AU20" s="480">
        <v>2156132</v>
      </c>
      <c r="AV20" s="760">
        <f t="shared" si="16"/>
        <v>300</v>
      </c>
      <c r="AW20" s="480">
        <v>195116</v>
      </c>
      <c r="AX20" s="760">
        <f t="shared" si="40"/>
        <v>0</v>
      </c>
      <c r="AY20" s="480">
        <v>16728500</v>
      </c>
      <c r="AZ20" s="760">
        <f t="shared" si="17"/>
        <v>1626</v>
      </c>
      <c r="BA20" s="854">
        <v>20258705</v>
      </c>
      <c r="BB20" s="760">
        <f t="shared" si="18"/>
        <v>3008.6</v>
      </c>
      <c r="BC20" s="760">
        <f t="shared" si="19"/>
        <v>4979.2299999999996</v>
      </c>
      <c r="BD20" s="854">
        <v>1323286</v>
      </c>
      <c r="BE20" s="760">
        <f t="shared" si="20"/>
        <v>0</v>
      </c>
      <c r="BF20" s="480">
        <v>3136612</v>
      </c>
      <c r="BG20" s="760">
        <f t="shared" si="21"/>
        <v>989</v>
      </c>
      <c r="BH20" s="480">
        <v>347956</v>
      </c>
      <c r="BI20" s="760">
        <f t="shared" si="22"/>
        <v>74</v>
      </c>
      <c r="BJ20" s="480">
        <v>396947</v>
      </c>
      <c r="BK20" s="760">
        <f t="shared" si="29"/>
        <v>173</v>
      </c>
      <c r="BL20" s="868">
        <f t="shared" si="25"/>
        <v>10557.95</v>
      </c>
      <c r="BM20" s="869"/>
      <c r="BN20" s="868" t="e">
        <f t="shared" ref="BN20:BN36" si="41">IF(BL20&gt;0,BL20/BM20,0)</f>
        <v>#DIV/0!</v>
      </c>
      <c r="BO20" s="869"/>
      <c r="BP20" s="868" t="e">
        <f t="shared" si="26"/>
        <v>#DIV/0!</v>
      </c>
      <c r="BQ20" s="868">
        <f>BL20*BS1</f>
        <v>4856.6570000000002</v>
      </c>
      <c r="BR20" s="868" t="e">
        <f t="shared" ref="BR20:BR36" si="42">IF(BQ20&gt;0,BQ20/BM20,0)</f>
        <v>#DIV/0!</v>
      </c>
      <c r="BS20" s="870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854">
        <v>20932550</v>
      </c>
      <c r="J21" s="760">
        <f t="shared" si="23"/>
        <v>1801</v>
      </c>
      <c r="K21" s="760">
        <f t="shared" si="0"/>
        <v>1379</v>
      </c>
      <c r="L21" s="480">
        <v>649619</v>
      </c>
      <c r="M21" s="760">
        <f t="shared" si="1"/>
        <v>630</v>
      </c>
      <c r="N21" s="480">
        <v>636164</v>
      </c>
      <c r="O21" s="760">
        <f t="shared" si="2"/>
        <v>749</v>
      </c>
      <c r="P21" s="854">
        <v>210700</v>
      </c>
      <c r="Q21" s="760">
        <f t="shared" si="38"/>
        <v>90</v>
      </c>
      <c r="R21" s="480">
        <v>702925</v>
      </c>
      <c r="S21" s="760">
        <f t="shared" si="39"/>
        <v>0</v>
      </c>
      <c r="T21" s="480">
        <v>344001</v>
      </c>
      <c r="U21" s="760">
        <f t="shared" ref="U21:U25" si="43">IF(T21&gt;=T20,T21-T20,0)</f>
        <v>0</v>
      </c>
      <c r="V21" s="480">
        <v>91884</v>
      </c>
      <c r="W21" s="760">
        <f t="shared" ref="W21:W36" si="44">IF(V21&gt;=V20,V21-V20,0)</f>
        <v>108</v>
      </c>
      <c r="X21" s="854">
        <v>170825</v>
      </c>
      <c r="Y21" s="760">
        <f t="shared" si="5"/>
        <v>188</v>
      </c>
      <c r="Z21" s="480">
        <v>315108</v>
      </c>
      <c r="AA21" s="760">
        <f t="shared" si="6"/>
        <v>0</v>
      </c>
      <c r="AB21" s="854">
        <v>671730</v>
      </c>
      <c r="AC21" s="760">
        <f>IF(AB21&gt;=AB20,AB21-AB20,0)*0.53</f>
        <v>0</v>
      </c>
      <c r="AD21" s="854">
        <v>757497</v>
      </c>
      <c r="AE21" s="760">
        <f t="shared" si="8"/>
        <v>2494.1800000000003</v>
      </c>
      <c r="AF21" s="480">
        <v>713327</v>
      </c>
      <c r="AG21" s="760">
        <f t="shared" si="9"/>
        <v>0</v>
      </c>
      <c r="AH21" s="480">
        <v>206711</v>
      </c>
      <c r="AI21" s="760">
        <f t="shared" si="10"/>
        <v>382.66</v>
      </c>
      <c r="AJ21" s="480">
        <v>291110</v>
      </c>
      <c r="AK21" s="760">
        <f t="shared" si="28"/>
        <v>2220.17</v>
      </c>
      <c r="AL21" s="760">
        <f t="shared" si="11"/>
        <v>5097.01</v>
      </c>
      <c r="AM21" s="480">
        <v>6884318</v>
      </c>
      <c r="AN21" s="760">
        <f t="shared" si="12"/>
        <v>15</v>
      </c>
      <c r="AO21" s="480">
        <v>536187</v>
      </c>
      <c r="AP21" s="760">
        <f t="shared" si="13"/>
        <v>2</v>
      </c>
      <c r="AQ21" s="480">
        <v>881016</v>
      </c>
      <c r="AR21" s="760">
        <f t="shared" si="14"/>
        <v>3.85</v>
      </c>
      <c r="AS21" s="480">
        <v>781973</v>
      </c>
      <c r="AT21" s="760">
        <f t="shared" si="15"/>
        <v>28</v>
      </c>
      <c r="AU21" s="480">
        <v>2156460</v>
      </c>
      <c r="AV21" s="760">
        <f t="shared" si="16"/>
        <v>328</v>
      </c>
      <c r="AW21" s="854">
        <v>195116</v>
      </c>
      <c r="AX21" s="760">
        <f t="shared" si="40"/>
        <v>0</v>
      </c>
      <c r="AY21" s="854">
        <v>16730236</v>
      </c>
      <c r="AZ21" s="760">
        <f t="shared" si="17"/>
        <v>1736</v>
      </c>
      <c r="BA21" s="854">
        <v>20262750</v>
      </c>
      <c r="BB21" s="760">
        <f t="shared" si="18"/>
        <v>3192.1</v>
      </c>
      <c r="BC21" s="760">
        <f t="shared" si="19"/>
        <v>5304.95</v>
      </c>
      <c r="BD21" s="854">
        <v>1323286</v>
      </c>
      <c r="BE21" s="760">
        <f t="shared" si="20"/>
        <v>0</v>
      </c>
      <c r="BF21" s="480">
        <v>3137666</v>
      </c>
      <c r="BG21" s="760">
        <f t="shared" si="21"/>
        <v>1054</v>
      </c>
      <c r="BH21" s="480">
        <v>348029</v>
      </c>
      <c r="BI21" s="760">
        <f t="shared" si="22"/>
        <v>73</v>
      </c>
      <c r="BJ21" s="480">
        <v>397131</v>
      </c>
      <c r="BK21" s="760">
        <f t="shared" si="29"/>
        <v>184</v>
      </c>
      <c r="BL21" s="868">
        <f t="shared" si="25"/>
        <v>12292.96</v>
      </c>
      <c r="BM21" s="869"/>
      <c r="BN21" s="868" t="e">
        <f t="shared" si="41"/>
        <v>#DIV/0!</v>
      </c>
      <c r="BO21" s="869"/>
      <c r="BP21" s="868" t="e">
        <f t="shared" si="26"/>
        <v>#DIV/0!</v>
      </c>
      <c r="BQ21" s="868">
        <f>BL21*BS1</f>
        <v>5654.7615999999998</v>
      </c>
      <c r="BR21" s="868" t="e">
        <f t="shared" si="42"/>
        <v>#DIV/0!</v>
      </c>
      <c r="BS21" s="870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4">
        <v>20935088</v>
      </c>
      <c r="J22" s="760">
        <f t="shared" si="23"/>
        <v>2538</v>
      </c>
      <c r="K22" s="760">
        <f t="shared" si="0"/>
        <v>967</v>
      </c>
      <c r="L22" s="854">
        <v>650171</v>
      </c>
      <c r="M22" s="760">
        <f t="shared" si="1"/>
        <v>552</v>
      </c>
      <c r="N22" s="480">
        <v>636579</v>
      </c>
      <c r="O22" s="760">
        <f t="shared" si="2"/>
        <v>415</v>
      </c>
      <c r="P22" s="854">
        <v>210704</v>
      </c>
      <c r="Q22" s="760">
        <f t="shared" si="38"/>
        <v>120</v>
      </c>
      <c r="R22" s="480">
        <v>702925</v>
      </c>
      <c r="S22" s="760">
        <f t="shared" si="39"/>
        <v>0</v>
      </c>
      <c r="T22" s="480">
        <v>344001</v>
      </c>
      <c r="U22" s="760">
        <f t="shared" si="43"/>
        <v>0</v>
      </c>
      <c r="V22" s="480">
        <v>92015</v>
      </c>
      <c r="W22" s="760">
        <f t="shared" si="44"/>
        <v>131</v>
      </c>
      <c r="X22" s="480">
        <v>171046</v>
      </c>
      <c r="Y22" s="760">
        <f t="shared" si="5"/>
        <v>221</v>
      </c>
      <c r="Z22" s="480">
        <v>315108</v>
      </c>
      <c r="AA22" s="760">
        <f t="shared" si="6"/>
        <v>0</v>
      </c>
      <c r="AB22" s="854">
        <v>671730</v>
      </c>
      <c r="AC22" s="760">
        <f>IF(AB22&gt;=AB21,AB22-AB21,0)*0.53</f>
        <v>0</v>
      </c>
      <c r="AD22" s="902">
        <v>762245</v>
      </c>
      <c r="AE22" s="760">
        <f t="shared" si="8"/>
        <v>2516.44</v>
      </c>
      <c r="AF22" s="480">
        <v>714945</v>
      </c>
      <c r="AG22" s="760">
        <f t="shared" si="9"/>
        <v>857.54000000000008</v>
      </c>
      <c r="AH22" s="854">
        <v>207229</v>
      </c>
      <c r="AI22" s="760">
        <f t="shared" si="10"/>
        <v>274.54000000000002</v>
      </c>
      <c r="AJ22" s="854">
        <v>295198</v>
      </c>
      <c r="AK22" s="760">
        <f t="shared" si="28"/>
        <v>2166.6400000000003</v>
      </c>
      <c r="AL22" s="760">
        <f t="shared" si="11"/>
        <v>5815.16</v>
      </c>
      <c r="AM22" s="480">
        <v>6884330</v>
      </c>
      <c r="AN22" s="760">
        <f t="shared" si="12"/>
        <v>12</v>
      </c>
      <c r="AO22" s="480">
        <v>536189</v>
      </c>
      <c r="AP22" s="760">
        <f t="shared" si="13"/>
        <v>2</v>
      </c>
      <c r="AQ22" s="480">
        <v>881040</v>
      </c>
      <c r="AR22" s="760">
        <f t="shared" si="14"/>
        <v>2.64</v>
      </c>
      <c r="AS22" s="480">
        <v>782007</v>
      </c>
      <c r="AT22" s="760">
        <f t="shared" si="15"/>
        <v>34</v>
      </c>
      <c r="AU22" s="480">
        <v>2156808</v>
      </c>
      <c r="AV22" s="760">
        <f t="shared" si="16"/>
        <v>348</v>
      </c>
      <c r="AW22" s="480">
        <v>195116</v>
      </c>
      <c r="AX22" s="760">
        <f t="shared" si="40"/>
        <v>0</v>
      </c>
      <c r="AY22" s="854">
        <v>16732117</v>
      </c>
      <c r="AZ22" s="760">
        <f t="shared" si="17"/>
        <v>1881</v>
      </c>
      <c r="BA22" s="854">
        <v>20268022</v>
      </c>
      <c r="BB22" s="760">
        <f t="shared" si="18"/>
        <v>4227.5</v>
      </c>
      <c r="BC22" s="760">
        <f t="shared" si="19"/>
        <v>6507.1399999999994</v>
      </c>
      <c r="BD22" s="854">
        <v>1323286</v>
      </c>
      <c r="BE22" s="760">
        <f t="shared" si="20"/>
        <v>0</v>
      </c>
      <c r="BF22" s="480">
        <v>3139046</v>
      </c>
      <c r="BG22" s="760">
        <f t="shared" si="21"/>
        <v>1380</v>
      </c>
      <c r="BH22" s="480">
        <v>348112</v>
      </c>
      <c r="BI22" s="760">
        <f t="shared" si="22"/>
        <v>83</v>
      </c>
      <c r="BJ22" s="854">
        <v>397306</v>
      </c>
      <c r="BK22" s="760">
        <f t="shared" si="29"/>
        <v>175</v>
      </c>
      <c r="BL22" s="868">
        <f t="shared" si="25"/>
        <v>14980.3</v>
      </c>
      <c r="BM22" s="869"/>
      <c r="BN22" s="868" t="e">
        <f t="shared" si="41"/>
        <v>#DIV/0!</v>
      </c>
      <c r="BO22" s="869"/>
      <c r="BP22" s="868" t="e">
        <f t="shared" si="26"/>
        <v>#DIV/0!</v>
      </c>
      <c r="BQ22" s="868">
        <f>BL22*BS1</f>
        <v>6890.9380000000001</v>
      </c>
      <c r="BR22" s="868" t="e">
        <f t="shared" si="42"/>
        <v>#DIV/0!</v>
      </c>
      <c r="BS22" s="870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20936488</v>
      </c>
      <c r="J23" s="760">
        <f t="shared" si="23"/>
        <v>1400</v>
      </c>
      <c r="K23" s="760">
        <f t="shared" si="0"/>
        <v>1300</v>
      </c>
      <c r="L23" s="480">
        <v>650871</v>
      </c>
      <c r="M23" s="760">
        <f t="shared" si="1"/>
        <v>700</v>
      </c>
      <c r="N23" s="480">
        <v>637179</v>
      </c>
      <c r="O23" s="760">
        <f t="shared" si="2"/>
        <v>600</v>
      </c>
      <c r="P23" s="854">
        <v>210707</v>
      </c>
      <c r="Q23" s="760">
        <f t="shared" si="38"/>
        <v>90</v>
      </c>
      <c r="R23" s="480">
        <v>702925</v>
      </c>
      <c r="S23" s="760">
        <f t="shared" si="39"/>
        <v>0</v>
      </c>
      <c r="T23" s="480">
        <v>344001</v>
      </c>
      <c r="U23" s="760">
        <f t="shared" si="43"/>
        <v>0</v>
      </c>
      <c r="V23" s="480">
        <v>92148</v>
      </c>
      <c r="W23" s="760">
        <f t="shared" si="44"/>
        <v>133</v>
      </c>
      <c r="X23" s="480">
        <v>171246</v>
      </c>
      <c r="Y23" s="760">
        <f t="shared" si="5"/>
        <v>200</v>
      </c>
      <c r="Z23" s="480">
        <v>315108</v>
      </c>
      <c r="AA23" s="760">
        <f t="shared" si="6"/>
        <v>0</v>
      </c>
      <c r="AB23" s="480">
        <v>671730</v>
      </c>
      <c r="AC23" s="760">
        <f>IF(AB23&gt;=AB22,AB23-AB22,0)*0.53</f>
        <v>0</v>
      </c>
      <c r="AD23" s="902">
        <v>762245</v>
      </c>
      <c r="AE23" s="760">
        <f t="shared" si="8"/>
        <v>0</v>
      </c>
      <c r="AF23" s="480">
        <v>714945</v>
      </c>
      <c r="AG23" s="760">
        <f t="shared" si="9"/>
        <v>0</v>
      </c>
      <c r="AH23" s="480">
        <v>207829</v>
      </c>
      <c r="AI23" s="760">
        <f t="shared" si="10"/>
        <v>318</v>
      </c>
      <c r="AJ23" s="480">
        <v>298598</v>
      </c>
      <c r="AK23" s="760">
        <f t="shared" si="28"/>
        <v>1802</v>
      </c>
      <c r="AL23" s="760">
        <f t="shared" si="11"/>
        <v>2120</v>
      </c>
      <c r="AM23" s="480">
        <v>6884338</v>
      </c>
      <c r="AN23" s="760">
        <f t="shared" si="12"/>
        <v>8</v>
      </c>
      <c r="AO23" s="480">
        <v>536191</v>
      </c>
      <c r="AP23" s="760">
        <f t="shared" si="13"/>
        <v>2</v>
      </c>
      <c r="AQ23" s="480">
        <v>881091</v>
      </c>
      <c r="AR23" s="760">
        <f t="shared" si="14"/>
        <v>5.61</v>
      </c>
      <c r="AS23" s="480">
        <v>782037</v>
      </c>
      <c r="AT23" s="760">
        <f t="shared" si="15"/>
        <v>30</v>
      </c>
      <c r="AU23" s="480">
        <v>2157068</v>
      </c>
      <c r="AV23" s="760">
        <f t="shared" si="16"/>
        <v>260</v>
      </c>
      <c r="AW23" s="854">
        <v>195116</v>
      </c>
      <c r="AX23" s="760">
        <f t="shared" si="40"/>
        <v>0</v>
      </c>
      <c r="AY23" s="854">
        <v>16733717</v>
      </c>
      <c r="AZ23" s="760">
        <f t="shared" si="17"/>
        <v>1600</v>
      </c>
      <c r="BA23" s="854">
        <v>20271022</v>
      </c>
      <c r="BB23" s="760">
        <f t="shared" si="18"/>
        <v>2285</v>
      </c>
      <c r="BC23" s="760">
        <f t="shared" si="19"/>
        <v>4190.6100000000006</v>
      </c>
      <c r="BD23" s="854">
        <v>1323286</v>
      </c>
      <c r="BE23" s="760">
        <f t="shared" si="20"/>
        <v>0</v>
      </c>
      <c r="BF23" s="480">
        <v>3139846</v>
      </c>
      <c r="BG23" s="760">
        <f t="shared" si="21"/>
        <v>800</v>
      </c>
      <c r="BH23" s="480">
        <v>348182</v>
      </c>
      <c r="BI23" s="760">
        <f t="shared" si="22"/>
        <v>70</v>
      </c>
      <c r="BJ23" s="854">
        <v>397506</v>
      </c>
      <c r="BK23" s="760">
        <f t="shared" si="29"/>
        <v>200</v>
      </c>
      <c r="BL23" s="868">
        <f t="shared" si="25"/>
        <v>7800.6100000000006</v>
      </c>
      <c r="BM23" s="869"/>
      <c r="BN23" s="868" t="e">
        <f t="shared" si="41"/>
        <v>#DIV/0!</v>
      </c>
      <c r="BO23" s="869"/>
      <c r="BP23" s="868" t="e">
        <f t="shared" si="26"/>
        <v>#DIV/0!</v>
      </c>
      <c r="BQ23" s="868">
        <f>BL23*BS1</f>
        <v>3588.2806000000005</v>
      </c>
      <c r="BR23" s="868" t="e">
        <f t="shared" si="42"/>
        <v>#DIV/0!</v>
      </c>
      <c r="BS23" s="870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854">
        <v>20938357</v>
      </c>
      <c r="J24" s="760">
        <f t="shared" si="23"/>
        <v>1869</v>
      </c>
      <c r="K24" s="760">
        <f t="shared" si="0"/>
        <v>1475</v>
      </c>
      <c r="L24" s="480">
        <v>651613</v>
      </c>
      <c r="M24" s="760">
        <f t="shared" si="1"/>
        <v>742</v>
      </c>
      <c r="N24" s="854">
        <v>637912</v>
      </c>
      <c r="O24" s="760">
        <f t="shared" si="2"/>
        <v>733</v>
      </c>
      <c r="P24" s="854">
        <v>210710</v>
      </c>
      <c r="Q24" s="760">
        <f>IF(P24&gt;=P23,P24-P23,0)*30</f>
        <v>90</v>
      </c>
      <c r="R24" s="480">
        <v>702925</v>
      </c>
      <c r="S24" s="760">
        <f t="shared" si="39"/>
        <v>0</v>
      </c>
      <c r="T24" s="480">
        <v>344001</v>
      </c>
      <c r="U24" s="760">
        <f t="shared" si="43"/>
        <v>0</v>
      </c>
      <c r="V24" s="480">
        <v>92270</v>
      </c>
      <c r="W24" s="760">
        <f t="shared" si="44"/>
        <v>122</v>
      </c>
      <c r="X24" s="480">
        <v>171447</v>
      </c>
      <c r="Y24" s="760">
        <f t="shared" si="5"/>
        <v>201</v>
      </c>
      <c r="Z24" s="480">
        <v>315108</v>
      </c>
      <c r="AA24" s="760">
        <f t="shared" si="6"/>
        <v>0</v>
      </c>
      <c r="AB24" s="480">
        <v>671730</v>
      </c>
      <c r="AC24" s="760">
        <f t="shared" si="7"/>
        <v>0</v>
      </c>
      <c r="AD24" s="480">
        <v>767090</v>
      </c>
      <c r="AE24" s="760">
        <f t="shared" si="8"/>
        <v>2567.85</v>
      </c>
      <c r="AF24" s="480">
        <v>714945</v>
      </c>
      <c r="AG24" s="760">
        <f t="shared" si="9"/>
        <v>0</v>
      </c>
      <c r="AH24" s="480">
        <v>208707</v>
      </c>
      <c r="AI24" s="760">
        <f t="shared" si="10"/>
        <v>465.34000000000003</v>
      </c>
      <c r="AJ24" s="480">
        <v>303488</v>
      </c>
      <c r="AK24" s="760">
        <f t="shared" si="28"/>
        <v>2591.7000000000003</v>
      </c>
      <c r="AL24" s="760">
        <f t="shared" si="11"/>
        <v>5624.89</v>
      </c>
      <c r="AM24" s="480">
        <v>6884359</v>
      </c>
      <c r="AN24" s="760">
        <f t="shared" si="12"/>
        <v>21</v>
      </c>
      <c r="AO24" s="480">
        <v>536194</v>
      </c>
      <c r="AP24" s="760">
        <f t="shared" si="13"/>
        <v>3</v>
      </c>
      <c r="AQ24" s="480">
        <v>881128</v>
      </c>
      <c r="AR24" s="760">
        <f t="shared" si="14"/>
        <v>4.07</v>
      </c>
      <c r="AS24" s="480">
        <v>782069</v>
      </c>
      <c r="AT24" s="760">
        <f t="shared" si="15"/>
        <v>32</v>
      </c>
      <c r="AU24" s="480">
        <v>2157447</v>
      </c>
      <c r="AV24" s="760">
        <f t="shared" si="16"/>
        <v>379</v>
      </c>
      <c r="AW24" s="480">
        <v>195116</v>
      </c>
      <c r="AX24" s="760">
        <f t="shared" si="40"/>
        <v>0</v>
      </c>
      <c r="AY24" s="480">
        <v>16735590</v>
      </c>
      <c r="AZ24" s="760">
        <f t="shared" si="17"/>
        <v>1873</v>
      </c>
      <c r="BA24" s="854">
        <v>20275231</v>
      </c>
      <c r="BB24" s="760">
        <f t="shared" si="18"/>
        <v>3299.8</v>
      </c>
      <c r="BC24" s="760">
        <f t="shared" si="19"/>
        <v>5611.8700000000008</v>
      </c>
      <c r="BD24" s="854">
        <v>1323286</v>
      </c>
      <c r="BE24" s="760">
        <f t="shared" si="20"/>
        <v>0</v>
      </c>
      <c r="BF24" s="480">
        <v>3140983</v>
      </c>
      <c r="BG24" s="760">
        <f t="shared" si="21"/>
        <v>1137</v>
      </c>
      <c r="BH24" s="480">
        <v>348256</v>
      </c>
      <c r="BI24" s="760">
        <f t="shared" si="22"/>
        <v>74</v>
      </c>
      <c r="BJ24" s="480">
        <v>397696</v>
      </c>
      <c r="BK24" s="760">
        <f t="shared" si="29"/>
        <v>190</v>
      </c>
      <c r="BL24" s="868">
        <f t="shared" si="25"/>
        <v>13195.760000000002</v>
      </c>
      <c r="BM24" s="869"/>
      <c r="BN24" s="868" t="e">
        <f t="shared" si="41"/>
        <v>#DIV/0!</v>
      </c>
      <c r="BO24" s="869"/>
      <c r="BP24" s="868" t="e">
        <f t="shared" si="26"/>
        <v>#DIV/0!</v>
      </c>
      <c r="BQ24" s="868">
        <f>BL24*BS1</f>
        <v>6070.0496000000012</v>
      </c>
      <c r="BR24" s="868" t="e">
        <f t="shared" si="42"/>
        <v>#DIV/0!</v>
      </c>
      <c r="BS24" s="870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20940346</v>
      </c>
      <c r="J25" s="760">
        <f t="shared" si="23"/>
        <v>1989</v>
      </c>
      <c r="K25" s="760">
        <f t="shared" si="0"/>
        <v>1026</v>
      </c>
      <c r="L25" s="480">
        <v>652121</v>
      </c>
      <c r="M25" s="760">
        <f t="shared" si="1"/>
        <v>508</v>
      </c>
      <c r="N25" s="480">
        <v>638430</v>
      </c>
      <c r="O25" s="760">
        <f t="shared" si="2"/>
        <v>518</v>
      </c>
      <c r="P25" s="854">
        <v>210713</v>
      </c>
      <c r="Q25" s="760">
        <f t="shared" si="38"/>
        <v>90</v>
      </c>
      <c r="R25" s="480">
        <v>702925</v>
      </c>
      <c r="S25" s="760">
        <f t="shared" si="39"/>
        <v>0</v>
      </c>
      <c r="T25" s="480">
        <v>344001</v>
      </c>
      <c r="U25" s="760">
        <f t="shared" si="43"/>
        <v>0</v>
      </c>
      <c r="V25" s="480">
        <v>92414</v>
      </c>
      <c r="W25" s="760">
        <f t="shared" si="44"/>
        <v>144</v>
      </c>
      <c r="X25" s="480">
        <v>171682</v>
      </c>
      <c r="Y25" s="760">
        <f t="shared" si="5"/>
        <v>235</v>
      </c>
      <c r="Z25" s="480">
        <v>315108</v>
      </c>
      <c r="AA25" s="760">
        <f t="shared" si="6"/>
        <v>0</v>
      </c>
      <c r="AB25" s="854">
        <v>671730</v>
      </c>
      <c r="AC25" s="760">
        <f t="shared" si="7"/>
        <v>0</v>
      </c>
      <c r="AD25" s="902">
        <v>769991</v>
      </c>
      <c r="AE25" s="760">
        <f t="shared" si="8"/>
        <v>1537.53</v>
      </c>
      <c r="AF25" s="480">
        <v>714945</v>
      </c>
      <c r="AG25" s="760">
        <f t="shared" si="9"/>
        <v>0</v>
      </c>
      <c r="AH25" s="480">
        <v>209138</v>
      </c>
      <c r="AI25" s="760">
        <f t="shared" si="10"/>
        <v>228.43</v>
      </c>
      <c r="AJ25" s="480">
        <v>306312</v>
      </c>
      <c r="AK25" s="760">
        <f t="shared" si="28"/>
        <v>1496.72</v>
      </c>
      <c r="AL25" s="760">
        <f t="shared" si="11"/>
        <v>3262.6800000000003</v>
      </c>
      <c r="AM25" s="480">
        <v>6884369</v>
      </c>
      <c r="AN25" s="760">
        <f t="shared" si="12"/>
        <v>10</v>
      </c>
      <c r="AO25" s="854">
        <v>536195</v>
      </c>
      <c r="AP25" s="760">
        <f>IF(AO25&gt;=AO24,AO25-AO24,0)</f>
        <v>1</v>
      </c>
      <c r="AQ25" s="480">
        <v>881169</v>
      </c>
      <c r="AR25" s="760">
        <f t="shared" si="14"/>
        <v>4.51</v>
      </c>
      <c r="AS25" s="480">
        <v>782093</v>
      </c>
      <c r="AT25" s="760">
        <f t="shared" si="15"/>
        <v>24</v>
      </c>
      <c r="AU25" s="480">
        <v>2157709</v>
      </c>
      <c r="AV25" s="760">
        <f t="shared" si="16"/>
        <v>262</v>
      </c>
      <c r="AW25" s="854">
        <v>195116</v>
      </c>
      <c r="AX25" s="760">
        <f t="shared" si="40"/>
        <v>0</v>
      </c>
      <c r="AY25" s="480">
        <v>16736982</v>
      </c>
      <c r="AZ25" s="760">
        <f t="shared" si="17"/>
        <v>1392</v>
      </c>
      <c r="BA25" s="854">
        <v>20279667</v>
      </c>
      <c r="BB25" s="760">
        <f t="shared" si="18"/>
        <v>3465.4</v>
      </c>
      <c r="BC25" s="760">
        <f t="shared" si="19"/>
        <v>5158.91</v>
      </c>
      <c r="BD25" s="854">
        <v>1323286</v>
      </c>
      <c r="BE25" s="760">
        <f t="shared" si="20"/>
        <v>0</v>
      </c>
      <c r="BF25" s="480">
        <v>3142189</v>
      </c>
      <c r="BG25" s="760">
        <f t="shared" si="21"/>
        <v>1206</v>
      </c>
      <c r="BH25" s="480">
        <v>348340</v>
      </c>
      <c r="BI25" s="760">
        <f t="shared" si="22"/>
        <v>84</v>
      </c>
      <c r="BJ25" s="480">
        <v>397901</v>
      </c>
      <c r="BK25" s="760">
        <f t="shared" si="29"/>
        <v>205</v>
      </c>
      <c r="BL25" s="868">
        <f t="shared" si="25"/>
        <v>10500.59</v>
      </c>
      <c r="BM25" s="869"/>
      <c r="BN25" s="868" t="e">
        <f t="shared" si="41"/>
        <v>#DIV/0!</v>
      </c>
      <c r="BO25" s="869"/>
      <c r="BP25" s="868" t="e">
        <f t="shared" si="26"/>
        <v>#DIV/0!</v>
      </c>
      <c r="BQ25" s="868">
        <f>BL25*BS1</f>
        <v>4830.2714000000005</v>
      </c>
      <c r="BR25" s="868" t="e">
        <f t="shared" si="42"/>
        <v>#DIV/0!</v>
      </c>
      <c r="BS25" s="870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854">
        <v>20942692</v>
      </c>
      <c r="J26" s="760">
        <f t="shared" si="23"/>
        <v>2346</v>
      </c>
      <c r="K26" s="760">
        <f t="shared" si="0"/>
        <v>1677</v>
      </c>
      <c r="L26" s="480">
        <v>652920</v>
      </c>
      <c r="M26" s="760">
        <f t="shared" si="1"/>
        <v>799</v>
      </c>
      <c r="N26" s="854">
        <v>639308</v>
      </c>
      <c r="O26" s="760">
        <f t="shared" si="2"/>
        <v>878</v>
      </c>
      <c r="P26" s="854">
        <v>210717</v>
      </c>
      <c r="Q26" s="760">
        <f t="shared" si="38"/>
        <v>120</v>
      </c>
      <c r="R26" s="480">
        <v>702925</v>
      </c>
      <c r="S26" s="760">
        <f t="shared" si="39"/>
        <v>0</v>
      </c>
      <c r="T26" s="480">
        <v>344001</v>
      </c>
      <c r="U26" s="760">
        <f t="shared" ref="U26:U36" si="45">IF(T26&gt;=T25,T26-T25,0)</f>
        <v>0</v>
      </c>
      <c r="V26" s="480">
        <v>92579</v>
      </c>
      <c r="W26" s="760">
        <f t="shared" si="44"/>
        <v>165</v>
      </c>
      <c r="X26" s="480">
        <v>171954</v>
      </c>
      <c r="Y26" s="760">
        <f t="shared" si="5"/>
        <v>272</v>
      </c>
      <c r="Z26" s="480">
        <v>315108</v>
      </c>
      <c r="AA26" s="760">
        <f t="shared" si="6"/>
        <v>0</v>
      </c>
      <c r="AB26" s="480">
        <v>671730</v>
      </c>
      <c r="AC26" s="760">
        <f t="shared" si="7"/>
        <v>0</v>
      </c>
      <c r="AD26" s="480">
        <v>773957</v>
      </c>
      <c r="AE26" s="760">
        <f t="shared" si="8"/>
        <v>2101.98</v>
      </c>
      <c r="AF26" s="480">
        <v>714945</v>
      </c>
      <c r="AG26" s="760">
        <f t="shared" si="9"/>
        <v>0</v>
      </c>
      <c r="AH26" s="480">
        <v>210160</v>
      </c>
      <c r="AI26" s="760">
        <f t="shared" si="10"/>
        <v>541.66000000000008</v>
      </c>
      <c r="AJ26" s="854">
        <v>310719</v>
      </c>
      <c r="AK26" s="760">
        <f t="shared" si="28"/>
        <v>2335.71</v>
      </c>
      <c r="AL26" s="760">
        <f t="shared" si="11"/>
        <v>4979.3500000000004</v>
      </c>
      <c r="AM26" s="480">
        <v>6884396</v>
      </c>
      <c r="AN26" s="760">
        <f t="shared" si="12"/>
        <v>27</v>
      </c>
      <c r="AO26" s="480">
        <v>536198</v>
      </c>
      <c r="AP26" s="760">
        <f>IF(AO26&gt;=AO25,AO26-AO25,0)</f>
        <v>3</v>
      </c>
      <c r="AQ26" s="480">
        <v>881220</v>
      </c>
      <c r="AR26" s="760">
        <f t="shared" si="14"/>
        <v>5.61</v>
      </c>
      <c r="AS26" s="905">
        <v>782133</v>
      </c>
      <c r="AT26" s="760">
        <f t="shared" si="15"/>
        <v>40</v>
      </c>
      <c r="AU26" s="854">
        <v>2158182</v>
      </c>
      <c r="AV26" s="760">
        <f t="shared" si="16"/>
        <v>473</v>
      </c>
      <c r="AW26" s="480">
        <v>195116</v>
      </c>
      <c r="AX26" s="760">
        <f t="shared" si="40"/>
        <v>0</v>
      </c>
      <c r="AY26" s="480">
        <v>16739052</v>
      </c>
      <c r="AZ26" s="760">
        <f t="shared" si="17"/>
        <v>2070</v>
      </c>
      <c r="BA26" s="854">
        <v>20282327</v>
      </c>
      <c r="BB26" s="760">
        <f t="shared" si="18"/>
        <v>1406</v>
      </c>
      <c r="BC26" s="760">
        <f t="shared" si="19"/>
        <v>4024.61</v>
      </c>
      <c r="BD26" s="854">
        <v>1323286</v>
      </c>
      <c r="BE26" s="760">
        <f t="shared" si="20"/>
        <v>0</v>
      </c>
      <c r="BF26" s="480">
        <v>3143754</v>
      </c>
      <c r="BG26" s="760">
        <f t="shared" si="21"/>
        <v>1565</v>
      </c>
      <c r="BH26" s="480">
        <v>348442</v>
      </c>
      <c r="BI26" s="760">
        <f t="shared" si="22"/>
        <v>102</v>
      </c>
      <c r="BJ26" s="480">
        <v>398165</v>
      </c>
      <c r="BK26" s="760">
        <f t="shared" si="29"/>
        <v>264</v>
      </c>
      <c r="BL26" s="868">
        <f t="shared" si="25"/>
        <v>11469.960000000001</v>
      </c>
      <c r="BM26" s="869"/>
      <c r="BN26" s="868" t="e">
        <f t="shared" si="41"/>
        <v>#DIV/0!</v>
      </c>
      <c r="BO26" s="869"/>
      <c r="BP26" s="868" t="e">
        <f t="shared" si="26"/>
        <v>#DIV/0!</v>
      </c>
      <c r="BQ26" s="868">
        <f>BL26*BS1</f>
        <v>5276.1816000000008</v>
      </c>
      <c r="BR26" s="868" t="e">
        <f t="shared" si="42"/>
        <v>#DIV/0!</v>
      </c>
      <c r="BS26" s="870" t="e">
        <f t="shared" si="32"/>
        <v>#DIV/0!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4">
        <v>20943946</v>
      </c>
      <c r="J27" s="760">
        <f t="shared" si="23"/>
        <v>1254</v>
      </c>
      <c r="K27" s="760">
        <f t="shared" si="0"/>
        <v>883</v>
      </c>
      <c r="L27" s="854">
        <v>653312</v>
      </c>
      <c r="M27" s="760">
        <f t="shared" si="1"/>
        <v>392</v>
      </c>
      <c r="N27" s="854">
        <v>639799</v>
      </c>
      <c r="O27" s="760">
        <f t="shared" si="2"/>
        <v>491</v>
      </c>
      <c r="P27" s="854">
        <v>210718</v>
      </c>
      <c r="Q27" s="760">
        <f>IF(P27&gt;=P26,P27-P26,0)*30</f>
        <v>30</v>
      </c>
      <c r="R27" s="480">
        <v>702925</v>
      </c>
      <c r="S27" s="760">
        <f t="shared" si="39"/>
        <v>0</v>
      </c>
      <c r="T27" s="480">
        <v>344001</v>
      </c>
      <c r="U27" s="760">
        <f t="shared" si="45"/>
        <v>0</v>
      </c>
      <c r="V27" s="480">
        <v>92641</v>
      </c>
      <c r="W27" s="760">
        <f t="shared" si="44"/>
        <v>62</v>
      </c>
      <c r="X27" s="480">
        <v>172059</v>
      </c>
      <c r="Y27" s="760">
        <f t="shared" si="5"/>
        <v>105</v>
      </c>
      <c r="Z27" s="480">
        <v>315108</v>
      </c>
      <c r="AA27" s="760">
        <f t="shared" si="6"/>
        <v>0</v>
      </c>
      <c r="AB27" s="854">
        <v>671730</v>
      </c>
      <c r="AC27" s="760">
        <f t="shared" si="7"/>
        <v>0</v>
      </c>
      <c r="AD27" s="902">
        <v>777363</v>
      </c>
      <c r="AE27" s="760">
        <f t="shared" si="8"/>
        <v>1805.18</v>
      </c>
      <c r="AF27" s="854">
        <v>714945</v>
      </c>
      <c r="AG27" s="760">
        <f t="shared" si="9"/>
        <v>0</v>
      </c>
      <c r="AH27" s="854">
        <v>210670</v>
      </c>
      <c r="AI27" s="760">
        <f t="shared" si="10"/>
        <v>270.3</v>
      </c>
      <c r="AJ27" s="854">
        <v>313071</v>
      </c>
      <c r="AK27" s="760">
        <f t="shared" si="28"/>
        <v>1246.5600000000002</v>
      </c>
      <c r="AL27" s="760">
        <f t="shared" si="11"/>
        <v>3322.04</v>
      </c>
      <c r="AM27" s="480">
        <v>6884412</v>
      </c>
      <c r="AN27" s="760">
        <f t="shared" si="12"/>
        <v>16</v>
      </c>
      <c r="AO27" s="480">
        <v>536198</v>
      </c>
      <c r="AP27" s="760">
        <f>IF(AO27&gt;=AO26,AO27-AO26,0)</f>
        <v>0</v>
      </c>
      <c r="AQ27" s="854">
        <v>881235</v>
      </c>
      <c r="AR27" s="760">
        <f t="shared" si="14"/>
        <v>1.65</v>
      </c>
      <c r="AS27" s="480">
        <v>782154</v>
      </c>
      <c r="AT27" s="760">
        <f t="shared" si="15"/>
        <v>21</v>
      </c>
      <c r="AU27" s="854">
        <v>2158422</v>
      </c>
      <c r="AV27" s="760">
        <f t="shared" si="16"/>
        <v>240</v>
      </c>
      <c r="AW27" s="480">
        <v>195116</v>
      </c>
      <c r="AX27" s="760">
        <f t="shared" si="40"/>
        <v>0</v>
      </c>
      <c r="AY27" s="854">
        <v>16739983</v>
      </c>
      <c r="AZ27" s="760">
        <f t="shared" si="17"/>
        <v>931</v>
      </c>
      <c r="BA27" s="854">
        <v>20287094</v>
      </c>
      <c r="BB27" s="760">
        <f t="shared" si="18"/>
        <v>4385.3</v>
      </c>
      <c r="BC27" s="760">
        <f t="shared" si="19"/>
        <v>5594.9500000000007</v>
      </c>
      <c r="BD27" s="854">
        <v>1323286</v>
      </c>
      <c r="BE27" s="760">
        <f t="shared" si="20"/>
        <v>0</v>
      </c>
      <c r="BF27" s="854">
        <v>3144226</v>
      </c>
      <c r="BG27" s="760">
        <f t="shared" si="21"/>
        <v>472</v>
      </c>
      <c r="BH27" s="854">
        <v>348481</v>
      </c>
      <c r="BI27" s="760">
        <f t="shared" si="22"/>
        <v>39</v>
      </c>
      <c r="BJ27" s="854">
        <v>398244</v>
      </c>
      <c r="BK27" s="760">
        <f t="shared" si="29"/>
        <v>79</v>
      </c>
      <c r="BL27" s="868">
        <f t="shared" si="25"/>
        <v>10200.990000000002</v>
      </c>
      <c r="BM27" s="869"/>
      <c r="BN27" s="868" t="e">
        <f t="shared" si="41"/>
        <v>#DIV/0!</v>
      </c>
      <c r="BO27" s="869"/>
      <c r="BP27" s="868" t="e">
        <f t="shared" si="26"/>
        <v>#DIV/0!</v>
      </c>
      <c r="BQ27" s="868">
        <f>BL27*BS1</f>
        <v>4692.4554000000007</v>
      </c>
      <c r="BR27" s="868" t="e">
        <f t="shared" si="42"/>
        <v>#DIV/0!</v>
      </c>
      <c r="BS27" s="870" t="e">
        <f t="shared" si="32"/>
        <v>#DIV/0!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>
        <v>20945700</v>
      </c>
      <c r="J28" s="760">
        <f t="shared" si="23"/>
        <v>1754</v>
      </c>
      <c r="K28" s="760">
        <f t="shared" si="0"/>
        <v>1201</v>
      </c>
      <c r="L28" s="480">
        <v>653852</v>
      </c>
      <c r="M28" s="760">
        <f t="shared" si="1"/>
        <v>540</v>
      </c>
      <c r="N28" s="480">
        <v>640460</v>
      </c>
      <c r="O28" s="760">
        <f t="shared" si="2"/>
        <v>661</v>
      </c>
      <c r="P28" s="854">
        <v>210720</v>
      </c>
      <c r="Q28" s="760">
        <f t="shared" si="38"/>
        <v>60</v>
      </c>
      <c r="R28" s="480">
        <v>702925</v>
      </c>
      <c r="S28" s="760">
        <f t="shared" si="39"/>
        <v>0</v>
      </c>
      <c r="T28" s="480">
        <v>344001</v>
      </c>
      <c r="U28" s="760">
        <f t="shared" si="45"/>
        <v>0</v>
      </c>
      <c r="V28" s="480">
        <v>92764</v>
      </c>
      <c r="W28" s="760">
        <f t="shared" si="44"/>
        <v>123</v>
      </c>
      <c r="X28" s="480">
        <v>172266</v>
      </c>
      <c r="Y28" s="760">
        <f t="shared" si="5"/>
        <v>207</v>
      </c>
      <c r="Z28" s="480">
        <v>315108</v>
      </c>
      <c r="AA28" s="760">
        <f t="shared" si="6"/>
        <v>0</v>
      </c>
      <c r="AB28" s="854">
        <v>671730</v>
      </c>
      <c r="AC28" s="760">
        <f t="shared" si="7"/>
        <v>0</v>
      </c>
      <c r="AD28" s="480">
        <v>781017</v>
      </c>
      <c r="AE28" s="760">
        <f t="shared" si="8"/>
        <v>1936.6200000000001</v>
      </c>
      <c r="AF28" s="480">
        <v>714945</v>
      </c>
      <c r="AG28" s="760">
        <f t="shared" si="9"/>
        <v>0</v>
      </c>
      <c r="AH28" s="480">
        <v>211527</v>
      </c>
      <c r="AI28" s="760">
        <f t="shared" si="10"/>
        <v>454.21000000000004</v>
      </c>
      <c r="AJ28" s="480">
        <v>316270</v>
      </c>
      <c r="AK28" s="760">
        <f t="shared" si="28"/>
        <v>1695.47</v>
      </c>
      <c r="AL28" s="760">
        <f t="shared" si="11"/>
        <v>4086.3</v>
      </c>
      <c r="AM28" s="480">
        <v>6884435</v>
      </c>
      <c r="AN28" s="760">
        <f t="shared" si="12"/>
        <v>23</v>
      </c>
      <c r="AO28" s="480">
        <v>536199</v>
      </c>
      <c r="AP28" s="760">
        <f>IF(AO28&gt;=AO27,AO28-AO27,0)</f>
        <v>1</v>
      </c>
      <c r="AQ28" s="854">
        <v>881279</v>
      </c>
      <c r="AR28" s="760">
        <f t="shared" si="14"/>
        <v>4.84</v>
      </c>
      <c r="AS28" s="480">
        <v>782185</v>
      </c>
      <c r="AT28" s="760">
        <f t="shared" si="15"/>
        <v>31</v>
      </c>
      <c r="AU28" s="480">
        <v>2158789</v>
      </c>
      <c r="AV28" s="760">
        <f t="shared" si="16"/>
        <v>367</v>
      </c>
      <c r="AW28" s="480">
        <v>195116</v>
      </c>
      <c r="AX28" s="760">
        <f t="shared" si="40"/>
        <v>0</v>
      </c>
      <c r="AY28" s="480">
        <v>16741912</v>
      </c>
      <c r="AZ28" s="760">
        <f t="shared" si="17"/>
        <v>1929</v>
      </c>
      <c r="BA28" s="480">
        <v>20291649</v>
      </c>
      <c r="BB28" s="760">
        <f t="shared" si="18"/>
        <v>3570.5</v>
      </c>
      <c r="BC28" s="760">
        <f t="shared" si="19"/>
        <v>5926.34</v>
      </c>
      <c r="BD28" s="854">
        <v>1323286</v>
      </c>
      <c r="BE28" s="760">
        <f t="shared" si="20"/>
        <v>0</v>
      </c>
      <c r="BF28" s="480">
        <v>3145456</v>
      </c>
      <c r="BG28" s="760">
        <f t="shared" si="21"/>
        <v>1230</v>
      </c>
      <c r="BH28" s="480">
        <v>348566</v>
      </c>
      <c r="BI28" s="760">
        <f t="shared" si="22"/>
        <v>85</v>
      </c>
      <c r="BJ28" s="480">
        <v>398448</v>
      </c>
      <c r="BK28" s="760">
        <f t="shared" si="29"/>
        <v>204</v>
      </c>
      <c r="BL28" s="868">
        <f t="shared" si="25"/>
        <v>11826.64</v>
      </c>
      <c r="BM28" s="869"/>
      <c r="BN28" s="868" t="e">
        <f t="shared" si="41"/>
        <v>#DIV/0!</v>
      </c>
      <c r="BO28" s="869"/>
      <c r="BP28" s="868" t="e">
        <f t="shared" si="26"/>
        <v>#DIV/0!</v>
      </c>
      <c r="BQ28" s="868">
        <f>BL28*BS1</f>
        <v>5440.2543999999998</v>
      </c>
      <c r="BR28" s="868" t="e">
        <f t="shared" si="42"/>
        <v>#DIV/0!</v>
      </c>
      <c r="BS28" s="870" t="e">
        <f t="shared" si="32"/>
        <v>#DIV/0!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854">
        <v>20947232</v>
      </c>
      <c r="J29" s="760">
        <f t="shared" si="23"/>
        <v>1532</v>
      </c>
      <c r="K29" s="760">
        <f t="shared" si="0"/>
        <v>1881</v>
      </c>
      <c r="L29" s="854">
        <v>654749</v>
      </c>
      <c r="M29" s="760">
        <f t="shared" si="1"/>
        <v>897</v>
      </c>
      <c r="N29" s="854">
        <v>641444</v>
      </c>
      <c r="O29" s="760">
        <f t="shared" si="2"/>
        <v>984</v>
      </c>
      <c r="P29" s="854">
        <v>210724</v>
      </c>
      <c r="Q29" s="760">
        <f t="shared" si="38"/>
        <v>120</v>
      </c>
      <c r="R29" s="480">
        <v>702925</v>
      </c>
      <c r="S29" s="760">
        <f>IF(R29&gt;=R28,R29-R28,0)</f>
        <v>0</v>
      </c>
      <c r="T29" s="480">
        <v>344001</v>
      </c>
      <c r="U29" s="760">
        <f>IF(T29&gt;=T28,T29-T28,0)</f>
        <v>0</v>
      </c>
      <c r="V29" s="480">
        <v>92957</v>
      </c>
      <c r="W29" s="760">
        <f>IF(V29&gt;=V28,V29-V28,0)</f>
        <v>193</v>
      </c>
      <c r="X29" s="480">
        <v>172588</v>
      </c>
      <c r="Y29" s="760">
        <f>IF(X29&gt;=X28,X29-X28,0)</f>
        <v>322</v>
      </c>
      <c r="Z29" s="480">
        <v>315108</v>
      </c>
      <c r="AA29" s="760">
        <f t="shared" si="6"/>
        <v>0</v>
      </c>
      <c r="AB29" s="854">
        <v>671730</v>
      </c>
      <c r="AC29" s="760">
        <f t="shared" ref="AC29:AC36" si="46">IF(AB29&gt;=AB28,AB29-AB28,0)*0.53</f>
        <v>0</v>
      </c>
      <c r="AD29" s="480">
        <v>786147</v>
      </c>
      <c r="AE29" s="760">
        <f t="shared" si="8"/>
        <v>2718.9</v>
      </c>
      <c r="AF29" s="480">
        <v>714945</v>
      </c>
      <c r="AG29" s="760">
        <f t="shared" si="9"/>
        <v>0</v>
      </c>
      <c r="AH29" s="854">
        <v>212654</v>
      </c>
      <c r="AI29" s="760">
        <f t="shared" si="10"/>
        <v>597.31000000000006</v>
      </c>
      <c r="AJ29" s="480">
        <v>321381</v>
      </c>
      <c r="AK29" s="760">
        <f t="shared" si="28"/>
        <v>2708.83</v>
      </c>
      <c r="AL29" s="760">
        <f t="shared" si="11"/>
        <v>6025.04</v>
      </c>
      <c r="AM29" s="902">
        <v>6884470</v>
      </c>
      <c r="AN29" s="760">
        <f t="shared" si="12"/>
        <v>35</v>
      </c>
      <c r="AO29" s="854">
        <v>536202</v>
      </c>
      <c r="AP29" s="760">
        <f t="shared" si="13"/>
        <v>3</v>
      </c>
      <c r="AQ29" s="480">
        <v>881338</v>
      </c>
      <c r="AR29" s="760">
        <f t="shared" si="14"/>
        <v>6.49</v>
      </c>
      <c r="AS29" s="480">
        <v>782246</v>
      </c>
      <c r="AT29" s="760">
        <f t="shared" si="15"/>
        <v>61</v>
      </c>
      <c r="AU29" s="480">
        <v>2159296</v>
      </c>
      <c r="AV29" s="760">
        <f t="shared" si="16"/>
        <v>507</v>
      </c>
      <c r="AW29" s="480">
        <v>195116</v>
      </c>
      <c r="AX29" s="760">
        <f t="shared" si="40"/>
        <v>0</v>
      </c>
      <c r="AY29" s="854">
        <v>16744784</v>
      </c>
      <c r="AZ29" s="760">
        <f t="shared" si="17"/>
        <v>2872</v>
      </c>
      <c r="BA29" s="854">
        <v>20297896</v>
      </c>
      <c r="BB29" s="760">
        <f t="shared" si="18"/>
        <v>4965.3999999999996</v>
      </c>
      <c r="BC29" s="760">
        <f t="shared" si="19"/>
        <v>8449.89</v>
      </c>
      <c r="BD29" s="854">
        <v>1323286</v>
      </c>
      <c r="BE29" s="760">
        <f t="shared" si="20"/>
        <v>0</v>
      </c>
      <c r="BF29" s="480">
        <v>3147012</v>
      </c>
      <c r="BG29" s="760">
        <f t="shared" si="21"/>
        <v>1556</v>
      </c>
      <c r="BH29" s="480">
        <v>348684</v>
      </c>
      <c r="BI29" s="760">
        <f t="shared" si="22"/>
        <v>118</v>
      </c>
      <c r="BJ29" s="480">
        <v>398737</v>
      </c>
      <c r="BK29" s="760">
        <f t="shared" si="29"/>
        <v>289</v>
      </c>
      <c r="BL29" s="868">
        <f t="shared" si="25"/>
        <v>16126.93</v>
      </c>
      <c r="BM29" s="869"/>
      <c r="BN29" s="868" t="e">
        <f t="shared" si="41"/>
        <v>#DIV/0!</v>
      </c>
      <c r="BO29" s="869"/>
      <c r="BP29" s="868" t="e">
        <f t="shared" si="26"/>
        <v>#DIV/0!</v>
      </c>
      <c r="BQ29" s="868">
        <f>BL29*BS1</f>
        <v>7418.3878000000004</v>
      </c>
      <c r="BR29" s="868" t="e">
        <f t="shared" si="42"/>
        <v>#DIV/0!</v>
      </c>
      <c r="BS29" s="870" t="e">
        <f t="shared" si="32"/>
        <v>#DIV/0!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7">IF(+B30-B29&gt;0,B30-B29,(B30-B29)&gt;0)*800</f>
        <v>0</v>
      </c>
      <c r="D30" s="478"/>
      <c r="E30" s="478">
        <f t="shared" ref="E30:E35" si="48">IF(+D30-D29&gt;0,D30-D29,(D30-D29)&gt;0)*80</f>
        <v>0</v>
      </c>
      <c r="F30" s="478"/>
      <c r="G30" s="478">
        <f t="shared" ref="G30:G35" si="49">IF(+F30-F29&gt;0,F30-F29,(F30-F29)&gt;0)*10</f>
        <v>0</v>
      </c>
      <c r="H30" s="479">
        <v>68</v>
      </c>
      <c r="I30" s="480">
        <v>20949700</v>
      </c>
      <c r="J30" s="760">
        <f t="shared" si="23"/>
        <v>2468</v>
      </c>
      <c r="K30" s="760">
        <f t="shared" si="0"/>
        <v>772</v>
      </c>
      <c r="L30" s="480">
        <v>655126</v>
      </c>
      <c r="M30" s="760">
        <f t="shared" si="1"/>
        <v>377</v>
      </c>
      <c r="N30" s="854">
        <v>641839</v>
      </c>
      <c r="O30" s="760">
        <f t="shared" si="2"/>
        <v>395</v>
      </c>
      <c r="P30" s="854">
        <v>210724</v>
      </c>
      <c r="Q30" s="760">
        <f t="shared" si="38"/>
        <v>0</v>
      </c>
      <c r="R30" s="480">
        <v>702925</v>
      </c>
      <c r="S30" s="760">
        <f>IF(R30&gt;=R29,R30-R29,0)</f>
        <v>0</v>
      </c>
      <c r="T30" s="480">
        <v>344001</v>
      </c>
      <c r="U30" s="760">
        <f>IF(T30&gt;=T29,T30-T29,0)</f>
        <v>0</v>
      </c>
      <c r="V30" s="480">
        <v>93012</v>
      </c>
      <c r="W30" s="760">
        <f>IF(V30&gt;=V29,V30-V29,0)</f>
        <v>55</v>
      </c>
      <c r="X30" s="480">
        <v>172679</v>
      </c>
      <c r="Y30" s="760">
        <f>IF(X30&gt;=X29,X30-X29,0)</f>
        <v>91</v>
      </c>
      <c r="Z30" s="480">
        <v>315108</v>
      </c>
      <c r="AA30" s="760">
        <f t="shared" si="6"/>
        <v>0</v>
      </c>
      <c r="AB30" s="480">
        <v>671730</v>
      </c>
      <c r="AC30" s="760">
        <f t="shared" si="46"/>
        <v>0</v>
      </c>
      <c r="AD30" s="480">
        <v>789177</v>
      </c>
      <c r="AE30" s="760">
        <f t="shared" si="8"/>
        <v>1605.9</v>
      </c>
      <c r="AF30" s="480">
        <v>714945</v>
      </c>
      <c r="AG30" s="760">
        <f t="shared" si="9"/>
        <v>0</v>
      </c>
      <c r="AH30" s="480">
        <v>213117</v>
      </c>
      <c r="AI30" s="760">
        <f t="shared" si="10"/>
        <v>245.39000000000001</v>
      </c>
      <c r="AJ30" s="854">
        <v>324053</v>
      </c>
      <c r="AK30" s="760">
        <f t="shared" si="28"/>
        <v>1416.16</v>
      </c>
      <c r="AL30" s="760">
        <f t="shared" si="11"/>
        <v>3267.4500000000003</v>
      </c>
      <c r="AM30" s="480">
        <v>6884489</v>
      </c>
      <c r="AN30" s="760">
        <f t="shared" si="12"/>
        <v>19</v>
      </c>
      <c r="AO30" s="480">
        <v>536202</v>
      </c>
      <c r="AP30" s="760">
        <f t="shared" si="13"/>
        <v>0</v>
      </c>
      <c r="AQ30" s="854">
        <v>881354</v>
      </c>
      <c r="AR30" s="760">
        <f t="shared" si="14"/>
        <v>1.76</v>
      </c>
      <c r="AS30" s="480">
        <v>782267</v>
      </c>
      <c r="AT30" s="760">
        <f t="shared" si="15"/>
        <v>21</v>
      </c>
      <c r="AU30" s="854">
        <v>2159513</v>
      </c>
      <c r="AV30" s="760">
        <f t="shared" si="16"/>
        <v>217</v>
      </c>
      <c r="AW30" s="480">
        <v>195116</v>
      </c>
      <c r="AX30" s="760">
        <f t="shared" si="40"/>
        <v>0</v>
      </c>
      <c r="AY30" s="854">
        <v>16745775</v>
      </c>
      <c r="AZ30" s="760">
        <f t="shared" si="17"/>
        <v>991</v>
      </c>
      <c r="BA30" s="854">
        <v>20299628</v>
      </c>
      <c r="BB30" s="760">
        <f t="shared" si="18"/>
        <v>1385.1</v>
      </c>
      <c r="BC30" s="760">
        <f t="shared" si="19"/>
        <v>2634.8599999999997</v>
      </c>
      <c r="BD30" s="854">
        <v>1323286</v>
      </c>
      <c r="BE30" s="760">
        <f t="shared" si="20"/>
        <v>0</v>
      </c>
      <c r="BF30" s="480">
        <v>3147426</v>
      </c>
      <c r="BG30" s="760">
        <f t="shared" si="21"/>
        <v>414</v>
      </c>
      <c r="BH30" s="854">
        <v>348719</v>
      </c>
      <c r="BI30" s="760">
        <f t="shared" si="22"/>
        <v>35</v>
      </c>
      <c r="BJ30" s="480">
        <v>398818</v>
      </c>
      <c r="BK30" s="760">
        <f t="shared" si="29"/>
        <v>81</v>
      </c>
      <c r="BL30" s="868">
        <f t="shared" si="25"/>
        <v>8370.3100000000013</v>
      </c>
      <c r="BM30" s="869"/>
      <c r="BN30" s="868" t="e">
        <f t="shared" si="41"/>
        <v>#DIV/0!</v>
      </c>
      <c r="BO30" s="869"/>
      <c r="BP30" s="868" t="e">
        <f t="shared" si="26"/>
        <v>#DIV/0!</v>
      </c>
      <c r="BQ30" s="868">
        <f>BL30*BS1</f>
        <v>3850.3426000000009</v>
      </c>
      <c r="BR30" s="868" t="e">
        <f t="shared" si="42"/>
        <v>#DIV/0!</v>
      </c>
      <c r="BS30" s="870" t="e">
        <f t="shared" si="32"/>
        <v>#DIV/0!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7"/>
        <v>0</v>
      </c>
      <c r="D31" s="478"/>
      <c r="E31" s="478">
        <f t="shared" si="48"/>
        <v>0</v>
      </c>
      <c r="F31" s="478"/>
      <c r="G31" s="478">
        <f t="shared" si="49"/>
        <v>0</v>
      </c>
      <c r="H31" s="479"/>
      <c r="I31" s="854">
        <v>20951219</v>
      </c>
      <c r="J31" s="760">
        <f t="shared" si="23"/>
        <v>1519</v>
      </c>
      <c r="K31" s="760">
        <f t="shared" si="0"/>
        <v>1238</v>
      </c>
      <c r="L31" s="854">
        <v>655712</v>
      </c>
      <c r="M31" s="760">
        <f t="shared" si="1"/>
        <v>586</v>
      </c>
      <c r="N31" s="480">
        <v>642491</v>
      </c>
      <c r="O31" s="760">
        <f t="shared" si="2"/>
        <v>652</v>
      </c>
      <c r="P31" s="854">
        <v>210728</v>
      </c>
      <c r="Q31" s="760">
        <f t="shared" si="38"/>
        <v>120</v>
      </c>
      <c r="R31" s="480">
        <v>702925</v>
      </c>
      <c r="S31" s="760">
        <f t="shared" si="39"/>
        <v>0</v>
      </c>
      <c r="T31" s="480">
        <v>344001</v>
      </c>
      <c r="U31" s="760">
        <f t="shared" si="45"/>
        <v>0</v>
      </c>
      <c r="V31" s="480">
        <v>93150</v>
      </c>
      <c r="W31" s="760">
        <f t="shared" si="44"/>
        <v>138</v>
      </c>
      <c r="X31" s="480">
        <v>172909</v>
      </c>
      <c r="Y31" s="760">
        <f t="shared" si="5"/>
        <v>230</v>
      </c>
      <c r="Z31" s="480">
        <v>315108</v>
      </c>
      <c r="AA31" s="760">
        <f t="shared" si="6"/>
        <v>0</v>
      </c>
      <c r="AB31" s="480">
        <v>671730</v>
      </c>
      <c r="AC31" s="760">
        <f t="shared" si="46"/>
        <v>0</v>
      </c>
      <c r="AD31" s="480">
        <v>793324</v>
      </c>
      <c r="AE31" s="760">
        <f t="shared" si="8"/>
        <v>2197.9100000000003</v>
      </c>
      <c r="AF31" s="480">
        <v>714945</v>
      </c>
      <c r="AG31" s="760">
        <f t="shared" si="9"/>
        <v>0</v>
      </c>
      <c r="AH31" s="480">
        <v>213919</v>
      </c>
      <c r="AI31" s="760">
        <f t="shared" si="10"/>
        <v>425.06</v>
      </c>
      <c r="AJ31" s="480">
        <v>328323</v>
      </c>
      <c r="AK31" s="760">
        <f t="shared" si="28"/>
        <v>2263.1</v>
      </c>
      <c r="AL31" s="760">
        <f t="shared" si="11"/>
        <v>4886.07</v>
      </c>
      <c r="AM31" s="902">
        <v>6884511</v>
      </c>
      <c r="AN31" s="760">
        <f t="shared" si="12"/>
        <v>22</v>
      </c>
      <c r="AO31" s="480">
        <v>536205</v>
      </c>
      <c r="AP31" s="760">
        <f t="shared" si="13"/>
        <v>3</v>
      </c>
      <c r="AQ31" s="480">
        <v>881440</v>
      </c>
      <c r="AR31" s="760">
        <f t="shared" si="14"/>
        <v>9.4600000000000009</v>
      </c>
      <c r="AS31" s="480">
        <v>782298</v>
      </c>
      <c r="AT31" s="760">
        <f t="shared" si="15"/>
        <v>31</v>
      </c>
      <c r="AU31" s="480">
        <v>2159813</v>
      </c>
      <c r="AV31" s="760">
        <f t="shared" si="16"/>
        <v>300</v>
      </c>
      <c r="AW31" s="480">
        <v>195116</v>
      </c>
      <c r="AX31" s="760">
        <f t="shared" si="40"/>
        <v>0</v>
      </c>
      <c r="AY31" s="480">
        <v>16747770</v>
      </c>
      <c r="AZ31" s="760">
        <f t="shared" si="17"/>
        <v>1995</v>
      </c>
      <c r="BA31" s="854">
        <v>20303995</v>
      </c>
      <c r="BB31" s="760">
        <f t="shared" si="18"/>
        <v>3520.3</v>
      </c>
      <c r="BC31" s="760">
        <f t="shared" si="19"/>
        <v>5880.76</v>
      </c>
      <c r="BD31" s="854">
        <v>1323286</v>
      </c>
      <c r="BE31" s="760">
        <f t="shared" si="20"/>
        <v>0</v>
      </c>
      <c r="BF31" s="480">
        <v>3148433</v>
      </c>
      <c r="BG31" s="760">
        <f t="shared" si="21"/>
        <v>1007</v>
      </c>
      <c r="BH31" s="480">
        <v>348804</v>
      </c>
      <c r="BI31" s="760">
        <f t="shared" si="22"/>
        <v>85</v>
      </c>
      <c r="BJ31" s="480">
        <v>399018</v>
      </c>
      <c r="BK31" s="760">
        <f t="shared" si="29"/>
        <v>200</v>
      </c>
      <c r="BL31" s="868">
        <f t="shared" si="25"/>
        <v>12405.83</v>
      </c>
      <c r="BM31" s="869"/>
      <c r="BN31" s="868" t="e">
        <f t="shared" si="41"/>
        <v>#DIV/0!</v>
      </c>
      <c r="BO31" s="869"/>
      <c r="BP31" s="868" t="e">
        <f t="shared" si="26"/>
        <v>#DIV/0!</v>
      </c>
      <c r="BQ31" s="868">
        <f>BL31*BS1</f>
        <v>5706.6818000000003</v>
      </c>
      <c r="BR31" s="868" t="e">
        <f t="shared" si="42"/>
        <v>#DIV/0!</v>
      </c>
      <c r="BS31" s="870" t="e">
        <f t="shared" si="32"/>
        <v>#DIV/0!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7"/>
        <v>0</v>
      </c>
      <c r="D32" s="1"/>
      <c r="E32" s="1">
        <f t="shared" si="48"/>
        <v>0</v>
      </c>
      <c r="F32" s="1"/>
      <c r="G32" s="1">
        <f t="shared" si="49"/>
        <v>0</v>
      </c>
      <c r="H32" s="32">
        <v>69</v>
      </c>
      <c r="I32" s="480">
        <v>20953530</v>
      </c>
      <c r="J32" s="760">
        <f t="shared" si="23"/>
        <v>2311</v>
      </c>
      <c r="K32" s="760">
        <f t="shared" si="0"/>
        <v>1352</v>
      </c>
      <c r="L32" s="480">
        <v>656337</v>
      </c>
      <c r="M32" s="760">
        <f t="shared" si="1"/>
        <v>625</v>
      </c>
      <c r="N32" s="480">
        <v>643218</v>
      </c>
      <c r="O32" s="760">
        <f t="shared" si="2"/>
        <v>727</v>
      </c>
      <c r="P32" s="480">
        <v>210731</v>
      </c>
      <c r="Q32" s="760">
        <f t="shared" si="38"/>
        <v>90</v>
      </c>
      <c r="R32" s="480">
        <v>702925</v>
      </c>
      <c r="S32" s="760">
        <f t="shared" si="39"/>
        <v>0</v>
      </c>
      <c r="T32" s="480">
        <v>344001</v>
      </c>
      <c r="U32" s="760">
        <f t="shared" si="45"/>
        <v>0</v>
      </c>
      <c r="V32" s="480">
        <v>93285</v>
      </c>
      <c r="W32" s="760">
        <f t="shared" si="44"/>
        <v>135</v>
      </c>
      <c r="X32" s="480">
        <v>173139</v>
      </c>
      <c r="Y32" s="760">
        <f t="shared" si="5"/>
        <v>230</v>
      </c>
      <c r="Z32" s="480">
        <v>315108</v>
      </c>
      <c r="AA32" s="760">
        <f t="shared" si="6"/>
        <v>0</v>
      </c>
      <c r="AB32" s="480">
        <v>671730</v>
      </c>
      <c r="AC32" s="760">
        <f t="shared" si="46"/>
        <v>0</v>
      </c>
      <c r="AD32" s="480">
        <v>797036</v>
      </c>
      <c r="AE32" s="760">
        <f t="shared" si="8"/>
        <v>1967.3600000000001</v>
      </c>
      <c r="AF32" s="480">
        <v>715317</v>
      </c>
      <c r="AG32" s="760">
        <f t="shared" si="9"/>
        <v>197.16</v>
      </c>
      <c r="AH32" s="480">
        <v>214775</v>
      </c>
      <c r="AI32" s="760">
        <f t="shared" si="10"/>
        <v>453.68</v>
      </c>
      <c r="AJ32" s="480">
        <v>332551</v>
      </c>
      <c r="AK32" s="760">
        <f t="shared" si="28"/>
        <v>2240.84</v>
      </c>
      <c r="AL32" s="760">
        <f t="shared" si="11"/>
        <v>4859.04</v>
      </c>
      <c r="AM32" s="480">
        <v>6884536</v>
      </c>
      <c r="AN32" s="760">
        <f t="shared" si="12"/>
        <v>25</v>
      </c>
      <c r="AO32" s="480">
        <v>536208</v>
      </c>
      <c r="AP32" s="760">
        <f t="shared" si="13"/>
        <v>3</v>
      </c>
      <c r="AQ32" s="480">
        <v>881472</v>
      </c>
      <c r="AR32" s="760">
        <f t="shared" si="14"/>
        <v>3.52</v>
      </c>
      <c r="AS32" s="480">
        <v>782331</v>
      </c>
      <c r="AT32" s="760">
        <f t="shared" si="15"/>
        <v>33</v>
      </c>
      <c r="AU32" s="480">
        <v>2160167</v>
      </c>
      <c r="AV32" s="760">
        <f t="shared" si="16"/>
        <v>354</v>
      </c>
      <c r="AW32" s="854">
        <v>195116</v>
      </c>
      <c r="AX32" s="760">
        <f t="shared" si="40"/>
        <v>0</v>
      </c>
      <c r="AY32" s="854">
        <v>16749885</v>
      </c>
      <c r="AZ32" s="760">
        <f t="shared" si="17"/>
        <v>2115</v>
      </c>
      <c r="BA32" s="854">
        <v>20308454</v>
      </c>
      <c r="BB32" s="760">
        <f t="shared" si="18"/>
        <v>3601</v>
      </c>
      <c r="BC32" s="760">
        <f t="shared" si="19"/>
        <v>6134.52</v>
      </c>
      <c r="BD32" s="854">
        <v>1323286</v>
      </c>
      <c r="BE32" s="760">
        <f t="shared" si="20"/>
        <v>0</v>
      </c>
      <c r="BF32" s="480">
        <v>3149453</v>
      </c>
      <c r="BG32" s="760">
        <f t="shared" si="21"/>
        <v>1020</v>
      </c>
      <c r="BH32" s="480">
        <v>348890</v>
      </c>
      <c r="BI32" s="760">
        <f t="shared" si="22"/>
        <v>86</v>
      </c>
      <c r="BJ32" s="480">
        <v>399221</v>
      </c>
      <c r="BK32" s="760">
        <f t="shared" si="29"/>
        <v>203</v>
      </c>
      <c r="BL32" s="868">
        <f t="shared" si="25"/>
        <v>13394.560000000001</v>
      </c>
      <c r="BM32" s="869"/>
      <c r="BN32" s="868" t="e">
        <f t="shared" si="41"/>
        <v>#DIV/0!</v>
      </c>
      <c r="BO32" s="871"/>
      <c r="BP32" s="868" t="e">
        <f t="shared" si="26"/>
        <v>#DIV/0!</v>
      </c>
      <c r="BQ32" s="868">
        <f>BL32*BS1</f>
        <v>6161.4976000000006</v>
      </c>
      <c r="BR32" s="868" t="e">
        <f t="shared" si="42"/>
        <v>#DIV/0!</v>
      </c>
      <c r="BS32" s="870" t="e">
        <f t="shared" si="32"/>
        <v>#DIV/0!</v>
      </c>
    </row>
    <row r="33" spans="1:93" ht="33.75" customHeight="1">
      <c r="A33" s="115">
        <v>28</v>
      </c>
      <c r="B33" s="114"/>
      <c r="C33" s="1">
        <f t="shared" si="47"/>
        <v>0</v>
      </c>
      <c r="D33" s="1"/>
      <c r="E33" s="1">
        <f t="shared" si="48"/>
        <v>0</v>
      </c>
      <c r="F33" s="1"/>
      <c r="G33" s="1">
        <f t="shared" si="49"/>
        <v>0</v>
      </c>
      <c r="H33" s="32"/>
      <c r="I33" s="854">
        <v>20955210</v>
      </c>
      <c r="J33" s="760">
        <f t="shared" si="23"/>
        <v>1680</v>
      </c>
      <c r="K33" s="760">
        <f t="shared" si="0"/>
        <v>1161</v>
      </c>
      <c r="L33" s="480">
        <v>656860</v>
      </c>
      <c r="M33" s="760">
        <f t="shared" si="1"/>
        <v>523</v>
      </c>
      <c r="N33" s="854">
        <v>643856</v>
      </c>
      <c r="O33" s="760">
        <f t="shared" si="2"/>
        <v>638</v>
      </c>
      <c r="P33" s="854">
        <v>210733</v>
      </c>
      <c r="Q33" s="760">
        <f t="shared" si="38"/>
        <v>60</v>
      </c>
      <c r="R33" s="480">
        <v>702925</v>
      </c>
      <c r="S33" s="760">
        <f t="shared" si="39"/>
        <v>0</v>
      </c>
      <c r="T33" s="480">
        <v>344001</v>
      </c>
      <c r="U33" s="760">
        <f t="shared" si="45"/>
        <v>0</v>
      </c>
      <c r="V33" s="480">
        <v>93415</v>
      </c>
      <c r="W33" s="760">
        <f t="shared" si="44"/>
        <v>130</v>
      </c>
      <c r="X33" s="480">
        <v>173359</v>
      </c>
      <c r="Y33" s="760">
        <f t="shared" si="5"/>
        <v>220</v>
      </c>
      <c r="Z33" s="480">
        <v>315108</v>
      </c>
      <c r="AA33" s="760">
        <f t="shared" si="6"/>
        <v>0</v>
      </c>
      <c r="AB33" s="480">
        <v>671730</v>
      </c>
      <c r="AC33" s="760">
        <f t="shared" si="46"/>
        <v>0</v>
      </c>
      <c r="AD33" s="480">
        <v>797883</v>
      </c>
      <c r="AE33" s="760">
        <f t="shared" si="8"/>
        <v>448.91</v>
      </c>
      <c r="AF33" s="480">
        <v>717521</v>
      </c>
      <c r="AG33" s="760">
        <f t="shared" si="9"/>
        <v>1168.1200000000001</v>
      </c>
      <c r="AH33" s="480">
        <v>215349</v>
      </c>
      <c r="AI33" s="760">
        <f t="shared" si="10"/>
        <v>304.22000000000003</v>
      </c>
      <c r="AJ33" s="480">
        <v>336088</v>
      </c>
      <c r="AK33" s="760">
        <f t="shared" si="28"/>
        <v>1874.6100000000001</v>
      </c>
      <c r="AL33" s="760">
        <f t="shared" si="11"/>
        <v>3795.8600000000006</v>
      </c>
      <c r="AM33" s="902">
        <v>6884557</v>
      </c>
      <c r="AN33" s="760">
        <f t="shared" si="12"/>
        <v>21</v>
      </c>
      <c r="AO33" s="854">
        <v>536211</v>
      </c>
      <c r="AP33" s="760">
        <f t="shared" si="13"/>
        <v>3</v>
      </c>
      <c r="AQ33" s="480">
        <v>881522</v>
      </c>
      <c r="AR33" s="760">
        <f t="shared" si="14"/>
        <v>5.5</v>
      </c>
      <c r="AS33" s="480">
        <v>782347</v>
      </c>
      <c r="AT33" s="760">
        <f t="shared" si="15"/>
        <v>16</v>
      </c>
      <c r="AU33" s="480">
        <v>2160465</v>
      </c>
      <c r="AV33" s="760">
        <f t="shared" si="16"/>
        <v>298</v>
      </c>
      <c r="AW33" s="480">
        <v>195116</v>
      </c>
      <c r="AX33" s="760">
        <f t="shared" si="40"/>
        <v>0</v>
      </c>
      <c r="AY33" s="480">
        <v>16751399</v>
      </c>
      <c r="AZ33" s="760">
        <f t="shared" si="17"/>
        <v>1514</v>
      </c>
      <c r="BA33" s="480">
        <v>20311714</v>
      </c>
      <c r="BB33" s="760">
        <f t="shared" si="18"/>
        <v>2624.8</v>
      </c>
      <c r="BC33" s="760">
        <f t="shared" si="19"/>
        <v>4482.3</v>
      </c>
      <c r="BD33" s="854">
        <v>1323286</v>
      </c>
      <c r="BE33" s="760">
        <f t="shared" si="20"/>
        <v>0</v>
      </c>
      <c r="BF33" s="480">
        <v>3150205</v>
      </c>
      <c r="BG33" s="760">
        <f t="shared" si="21"/>
        <v>752</v>
      </c>
      <c r="BH33" s="480">
        <v>348950</v>
      </c>
      <c r="BI33" s="760">
        <f t="shared" si="22"/>
        <v>60</v>
      </c>
      <c r="BJ33" s="480">
        <v>399375</v>
      </c>
      <c r="BK33" s="760">
        <f t="shared" si="29"/>
        <v>154</v>
      </c>
      <c r="BL33" s="868">
        <f t="shared" si="25"/>
        <v>10018.16</v>
      </c>
      <c r="BM33" s="869"/>
      <c r="BN33" s="868" t="e">
        <f t="shared" si="41"/>
        <v>#DIV/0!</v>
      </c>
      <c r="BO33" s="869"/>
      <c r="BP33" s="868" t="e">
        <f t="shared" si="26"/>
        <v>#DIV/0!</v>
      </c>
      <c r="BQ33" s="868">
        <f>BL33*BS1</f>
        <v>4608.3536000000004</v>
      </c>
      <c r="BR33" s="868" t="e">
        <f t="shared" si="42"/>
        <v>#DIV/0!</v>
      </c>
      <c r="BS33" s="870" t="e">
        <f t="shared" si="32"/>
        <v>#DIV/0!</v>
      </c>
    </row>
    <row r="34" spans="1:93" ht="33.75" customHeight="1">
      <c r="A34" s="115">
        <v>29</v>
      </c>
      <c r="B34" s="114"/>
      <c r="C34" s="1">
        <f t="shared" si="47"/>
        <v>0</v>
      </c>
      <c r="D34" s="1"/>
      <c r="E34" s="1">
        <f t="shared" si="48"/>
        <v>0</v>
      </c>
      <c r="F34" s="1"/>
      <c r="G34" s="1">
        <f t="shared" si="49"/>
        <v>0</v>
      </c>
      <c r="H34" s="32"/>
      <c r="I34" s="480">
        <v>20957424</v>
      </c>
      <c r="J34" s="760">
        <f t="shared" si="23"/>
        <v>2214</v>
      </c>
      <c r="K34" s="760">
        <f t="shared" si="0"/>
        <v>1625</v>
      </c>
      <c r="L34" s="854">
        <v>657614</v>
      </c>
      <c r="M34" s="760">
        <f t="shared" si="1"/>
        <v>754</v>
      </c>
      <c r="N34" s="854">
        <v>644727</v>
      </c>
      <c r="O34" s="760">
        <f t="shared" si="2"/>
        <v>871</v>
      </c>
      <c r="P34" s="854">
        <v>210736</v>
      </c>
      <c r="Q34" s="760">
        <f t="shared" si="38"/>
        <v>90</v>
      </c>
      <c r="R34" s="480">
        <v>702925</v>
      </c>
      <c r="S34" s="760">
        <f t="shared" si="39"/>
        <v>0</v>
      </c>
      <c r="T34" s="480">
        <v>344001</v>
      </c>
      <c r="U34" s="760">
        <f t="shared" si="45"/>
        <v>0</v>
      </c>
      <c r="V34" s="480">
        <v>93526</v>
      </c>
      <c r="W34" s="760">
        <f t="shared" si="44"/>
        <v>111</v>
      </c>
      <c r="X34" s="480">
        <v>173547</v>
      </c>
      <c r="Y34" s="760">
        <f t="shared" si="5"/>
        <v>188</v>
      </c>
      <c r="Z34" s="480">
        <v>315108</v>
      </c>
      <c r="AA34" s="760">
        <f t="shared" si="6"/>
        <v>0</v>
      </c>
      <c r="AB34" s="480">
        <v>671730</v>
      </c>
      <c r="AC34" s="760">
        <f t="shared" si="46"/>
        <v>0</v>
      </c>
      <c r="AD34" s="480">
        <v>798439</v>
      </c>
      <c r="AE34" s="760">
        <f t="shared" si="8"/>
        <v>294.68</v>
      </c>
      <c r="AF34" s="480">
        <v>720359</v>
      </c>
      <c r="AG34" s="760">
        <f t="shared" si="9"/>
        <v>1504.14</v>
      </c>
      <c r="AH34" s="854">
        <v>216304</v>
      </c>
      <c r="AI34" s="760">
        <f t="shared" si="10"/>
        <v>506.15000000000003</v>
      </c>
      <c r="AJ34" s="480">
        <v>341483</v>
      </c>
      <c r="AK34" s="760">
        <f t="shared" si="28"/>
        <v>2859.3500000000004</v>
      </c>
      <c r="AL34" s="760">
        <f t="shared" si="11"/>
        <v>5164.3200000000006</v>
      </c>
      <c r="AM34" s="480">
        <v>6884581</v>
      </c>
      <c r="AN34" s="760">
        <f t="shared" si="12"/>
        <v>24</v>
      </c>
      <c r="AO34" s="480">
        <v>536212</v>
      </c>
      <c r="AP34" s="760">
        <f t="shared" si="13"/>
        <v>1</v>
      </c>
      <c r="AQ34" s="854">
        <v>881590</v>
      </c>
      <c r="AR34" s="760">
        <f t="shared" si="14"/>
        <v>7.48</v>
      </c>
      <c r="AS34" s="480">
        <v>782369</v>
      </c>
      <c r="AT34" s="760">
        <f t="shared" si="15"/>
        <v>22</v>
      </c>
      <c r="AU34" s="480">
        <v>2160870</v>
      </c>
      <c r="AV34" s="760">
        <f t="shared" si="16"/>
        <v>405</v>
      </c>
      <c r="AW34" s="480">
        <v>195116</v>
      </c>
      <c r="AX34" s="760">
        <f t="shared" si="40"/>
        <v>0</v>
      </c>
      <c r="AY34" s="854">
        <v>16753760</v>
      </c>
      <c r="AZ34" s="760">
        <f t="shared" si="17"/>
        <v>2361</v>
      </c>
      <c r="BA34" s="854">
        <v>20316337</v>
      </c>
      <c r="BB34" s="760">
        <f t="shared" si="18"/>
        <v>3756.7</v>
      </c>
      <c r="BC34" s="760">
        <f t="shared" si="19"/>
        <v>6577.18</v>
      </c>
      <c r="BD34" s="854">
        <v>1323286</v>
      </c>
      <c r="BE34" s="760">
        <f t="shared" si="20"/>
        <v>0</v>
      </c>
      <c r="BF34" s="480">
        <v>3151218</v>
      </c>
      <c r="BG34" s="760">
        <f t="shared" si="21"/>
        <v>1013</v>
      </c>
      <c r="BH34" s="480">
        <v>349035</v>
      </c>
      <c r="BI34" s="760">
        <f t="shared" si="22"/>
        <v>85</v>
      </c>
      <c r="BJ34" s="480">
        <v>399591</v>
      </c>
      <c r="BK34" s="760">
        <f t="shared" si="29"/>
        <v>216</v>
      </c>
      <c r="BL34" s="868">
        <f t="shared" si="25"/>
        <v>14045.5</v>
      </c>
      <c r="BM34" s="869"/>
      <c r="BN34" s="868" t="e">
        <f t="shared" si="41"/>
        <v>#DIV/0!</v>
      </c>
      <c r="BO34" s="869"/>
      <c r="BP34" s="868" t="e">
        <f t="shared" si="26"/>
        <v>#DIV/0!</v>
      </c>
      <c r="BQ34" s="868">
        <f>BL34*BS1</f>
        <v>6460.93</v>
      </c>
      <c r="BR34" s="868" t="e">
        <f t="shared" si="42"/>
        <v>#DIV/0!</v>
      </c>
      <c r="BS34" s="870" t="e">
        <f t="shared" si="32"/>
        <v>#DIV/0!</v>
      </c>
    </row>
    <row r="35" spans="1:93" ht="33.75" customHeight="1">
      <c r="A35" s="115">
        <v>30</v>
      </c>
      <c r="B35" s="114"/>
      <c r="C35" s="1">
        <f t="shared" si="47"/>
        <v>0</v>
      </c>
      <c r="D35" s="1"/>
      <c r="E35" s="1">
        <f t="shared" si="48"/>
        <v>0</v>
      </c>
      <c r="F35" s="1"/>
      <c r="G35" s="1">
        <f t="shared" si="49"/>
        <v>0</v>
      </c>
      <c r="H35" s="32"/>
      <c r="I35" s="854">
        <v>20959638</v>
      </c>
      <c r="J35" s="760">
        <f t="shared" si="23"/>
        <v>2214</v>
      </c>
      <c r="K35" s="760">
        <f t="shared" si="0"/>
        <v>1625</v>
      </c>
      <c r="L35" s="480">
        <v>658368</v>
      </c>
      <c r="M35" s="760">
        <f t="shared" si="1"/>
        <v>754</v>
      </c>
      <c r="N35" s="854">
        <v>645598</v>
      </c>
      <c r="O35" s="760">
        <f t="shared" si="2"/>
        <v>871</v>
      </c>
      <c r="P35" s="854">
        <v>210739</v>
      </c>
      <c r="Q35" s="760">
        <f t="shared" si="38"/>
        <v>90</v>
      </c>
      <c r="R35" s="480">
        <v>702925</v>
      </c>
      <c r="S35" s="760">
        <f t="shared" si="39"/>
        <v>0</v>
      </c>
      <c r="T35" s="480">
        <v>344001</v>
      </c>
      <c r="U35" s="760">
        <f t="shared" si="45"/>
        <v>0</v>
      </c>
      <c r="V35" s="480">
        <v>93637</v>
      </c>
      <c r="W35" s="760">
        <f t="shared" si="44"/>
        <v>111</v>
      </c>
      <c r="X35" s="480">
        <v>173735</v>
      </c>
      <c r="Y35" s="760">
        <f t="shared" si="5"/>
        <v>188</v>
      </c>
      <c r="Z35" s="480">
        <v>315108</v>
      </c>
      <c r="AA35" s="760">
        <f t="shared" si="6"/>
        <v>0</v>
      </c>
      <c r="AB35" s="480">
        <v>671730</v>
      </c>
      <c r="AC35" s="760">
        <f t="shared" si="46"/>
        <v>0</v>
      </c>
      <c r="AD35" s="480">
        <v>798995</v>
      </c>
      <c r="AE35" s="760">
        <f t="shared" si="8"/>
        <v>294.68</v>
      </c>
      <c r="AF35" s="480">
        <v>723197</v>
      </c>
      <c r="AG35" s="760">
        <f t="shared" si="9"/>
        <v>1504.14</v>
      </c>
      <c r="AH35" s="480">
        <v>217259</v>
      </c>
      <c r="AI35" s="760">
        <f t="shared" si="10"/>
        <v>506.15000000000003</v>
      </c>
      <c r="AJ35" s="480">
        <v>346878</v>
      </c>
      <c r="AK35" s="760">
        <f t="shared" si="28"/>
        <v>2859.3500000000004</v>
      </c>
      <c r="AL35" s="760">
        <f t="shared" si="11"/>
        <v>5164.3200000000006</v>
      </c>
      <c r="AM35" s="902">
        <v>6884605</v>
      </c>
      <c r="AN35" s="760">
        <f t="shared" si="12"/>
        <v>24</v>
      </c>
      <c r="AO35" s="854">
        <v>536213</v>
      </c>
      <c r="AP35" s="760">
        <f t="shared" si="13"/>
        <v>1</v>
      </c>
      <c r="AQ35" s="480">
        <v>881658</v>
      </c>
      <c r="AR35" s="760">
        <f t="shared" si="14"/>
        <v>7.48</v>
      </c>
      <c r="AS35" s="480">
        <v>782391</v>
      </c>
      <c r="AT35" s="760">
        <f t="shared" si="15"/>
        <v>22</v>
      </c>
      <c r="AU35" s="480">
        <v>2161275</v>
      </c>
      <c r="AV35" s="760">
        <f t="shared" si="16"/>
        <v>405</v>
      </c>
      <c r="AW35" s="480">
        <v>195116</v>
      </c>
      <c r="AX35" s="760">
        <f t="shared" si="40"/>
        <v>0</v>
      </c>
      <c r="AY35" s="480">
        <v>16756121</v>
      </c>
      <c r="AZ35" s="760">
        <f t="shared" si="17"/>
        <v>2361</v>
      </c>
      <c r="BA35" s="480">
        <v>20320960</v>
      </c>
      <c r="BB35" s="760">
        <f t="shared" si="18"/>
        <v>3756.7</v>
      </c>
      <c r="BC35" s="760">
        <f t="shared" si="19"/>
        <v>6577.18</v>
      </c>
      <c r="BD35" s="854">
        <v>1323286</v>
      </c>
      <c r="BE35" s="760">
        <f t="shared" si="20"/>
        <v>0</v>
      </c>
      <c r="BF35" s="480">
        <v>3152231</v>
      </c>
      <c r="BG35" s="760">
        <f t="shared" si="21"/>
        <v>1013</v>
      </c>
      <c r="BH35" s="480">
        <v>349120</v>
      </c>
      <c r="BI35" s="760">
        <f t="shared" si="22"/>
        <v>85</v>
      </c>
      <c r="BJ35" s="480">
        <v>399807</v>
      </c>
      <c r="BK35" s="760">
        <f t="shared" si="29"/>
        <v>216</v>
      </c>
      <c r="BL35" s="868">
        <f t="shared" si="25"/>
        <v>14045.5</v>
      </c>
      <c r="BM35" s="869"/>
      <c r="BN35" s="868" t="e">
        <f t="shared" si="41"/>
        <v>#DIV/0!</v>
      </c>
      <c r="BO35" s="869"/>
      <c r="BP35" s="868" t="e">
        <f t="shared" si="26"/>
        <v>#DIV/0!</v>
      </c>
      <c r="BQ35" s="868">
        <f>BL35*BS1</f>
        <v>6460.93</v>
      </c>
      <c r="BR35" s="868" t="e">
        <f t="shared" si="42"/>
        <v>#DIV/0!</v>
      </c>
      <c r="BS35" s="870" t="e">
        <f t="shared" si="32"/>
        <v>#DIV/0!</v>
      </c>
    </row>
    <row r="36" spans="1:93" ht="33.75" customHeight="1" thickBot="1">
      <c r="A36" s="115">
        <v>31</v>
      </c>
      <c r="B36" s="915"/>
      <c r="C36" s="916"/>
      <c r="D36" s="916"/>
      <c r="E36" s="916"/>
      <c r="F36" s="916"/>
      <c r="G36" s="916"/>
      <c r="H36" s="917"/>
      <c r="I36" s="480"/>
      <c r="J36" s="760">
        <f t="shared" si="23"/>
        <v>0</v>
      </c>
      <c r="K36" s="760">
        <f t="shared" si="0"/>
        <v>0</v>
      </c>
      <c r="L36" s="480"/>
      <c r="M36" s="760">
        <f t="shared" si="1"/>
        <v>0</v>
      </c>
      <c r="N36" s="480"/>
      <c r="O36" s="760">
        <f t="shared" si="2"/>
        <v>0</v>
      </c>
      <c r="P36" s="854"/>
      <c r="Q36" s="760">
        <f t="shared" si="38"/>
        <v>0</v>
      </c>
      <c r="R36" s="480">
        <v>702925</v>
      </c>
      <c r="S36" s="760">
        <f t="shared" si="39"/>
        <v>0</v>
      </c>
      <c r="T36" s="480">
        <v>344001</v>
      </c>
      <c r="U36" s="760">
        <f t="shared" si="45"/>
        <v>0</v>
      </c>
      <c r="V36" s="480"/>
      <c r="W36" s="760">
        <f t="shared" si="44"/>
        <v>0</v>
      </c>
      <c r="X36" s="480"/>
      <c r="Y36" s="760">
        <f t="shared" si="5"/>
        <v>0</v>
      </c>
      <c r="Z36" s="480">
        <v>315108</v>
      </c>
      <c r="AA36" s="760">
        <f t="shared" si="6"/>
        <v>0</v>
      </c>
      <c r="AB36" s="480"/>
      <c r="AC36" s="760">
        <f t="shared" si="46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480"/>
      <c r="AR36" s="760">
        <f t="shared" si="14"/>
        <v>0</v>
      </c>
      <c r="AS36" s="480"/>
      <c r="AT36" s="760">
        <f t="shared" si="15"/>
        <v>0</v>
      </c>
      <c r="AU36" s="480"/>
      <c r="AV36" s="760">
        <f t="shared" si="16"/>
        <v>0</v>
      </c>
      <c r="AW36" s="480"/>
      <c r="AX36" s="760">
        <f t="shared" si="40"/>
        <v>0</v>
      </c>
      <c r="AY36" s="480"/>
      <c r="AZ36" s="760">
        <f t="shared" si="17"/>
        <v>0</v>
      </c>
      <c r="BA36" s="854"/>
      <c r="BB36" s="760">
        <f t="shared" si="18"/>
        <v>0</v>
      </c>
      <c r="BC36" s="760">
        <f t="shared" si="19"/>
        <v>0</v>
      </c>
      <c r="BD36" s="854">
        <v>1323286</v>
      </c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480"/>
      <c r="BK36" s="760">
        <f t="shared" si="29"/>
        <v>0</v>
      </c>
      <c r="BL36" s="868">
        <f t="shared" si="25"/>
        <v>0</v>
      </c>
      <c r="BM36" s="869"/>
      <c r="BN36" s="868">
        <f t="shared" si="41"/>
        <v>0</v>
      </c>
      <c r="BO36" s="918"/>
      <c r="BP36" s="868">
        <f t="shared" si="26"/>
        <v>0</v>
      </c>
      <c r="BQ36" s="868">
        <f>BL36*BS1</f>
        <v>0</v>
      </c>
      <c r="BR36" s="868">
        <f t="shared" si="42"/>
        <v>0</v>
      </c>
      <c r="BS36" s="870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2"/>
      <c r="J37" s="908">
        <f>SUM(J6:J36)</f>
        <v>56374</v>
      </c>
      <c r="K37" s="908">
        <f>SUM(K6:K36)</f>
        <v>39107</v>
      </c>
      <c r="L37" s="873"/>
      <c r="M37" s="638">
        <f>SUM(M6:M36)</f>
        <v>19281</v>
      </c>
      <c r="N37" s="873"/>
      <c r="O37" s="638">
        <f>SUM(O6:O36)</f>
        <v>19826</v>
      </c>
      <c r="P37" s="872"/>
      <c r="Q37" s="638">
        <f>SUM(Q6:Q36)</f>
        <v>2160</v>
      </c>
      <c r="R37" s="874"/>
      <c r="S37" s="638">
        <f>SUM(S6:S36)</f>
        <v>0</v>
      </c>
      <c r="T37" s="872"/>
      <c r="U37" s="638">
        <f>SUM(U6:U36)</f>
        <v>0</v>
      </c>
      <c r="V37" s="913"/>
      <c r="W37" s="638">
        <f>SUM(W6:W36)</f>
        <v>3736</v>
      </c>
      <c r="X37" s="913"/>
      <c r="Y37" s="638">
        <f>SUM(Y6:Y36)</f>
        <v>6068</v>
      </c>
      <c r="Z37" s="872"/>
      <c r="AA37" s="638">
        <f>SUM(AA6:AA36)</f>
        <v>0</v>
      </c>
      <c r="AB37" s="480"/>
      <c r="AC37" s="638">
        <f>SUM(AC5:AC36)</f>
        <v>7486.25</v>
      </c>
      <c r="AD37" s="909"/>
      <c r="AE37" s="908">
        <f>SUM(AE6:AE36)</f>
        <v>37417.470000000008</v>
      </c>
      <c r="AF37" s="872"/>
      <c r="AG37" s="638">
        <f>SUM(AG6:AG36)</f>
        <v>9747.23</v>
      </c>
      <c r="AH37" s="875"/>
      <c r="AI37" s="638">
        <f>SUM(AI6:AI36)</f>
        <v>10855.46</v>
      </c>
      <c r="AJ37" s="875"/>
      <c r="AK37" s="638">
        <f>SUM(AK6:AK36)</f>
        <v>61925.729999999996</v>
      </c>
      <c r="AL37" s="908">
        <f>SUM(AL6:AL36)</f>
        <v>127432.14000000001</v>
      </c>
      <c r="AM37" s="875"/>
      <c r="AN37" s="638">
        <f>SUM(AN6:AN36)</f>
        <v>539</v>
      </c>
      <c r="AO37" s="875"/>
      <c r="AP37" s="638">
        <f>SUM(AP6:AP36)</f>
        <v>58</v>
      </c>
      <c r="AQ37" s="875"/>
      <c r="AR37" s="638">
        <f>SUM(AR6:AR36)</f>
        <v>135.41000000000003</v>
      </c>
      <c r="AS37" s="875"/>
      <c r="AT37" s="638">
        <f>SUM(AT6:AT36)</f>
        <v>915</v>
      </c>
      <c r="AU37" s="875"/>
      <c r="AV37" s="638">
        <f>SUM(AV6:AV36)</f>
        <v>9833</v>
      </c>
      <c r="AW37" s="875"/>
      <c r="AX37" s="638">
        <f>SUM(AX6:AX36)</f>
        <v>399</v>
      </c>
      <c r="AY37" s="875"/>
      <c r="AZ37" s="638">
        <f>SUM(AZ6:AZ36)</f>
        <v>53540</v>
      </c>
      <c r="BA37" s="875"/>
      <c r="BB37" s="908">
        <f>SUM(BB6:BB36)</f>
        <v>99510.8</v>
      </c>
      <c r="BC37" s="908">
        <f>SUM(BC6:BC36)</f>
        <v>164930.20999999996</v>
      </c>
      <c r="BD37" s="873"/>
      <c r="BE37" s="638">
        <f>SUM(BE6:BE36)</f>
        <v>0</v>
      </c>
      <c r="BF37" s="875"/>
      <c r="BG37" s="638">
        <f>SUM(BG6:BG36)</f>
        <v>29872</v>
      </c>
      <c r="BH37" s="875"/>
      <c r="BI37" s="638">
        <f>SUM(BI6:BI36)</f>
        <v>2328</v>
      </c>
      <c r="BJ37" s="875"/>
      <c r="BK37" s="638">
        <f>SUM(BK6:BK36)</f>
        <v>5681</v>
      </c>
      <c r="BL37" s="638">
        <f>SUM(BL6:BL36)</f>
        <v>350896.35000000003</v>
      </c>
      <c r="BM37" s="876">
        <f>SUM(BM6:BM36)</f>
        <v>0</v>
      </c>
      <c r="BN37" s="877" t="e">
        <f>IF(BL37&gt;0,BL37/BM37,0)</f>
        <v>#DIV/0!</v>
      </c>
      <c r="BO37" s="876">
        <f>SUM(BO6:BO35)</f>
        <v>0</v>
      </c>
      <c r="BP37" s="877" t="e">
        <f>IF(BL37&gt;0,BL37/BO37,0)</f>
        <v>#DIV/0!</v>
      </c>
      <c r="BQ37" s="616">
        <f>SUM(BQ6:BQ35)</f>
        <v>161412.32099999997</v>
      </c>
      <c r="BR37" s="877" t="e">
        <f>IF(BQ37&gt;0,BQ37/BM37,0)</f>
        <v>#DIV/0!</v>
      </c>
      <c r="BS37" s="878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79"/>
      <c r="J38" s="879">
        <f>J37/J46</f>
        <v>1879.1333333333334</v>
      </c>
      <c r="K38" s="879">
        <f>K37/J46</f>
        <v>1303.5666666666666</v>
      </c>
      <c r="L38" s="880"/>
      <c r="M38" s="879">
        <f>M37/J46</f>
        <v>642.70000000000005</v>
      </c>
      <c r="N38" s="880"/>
      <c r="O38" s="879">
        <f>O37/J46</f>
        <v>660.86666666666667</v>
      </c>
      <c r="P38" s="881"/>
      <c r="Q38" s="879">
        <f>Q37/J46</f>
        <v>72</v>
      </c>
      <c r="R38" s="621"/>
      <c r="S38" s="879">
        <f>S37/J46</f>
        <v>0</v>
      </c>
      <c r="T38" s="879"/>
      <c r="U38" s="879">
        <f>U37/J46</f>
        <v>0</v>
      </c>
      <c r="V38" s="914"/>
      <c r="W38" s="879">
        <f>W37/J46</f>
        <v>124.53333333333333</v>
      </c>
      <c r="X38" s="914"/>
      <c r="Y38" s="879">
        <f>Y37/J46</f>
        <v>202.26666666666668</v>
      </c>
      <c r="Z38" s="881"/>
      <c r="AA38" s="879">
        <f>AA37/J46</f>
        <v>0</v>
      </c>
      <c r="AB38" s="881"/>
      <c r="AC38" s="760"/>
      <c r="AD38" s="882"/>
      <c r="AE38" s="879">
        <f>AE37/J46</f>
        <v>1247.2490000000003</v>
      </c>
      <c r="AF38" s="881"/>
      <c r="AG38" s="879">
        <f>AG37/J46</f>
        <v>324.90766666666667</v>
      </c>
      <c r="AH38" s="883"/>
      <c r="AI38" s="879">
        <f>AI37/J46</f>
        <v>361.84866666666665</v>
      </c>
      <c r="AJ38" s="883"/>
      <c r="AK38" s="879">
        <f>AK37/J46</f>
        <v>2064.1909999999998</v>
      </c>
      <c r="AL38" s="879">
        <f>AL37/J46</f>
        <v>4247.7380000000003</v>
      </c>
      <c r="AM38" s="883"/>
      <c r="AN38" s="879">
        <f>AN37/J46</f>
        <v>17.966666666666665</v>
      </c>
      <c r="AO38" s="883"/>
      <c r="AP38" s="879">
        <f>AP37/J46</f>
        <v>1.9333333333333333</v>
      </c>
      <c r="AQ38" s="883"/>
      <c r="AR38" s="879">
        <f>AR37/J46</f>
        <v>4.5136666666666674</v>
      </c>
      <c r="AS38" s="883"/>
      <c r="AT38" s="879">
        <f>AT37/J46</f>
        <v>30.5</v>
      </c>
      <c r="AU38" s="883"/>
      <c r="AV38" s="879">
        <f>AV37/J46</f>
        <v>327.76666666666665</v>
      </c>
      <c r="AW38" s="883"/>
      <c r="AX38" s="879">
        <f>AX37/J46</f>
        <v>13.3</v>
      </c>
      <c r="AY38" s="883"/>
      <c r="AZ38" s="879">
        <f>AZ37/J46</f>
        <v>1784.6666666666667</v>
      </c>
      <c r="BA38" s="883"/>
      <c r="BB38" s="879">
        <f>BB37/J46</f>
        <v>3317.0266666666666</v>
      </c>
      <c r="BC38" s="879"/>
      <c r="BD38" s="880"/>
      <c r="BE38" s="879">
        <f>BE37/J46</f>
        <v>0</v>
      </c>
      <c r="BF38" s="883"/>
      <c r="BG38" s="879">
        <f>BG37/J46</f>
        <v>995.73333333333335</v>
      </c>
      <c r="BH38" s="883"/>
      <c r="BI38" s="879">
        <f>BI37/J46</f>
        <v>77.599999999999994</v>
      </c>
      <c r="BJ38" s="883"/>
      <c r="BK38" s="879">
        <f>BK37/J46</f>
        <v>189.36666666666667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4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5">
        <f>[2]YTD!AY2341</f>
        <v>0</v>
      </c>
      <c r="BN39" s="886" t="e">
        <f>IF(BL39&gt;0,BL39/BM39,0)</f>
        <v>#DIV/0!</v>
      </c>
      <c r="BO39" s="885">
        <f>[2]YTD!AY2342</f>
        <v>0</v>
      </c>
      <c r="BP39" s="886" t="e">
        <f>IF(BL39&gt;0,BL39/BO39,0)</f>
        <v>#DIV/0!</v>
      </c>
      <c r="BQ39" s="628">
        <f>[2]YTD!AY2345</f>
        <v>0</v>
      </c>
      <c r="BR39" s="886">
        <f>IF(BQ39&gt;0,BQ39/BM39,0)</f>
        <v>0</v>
      </c>
      <c r="BS39" s="887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88"/>
      <c r="J40" s="889"/>
      <c r="K40" s="889"/>
      <c r="L40" s="889"/>
      <c r="M40" s="889"/>
      <c r="N40" s="889"/>
      <c r="O40" s="889"/>
      <c r="P40" s="889"/>
      <c r="Q40" s="889"/>
      <c r="R40" s="889"/>
      <c r="S40" s="889"/>
      <c r="T40" s="889"/>
      <c r="U40" s="889"/>
      <c r="V40" s="889"/>
      <c r="W40" s="889"/>
      <c r="X40" s="889"/>
      <c r="Y40" s="889"/>
      <c r="Z40" s="889"/>
      <c r="AA40" s="889"/>
      <c r="AB40" s="889"/>
      <c r="AC40" s="889"/>
      <c r="AD40" s="889"/>
      <c r="AE40" s="889"/>
      <c r="AF40" s="889"/>
      <c r="AG40" s="889"/>
      <c r="AH40" s="889"/>
      <c r="AI40" s="889"/>
      <c r="AJ40" s="889"/>
      <c r="AK40" s="889"/>
      <c r="AL40" s="889"/>
      <c r="AM40" s="889"/>
      <c r="AN40" s="889"/>
      <c r="AO40" s="889"/>
      <c r="AP40" s="889"/>
      <c r="AQ40" s="889"/>
      <c r="AR40" s="889"/>
      <c r="AS40" s="889"/>
      <c r="AT40" s="889"/>
      <c r="AU40" s="889"/>
      <c r="AV40" s="889"/>
      <c r="AW40" s="889"/>
      <c r="AX40" s="889"/>
      <c r="AY40" s="889"/>
      <c r="AZ40" s="889"/>
      <c r="BA40" s="889"/>
      <c r="BB40" s="889"/>
      <c r="BC40" s="889"/>
      <c r="BD40" s="889"/>
      <c r="BE40" s="889"/>
      <c r="BF40" s="889"/>
      <c r="BG40" s="889"/>
      <c r="BH40" s="889"/>
      <c r="BI40" s="889"/>
      <c r="BJ40" s="889"/>
      <c r="BK40" s="889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0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1"/>
      <c r="J41" s="892"/>
      <c r="K41" s="892"/>
      <c r="L41" s="892"/>
      <c r="M41" s="892"/>
      <c r="N41" s="892"/>
      <c r="O41" s="893"/>
      <c r="P41" s="892"/>
      <c r="Q41" s="892"/>
      <c r="R41" s="892"/>
      <c r="S41" s="893"/>
      <c r="T41" s="892"/>
      <c r="U41" s="892"/>
      <c r="V41" s="892"/>
      <c r="W41" s="892"/>
      <c r="X41" s="892"/>
      <c r="Y41" s="892"/>
      <c r="Z41" s="892"/>
      <c r="AA41" s="893"/>
      <c r="AB41" s="892"/>
      <c r="AC41" s="893"/>
      <c r="AD41" s="892"/>
      <c r="AE41" s="893"/>
      <c r="AF41" s="892"/>
      <c r="AG41" s="893"/>
      <c r="AH41" s="892"/>
      <c r="AI41" s="893"/>
      <c r="AJ41" s="892"/>
      <c r="AK41" s="893"/>
      <c r="AL41" s="893"/>
      <c r="AM41" s="892"/>
      <c r="AN41" s="893"/>
      <c r="AO41" s="892"/>
      <c r="AP41" s="893"/>
      <c r="AQ41" s="892"/>
      <c r="AR41" s="893"/>
      <c r="AS41" s="892"/>
      <c r="AT41" s="893"/>
      <c r="AU41" s="892"/>
      <c r="AV41" s="893"/>
      <c r="AW41" s="892"/>
      <c r="AX41" s="893"/>
      <c r="AY41" s="892"/>
      <c r="AZ41" s="893"/>
      <c r="BA41" s="892"/>
      <c r="BB41" s="893"/>
      <c r="BC41" s="893"/>
      <c r="BD41" s="892"/>
      <c r="BE41" s="893"/>
      <c r="BF41" s="892"/>
      <c r="BG41" s="893"/>
      <c r="BH41" s="892"/>
      <c r="BI41" s="893"/>
      <c r="BJ41" s="892"/>
      <c r="BK41" s="893"/>
      <c r="BL41" s="635" t="e">
        <f>BL39/$J$49</f>
        <v>#DIV/0!</v>
      </c>
      <c r="BM41" s="894" t="e">
        <f>BM39/$J$49</f>
        <v>#DIV/0!</v>
      </c>
      <c r="BN41" s="894"/>
      <c r="BO41" s="894" t="e">
        <f>BO39/$J$49</f>
        <v>#DIV/0!</v>
      </c>
      <c r="BP41" s="635"/>
      <c r="BQ41" s="635" t="e">
        <f>BQ39/$J$49</f>
        <v>#DIV/0!</v>
      </c>
      <c r="BR41" s="635"/>
      <c r="BS41" s="895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6"/>
      <c r="J42" s="648"/>
      <c r="K42" s="648"/>
      <c r="L42" s="648"/>
      <c r="M42" s="648"/>
      <c r="N42" s="648"/>
      <c r="O42" s="897"/>
      <c r="P42" s="648"/>
      <c r="Q42" s="648"/>
      <c r="R42" s="648"/>
      <c r="S42" s="897"/>
      <c r="T42" s="648"/>
      <c r="U42" s="648"/>
      <c r="V42" s="648"/>
      <c r="W42" s="648"/>
      <c r="X42" s="648"/>
      <c r="Y42" s="648"/>
      <c r="Z42" s="648"/>
      <c r="AA42" s="897"/>
      <c r="AB42" s="648"/>
      <c r="AC42" s="897"/>
      <c r="AD42" s="648"/>
      <c r="AE42" s="897"/>
      <c r="AF42" s="648"/>
      <c r="AG42" s="897"/>
      <c r="AH42" s="648"/>
      <c r="AI42" s="897"/>
      <c r="AJ42" s="648"/>
      <c r="AK42" s="897"/>
      <c r="AL42" s="897"/>
      <c r="AM42" s="648"/>
      <c r="AN42" s="897"/>
      <c r="AO42" s="648"/>
      <c r="AP42" s="897"/>
      <c r="AQ42" s="648"/>
      <c r="AR42" s="897"/>
      <c r="AS42" s="648"/>
      <c r="AT42" s="897"/>
      <c r="AU42" s="648"/>
      <c r="AV42" s="897"/>
      <c r="AW42" s="648"/>
      <c r="AX42" s="897"/>
      <c r="AY42" s="648"/>
      <c r="AZ42" s="897"/>
      <c r="BA42" s="648"/>
      <c r="BB42" s="897"/>
      <c r="BC42" s="897"/>
      <c r="BD42" s="648"/>
      <c r="BE42" s="897"/>
      <c r="BF42" s="648"/>
      <c r="BG42" s="897"/>
      <c r="BH42" s="648"/>
      <c r="BI42" s="897"/>
      <c r="BJ42" s="648"/>
      <c r="BK42" s="897"/>
      <c r="BL42" s="637" t="e">
        <f>(BQ42-($T$1*$BE$2+$T$2))/(0.7*$Q$1+0.3*$Q$2+$BE$1)</f>
        <v>#DIV/0!</v>
      </c>
      <c r="BM42" s="638">
        <f>[2]YTD!AY2358</f>
        <v>0</v>
      </c>
      <c r="BN42" s="898" t="e">
        <f>IF(BL42&gt;0,BL42/BM42,0)</f>
        <v>#DIV/0!</v>
      </c>
      <c r="BO42" s="638">
        <f>[2]YTD!AY2359</f>
        <v>0</v>
      </c>
      <c r="BP42" s="898" t="e">
        <f>IF(BL42&gt;0,BL42/BO42,0)</f>
        <v>#DIV/0!</v>
      </c>
      <c r="BQ42" s="640">
        <f>[2]YTD!AY2362</f>
        <v>0</v>
      </c>
      <c r="BR42" s="899">
        <f>IF(BQ42&gt;0,BQ42/BM42,0)</f>
        <v>0</v>
      </c>
      <c r="BS42" s="900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20955210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30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84"/>
      <c r="B52" s="984"/>
      <c r="BM52" s="31"/>
    </row>
    <row r="54" spans="1:65" ht="30.75" customHeight="1">
      <c r="BL54" s="585"/>
    </row>
    <row r="56" spans="1:65" ht="30.75" customHeight="1">
      <c r="I56" s="31">
        <f>-L11</f>
        <v>-642761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E5:AE36 AG5:AG36 AC5:AC36">
    <cfRule type="cellIs" dxfId="28" priority="143" stopIfTrue="1" operator="greaterThan">
      <formula>4000</formula>
    </cfRule>
  </conditionalFormatting>
  <conditionalFormatting sqref="W5:W36 Y5:Y36 U5:U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0" zoomScaleNormal="50" zoomScaleSheetLayoutView="40" workbookViewId="0">
      <pane xSplit="1" ySplit="5" topLeftCell="B15" activePane="bottomRight" state="frozen"/>
      <selection activeCell="G39" sqref="G39"/>
      <selection pane="topRight" activeCell="G39" sqref="G39"/>
      <selection pane="bottomLeft" activeCell="G39" sqref="G39"/>
      <selection pane="bottomRight" activeCell="I37" sqref="I3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8" t="str">
        <f>Elect!A1</f>
        <v>April</v>
      </c>
      <c r="B1" s="694"/>
      <c r="C1" s="695"/>
      <c r="D1" s="1012"/>
      <c r="E1" s="1012"/>
      <c r="F1" s="1012"/>
      <c r="G1" s="1012"/>
      <c r="H1" s="1012"/>
      <c r="I1" s="1012"/>
      <c r="J1" s="1012"/>
      <c r="K1" s="1012"/>
      <c r="L1" s="1012"/>
      <c r="M1" s="1012"/>
      <c r="N1" s="1012"/>
      <c r="O1" s="696"/>
      <c r="P1" s="1020"/>
      <c r="Q1" s="1020"/>
      <c r="R1" s="1020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9"/>
      <c r="B2" s="701"/>
      <c r="C2" s="695"/>
      <c r="O2" s="696"/>
      <c r="P2" s="1021"/>
      <c r="Q2" s="1021"/>
      <c r="R2" s="1021"/>
      <c r="T2" s="702"/>
      <c r="X2" s="703"/>
    </row>
    <row r="3" spans="1:26" s="617" customFormat="1" ht="42" customHeight="1" thickBot="1">
      <c r="A3" s="1013" t="s">
        <v>10</v>
      </c>
      <c r="B3" s="704"/>
      <c r="C3" s="705"/>
      <c r="D3" s="705"/>
      <c r="E3" s="706" t="s">
        <v>11</v>
      </c>
      <c r="F3" s="705"/>
      <c r="G3" s="705"/>
      <c r="H3" s="707"/>
      <c r="I3" s="1007" t="s">
        <v>362</v>
      </c>
      <c r="J3" s="1008"/>
      <c r="K3" s="1008"/>
      <c r="L3" s="1008"/>
      <c r="M3" s="1009"/>
      <c r="N3" s="998" t="s">
        <v>306</v>
      </c>
      <c r="O3" s="999"/>
      <c r="P3" s="1016" t="s">
        <v>307</v>
      </c>
      <c r="Q3" s="1016"/>
      <c r="R3" s="1016" t="s">
        <v>308</v>
      </c>
      <c r="S3" s="1016"/>
      <c r="T3" s="991" t="s">
        <v>14</v>
      </c>
      <c r="U3" s="994" t="s">
        <v>49</v>
      </c>
      <c r="V3" s="994" t="s">
        <v>15</v>
      </c>
      <c r="W3" s="994" t="s">
        <v>16</v>
      </c>
      <c r="X3" s="1024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14"/>
      <c r="B4" s="1001" t="s">
        <v>302</v>
      </c>
      <c r="C4" s="1002"/>
      <c r="D4" s="1003" t="s">
        <v>303</v>
      </c>
      <c r="E4" s="1004"/>
      <c r="F4" s="1003" t="s">
        <v>304</v>
      </c>
      <c r="G4" s="1004"/>
      <c r="H4" s="1000" t="s">
        <v>20</v>
      </c>
      <c r="I4" s="1005" t="s">
        <v>363</v>
      </c>
      <c r="J4" s="1006"/>
      <c r="K4" s="1005" t="s">
        <v>364</v>
      </c>
      <c r="L4" s="1006"/>
      <c r="M4" s="920"/>
      <c r="N4" s="1000" t="s">
        <v>305</v>
      </c>
      <c r="O4" s="1000" t="s">
        <v>26</v>
      </c>
      <c r="P4" s="995" t="s">
        <v>63</v>
      </c>
      <c r="Q4" s="995" t="s">
        <v>46</v>
      </c>
      <c r="R4" s="995" t="s">
        <v>63</v>
      </c>
      <c r="S4" s="995" t="s">
        <v>46</v>
      </c>
      <c r="T4" s="992"/>
      <c r="U4" s="995"/>
      <c r="V4" s="995"/>
      <c r="W4" s="995"/>
      <c r="X4" s="1025"/>
      <c r="Y4" s="1022" t="s">
        <v>54</v>
      </c>
      <c r="Z4" s="1010" t="s">
        <v>55</v>
      </c>
    </row>
    <row r="5" spans="1:26" s="617" customFormat="1" ht="48.75" customHeight="1" thickBot="1">
      <c r="A5" s="1015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17"/>
      <c r="I5" s="924" t="s">
        <v>22</v>
      </c>
      <c r="J5" s="925"/>
      <c r="K5" s="924" t="s">
        <v>22</v>
      </c>
      <c r="L5" s="925"/>
      <c r="M5" s="923"/>
      <c r="N5" s="996"/>
      <c r="O5" s="996"/>
      <c r="P5" s="996"/>
      <c r="Q5" s="996"/>
      <c r="R5" s="996"/>
      <c r="S5" s="996"/>
      <c r="T5" s="993"/>
      <c r="U5" s="996"/>
      <c r="V5" s="996"/>
      <c r="W5" s="996"/>
      <c r="X5" s="1026"/>
      <c r="Y5" s="1023"/>
      <c r="Z5" s="1011"/>
    </row>
    <row r="6" spans="1:26" s="488" customFormat="1" ht="36.75" customHeight="1">
      <c r="A6" s="713"/>
      <c r="B6" s="113">
        <v>73894</v>
      </c>
      <c r="C6" s="760">
        <f t="shared" ref="C6:C15" si="0">IF(B6&gt;=B5,B6-B5,0)*10*0.58</f>
        <v>0</v>
      </c>
      <c r="D6" s="860">
        <v>145828</v>
      </c>
      <c r="E6" s="760">
        <f>IF(D6&gt;=D5,D6-D5,0)*10*0.58</f>
        <v>0</v>
      </c>
      <c r="F6" s="906">
        <v>15966</v>
      </c>
      <c r="G6" s="760">
        <f>IF(F6&gt;=F5,F6-F5,0)*0.58</f>
        <v>0</v>
      </c>
      <c r="H6" s="903"/>
      <c r="I6" s="906">
        <v>194</v>
      </c>
      <c r="J6" s="922"/>
      <c r="K6" s="906">
        <v>2443</v>
      </c>
      <c r="L6" s="922"/>
      <c r="M6" s="922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73901</v>
      </c>
      <c r="C7" s="760">
        <f t="shared" si="0"/>
        <v>40.599999999999994</v>
      </c>
      <c r="D7" s="860">
        <v>145830</v>
      </c>
      <c r="E7" s="760">
        <f>IF(D7&gt;=D6,D7-D6,0)*10*0.58</f>
        <v>11.6</v>
      </c>
      <c r="F7" s="906">
        <v>15966</v>
      </c>
      <c r="G7" s="760">
        <f t="shared" ref="G7:G14" si="1">IF(F7&gt;=F6,F7-F6,0)*0.58</f>
        <v>0</v>
      </c>
      <c r="H7" s="760">
        <f>C7+E7+G7</f>
        <v>52.199999999999996</v>
      </c>
      <c r="I7" s="906"/>
      <c r="J7" s="760"/>
      <c r="K7" s="906"/>
      <c r="L7" s="760"/>
      <c r="M7" s="760"/>
      <c r="N7" s="112"/>
      <c r="O7" s="600">
        <f>IF(N7&gt;=N6,N7-N6,0)</f>
        <v>0</v>
      </c>
      <c r="P7" s="112"/>
      <c r="Q7" s="484">
        <f>(H7-O7)*0.58</f>
        <v>30.275999999999996</v>
      </c>
      <c r="R7" s="112"/>
      <c r="S7" s="484">
        <f>IF(R7-R6&gt;0,R7-R6,0)</f>
        <v>0</v>
      </c>
      <c r="T7" s="901">
        <f>Elect!BM6</f>
        <v>0</v>
      </c>
      <c r="U7" s="724" t="e">
        <f>H7/T7</f>
        <v>#DIV/0!</v>
      </c>
      <c r="V7" s="901">
        <f>Elect!BO6</f>
        <v>0</v>
      </c>
      <c r="W7" s="724" t="e">
        <f>H7/V7</f>
        <v>#DIV/0!</v>
      </c>
      <c r="X7" s="727">
        <f>H7*V1</f>
        <v>208.79999999999998</v>
      </c>
      <c r="Y7" s="724" t="e">
        <f>IF(X7&gt;0,X7/T7,0)</f>
        <v>#DIV/0!</v>
      </c>
      <c r="Z7" s="728">
        <v>0</v>
      </c>
    </row>
    <row r="8" spans="1:26" s="488" customFormat="1" ht="36.75" customHeight="1">
      <c r="A8" s="713">
        <v>2</v>
      </c>
      <c r="B8" s="113">
        <v>73924</v>
      </c>
      <c r="C8" s="760">
        <f t="shared" si="0"/>
        <v>133.39999999999998</v>
      </c>
      <c r="D8" s="860">
        <v>145831</v>
      </c>
      <c r="E8" s="760">
        <f t="shared" ref="E8:E37" si="2">IF(D8&gt;=D7,D8-D7,0)*10*0.58</f>
        <v>5.8</v>
      </c>
      <c r="F8" s="906">
        <v>15966</v>
      </c>
      <c r="G8" s="760">
        <f t="shared" si="1"/>
        <v>0</v>
      </c>
      <c r="H8" s="760">
        <f t="shared" ref="H8:H37" si="3">C8+E8+G8</f>
        <v>139.19999999999999</v>
      </c>
      <c r="I8" s="906"/>
      <c r="J8" s="760"/>
      <c r="K8" s="906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80.73599999999999</v>
      </c>
      <c r="R8" s="112"/>
      <c r="S8" s="484">
        <f t="shared" ref="S8:S37" si="6">IF(R8-R7&gt;0,R8-R7,0)</f>
        <v>0</v>
      </c>
      <c r="T8" s="901">
        <f>Elect!BM7</f>
        <v>0</v>
      </c>
      <c r="U8" s="724" t="e">
        <f t="shared" ref="U8:U37" si="7">H8/T8</f>
        <v>#DIV/0!</v>
      </c>
      <c r="V8" s="901">
        <f>Elect!BO7</f>
        <v>0</v>
      </c>
      <c r="W8" s="724" t="e">
        <f t="shared" ref="W8:W37" si="8">H8/V8</f>
        <v>#DIV/0!</v>
      </c>
      <c r="X8" s="727">
        <f>H8*V1</f>
        <v>556.79999999999995</v>
      </c>
      <c r="Y8" s="724" t="e">
        <f>IF(X8&gt;0,X8/T8,0)</f>
        <v>#DIV/0!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73940</v>
      </c>
      <c r="C9" s="760">
        <f t="shared" si="0"/>
        <v>92.8</v>
      </c>
      <c r="D9" s="860">
        <v>145838</v>
      </c>
      <c r="E9" s="760">
        <f t="shared" si="2"/>
        <v>40.599999999999994</v>
      </c>
      <c r="F9" s="906">
        <v>15966</v>
      </c>
      <c r="G9" s="760">
        <f t="shared" si="1"/>
        <v>0</v>
      </c>
      <c r="H9" s="760">
        <f t="shared" si="3"/>
        <v>133.39999999999998</v>
      </c>
      <c r="I9" s="906"/>
      <c r="J9" s="760"/>
      <c r="K9" s="906"/>
      <c r="L9" s="760"/>
      <c r="M9" s="760"/>
      <c r="N9" s="112"/>
      <c r="O9" s="600">
        <f t="shared" si="4"/>
        <v>0</v>
      </c>
      <c r="P9" s="112"/>
      <c r="Q9" s="484">
        <f t="shared" si="5"/>
        <v>77.371999999999986</v>
      </c>
      <c r="R9" s="112"/>
      <c r="S9" s="484">
        <f t="shared" si="6"/>
        <v>0</v>
      </c>
      <c r="T9" s="901">
        <f>Elect!BM8</f>
        <v>0</v>
      </c>
      <c r="U9" s="724" t="e">
        <f t="shared" si="7"/>
        <v>#DIV/0!</v>
      </c>
      <c r="V9" s="901">
        <f>Elect!BO8</f>
        <v>0</v>
      </c>
      <c r="W9" s="724" t="e">
        <f t="shared" si="8"/>
        <v>#DIV/0!</v>
      </c>
      <c r="X9" s="727">
        <f>H9*V1</f>
        <v>533.59999999999991</v>
      </c>
      <c r="Y9" s="724" t="e">
        <f t="shared" ref="Y9:Y37" si="9">IF(X9&gt;0,X9/T9,0)</f>
        <v>#DIV/0!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73980</v>
      </c>
      <c r="C10" s="760">
        <f t="shared" si="0"/>
        <v>231.99999999999997</v>
      </c>
      <c r="D10" s="860">
        <v>145840</v>
      </c>
      <c r="E10" s="760">
        <f t="shared" si="2"/>
        <v>11.6</v>
      </c>
      <c r="F10" s="906">
        <v>15966</v>
      </c>
      <c r="G10" s="760">
        <f t="shared" si="1"/>
        <v>0</v>
      </c>
      <c r="H10" s="760">
        <f t="shared" si="3"/>
        <v>243.59999999999997</v>
      </c>
      <c r="I10" s="906"/>
      <c r="J10" s="760"/>
      <c r="K10" s="906"/>
      <c r="L10" s="760"/>
      <c r="M10" s="760"/>
      <c r="N10" s="112"/>
      <c r="O10" s="600">
        <f t="shared" si="4"/>
        <v>0</v>
      </c>
      <c r="P10" s="112"/>
      <c r="Q10" s="484">
        <f t="shared" si="5"/>
        <v>141.28799999999998</v>
      </c>
      <c r="R10" s="112"/>
      <c r="S10" s="484">
        <f t="shared" si="6"/>
        <v>0</v>
      </c>
      <c r="T10" s="901">
        <f>Elect!BM9</f>
        <v>0</v>
      </c>
      <c r="U10" s="724" t="e">
        <f t="shared" si="7"/>
        <v>#DIV/0!</v>
      </c>
      <c r="V10" s="901">
        <f>Elect!BO9</f>
        <v>0</v>
      </c>
      <c r="W10" s="724" t="e">
        <f t="shared" si="8"/>
        <v>#DIV/0!</v>
      </c>
      <c r="X10" s="727">
        <f>H10*V1</f>
        <v>974.39999999999986</v>
      </c>
      <c r="Y10" s="724" t="e">
        <f t="shared" si="9"/>
        <v>#DIV/0!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73994</v>
      </c>
      <c r="C11" s="760">
        <f t="shared" si="0"/>
        <v>81.199999999999989</v>
      </c>
      <c r="D11" s="860">
        <v>145851</v>
      </c>
      <c r="E11" s="760">
        <f>IF(D11&gt;=D10,D11-D10,0)*10*0.58</f>
        <v>63.8</v>
      </c>
      <c r="F11" s="906">
        <v>15966</v>
      </c>
      <c r="G11" s="760">
        <f t="shared" si="1"/>
        <v>0</v>
      </c>
      <c r="H11" s="760">
        <f>C11+E11+G11</f>
        <v>145</v>
      </c>
      <c r="I11" s="906"/>
      <c r="J11" s="760"/>
      <c r="K11" s="906"/>
      <c r="L11" s="760"/>
      <c r="M11" s="760"/>
      <c r="N11" s="112"/>
      <c r="O11" s="600">
        <f t="shared" si="4"/>
        <v>0</v>
      </c>
      <c r="P11" s="112"/>
      <c r="Q11" s="484">
        <f t="shared" si="5"/>
        <v>84.1</v>
      </c>
      <c r="R11" s="112"/>
      <c r="S11" s="484">
        <f t="shared" si="6"/>
        <v>0</v>
      </c>
      <c r="T11" s="901">
        <f>Elect!BM10</f>
        <v>0</v>
      </c>
      <c r="U11" s="724" t="e">
        <f t="shared" si="7"/>
        <v>#DIV/0!</v>
      </c>
      <c r="V11" s="901">
        <f>Elect!BO10</f>
        <v>0</v>
      </c>
      <c r="W11" s="724" t="e">
        <f t="shared" si="8"/>
        <v>#DIV/0!</v>
      </c>
      <c r="X11" s="727">
        <f>H11*V1</f>
        <v>580</v>
      </c>
      <c r="Y11" s="724" t="e">
        <f t="shared" si="9"/>
        <v>#DIV/0!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74002</v>
      </c>
      <c r="C12" s="760">
        <f t="shared" si="0"/>
        <v>46.4</v>
      </c>
      <c r="D12" s="860">
        <v>145859</v>
      </c>
      <c r="E12" s="760">
        <f>IF(D12&gt;=D11,D12-D11,0)*10*0.58</f>
        <v>46.4</v>
      </c>
      <c r="F12" s="906">
        <v>15966</v>
      </c>
      <c r="G12" s="760">
        <f t="shared" si="1"/>
        <v>0</v>
      </c>
      <c r="H12" s="760">
        <f t="shared" si="3"/>
        <v>92.8</v>
      </c>
      <c r="I12" s="906"/>
      <c r="J12" s="760"/>
      <c r="K12" s="906"/>
      <c r="L12" s="760"/>
      <c r="M12" s="760"/>
      <c r="N12" s="112"/>
      <c r="O12" s="600">
        <f t="shared" si="4"/>
        <v>0</v>
      </c>
      <c r="P12" s="112"/>
      <c r="Q12" s="484">
        <f t="shared" si="5"/>
        <v>53.823999999999998</v>
      </c>
      <c r="R12" s="112"/>
      <c r="S12" s="484">
        <f t="shared" si="6"/>
        <v>0</v>
      </c>
      <c r="T12" s="901">
        <f>Elect!BM11</f>
        <v>0</v>
      </c>
      <c r="U12" s="724" t="e">
        <f t="shared" si="7"/>
        <v>#DIV/0!</v>
      </c>
      <c r="V12" s="901">
        <f>Elect!BO11</f>
        <v>0</v>
      </c>
      <c r="W12" s="724" t="e">
        <f t="shared" si="8"/>
        <v>#DIV/0!</v>
      </c>
      <c r="X12" s="727">
        <f>H12*V1</f>
        <v>371.2</v>
      </c>
      <c r="Y12" s="724" t="e">
        <f t="shared" si="9"/>
        <v>#DIV/0!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74014</v>
      </c>
      <c r="C13" s="760">
        <f t="shared" si="0"/>
        <v>69.599999999999994</v>
      </c>
      <c r="D13" s="860">
        <v>145864</v>
      </c>
      <c r="E13" s="760">
        <f>IF(D13&gt;=D12,D13-D12,0)*10*0.58</f>
        <v>28.999999999999996</v>
      </c>
      <c r="F13" s="906">
        <v>15966</v>
      </c>
      <c r="G13" s="760">
        <f t="shared" si="1"/>
        <v>0</v>
      </c>
      <c r="H13" s="760">
        <f>C13+E13+G13</f>
        <v>98.6</v>
      </c>
      <c r="I13" s="906"/>
      <c r="J13" s="760"/>
      <c r="K13" s="906"/>
      <c r="L13" s="760"/>
      <c r="M13" s="760"/>
      <c r="N13" s="112"/>
      <c r="O13" s="600">
        <f t="shared" si="4"/>
        <v>0</v>
      </c>
      <c r="P13" s="112"/>
      <c r="Q13" s="484">
        <f t="shared" si="5"/>
        <v>57.187999999999995</v>
      </c>
      <c r="R13" s="112"/>
      <c r="S13" s="484">
        <f t="shared" si="6"/>
        <v>0</v>
      </c>
      <c r="T13" s="901">
        <f>Elect!BM12</f>
        <v>0</v>
      </c>
      <c r="U13" s="724" t="e">
        <f t="shared" si="7"/>
        <v>#DIV/0!</v>
      </c>
      <c r="V13" s="901">
        <f>Elect!BO12</f>
        <v>0</v>
      </c>
      <c r="W13" s="724" t="e">
        <f t="shared" si="8"/>
        <v>#DIV/0!</v>
      </c>
      <c r="X13" s="727">
        <f>H13*V1</f>
        <v>394.4</v>
      </c>
      <c r="Y13" s="724" t="e">
        <f t="shared" si="9"/>
        <v>#DIV/0!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74027</v>
      </c>
      <c r="C14" s="760">
        <f t="shared" si="0"/>
        <v>75.399999999999991</v>
      </c>
      <c r="D14" s="860">
        <v>145871</v>
      </c>
      <c r="E14" s="760">
        <f>IF(D14&gt;=D13,D14-D13,0)*10*0.58</f>
        <v>40.599999999999994</v>
      </c>
      <c r="F14" s="906">
        <v>15966</v>
      </c>
      <c r="G14" s="760">
        <f t="shared" si="1"/>
        <v>0</v>
      </c>
      <c r="H14" s="760">
        <f t="shared" si="3"/>
        <v>115.99999999999999</v>
      </c>
      <c r="I14" s="906"/>
      <c r="J14" s="760"/>
      <c r="K14" s="906"/>
      <c r="L14" s="760"/>
      <c r="M14" s="760"/>
      <c r="N14" s="112"/>
      <c r="O14" s="600">
        <f t="shared" si="4"/>
        <v>0</v>
      </c>
      <c r="P14" s="112"/>
      <c r="Q14" s="484">
        <f t="shared" si="5"/>
        <v>67.279999999999987</v>
      </c>
      <c r="R14" s="112"/>
      <c r="S14" s="484">
        <f t="shared" si="6"/>
        <v>0</v>
      </c>
      <c r="T14" s="901">
        <f>Elect!BM13</f>
        <v>0</v>
      </c>
      <c r="U14" s="724" t="e">
        <f t="shared" si="7"/>
        <v>#DIV/0!</v>
      </c>
      <c r="V14" s="901">
        <f>Elect!BO13</f>
        <v>0</v>
      </c>
      <c r="W14" s="724" t="e">
        <f t="shared" si="8"/>
        <v>#DIV/0!</v>
      </c>
      <c r="X14" s="727">
        <f>H14*V1</f>
        <v>463.99999999999994</v>
      </c>
      <c r="Y14" s="724" t="e">
        <f t="shared" si="9"/>
        <v>#DIV/0!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74044</v>
      </c>
      <c r="C15" s="760">
        <f t="shared" si="0"/>
        <v>98.6</v>
      </c>
      <c r="D15" s="860">
        <v>145877</v>
      </c>
      <c r="E15" s="760">
        <f>IF(D15&gt;=D14,D15-D14,0)*10*0.58</f>
        <v>34.799999999999997</v>
      </c>
      <c r="F15" s="906">
        <v>15966</v>
      </c>
      <c r="G15" s="760">
        <f t="shared" ref="G15:G37" si="11">IF(F15&gt;=F14,F15-F14,0)*0.58</f>
        <v>0</v>
      </c>
      <c r="H15" s="760">
        <f t="shared" si="3"/>
        <v>133.39999999999998</v>
      </c>
      <c r="I15" s="906"/>
      <c r="J15" s="760"/>
      <c r="K15" s="906"/>
      <c r="L15" s="760"/>
      <c r="M15" s="760"/>
      <c r="N15" s="112"/>
      <c r="O15" s="600">
        <f t="shared" si="4"/>
        <v>0</v>
      </c>
      <c r="P15" s="112"/>
      <c r="Q15" s="484">
        <f t="shared" si="5"/>
        <v>77.371999999999986</v>
      </c>
      <c r="R15" s="112"/>
      <c r="S15" s="484">
        <f t="shared" si="6"/>
        <v>0</v>
      </c>
      <c r="T15" s="901">
        <f>Elect!BM14</f>
        <v>0</v>
      </c>
      <c r="U15" s="724" t="e">
        <f t="shared" si="7"/>
        <v>#DIV/0!</v>
      </c>
      <c r="V15" s="901">
        <f>Elect!BO14</f>
        <v>0</v>
      </c>
      <c r="W15" s="724" t="e">
        <f t="shared" si="8"/>
        <v>#DIV/0!</v>
      </c>
      <c r="X15" s="727">
        <f>H15*V1</f>
        <v>533.59999999999991</v>
      </c>
      <c r="Y15" s="724" t="e">
        <f t="shared" si="9"/>
        <v>#DIV/0!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74049</v>
      </c>
      <c r="C16" s="760">
        <f t="shared" ref="C16:C35" si="12">IF(B16&gt;=B15,B16-B15,0)*10*0.58</f>
        <v>28.999999999999996</v>
      </c>
      <c r="D16" s="860">
        <v>145880</v>
      </c>
      <c r="E16" s="760">
        <f t="shared" si="2"/>
        <v>17.399999999999999</v>
      </c>
      <c r="F16" s="906">
        <v>15980</v>
      </c>
      <c r="G16" s="760">
        <f t="shared" si="11"/>
        <v>8.1199999999999992</v>
      </c>
      <c r="H16" s="760">
        <f t="shared" si="3"/>
        <v>54.519999999999989</v>
      </c>
      <c r="I16" s="906"/>
      <c r="J16" s="760"/>
      <c r="K16" s="906"/>
      <c r="L16" s="760"/>
      <c r="M16" s="760"/>
      <c r="N16" s="112"/>
      <c r="O16" s="600">
        <f t="shared" si="4"/>
        <v>0</v>
      </c>
      <c r="P16" s="112"/>
      <c r="Q16" s="484">
        <f t="shared" si="5"/>
        <v>31.62159999999999</v>
      </c>
      <c r="R16" s="112"/>
      <c r="S16" s="484">
        <f t="shared" si="6"/>
        <v>0</v>
      </c>
      <c r="T16" s="901">
        <f>Elect!BM15</f>
        <v>0</v>
      </c>
      <c r="U16" s="724" t="e">
        <f t="shared" si="7"/>
        <v>#DIV/0!</v>
      </c>
      <c r="V16" s="901">
        <f>Elect!BO15</f>
        <v>0</v>
      </c>
      <c r="W16" s="724" t="e">
        <f t="shared" si="8"/>
        <v>#DIV/0!</v>
      </c>
      <c r="X16" s="727">
        <f>H16*V1</f>
        <v>218.07999999999996</v>
      </c>
      <c r="Y16" s="724" t="e">
        <f t="shared" si="9"/>
        <v>#DIV/0!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74057</v>
      </c>
      <c r="C17" s="760">
        <f t="shared" si="12"/>
        <v>46.4</v>
      </c>
      <c r="D17" s="860">
        <v>145885</v>
      </c>
      <c r="E17" s="760">
        <f t="shared" si="2"/>
        <v>28.999999999999996</v>
      </c>
      <c r="F17" s="906">
        <v>15989</v>
      </c>
      <c r="G17" s="760">
        <f t="shared" si="11"/>
        <v>5.22</v>
      </c>
      <c r="H17" s="760">
        <f t="shared" si="3"/>
        <v>80.61999999999999</v>
      </c>
      <c r="I17" s="906"/>
      <c r="J17" s="760"/>
      <c r="K17" s="906"/>
      <c r="L17" s="760"/>
      <c r="M17" s="760"/>
      <c r="N17" s="112"/>
      <c r="O17" s="600">
        <f t="shared" si="4"/>
        <v>0</v>
      </c>
      <c r="P17" s="112"/>
      <c r="Q17" s="484">
        <f t="shared" si="5"/>
        <v>46.759599999999992</v>
      </c>
      <c r="R17" s="112"/>
      <c r="S17" s="484">
        <f t="shared" si="6"/>
        <v>0</v>
      </c>
      <c r="T17" s="901">
        <f>Elect!BM16</f>
        <v>0</v>
      </c>
      <c r="U17" s="724" t="e">
        <f t="shared" si="7"/>
        <v>#DIV/0!</v>
      </c>
      <c r="V17" s="901">
        <f>Elect!BO16</f>
        <v>0</v>
      </c>
      <c r="W17" s="724" t="e">
        <f t="shared" si="8"/>
        <v>#DIV/0!</v>
      </c>
      <c r="X17" s="727">
        <f>H17*V1</f>
        <v>322.47999999999996</v>
      </c>
      <c r="Y17" s="724" t="e">
        <f t="shared" si="9"/>
        <v>#DIV/0!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74064</v>
      </c>
      <c r="C18" s="760">
        <f t="shared" si="12"/>
        <v>40.599999999999994</v>
      </c>
      <c r="D18" s="860">
        <v>145890</v>
      </c>
      <c r="E18" s="760">
        <f t="shared" si="2"/>
        <v>28.999999999999996</v>
      </c>
      <c r="F18" s="906">
        <v>16002</v>
      </c>
      <c r="G18" s="760">
        <f t="shared" si="11"/>
        <v>7.5399999999999991</v>
      </c>
      <c r="H18" s="760">
        <f t="shared" si="3"/>
        <v>77.139999999999986</v>
      </c>
      <c r="I18" s="906"/>
      <c r="J18" s="760"/>
      <c r="K18" s="906"/>
      <c r="L18" s="760"/>
      <c r="M18" s="760"/>
      <c r="N18" s="112"/>
      <c r="O18" s="600">
        <f t="shared" si="4"/>
        <v>0</v>
      </c>
      <c r="P18" s="112"/>
      <c r="Q18" s="484">
        <f t="shared" si="5"/>
        <v>44.741199999999992</v>
      </c>
      <c r="R18" s="112"/>
      <c r="S18" s="484">
        <f t="shared" si="6"/>
        <v>0</v>
      </c>
      <c r="T18" s="901">
        <f>Elect!BM17</f>
        <v>0</v>
      </c>
      <c r="U18" s="724" t="e">
        <f t="shared" si="7"/>
        <v>#DIV/0!</v>
      </c>
      <c r="V18" s="901">
        <f>Elect!BO17</f>
        <v>0</v>
      </c>
      <c r="W18" s="724" t="e">
        <f t="shared" si="8"/>
        <v>#DIV/0!</v>
      </c>
      <c r="X18" s="727">
        <f>H18*V1</f>
        <v>308.55999999999995</v>
      </c>
      <c r="Y18" s="724" t="e">
        <f t="shared" si="9"/>
        <v>#DIV/0!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74075</v>
      </c>
      <c r="C19" s="760">
        <f t="shared" si="12"/>
        <v>63.8</v>
      </c>
      <c r="D19" s="860">
        <v>145898</v>
      </c>
      <c r="E19" s="760">
        <f t="shared" si="2"/>
        <v>46.4</v>
      </c>
      <c r="F19" s="906">
        <v>16014</v>
      </c>
      <c r="G19" s="760">
        <f t="shared" si="11"/>
        <v>6.9599999999999991</v>
      </c>
      <c r="H19" s="760">
        <f t="shared" si="3"/>
        <v>117.15999999999998</v>
      </c>
      <c r="I19" s="906"/>
      <c r="J19" s="760"/>
      <c r="K19" s="906"/>
      <c r="L19" s="760"/>
      <c r="M19" s="760"/>
      <c r="N19" s="112"/>
      <c r="O19" s="600">
        <f t="shared" si="4"/>
        <v>0</v>
      </c>
      <c r="P19" s="112"/>
      <c r="Q19" s="484">
        <f t="shared" si="5"/>
        <v>67.952799999999982</v>
      </c>
      <c r="R19" s="112"/>
      <c r="S19" s="484">
        <f t="shared" si="6"/>
        <v>0</v>
      </c>
      <c r="T19" s="901">
        <f>Elect!BM18</f>
        <v>0</v>
      </c>
      <c r="U19" s="724" t="e">
        <f t="shared" si="7"/>
        <v>#DIV/0!</v>
      </c>
      <c r="V19" s="901">
        <f>Elect!BO18</f>
        <v>0</v>
      </c>
      <c r="W19" s="724" t="e">
        <f t="shared" si="8"/>
        <v>#DIV/0!</v>
      </c>
      <c r="X19" s="727">
        <f>H19*V1</f>
        <v>468.63999999999993</v>
      </c>
      <c r="Y19" s="724" t="e">
        <f t="shared" si="9"/>
        <v>#DIV/0!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74082</v>
      </c>
      <c r="C20" s="760">
        <f t="shared" si="12"/>
        <v>40.599999999999994</v>
      </c>
      <c r="D20" s="860">
        <v>145903</v>
      </c>
      <c r="E20" s="760">
        <f t="shared" si="2"/>
        <v>28.999999999999996</v>
      </c>
      <c r="F20" s="906">
        <v>16027</v>
      </c>
      <c r="G20" s="760">
        <f t="shared" si="11"/>
        <v>7.5399999999999991</v>
      </c>
      <c r="H20" s="760">
        <f t="shared" si="3"/>
        <v>77.139999999999986</v>
      </c>
      <c r="I20" s="906"/>
      <c r="J20" s="760"/>
      <c r="K20" s="906"/>
      <c r="L20" s="760"/>
      <c r="M20" s="760"/>
      <c r="N20" s="112"/>
      <c r="O20" s="600">
        <f t="shared" si="4"/>
        <v>0</v>
      </c>
      <c r="P20" s="112"/>
      <c r="Q20" s="484">
        <f t="shared" si="5"/>
        <v>44.741199999999992</v>
      </c>
      <c r="R20" s="112"/>
      <c r="S20" s="484">
        <f t="shared" si="6"/>
        <v>0</v>
      </c>
      <c r="T20" s="901">
        <f>Elect!BM19</f>
        <v>0</v>
      </c>
      <c r="U20" s="724" t="e">
        <f t="shared" si="7"/>
        <v>#DIV/0!</v>
      </c>
      <c r="V20" s="901">
        <f>Elect!BO19</f>
        <v>0</v>
      </c>
      <c r="W20" s="724" t="e">
        <f t="shared" si="8"/>
        <v>#DIV/0!</v>
      </c>
      <c r="X20" s="727">
        <f>H20*V1</f>
        <v>308.55999999999995</v>
      </c>
      <c r="Y20" s="724" t="e">
        <f t="shared" si="9"/>
        <v>#DIV/0!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74091</v>
      </c>
      <c r="C21" s="760">
        <f t="shared" si="12"/>
        <v>52.199999999999996</v>
      </c>
      <c r="D21" s="860">
        <v>145912</v>
      </c>
      <c r="E21" s="760">
        <f t="shared" ref="E21:E27" si="13">IF(D21&gt;=D20,D21-D20,0)*10*0.58</f>
        <v>52.199999999999996</v>
      </c>
      <c r="F21" s="906">
        <v>16034</v>
      </c>
      <c r="G21" s="760">
        <f t="shared" si="11"/>
        <v>4.0599999999999996</v>
      </c>
      <c r="H21" s="760">
        <f t="shared" si="3"/>
        <v>108.46</v>
      </c>
      <c r="I21" s="906"/>
      <c r="J21" s="760"/>
      <c r="K21" s="906"/>
      <c r="L21" s="760"/>
      <c r="M21" s="760"/>
      <c r="N21" s="112"/>
      <c r="O21" s="600">
        <f t="shared" si="4"/>
        <v>0</v>
      </c>
      <c r="P21" s="112"/>
      <c r="Q21" s="484">
        <f t="shared" si="5"/>
        <v>62.90679999999999</v>
      </c>
      <c r="R21" s="112"/>
      <c r="S21" s="484">
        <f t="shared" si="6"/>
        <v>0</v>
      </c>
      <c r="T21" s="901">
        <f>Elect!BM20</f>
        <v>0</v>
      </c>
      <c r="U21" s="724" t="e">
        <f t="shared" si="7"/>
        <v>#DIV/0!</v>
      </c>
      <c r="V21" s="901">
        <f>Elect!BO20</f>
        <v>0</v>
      </c>
      <c r="W21" s="724" t="e">
        <f t="shared" si="8"/>
        <v>#DIV/0!</v>
      </c>
      <c r="X21" s="727">
        <f>H21*V1</f>
        <v>433.84</v>
      </c>
      <c r="Y21" s="724" t="e">
        <f t="shared" si="9"/>
        <v>#DIV/0!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74097</v>
      </c>
      <c r="C22" s="760">
        <f t="shared" si="12"/>
        <v>34.799999999999997</v>
      </c>
      <c r="D22" s="860">
        <v>145919</v>
      </c>
      <c r="E22" s="760">
        <f t="shared" si="13"/>
        <v>40.599999999999994</v>
      </c>
      <c r="F22" s="906">
        <v>16040</v>
      </c>
      <c r="G22" s="760">
        <f>IF(F22&gt;=F21,F22-F21,0)*0.58</f>
        <v>3.4799999999999995</v>
      </c>
      <c r="H22" s="760">
        <f t="shared" si="3"/>
        <v>78.88</v>
      </c>
      <c r="I22" s="906"/>
      <c r="J22" s="760"/>
      <c r="K22" s="906"/>
      <c r="L22" s="760"/>
      <c r="M22" s="760"/>
      <c r="N22" s="112"/>
      <c r="O22" s="600">
        <f t="shared" si="4"/>
        <v>0</v>
      </c>
      <c r="P22" s="112"/>
      <c r="Q22" s="484">
        <f t="shared" si="5"/>
        <v>45.750399999999992</v>
      </c>
      <c r="R22" s="112"/>
      <c r="S22" s="484">
        <f t="shared" si="6"/>
        <v>0</v>
      </c>
      <c r="T22" s="901">
        <f>Elect!BM21</f>
        <v>0</v>
      </c>
      <c r="U22" s="724" t="e">
        <f t="shared" si="7"/>
        <v>#DIV/0!</v>
      </c>
      <c r="V22" s="901">
        <f>Elect!BO21</f>
        <v>0</v>
      </c>
      <c r="W22" s="724" t="e">
        <f t="shared" si="8"/>
        <v>#DIV/0!</v>
      </c>
      <c r="X22" s="727">
        <f>H22*V1</f>
        <v>315.52</v>
      </c>
      <c r="Y22" s="724" t="e">
        <f t="shared" si="9"/>
        <v>#DIV/0!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74100</v>
      </c>
      <c r="C23" s="760">
        <f t="shared" si="12"/>
        <v>17.399999999999999</v>
      </c>
      <c r="D23" s="860">
        <v>145925</v>
      </c>
      <c r="E23" s="760">
        <f t="shared" si="13"/>
        <v>34.799999999999997</v>
      </c>
      <c r="F23" s="906">
        <v>16042</v>
      </c>
      <c r="G23" s="760">
        <f>IF(F23&gt;=F22,F23-F22,0)*0.58</f>
        <v>1.1599999999999999</v>
      </c>
      <c r="H23" s="760">
        <f t="shared" si="3"/>
        <v>53.359999999999992</v>
      </c>
      <c r="I23" s="906"/>
      <c r="J23" s="760"/>
      <c r="K23" s="906"/>
      <c r="L23" s="760"/>
      <c r="M23" s="760"/>
      <c r="N23" s="112"/>
      <c r="O23" s="600">
        <f t="shared" si="4"/>
        <v>0</v>
      </c>
      <c r="P23" s="112"/>
      <c r="Q23" s="484">
        <f t="shared" si="5"/>
        <v>30.948799999999995</v>
      </c>
      <c r="R23" s="112"/>
      <c r="S23" s="484">
        <f t="shared" si="6"/>
        <v>0</v>
      </c>
      <c r="T23" s="901">
        <f>Elect!BM22</f>
        <v>0</v>
      </c>
      <c r="U23" s="724" t="e">
        <f t="shared" si="7"/>
        <v>#DIV/0!</v>
      </c>
      <c r="V23" s="901">
        <f>Elect!BO22</f>
        <v>0</v>
      </c>
      <c r="W23" s="724" t="e">
        <f t="shared" si="8"/>
        <v>#DIV/0!</v>
      </c>
      <c r="X23" s="727">
        <f>H23*V1</f>
        <v>213.43999999999997</v>
      </c>
      <c r="Y23" s="724" t="e">
        <f t="shared" si="9"/>
        <v>#DIV/0!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74106</v>
      </c>
      <c r="C24" s="760">
        <f t="shared" si="12"/>
        <v>34.799999999999997</v>
      </c>
      <c r="D24" s="860">
        <v>145930</v>
      </c>
      <c r="E24" s="760">
        <f t="shared" si="13"/>
        <v>28.999999999999996</v>
      </c>
      <c r="F24" s="906">
        <v>16046</v>
      </c>
      <c r="G24" s="760">
        <f>IF(F24&gt;=F23,F24-F23,0)*0.58</f>
        <v>2.3199999999999998</v>
      </c>
      <c r="H24" s="760">
        <f t="shared" si="3"/>
        <v>66.11999999999999</v>
      </c>
      <c r="I24" s="906"/>
      <c r="J24" s="760"/>
      <c r="K24" s="906"/>
      <c r="L24" s="760"/>
      <c r="M24" s="760"/>
      <c r="N24" s="112"/>
      <c r="O24" s="600">
        <f t="shared" si="4"/>
        <v>0</v>
      </c>
      <c r="P24" s="112"/>
      <c r="Q24" s="484">
        <f t="shared" si="5"/>
        <v>38.349599999999995</v>
      </c>
      <c r="R24" s="112"/>
      <c r="S24" s="484">
        <f t="shared" si="6"/>
        <v>0</v>
      </c>
      <c r="T24" s="901">
        <f>Elect!BM23</f>
        <v>0</v>
      </c>
      <c r="U24" s="724" t="e">
        <f t="shared" si="7"/>
        <v>#DIV/0!</v>
      </c>
      <c r="V24" s="901">
        <f>Elect!BO23</f>
        <v>0</v>
      </c>
      <c r="W24" s="724" t="e">
        <f t="shared" si="8"/>
        <v>#DIV/0!</v>
      </c>
      <c r="X24" s="727">
        <f>H24*V1</f>
        <v>264.47999999999996</v>
      </c>
      <c r="Y24" s="724" t="e">
        <f t="shared" si="9"/>
        <v>#DIV/0!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74108</v>
      </c>
      <c r="C25" s="760">
        <f t="shared" si="12"/>
        <v>11.6</v>
      </c>
      <c r="D25" s="860">
        <v>145939</v>
      </c>
      <c r="E25" s="760">
        <f t="shared" si="13"/>
        <v>52.199999999999996</v>
      </c>
      <c r="F25" s="906">
        <v>16046</v>
      </c>
      <c r="G25" s="760">
        <f>IF(F25&gt;=F24,F25-F24,0)*0.58</f>
        <v>0</v>
      </c>
      <c r="H25" s="760">
        <f t="shared" si="3"/>
        <v>63.8</v>
      </c>
      <c r="I25" s="906"/>
      <c r="J25" s="760"/>
      <c r="K25" s="906"/>
      <c r="L25" s="760"/>
      <c r="M25" s="760"/>
      <c r="N25" s="112"/>
      <c r="O25" s="600">
        <f t="shared" si="4"/>
        <v>0</v>
      </c>
      <c r="P25" s="112"/>
      <c r="Q25" s="484">
        <f t="shared" si="5"/>
        <v>37.003999999999998</v>
      </c>
      <c r="R25" s="112"/>
      <c r="S25" s="484">
        <f t="shared" si="6"/>
        <v>0</v>
      </c>
      <c r="T25" s="901">
        <f>Elect!BM24</f>
        <v>0</v>
      </c>
      <c r="U25" s="724" t="e">
        <f t="shared" si="7"/>
        <v>#DIV/0!</v>
      </c>
      <c r="V25" s="901">
        <f>Elect!BO24</f>
        <v>0</v>
      </c>
      <c r="W25" s="724" t="e">
        <f t="shared" si="8"/>
        <v>#DIV/0!</v>
      </c>
      <c r="X25" s="727">
        <f>H25*V1</f>
        <v>255.2</v>
      </c>
      <c r="Y25" s="724" t="e">
        <f t="shared" si="9"/>
        <v>#DIV/0!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74110</v>
      </c>
      <c r="C26" s="760">
        <f t="shared" si="12"/>
        <v>11.6</v>
      </c>
      <c r="D26" s="860">
        <v>145941</v>
      </c>
      <c r="E26" s="760">
        <f t="shared" si="13"/>
        <v>11.6</v>
      </c>
      <c r="F26" s="906">
        <v>16047</v>
      </c>
      <c r="G26" s="760">
        <f t="shared" si="11"/>
        <v>0.57999999999999996</v>
      </c>
      <c r="H26" s="760">
        <f t="shared" si="3"/>
        <v>23.779999999999998</v>
      </c>
      <c r="I26" s="906"/>
      <c r="J26" s="760"/>
      <c r="K26" s="906"/>
      <c r="L26" s="760"/>
      <c r="M26" s="760"/>
      <c r="N26" s="112"/>
      <c r="O26" s="600">
        <f t="shared" si="4"/>
        <v>0</v>
      </c>
      <c r="P26" s="112"/>
      <c r="Q26" s="484">
        <f t="shared" si="5"/>
        <v>13.792399999999997</v>
      </c>
      <c r="R26" s="112"/>
      <c r="S26" s="484">
        <f t="shared" si="6"/>
        <v>0</v>
      </c>
      <c r="T26" s="901">
        <f>Elect!BM25</f>
        <v>0</v>
      </c>
      <c r="U26" s="724" t="e">
        <f t="shared" si="7"/>
        <v>#DIV/0!</v>
      </c>
      <c r="V26" s="901">
        <f>Elect!BO25</f>
        <v>0</v>
      </c>
      <c r="W26" s="724" t="e">
        <f t="shared" si="8"/>
        <v>#DIV/0!</v>
      </c>
      <c r="X26" s="727">
        <f>H26*V1</f>
        <v>95.11999999999999</v>
      </c>
      <c r="Y26" s="724" t="e">
        <f t="shared" si="9"/>
        <v>#DIV/0!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>
        <v>74111</v>
      </c>
      <c r="C27" s="760">
        <f t="shared" si="12"/>
        <v>5.8</v>
      </c>
      <c r="D27" s="860">
        <v>145942</v>
      </c>
      <c r="E27" s="760">
        <f t="shared" si="13"/>
        <v>5.8</v>
      </c>
      <c r="F27" s="906">
        <v>16047</v>
      </c>
      <c r="G27" s="760">
        <f t="shared" si="11"/>
        <v>0</v>
      </c>
      <c r="H27" s="760">
        <f t="shared" si="3"/>
        <v>11.6</v>
      </c>
      <c r="I27" s="906"/>
      <c r="J27" s="760"/>
      <c r="K27" s="906"/>
      <c r="L27" s="760"/>
      <c r="M27" s="760"/>
      <c r="N27" s="112"/>
      <c r="O27" s="600">
        <f t="shared" si="4"/>
        <v>0</v>
      </c>
      <c r="P27" s="112"/>
      <c r="Q27" s="484">
        <f t="shared" si="5"/>
        <v>6.7279999999999998</v>
      </c>
      <c r="R27" s="112"/>
      <c r="S27" s="484">
        <f t="shared" si="6"/>
        <v>0</v>
      </c>
      <c r="T27" s="901">
        <f>Elect!BM26</f>
        <v>0</v>
      </c>
      <c r="U27" s="724" t="e">
        <f t="shared" si="7"/>
        <v>#DIV/0!</v>
      </c>
      <c r="V27" s="901">
        <f>Elect!BO26</f>
        <v>0</v>
      </c>
      <c r="W27" s="724" t="e">
        <f t="shared" si="8"/>
        <v>#DIV/0!</v>
      </c>
      <c r="X27" s="727">
        <f>H27*V1</f>
        <v>46.4</v>
      </c>
      <c r="Y27" s="724" t="e">
        <f t="shared" si="9"/>
        <v>#DIV/0!</v>
      </c>
      <c r="Z27" s="728" t="e">
        <f t="shared" si="10"/>
        <v>#DIV/0!</v>
      </c>
    </row>
    <row r="28" spans="1:26" s="488" customFormat="1" ht="36.75" customHeight="1">
      <c r="A28" s="713">
        <v>22</v>
      </c>
      <c r="B28" s="113">
        <v>74112</v>
      </c>
      <c r="C28" s="760">
        <f t="shared" si="12"/>
        <v>5.8</v>
      </c>
      <c r="D28" s="860">
        <v>145945</v>
      </c>
      <c r="E28" s="760">
        <f t="shared" si="2"/>
        <v>17.399999999999999</v>
      </c>
      <c r="F28" s="906">
        <v>16047</v>
      </c>
      <c r="G28" s="760">
        <f t="shared" si="11"/>
        <v>0</v>
      </c>
      <c r="H28" s="760">
        <f t="shared" si="3"/>
        <v>23.2</v>
      </c>
      <c r="I28" s="906"/>
      <c r="J28" s="760"/>
      <c r="K28" s="906"/>
      <c r="L28" s="760"/>
      <c r="M28" s="760"/>
      <c r="N28" s="112"/>
      <c r="O28" s="600">
        <f t="shared" si="4"/>
        <v>0</v>
      </c>
      <c r="P28" s="112"/>
      <c r="Q28" s="484">
        <f t="shared" si="5"/>
        <v>13.456</v>
      </c>
      <c r="R28" s="112"/>
      <c r="S28" s="484">
        <f t="shared" si="6"/>
        <v>0</v>
      </c>
      <c r="T28" s="901">
        <f>Elect!BM27</f>
        <v>0</v>
      </c>
      <c r="U28" s="724" t="e">
        <f t="shared" si="7"/>
        <v>#DIV/0!</v>
      </c>
      <c r="V28" s="901">
        <f>Elect!BO27</f>
        <v>0</v>
      </c>
      <c r="W28" s="724" t="e">
        <f t="shared" si="8"/>
        <v>#DIV/0!</v>
      </c>
      <c r="X28" s="727">
        <f>H28*V1</f>
        <v>92.8</v>
      </c>
      <c r="Y28" s="724" t="e">
        <f t="shared" si="9"/>
        <v>#DIV/0!</v>
      </c>
      <c r="Z28" s="728" t="e">
        <f t="shared" si="10"/>
        <v>#DIV/0!</v>
      </c>
    </row>
    <row r="29" spans="1:26" s="488" customFormat="1" ht="36.75" customHeight="1">
      <c r="A29" s="714">
        <v>23</v>
      </c>
      <c r="B29" s="113">
        <v>74112</v>
      </c>
      <c r="C29" s="760">
        <f t="shared" si="12"/>
        <v>0</v>
      </c>
      <c r="D29" s="860">
        <v>145973</v>
      </c>
      <c r="E29" s="760">
        <f t="shared" si="2"/>
        <v>162.39999999999998</v>
      </c>
      <c r="F29" s="906">
        <v>16047</v>
      </c>
      <c r="G29" s="760">
        <f t="shared" si="11"/>
        <v>0</v>
      </c>
      <c r="H29" s="760">
        <f t="shared" si="3"/>
        <v>162.39999999999998</v>
      </c>
      <c r="I29" s="906"/>
      <c r="J29" s="760"/>
      <c r="K29" s="906"/>
      <c r="L29" s="760"/>
      <c r="M29" s="760"/>
      <c r="N29" s="112"/>
      <c r="O29" s="600">
        <f t="shared" si="4"/>
        <v>0</v>
      </c>
      <c r="P29" s="112"/>
      <c r="Q29" s="484">
        <f t="shared" si="5"/>
        <v>94.191999999999979</v>
      </c>
      <c r="R29" s="509"/>
      <c r="S29" s="484">
        <f t="shared" si="6"/>
        <v>0</v>
      </c>
      <c r="T29" s="901">
        <f>Elect!BM28</f>
        <v>0</v>
      </c>
      <c r="U29" s="724" t="e">
        <f t="shared" si="7"/>
        <v>#DIV/0!</v>
      </c>
      <c r="V29" s="901">
        <f>Elect!BO28</f>
        <v>0</v>
      </c>
      <c r="W29" s="724" t="e">
        <f t="shared" si="8"/>
        <v>#DIV/0!</v>
      </c>
      <c r="X29" s="727">
        <f>H29*V1</f>
        <v>649.59999999999991</v>
      </c>
      <c r="Y29" s="724" t="e">
        <f t="shared" si="9"/>
        <v>#DIV/0!</v>
      </c>
      <c r="Z29" s="728" t="e">
        <f t="shared" si="10"/>
        <v>#DIV/0!</v>
      </c>
    </row>
    <row r="30" spans="1:26" s="488" customFormat="1" ht="36.75" customHeight="1">
      <c r="A30" s="713">
        <v>24</v>
      </c>
      <c r="B30" s="113">
        <v>74112</v>
      </c>
      <c r="C30" s="760">
        <f t="shared" si="12"/>
        <v>0</v>
      </c>
      <c r="D30" s="860">
        <v>145985</v>
      </c>
      <c r="E30" s="760">
        <f t="shared" si="2"/>
        <v>69.599999999999994</v>
      </c>
      <c r="F30" s="906">
        <v>16047</v>
      </c>
      <c r="G30" s="760">
        <f t="shared" si="11"/>
        <v>0</v>
      </c>
      <c r="H30" s="760">
        <f t="shared" si="3"/>
        <v>69.599999999999994</v>
      </c>
      <c r="I30" s="906"/>
      <c r="J30" s="760"/>
      <c r="K30" s="906"/>
      <c r="L30" s="760"/>
      <c r="M30" s="760"/>
      <c r="N30" s="112"/>
      <c r="O30" s="600">
        <f t="shared" si="4"/>
        <v>0</v>
      </c>
      <c r="P30" s="112"/>
      <c r="Q30" s="484">
        <f t="shared" si="5"/>
        <v>40.367999999999995</v>
      </c>
      <c r="R30" s="509"/>
      <c r="S30" s="484">
        <f t="shared" si="6"/>
        <v>0</v>
      </c>
      <c r="T30" s="901">
        <f>Elect!BM29</f>
        <v>0</v>
      </c>
      <c r="U30" s="724" t="e">
        <f t="shared" si="7"/>
        <v>#DIV/0!</v>
      </c>
      <c r="V30" s="901">
        <f>Elect!BO29</f>
        <v>0</v>
      </c>
      <c r="W30" s="724" t="e">
        <f t="shared" si="8"/>
        <v>#DIV/0!</v>
      </c>
      <c r="X30" s="727">
        <f>H30*V1</f>
        <v>278.39999999999998</v>
      </c>
      <c r="Y30" s="724" t="e">
        <f t="shared" si="9"/>
        <v>#DIV/0!</v>
      </c>
      <c r="Z30" s="728" t="e">
        <f t="shared" si="10"/>
        <v>#DIV/0!</v>
      </c>
    </row>
    <row r="31" spans="1:26" s="488" customFormat="1" ht="36.75" customHeight="1">
      <c r="A31" s="714">
        <v>25</v>
      </c>
      <c r="B31" s="113">
        <v>74112</v>
      </c>
      <c r="C31" s="760">
        <f t="shared" si="12"/>
        <v>0</v>
      </c>
      <c r="D31" s="860">
        <v>145999</v>
      </c>
      <c r="E31" s="760">
        <f t="shared" si="2"/>
        <v>81.199999999999989</v>
      </c>
      <c r="F31" s="906">
        <v>16047</v>
      </c>
      <c r="G31" s="760">
        <f t="shared" si="11"/>
        <v>0</v>
      </c>
      <c r="H31" s="760">
        <f t="shared" si="3"/>
        <v>81.199999999999989</v>
      </c>
      <c r="I31" s="906"/>
      <c r="J31" s="760"/>
      <c r="K31" s="906"/>
      <c r="L31" s="760"/>
      <c r="M31" s="760"/>
      <c r="N31" s="112"/>
      <c r="O31" s="600">
        <f t="shared" si="4"/>
        <v>0</v>
      </c>
      <c r="P31" s="112"/>
      <c r="Q31" s="484">
        <f t="shared" si="5"/>
        <v>47.095999999999989</v>
      </c>
      <c r="R31" s="509"/>
      <c r="S31" s="484">
        <f t="shared" si="6"/>
        <v>0</v>
      </c>
      <c r="T31" s="901">
        <f>Elect!BM30</f>
        <v>0</v>
      </c>
      <c r="U31" s="724" t="e">
        <f t="shared" si="7"/>
        <v>#DIV/0!</v>
      </c>
      <c r="V31" s="901">
        <f>Elect!BO30</f>
        <v>0</v>
      </c>
      <c r="W31" s="724" t="e">
        <f t="shared" si="8"/>
        <v>#DIV/0!</v>
      </c>
      <c r="X31" s="727">
        <f>H31*V1</f>
        <v>324.79999999999995</v>
      </c>
      <c r="Y31" s="724" t="e">
        <f t="shared" si="9"/>
        <v>#DIV/0!</v>
      </c>
      <c r="Z31" s="728" t="e">
        <f t="shared" ref="Z31:Z37" si="14">IF(X31&gt;0,X31/V31,0)</f>
        <v>#DIV/0!</v>
      </c>
    </row>
    <row r="32" spans="1:26" s="488" customFormat="1" ht="36.75" customHeight="1">
      <c r="A32" s="713">
        <v>26</v>
      </c>
      <c r="B32" s="113">
        <v>74113</v>
      </c>
      <c r="C32" s="760">
        <f t="shared" si="12"/>
        <v>5.8</v>
      </c>
      <c r="D32" s="860">
        <v>146015</v>
      </c>
      <c r="E32" s="760">
        <f t="shared" si="2"/>
        <v>92.8</v>
      </c>
      <c r="F32" s="906">
        <v>16047</v>
      </c>
      <c r="G32" s="760">
        <f>IF(F32&gt;=F31,F32-F31,0)*0.58</f>
        <v>0</v>
      </c>
      <c r="H32" s="760">
        <f t="shared" si="3"/>
        <v>98.6</v>
      </c>
      <c r="I32" s="906"/>
      <c r="J32" s="760"/>
      <c r="K32" s="906"/>
      <c r="L32" s="760"/>
      <c r="M32" s="760"/>
      <c r="N32" s="112"/>
      <c r="O32" s="600">
        <f t="shared" si="4"/>
        <v>0</v>
      </c>
      <c r="P32" s="112"/>
      <c r="Q32" s="484">
        <f t="shared" si="5"/>
        <v>57.187999999999995</v>
      </c>
      <c r="R32" s="509"/>
      <c r="S32" s="484">
        <f t="shared" si="6"/>
        <v>0</v>
      </c>
      <c r="T32" s="901">
        <f>Elect!BM31</f>
        <v>0</v>
      </c>
      <c r="U32" s="724" t="e">
        <f t="shared" si="7"/>
        <v>#DIV/0!</v>
      </c>
      <c r="V32" s="901">
        <f>Elect!BO31</f>
        <v>0</v>
      </c>
      <c r="W32" s="724" t="e">
        <f t="shared" si="8"/>
        <v>#DIV/0!</v>
      </c>
      <c r="X32" s="727">
        <f>H32*V1</f>
        <v>394.4</v>
      </c>
      <c r="Y32" s="724" t="e">
        <f t="shared" si="9"/>
        <v>#DIV/0!</v>
      </c>
      <c r="Z32" s="728" t="e">
        <f t="shared" si="14"/>
        <v>#DIV/0!</v>
      </c>
    </row>
    <row r="33" spans="1:26" s="3" customFormat="1" ht="36.75" customHeight="1">
      <c r="A33" s="715">
        <v>27</v>
      </c>
      <c r="B33" s="113">
        <v>74113</v>
      </c>
      <c r="C33" s="760">
        <f t="shared" si="12"/>
        <v>0</v>
      </c>
      <c r="D33" s="860">
        <v>146028</v>
      </c>
      <c r="E33" s="760">
        <f t="shared" si="2"/>
        <v>75.399999999999991</v>
      </c>
      <c r="F33" s="906">
        <v>16047</v>
      </c>
      <c r="G33" s="760">
        <f>IF(F33&gt;=F32,F33-F32,0)*0.58</f>
        <v>0</v>
      </c>
      <c r="H33" s="760">
        <f t="shared" si="3"/>
        <v>75.399999999999991</v>
      </c>
      <c r="I33" s="906"/>
      <c r="J33" s="760"/>
      <c r="K33" s="906"/>
      <c r="L33" s="760"/>
      <c r="M33" s="760"/>
      <c r="N33" s="112"/>
      <c r="O33" s="600">
        <f t="shared" si="4"/>
        <v>0</v>
      </c>
      <c r="P33" s="112"/>
      <c r="Q33" s="484">
        <f t="shared" si="5"/>
        <v>43.731999999999992</v>
      </c>
      <c r="R33" s="509"/>
      <c r="S33" s="484">
        <f t="shared" si="6"/>
        <v>0</v>
      </c>
      <c r="T33" s="901">
        <f>Elect!BM32</f>
        <v>0</v>
      </c>
      <c r="U33" s="724" t="e">
        <f t="shared" si="7"/>
        <v>#DIV/0!</v>
      </c>
      <c r="V33" s="901">
        <f>Elect!BO32</f>
        <v>0</v>
      </c>
      <c r="W33" s="724" t="e">
        <f t="shared" si="8"/>
        <v>#DIV/0!</v>
      </c>
      <c r="X33" s="727">
        <f>H33*V1</f>
        <v>301.59999999999997</v>
      </c>
      <c r="Y33" s="724" t="e">
        <f t="shared" si="9"/>
        <v>#DIV/0!</v>
      </c>
      <c r="Z33" s="728" t="e">
        <f t="shared" si="14"/>
        <v>#DIV/0!</v>
      </c>
    </row>
    <row r="34" spans="1:26" s="3" customFormat="1" ht="36.75" customHeight="1">
      <c r="A34" s="716">
        <v>28</v>
      </c>
      <c r="B34" s="113">
        <v>74114</v>
      </c>
      <c r="C34" s="760">
        <f t="shared" si="12"/>
        <v>5.8</v>
      </c>
      <c r="D34" s="860">
        <v>146039</v>
      </c>
      <c r="E34" s="760">
        <f t="shared" si="2"/>
        <v>63.8</v>
      </c>
      <c r="F34" s="906">
        <v>16047</v>
      </c>
      <c r="G34" s="760">
        <f>IF(F34&gt;=F33,F34-F33,0)*0.58</f>
        <v>0</v>
      </c>
      <c r="H34" s="760">
        <f t="shared" si="3"/>
        <v>69.599999999999994</v>
      </c>
      <c r="I34" s="906"/>
      <c r="J34" s="760"/>
      <c r="K34" s="906"/>
      <c r="L34" s="760"/>
      <c r="M34" s="760"/>
      <c r="N34" s="112"/>
      <c r="O34" s="600">
        <f t="shared" si="4"/>
        <v>0</v>
      </c>
      <c r="P34" s="112"/>
      <c r="Q34" s="484">
        <f t="shared" si="5"/>
        <v>40.367999999999995</v>
      </c>
      <c r="R34" s="509"/>
      <c r="S34" s="484">
        <f t="shared" si="6"/>
        <v>0</v>
      </c>
      <c r="T34" s="901">
        <f>Elect!BM33</f>
        <v>0</v>
      </c>
      <c r="U34" s="724" t="e">
        <f t="shared" si="7"/>
        <v>#DIV/0!</v>
      </c>
      <c r="V34" s="901">
        <f>Elect!BO33</f>
        <v>0</v>
      </c>
      <c r="W34" s="724" t="e">
        <f t="shared" si="8"/>
        <v>#DIV/0!</v>
      </c>
      <c r="X34" s="727">
        <f>H34*V1</f>
        <v>278.39999999999998</v>
      </c>
      <c r="Y34" s="724" t="e">
        <f t="shared" si="9"/>
        <v>#DIV/0!</v>
      </c>
      <c r="Z34" s="728" t="e">
        <f t="shared" si="14"/>
        <v>#DIV/0!</v>
      </c>
    </row>
    <row r="35" spans="1:26" s="3" customFormat="1" ht="36.75" customHeight="1">
      <c r="A35" s="713">
        <v>29</v>
      </c>
      <c r="B35" s="113">
        <v>74115</v>
      </c>
      <c r="C35" s="760">
        <f t="shared" si="12"/>
        <v>5.8</v>
      </c>
      <c r="D35" s="860">
        <v>146046</v>
      </c>
      <c r="E35" s="760">
        <f t="shared" si="2"/>
        <v>40.599999999999994</v>
      </c>
      <c r="F35" s="906">
        <v>16047</v>
      </c>
      <c r="G35" s="760">
        <f>IF(F35&gt;=F34,F35-F34,0)*0.58</f>
        <v>0</v>
      </c>
      <c r="H35" s="760">
        <f t="shared" si="3"/>
        <v>46.399999999999991</v>
      </c>
      <c r="I35" s="906"/>
      <c r="J35" s="760"/>
      <c r="K35" s="906"/>
      <c r="L35" s="760"/>
      <c r="M35" s="760"/>
      <c r="N35" s="112"/>
      <c r="O35" s="600">
        <f t="shared" si="4"/>
        <v>0</v>
      </c>
      <c r="P35" s="583"/>
      <c r="Q35" s="484">
        <f t="shared" si="5"/>
        <v>26.911999999999992</v>
      </c>
      <c r="R35" s="509"/>
      <c r="S35" s="484">
        <f t="shared" si="6"/>
        <v>0</v>
      </c>
      <c r="T35" s="901">
        <f>Elect!BM34</f>
        <v>0</v>
      </c>
      <c r="U35" s="724" t="e">
        <f t="shared" si="7"/>
        <v>#DIV/0!</v>
      </c>
      <c r="V35" s="901">
        <f>Elect!BO34</f>
        <v>0</v>
      </c>
      <c r="W35" s="724" t="e">
        <f t="shared" si="8"/>
        <v>#DIV/0!</v>
      </c>
      <c r="X35" s="727">
        <f>H35*V1</f>
        <v>185.59999999999997</v>
      </c>
      <c r="Y35" s="724" t="e">
        <f t="shared" si="9"/>
        <v>#DIV/0!</v>
      </c>
      <c r="Z35" s="728" t="e">
        <f t="shared" si="14"/>
        <v>#DIV/0!</v>
      </c>
    </row>
    <row r="36" spans="1:26" s="3" customFormat="1" ht="36.75" customHeight="1">
      <c r="A36" s="715">
        <v>30</v>
      </c>
      <c r="B36" s="113">
        <v>74116</v>
      </c>
      <c r="C36" s="760">
        <f t="shared" ref="C36:C37" si="15">IF(B36&gt;=B35,B36-B35,0)*10*0.58</f>
        <v>5.8</v>
      </c>
      <c r="D36" s="860">
        <v>146053</v>
      </c>
      <c r="E36" s="760">
        <f t="shared" si="2"/>
        <v>40.599999999999994</v>
      </c>
      <c r="F36" s="906">
        <v>16047</v>
      </c>
      <c r="G36" s="760">
        <f t="shared" si="11"/>
        <v>0</v>
      </c>
      <c r="H36" s="760">
        <f t="shared" si="3"/>
        <v>46.399999999999991</v>
      </c>
      <c r="I36" s="906">
        <v>200</v>
      </c>
      <c r="J36" s="760"/>
      <c r="K36" s="906">
        <v>2518</v>
      </c>
      <c r="L36" s="760"/>
      <c r="M36" s="760"/>
      <c r="N36" s="112"/>
      <c r="O36" s="600">
        <f t="shared" si="4"/>
        <v>0</v>
      </c>
      <c r="P36" s="583"/>
      <c r="Q36" s="484">
        <f t="shared" si="5"/>
        <v>26.911999999999992</v>
      </c>
      <c r="R36" s="509"/>
      <c r="S36" s="484">
        <f t="shared" si="6"/>
        <v>0</v>
      </c>
      <c r="T36" s="901">
        <f>Elect!BM35</f>
        <v>0</v>
      </c>
      <c r="U36" s="724" t="e">
        <f t="shared" si="7"/>
        <v>#DIV/0!</v>
      </c>
      <c r="V36" s="901">
        <f>Elect!BO35</f>
        <v>0</v>
      </c>
      <c r="W36" s="724" t="e">
        <f t="shared" si="8"/>
        <v>#DIV/0!</v>
      </c>
      <c r="X36" s="727">
        <f>H36*V1</f>
        <v>185.59999999999997</v>
      </c>
      <c r="Y36" s="724" t="e">
        <f t="shared" si="9"/>
        <v>#DIV/0!</v>
      </c>
      <c r="Z36" s="728" t="e">
        <f t="shared" si="14"/>
        <v>#DIV/0!</v>
      </c>
    </row>
    <row r="37" spans="1:26" s="3" customFormat="1" ht="36.75" customHeight="1" thickBot="1">
      <c r="A37" s="713">
        <v>31</v>
      </c>
      <c r="B37" s="113"/>
      <c r="C37" s="760">
        <f t="shared" si="15"/>
        <v>0</v>
      </c>
      <c r="D37" s="860"/>
      <c r="E37" s="760">
        <f t="shared" si="2"/>
        <v>0</v>
      </c>
      <c r="F37" s="906"/>
      <c r="G37" s="760">
        <f t="shared" si="11"/>
        <v>0</v>
      </c>
      <c r="H37" s="760">
        <f t="shared" si="3"/>
        <v>0</v>
      </c>
      <c r="I37" s="906"/>
      <c r="J37" s="921"/>
      <c r="K37" s="906"/>
      <c r="L37" s="921"/>
      <c r="M37" s="921"/>
      <c r="N37" s="583"/>
      <c r="O37" s="600">
        <f t="shared" si="4"/>
        <v>0</v>
      </c>
      <c r="P37" s="583"/>
      <c r="Q37" s="484">
        <f t="shared" si="5"/>
        <v>0</v>
      </c>
      <c r="R37" s="919"/>
      <c r="S37" s="484">
        <f t="shared" si="6"/>
        <v>0</v>
      </c>
      <c r="T37" s="901">
        <f>Elect!BM36</f>
        <v>0</v>
      </c>
      <c r="U37" s="724" t="e">
        <f t="shared" si="7"/>
        <v>#DIV/0!</v>
      </c>
      <c r="V37" s="901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4"/>
        <v>0</v>
      </c>
    </row>
    <row r="38" spans="1:26" s="617" customFormat="1" ht="36.75" customHeight="1" thickBot="1">
      <c r="A38" s="613" t="s">
        <v>37</v>
      </c>
      <c r="B38" s="113"/>
      <c r="C38" s="926">
        <f>SUM(C7:C37)</f>
        <v>1287.5999999999995</v>
      </c>
      <c r="D38" s="607"/>
      <c r="E38" s="926">
        <f>SUM(E7:E37)</f>
        <v>1304.9999999999998</v>
      </c>
      <c r="F38" s="607"/>
      <c r="G38" s="926">
        <f>SUM(G7:G37)</f>
        <v>46.97999999999999</v>
      </c>
      <c r="H38" s="926">
        <f>SUM(H7:H37)</f>
        <v>2639.5799999999995</v>
      </c>
      <c r="I38" s="926">
        <f>I37-I6</f>
        <v>-194</v>
      </c>
      <c r="J38" s="614"/>
      <c r="K38" s="926">
        <f>K37-K6</f>
        <v>-2443</v>
      </c>
      <c r="L38" s="614"/>
      <c r="M38" s="614"/>
      <c r="N38" s="607"/>
      <c r="O38" s="614">
        <f>SUM(O7:O36)</f>
        <v>0</v>
      </c>
      <c r="P38" s="607"/>
      <c r="Q38" s="614">
        <f>SUM(Q7:Q34)</f>
        <v>1477.1323999999997</v>
      </c>
      <c r="R38" s="607"/>
      <c r="S38" s="614">
        <f>SUM(S7:S34)</f>
        <v>0</v>
      </c>
      <c r="T38" s="615">
        <f>SUM(T7:T36)</f>
        <v>0</v>
      </c>
      <c r="U38" s="725" t="e">
        <f>IF(H38&gt;0,H38/T38,0)</f>
        <v>#DIV/0!</v>
      </c>
      <c r="V38" s="794">
        <f>SUM(V7:V36)</f>
        <v>0</v>
      </c>
      <c r="W38" s="725" t="e">
        <f>IF(H38&gt;0,H38/V38,0)</f>
        <v>#DIV/0!</v>
      </c>
      <c r="X38" s="729">
        <f>SUM(X7:X36)</f>
        <v>10558.319999999998</v>
      </c>
      <c r="Y38" s="725" t="e">
        <f t="shared" ref="Y38:Y44" si="16">IF(X38&gt;0,X38/T38,0)</f>
        <v>#DIV/0!</v>
      </c>
      <c r="Z38" s="730" t="e">
        <f t="shared" ref="Z38:Z44" si="17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41.535483870967724</v>
      </c>
      <c r="D39" s="608"/>
      <c r="E39" s="620">
        <f>E38/B49</f>
        <v>42.096774193548377</v>
      </c>
      <c r="F39" s="608"/>
      <c r="G39" s="620">
        <f>G38/B49</f>
        <v>1.5154838709677416</v>
      </c>
      <c r="H39" s="620">
        <f>H38/B49</f>
        <v>85.14774193548385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47.649432258064508</v>
      </c>
      <c r="R39" s="608"/>
      <c r="S39" s="620" t="e">
        <f>S38/C49</f>
        <v>#DIV/0!</v>
      </c>
      <c r="T39" s="622">
        <f>T38/B49</f>
        <v>0</v>
      </c>
      <c r="U39" s="726" t="e">
        <f>IF(H39&gt;0,H39/T39,0)</f>
        <v>#DIV/0!</v>
      </c>
      <c r="V39" s="742">
        <f>V38/B49</f>
        <v>0</v>
      </c>
      <c r="W39" s="725" t="e">
        <f>IF(H39&gt;0,H39/V39,0)</f>
        <v>#DIV/0!</v>
      </c>
      <c r="X39" s="731">
        <f>X38/B49</f>
        <v>340.5909677419354</v>
      </c>
      <c r="Y39" s="726" t="e">
        <f t="shared" si="16"/>
        <v>#DIV/0!</v>
      </c>
      <c r="Z39" s="732" t="e">
        <f t="shared" si="17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6"/>
        <v>0</v>
      </c>
      <c r="Z40" s="730">
        <f t="shared" si="17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6"/>
        <v>#REF!</v>
      </c>
      <c r="Z41" s="732" t="e">
        <f t="shared" si="17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6"/>
        <v>0</v>
      </c>
      <c r="Z43" s="757">
        <f t="shared" si="17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6"/>
        <v>#VALUE!</v>
      </c>
      <c r="Z44" s="644" t="e">
        <f t="shared" si="17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74114</v>
      </c>
      <c r="C48" s="609"/>
      <c r="D48" s="609">
        <f>D34</f>
        <v>146039</v>
      </c>
      <c r="E48" s="609"/>
      <c r="F48" s="609">
        <f>F34</f>
        <v>16047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0">
        <v>82183</v>
      </c>
    </row>
    <row r="55" spans="1:24" ht="60.75" customHeight="1">
      <c r="A55" s="2"/>
      <c r="C55" s="860">
        <v>82221</v>
      </c>
    </row>
    <row r="56" spans="1:24" ht="60.75" customHeight="1">
      <c r="A56" s="2"/>
      <c r="C56" s="860">
        <v>82259</v>
      </c>
      <c r="D56" s="113"/>
      <c r="O56" s="860">
        <v>45480</v>
      </c>
    </row>
    <row r="57" spans="1:24" ht="60.75" customHeight="1">
      <c r="A57" s="2"/>
      <c r="C57" s="860">
        <v>82297</v>
      </c>
      <c r="D57" s="859"/>
      <c r="O57" s="860">
        <v>45514</v>
      </c>
    </row>
    <row r="58" spans="1:24" ht="60.75" customHeight="1">
      <c r="A58" s="2"/>
      <c r="C58" s="860">
        <v>82329</v>
      </c>
      <c r="D58" s="113"/>
      <c r="O58" s="860">
        <v>45539</v>
      </c>
    </row>
    <row r="59" spans="1:24" ht="60.75" customHeight="1">
      <c r="A59" s="2"/>
      <c r="C59" s="860">
        <v>82385</v>
      </c>
      <c r="D59" s="113"/>
      <c r="O59" s="861"/>
    </row>
    <row r="60" spans="1:24" ht="60.75" customHeight="1">
      <c r="A60" s="2"/>
      <c r="C60" s="860">
        <v>82405</v>
      </c>
      <c r="D60" s="113"/>
      <c r="O60" s="860">
        <v>45607</v>
      </c>
    </row>
    <row r="61" spans="1:24" ht="60.75" customHeight="1">
      <c r="A61" s="2"/>
      <c r="C61" s="113">
        <v>82430</v>
      </c>
      <c r="D61" s="859"/>
      <c r="O61" s="860">
        <v>45637</v>
      </c>
    </row>
    <row r="62" spans="1:24" ht="60.75" customHeight="1">
      <c r="A62" s="2"/>
      <c r="C62" s="860">
        <v>82500</v>
      </c>
      <c r="D62" s="113"/>
      <c r="O62" s="860">
        <v>45668</v>
      </c>
    </row>
    <row r="63" spans="1:24" ht="60.75" customHeight="1">
      <c r="A63" s="2"/>
      <c r="C63" s="860">
        <v>82590</v>
      </c>
      <c r="D63" s="113"/>
      <c r="O63" s="860">
        <v>45694</v>
      </c>
    </row>
    <row r="64" spans="1:24" ht="60.75" customHeight="1">
      <c r="A64" s="2"/>
      <c r="C64" s="860">
        <v>82607.333333333299</v>
      </c>
      <c r="D64" s="113"/>
      <c r="O64" s="860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7" t="s">
        <v>11</v>
      </c>
      <c r="B150" s="997"/>
      <c r="C150" s="997"/>
      <c r="D150" s="997"/>
      <c r="E150" s="997"/>
      <c r="F150" s="997"/>
      <c r="G150" s="997"/>
      <c r="H150" s="997"/>
      <c r="I150" s="997"/>
      <c r="J150" s="997"/>
      <c r="K150" s="997"/>
      <c r="L150" s="997"/>
      <c r="M150" s="997"/>
      <c r="N150" s="997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tabSelected="1" zoomScale="60" zoomScaleNormal="60" zoomScaleSheetLayoutView="55" workbookViewId="0">
      <pane xSplit="1" ySplit="5" topLeftCell="B25" activePane="bottomRight" state="frozen"/>
      <selection activeCell="D22" sqref="D22"/>
      <selection pane="topRight" activeCell="D22" sqref="D22"/>
      <selection pane="bottomLeft" activeCell="D22" sqref="D22"/>
      <selection pane="bottomRight" activeCell="B34" sqref="B34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7" t="str">
        <f>Elect!A1</f>
        <v>April</v>
      </c>
      <c r="E1" s="975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7"/>
      <c r="C2" s="29"/>
      <c r="E2" s="975"/>
      <c r="G2" s="29"/>
      <c r="H2" s="29"/>
      <c r="I2" s="29"/>
      <c r="K2" s="588"/>
      <c r="L2" s="587"/>
      <c r="M2" s="483"/>
    </row>
    <row r="3" spans="1:13" ht="21" customHeight="1" thickBot="1">
      <c r="A3" s="1028"/>
      <c r="B3" s="29"/>
      <c r="C3" s="29"/>
      <c r="D3" s="29"/>
      <c r="E3" s="976"/>
      <c r="F3" s="29"/>
      <c r="G3" s="29"/>
      <c r="H3" s="29"/>
      <c r="I3" s="29"/>
    </row>
    <row r="4" spans="1:13" ht="53.25" customHeight="1">
      <c r="A4" s="795" t="s">
        <v>23</v>
      </c>
      <c r="B4" s="1029" t="s">
        <v>311</v>
      </c>
      <c r="C4" s="1030"/>
      <c r="D4" s="1029" t="s">
        <v>312</v>
      </c>
      <c r="E4" s="1030"/>
      <c r="F4" s="1029" t="s">
        <v>313</v>
      </c>
      <c r="G4" s="1030"/>
      <c r="H4" s="599" t="s">
        <v>327</v>
      </c>
      <c r="I4" s="599" t="s">
        <v>328</v>
      </c>
      <c r="J4" s="598" t="s">
        <v>330</v>
      </c>
      <c r="K4" s="932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862">
        <v>7832714</v>
      </c>
      <c r="C6" s="760">
        <f t="shared" ref="C6:C14" si="0">IF(B6&gt;=B5,B6-B5,0)*1.06</f>
        <v>0</v>
      </c>
      <c r="D6" s="860">
        <v>231501</v>
      </c>
      <c r="E6" s="760">
        <f>IF(D6&gt;=D5,D6-D5,0)*0.7</f>
        <v>0</v>
      </c>
      <c r="F6" s="860">
        <v>556161</v>
      </c>
      <c r="G6" s="760">
        <f t="shared" ref="G6:G14" si="1">IF(F6&gt;=F5,F6-F5,0)</f>
        <v>0</v>
      </c>
      <c r="H6" s="474"/>
      <c r="I6" s="474"/>
      <c r="J6" s="474"/>
      <c r="K6" s="933">
        <f>C6+E6</f>
        <v>0</v>
      </c>
    </row>
    <row r="7" spans="1:13" s="475" customFormat="1" ht="41.25" customHeight="1">
      <c r="A7" s="797">
        <v>1</v>
      </c>
      <c r="B7" s="862">
        <v>7832895</v>
      </c>
      <c r="C7" s="760">
        <f t="shared" si="0"/>
        <v>191.86</v>
      </c>
      <c r="D7" s="860">
        <v>231501</v>
      </c>
      <c r="E7" s="760">
        <f t="shared" ref="E7:E37" si="2">IF(D7&gt;=D6,D7-D6,0)*0.7</f>
        <v>0</v>
      </c>
      <c r="F7" s="860">
        <v>556164</v>
      </c>
      <c r="G7" s="760">
        <f t="shared" si="1"/>
        <v>3</v>
      </c>
      <c r="H7" s="760">
        <f>(E7*0.55)*1.61</f>
        <v>0</v>
      </c>
      <c r="I7" s="760">
        <f>C7*J1</f>
        <v>308.89460000000003</v>
      </c>
      <c r="J7" s="760">
        <f>G7*J1</f>
        <v>4.83</v>
      </c>
      <c r="K7" s="933">
        <f t="shared" ref="K7:K37" si="3">C7+E7</f>
        <v>191.86</v>
      </c>
    </row>
    <row r="8" spans="1:13" s="475" customFormat="1" ht="41.25" customHeight="1">
      <c r="A8" s="797">
        <v>2</v>
      </c>
      <c r="B8" s="113">
        <v>7833056</v>
      </c>
      <c r="C8" s="760">
        <f t="shared" si="0"/>
        <v>170.66</v>
      </c>
      <c r="D8" s="860">
        <v>231501</v>
      </c>
      <c r="E8" s="760">
        <f t="shared" si="2"/>
        <v>0</v>
      </c>
      <c r="F8" s="860">
        <v>556166</v>
      </c>
      <c r="G8" s="760">
        <f t="shared" si="1"/>
        <v>2</v>
      </c>
      <c r="H8" s="760">
        <f t="shared" ref="H8:H37" si="4">(E8*0.55)*1.61</f>
        <v>0</v>
      </c>
      <c r="I8" s="760">
        <f>C8*J1</f>
        <v>274.76260000000002</v>
      </c>
      <c r="J8" s="760">
        <f>G8*J1</f>
        <v>3.22</v>
      </c>
      <c r="K8" s="933">
        <f t="shared" si="3"/>
        <v>170.66</v>
      </c>
    </row>
    <row r="9" spans="1:13" s="475" customFormat="1" ht="41.25" customHeight="1">
      <c r="A9" s="797">
        <v>3</v>
      </c>
      <c r="B9" s="862">
        <v>7833217</v>
      </c>
      <c r="C9" s="760">
        <f t="shared" si="0"/>
        <v>170.66</v>
      </c>
      <c r="D9" s="860">
        <v>231501</v>
      </c>
      <c r="E9" s="760">
        <f t="shared" si="2"/>
        <v>0</v>
      </c>
      <c r="F9" s="860">
        <v>556166</v>
      </c>
      <c r="G9" s="760">
        <f t="shared" si="1"/>
        <v>0</v>
      </c>
      <c r="H9" s="760">
        <f>(E9*0.55)*1.61</f>
        <v>0</v>
      </c>
      <c r="I9" s="760">
        <f>C9*J1</f>
        <v>274.76260000000002</v>
      </c>
      <c r="J9" s="760">
        <f>G9*J1</f>
        <v>0</v>
      </c>
      <c r="K9" s="933">
        <f>C9+E9</f>
        <v>170.66</v>
      </c>
    </row>
    <row r="10" spans="1:13" s="475" customFormat="1" ht="41.25" customHeight="1">
      <c r="A10" s="797">
        <v>4</v>
      </c>
      <c r="B10" s="113">
        <v>7833378</v>
      </c>
      <c r="C10" s="760">
        <f t="shared" si="0"/>
        <v>170.66</v>
      </c>
      <c r="D10" s="860">
        <v>231501</v>
      </c>
      <c r="E10" s="760">
        <f t="shared" si="2"/>
        <v>0</v>
      </c>
      <c r="F10" s="860">
        <v>556168</v>
      </c>
      <c r="G10" s="760">
        <f t="shared" si="1"/>
        <v>2</v>
      </c>
      <c r="H10" s="760">
        <f>(E10*0.55)*1.61</f>
        <v>0</v>
      </c>
      <c r="I10" s="760">
        <f>C10*J1</f>
        <v>274.76260000000002</v>
      </c>
      <c r="J10" s="760">
        <f>G10*J1</f>
        <v>3.22</v>
      </c>
      <c r="K10" s="933">
        <f t="shared" si="3"/>
        <v>170.66</v>
      </c>
    </row>
    <row r="11" spans="1:13" s="475" customFormat="1" ht="41.25" customHeight="1">
      <c r="A11" s="797">
        <v>5</v>
      </c>
      <c r="B11" s="862">
        <v>7833539</v>
      </c>
      <c r="C11" s="760">
        <f t="shared" si="0"/>
        <v>170.66</v>
      </c>
      <c r="D11" s="860">
        <v>231657.50303030299</v>
      </c>
      <c r="E11" s="760">
        <f t="shared" si="2"/>
        <v>109.55212121209479</v>
      </c>
      <c r="F11" s="860">
        <v>556170</v>
      </c>
      <c r="G11" s="760">
        <f t="shared" si="1"/>
        <v>2</v>
      </c>
      <c r="H11" s="760">
        <f t="shared" si="4"/>
        <v>97.008403333309943</v>
      </c>
      <c r="I11" s="760">
        <f>C11*J1</f>
        <v>274.76260000000002</v>
      </c>
      <c r="J11" s="760">
        <f>G11*J1</f>
        <v>3.22</v>
      </c>
      <c r="K11" s="933">
        <f t="shared" si="3"/>
        <v>280.21212121209476</v>
      </c>
    </row>
    <row r="12" spans="1:13" s="475" customFormat="1" ht="41.25" customHeight="1">
      <c r="A12" s="797">
        <v>6</v>
      </c>
      <c r="B12" s="113">
        <v>7833700</v>
      </c>
      <c r="C12" s="760">
        <f t="shared" si="0"/>
        <v>170.66</v>
      </c>
      <c r="D12" s="860">
        <v>231870.65454545501</v>
      </c>
      <c r="E12" s="760">
        <f t="shared" si="2"/>
        <v>149.20606060641001</v>
      </c>
      <c r="F12" s="860">
        <v>556171</v>
      </c>
      <c r="G12" s="760">
        <f t="shared" si="1"/>
        <v>1</v>
      </c>
      <c r="H12" s="760">
        <f t="shared" si="4"/>
        <v>132.12196666697608</v>
      </c>
      <c r="I12" s="760">
        <f>C12*J1</f>
        <v>274.76260000000002</v>
      </c>
      <c r="J12" s="760">
        <f>G12*J1</f>
        <v>1.61</v>
      </c>
      <c r="K12" s="933">
        <f t="shared" si="3"/>
        <v>319.86606060640997</v>
      </c>
    </row>
    <row r="13" spans="1:13" s="475" customFormat="1" ht="41.25" customHeight="1">
      <c r="A13" s="797">
        <v>7</v>
      </c>
      <c r="B13" s="862">
        <v>7833861</v>
      </c>
      <c r="C13" s="760">
        <f t="shared" si="0"/>
        <v>170.66</v>
      </c>
      <c r="D13" s="860">
        <v>232083.806060606</v>
      </c>
      <c r="E13" s="760">
        <f t="shared" si="2"/>
        <v>149.20606060569696</v>
      </c>
      <c r="F13" s="860">
        <v>556172</v>
      </c>
      <c r="G13" s="760">
        <f t="shared" si="1"/>
        <v>1</v>
      </c>
      <c r="H13" s="760">
        <f t="shared" si="4"/>
        <v>132.12196666634466</v>
      </c>
      <c r="I13" s="760">
        <f>C13*J1</f>
        <v>274.76260000000002</v>
      </c>
      <c r="J13" s="760">
        <f>G13*J1</f>
        <v>1.61</v>
      </c>
      <c r="K13" s="933">
        <f t="shared" si="3"/>
        <v>319.86606060569693</v>
      </c>
    </row>
    <row r="14" spans="1:13" s="475" customFormat="1" ht="41.25" customHeight="1">
      <c r="A14" s="797">
        <v>8</v>
      </c>
      <c r="B14" s="113">
        <v>7834022</v>
      </c>
      <c r="C14" s="760">
        <f t="shared" si="0"/>
        <v>170.66</v>
      </c>
      <c r="D14" s="860">
        <v>232296.95757575799</v>
      </c>
      <c r="E14" s="760">
        <f t="shared" si="2"/>
        <v>149.20606060638966</v>
      </c>
      <c r="F14" s="860">
        <v>556173</v>
      </c>
      <c r="G14" s="760">
        <f t="shared" si="1"/>
        <v>1</v>
      </c>
      <c r="H14" s="760">
        <f t="shared" si="4"/>
        <v>132.12196666695806</v>
      </c>
      <c r="I14" s="760">
        <f>C14*J1</f>
        <v>274.76260000000002</v>
      </c>
      <c r="J14" s="760">
        <f>G14*J1</f>
        <v>1.61</v>
      </c>
      <c r="K14" s="933">
        <f t="shared" si="3"/>
        <v>319.86606060638962</v>
      </c>
    </row>
    <row r="15" spans="1:13" s="475" customFormat="1" ht="41.25" customHeight="1">
      <c r="A15" s="797">
        <v>9</v>
      </c>
      <c r="B15" s="862">
        <v>7834183</v>
      </c>
      <c r="C15" s="760">
        <f t="shared" ref="C15:C32" si="5">IF(B15&gt;=B14,B15-B14,0)*1.06</f>
        <v>170.66</v>
      </c>
      <c r="D15" s="860">
        <v>232510.10909090901</v>
      </c>
      <c r="E15" s="760">
        <f t="shared" si="2"/>
        <v>149.20606060571734</v>
      </c>
      <c r="F15" s="860">
        <v>556173</v>
      </c>
      <c r="G15" s="760">
        <f t="shared" ref="G15:G37" si="6">IF(F15&gt;=F14,F15-F14,0)</f>
        <v>0</v>
      </c>
      <c r="H15" s="760">
        <f t="shared" si="4"/>
        <v>132.12196666636271</v>
      </c>
      <c r="I15" s="760">
        <f>C15*J1</f>
        <v>274.76260000000002</v>
      </c>
      <c r="J15" s="760">
        <f>G15*J1</f>
        <v>0</v>
      </c>
      <c r="K15" s="933">
        <f t="shared" si="3"/>
        <v>319.86606060571734</v>
      </c>
    </row>
    <row r="16" spans="1:13" s="475" customFormat="1" ht="41.25" customHeight="1">
      <c r="A16" s="797">
        <v>10</v>
      </c>
      <c r="B16" s="113">
        <v>7834344</v>
      </c>
      <c r="C16" s="760">
        <f t="shared" si="5"/>
        <v>170.66</v>
      </c>
      <c r="D16" s="860">
        <v>232723.260606061</v>
      </c>
      <c r="E16" s="760">
        <f t="shared" si="2"/>
        <v>149.20606060638966</v>
      </c>
      <c r="F16" s="860">
        <v>556175</v>
      </c>
      <c r="G16" s="760">
        <f>IF(F16&gt;=F15,F16-F15,0)</f>
        <v>2</v>
      </c>
      <c r="H16" s="760">
        <f t="shared" si="4"/>
        <v>132.12196666695806</v>
      </c>
      <c r="I16" s="760">
        <f>C16*J1</f>
        <v>274.76260000000002</v>
      </c>
      <c r="J16" s="760">
        <f>G16*J1</f>
        <v>3.22</v>
      </c>
      <c r="K16" s="933">
        <f t="shared" si="3"/>
        <v>319.86606060638962</v>
      </c>
    </row>
    <row r="17" spans="1:11" s="475" customFormat="1" ht="41.25" customHeight="1">
      <c r="A17" s="797">
        <v>11</v>
      </c>
      <c r="B17" s="862">
        <v>7834505</v>
      </c>
      <c r="C17" s="760">
        <f t="shared" si="5"/>
        <v>170.66</v>
      </c>
      <c r="D17" s="860">
        <v>232936.41212121199</v>
      </c>
      <c r="E17" s="760">
        <f t="shared" si="2"/>
        <v>149.20606060569696</v>
      </c>
      <c r="F17" s="860">
        <v>556179</v>
      </c>
      <c r="G17" s="760">
        <f t="shared" si="6"/>
        <v>4</v>
      </c>
      <c r="H17" s="760">
        <f t="shared" si="4"/>
        <v>132.12196666634466</v>
      </c>
      <c r="I17" s="760">
        <f>C17*J1</f>
        <v>274.76260000000002</v>
      </c>
      <c r="J17" s="760">
        <f>G17*J1</f>
        <v>6.44</v>
      </c>
      <c r="K17" s="933">
        <f t="shared" si="3"/>
        <v>319.86606060569693</v>
      </c>
    </row>
    <row r="18" spans="1:11" s="475" customFormat="1" ht="41.25" customHeight="1">
      <c r="A18" s="797">
        <v>12</v>
      </c>
      <c r="B18" s="113">
        <v>7834666</v>
      </c>
      <c r="C18" s="760">
        <f t="shared" si="5"/>
        <v>170.66</v>
      </c>
      <c r="D18" s="860">
        <v>233149.56363636401</v>
      </c>
      <c r="E18" s="760">
        <f t="shared" si="2"/>
        <v>149.20606060641001</v>
      </c>
      <c r="F18" s="860">
        <v>556180</v>
      </c>
      <c r="G18" s="760">
        <f t="shared" si="6"/>
        <v>1</v>
      </c>
      <c r="H18" s="760">
        <f t="shared" si="4"/>
        <v>132.12196666697608</v>
      </c>
      <c r="I18" s="760">
        <f>C18*J1</f>
        <v>274.76260000000002</v>
      </c>
      <c r="J18" s="760">
        <f>G18*J1</f>
        <v>1.61</v>
      </c>
      <c r="K18" s="933">
        <f t="shared" si="3"/>
        <v>319.86606060640997</v>
      </c>
    </row>
    <row r="19" spans="1:11" s="475" customFormat="1" ht="41.25" customHeight="1">
      <c r="A19" s="797">
        <v>13</v>
      </c>
      <c r="B19" s="862">
        <v>7834827</v>
      </c>
      <c r="C19" s="760">
        <f t="shared" si="5"/>
        <v>170.66</v>
      </c>
      <c r="D19" s="860">
        <v>233362.715151515</v>
      </c>
      <c r="E19" s="760">
        <f t="shared" si="2"/>
        <v>149.20606060569696</v>
      </c>
      <c r="F19" s="860">
        <v>556181</v>
      </c>
      <c r="G19" s="760">
        <f t="shared" si="6"/>
        <v>1</v>
      </c>
      <c r="H19" s="760">
        <f t="shared" si="4"/>
        <v>132.12196666634466</v>
      </c>
      <c r="I19" s="760">
        <f>C19*J1</f>
        <v>274.76260000000002</v>
      </c>
      <c r="J19" s="760">
        <f>G19*J1</f>
        <v>1.61</v>
      </c>
      <c r="K19" s="933">
        <f t="shared" si="3"/>
        <v>319.86606060569693</v>
      </c>
    </row>
    <row r="20" spans="1:11" s="475" customFormat="1" ht="41.25" customHeight="1">
      <c r="A20" s="797">
        <v>14</v>
      </c>
      <c r="B20" s="113">
        <v>7834988</v>
      </c>
      <c r="C20" s="760">
        <f t="shared" si="5"/>
        <v>170.66</v>
      </c>
      <c r="D20" s="860">
        <v>233575.86666666699</v>
      </c>
      <c r="E20" s="760">
        <f t="shared" si="2"/>
        <v>149.20606060638966</v>
      </c>
      <c r="F20" s="860">
        <v>556182</v>
      </c>
      <c r="G20" s="760">
        <f t="shared" si="6"/>
        <v>1</v>
      </c>
      <c r="H20" s="760">
        <f t="shared" si="4"/>
        <v>132.12196666695806</v>
      </c>
      <c r="I20" s="760">
        <f>C20*J1</f>
        <v>274.76260000000002</v>
      </c>
      <c r="J20" s="760">
        <f>G20*J1</f>
        <v>1.61</v>
      </c>
      <c r="K20" s="933">
        <f t="shared" si="3"/>
        <v>319.86606060638962</v>
      </c>
    </row>
    <row r="21" spans="1:11" s="475" customFormat="1" ht="41.25" customHeight="1">
      <c r="A21" s="797">
        <v>15</v>
      </c>
      <c r="B21" s="862">
        <v>7835149</v>
      </c>
      <c r="C21" s="760">
        <f t="shared" si="5"/>
        <v>170.66</v>
      </c>
      <c r="D21" s="860">
        <v>233878</v>
      </c>
      <c r="E21" s="760">
        <f t="shared" si="2"/>
        <v>211.49333333310787</v>
      </c>
      <c r="F21" s="860">
        <v>556178</v>
      </c>
      <c r="G21" s="760">
        <f t="shared" ref="G21:G27" si="7">IF(F21&gt;=F20,F21-F20,0)</f>
        <v>0</v>
      </c>
      <c r="H21" s="760">
        <f t="shared" si="4"/>
        <v>187.27734666646705</v>
      </c>
      <c r="I21" s="760">
        <f>C21*J1</f>
        <v>274.76260000000002</v>
      </c>
      <c r="J21" s="760">
        <f>G21*J1</f>
        <v>0</v>
      </c>
      <c r="K21" s="933">
        <f t="shared" si="3"/>
        <v>382.15333333310787</v>
      </c>
    </row>
    <row r="22" spans="1:11" s="475" customFormat="1" ht="41.25" customHeight="1">
      <c r="A22" s="797">
        <v>16</v>
      </c>
      <c r="B22" s="113">
        <v>7835310</v>
      </c>
      <c r="C22" s="760">
        <f t="shared" si="5"/>
        <v>170.66</v>
      </c>
      <c r="D22" s="860">
        <v>234028</v>
      </c>
      <c r="E22" s="760">
        <f t="shared" si="2"/>
        <v>105</v>
      </c>
      <c r="F22" s="860">
        <v>556180</v>
      </c>
      <c r="G22" s="760">
        <f t="shared" si="7"/>
        <v>2</v>
      </c>
      <c r="H22" s="760">
        <f t="shared" si="4"/>
        <v>92.97750000000002</v>
      </c>
      <c r="I22" s="760">
        <f>C22*J1</f>
        <v>274.76260000000002</v>
      </c>
      <c r="J22" s="760">
        <f>G22*J1</f>
        <v>3.22</v>
      </c>
      <c r="K22" s="933">
        <f t="shared" si="3"/>
        <v>275.65999999999997</v>
      </c>
    </row>
    <row r="23" spans="1:11" s="475" customFormat="1" ht="41.25" customHeight="1">
      <c r="A23" s="797">
        <v>17</v>
      </c>
      <c r="B23" s="862">
        <v>7835471</v>
      </c>
      <c r="C23" s="760">
        <f t="shared" si="5"/>
        <v>170.66</v>
      </c>
      <c r="D23" s="860">
        <v>234250</v>
      </c>
      <c r="E23" s="760">
        <f t="shared" si="2"/>
        <v>155.39999999999998</v>
      </c>
      <c r="F23" s="860">
        <v>556181</v>
      </c>
      <c r="G23" s="760">
        <f t="shared" si="7"/>
        <v>1</v>
      </c>
      <c r="H23" s="760">
        <f t="shared" si="4"/>
        <v>137.60670000000002</v>
      </c>
      <c r="I23" s="760">
        <f>C23*J1</f>
        <v>274.76260000000002</v>
      </c>
      <c r="J23" s="760">
        <f>G23*J1</f>
        <v>1.61</v>
      </c>
      <c r="K23" s="933">
        <f t="shared" si="3"/>
        <v>326.05999999999995</v>
      </c>
    </row>
    <row r="24" spans="1:11" s="475" customFormat="1" ht="41.25" customHeight="1">
      <c r="A24" s="797">
        <v>18</v>
      </c>
      <c r="B24" s="113">
        <v>7835632</v>
      </c>
      <c r="C24" s="760">
        <f t="shared" si="5"/>
        <v>170.66</v>
      </c>
      <c r="D24" s="860">
        <v>234329</v>
      </c>
      <c r="E24" s="760">
        <f t="shared" si="2"/>
        <v>55.3</v>
      </c>
      <c r="F24" s="860">
        <v>556181</v>
      </c>
      <c r="G24" s="760">
        <f t="shared" si="7"/>
        <v>0</v>
      </c>
      <c r="H24" s="760">
        <f t="shared" si="4"/>
        <v>48.968150000000001</v>
      </c>
      <c r="I24" s="760">
        <f>C24*J1</f>
        <v>274.76260000000002</v>
      </c>
      <c r="J24" s="760">
        <f>G24*J1</f>
        <v>0</v>
      </c>
      <c r="K24" s="933">
        <f t="shared" si="3"/>
        <v>225.95999999999998</v>
      </c>
    </row>
    <row r="25" spans="1:11" s="475" customFormat="1" ht="41.25" customHeight="1">
      <c r="A25" s="797">
        <v>19</v>
      </c>
      <c r="B25" s="862">
        <v>7835793</v>
      </c>
      <c r="C25" s="760">
        <f t="shared" si="5"/>
        <v>170.66</v>
      </c>
      <c r="D25" s="860">
        <v>234401</v>
      </c>
      <c r="E25" s="760">
        <f t="shared" si="2"/>
        <v>50.4</v>
      </c>
      <c r="F25" s="860">
        <v>556182</v>
      </c>
      <c r="G25" s="760">
        <f t="shared" si="7"/>
        <v>1</v>
      </c>
      <c r="H25" s="760">
        <f t="shared" si="4"/>
        <v>44.629200000000004</v>
      </c>
      <c r="I25" s="760">
        <f>C25*J1</f>
        <v>274.76260000000002</v>
      </c>
      <c r="J25" s="760">
        <f>G25*J1</f>
        <v>1.61</v>
      </c>
      <c r="K25" s="933">
        <f t="shared" si="3"/>
        <v>221.06</v>
      </c>
    </row>
    <row r="26" spans="1:11" s="475" customFormat="1" ht="41.25" customHeight="1">
      <c r="A26" s="797">
        <v>20</v>
      </c>
      <c r="B26" s="113">
        <v>7835954</v>
      </c>
      <c r="C26" s="760">
        <f t="shared" si="5"/>
        <v>170.66</v>
      </c>
      <c r="D26" s="860">
        <v>234933</v>
      </c>
      <c r="E26" s="760">
        <f t="shared" si="2"/>
        <v>372.4</v>
      </c>
      <c r="F26" s="860">
        <v>556185</v>
      </c>
      <c r="G26" s="760">
        <f t="shared" si="7"/>
        <v>3</v>
      </c>
      <c r="H26" s="760">
        <f t="shared" si="4"/>
        <v>329.7602</v>
      </c>
      <c r="I26" s="760">
        <f>C26*J1</f>
        <v>274.76260000000002</v>
      </c>
      <c r="J26" s="760">
        <f>G26*J1</f>
        <v>4.83</v>
      </c>
      <c r="K26" s="933">
        <f t="shared" si="3"/>
        <v>543.05999999999995</v>
      </c>
    </row>
    <row r="27" spans="1:11" s="475" customFormat="1" ht="41.25" customHeight="1">
      <c r="A27" s="797">
        <v>21</v>
      </c>
      <c r="B27" s="862">
        <v>7836115</v>
      </c>
      <c r="C27" s="760">
        <f t="shared" si="5"/>
        <v>170.66</v>
      </c>
      <c r="D27" s="860">
        <v>235117</v>
      </c>
      <c r="E27" s="760">
        <f t="shared" si="2"/>
        <v>128.79999999999998</v>
      </c>
      <c r="F27" s="860">
        <v>556186</v>
      </c>
      <c r="G27" s="760">
        <f t="shared" si="7"/>
        <v>1</v>
      </c>
      <c r="H27" s="760">
        <f t="shared" si="4"/>
        <v>114.05240000000001</v>
      </c>
      <c r="I27" s="760">
        <f>C27*J1</f>
        <v>274.76260000000002</v>
      </c>
      <c r="J27" s="760">
        <f>G27*J1</f>
        <v>1.61</v>
      </c>
      <c r="K27" s="933">
        <f t="shared" si="3"/>
        <v>299.45999999999998</v>
      </c>
    </row>
    <row r="28" spans="1:11" s="475" customFormat="1" ht="41.25" customHeight="1">
      <c r="A28" s="797">
        <v>22</v>
      </c>
      <c r="B28" s="113">
        <v>7836276</v>
      </c>
      <c r="C28" s="760">
        <f>IF(B28&gt;=B27,B28-B27,0)*1.06</f>
        <v>170.66</v>
      </c>
      <c r="D28" s="860">
        <v>235312</v>
      </c>
      <c r="E28" s="760">
        <f t="shared" si="2"/>
        <v>136.5</v>
      </c>
      <c r="F28" s="860">
        <v>556188</v>
      </c>
      <c r="G28" s="760">
        <f t="shared" si="6"/>
        <v>2</v>
      </c>
      <c r="H28" s="760">
        <f>(E28*0.55)*1.61</f>
        <v>120.87075000000002</v>
      </c>
      <c r="I28" s="760">
        <f>C28*J1</f>
        <v>274.76260000000002</v>
      </c>
      <c r="J28" s="760">
        <f>G28*J1</f>
        <v>3.22</v>
      </c>
      <c r="K28" s="933">
        <f t="shared" si="3"/>
        <v>307.15999999999997</v>
      </c>
    </row>
    <row r="29" spans="1:11" s="475" customFormat="1" ht="41.25" customHeight="1">
      <c r="A29" s="797">
        <v>23</v>
      </c>
      <c r="B29" s="862">
        <v>7836437</v>
      </c>
      <c r="C29" s="760">
        <f>IF(B29&gt;=B28,B29-B28,0)*1.06</f>
        <v>170.66</v>
      </c>
      <c r="D29" s="860">
        <v>235522</v>
      </c>
      <c r="E29" s="760">
        <f t="shared" si="2"/>
        <v>147</v>
      </c>
      <c r="F29" s="860">
        <v>556189</v>
      </c>
      <c r="G29" s="760">
        <f t="shared" si="6"/>
        <v>1</v>
      </c>
      <c r="H29" s="760">
        <f>(E29*0.55)*1.61</f>
        <v>130.16850000000002</v>
      </c>
      <c r="I29" s="760">
        <f>C29*J1</f>
        <v>274.76260000000002</v>
      </c>
      <c r="J29" s="760">
        <f>G29*J1</f>
        <v>1.61</v>
      </c>
      <c r="K29" s="933">
        <f t="shared" si="3"/>
        <v>317.65999999999997</v>
      </c>
    </row>
    <row r="30" spans="1:11" s="475" customFormat="1" ht="41.25" customHeight="1">
      <c r="A30" s="797">
        <v>24</v>
      </c>
      <c r="B30" s="113">
        <v>7836598</v>
      </c>
      <c r="C30" s="760">
        <f>IF(B30&gt;=B29,B30-B29,0)*1.06</f>
        <v>170.66</v>
      </c>
      <c r="D30" s="860">
        <v>235712</v>
      </c>
      <c r="E30" s="760">
        <f t="shared" si="2"/>
        <v>133</v>
      </c>
      <c r="F30" s="860">
        <v>556189</v>
      </c>
      <c r="G30" s="760">
        <f t="shared" si="6"/>
        <v>0</v>
      </c>
      <c r="H30" s="760">
        <f>(E30*0.55)*1.61</f>
        <v>117.77150000000002</v>
      </c>
      <c r="I30" s="760">
        <f>C30*J1</f>
        <v>274.76260000000002</v>
      </c>
      <c r="J30" s="760">
        <f>G30*J1</f>
        <v>0</v>
      </c>
      <c r="K30" s="933">
        <f t="shared" si="3"/>
        <v>303.65999999999997</v>
      </c>
    </row>
    <row r="31" spans="1:11" s="475" customFormat="1" ht="41.25" customHeight="1">
      <c r="A31" s="797">
        <v>25</v>
      </c>
      <c r="B31" s="862">
        <v>7836759</v>
      </c>
      <c r="C31" s="760">
        <f>IF(B31&gt;=B30,B31-B30,0)*1.06</f>
        <v>170.66</v>
      </c>
      <c r="D31" s="860">
        <v>235902</v>
      </c>
      <c r="E31" s="760">
        <f t="shared" si="2"/>
        <v>133</v>
      </c>
      <c r="F31" s="860">
        <v>556189</v>
      </c>
      <c r="G31" s="760">
        <f t="shared" si="6"/>
        <v>0</v>
      </c>
      <c r="H31" s="760">
        <f t="shared" si="4"/>
        <v>117.77150000000002</v>
      </c>
      <c r="I31" s="760">
        <f>C31*J3</f>
        <v>0</v>
      </c>
      <c r="J31" s="760">
        <f>G31*J1</f>
        <v>0</v>
      </c>
      <c r="K31" s="933">
        <f t="shared" si="3"/>
        <v>303.65999999999997</v>
      </c>
    </row>
    <row r="32" spans="1:11" s="475" customFormat="1" ht="41.25" customHeight="1">
      <c r="A32" s="797">
        <v>26</v>
      </c>
      <c r="B32" s="113">
        <v>7836920</v>
      </c>
      <c r="C32" s="760">
        <f t="shared" si="5"/>
        <v>170.66</v>
      </c>
      <c r="D32" s="860">
        <v>236098</v>
      </c>
      <c r="E32" s="760">
        <f t="shared" si="2"/>
        <v>137.19999999999999</v>
      </c>
      <c r="F32" s="860">
        <v>556191</v>
      </c>
      <c r="G32" s="760">
        <f t="shared" si="6"/>
        <v>2</v>
      </c>
      <c r="H32" s="760">
        <f t="shared" si="4"/>
        <v>121.4906</v>
      </c>
      <c r="I32" s="760">
        <f>C32*J1</f>
        <v>274.76260000000002</v>
      </c>
      <c r="J32" s="760">
        <f>G32*J1</f>
        <v>3.22</v>
      </c>
      <c r="K32" s="933">
        <f t="shared" si="3"/>
        <v>307.86</v>
      </c>
    </row>
    <row r="33" spans="1:14" s="214" customFormat="1" ht="41.25" customHeight="1">
      <c r="A33" s="798">
        <v>27</v>
      </c>
      <c r="B33" s="862">
        <v>7837081</v>
      </c>
      <c r="C33" s="760">
        <f>IF(B33&gt;=B32,B33-B32,0)*1.06</f>
        <v>170.66</v>
      </c>
      <c r="D33" s="860">
        <v>236309</v>
      </c>
      <c r="E33" s="760">
        <f t="shared" si="2"/>
        <v>147.69999999999999</v>
      </c>
      <c r="F33" s="860">
        <v>556191</v>
      </c>
      <c r="G33" s="760">
        <f t="shared" si="6"/>
        <v>0</v>
      </c>
      <c r="H33" s="760">
        <f t="shared" si="4"/>
        <v>130.78835000000001</v>
      </c>
      <c r="I33" s="760">
        <f>C33*J1</f>
        <v>274.76260000000002</v>
      </c>
      <c r="J33" s="760">
        <f>G33*J1</f>
        <v>0</v>
      </c>
      <c r="K33" s="933">
        <f t="shared" si="3"/>
        <v>318.36</v>
      </c>
    </row>
    <row r="34" spans="1:14" s="214" customFormat="1" ht="41.25" customHeight="1">
      <c r="A34" s="798">
        <v>28</v>
      </c>
      <c r="B34" s="113">
        <v>7837136</v>
      </c>
      <c r="C34" s="760">
        <f>IF(B34&gt;=B33,B34-B33,0)*1.06</f>
        <v>58.300000000000004</v>
      </c>
      <c r="D34" s="860">
        <v>236419</v>
      </c>
      <c r="E34" s="760">
        <f t="shared" si="2"/>
        <v>77</v>
      </c>
      <c r="F34" s="860">
        <v>556192</v>
      </c>
      <c r="G34" s="760">
        <f t="shared" si="6"/>
        <v>1</v>
      </c>
      <c r="H34" s="760">
        <f t="shared" si="4"/>
        <v>68.183500000000009</v>
      </c>
      <c r="I34" s="760">
        <f>C34*J1</f>
        <v>93.863000000000014</v>
      </c>
      <c r="J34" s="760">
        <f>G34*J1</f>
        <v>1.61</v>
      </c>
      <c r="K34" s="933">
        <f t="shared" si="3"/>
        <v>135.30000000000001</v>
      </c>
    </row>
    <row r="35" spans="1:14" s="214" customFormat="1" ht="41.25" customHeight="1">
      <c r="A35" s="797">
        <v>29</v>
      </c>
      <c r="B35" s="862">
        <v>7837250</v>
      </c>
      <c r="C35" s="760">
        <f>IF(B35&gt;=B34,B35-B34,0)*1.06</f>
        <v>120.84</v>
      </c>
      <c r="D35" s="860">
        <v>236525</v>
      </c>
      <c r="E35" s="760">
        <f t="shared" si="2"/>
        <v>74.199999999999989</v>
      </c>
      <c r="F35" s="860">
        <v>556192</v>
      </c>
      <c r="G35" s="760">
        <f t="shared" si="6"/>
        <v>0</v>
      </c>
      <c r="H35" s="760">
        <f t="shared" si="4"/>
        <v>65.704099999999997</v>
      </c>
      <c r="I35" s="760">
        <f>C35*J1</f>
        <v>194.55240000000001</v>
      </c>
      <c r="J35" s="760">
        <f>G35*J1</f>
        <v>0</v>
      </c>
      <c r="K35" s="933">
        <f t="shared" si="3"/>
        <v>195.04</v>
      </c>
    </row>
    <row r="36" spans="1:14" s="214" customFormat="1" ht="41.25" customHeight="1">
      <c r="A36" s="798">
        <v>30</v>
      </c>
      <c r="B36" s="113">
        <v>7837364</v>
      </c>
      <c r="C36" s="760">
        <f>IF(B36&gt;=B35,B36-B35,0)*1.06</f>
        <v>120.84</v>
      </c>
      <c r="D36" s="860">
        <v>236631</v>
      </c>
      <c r="E36" s="760">
        <f t="shared" si="2"/>
        <v>74.199999999999989</v>
      </c>
      <c r="F36" s="860">
        <v>556192</v>
      </c>
      <c r="G36" s="760">
        <f t="shared" si="6"/>
        <v>0</v>
      </c>
      <c r="H36" s="760">
        <f t="shared" si="4"/>
        <v>65.704099999999997</v>
      </c>
      <c r="I36" s="760">
        <f>C36*J1</f>
        <v>194.55240000000001</v>
      </c>
      <c r="J36" s="760">
        <f>G36*J1</f>
        <v>0</v>
      </c>
      <c r="K36" s="933">
        <f t="shared" si="3"/>
        <v>195.04</v>
      </c>
    </row>
    <row r="37" spans="1:14" s="214" customFormat="1" ht="41.25" customHeight="1" thickBot="1">
      <c r="A37" s="798">
        <v>31</v>
      </c>
      <c r="B37" s="862"/>
      <c r="C37" s="760">
        <f>IF(B37&gt;=B36,B37-B36,0)*1.06</f>
        <v>0</v>
      </c>
      <c r="D37" s="860"/>
      <c r="E37" s="760">
        <f t="shared" si="2"/>
        <v>0</v>
      </c>
      <c r="F37" s="860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3">
        <f t="shared" si="3"/>
        <v>0</v>
      </c>
    </row>
    <row r="38" spans="1:14" s="602" customFormat="1" ht="41.25" customHeight="1">
      <c r="A38" s="799" t="s">
        <v>37</v>
      </c>
      <c r="B38" s="863"/>
      <c r="C38" s="864">
        <f>SUM(C7:C37)</f>
        <v>4928.9999999999991</v>
      </c>
      <c r="D38" s="863"/>
      <c r="E38" s="864">
        <f>SUM(E7:E37)</f>
        <v>3590.9999999999991</v>
      </c>
      <c r="F38" s="863"/>
      <c r="G38" s="864">
        <f>SUM(G7:G37)</f>
        <v>35</v>
      </c>
      <c r="H38" s="865">
        <f>SUM(H6:H37)</f>
        <v>3179.8305</v>
      </c>
      <c r="I38" s="865">
        <f>SUM(I6:I37)</f>
        <v>7660.9273999999996</v>
      </c>
      <c r="J38" s="865">
        <f>SUM(J6:J37)</f>
        <v>56.349999999999994</v>
      </c>
      <c r="K38" s="934">
        <f>SUM(K6:K37)</f>
        <v>8520</v>
      </c>
    </row>
    <row r="39" spans="1:14" s="602" customFormat="1" ht="41.25" customHeight="1" thickBot="1">
      <c r="A39" s="800" t="s">
        <v>331</v>
      </c>
      <c r="B39" s="866"/>
      <c r="C39" s="867">
        <f>C38/A51</f>
        <v>164.29999999999998</v>
      </c>
      <c r="D39" s="866"/>
      <c r="E39" s="867">
        <f>E38/A51</f>
        <v>119.69999999999997</v>
      </c>
      <c r="F39" s="866"/>
      <c r="G39" s="867">
        <f>G38/A51</f>
        <v>1.1666666666666667</v>
      </c>
      <c r="H39" s="867"/>
      <c r="I39" s="867"/>
      <c r="J39" s="867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58.300000000000004</v>
      </c>
      <c r="D48" s="653"/>
      <c r="E48" s="609">
        <f>IF(E34&gt;0,E34,0)</f>
        <v>77</v>
      </c>
      <c r="F48" s="653"/>
      <c r="G48" s="609">
        <f>IF(G34&gt;0,G34,0)</f>
        <v>1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30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E7:E37 C7:C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E7:E37 C7:C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31" t="str">
        <f>Elect!A1</f>
        <v>April</v>
      </c>
      <c r="B1" s="177"/>
      <c r="C1" s="177"/>
      <c r="H1" s="143"/>
      <c r="I1" s="144"/>
      <c r="J1" s="145"/>
      <c r="K1" s="145"/>
      <c r="L1" s="1033" t="s">
        <v>144</v>
      </c>
      <c r="M1" s="1033"/>
      <c r="N1" s="1033"/>
      <c r="P1" s="1034" t="str">
        <f>Elect!A1</f>
        <v>April</v>
      </c>
      <c r="Q1" s="1034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32"/>
      <c r="B2" s="1035" t="s">
        <v>131</v>
      </c>
      <c r="C2" s="1036"/>
      <c r="D2" s="1036"/>
      <c r="E2" s="1036"/>
      <c r="F2" s="1036"/>
      <c r="G2" s="1037"/>
      <c r="H2" s="1035" t="s">
        <v>11</v>
      </c>
      <c r="I2" s="1036"/>
      <c r="J2" s="1036"/>
      <c r="K2" s="1036"/>
      <c r="L2" s="1036"/>
      <c r="M2" s="1036"/>
      <c r="N2" s="1036"/>
      <c r="O2" s="1036"/>
      <c r="P2" s="1037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64" t="s">
        <v>56</v>
      </c>
      <c r="AH2" s="1065"/>
      <c r="AI2" s="1065"/>
      <c r="AJ2" s="395" t="s">
        <v>50</v>
      </c>
      <c r="AK2" s="1068" t="s">
        <v>58</v>
      </c>
      <c r="AL2" s="1070" t="s">
        <v>65</v>
      </c>
      <c r="AM2" s="1070" t="s">
        <v>64</v>
      </c>
      <c r="AN2" s="1062" t="s">
        <v>120</v>
      </c>
      <c r="AO2" s="1052" t="s">
        <v>45</v>
      </c>
      <c r="AP2" s="1054" t="s">
        <v>51</v>
      </c>
      <c r="AQ2" s="1056" t="s">
        <v>66</v>
      </c>
      <c r="AR2" s="1058" t="s">
        <v>44</v>
      </c>
      <c r="AS2" s="1060" t="s">
        <v>51</v>
      </c>
      <c r="AT2" s="1050" t="s">
        <v>269</v>
      </c>
      <c r="AU2" s="1051"/>
      <c r="AV2" s="1035" t="s">
        <v>132</v>
      </c>
      <c r="AW2" s="1036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8" t="s">
        <v>5</v>
      </c>
      <c r="C3" s="1039"/>
      <c r="D3" s="1040" t="s">
        <v>2</v>
      </c>
      <c r="E3" s="1041"/>
      <c r="F3" s="1042" t="s">
        <v>3</v>
      </c>
      <c r="G3" s="1043"/>
      <c r="H3" s="1042" t="s">
        <v>17</v>
      </c>
      <c r="I3" s="1043"/>
      <c r="J3" s="1044" t="s">
        <v>18</v>
      </c>
      <c r="K3" s="1045"/>
      <c r="L3" s="1046" t="s">
        <v>19</v>
      </c>
      <c r="M3" s="1047"/>
      <c r="N3" s="161" t="s">
        <v>272</v>
      </c>
      <c r="O3" s="1048" t="s">
        <v>20</v>
      </c>
      <c r="P3" s="1049"/>
      <c r="Q3" s="1048" t="s">
        <v>114</v>
      </c>
      <c r="R3" s="1049"/>
      <c r="S3" s="1066" t="s">
        <v>121</v>
      </c>
      <c r="T3" s="1067"/>
      <c r="U3" s="1066" t="s">
        <v>122</v>
      </c>
      <c r="V3" s="1067"/>
      <c r="W3" s="1072" t="s">
        <v>123</v>
      </c>
      <c r="X3" s="1073"/>
      <c r="Y3" s="1066" t="s">
        <v>13</v>
      </c>
      <c r="Z3" s="1067"/>
      <c r="AA3" s="1072" t="s">
        <v>12</v>
      </c>
      <c r="AB3" s="1073"/>
      <c r="AC3" s="1066" t="s">
        <v>124</v>
      </c>
      <c r="AD3" s="1067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9"/>
      <c r="AL3" s="1071"/>
      <c r="AM3" s="1071"/>
      <c r="AN3" s="1063"/>
      <c r="AO3" s="1053"/>
      <c r="AP3" s="1055"/>
      <c r="AQ3" s="1057"/>
      <c r="AR3" s="1059"/>
      <c r="AS3" s="1061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1534</v>
      </c>
      <c r="D5" s="512">
        <f>[3]Consp!$E$6</f>
        <v>0</v>
      </c>
      <c r="E5" s="511">
        <f>Elect!M6</f>
        <v>544</v>
      </c>
      <c r="F5" s="512">
        <f>[3]Consp!G6</f>
        <v>20</v>
      </c>
      <c r="G5" s="511">
        <f>Elect!O6</f>
        <v>540</v>
      </c>
      <c r="H5" s="512">
        <f>[3]Consp!I6</f>
        <v>800</v>
      </c>
      <c r="I5" s="511">
        <f>Water!C7</f>
        <v>40.599999999999994</v>
      </c>
      <c r="J5" s="512">
        <f>[4]Consp!$K$6</f>
        <v>0</v>
      </c>
      <c r="K5" s="511">
        <f>Water!E7</f>
        <v>11.6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52.199999999999996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30.275999999999996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191.86</v>
      </c>
      <c r="AI5" s="516" t="e">
        <f>Gas!#REF!</f>
        <v>#REF!</v>
      </c>
      <c r="AJ5" s="517">
        <f>Gas!J7</f>
        <v>4.83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154</v>
      </c>
      <c r="AU5" s="511">
        <f>Elect!BI6</f>
        <v>67</v>
      </c>
      <c r="AV5" s="511" t="e">
        <f>Elect!#REF!</f>
        <v>#REF!</v>
      </c>
      <c r="AW5" s="511">
        <f>Elect!BK6</f>
        <v>154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 t="e">
        <f>Water!U7</f>
        <v>#DIV/0!</v>
      </c>
      <c r="BN5" s="528" t="e">
        <f>Water!W7</f>
        <v>#DIV/0!</v>
      </c>
      <c r="BO5" s="523">
        <f>Water!X7</f>
        <v>208.79999999999998</v>
      </c>
      <c r="BP5" s="528" t="e">
        <f>Water!Y7</f>
        <v>#DIV/0!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1896</v>
      </c>
      <c r="D6" s="512">
        <f>[3]Consp!$E$6</f>
        <v>0</v>
      </c>
      <c r="E6" s="511">
        <f>Elect!M7</f>
        <v>930</v>
      </c>
      <c r="F6" s="512">
        <f>[3]Consp!G7</f>
        <v>20</v>
      </c>
      <c r="G6" s="511">
        <f>Elect!O7</f>
        <v>860</v>
      </c>
      <c r="H6" s="512">
        <f>[3]Consp!I7</f>
        <v>936</v>
      </c>
      <c r="I6" s="511">
        <f>Water!C8</f>
        <v>133.39999999999998</v>
      </c>
      <c r="J6" s="512">
        <f>[4]Consp!$K$6</f>
        <v>0</v>
      </c>
      <c r="K6" s="511">
        <f>Water!E8</f>
        <v>5.8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139.19999999999999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80.73599999999999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7832895</v>
      </c>
      <c r="AH6" s="515">
        <f>Gas!C8</f>
        <v>170.66</v>
      </c>
      <c r="AI6" s="516" t="e">
        <f>Gas!#REF!</f>
        <v>#REF!</v>
      </c>
      <c r="AJ6" s="517">
        <f>Gas!J8</f>
        <v>3.22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289</v>
      </c>
      <c r="AU6" s="511">
        <f>Elect!BI7</f>
        <v>114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394569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 t="e">
        <f>Water!U8</f>
        <v>#DIV/0!</v>
      </c>
      <c r="BN6" s="528" t="e">
        <f>Water!W8</f>
        <v>#DIV/0!</v>
      </c>
      <c r="BO6" s="523">
        <f>Water!X8</f>
        <v>556.79999999999995</v>
      </c>
      <c r="BP6" s="528" t="e">
        <f>Water!Y8</f>
        <v>#DIV/0!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1702</v>
      </c>
      <c r="D7" s="512">
        <f>[3]Consp!$E$6</f>
        <v>0</v>
      </c>
      <c r="E7" s="511">
        <f>Elect!M8</f>
        <v>402</v>
      </c>
      <c r="F7" s="512">
        <f>[3]Consp!G8</f>
        <v>20</v>
      </c>
      <c r="G7" s="511">
        <f>Elect!O8</f>
        <v>374</v>
      </c>
      <c r="H7" s="512">
        <f>[3]Consp!I8</f>
        <v>685</v>
      </c>
      <c r="I7" s="511">
        <f>Water!C9</f>
        <v>92.8</v>
      </c>
      <c r="J7" s="512">
        <f>[4]Consp!$K$6</f>
        <v>0</v>
      </c>
      <c r="K7" s="511">
        <f>Water!E9</f>
        <v>40.599999999999994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133.39999999999998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77.371999999999986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7833217</v>
      </c>
      <c r="AH7" s="515">
        <f>Gas!C9</f>
        <v>170.66</v>
      </c>
      <c r="AI7" s="516" t="e">
        <f>Gas!#REF!</f>
        <v>#REF!</v>
      </c>
      <c r="AJ7" s="517">
        <f>Gas!J9</f>
        <v>0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108</v>
      </c>
      <c r="AU7" s="511">
        <f>Elect!BI8</f>
        <v>46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394677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 t="e">
        <f>Water!U9</f>
        <v>#DIV/0!</v>
      </c>
      <c r="BN7" s="528" t="e">
        <f>Water!W9</f>
        <v>#DIV/0!</v>
      </c>
      <c r="BO7" s="523">
        <f>Water!X9</f>
        <v>533.59999999999991</v>
      </c>
      <c r="BP7" s="528" t="e">
        <f>Water!Y9</f>
        <v>#DIV/0!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1993</v>
      </c>
      <c r="D8" s="512">
        <f>[3]Consp!$E$6</f>
        <v>0</v>
      </c>
      <c r="E8" s="511">
        <f>Elect!M9</f>
        <v>634</v>
      </c>
      <c r="F8" s="512">
        <f>[3]Consp!G9</f>
        <v>20</v>
      </c>
      <c r="G8" s="511">
        <f>Elect!O9</f>
        <v>592</v>
      </c>
      <c r="H8" s="512">
        <f>[3]Consp!I9</f>
        <v>786</v>
      </c>
      <c r="I8" s="511">
        <f>Water!C10</f>
        <v>231.99999999999997</v>
      </c>
      <c r="J8" s="512">
        <f>[4]Consp!$K$6</f>
        <v>0</v>
      </c>
      <c r="K8" s="511">
        <f>Water!E10</f>
        <v>11.6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243.59999999999997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141.28799999999998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7833378</v>
      </c>
      <c r="AH8" s="515">
        <f>Gas!C10</f>
        <v>170.66</v>
      </c>
      <c r="AI8" s="516" t="e">
        <f>Gas!#REF!</f>
        <v>#REF!</v>
      </c>
      <c r="AJ8" s="517">
        <f>Gas!J10</f>
        <v>3.22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202</v>
      </c>
      <c r="AU8" s="511">
        <f>Elect!BI9</f>
        <v>85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394879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 t="e">
        <f>Water!U10</f>
        <v>#DIV/0!</v>
      </c>
      <c r="BN8" s="528" t="e">
        <f>Water!W10</f>
        <v>#DIV/0!</v>
      </c>
      <c r="BO8" s="523">
        <f>Water!X10</f>
        <v>974.39999999999986</v>
      </c>
      <c r="BP8" s="528" t="e">
        <f>Water!Y10</f>
        <v>#DIV/0!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1723</v>
      </c>
      <c r="D9" s="512">
        <f>[3]Consp!$E$6</f>
        <v>0</v>
      </c>
      <c r="E9" s="511">
        <f>Elect!M10</f>
        <v>629</v>
      </c>
      <c r="F9" s="512">
        <f>[3]Consp!G10</f>
        <v>20</v>
      </c>
      <c r="G9" s="511">
        <f>Elect!O10</f>
        <v>961</v>
      </c>
      <c r="H9" s="512">
        <f>[3]Consp!I10</f>
        <v>789</v>
      </c>
      <c r="I9" s="511">
        <f>Water!C11</f>
        <v>81.199999999999989</v>
      </c>
      <c r="J9" s="512">
        <f>[4]Consp!$K$6</f>
        <v>0</v>
      </c>
      <c r="K9" s="511">
        <f>Water!E11</f>
        <v>63.8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145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84.1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7833539</v>
      </c>
      <c r="AH9" s="515">
        <f>Gas!C11</f>
        <v>170.66</v>
      </c>
      <c r="AI9" s="516" t="e">
        <f>Gas!#REF!</f>
        <v>#REF!</v>
      </c>
      <c r="AJ9" s="517">
        <f>Gas!J11</f>
        <v>3.22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262</v>
      </c>
      <c r="AU9" s="511">
        <f>Elect!BI10</f>
        <v>107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395141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 t="e">
        <f>Water!U11</f>
        <v>#DIV/0!</v>
      </c>
      <c r="BN9" s="528" t="e">
        <f>Water!W11</f>
        <v>#DIV/0!</v>
      </c>
      <c r="BO9" s="523">
        <f>Water!X11</f>
        <v>580</v>
      </c>
      <c r="BP9" s="528" t="e">
        <f>Water!Y11</f>
        <v>#DIV/0!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1827</v>
      </c>
      <c r="D10" s="512">
        <f>[3]Consp!$E$6</f>
        <v>0</v>
      </c>
      <c r="E10" s="511">
        <f>Elect!M11</f>
        <v>535</v>
      </c>
      <c r="F10" s="512">
        <f>[3]Consp!G11</f>
        <v>20</v>
      </c>
      <c r="G10" s="511">
        <f>Elect!O11</f>
        <v>892</v>
      </c>
      <c r="H10" s="512">
        <f>[3]Consp!I11</f>
        <v>805</v>
      </c>
      <c r="I10" s="511">
        <f>Water!C12</f>
        <v>46.4</v>
      </c>
      <c r="J10" s="512">
        <f>[4]Consp!$K$6</f>
        <v>0</v>
      </c>
      <c r="K10" s="511">
        <f>Water!E12</f>
        <v>46.4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92.8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53.823999999999998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7833700</v>
      </c>
      <c r="AH10" s="515">
        <f>Gas!C12</f>
        <v>170.66</v>
      </c>
      <c r="AI10" s="516" t="e">
        <f>Gas!#REF!</f>
        <v>#REF!</v>
      </c>
      <c r="AJ10" s="517">
        <f>Gas!J12</f>
        <v>1.61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84</v>
      </c>
      <c r="AU10" s="511">
        <f>Elect!BI11</f>
        <v>35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395225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 t="e">
        <f>Water!U12</f>
        <v>#DIV/0!</v>
      </c>
      <c r="BN10" s="528" t="e">
        <f>Water!W12</f>
        <v>#DIV/0!</v>
      </c>
      <c r="BO10" s="523">
        <f>Water!X12</f>
        <v>371.2</v>
      </c>
      <c r="BP10" s="528" t="e">
        <f>Water!Y12</f>
        <v>#DIV/0!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2458</v>
      </c>
      <c r="D11" s="512">
        <f>[3]Consp!$E$6</f>
        <v>0</v>
      </c>
      <c r="E11" s="511">
        <f>Elect!M12</f>
        <v>876</v>
      </c>
      <c r="F11" s="512">
        <f>[3]Consp!G12</f>
        <v>20</v>
      </c>
      <c r="G11" s="511">
        <f>Elect!O12</f>
        <v>1091</v>
      </c>
      <c r="H11" s="512">
        <f>[3]Consp!I12</f>
        <v>871</v>
      </c>
      <c r="I11" s="511">
        <f>Water!C13</f>
        <v>69.599999999999994</v>
      </c>
      <c r="J11" s="512">
        <f>[4]Consp!$K$6</f>
        <v>0</v>
      </c>
      <c r="K11" s="511">
        <f>Water!E13</f>
        <v>28.999999999999996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98.6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57.187999999999995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7833861</v>
      </c>
      <c r="AH11" s="515">
        <f>Gas!C13</f>
        <v>170.66</v>
      </c>
      <c r="AI11" s="516" t="e">
        <f>Gas!#REF!</f>
        <v>#REF!</v>
      </c>
      <c r="AJ11" s="517">
        <f>Gas!J13</f>
        <v>1.61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232</v>
      </c>
      <c r="AU11" s="511">
        <f>Elect!BI12</f>
        <v>95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395457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 t="e">
        <f>Water!U13</f>
        <v>#DIV/0!</v>
      </c>
      <c r="BN11" s="528" t="e">
        <f>Water!W13</f>
        <v>#DIV/0!</v>
      </c>
      <c r="BO11" s="523">
        <f>Water!X13</f>
        <v>394.4</v>
      </c>
      <c r="BP11" s="528" t="e">
        <f>Water!Y13</f>
        <v>#DIV/0!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2104</v>
      </c>
      <c r="D12" s="512">
        <f>[3]Consp!$E$6</f>
        <v>0</v>
      </c>
      <c r="E12" s="511">
        <f>Elect!M13</f>
        <v>777</v>
      </c>
      <c r="F12" s="512">
        <f>[3]Consp!G13</f>
        <v>20</v>
      </c>
      <c r="G12" s="511">
        <f>Elect!O13</f>
        <v>539</v>
      </c>
      <c r="H12" s="512">
        <f>[3]Consp!I13</f>
        <v>963</v>
      </c>
      <c r="I12" s="511">
        <f>Water!C14</f>
        <v>75.399999999999991</v>
      </c>
      <c r="J12" s="512">
        <f>[4]Consp!$K$6</f>
        <v>0</v>
      </c>
      <c r="K12" s="511">
        <f>Water!E14</f>
        <v>40.599999999999994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115.99999999999999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67.279999999999987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7834022</v>
      </c>
      <c r="AH12" s="515">
        <f>Gas!C14</f>
        <v>170.66</v>
      </c>
      <c r="AI12" s="516" t="e">
        <f>Gas!#REF!</f>
        <v>#REF!</v>
      </c>
      <c r="AJ12" s="517">
        <f>Gas!J14</f>
        <v>1.61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217</v>
      </c>
      <c r="AU12" s="511">
        <f>Elect!BI13</f>
        <v>89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395674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 t="e">
        <f>Water!U14</f>
        <v>#DIV/0!</v>
      </c>
      <c r="BN12" s="528" t="e">
        <f>Water!W14</f>
        <v>#DIV/0!</v>
      </c>
      <c r="BO12" s="523">
        <f>Water!X14</f>
        <v>463.99999999999994</v>
      </c>
      <c r="BP12" s="528" t="e">
        <f>Water!Y14</f>
        <v>#DIV/0!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962</v>
      </c>
      <c r="D13" s="512">
        <f>[3]Consp!$E$6</f>
        <v>0</v>
      </c>
      <c r="E13" s="511">
        <f>Elect!M14</f>
        <v>583</v>
      </c>
      <c r="F13" s="512">
        <f>[3]Consp!G14</f>
        <v>20</v>
      </c>
      <c r="G13" s="511">
        <f>Elect!O14</f>
        <v>398</v>
      </c>
      <c r="H13" s="512">
        <f>[3]Consp!I14</f>
        <v>790</v>
      </c>
      <c r="I13" s="511">
        <f>Water!C15</f>
        <v>98.6</v>
      </c>
      <c r="J13" s="512">
        <f>[4]Consp!$K$6</f>
        <v>0</v>
      </c>
      <c r="K13" s="511">
        <f>Water!E15</f>
        <v>34.799999999999997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133.39999999999998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77.371999999999986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7834183</v>
      </c>
      <c r="AH13" s="515">
        <f>Gas!C15</f>
        <v>170.66</v>
      </c>
      <c r="AI13" s="516" t="e">
        <f>Gas!#REF!</f>
        <v>#REF!</v>
      </c>
      <c r="AJ13" s="517">
        <f>Gas!J15</f>
        <v>0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117</v>
      </c>
      <c r="AU13" s="511">
        <f>Elect!BI14</f>
        <v>49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395791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 t="e">
        <f>Water!U15</f>
        <v>#DIV/0!</v>
      </c>
      <c r="BN13" s="528" t="e">
        <f>Water!W15</f>
        <v>#DIV/0!</v>
      </c>
      <c r="BO13" s="523">
        <f>Water!X15</f>
        <v>533.59999999999991</v>
      </c>
      <c r="BP13" s="528" t="e">
        <f>Water!Y15</f>
        <v>#DIV/0!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2501</v>
      </c>
      <c r="D14" s="512">
        <f>[3]Consp!$E$6</f>
        <v>0</v>
      </c>
      <c r="E14" s="511">
        <f>Elect!M15</f>
        <v>810</v>
      </c>
      <c r="F14" s="512">
        <f>[3]Consp!G15</f>
        <v>20</v>
      </c>
      <c r="G14" s="511">
        <f>Elect!O15</f>
        <v>520</v>
      </c>
      <c r="H14" s="512">
        <f>[3]Consp!I15</f>
        <v>792</v>
      </c>
      <c r="I14" s="511">
        <f>Water!C16</f>
        <v>28.999999999999996</v>
      </c>
      <c r="J14" s="512">
        <f>[4]Consp!$K$6</f>
        <v>0</v>
      </c>
      <c r="K14" s="511">
        <f>Water!E16</f>
        <v>17.399999999999999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54.519999999999989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31.62159999999999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7834344</v>
      </c>
      <c r="AH14" s="515">
        <f>Gas!C16</f>
        <v>170.66</v>
      </c>
      <c r="AI14" s="516" t="e">
        <f>Gas!#REF!</f>
        <v>#REF!</v>
      </c>
      <c r="AJ14" s="517">
        <f>Gas!J16</f>
        <v>3.22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274</v>
      </c>
      <c r="AU14" s="511">
        <f>Elect!BI15</f>
        <v>111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396065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 t="e">
        <f>Water!U16</f>
        <v>#DIV/0!</v>
      </c>
      <c r="BN14" s="528" t="e">
        <f>Water!W16</f>
        <v>#DIV/0!</v>
      </c>
      <c r="BO14" s="523">
        <f>Water!X16</f>
        <v>218.07999999999996</v>
      </c>
      <c r="BP14" s="528" t="e">
        <f>Water!Y16</f>
        <v>#DIV/0!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1367</v>
      </c>
      <c r="D15" s="512">
        <f>[3]Consp!$E$6</f>
        <v>0</v>
      </c>
      <c r="E15" s="511">
        <f>Elect!M16</f>
        <v>549</v>
      </c>
      <c r="F15" s="512">
        <f>[3]Consp!G16</f>
        <v>20</v>
      </c>
      <c r="G15" s="511">
        <f>Elect!O16</f>
        <v>362</v>
      </c>
      <c r="H15" s="512">
        <f>[3]Consp!I16</f>
        <v>817</v>
      </c>
      <c r="I15" s="511">
        <f>Water!C17</f>
        <v>46.4</v>
      </c>
      <c r="J15" s="512">
        <f>[4]Consp!$K$6</f>
        <v>0</v>
      </c>
      <c r="K15" s="511">
        <f>Water!E17</f>
        <v>28.999999999999996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80.61999999999999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46.759599999999992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170.66</v>
      </c>
      <c r="AI15" s="516" t="e">
        <f>Gas!#REF!</f>
        <v>#REF!</v>
      </c>
      <c r="AJ15" s="517">
        <f>Gas!J17</f>
        <v>6.44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150</v>
      </c>
      <c r="AU15" s="511">
        <f>Elect!BI16</f>
        <v>62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396215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 t="e">
        <f>Water!U17</f>
        <v>#DIV/0!</v>
      </c>
      <c r="BN15" s="528" t="e">
        <f>Water!W17</f>
        <v>#DIV/0!</v>
      </c>
      <c r="BO15" s="523">
        <f>Water!X17</f>
        <v>322.47999999999996</v>
      </c>
      <c r="BP15" s="528" t="e">
        <f>Water!Y17</f>
        <v>#DIV/0!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1552</v>
      </c>
      <c r="D16" s="512">
        <f>[3]Consp!$E$6</f>
        <v>0</v>
      </c>
      <c r="E16" s="511">
        <f>Elect!M17</f>
        <v>653</v>
      </c>
      <c r="F16" s="512">
        <f>[3]Consp!G17</f>
        <v>20</v>
      </c>
      <c r="G16" s="511">
        <f>Elect!O17</f>
        <v>469</v>
      </c>
      <c r="H16" s="512">
        <f>[3]Consp!I17</f>
        <v>907</v>
      </c>
      <c r="I16" s="511">
        <f>Water!C18</f>
        <v>40.599999999999994</v>
      </c>
      <c r="J16" s="512">
        <f>[4]Consp!$K$6</f>
        <v>0</v>
      </c>
      <c r="K16" s="511">
        <f>Water!E18</f>
        <v>28.999999999999996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77.139999999999986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44.741199999999992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7834666</v>
      </c>
      <c r="AH16" s="515">
        <f>Gas!C18</f>
        <v>170.66</v>
      </c>
      <c r="AI16" s="516" t="e">
        <f>Gas!#REF!</f>
        <v>#REF!</v>
      </c>
      <c r="AJ16" s="517">
        <f>Gas!J18</f>
        <v>1.61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157</v>
      </c>
      <c r="AU16" s="511">
        <f>Elect!BI17</f>
        <v>63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396372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308.55999999999995</v>
      </c>
      <c r="BP16" s="528" t="e">
        <f>Water!Y18</f>
        <v>#DIV/0!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1989</v>
      </c>
      <c r="D17" s="512">
        <f>[3]Consp!$E$6</f>
        <v>0</v>
      </c>
      <c r="E17" s="511">
        <f>Elect!M18</f>
        <v>625</v>
      </c>
      <c r="F17" s="512">
        <f>[3]Consp!G18</f>
        <v>20</v>
      </c>
      <c r="G17" s="511">
        <f>Elect!O18</f>
        <v>711</v>
      </c>
      <c r="H17" s="512">
        <f>[3]Consp!I18</f>
        <v>812</v>
      </c>
      <c r="I17" s="511">
        <f>Water!C19</f>
        <v>63.8</v>
      </c>
      <c r="J17" s="512">
        <f>[4]Consp!$K$6</f>
        <v>0</v>
      </c>
      <c r="K17" s="511">
        <f>Water!E19</f>
        <v>46.4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117.15999999999998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67.952799999999982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7834827</v>
      </c>
      <c r="AH17" s="515">
        <f>Gas!C19</f>
        <v>170.66</v>
      </c>
      <c r="AI17" s="516" t="e">
        <f>Gas!#REF!</f>
        <v>#REF!</v>
      </c>
      <c r="AJ17" s="517">
        <f>Gas!J19</f>
        <v>1.61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212</v>
      </c>
      <c r="AU17" s="511">
        <f>Elect!BI18</f>
        <v>90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396584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468.63999999999993</v>
      </c>
      <c r="BP17" s="528" t="e">
        <f>Water!Y19</f>
        <v>#DIV/0!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2081</v>
      </c>
      <c r="D18" s="512">
        <f>[3]Consp!$E$6</f>
        <v>0</v>
      </c>
      <c r="E18" s="511">
        <f>Elect!M19</f>
        <v>726</v>
      </c>
      <c r="F18" s="512">
        <f>[3]Consp!G19</f>
        <v>30</v>
      </c>
      <c r="G18" s="511">
        <f>Elect!O19</f>
        <v>635</v>
      </c>
      <c r="H18" s="512">
        <f>[3]Consp!I19</f>
        <v>810</v>
      </c>
      <c r="I18" s="511">
        <f>Water!C20</f>
        <v>40.599999999999994</v>
      </c>
      <c r="J18" s="512">
        <f>[4]Consp!$K$6</f>
        <v>0</v>
      </c>
      <c r="K18" s="511">
        <f>Water!E20</f>
        <v>28.999999999999996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77.139999999999986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44.741199999999992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7834988</v>
      </c>
      <c r="AH18" s="515">
        <f>Gas!C20</f>
        <v>170.66</v>
      </c>
      <c r="AI18" s="516" t="e">
        <f>Gas!#REF!</f>
        <v>#REF!</v>
      </c>
      <c r="AJ18" s="517">
        <f>Gas!J20</f>
        <v>1.61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190</v>
      </c>
      <c r="AU18" s="511">
        <f>Elect!BI19</f>
        <v>77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394280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308.55999999999995</v>
      </c>
      <c r="BP18" s="528" t="e">
        <f>Water!Y20</f>
        <v>#DIV/0!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1796</v>
      </c>
      <c r="D19" s="512">
        <f>[3]Consp!$E$6</f>
        <v>0</v>
      </c>
      <c r="E19" s="511">
        <f>Elect!M20</f>
        <v>629</v>
      </c>
      <c r="F19" s="512">
        <f>[3]Consp!G20</f>
        <v>20</v>
      </c>
      <c r="G19" s="511">
        <f>Elect!O20</f>
        <v>699</v>
      </c>
      <c r="H19" s="512">
        <f>[3]Consp!I20</f>
        <v>841</v>
      </c>
      <c r="I19" s="511">
        <f>Water!C21</f>
        <v>52.199999999999996</v>
      </c>
      <c r="J19" s="512">
        <f>[4]Consp!$K$6</f>
        <v>0</v>
      </c>
      <c r="K19" s="511">
        <f>Water!E21</f>
        <v>52.199999999999996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108.46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62.90679999999999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7835149</v>
      </c>
      <c r="AH19" s="515">
        <f>Gas!C21</f>
        <v>170.66</v>
      </c>
      <c r="AI19" s="516" t="e">
        <f>Gas!#REF!</f>
        <v>#REF!</v>
      </c>
      <c r="AJ19" s="517">
        <f>Gas!J21</f>
        <v>0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173</v>
      </c>
      <c r="AU19" s="511">
        <f>Elect!BI20</f>
        <v>74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396947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433.84</v>
      </c>
      <c r="BP19" s="528" t="e">
        <f>Water!Y21</f>
        <v>#DIV/0!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1801</v>
      </c>
      <c r="D20" s="512">
        <f>[3]Consp!$E$6</f>
        <v>0</v>
      </c>
      <c r="E20" s="511">
        <f>Elect!M21</f>
        <v>630</v>
      </c>
      <c r="F20" s="512">
        <f>[3]Consp!G21</f>
        <v>20</v>
      </c>
      <c r="G20" s="511">
        <f>Elect!O21</f>
        <v>749</v>
      </c>
      <c r="H20" s="512">
        <f>[3]Consp!I21</f>
        <v>932</v>
      </c>
      <c r="I20" s="511">
        <f>Water!C22</f>
        <v>34.799999999999997</v>
      </c>
      <c r="J20" s="512">
        <f>[4]Consp!$K$6</f>
        <v>0</v>
      </c>
      <c r="K20" s="511">
        <f>Water!E22</f>
        <v>40.599999999999994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78.88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45.750399999999992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7835310</v>
      </c>
      <c r="AH20" s="515">
        <f>Gas!C22</f>
        <v>170.66</v>
      </c>
      <c r="AI20" s="516" t="e">
        <f>Gas!#REF!</f>
        <v>#REF!</v>
      </c>
      <c r="AJ20" s="517">
        <f>Gas!J22</f>
        <v>3.22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184</v>
      </c>
      <c r="AU20" s="511">
        <f>Elect!BI21</f>
        <v>73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397131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315.52</v>
      </c>
      <c r="BP20" s="528" t="e">
        <f>Water!Y22</f>
        <v>#DIV/0!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2538</v>
      </c>
      <c r="D21" s="512">
        <f>[3]Consp!$E$6</f>
        <v>0</v>
      </c>
      <c r="E21" s="511">
        <f>Elect!M22</f>
        <v>552</v>
      </c>
      <c r="F21" s="512">
        <f>[3]Consp!G22</f>
        <v>20</v>
      </c>
      <c r="G21" s="511">
        <f>Elect!O22</f>
        <v>415</v>
      </c>
      <c r="H21" s="512">
        <f>[3]Consp!I22</f>
        <v>972</v>
      </c>
      <c r="I21" s="511">
        <f>Water!C23</f>
        <v>17.399999999999999</v>
      </c>
      <c r="J21" s="512">
        <f>[4]Consp!$K$6</f>
        <v>0</v>
      </c>
      <c r="K21" s="511">
        <f>Water!E23</f>
        <v>34.799999999999997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53.359999999999992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30.948799999999995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7835471</v>
      </c>
      <c r="AH21" s="515">
        <f>Gas!C23</f>
        <v>170.66</v>
      </c>
      <c r="AI21" s="516" t="e">
        <f>Gas!#REF!</f>
        <v>#REF!</v>
      </c>
      <c r="AJ21" s="517">
        <f>Gas!J23</f>
        <v>1.61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175</v>
      </c>
      <c r="AU21" s="511">
        <f>Elect!BI22</f>
        <v>83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397306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213.43999999999997</v>
      </c>
      <c r="BP21" s="528" t="e">
        <f>Water!Y23</f>
        <v>#DIV/0!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1400</v>
      </c>
      <c r="D22" s="512">
        <f>[3]Consp!$E$6</f>
        <v>0</v>
      </c>
      <c r="E22" s="511">
        <f>Elect!M23</f>
        <v>700</v>
      </c>
      <c r="F22" s="512">
        <f>[3]Consp!G23</f>
        <v>20</v>
      </c>
      <c r="G22" s="511">
        <f>Elect!O23</f>
        <v>600</v>
      </c>
      <c r="H22" s="512">
        <f>[3]Consp!I23</f>
        <v>864</v>
      </c>
      <c r="I22" s="511">
        <f>Water!C24</f>
        <v>34.799999999999997</v>
      </c>
      <c r="J22" s="512">
        <f>[4]Consp!$K$6</f>
        <v>0</v>
      </c>
      <c r="K22" s="511">
        <f>Water!E24</f>
        <v>28.999999999999996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66.11999999999999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38.349599999999995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7835632</v>
      </c>
      <c r="AH22" s="515">
        <f>Gas!C24</f>
        <v>170.66</v>
      </c>
      <c r="AI22" s="516" t="e">
        <f>Gas!#REF!</f>
        <v>#REF!</v>
      </c>
      <c r="AJ22" s="517">
        <f>Gas!J24</f>
        <v>0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200</v>
      </c>
      <c r="AU22" s="511">
        <f>Elect!BI23</f>
        <v>70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397506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264.47999999999996</v>
      </c>
      <c r="BP22" s="528" t="e">
        <f>Water!Y24</f>
        <v>#DIV/0!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1869</v>
      </c>
      <c r="D23" s="512">
        <f>[3]Consp!$E$6</f>
        <v>0</v>
      </c>
      <c r="E23" s="511">
        <f>Elect!M24</f>
        <v>742</v>
      </c>
      <c r="F23" s="512">
        <f>[3]Consp!G24</f>
        <v>30</v>
      </c>
      <c r="G23" s="511">
        <f>Elect!O24</f>
        <v>733</v>
      </c>
      <c r="H23" s="512">
        <f>[3]Consp!I24</f>
        <v>894</v>
      </c>
      <c r="I23" s="511">
        <f>Water!C25</f>
        <v>11.6</v>
      </c>
      <c r="J23" s="512">
        <f>[4]Consp!$K$6</f>
        <v>0</v>
      </c>
      <c r="K23" s="511">
        <f>Water!E25</f>
        <v>52.199999999999996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63.8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37.003999999999998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7835793</v>
      </c>
      <c r="AH23" s="515">
        <f>Gas!C25</f>
        <v>170.66</v>
      </c>
      <c r="AI23" s="516" t="e">
        <f>Gas!#REF!</f>
        <v>#REF!</v>
      </c>
      <c r="AJ23" s="517">
        <f>Gas!J25</f>
        <v>1.61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190</v>
      </c>
      <c r="AU23" s="511">
        <f>Elect!BI24</f>
        <v>74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397696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255.2</v>
      </c>
      <c r="BP23" s="528" t="e">
        <f>Water!Y25</f>
        <v>#DIV/0!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1989</v>
      </c>
      <c r="D24" s="512">
        <f>[3]Consp!$E$6</f>
        <v>0</v>
      </c>
      <c r="E24" s="511">
        <f>Elect!M25</f>
        <v>508</v>
      </c>
      <c r="F24" s="512">
        <f>[3]Consp!G25</f>
        <v>20</v>
      </c>
      <c r="G24" s="511">
        <f>Elect!O25</f>
        <v>518</v>
      </c>
      <c r="H24" s="512">
        <f>[3]Consp!I25</f>
        <v>944</v>
      </c>
      <c r="I24" s="511">
        <f>Water!C26</f>
        <v>11.6</v>
      </c>
      <c r="J24" s="512">
        <f>[4]Consp!$K$6</f>
        <v>0</v>
      </c>
      <c r="K24" s="511">
        <f>Water!E26</f>
        <v>11.6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23.779999999999998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13.792399999999997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7835954</v>
      </c>
      <c r="AH24" s="515">
        <f>Gas!C26</f>
        <v>170.66</v>
      </c>
      <c r="AI24" s="516" t="e">
        <f>Gas!#REF!</f>
        <v>#REF!</v>
      </c>
      <c r="AJ24" s="517">
        <f>Gas!J26</f>
        <v>4.83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205</v>
      </c>
      <c r="AU24" s="511">
        <f>Elect!BI25</f>
        <v>84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397901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95.11999999999999</v>
      </c>
      <c r="BP24" s="528" t="e">
        <f>Water!Y26</f>
        <v>#DIV/0!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2346</v>
      </c>
      <c r="D25" s="512">
        <f>[3]Consp!$E$6</f>
        <v>0</v>
      </c>
      <c r="E25" s="511">
        <f>Elect!M26</f>
        <v>799</v>
      </c>
      <c r="F25" s="512">
        <f>[3]Consp!G26</f>
        <v>20</v>
      </c>
      <c r="G25" s="511">
        <f>Elect!O26</f>
        <v>878</v>
      </c>
      <c r="H25" s="512">
        <f>[3]Consp!I26</f>
        <v>916</v>
      </c>
      <c r="I25" s="511">
        <f>Water!C27</f>
        <v>5.8</v>
      </c>
      <c r="J25" s="512">
        <f>[4]Consp!$K$6</f>
        <v>0</v>
      </c>
      <c r="K25" s="511">
        <f>Water!E27</f>
        <v>5.8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11.6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6.7279999999999998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7836115</v>
      </c>
      <c r="AH25" s="515">
        <f>Gas!C27</f>
        <v>170.66</v>
      </c>
      <c r="AI25" s="516" t="e">
        <f>Gas!#REF!</f>
        <v>#REF!</v>
      </c>
      <c r="AJ25" s="517">
        <f>Gas!J27</f>
        <v>1.61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264</v>
      </c>
      <c r="AU25" s="511">
        <f>Elect!BI26</f>
        <v>102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398165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46.4</v>
      </c>
      <c r="BP25" s="528" t="e">
        <f>Water!Y27</f>
        <v>#DIV/0!</v>
      </c>
      <c r="BQ25" s="529" t="e">
        <f>Water!Z27</f>
        <v>#DIV/0!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1254</v>
      </c>
      <c r="D26" s="512">
        <f>[3]Consp!$E$6</f>
        <v>0</v>
      </c>
      <c r="E26" s="511">
        <f>Elect!M27</f>
        <v>392</v>
      </c>
      <c r="F26" s="512">
        <f>[3]Consp!G27</f>
        <v>20</v>
      </c>
      <c r="G26" s="511">
        <f>Elect!O27</f>
        <v>491</v>
      </c>
      <c r="H26" s="512">
        <f>[3]Consp!I27</f>
        <v>931</v>
      </c>
      <c r="I26" s="511">
        <f>Water!C28</f>
        <v>5.8</v>
      </c>
      <c r="J26" s="512">
        <f>[4]Consp!$K$6</f>
        <v>0</v>
      </c>
      <c r="K26" s="511">
        <f>Water!E28</f>
        <v>17.399999999999999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23.2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13.456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7836276</v>
      </c>
      <c r="AH26" s="515">
        <f>Gas!C28</f>
        <v>170.66</v>
      </c>
      <c r="AI26" s="516" t="e">
        <f>Gas!#REF!</f>
        <v>#REF!</v>
      </c>
      <c r="AJ26" s="517">
        <f>Gas!J28</f>
        <v>3.22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79</v>
      </c>
      <c r="AU26" s="511">
        <f>Elect!BI27</f>
        <v>39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398244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92.8</v>
      </c>
      <c r="BP26" s="528" t="e">
        <f>Water!Y28</f>
        <v>#DIV/0!</v>
      </c>
      <c r="BQ26" s="529" t="e">
        <f>Water!Z28</f>
        <v>#DIV/0!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1754</v>
      </c>
      <c r="D27" s="512">
        <f>[3]Consp!$E$6</f>
        <v>0</v>
      </c>
      <c r="E27" s="511">
        <f>Elect!M28</f>
        <v>540</v>
      </c>
      <c r="F27" s="512">
        <f>[3]Consp!G28</f>
        <v>30</v>
      </c>
      <c r="G27" s="511">
        <f>Elect!O28</f>
        <v>661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162.39999999999998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162.39999999999998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94.191999999999979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7836437</v>
      </c>
      <c r="AH27" s="515">
        <f>Gas!C29</f>
        <v>170.66</v>
      </c>
      <c r="AI27" s="516" t="e">
        <f>Gas!#REF!</f>
        <v>#REF!</v>
      </c>
      <c r="AJ27" s="517">
        <f>Gas!J29</f>
        <v>1.61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204</v>
      </c>
      <c r="AU27" s="511">
        <f>Elect!BI28</f>
        <v>85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398448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649.59999999999991</v>
      </c>
      <c r="BP27" s="528" t="e">
        <f>Water!Y29</f>
        <v>#DIV/0!</v>
      </c>
      <c r="BQ27" s="529" t="e">
        <f>Water!Z29</f>
        <v>#DIV/0!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1532</v>
      </c>
      <c r="D28" s="512">
        <f>[3]Consp!$E$6</f>
        <v>0</v>
      </c>
      <c r="E28" s="511">
        <f>Elect!M29</f>
        <v>897</v>
      </c>
      <c r="F28" s="512">
        <f>[3]Consp!G29</f>
        <v>20</v>
      </c>
      <c r="G28" s="511">
        <f>Elect!O29</f>
        <v>984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69.599999999999994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69.599999999999994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40.367999999999995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7836598</v>
      </c>
      <c r="AH28" s="515">
        <f>Gas!C30</f>
        <v>170.66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289</v>
      </c>
      <c r="AU28" s="511">
        <f>Elect!BI29</f>
        <v>118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398737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278.39999999999998</v>
      </c>
      <c r="BP28" s="528" t="e">
        <f>Water!Y30</f>
        <v>#DIV/0!</v>
      </c>
      <c r="BQ28" s="529" t="e">
        <f>Water!Z30</f>
        <v>#DIV/0!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2468</v>
      </c>
      <c r="D29" s="512">
        <f>[3]Consp!$E$6</f>
        <v>0</v>
      </c>
      <c r="E29" s="511">
        <f>Elect!M30</f>
        <v>377</v>
      </c>
      <c r="F29" s="512">
        <f>[3]Consp!G30</f>
        <v>20</v>
      </c>
      <c r="G29" s="511">
        <f>Elect!O30</f>
        <v>395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81.199999999999989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81.199999999999989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47.095999999999989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7836759</v>
      </c>
      <c r="AH29" s="515">
        <f>Gas!C31</f>
        <v>170.66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81</v>
      </c>
      <c r="AU29" s="511">
        <f>Elect!BI30</f>
        <v>35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398818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324.79999999999995</v>
      </c>
      <c r="BP29" s="528" t="e">
        <f>Water!Y31</f>
        <v>#DIV/0!</v>
      </c>
      <c r="BQ29" s="529" t="e">
        <f>Water!Z31</f>
        <v>#DIV/0!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1519</v>
      </c>
      <c r="D30" s="512">
        <f>[3]Consp!$E$6</f>
        <v>0</v>
      </c>
      <c r="E30" s="511">
        <f>Elect!M31</f>
        <v>586</v>
      </c>
      <c r="F30" s="512">
        <f>[3]Consp!G31</f>
        <v>20</v>
      </c>
      <c r="G30" s="511">
        <f>Elect!O31</f>
        <v>652</v>
      </c>
      <c r="H30" s="512">
        <f>[3]Consp!I31</f>
        <v>760</v>
      </c>
      <c r="I30" s="511">
        <f>Water!C32</f>
        <v>5.8</v>
      </c>
      <c r="J30" s="512">
        <f>[4]Consp!$K$6</f>
        <v>0</v>
      </c>
      <c r="K30" s="511">
        <f>Water!E32</f>
        <v>92.8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98.6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57.187999999999995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7836920</v>
      </c>
      <c r="AH30" s="515">
        <f>Gas!C32</f>
        <v>170.66</v>
      </c>
      <c r="AI30" s="516" t="e">
        <f>Gas!#REF!</f>
        <v>#REF!</v>
      </c>
      <c r="AJ30" s="517">
        <f>Gas!J32</f>
        <v>3.22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200</v>
      </c>
      <c r="AU30" s="511">
        <f>Elect!BI31</f>
        <v>85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399018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394.4</v>
      </c>
      <c r="BP30" s="528" t="e">
        <f>Water!Y32</f>
        <v>#DIV/0!</v>
      </c>
      <c r="BQ30" s="529" t="e">
        <f>Water!Z32</f>
        <v>#DIV/0!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2311</v>
      </c>
      <c r="D31" s="512">
        <f>[3]Consp!$E$6</f>
        <v>0</v>
      </c>
      <c r="E31" s="511">
        <f>Elect!M32</f>
        <v>625</v>
      </c>
      <c r="F31" s="512">
        <f>[3]Consp!G32</f>
        <v>30</v>
      </c>
      <c r="G31" s="511">
        <f>Elect!O32</f>
        <v>727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75.399999999999991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75.399999999999991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43.731999999999992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7837081</v>
      </c>
      <c r="AH31" s="515">
        <f>Gas!C33</f>
        <v>170.66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203</v>
      </c>
      <c r="AU31" s="511">
        <f>Elect!BI32</f>
        <v>86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399221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301.59999999999997</v>
      </c>
      <c r="BP31" s="528" t="e">
        <f>Water!Y33</f>
        <v>#DIV/0!</v>
      </c>
      <c r="BQ31" s="529" t="e">
        <f>Water!Z33</f>
        <v>#DIV/0!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1680</v>
      </c>
      <c r="D32" s="536">
        <f>[3]Consp!$E$6</f>
        <v>0</v>
      </c>
      <c r="E32" s="535">
        <f>Elect!M33</f>
        <v>523</v>
      </c>
      <c r="F32" s="536">
        <f>[3]Consp!G33</f>
        <v>20</v>
      </c>
      <c r="G32" s="535">
        <f>Elect!O33</f>
        <v>638</v>
      </c>
      <c r="H32" s="536">
        <f>[3]Consp!I33</f>
        <v>1008</v>
      </c>
      <c r="I32" s="535">
        <f>Water!C34</f>
        <v>5.8</v>
      </c>
      <c r="J32" s="536">
        <f>[4]Consp!$K$6</f>
        <v>0</v>
      </c>
      <c r="K32" s="535">
        <f>Water!E34</f>
        <v>63.8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69.599999999999994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40.367999999999995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7837136</v>
      </c>
      <c r="AH32" s="539">
        <f>Gas!C34</f>
        <v>58.300000000000004</v>
      </c>
      <c r="AI32" s="540" t="e">
        <f>Gas!#REF!</f>
        <v>#REF!</v>
      </c>
      <c r="AJ32" s="541">
        <f>Gas!J34</f>
        <v>1.61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154</v>
      </c>
      <c r="AU32" s="535">
        <f>Elect!BI33</f>
        <v>60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399375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278.39999999999998</v>
      </c>
      <c r="BP32" s="552" t="e">
        <f>Water!Y34</f>
        <v>#DIV/0!</v>
      </c>
      <c r="BQ32" s="553" t="e">
        <f>Water!Z34</f>
        <v>#DIV/0!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2214</v>
      </c>
      <c r="D33" s="556">
        <f>[3]Consp!$E$6</f>
        <v>0</v>
      </c>
      <c r="E33" s="555">
        <f>Elect!M34</f>
        <v>754</v>
      </c>
      <c r="F33" s="556">
        <f>[3]Consp!G35</f>
        <v>600</v>
      </c>
      <c r="G33" s="555">
        <f>Elect!O34</f>
        <v>871</v>
      </c>
      <c r="H33" s="556">
        <f>[3]Consp!I35</f>
        <v>24543</v>
      </c>
      <c r="I33" s="555">
        <f>Water!C38</f>
        <v>1287.5999999999995</v>
      </c>
      <c r="J33" s="556">
        <f>[4]Consp!$K$6</f>
        <v>0</v>
      </c>
      <c r="K33" s="555">
        <f>Water!E39</f>
        <v>42.096774193548377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2639.5799999999995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1477.1323999999997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4928.9999999999991</v>
      </c>
      <c r="AI33" s="560" t="e">
        <f>Gas!#REF!</f>
        <v>#REF!</v>
      </c>
      <c r="AJ33" s="561">
        <f>Gas!J38</f>
        <v>56.349999999999994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216</v>
      </c>
      <c r="AU33" s="560">
        <f>Elect!BI34</f>
        <v>85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399591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 t="e">
        <f>Water!U38</f>
        <v>#DIV/0!</v>
      </c>
      <c r="BN33" s="572" t="e">
        <f>Water!W38</f>
        <v>#DIV/0!</v>
      </c>
      <c r="BO33" s="567">
        <f>Water!X38</f>
        <v>10558.319999999998</v>
      </c>
      <c r="BP33" s="572" t="e">
        <f>Water!Y38</f>
        <v>#DIV/0!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2214</v>
      </c>
      <c r="D34" s="556">
        <f>[3]Consp!$E$6</f>
        <v>0</v>
      </c>
      <c r="E34" s="555">
        <f>Elect!M35</f>
        <v>754</v>
      </c>
      <c r="F34" s="556">
        <f>[3]Consp!G36</f>
        <v>21.428571428571427</v>
      </c>
      <c r="G34" s="555">
        <f>Elect!O35</f>
        <v>871</v>
      </c>
      <c r="H34" s="556">
        <f>[3]Consp!I36</f>
        <v>876.53571428571433</v>
      </c>
      <c r="I34" s="555">
        <f>Water!C39</f>
        <v>41.535483870967724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85.14774193548385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47.649432258064508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164.29999999999998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216</v>
      </c>
      <c r="AU34" s="560">
        <f>Elect!BI35</f>
        <v>85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399807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 t="e">
        <f>Water!U39</f>
        <v>#DIV/0!</v>
      </c>
      <c r="BN34" s="572" t="e">
        <f>Water!W39</f>
        <v>#DIV/0!</v>
      </c>
      <c r="BO34" s="567">
        <f>Water!X39</f>
        <v>340.5909677419354</v>
      </c>
      <c r="BP34" s="572" t="e">
        <f>Water!Y39</f>
        <v>#DIV/0!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394126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4" t="s">
        <v>30</v>
      </c>
      <c r="B4" s="1074"/>
      <c r="C4" s="1074"/>
      <c r="D4" s="1074"/>
      <c r="E4" s="1074"/>
      <c r="F4" s="1074"/>
      <c r="G4" s="111" t="str">
        <f>Elect!A1</f>
        <v>April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5"/>
      <c r="B3" s="1077" t="str">
        <f>Elect!A1</f>
        <v>April</v>
      </c>
      <c r="C3" s="1078"/>
      <c r="D3" s="1078"/>
      <c r="E3" s="1079"/>
    </row>
    <row r="4" spans="1:5" ht="14.25" customHeight="1" thickBot="1">
      <c r="A4" s="1076"/>
      <c r="B4" s="1080" t="s">
        <v>9</v>
      </c>
      <c r="C4" s="1081"/>
      <c r="D4" s="1082" t="s">
        <v>68</v>
      </c>
      <c r="E4" s="1083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2214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2639.5799999999995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14503014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254313.58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10558.319999999998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1389169.11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April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85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25157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216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50878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view="pageBreakPreview" zoomScaleSheetLayoutView="100" workbookViewId="0">
      <selection activeCell="E17" sqref="E17:F18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6.42578125" style="833" bestFit="1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April</v>
      </c>
      <c r="I6" s="832"/>
      <c r="J6" s="832"/>
      <c r="K6" s="832"/>
    </row>
    <row r="9" spans="2:13" ht="13.5" customHeight="1">
      <c r="B9" s="1090" t="s">
        <v>332</v>
      </c>
      <c r="C9" s="1091"/>
      <c r="D9" s="1091"/>
      <c r="E9" s="1091"/>
      <c r="F9" s="1091"/>
      <c r="G9" s="1091"/>
      <c r="H9" s="1091"/>
      <c r="I9" s="1091"/>
      <c r="J9" s="1091"/>
      <c r="K9" s="1091"/>
      <c r="L9" s="1091"/>
      <c r="M9" s="1091"/>
    </row>
    <row r="10" spans="2:13" ht="13.5" customHeight="1" thickBot="1">
      <c r="B10" s="1097"/>
      <c r="C10" s="1098"/>
      <c r="D10" s="1098"/>
      <c r="E10" s="1098"/>
      <c r="F10" s="1098"/>
      <c r="G10" s="1098"/>
      <c r="H10" s="1098"/>
      <c r="I10" s="1098"/>
      <c r="J10" s="1098"/>
      <c r="K10" s="1098"/>
      <c r="L10" s="1098"/>
      <c r="M10" s="1098"/>
    </row>
    <row r="11" spans="2:13" ht="16.5" thickBot="1">
      <c r="B11" s="1105" t="s">
        <v>333</v>
      </c>
      <c r="C11" s="1105"/>
      <c r="D11" s="1105" t="s">
        <v>334</v>
      </c>
      <c r="E11" s="1105"/>
      <c r="F11" s="1105" t="s">
        <v>335</v>
      </c>
      <c r="G11" s="1105"/>
      <c r="H11" s="1103" t="s">
        <v>336</v>
      </c>
      <c r="I11" s="1104"/>
      <c r="J11" s="1103" t="s">
        <v>337</v>
      </c>
      <c r="K11" s="1104"/>
      <c r="L11" s="1103" t="s">
        <v>355</v>
      </c>
      <c r="M11" s="1104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127432.14000000001</v>
      </c>
      <c r="C13" s="964">
        <f>(B13*1.15)+(2879*60*0.72)</f>
        <v>270919.761</v>
      </c>
      <c r="D13" s="837">
        <f>Elect!J37</f>
        <v>56374</v>
      </c>
      <c r="E13" s="964">
        <f>(D13*1.15)+(573*60)+10000</f>
        <v>109210.1</v>
      </c>
      <c r="F13" s="837">
        <f>Elect!BC37</f>
        <v>164930.20999999996</v>
      </c>
      <c r="G13" s="964">
        <f>(F13*1.15)</f>
        <v>189669.74149999995</v>
      </c>
      <c r="H13" s="837">
        <f>Elect!Q37</f>
        <v>2160</v>
      </c>
      <c r="I13" s="964">
        <f>H13*1.6+1500</f>
        <v>4956</v>
      </c>
      <c r="J13" s="838">
        <f>B13+D13+F13+H13</f>
        <v>350896.35</v>
      </c>
      <c r="K13" s="965">
        <f>G13+E13+C13+I13</f>
        <v>574755.60250000004</v>
      </c>
      <c r="L13" s="838">
        <f>B13+F13</f>
        <v>292362.34999999998</v>
      </c>
      <c r="M13" s="966">
        <f>C13+G13</f>
        <v>460589.50249999994</v>
      </c>
    </row>
    <row r="16" spans="2:13" ht="0.75" customHeight="1" thickBot="1">
      <c r="K16" s="833">
        <f>K18</f>
        <v>634379.40250000008</v>
      </c>
    </row>
    <row r="17" spans="4:11" ht="13.5" customHeight="1">
      <c r="E17" s="1099" t="s">
        <v>340</v>
      </c>
      <c r="F17" s="1100"/>
      <c r="J17" s="962" t="s">
        <v>412</v>
      </c>
      <c r="K17" s="963">
        <f>K13/J13</f>
        <v>1.6379640383834146</v>
      </c>
    </row>
    <row r="18" spans="4:11" ht="34.5" customHeight="1" thickBot="1">
      <c r="E18" s="1101"/>
      <c r="F18" s="1102"/>
      <c r="J18" s="962" t="s">
        <v>413</v>
      </c>
      <c r="K18" s="967">
        <f>K13+F20+F27+G35</f>
        <v>634379.40250000008</v>
      </c>
    </row>
    <row r="19" spans="4:11" ht="13.5" thickBot="1">
      <c r="E19" s="840" t="s">
        <v>341</v>
      </c>
      <c r="F19" s="840" t="s">
        <v>339</v>
      </c>
    </row>
    <row r="20" spans="4:11" ht="13.5" thickBot="1">
      <c r="E20" s="1085">
        <f>Water!H38</f>
        <v>2639.5799999999995</v>
      </c>
      <c r="F20" s="1086">
        <f>E20*10</f>
        <v>26395.799999999996</v>
      </c>
    </row>
    <row r="21" spans="4:11" ht="13.5" thickBot="1">
      <c r="E21" s="1085"/>
      <c r="F21" s="1086"/>
    </row>
    <row r="23" spans="4:11" ht="13.5" thickBot="1"/>
    <row r="24" spans="4:11" ht="13.5" thickBot="1">
      <c r="E24" s="1084" t="s">
        <v>342</v>
      </c>
      <c r="F24" s="1084"/>
    </row>
    <row r="25" spans="4:11" ht="11.25" customHeight="1" thickBot="1">
      <c r="E25" s="1084"/>
      <c r="F25" s="1084"/>
      <c r="H25" s="935"/>
    </row>
    <row r="26" spans="4:11" ht="13.5" thickBot="1">
      <c r="E26" s="840" t="s">
        <v>341</v>
      </c>
      <c r="F26" s="840" t="s">
        <v>339</v>
      </c>
    </row>
    <row r="27" spans="4:11" ht="13.5" thickBot="1">
      <c r="E27" s="1085">
        <f>Gas!C38</f>
        <v>4928.9999999999991</v>
      </c>
      <c r="F27" s="1086">
        <f>E27*3.9</f>
        <v>19223.099999999995</v>
      </c>
    </row>
    <row r="28" spans="4:11" ht="13.5" thickBot="1">
      <c r="E28" s="1085"/>
      <c r="F28" s="1086"/>
    </row>
    <row r="30" spans="4:11" ht="13.5" thickBot="1"/>
    <row r="31" spans="4:11" ht="20.25">
      <c r="D31" s="1087" t="s">
        <v>343</v>
      </c>
      <c r="E31" s="1088"/>
      <c r="F31" s="1088"/>
      <c r="G31" s="1089"/>
      <c r="H31" s="842"/>
      <c r="I31" s="842"/>
    </row>
    <row r="32" spans="4:11" ht="21" thickBot="1">
      <c r="D32" s="1090"/>
      <c r="E32" s="1091"/>
      <c r="F32" s="1091"/>
      <c r="G32" s="1092"/>
      <c r="H32" s="842"/>
      <c r="I32" s="842"/>
    </row>
    <row r="33" spans="3:9" ht="13.5" thickBot="1">
      <c r="D33" s="843" t="s">
        <v>344</v>
      </c>
      <c r="E33" s="843" t="s">
        <v>345</v>
      </c>
      <c r="F33" s="843" t="s">
        <v>346</v>
      </c>
      <c r="G33" s="843" t="s">
        <v>339</v>
      </c>
      <c r="H33" s="844"/>
      <c r="I33" s="844"/>
    </row>
    <row r="34" spans="3:9" ht="13.5" thickBot="1">
      <c r="C34" s="941"/>
      <c r="D34" s="849">
        <f>Gas!D6</f>
        <v>231501</v>
      </c>
      <c r="E34" s="849">
        <f>Gas!D36</f>
        <v>236631</v>
      </c>
      <c r="F34" s="911">
        <f>Gas!E38</f>
        <v>3590.9999999999991</v>
      </c>
      <c r="G34" s="968">
        <f>F34*3.9</f>
        <v>14004.899999999996</v>
      </c>
      <c r="H34" s="846"/>
      <c r="I34" s="846"/>
    </row>
    <row r="35" spans="3:9" ht="18.75" thickBot="1">
      <c r="D35" s="1096" t="s">
        <v>347</v>
      </c>
      <c r="E35" s="1096"/>
      <c r="F35" s="1096"/>
      <c r="G35" s="968">
        <f>G34</f>
        <v>14004.899999999996</v>
      </c>
      <c r="H35" s="848"/>
      <c r="I35" s="848"/>
    </row>
    <row r="37" spans="3:9" ht="13.5" thickBot="1"/>
    <row r="38" spans="3:9" ht="20.25">
      <c r="D38" s="1087" t="s">
        <v>348</v>
      </c>
      <c r="E38" s="1088"/>
      <c r="F38" s="1088"/>
      <c r="G38" s="1089"/>
      <c r="H38" s="842"/>
      <c r="I38" s="842"/>
    </row>
    <row r="39" spans="3:9" ht="21" thickBot="1">
      <c r="D39" s="1090"/>
      <c r="E39" s="1091"/>
      <c r="F39" s="1091"/>
      <c r="G39" s="1092"/>
      <c r="H39" s="842"/>
      <c r="I39" s="842"/>
    </row>
    <row r="40" spans="3:9" ht="18.75" customHeight="1" thickBot="1">
      <c r="D40" s="843" t="s">
        <v>344</v>
      </c>
      <c r="E40" s="843" t="s">
        <v>345</v>
      </c>
      <c r="F40" s="843" t="s">
        <v>338</v>
      </c>
      <c r="G40" s="843" t="s">
        <v>339</v>
      </c>
      <c r="H40" s="844"/>
      <c r="I40" s="844"/>
    </row>
    <row r="41" spans="3:9" ht="13.5" thickBot="1">
      <c r="C41" s="845" t="s">
        <v>360</v>
      </c>
      <c r="D41" s="850">
        <f>Elect!V5</f>
        <v>89901</v>
      </c>
      <c r="E41" s="969">
        <v>93637</v>
      </c>
      <c r="F41" s="851">
        <f>E41-D41</f>
        <v>3736</v>
      </c>
      <c r="G41" s="839">
        <f>F41*1.15</f>
        <v>4296.3999999999996</v>
      </c>
      <c r="H41" s="852"/>
      <c r="I41" s="852"/>
    </row>
    <row r="42" spans="3:9" ht="13.5" thickBot="1">
      <c r="C42" s="845" t="s">
        <v>361</v>
      </c>
      <c r="D42" s="850">
        <f>Elect!X5</f>
        <v>167667</v>
      </c>
      <c r="E42" s="850">
        <v>173735</v>
      </c>
      <c r="F42" s="851">
        <f>E42-D42</f>
        <v>6068</v>
      </c>
      <c r="G42" s="839">
        <f>F42*1.15</f>
        <v>6978.2</v>
      </c>
      <c r="H42" s="852"/>
      <c r="I42" s="852"/>
    </row>
    <row r="43" spans="3:9" ht="18.75" thickBot="1">
      <c r="D43" s="1093" t="s">
        <v>347</v>
      </c>
      <c r="E43" s="1094"/>
      <c r="F43" s="1095"/>
      <c r="G43" s="847">
        <f>G42+G41</f>
        <v>11274.599999999999</v>
      </c>
      <c r="H43" s="848"/>
      <c r="I43" s="848"/>
    </row>
    <row r="44" spans="3:9">
      <c r="F44" s="853"/>
    </row>
    <row r="48" spans="3:9" ht="13.5" thickBot="1"/>
    <row r="49" spans="3:7">
      <c r="D49" s="1087" t="s">
        <v>378</v>
      </c>
      <c r="E49" s="1088"/>
      <c r="F49" s="1088"/>
      <c r="G49" s="1089"/>
    </row>
    <row r="50" spans="3:7" ht="13.5" thickBot="1">
      <c r="D50" s="1090"/>
      <c r="E50" s="1091"/>
      <c r="F50" s="1091"/>
      <c r="G50" s="1092"/>
    </row>
    <row r="51" spans="3:7" ht="13.5" thickBot="1">
      <c r="D51" s="843" t="s">
        <v>344</v>
      </c>
      <c r="E51" s="843" t="s">
        <v>345</v>
      </c>
      <c r="F51" s="843" t="s">
        <v>341</v>
      </c>
      <c r="G51" s="843" t="s">
        <v>339</v>
      </c>
    </row>
    <row r="52" spans="3:7" ht="13.5" thickBot="1">
      <c r="C52" s="845" t="s">
        <v>379</v>
      </c>
      <c r="D52" s="849">
        <f>Water!I6</f>
        <v>194</v>
      </c>
      <c r="E52" s="850">
        <v>200</v>
      </c>
      <c r="F52" s="838">
        <f>E52-D52</f>
        <v>6</v>
      </c>
      <c r="G52" s="841">
        <f>F52*10</f>
        <v>60</v>
      </c>
    </row>
    <row r="53" spans="3:7" ht="13.5" thickBot="1">
      <c r="C53" s="845" t="s">
        <v>380</v>
      </c>
      <c r="D53" s="850">
        <f>Water!K6</f>
        <v>2443</v>
      </c>
      <c r="E53" s="850">
        <v>2518</v>
      </c>
      <c r="F53" s="851">
        <f>E53-D53</f>
        <v>75</v>
      </c>
      <c r="G53" s="839">
        <f>F53*10</f>
        <v>750</v>
      </c>
    </row>
    <row r="54" spans="3:7" ht="18.75" thickBot="1">
      <c r="D54" s="1093" t="s">
        <v>347</v>
      </c>
      <c r="E54" s="1094"/>
      <c r="F54" s="1095"/>
      <c r="G54" s="847">
        <f>G52+G53</f>
        <v>810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Peter Ekram</cp:lastModifiedBy>
  <cp:lastPrinted>2016-08-18T17:18:40Z</cp:lastPrinted>
  <dcterms:created xsi:type="dcterms:W3CDTF">2007-10-20T05:06:40Z</dcterms:created>
  <dcterms:modified xsi:type="dcterms:W3CDTF">2020-05-03T13:56:32Z</dcterms:modified>
</cp:coreProperties>
</file>