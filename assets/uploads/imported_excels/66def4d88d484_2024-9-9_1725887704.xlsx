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62" documentId="8_{94E09A37-EE3F-4C9E-A72D-0ED23F721CEB}" xr6:coauthVersionLast="47" xr6:coauthVersionMax="47" xr10:uidLastSave="{75F06D2B-45D4-4099-934D-C73558648DBC}"/>
  <bookViews>
    <workbookView xWindow="4410" yWindow="4935" windowWidth="21600" windowHeight="11295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U4" i="1"/>
  <c r="U5" i="1"/>
  <c r="U6" i="1"/>
  <c r="U7" i="1"/>
  <c r="U8" i="1"/>
  <c r="U9" i="1"/>
  <c r="Q4" i="1"/>
  <c r="Q5" i="1"/>
  <c r="Q6" i="1"/>
  <c r="Q7" i="1"/>
  <c r="Q8" i="1"/>
  <c r="Q9" i="1"/>
  <c r="O4" i="1"/>
  <c r="O5" i="1"/>
  <c r="O6" i="1"/>
  <c r="O7" i="1"/>
  <c r="O8" i="1"/>
  <c r="O9" i="1"/>
  <c r="K4" i="1"/>
  <c r="K5" i="1"/>
  <c r="K6" i="1"/>
  <c r="K7" i="1"/>
  <c r="K8" i="1"/>
  <c r="K9" i="1"/>
  <c r="M4" i="1"/>
  <c r="M5" i="1"/>
  <c r="M6" i="1"/>
  <c r="M7" i="1"/>
  <c r="M8" i="1"/>
  <c r="M9" i="1"/>
  <c r="G4" i="1" l="1"/>
  <c r="G5" i="1"/>
  <c r="G6" i="1"/>
  <c r="G7" i="1"/>
  <c r="G8" i="1"/>
  <c r="G9" i="1"/>
  <c r="E4" i="1"/>
  <c r="E5" i="1"/>
  <c r="E6" i="1"/>
  <c r="E7" i="1"/>
  <c r="E8" i="1"/>
  <c r="E9" i="1"/>
  <c r="C4" i="1"/>
  <c r="C5" i="1"/>
  <c r="C6" i="1"/>
  <c r="C7" i="1"/>
  <c r="C8" i="1"/>
  <c r="C9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AH34" i="1" l="1"/>
  <c r="Y34" i="1"/>
  <c r="AK34" i="1"/>
  <c r="AJ34" i="1"/>
  <c r="AI34" i="1"/>
  <c r="K2" i="1"/>
  <c r="M2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9" i="1" l="1"/>
  <c r="G9" i="2" s="1"/>
  <c r="Z8" i="1"/>
  <c r="G8" i="2" s="1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5" i="2"/>
  <c r="G24" i="2"/>
  <c r="G23" i="2"/>
  <c r="G22" i="2"/>
  <c r="G20" i="2"/>
  <c r="G21" i="2"/>
  <c r="G19" i="2"/>
  <c r="G18" i="2"/>
  <c r="G17" i="2"/>
  <c r="G16" i="2"/>
  <c r="G15" i="2"/>
  <c r="G13" i="2"/>
  <c r="G14" i="2"/>
  <c r="U34" i="1"/>
  <c r="Z3" i="1"/>
  <c r="G3" i="2" s="1"/>
  <c r="Z2" i="1"/>
  <c r="G2" i="2" s="1"/>
  <c r="G10" i="2"/>
  <c r="G12" i="2"/>
  <c r="G11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G2" i="1"/>
  <c r="E3" i="1"/>
  <c r="E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C2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I13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H2" i="1"/>
  <c r="E2" i="2" s="1"/>
  <c r="F2" i="2" s="1"/>
  <c r="C34" i="1"/>
  <c r="I9" i="1" l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<sst xmlns="http://schemas.openxmlformats.org/spreadsheetml/2006/main" count="81" uniqueCount="41">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</sst>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7</v>
      </c>
      <c r="I1" s="134" t="s">
        <v>8</v>
      </c>
      <c r="J1" s="134" t="s">
        <v>9</v>
      </c>
      <c r="K1" s="138" t="s">
        <v>10</v>
      </c>
      <c r="L1" s="138" t="s">
        <v>11</v>
      </c>
      <c r="M1" s="142" t="s">
        <v>12</v>
      </c>
      <c r="N1" s="142" t="s">
        <v>13</v>
      </c>
    </row>
    <row r="2" spans="1:14" ht="15.75" thickTop="1" x14ac:dyDescent="0.25">
      <c r="A2" s="122" t="s">
        <v>14</v>
      </c>
      <c r="B2" s="5">
        <v>1</v>
      </c>
      <c r="C2" s="146">
        <v>9</v>
      </c>
      <c r="D2" s="147">
        <v>2024</v>
      </c>
      <c r="E2" s="126">
        <f>IF(ALMYRA!H2&lt;0,"0",ALMYRA!H2)</f>
        <v>7792</v>
      </c>
      <c r="F2" s="127">
        <f>(ALMYRA!C2*0.24)/E2</f>
        <v>0.17411704312114989</v>
      </c>
      <c r="G2" s="131">
        <f>ALMYRA!Z2</f>
        <v>200</v>
      </c>
      <c r="H2" s="132">
        <v>0.65800000000000003</v>
      </c>
      <c r="I2" s="135">
        <f>IF(ALMYRA!AB2&lt;0,"0",ALMYRA!AB2)</f>
        <v>82</v>
      </c>
      <c r="J2" s="136">
        <v>2.4</v>
      </c>
      <c r="K2" s="139">
        <f>ALMYRA!U2</f>
        <v>116</v>
      </c>
      <c r="L2" s="140">
        <v>0.88</v>
      </c>
      <c r="M2" s="143">
        <f>ALMYRA!AJ2</f>
        <v>104</v>
      </c>
      <c r="N2" s="143">
        <f>ALMYRA!AK2</f>
        <v>220</v>
      </c>
    </row>
    <row r="3" spans="1:14" ht="15" x14ac:dyDescent="0.25">
      <c r="A3" s="122" t="s">
        <v>14</v>
      </c>
      <c r="B3" s="5">
        <f>B2+1</f>
        <v>2</v>
      </c>
      <c r="C3" s="146">
        <v>9</v>
      </c>
      <c r="D3" s="147">
        <v>2024</v>
      </c>
      <c r="E3" s="126">
        <f>IF(ALMYRA!H3&lt;0,"0",ALMYRA!H3)</f>
        <v>8060</v>
      </c>
      <c r="F3" s="127">
        <f>(ALMYRA!C3*0.24)/E3</f>
        <v>0.173985111662531</v>
      </c>
      <c r="G3" s="131">
        <f>ALMYRA!Z3</f>
        <v>133.71000000000004</v>
      </c>
      <c r="H3" s="132">
        <v>0.65800000000000003</v>
      </c>
      <c r="I3" s="135">
        <f>IF(ALMYRA!AB3&lt;0,"0",ALMYRA!AB3)</f>
        <v>71</v>
      </c>
      <c r="J3" s="136">
        <v>2.4</v>
      </c>
      <c r="K3" s="139">
        <f>ALMYRA!U3</f>
        <v>97</v>
      </c>
      <c r="L3" s="140">
        <v>0.88</v>
      </c>
      <c r="M3" s="143">
        <f>ALMYRA!AJ3</f>
        <v>100</v>
      </c>
      <c r="N3" s="143">
        <f>ALMYRA!AK3</f>
        <v>203</v>
      </c>
    </row>
    <row r="4" spans="1:14" ht="15" x14ac:dyDescent="0.25">
      <c r="A4" s="122" t="s">
        <v>14</v>
      </c>
      <c r="B4" s="5">
        <f t="shared" ref="B4:B31" si="0">B3+1</f>
        <v>3</v>
      </c>
      <c r="C4" s="146">
        <v>9</v>
      </c>
      <c r="D4" s="147">
        <v>2024</v>
      </c>
      <c r="E4" s="126">
        <f>IF(ALMYRA!H4&lt;0,"0",ALMYRA!H4)</f>
        <v>7477</v>
      </c>
      <c r="F4" s="127">
        <f>(ALMYRA!C4*0.24)/E4</f>
        <v>0.16742543800989701</v>
      </c>
      <c r="G4" s="131">
        <f>ALMYRA!Z4</f>
        <v>175</v>
      </c>
      <c r="H4" s="132">
        <v>0.65800000000000003</v>
      </c>
      <c r="I4" s="135">
        <f>IF(ALMYRA!AB4&lt;0,"0",ALMYRA!AB4)</f>
        <v>70</v>
      </c>
      <c r="J4" s="136">
        <v>2.4</v>
      </c>
      <c r="K4" s="139">
        <f>ALMYRA!U4</f>
        <v>97</v>
      </c>
      <c r="L4" s="140">
        <v>0.88</v>
      </c>
      <c r="M4" s="143">
        <f>ALMYRA!AJ4</f>
        <v>107</v>
      </c>
      <c r="N4" s="143">
        <f>ALMYRA!AK4</f>
        <v>214</v>
      </c>
    </row>
    <row r="5" spans="1:14" ht="15" x14ac:dyDescent="0.25">
      <c r="A5" s="122" t="s">
        <v>14</v>
      </c>
      <c r="B5" s="5">
        <f t="shared" si="0"/>
        <v>4</v>
      </c>
      <c r="C5" s="146">
        <v>9</v>
      </c>
      <c r="D5" s="147">
        <v>2024</v>
      </c>
      <c r="E5" s="126">
        <f>IF(ALMYRA!H5&lt;0,"0",ALMYRA!H5)</f>
        <v>7910</v>
      </c>
      <c r="F5" s="127">
        <f>(ALMYRA!C5*0.24)/E5</f>
        <v>0.17752718078381796</v>
      </c>
      <c r="G5" s="131">
        <f>ALMYRA!Z5</f>
        <v>125</v>
      </c>
      <c r="H5" s="132">
        <v>0.65800000000000003</v>
      </c>
      <c r="I5" s="135">
        <f>IF(ALMYRA!AB5&lt;0,"0",ALMYRA!AB5)</f>
        <v>65</v>
      </c>
      <c r="J5" s="136">
        <v>2.4</v>
      </c>
      <c r="K5" s="139">
        <f>ALMYRA!U5</f>
        <v>0</v>
      </c>
      <c r="L5" s="140">
        <v>0.88</v>
      </c>
      <c r="M5" s="143">
        <f>ALMYRA!AJ5</f>
        <v>120</v>
      </c>
      <c r="N5" s="143">
        <f>ALMYRA!AK5</f>
        <v>240</v>
      </c>
    </row>
    <row r="6" spans="1:14" ht="15" x14ac:dyDescent="0.25">
      <c r="A6" s="122" t="s">
        <v>14</v>
      </c>
      <c r="B6" s="5">
        <f t="shared" si="0"/>
        <v>5</v>
      </c>
      <c r="C6" s="146">
        <v>9</v>
      </c>
      <c r="D6" s="147">
        <v>2024</v>
      </c>
      <c r="E6" s="126">
        <f>IF(ALMYRA!H6&lt;0,"0",ALMYRA!H6)</f>
        <v>8715</v>
      </c>
      <c r="F6" s="127">
        <f>(ALMYRA!C6*0.24)/E6</f>
        <v>0.17850602409638552</v>
      </c>
      <c r="G6" s="131">
        <f>ALMYRA!Z6</f>
        <v>150</v>
      </c>
      <c r="H6" s="132">
        <v>0.65800000000000003</v>
      </c>
      <c r="I6" s="135">
        <f>IF(ALMYRA!AB6&lt;0,"0",ALMYRA!AB6)</f>
        <v>84</v>
      </c>
      <c r="J6" s="136">
        <v>2.4</v>
      </c>
      <c r="K6" s="139">
        <f>ALMYRA!U6</f>
        <v>96</v>
      </c>
      <c r="L6" s="140">
        <v>0.88</v>
      </c>
      <c r="M6" s="143">
        <f>ALMYRA!AJ6</f>
        <v>129</v>
      </c>
      <c r="N6" s="143">
        <f>ALMYRA!AK6</f>
        <v>257</v>
      </c>
    </row>
    <row r="7" spans="1:14" ht="15" x14ac:dyDescent="0.25">
      <c r="A7" s="122" t="s">
        <v>14</v>
      </c>
      <c r="B7" s="5">
        <f t="shared" si="0"/>
        <v>6</v>
      </c>
      <c r="C7" s="146">
        <v>9</v>
      </c>
      <c r="D7" s="147">
        <v>2024</v>
      </c>
      <c r="E7" s="126">
        <f>IF(ALMYRA!H7&lt;0,"0",ALMYRA!H7)</f>
        <v>9218</v>
      </c>
      <c r="F7" s="127">
        <f>(ALMYRA!C7*0.24)/E7</f>
        <v>0.18136689086569754</v>
      </c>
      <c r="G7" s="131">
        <f>ALMYRA!Z7</f>
        <v>50.000000000000455</v>
      </c>
      <c r="H7" s="132">
        <v>0.65800000000000003</v>
      </c>
      <c r="I7" s="135">
        <f>IF(ALMYRA!AB7&lt;0,"0",ALMYRA!AB7)</f>
        <v>92</v>
      </c>
      <c r="J7" s="136">
        <v>2.4</v>
      </c>
      <c r="K7" s="139">
        <f>ALMYRA!U7</f>
        <v>0</v>
      </c>
      <c r="L7" s="140">
        <v>0.88</v>
      </c>
      <c r="M7" s="143">
        <f>ALMYRA!AJ7</f>
        <v>157</v>
      </c>
      <c r="N7" s="143">
        <f>ALMYRA!AK7</f>
        <v>312</v>
      </c>
    </row>
    <row r="8" spans="1:14" ht="15" x14ac:dyDescent="0.25">
      <c r="A8" s="122" t="s">
        <v>14</v>
      </c>
      <c r="B8" s="5">
        <f t="shared" si="0"/>
        <v>7</v>
      </c>
      <c r="C8" s="146">
        <v>9</v>
      </c>
      <c r="D8" s="147">
        <v>2024</v>
      </c>
      <c r="E8" s="126">
        <f>IF(ALMYRA!H8&lt;0,"0",ALMYRA!H8)</f>
        <v>9512</v>
      </c>
      <c r="F8" s="127">
        <f>(ALMYRA!C8*0.24)/E8</f>
        <v>0.1848444070647603</v>
      </c>
      <c r="G8" s="131">
        <f>ALMYRA!Z8</f>
        <v>249.99999999999955</v>
      </c>
      <c r="H8" s="132">
        <v>0.65800000000000003</v>
      </c>
      <c r="I8" s="135">
        <f>IF(ALMYRA!AB8&lt;0,"0",ALMYRA!AB8)</f>
        <v>86</v>
      </c>
      <c r="J8" s="136">
        <v>2.4</v>
      </c>
      <c r="K8" s="139">
        <f>ALMYRA!U8</f>
        <v>97</v>
      </c>
      <c r="L8" s="140">
        <v>0.88</v>
      </c>
      <c r="M8" s="143">
        <f>ALMYRA!AJ8</f>
        <v>175</v>
      </c>
      <c r="N8" s="143">
        <f>ALMYRA!AK8</f>
        <v>351</v>
      </c>
    </row>
    <row r="9" spans="1:14" ht="15" x14ac:dyDescent="0.25">
      <c r="A9" s="122" t="s">
        <v>14</v>
      </c>
      <c r="B9" s="5">
        <f t="shared" si="0"/>
        <v>8</v>
      </c>
      <c r="C9" s="146">
        <v>9</v>
      </c>
      <c r="D9" s="147">
        <v>2024</v>
      </c>
      <c r="E9" s="126">
        <f>IF(ALMYRA!H9&lt;0,"0",ALMYRA!H9)</f>
        <v>9656</v>
      </c>
      <c r="F9" s="127">
        <f>(ALMYRA!C9*0.24)/E9</f>
        <v>0.18524440762220382</v>
      </c>
      <c r="G9" s="131">
        <f>ALMYRA!Z9</f>
        <v>200</v>
      </c>
      <c r="H9" s="132">
        <v>0.65800000000000003</v>
      </c>
      <c r="I9" s="135">
        <f>IF(ALMYRA!AB9&lt;0,"0",ALMYRA!AB9)</f>
        <v>92</v>
      </c>
      <c r="J9" s="136">
        <v>2.4</v>
      </c>
      <c r="K9" s="139">
        <f>ALMYRA!U9</f>
        <v>191</v>
      </c>
      <c r="L9" s="140">
        <v>0.88</v>
      </c>
      <c r="M9" s="143">
        <f>ALMYRA!AJ9</f>
        <v>145</v>
      </c>
      <c r="N9" s="143">
        <f>ALMYRA!AK9</f>
        <v>276</v>
      </c>
    </row>
    <row r="10" spans="1:14" ht="15" x14ac:dyDescent="0.25">
      <c r="A10" s="122" t="s">
        <v>14</v>
      </c>
      <c r="B10" s="5">
        <f t="shared" si="0"/>
        <v>9</v>
      </c>
      <c r="C10" s="146">
        <v>9</v>
      </c>
      <c r="D10" s="147">
        <v>2024</v>
      </c>
      <c r="E10" s="126">
        <f>IF(ALMYRA!H10&lt;0,"0",ALMYRA!H10)</f>
        <v>0</v>
      </c>
      <c r="F10" s="127" t="e">
        <f>(ALMYRA!C10*0.24)/E10</f>
        <v>#DIV/0!</v>
      </c>
      <c r="G10" s="131">
        <f>ALMYRA!Z10</f>
        <v>0</v>
      </c>
      <c r="H10" s="132">
        <v>0.65800000000000003</v>
      </c>
      <c r="I10" s="135">
        <f>IF(ALMYRA!AB10&lt;0,"0",ALMYRA!AB10)</f>
        <v>0</v>
      </c>
      <c r="J10" s="136">
        <v>2.4</v>
      </c>
      <c r="K10" s="139">
        <f>ALMYRA!U10</f>
        <v>0</v>
      </c>
      <c r="L10" s="140">
        <v>0.88</v>
      </c>
      <c r="M10" s="143">
        <f>ALMYRA!AJ10</f>
        <v>0</v>
      </c>
      <c r="N10" s="143">
        <f>ALMYRA!AK10</f>
        <v>0</v>
      </c>
    </row>
    <row r="11" spans="1:14" ht="15" x14ac:dyDescent="0.25">
      <c r="A11" s="122" t="s">
        <v>14</v>
      </c>
      <c r="B11" s="5">
        <f t="shared" si="0"/>
        <v>10</v>
      </c>
      <c r="C11" s="146">
        <v>9</v>
      </c>
      <c r="D11" s="147">
        <v>2024</v>
      </c>
      <c r="E11" s="126">
        <f>IF(ALMYRA!H11&lt;0,"0",ALMYRA!H11)</f>
        <v>0</v>
      </c>
      <c r="F11" s="127" t="e">
        <f>(ALMYRA!C11*0.24)/E11</f>
        <v>#DIV/0!</v>
      </c>
      <c r="G11" s="131">
        <f>ALMYRA!Z11</f>
        <v>0</v>
      </c>
      <c r="H11" s="132">
        <v>0.65800000000000003</v>
      </c>
      <c r="I11" s="135">
        <f>IF(ALMYRA!AB11&lt;0,"0",ALMYRA!AB11)</f>
        <v>0</v>
      </c>
      <c r="J11" s="136">
        <v>2.4</v>
      </c>
      <c r="K11" s="139">
        <f>ALMYRA!U11</f>
        <v>0</v>
      </c>
      <c r="L11" s="140">
        <v>0.88</v>
      </c>
      <c r="M11" s="143">
        <f>ALMYRA!AJ11</f>
        <v>0</v>
      </c>
      <c r="N11" s="143">
        <f>ALMYRA!AK11</f>
        <v>0</v>
      </c>
    </row>
    <row r="12" spans="1:14" ht="15" x14ac:dyDescent="0.25">
      <c r="A12" s="122" t="s">
        <v>14</v>
      </c>
      <c r="B12" s="5">
        <f t="shared" si="0"/>
        <v>11</v>
      </c>
      <c r="C12" s="146">
        <v>9</v>
      </c>
      <c r="D12" s="147">
        <v>2024</v>
      </c>
      <c r="E12" s="126">
        <f>IF(ALMYRA!H12&lt;0,"0",ALMYRA!H12)</f>
        <v>0</v>
      </c>
      <c r="F12" s="127" t="e">
        <f>(ALMYRA!C12*0.24)/E12</f>
        <v>#DIV/0!</v>
      </c>
      <c r="G12" s="131">
        <f>ALMYRA!Z12</f>
        <v>0</v>
      </c>
      <c r="H12" s="132">
        <v>0.65800000000000003</v>
      </c>
      <c r="I12" s="135">
        <f>IF(ALMYRA!AB12&lt;0,"0",ALMYRA!AB12)</f>
        <v>0</v>
      </c>
      <c r="J12" s="136">
        <v>2.4</v>
      </c>
      <c r="K12" s="139">
        <f>ALMYRA!U12</f>
        <v>0</v>
      </c>
      <c r="L12" s="140">
        <v>0.88</v>
      </c>
      <c r="M12" s="143">
        <f>ALMYRA!AJ12</f>
        <v>0</v>
      </c>
      <c r="N12" s="143">
        <f>ALMYRA!AK12</f>
        <v>0</v>
      </c>
    </row>
    <row r="13" spans="1:14" ht="15" x14ac:dyDescent="0.25">
      <c r="A13" s="122" t="s">
        <v>14</v>
      </c>
      <c r="B13" s="5">
        <f t="shared" si="0"/>
        <v>12</v>
      </c>
      <c r="C13" s="146">
        <v>9</v>
      </c>
      <c r="D13" s="147">
        <v>2024</v>
      </c>
      <c r="E13" s="126">
        <f>IF(ALMYRA!H13&lt;0,"0",ALMYRA!H13)</f>
        <v>0</v>
      </c>
      <c r="F13" s="127" t="e">
        <f>(ALMYRA!C13*0.24)/E13</f>
        <v>#DIV/0!</v>
      </c>
      <c r="G13" s="131">
        <f>ALMYRA!Z13</f>
        <v>0</v>
      </c>
      <c r="H13" s="132">
        <v>0.65800000000000003</v>
      </c>
      <c r="I13" s="135">
        <f>IF(ALMYRA!AB13&lt;0,"0",ALMYRA!AB13)</f>
        <v>0</v>
      </c>
      <c r="J13" s="136">
        <v>2.4</v>
      </c>
      <c r="K13" s="139">
        <f>ALMYRA!U13</f>
        <v>0</v>
      </c>
      <c r="L13" s="140">
        <v>0.88</v>
      </c>
      <c r="M13" s="143">
        <f>ALMYRA!AJ13</f>
        <v>0</v>
      </c>
      <c r="N13" s="143">
        <f>ALMYRA!AK13</f>
        <v>0</v>
      </c>
    </row>
    <row r="14" spans="1:14" ht="15" x14ac:dyDescent="0.25">
      <c r="A14" s="122" t="s">
        <v>14</v>
      </c>
      <c r="B14" s="5">
        <f t="shared" si="0"/>
        <v>13</v>
      </c>
      <c r="C14" s="146">
        <v>9</v>
      </c>
      <c r="D14" s="147">
        <v>2024</v>
      </c>
      <c r="E14" s="126">
        <f>IF(ALMYRA!H14&lt;0,"0",ALMYRA!H14)</f>
        <v>0</v>
      </c>
      <c r="F14" s="127" t="e">
        <f>(ALMYRA!C14*0.24)/E14</f>
        <v>#DIV/0!</v>
      </c>
      <c r="G14" s="131">
        <f>ALMYRA!Z14</f>
        <v>0</v>
      </c>
      <c r="H14" s="132">
        <v>0.65800000000000003</v>
      </c>
      <c r="I14" s="135">
        <f>IF(ALMYRA!AB14&lt;0,"0",ALMYRA!AB14)</f>
        <v>0</v>
      </c>
      <c r="J14" s="136">
        <v>2.4</v>
      </c>
      <c r="K14" s="139">
        <f>ALMYRA!U14</f>
        <v>0</v>
      </c>
      <c r="L14" s="140">
        <v>0.88</v>
      </c>
      <c r="M14" s="143">
        <f>ALMYRA!AJ14</f>
        <v>0</v>
      </c>
      <c r="N14" s="143">
        <f>ALMYRA!AK14</f>
        <v>0</v>
      </c>
    </row>
    <row r="15" spans="1:14" ht="15" x14ac:dyDescent="0.25">
      <c r="A15" s="122" t="s">
        <v>14</v>
      </c>
      <c r="B15" s="5">
        <f t="shared" si="0"/>
        <v>14</v>
      </c>
      <c r="C15" s="146">
        <v>9</v>
      </c>
      <c r="D15" s="147">
        <v>2024</v>
      </c>
      <c r="E15" s="126">
        <f>IF(ALMYRA!H15&lt;0,"0",ALMYRA!H15)</f>
        <v>0</v>
      </c>
      <c r="F15" s="127" t="e">
        <f>(ALMYRA!C15*0.24)/E15</f>
        <v>#DIV/0!</v>
      </c>
      <c r="G15" s="131">
        <f>ALMYRA!Z15</f>
        <v>0</v>
      </c>
      <c r="H15" s="132">
        <v>0.65800000000000003</v>
      </c>
      <c r="I15" s="135">
        <f>IF(ALMYRA!AB15&lt;0,"0",ALMYRA!AB15)</f>
        <v>0</v>
      </c>
      <c r="J15" s="136">
        <v>2.4</v>
      </c>
      <c r="K15" s="139">
        <f>ALMYRA!U15</f>
        <v>0</v>
      </c>
      <c r="L15" s="140">
        <v>0.88</v>
      </c>
      <c r="M15" s="143">
        <f>ALMYRA!AJ15</f>
        <v>0</v>
      </c>
      <c r="N15" s="143">
        <f>ALMYRA!AK15</f>
        <v>0</v>
      </c>
    </row>
    <row r="16" spans="1:14" ht="15" x14ac:dyDescent="0.25">
      <c r="A16" s="122" t="s">
        <v>14</v>
      </c>
      <c r="B16" s="5">
        <f t="shared" si="0"/>
        <v>15</v>
      </c>
      <c r="C16" s="146">
        <v>9</v>
      </c>
      <c r="D16" s="147">
        <v>2024</v>
      </c>
      <c r="E16" s="126">
        <f>IF(ALMYRA!H16&lt;0,"0",ALMYRA!H16)</f>
        <v>0</v>
      </c>
      <c r="F16" s="127" t="e">
        <f>(ALMYRA!C16*0.24)/E16</f>
        <v>#DIV/0!</v>
      </c>
      <c r="G16" s="131">
        <f>ALMYRA!Z16</f>
        <v>0</v>
      </c>
      <c r="H16" s="132">
        <v>0.65800000000000003</v>
      </c>
      <c r="I16" s="135">
        <f>IF(ALMYRA!AB16&lt;0,"0",ALMYRA!AB16)</f>
        <v>0</v>
      </c>
      <c r="J16" s="136">
        <v>2.4</v>
      </c>
      <c r="K16" s="139">
        <f>ALMYRA!U16</f>
        <v>0</v>
      </c>
      <c r="L16" s="140">
        <v>0.88</v>
      </c>
      <c r="M16" s="143">
        <f>ALMYRA!AJ16</f>
        <v>0</v>
      </c>
      <c r="N16" s="143">
        <f>ALMYRA!AK16</f>
        <v>0</v>
      </c>
    </row>
    <row r="17" spans="1:14" ht="15" x14ac:dyDescent="0.25">
      <c r="A17" s="122" t="s">
        <v>14</v>
      </c>
      <c r="B17" s="5">
        <f t="shared" si="0"/>
        <v>16</v>
      </c>
      <c r="C17" s="146">
        <v>9</v>
      </c>
      <c r="D17" s="147">
        <v>2024</v>
      </c>
      <c r="E17" s="126">
        <f>IF(ALMYRA!H17&lt;0,"0",ALMYRA!H17)</f>
        <v>0</v>
      </c>
      <c r="F17" s="127" t="e">
        <f>(ALMYRA!C17*0.24)/E17</f>
        <v>#DIV/0!</v>
      </c>
      <c r="G17" s="131">
        <f>ALMYRA!Z17</f>
        <v>0</v>
      </c>
      <c r="H17" s="132">
        <v>0.65800000000000003</v>
      </c>
      <c r="I17" s="135">
        <f>IF(ALMYRA!AB17&lt;0,"0",ALMYRA!AB17)</f>
        <v>0</v>
      </c>
      <c r="J17" s="136">
        <v>2.4</v>
      </c>
      <c r="K17" s="139">
        <f>ALMYRA!U17</f>
        <v>0</v>
      </c>
      <c r="L17" s="140">
        <v>0.88</v>
      </c>
      <c r="M17" s="143">
        <f>ALMYRA!AJ17</f>
        <v>0</v>
      </c>
      <c r="N17" s="143">
        <f>ALMYRA!AK17</f>
        <v>0</v>
      </c>
    </row>
    <row r="18" spans="1:14" ht="15" x14ac:dyDescent="0.25">
      <c r="A18" s="122" t="s">
        <v>14</v>
      </c>
      <c r="B18" s="5">
        <f t="shared" si="0"/>
        <v>17</v>
      </c>
      <c r="C18" s="146">
        <v>9</v>
      </c>
      <c r="D18" s="147">
        <v>2024</v>
      </c>
      <c r="E18" s="126">
        <f>IF(ALMYRA!H18&lt;0,"0",ALMYRA!H18)</f>
        <v>0</v>
      </c>
      <c r="F18" s="127" t="e">
        <f>(ALMYRA!C18*0.24)/E18</f>
        <v>#DIV/0!</v>
      </c>
      <c r="G18" s="131">
        <f>ALMYRA!Z18</f>
        <v>0</v>
      </c>
      <c r="H18" s="132">
        <v>0.65800000000000003</v>
      </c>
      <c r="I18" s="135">
        <f>IF(ALMYRA!AB18&lt;0,"0",ALMYRA!AB18)</f>
        <v>0</v>
      </c>
      <c r="J18" s="136">
        <v>2.4</v>
      </c>
      <c r="K18" s="139">
        <f>ALMYRA!U18</f>
        <v>0</v>
      </c>
      <c r="L18" s="140">
        <v>0.88</v>
      </c>
      <c r="M18" s="143">
        <f>ALMYRA!AJ18</f>
        <v>0</v>
      </c>
      <c r="N18" s="143">
        <f>ALMYRA!AK18</f>
        <v>0</v>
      </c>
    </row>
    <row r="19" spans="1:14" ht="15" x14ac:dyDescent="0.25">
      <c r="A19" s="122" t="s">
        <v>14</v>
      </c>
      <c r="B19" s="5">
        <f t="shared" si="0"/>
        <v>18</v>
      </c>
      <c r="C19" s="146">
        <v>9</v>
      </c>
      <c r="D19" s="147">
        <v>2024</v>
      </c>
      <c r="E19" s="126">
        <f>IF(ALMYRA!H19&lt;0,"0",ALMYRA!H19)</f>
        <v>0</v>
      </c>
      <c r="F19" s="127" t="e">
        <f>(ALMYRA!C19*0.24)/E19</f>
        <v>#DIV/0!</v>
      </c>
      <c r="G19" s="131">
        <f>ALMYRA!Z19</f>
        <v>0</v>
      </c>
      <c r="H19" s="132">
        <v>0.65800000000000003</v>
      </c>
      <c r="I19" s="135">
        <f>IF(ALMYRA!AB19&lt;0,"0",ALMYRA!AB19)</f>
        <v>0</v>
      </c>
      <c r="J19" s="136">
        <v>2.4</v>
      </c>
      <c r="K19" s="139">
        <f>ALMYRA!U19</f>
        <v>0</v>
      </c>
      <c r="L19" s="140">
        <v>0.88</v>
      </c>
      <c r="M19" s="143">
        <f>ALMYRA!AJ19</f>
        <v>0</v>
      </c>
      <c r="N19" s="143">
        <f>ALMYRA!AK19</f>
        <v>0</v>
      </c>
    </row>
    <row r="20" spans="1:14" ht="15" x14ac:dyDescent="0.25">
      <c r="A20" s="122" t="s">
        <v>14</v>
      </c>
      <c r="B20" s="5">
        <f t="shared" si="0"/>
        <v>19</v>
      </c>
      <c r="C20" s="146">
        <v>9</v>
      </c>
      <c r="D20" s="147">
        <v>2024</v>
      </c>
      <c r="E20" s="126">
        <f>IF(ALMYRA!H20&lt;0,"0",ALMYRA!H20)</f>
        <v>0</v>
      </c>
      <c r="F20" s="127" t="e">
        <f>(ALMYRA!C20*0.24)/E20</f>
        <v>#DIV/0!</v>
      </c>
      <c r="G20" s="131">
        <f>ALMYRA!Z20</f>
        <v>0</v>
      </c>
      <c r="H20" s="132">
        <v>0.65800000000000003</v>
      </c>
      <c r="I20" s="135">
        <f>IF(ALMYRA!AB20&lt;0,"0",ALMYRA!AB20)</f>
        <v>0</v>
      </c>
      <c r="J20" s="136">
        <v>2.4</v>
      </c>
      <c r="K20" s="139">
        <f>ALMYRA!U20</f>
        <v>0</v>
      </c>
      <c r="L20" s="140">
        <v>0.88</v>
      </c>
      <c r="M20" s="143">
        <f>ALMYRA!AJ20</f>
        <v>0</v>
      </c>
      <c r="N20" s="143">
        <f>ALMYRA!AK20</f>
        <v>0</v>
      </c>
    </row>
    <row r="21" spans="1:14" ht="15" x14ac:dyDescent="0.25">
      <c r="A21" s="122" t="s">
        <v>14</v>
      </c>
      <c r="B21" s="5">
        <f t="shared" si="0"/>
        <v>20</v>
      </c>
      <c r="C21" s="146">
        <v>9</v>
      </c>
      <c r="D21" s="147">
        <v>2024</v>
      </c>
      <c r="E21" s="126">
        <f>IF(ALMYRA!H21&lt;0,"0",ALMYRA!H21)</f>
        <v>0</v>
      </c>
      <c r="F21" s="127" t="e">
        <f>(ALMYRA!C21*0.24)/E21</f>
        <v>#DIV/0!</v>
      </c>
      <c r="G21" s="131">
        <f>ALMYRA!Z21</f>
        <v>0</v>
      </c>
      <c r="H21" s="132">
        <v>0.65800000000000003</v>
      </c>
      <c r="I21" s="135">
        <f>IF(ALMYRA!AB21&lt;0,"0",ALMYRA!AB21)</f>
        <v>0</v>
      </c>
      <c r="J21" s="136">
        <v>2.4</v>
      </c>
      <c r="K21" s="139">
        <f>ALMYRA!U21</f>
        <v>0</v>
      </c>
      <c r="L21" s="140">
        <v>0.88</v>
      </c>
      <c r="M21" s="143">
        <f>ALMYRA!AJ21</f>
        <v>0</v>
      </c>
      <c r="N21" s="143">
        <f>ALMYRA!AK21</f>
        <v>0</v>
      </c>
    </row>
    <row r="22" spans="1:14" ht="15" x14ac:dyDescent="0.25">
      <c r="A22" s="122" t="s">
        <v>14</v>
      </c>
      <c r="B22" s="5">
        <f t="shared" si="0"/>
        <v>21</v>
      </c>
      <c r="C22" s="146">
        <v>9</v>
      </c>
      <c r="D22" s="147">
        <v>2024</v>
      </c>
      <c r="E22" s="126">
        <f>IF(ALMYRA!H22&lt;0,"0",ALMYRA!H22)</f>
        <v>0</v>
      </c>
      <c r="F22" s="127" t="e">
        <f>(ALMYRA!C22*0.24)/E22</f>
        <v>#DIV/0!</v>
      </c>
      <c r="G22" s="131">
        <f>ALMYRA!Z22</f>
        <v>0</v>
      </c>
      <c r="H22" s="132">
        <v>0.65800000000000003</v>
      </c>
      <c r="I22" s="135">
        <f>IF(ALMYRA!AB22&lt;0,"0",ALMYRA!AB22)</f>
        <v>0</v>
      </c>
      <c r="J22" s="136">
        <v>2.4</v>
      </c>
      <c r="K22" s="139">
        <f>ALMYRA!U22</f>
        <v>0</v>
      </c>
      <c r="L22" s="140">
        <v>0.88</v>
      </c>
      <c r="M22" s="143">
        <f>ALMYRA!AJ22</f>
        <v>0</v>
      </c>
      <c r="N22" s="143">
        <f>ALMYRA!AK22</f>
        <v>0</v>
      </c>
    </row>
    <row r="23" spans="1:14" ht="15" x14ac:dyDescent="0.25">
      <c r="A23" s="122" t="s">
        <v>14</v>
      </c>
      <c r="B23" s="5">
        <f t="shared" si="0"/>
        <v>22</v>
      </c>
      <c r="C23" s="146">
        <v>9</v>
      </c>
      <c r="D23" s="147">
        <v>2024</v>
      </c>
      <c r="E23" s="126">
        <f>IF(ALMYRA!H23&lt;0,"0",ALMYRA!H23)</f>
        <v>0</v>
      </c>
      <c r="F23" s="127" t="e">
        <f>(ALMYRA!C23*0.24)/E23</f>
        <v>#DIV/0!</v>
      </c>
      <c r="G23" s="131">
        <f>ALMYRA!Z23</f>
        <v>0</v>
      </c>
      <c r="H23" s="132">
        <v>0.65800000000000003</v>
      </c>
      <c r="I23" s="135">
        <f>IF(ALMYRA!AB23&lt;0,"0",ALMYRA!AB23)</f>
        <v>0</v>
      </c>
      <c r="J23" s="136">
        <v>2.4</v>
      </c>
      <c r="K23" s="139">
        <f>ALMYRA!U23</f>
        <v>0</v>
      </c>
      <c r="L23" s="140">
        <v>0.88</v>
      </c>
      <c r="M23" s="143">
        <f>ALMYRA!AJ23</f>
        <v>0</v>
      </c>
      <c r="N23" s="143">
        <f>ALMYRA!AK23</f>
        <v>0</v>
      </c>
    </row>
    <row r="24" spans="1:14" ht="15" x14ac:dyDescent="0.25">
      <c r="A24" s="122" t="s">
        <v>14</v>
      </c>
      <c r="B24" s="5">
        <f t="shared" si="0"/>
        <v>23</v>
      </c>
      <c r="C24" s="146">
        <v>9</v>
      </c>
      <c r="D24" s="147">
        <v>2024</v>
      </c>
      <c r="E24" s="126">
        <f>IF(ALMYRA!H24&lt;0,"0",ALMYRA!H24)</f>
        <v>0</v>
      </c>
      <c r="F24" s="127" t="e">
        <f>(ALMYRA!C24*0.24)/E24</f>
        <v>#DIV/0!</v>
      </c>
      <c r="G24" s="131">
        <f>ALMYRA!Z24</f>
        <v>0</v>
      </c>
      <c r="H24" s="132">
        <v>0.65800000000000003</v>
      </c>
      <c r="I24" s="135">
        <f>IF(ALMYRA!AB24&lt;0,"0",ALMYRA!AB24)</f>
        <v>0</v>
      </c>
      <c r="J24" s="136">
        <v>2.4</v>
      </c>
      <c r="K24" s="139">
        <f>ALMYRA!U24</f>
        <v>0</v>
      </c>
      <c r="L24" s="140">
        <v>0.88</v>
      </c>
      <c r="M24" s="143">
        <f>ALMYRA!AJ24</f>
        <v>0</v>
      </c>
      <c r="N24" s="143">
        <f>ALMYRA!AK24</f>
        <v>0</v>
      </c>
    </row>
    <row r="25" spans="1:14" ht="15" x14ac:dyDescent="0.25">
      <c r="A25" s="122" t="s">
        <v>14</v>
      </c>
      <c r="B25" s="5">
        <f t="shared" si="0"/>
        <v>24</v>
      </c>
      <c r="C25" s="146">
        <v>9</v>
      </c>
      <c r="D25" s="147">
        <v>2024</v>
      </c>
      <c r="E25" s="126">
        <f>IF(ALMYRA!H25&lt;0,"0",ALMYRA!H25)</f>
        <v>0</v>
      </c>
      <c r="F25" s="127" t="e">
        <f>(ALMYRA!C25*0.24)/E25</f>
        <v>#DIV/0!</v>
      </c>
      <c r="G25" s="131">
        <f>ALMYRA!Z25</f>
        <v>0</v>
      </c>
      <c r="H25" s="132">
        <v>0.65800000000000003</v>
      </c>
      <c r="I25" s="135">
        <f>IF(ALMYRA!AB25&lt;0,"0",ALMYRA!AB25)</f>
        <v>0</v>
      </c>
      <c r="J25" s="136">
        <v>2.4</v>
      </c>
      <c r="K25" s="139">
        <f>ALMYRA!U25</f>
        <v>0</v>
      </c>
      <c r="L25" s="140">
        <v>0.88</v>
      </c>
      <c r="M25" s="143">
        <f>ALMYRA!AJ25</f>
        <v>0</v>
      </c>
      <c r="N25" s="143">
        <f>ALMYRA!AK25</f>
        <v>0</v>
      </c>
    </row>
    <row r="26" spans="1:14" ht="15" x14ac:dyDescent="0.25">
      <c r="A26" s="122" t="s">
        <v>14</v>
      </c>
      <c r="B26" s="5">
        <f>B25+1</f>
        <v>25</v>
      </c>
      <c r="C26" s="146">
        <v>9</v>
      </c>
      <c r="D26" s="147">
        <v>2024</v>
      </c>
      <c r="E26" s="126">
        <f>IF(ALMYRA!H26&lt;0,"0",ALMYRA!H26)</f>
        <v>0</v>
      </c>
      <c r="F26" s="127" t="e">
        <f>(ALMYRA!C26*0.24)/E26</f>
        <v>#DIV/0!</v>
      </c>
      <c r="G26" s="131">
        <f>ALMYRA!Z26</f>
        <v>0</v>
      </c>
      <c r="H26" s="132">
        <v>0.65800000000000003</v>
      </c>
      <c r="I26" s="135">
        <f>IF(ALMYRA!AB26&lt;0,"0",ALMYRA!AB26)</f>
        <v>0</v>
      </c>
      <c r="J26" s="136">
        <v>2.4</v>
      </c>
      <c r="K26" s="139">
        <f>ALMYRA!U26</f>
        <v>0</v>
      </c>
      <c r="L26" s="140">
        <v>0.88</v>
      </c>
      <c r="M26" s="143">
        <f>ALMYRA!AJ26</f>
        <v>0</v>
      </c>
      <c r="N26" s="143">
        <f>ALMYRA!AK26</f>
        <v>0</v>
      </c>
    </row>
    <row r="27" spans="1:14" ht="15" x14ac:dyDescent="0.25">
      <c r="A27" s="122" t="s">
        <v>14</v>
      </c>
      <c r="B27" s="5">
        <f t="shared" si="0"/>
        <v>26</v>
      </c>
      <c r="C27" s="146">
        <v>9</v>
      </c>
      <c r="D27" s="147">
        <v>2024</v>
      </c>
      <c r="E27" s="126">
        <f>IF(ALMYRA!H27&lt;0,"0",ALMYRA!H27)</f>
        <v>0</v>
      </c>
      <c r="F27" s="127" t="e">
        <f>(ALMYRA!C27*0.24)/E27</f>
        <v>#DIV/0!</v>
      </c>
      <c r="G27" s="131">
        <f>ALMYRA!Z27</f>
        <v>0</v>
      </c>
      <c r="H27" s="132">
        <v>0.65800000000000003</v>
      </c>
      <c r="I27" s="135">
        <f>IF(ALMYRA!AB27&lt;0,"0",ALMYRA!AB27)</f>
        <v>0</v>
      </c>
      <c r="J27" s="136">
        <v>2.4</v>
      </c>
      <c r="K27" s="139">
        <f>ALMYRA!U27</f>
        <v>0</v>
      </c>
      <c r="L27" s="140">
        <v>0.88</v>
      </c>
      <c r="M27" s="143">
        <f>ALMYRA!AJ27</f>
        <v>0</v>
      </c>
      <c r="N27" s="143">
        <f>ALMYRA!AK27</f>
        <v>0</v>
      </c>
    </row>
    <row r="28" spans="1:14" ht="15" x14ac:dyDescent="0.25">
      <c r="A28" s="122" t="s">
        <v>14</v>
      </c>
      <c r="B28" s="5">
        <f t="shared" si="0"/>
        <v>27</v>
      </c>
      <c r="C28" s="146">
        <v>9</v>
      </c>
      <c r="D28" s="147">
        <v>2024</v>
      </c>
      <c r="E28" s="126">
        <f>IF(ALMYRA!H28&lt;0,"0",ALMYRA!H28)</f>
        <v>0</v>
      </c>
      <c r="F28" s="127" t="e">
        <f>(ALMYRA!C28*0.24)/E28</f>
        <v>#DIV/0!</v>
      </c>
      <c r="G28" s="131">
        <f>ALMYRA!Z28</f>
        <v>0</v>
      </c>
      <c r="H28" s="132">
        <v>0.65800000000000003</v>
      </c>
      <c r="I28" s="135">
        <f>IF(ALMYRA!AB28&lt;0,"0",ALMYRA!AB28)</f>
        <v>0</v>
      </c>
      <c r="J28" s="136">
        <v>2.4</v>
      </c>
      <c r="K28" s="139">
        <f>ALMYRA!U28</f>
        <v>0</v>
      </c>
      <c r="L28" s="140">
        <v>0.88</v>
      </c>
      <c r="M28" s="143">
        <f>ALMYRA!AJ28</f>
        <v>0</v>
      </c>
      <c r="N28" s="143">
        <f>ALMYRA!AK28</f>
        <v>0</v>
      </c>
    </row>
    <row r="29" spans="1:14" ht="15" x14ac:dyDescent="0.25">
      <c r="A29" s="122" t="s">
        <v>14</v>
      </c>
      <c r="B29" s="5">
        <f t="shared" si="0"/>
        <v>28</v>
      </c>
      <c r="C29" s="146">
        <v>9</v>
      </c>
      <c r="D29" s="147">
        <v>2024</v>
      </c>
      <c r="E29" s="126">
        <f>IF(ALMYRA!H29&lt;0,"0",ALMYRA!H29)</f>
        <v>0</v>
      </c>
      <c r="F29" s="127" t="e">
        <f>(ALMYRA!C29*0.24)/E29</f>
        <v>#DIV/0!</v>
      </c>
      <c r="G29" s="131">
        <f>ALMYRA!Z29</f>
        <v>0</v>
      </c>
      <c r="H29" s="132">
        <v>0.65800000000000003</v>
      </c>
      <c r="I29" s="135">
        <f>IF(ALMYRA!AB29&lt;0,"0",ALMYRA!AB29)</f>
        <v>0</v>
      </c>
      <c r="J29" s="136">
        <v>2.4</v>
      </c>
      <c r="K29" s="139">
        <f>ALMYRA!U29</f>
        <v>0</v>
      </c>
      <c r="L29" s="140">
        <v>0.88</v>
      </c>
      <c r="M29" s="143">
        <f>ALMYRA!AJ29</f>
        <v>0</v>
      </c>
      <c r="N29" s="143">
        <f>ALMYRA!AK29</f>
        <v>0</v>
      </c>
    </row>
    <row r="30" spans="1:14" ht="15" x14ac:dyDescent="0.25">
      <c r="A30" s="122" t="s">
        <v>14</v>
      </c>
      <c r="B30" s="5">
        <f t="shared" si="0"/>
        <v>29</v>
      </c>
      <c r="C30" s="146">
        <v>9</v>
      </c>
      <c r="D30" s="147">
        <v>2024</v>
      </c>
      <c r="E30" s="126">
        <f>IF(ALMYRA!H30&lt;0,"0",ALMYRA!H30)</f>
        <v>0</v>
      </c>
      <c r="F30" s="127" t="e">
        <f>(ALMYRA!C30*0.24)/E30</f>
        <v>#DIV/0!</v>
      </c>
      <c r="G30" s="131">
        <f>ALMYRA!Z30</f>
        <v>0</v>
      </c>
      <c r="H30" s="132">
        <v>0.65800000000000003</v>
      </c>
      <c r="I30" s="135">
        <f>IF(ALMYRA!AB30&lt;0,"0",ALMYRA!AB30)</f>
        <v>0</v>
      </c>
      <c r="J30" s="136">
        <v>2.4</v>
      </c>
      <c r="K30" s="139">
        <f>ALMYRA!U30</f>
        <v>0</v>
      </c>
      <c r="L30" s="140">
        <v>0.88</v>
      </c>
      <c r="M30" s="143">
        <f>ALMYRA!AJ30</f>
        <v>0</v>
      </c>
      <c r="N30" s="143">
        <f>ALMYRA!AK30</f>
        <v>0</v>
      </c>
    </row>
    <row r="31" spans="1:14" ht="15" x14ac:dyDescent="0.25">
      <c r="A31" s="122" t="s">
        <v>14</v>
      </c>
      <c r="B31" s="5">
        <f t="shared" si="0"/>
        <v>30</v>
      </c>
      <c r="C31" s="146">
        <v>9</v>
      </c>
      <c r="D31" s="147">
        <v>2024</v>
      </c>
      <c r="E31" s="126">
        <f>IF(ALMYRA!H31&lt;0,"0",ALMYRA!H31)</f>
        <v>0</v>
      </c>
      <c r="F31" s="127" t="e">
        <f>(ALMYRA!C31*0.24)/E31</f>
        <v>#DIV/0!</v>
      </c>
      <c r="G31" s="131">
        <f>ALMYRA!Z31</f>
        <v>0</v>
      </c>
      <c r="H31" s="132">
        <v>0.65800000000000003</v>
      </c>
      <c r="I31" s="135">
        <f>IF(ALMYRA!AB31&lt;0,"0",ALMYRA!AB31)</f>
        <v>0</v>
      </c>
      <c r="J31" s="136">
        <v>2.4</v>
      </c>
      <c r="K31" s="139">
        <f>ALMYRA!U31</f>
        <v>0</v>
      </c>
      <c r="L31" s="140">
        <v>0.88</v>
      </c>
      <c r="M31" s="143">
        <f>ALMYRA!AJ31</f>
        <v>0</v>
      </c>
      <c r="N31" s="143">
        <f>ALMYRA!AK31</f>
        <v>0</v>
      </c>
    </row>
    <row r="32" spans="1:14" x14ac:dyDescent="0.2">
      <c r="D32" s="148"/>
      <c r="E32" s="4"/>
      <c r="F32" s="148"/>
      <c r="G32" s="4"/>
      <c r="H32" s="149"/>
      <c r="I32" s="148"/>
      <c r="J32" s="148"/>
      <c r="K32"/>
      <c r="L32"/>
      <c r="M32" s="148"/>
      <c r="N32" s="148"/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E39" s="4"/>
      <c r="F39" s="148"/>
      <c r="G39" s="4"/>
      <c r="H39" s="149"/>
      <c r="I39" s="5"/>
      <c r="J39" s="5"/>
      <c r="K39"/>
      <c r="L39"/>
      <c r="M39" s="5"/>
      <c r="N39" s="5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9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9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9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9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9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9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9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9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9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9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9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9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9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9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9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9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9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9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9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9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9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9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9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9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9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9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9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9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9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9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9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9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9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9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9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9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9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9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9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9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9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9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9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9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9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9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9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9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9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9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9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9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9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9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9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9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9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9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9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9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9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9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9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9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9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9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9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9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9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9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9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9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9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9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9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9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9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9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9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9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9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9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9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9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9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9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9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9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9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9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9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9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9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9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9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9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9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9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9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9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9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9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9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9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9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9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9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9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9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9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9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9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9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9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9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9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9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9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9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9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9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9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9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9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9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9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9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9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9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9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9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9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9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9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9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9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9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9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9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9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9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9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9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9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9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9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9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9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9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9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9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9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9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9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9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9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9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9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9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9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9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9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9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9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9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9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9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9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9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9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9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9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9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9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9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9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9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9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9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9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9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9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9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9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9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9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9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9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9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9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9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9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9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9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9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9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9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9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9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9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9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9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9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9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9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9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9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9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9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9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9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9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9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9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9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9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9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9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9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9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9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9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9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9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9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9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9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9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9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9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9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9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9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9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9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9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9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9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9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9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9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9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9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9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9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9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9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9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9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9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9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9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9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9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9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9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9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9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9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9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9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9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9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9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9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9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9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9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9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9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9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9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9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9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9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9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9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9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9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9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9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9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9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9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9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9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9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9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9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9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9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9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9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9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9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9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9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9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9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9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9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9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9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9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9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9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9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9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9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9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9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9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9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9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9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9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9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9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9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9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9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9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9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9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9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9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9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9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9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9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9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9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9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9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9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9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9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9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9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9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9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9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9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9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9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9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9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9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9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9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9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9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9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9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9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9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9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9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9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9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9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9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9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9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9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9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9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9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9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9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9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9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9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9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9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9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9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9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9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9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9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9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9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9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9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9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9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9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9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9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9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9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9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9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9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9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9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9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9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9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9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9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9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9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9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9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9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9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9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9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9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9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9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9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9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9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9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9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9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9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9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9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9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9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9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9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9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9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9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9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9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9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9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9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9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9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9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9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9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9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9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9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9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9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9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9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9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9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9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9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9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9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9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9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9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9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9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9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9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9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9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9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9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9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9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9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9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9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9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9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9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9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9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9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9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9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9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9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9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9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9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9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9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9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9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9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9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9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9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9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9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9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9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9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9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9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9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9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9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9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9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9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9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9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9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9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9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9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9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9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9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9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9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9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9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9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9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9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9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9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9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9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9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9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9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9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9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9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9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9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9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9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9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9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9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9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9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9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9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9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9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9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9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9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9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9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9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9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9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9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9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9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9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9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9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9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9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9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9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9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9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9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9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9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9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9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9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9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9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9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9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9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9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9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9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9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9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9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9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9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9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9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9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9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9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9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9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9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9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9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9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9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9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9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9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9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9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9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9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9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9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9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9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9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9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9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9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9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9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9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9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9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9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9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9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9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9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9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9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9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9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9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9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9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9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9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9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9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9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9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9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9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9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9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9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9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9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9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9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9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9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9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9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9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9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9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9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9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9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9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9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9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9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9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9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9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9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9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9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9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9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9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9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9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9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9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9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9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9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9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9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9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9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9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9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9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9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9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9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9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9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9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9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9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9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9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9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9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9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9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9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9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9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9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9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9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9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9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9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9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9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9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9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9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9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9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9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9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9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9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9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9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9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9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9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9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9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9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9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9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9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9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9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9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9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9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9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9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9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9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9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9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9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9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9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9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9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9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9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9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9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9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9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9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9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9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9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9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9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9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9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9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9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9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9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9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9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9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9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9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9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9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9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9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9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9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9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9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9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9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9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9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9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9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9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9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9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9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9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9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9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9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9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9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9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9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9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9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9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9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9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9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9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9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9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9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9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9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9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9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9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9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9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9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9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9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9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9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9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9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9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9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9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9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9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9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9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9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9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9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9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9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9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9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9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9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9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9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9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9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9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9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9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9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9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9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9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9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9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9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9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9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9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9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9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9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9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9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9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9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9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9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9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9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9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9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9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9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9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9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9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9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9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9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9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9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9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9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9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9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9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9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9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9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9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9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9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9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9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9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9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9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9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9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9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9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9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9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9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9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9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9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9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9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9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9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9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9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9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9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9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9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9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9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9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9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9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9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9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9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9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9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9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9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9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9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9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9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9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9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9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9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9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9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9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9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9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9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9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9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9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9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9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9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9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9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9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9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9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9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9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9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9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9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9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9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9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9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9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9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9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9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9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9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9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9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9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9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9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9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9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9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9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9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9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9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9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9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9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9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9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9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9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9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9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9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9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9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9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9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9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9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9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9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9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9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9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9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9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9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9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9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9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9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9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9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9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9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9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9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9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9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9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9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9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9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9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9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9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9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9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9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9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9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9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9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9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9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9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9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9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9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9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9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9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9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9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9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9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9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9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9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9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9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9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9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9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9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9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9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9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9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9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9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9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9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9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9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9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9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9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9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9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9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9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9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9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9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9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9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9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9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9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9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9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9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9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9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9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9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9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9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9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9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9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9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9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9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9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9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9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9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9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9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9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9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9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9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9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9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9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9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9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9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9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9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9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9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9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9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9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9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9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9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9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9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9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9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9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9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9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9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9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9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9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9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9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9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9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9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9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9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9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9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9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9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9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9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9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9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9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9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9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9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9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9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9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9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9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9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9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9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9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9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9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9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9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9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9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9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9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9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9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9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9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9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9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9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9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9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9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9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9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9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9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9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9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9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9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9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9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9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9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9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9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9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9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9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9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9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9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9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9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9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9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9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9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9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9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9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9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9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9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9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9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9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9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9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9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9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9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9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9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9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9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9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9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9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9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9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9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9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9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9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9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9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9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9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9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9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9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9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9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9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9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9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9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9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9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9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9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9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9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9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9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9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9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9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9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9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9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9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9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9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9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9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9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9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9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9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9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9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9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9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9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9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9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9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9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9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9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9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9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9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9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9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9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9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9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9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9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9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9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9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9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9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9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9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9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9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9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9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9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9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9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9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9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9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9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9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9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9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9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9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9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9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9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9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9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9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9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9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9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9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9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9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9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9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9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9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9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9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9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9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9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9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9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9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9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9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9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9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9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9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9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9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9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9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9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9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9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9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9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9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9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9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9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9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9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9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9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9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9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9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9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9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9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9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9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9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9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9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9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9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9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9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9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9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9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9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9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9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9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9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9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9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9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9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9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9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9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9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9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9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9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9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9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9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9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9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9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9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9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9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9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9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9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9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9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9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9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9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9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9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9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9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9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9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9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9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9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9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9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9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9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9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9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9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9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9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9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9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9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9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9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9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9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9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9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9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9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9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9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9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9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9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9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9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9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9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9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9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9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9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9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9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9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9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9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9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9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9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9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9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9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9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9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9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9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9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9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9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9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9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9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9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9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9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9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9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9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9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9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9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9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9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9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9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9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9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9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9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9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9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9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9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9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9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9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9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9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9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9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9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9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9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9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9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9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9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9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9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9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9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9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9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9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9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9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9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9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9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9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9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9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9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9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9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9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9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9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9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9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9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9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9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9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9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9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9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9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9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9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9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9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9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9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9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9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9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9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9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9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9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9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9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9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9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9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9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9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9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9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9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9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9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9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9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9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9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9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9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9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9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9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9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9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9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9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9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9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9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9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9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9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9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9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9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9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9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9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9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9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9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9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9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9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9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9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9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9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9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9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9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9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9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9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9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9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9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9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9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9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9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9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9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9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9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9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9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9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9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9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9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9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9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9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9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9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9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9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9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9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9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9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9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9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9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9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9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9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9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9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9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9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9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9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9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9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9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9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9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9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9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9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9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9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9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9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9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9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9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9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9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9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9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9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9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9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9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9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9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9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9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9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9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9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9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9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9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9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9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9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9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9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9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9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9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9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9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9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9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9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9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9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9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9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9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topLeftCell="J1" zoomScale="85" zoomScaleNormal="85" workbookViewId="0">
      <selection activeCell="AK6" sqref="AK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15</v>
      </c>
      <c r="B1" s="32" t="s">
        <v>16</v>
      </c>
      <c r="C1" s="28" t="s">
        <v>17</v>
      </c>
      <c r="D1" s="27" t="s">
        <v>18</v>
      </c>
      <c r="E1" s="21" t="s">
        <v>19</v>
      </c>
      <c r="F1" s="27" t="s">
        <v>20</v>
      </c>
      <c r="G1" s="98" t="s">
        <v>21</v>
      </c>
      <c r="H1" s="102" t="s">
        <v>22</v>
      </c>
      <c r="I1" s="108" t="s">
        <v>23</v>
      </c>
      <c r="J1" s="113" t="s">
        <v>24</v>
      </c>
      <c r="K1" s="38" t="s">
        <v>25</v>
      </c>
      <c r="L1" s="114" t="s">
        <v>26</v>
      </c>
      <c r="M1" s="38" t="s">
        <v>25</v>
      </c>
      <c r="N1" s="114" t="s">
        <v>27</v>
      </c>
      <c r="O1" s="38" t="s">
        <v>25</v>
      </c>
      <c r="P1" s="113" t="s">
        <v>28</v>
      </c>
      <c r="Q1" s="64" t="s">
        <v>25</v>
      </c>
      <c r="R1" s="31" t="s">
        <v>15</v>
      </c>
      <c r="S1" s="37" t="s">
        <v>29</v>
      </c>
      <c r="T1" s="112" t="s">
        <v>30</v>
      </c>
      <c r="U1" s="38" t="s">
        <v>25</v>
      </c>
      <c r="V1" s="33" t="s">
        <v>31</v>
      </c>
      <c r="W1" s="45" t="s">
        <v>32</v>
      </c>
      <c r="X1" s="47" t="s">
        <v>33</v>
      </c>
      <c r="Y1" s="46" t="s">
        <v>34</v>
      </c>
      <c r="Z1" s="38" t="s">
        <v>25</v>
      </c>
      <c r="AA1" s="55" t="s">
        <v>35</v>
      </c>
      <c r="AB1" s="38" t="s">
        <v>25</v>
      </c>
      <c r="AC1" s="55" t="s">
        <v>36</v>
      </c>
      <c r="AD1" s="38" t="s">
        <v>25</v>
      </c>
      <c r="AE1" s="58" t="s">
        <v>37</v>
      </c>
      <c r="AF1" s="38" t="s">
        <v>25</v>
      </c>
      <c r="AG1" s="61" t="s">
        <v>38</v>
      </c>
      <c r="AH1" s="72" t="s">
        <v>39</v>
      </c>
      <c r="AI1" s="38" t="s">
        <v>25</v>
      </c>
      <c r="AJ1" s="29" t="s">
        <v>12</v>
      </c>
      <c r="AK1" s="30" t="s">
        <v>40</v>
      </c>
    </row>
    <row r="2" spans="1:37" x14ac:dyDescent="0.2">
      <c r="A2" s="24">
        <v>45536</v>
      </c>
      <c r="B2" s="8">
        <v>31930051</v>
      </c>
      <c r="C2" s="16">
        <f>B3-B2</f>
        <v>5653</v>
      </c>
      <c r="D2" s="9">
        <v>872682</v>
      </c>
      <c r="E2" s="16">
        <f>D3-D2</f>
        <v>2139</v>
      </c>
      <c r="F2" s="34">
        <v>110448</v>
      </c>
      <c r="G2" s="99">
        <f>F3-F2</f>
        <v>0</v>
      </c>
      <c r="H2" s="103">
        <f>C2+E2-G2</f>
        <v>7792</v>
      </c>
      <c r="I2" s="109">
        <f>H2-K2-M2-O2-Q2</f>
        <v>6530.5999999994528</v>
      </c>
      <c r="J2" s="96">
        <v>4647838.8</v>
      </c>
      <c r="K2" s="41">
        <f>J3-J2</f>
        <v>975.60000000055879</v>
      </c>
      <c r="L2" s="14">
        <v>465039</v>
      </c>
      <c r="M2" s="41">
        <f>L3-L2</f>
        <v>71</v>
      </c>
      <c r="N2" s="14">
        <v>121704.5</v>
      </c>
      <c r="O2" s="41">
        <f>N3-N2</f>
        <v>70.5</v>
      </c>
      <c r="P2" s="96">
        <v>173680.7</v>
      </c>
      <c r="Q2" s="65">
        <f>P3-P2</f>
        <v>144.29999999998836</v>
      </c>
      <c r="R2" s="24">
        <f>A2</f>
        <v>45536</v>
      </c>
      <c r="S2" s="39">
        <v>5000</v>
      </c>
      <c r="T2" s="40">
        <v>0</v>
      </c>
      <c r="U2" s="41">
        <f>S2+T2-S3</f>
        <v>116</v>
      </c>
      <c r="V2" s="19">
        <v>0.64</v>
      </c>
      <c r="W2" s="48">
        <v>0.62</v>
      </c>
      <c r="X2" s="50">
        <f t="shared" ref="X2:X33" si="0">(V2*2500)+(W2*2500)</f>
        <v>3150</v>
      </c>
      <c r="Y2" s="49"/>
      <c r="Z2" s="41">
        <f>X2+Y2-X3</f>
        <v>200</v>
      </c>
      <c r="AA2" s="56">
        <v>102128</v>
      </c>
      <c r="AB2" s="41">
        <f>AA3-AA2</f>
        <v>82</v>
      </c>
      <c r="AC2" s="56">
        <v>237.6</v>
      </c>
      <c r="AD2" s="41">
        <f>AC3-AC2</f>
        <v>11</v>
      </c>
      <c r="AE2" s="59">
        <v>69965</v>
      </c>
      <c r="AF2" s="41">
        <f>AE3-AE2</f>
        <v>18</v>
      </c>
      <c r="AG2" s="62">
        <v>3100</v>
      </c>
      <c r="AH2" s="73">
        <v>0</v>
      </c>
      <c r="AI2" s="41">
        <f>AG3+AH2-AG2</f>
        <v>0</v>
      </c>
      <c r="AJ2" s="12">
        <v>104</v>
      </c>
      <c r="AK2" s="22">
        <v>220</v>
      </c>
    </row>
    <row r="3" spans="1:37" x14ac:dyDescent="0.2">
      <c r="A3" s="25">
        <v>45537</v>
      </c>
      <c r="B3" s="10">
        <v>31935704</v>
      </c>
      <c r="C3" s="67">
        <f>B4-B3</f>
        <v>5843</v>
      </c>
      <c r="D3" s="11">
        <v>874821</v>
      </c>
      <c r="E3" s="17">
        <f>D4-D3</f>
        <v>2217</v>
      </c>
      <c r="F3" s="35">
        <v>110448</v>
      </c>
      <c r="G3" s="100">
        <f>F4-F3</f>
        <v>0</v>
      </c>
      <c r="H3" s="104">
        <f t="shared" ref="H3:H32" si="1">C3+E3-G3</f>
        <v>8060</v>
      </c>
      <c r="I3" s="110">
        <f t="shared" ref="I3:I32" si="2">H3-K3-M3-O3-Q3</f>
        <v>6796.8000000007451</v>
      </c>
      <c r="J3" s="97">
        <v>4648814.4000000004</v>
      </c>
      <c r="K3" s="44">
        <f>J4-J3</f>
        <v>977.19999999925494</v>
      </c>
      <c r="L3" s="15">
        <v>465110</v>
      </c>
      <c r="M3" s="44">
        <f>L4-L3</f>
        <v>71</v>
      </c>
      <c r="N3" s="15">
        <v>121775</v>
      </c>
      <c r="O3" s="44">
        <f>N4-N3</f>
        <v>71</v>
      </c>
      <c r="P3" s="97">
        <v>173825</v>
      </c>
      <c r="Q3" s="66">
        <f>P4-P3</f>
        <v>144</v>
      </c>
      <c r="R3" s="25">
        <f>A3</f>
        <v>45537</v>
      </c>
      <c r="S3" s="42">
        <v>4884</v>
      </c>
      <c r="T3" s="43">
        <v>0</v>
      </c>
      <c r="U3" s="44">
        <f>S3+T3-S4</f>
        <v>97</v>
      </c>
      <c r="V3" s="20">
        <v>0.6</v>
      </c>
      <c r="W3" s="51">
        <v>0.57999999999999996</v>
      </c>
      <c r="X3" s="52">
        <f t="shared" si="0"/>
        <v>2950</v>
      </c>
      <c r="Y3" s="49">
        <v>1133.71</v>
      </c>
      <c r="Z3" s="53">
        <f t="shared" ref="Z3:Z9" si="3">X3+Y3-X4</f>
        <v>133.71000000000004</v>
      </c>
      <c r="AA3" s="57">
        <v>102210</v>
      </c>
      <c r="AB3" s="44">
        <f>AA4-AA3</f>
        <v>71</v>
      </c>
      <c r="AC3" s="57">
        <v>248.6</v>
      </c>
      <c r="AD3" s="44">
        <f>AC4-AC3</f>
        <v>9.0999999999999943</v>
      </c>
      <c r="AE3" s="60">
        <v>69983</v>
      </c>
      <c r="AF3" s="44">
        <f>AE4-AE3</f>
        <v>82</v>
      </c>
      <c r="AG3" s="63">
        <v>3100</v>
      </c>
      <c r="AH3" s="74">
        <v>0</v>
      </c>
      <c r="AI3" s="53">
        <f t="shared" ref="AI3:AI32" si="4">AG4+AH3-AG3</f>
        <v>0</v>
      </c>
      <c r="AJ3" s="13">
        <v>100</v>
      </c>
      <c r="AK3" s="23">
        <v>203</v>
      </c>
    </row>
    <row r="4" spans="1:37" x14ac:dyDescent="0.2">
      <c r="A4" s="25">
        <v>45538</v>
      </c>
      <c r="B4" s="10">
        <v>31941547</v>
      </c>
      <c r="C4" s="67">
        <f t="shared" ref="C4:C9" si="5">B5-B4</f>
        <v>5216</v>
      </c>
      <c r="D4" s="11">
        <v>877038</v>
      </c>
      <c r="E4" s="17">
        <f t="shared" ref="E4:E9" si="6">D5-D4</f>
        <v>2261</v>
      </c>
      <c r="F4" s="35">
        <v>110448</v>
      </c>
      <c r="G4" s="100">
        <f t="shared" ref="G4:G9" si="7">F5-F4</f>
        <v>0</v>
      </c>
      <c r="H4" s="104">
        <f t="shared" si="1"/>
        <v>7477</v>
      </c>
      <c r="I4" s="110">
        <f t="shared" si="2"/>
        <v>6241.3999999994412</v>
      </c>
      <c r="J4" s="97">
        <v>4649791.5999999996</v>
      </c>
      <c r="K4" s="44">
        <f t="shared" ref="K4:K9" si="8">J5-J4</f>
        <v>949.60000000055879</v>
      </c>
      <c r="L4" s="15">
        <v>465181</v>
      </c>
      <c r="M4" s="44">
        <f t="shared" ref="M4:M9" si="9">L5-L4</f>
        <v>71</v>
      </c>
      <c r="N4" s="15">
        <v>121846</v>
      </c>
      <c r="O4" s="44">
        <f t="shared" ref="O4:O9" si="10">N5-N4</f>
        <v>71</v>
      </c>
      <c r="P4" s="97">
        <v>173969</v>
      </c>
      <c r="Q4" s="66">
        <f t="shared" ref="Q4:Q9" si="11">P5-P4</f>
        <v>144</v>
      </c>
      <c r="R4" s="25">
        <f t="shared" ref="R4:R32" si="12">A4</f>
        <v>45538</v>
      </c>
      <c r="S4" s="42">
        <v>4787</v>
      </c>
      <c r="T4" s="43">
        <v>0</v>
      </c>
      <c r="U4" s="44">
        <f t="shared" ref="U4:U9" si="13">S4+T4-S5</f>
        <v>97</v>
      </c>
      <c r="V4" s="20">
        <v>0.79</v>
      </c>
      <c r="W4" s="51">
        <v>0.79</v>
      </c>
      <c r="X4" s="52">
        <f t="shared" si="0"/>
        <v>3950</v>
      </c>
      <c r="Y4" s="49"/>
      <c r="Z4" s="53">
        <f t="shared" si="3"/>
        <v>175</v>
      </c>
      <c r="AA4" s="57">
        <v>102281</v>
      </c>
      <c r="AB4" s="44">
        <f t="shared" ref="AB4:AB9" si="14">AA5-AA4</f>
        <v>70</v>
      </c>
      <c r="AC4" s="57">
        <v>257.7</v>
      </c>
      <c r="AD4" s="44">
        <f t="shared" ref="AD4:AD9" si="15">AC5-AC4</f>
        <v>9.5</v>
      </c>
      <c r="AE4" s="60">
        <v>70065</v>
      </c>
      <c r="AF4" s="44">
        <f t="shared" ref="AF4:AF9" si="16">AE5-AE4</f>
        <v>48</v>
      </c>
      <c r="AG4" s="63">
        <v>3100</v>
      </c>
      <c r="AH4" s="74">
        <v>0</v>
      </c>
      <c r="AI4" s="53">
        <f t="shared" si="4"/>
        <v>0</v>
      </c>
      <c r="AJ4" s="13">
        <v>107</v>
      </c>
      <c r="AK4" s="23">
        <v>214</v>
      </c>
    </row>
    <row r="5" spans="1:37" x14ac:dyDescent="0.2">
      <c r="A5" s="25">
        <v>45539</v>
      </c>
      <c r="B5" s="10">
        <v>31946763</v>
      </c>
      <c r="C5" s="67">
        <f t="shared" si="5"/>
        <v>5851</v>
      </c>
      <c r="D5" s="11">
        <v>879299</v>
      </c>
      <c r="E5" s="17">
        <f t="shared" si="6"/>
        <v>2059</v>
      </c>
      <c r="F5" s="35">
        <v>110448</v>
      </c>
      <c r="G5" s="100">
        <f t="shared" si="7"/>
        <v>0</v>
      </c>
      <c r="H5" s="104">
        <f t="shared" si="1"/>
        <v>7910</v>
      </c>
      <c r="I5" s="110">
        <f t="shared" si="2"/>
        <v>6652.7999999998137</v>
      </c>
      <c r="J5" s="97">
        <v>4650741.2</v>
      </c>
      <c r="K5" s="44">
        <f t="shared" si="8"/>
        <v>971.20000000018626</v>
      </c>
      <c r="L5" s="15">
        <v>465252</v>
      </c>
      <c r="M5" s="44">
        <f t="shared" si="9"/>
        <v>71</v>
      </c>
      <c r="N5" s="15">
        <v>121917</v>
      </c>
      <c r="O5" s="44">
        <f t="shared" si="10"/>
        <v>71</v>
      </c>
      <c r="P5" s="97">
        <v>174113</v>
      </c>
      <c r="Q5" s="66">
        <f t="shared" si="11"/>
        <v>144</v>
      </c>
      <c r="R5" s="25">
        <f t="shared" si="12"/>
        <v>45539</v>
      </c>
      <c r="S5" s="42">
        <v>4690</v>
      </c>
      <c r="T5" s="43">
        <v>0</v>
      </c>
      <c r="U5" s="44">
        <f t="shared" si="13"/>
        <v>0</v>
      </c>
      <c r="V5" s="20">
        <v>0.76</v>
      </c>
      <c r="W5" s="51">
        <v>0.75</v>
      </c>
      <c r="X5" s="52">
        <f t="shared" si="0"/>
        <v>3775</v>
      </c>
      <c r="Y5" s="49"/>
      <c r="Z5" s="53">
        <f t="shared" si="3"/>
        <v>125</v>
      </c>
      <c r="AA5" s="57">
        <v>102351</v>
      </c>
      <c r="AB5" s="44">
        <f t="shared" si="14"/>
        <v>65</v>
      </c>
      <c r="AC5" s="57">
        <v>267.2</v>
      </c>
      <c r="AD5" s="44">
        <f t="shared" si="15"/>
        <v>5.1999999999999886</v>
      </c>
      <c r="AE5" s="60">
        <v>70113</v>
      </c>
      <c r="AF5" s="44">
        <f t="shared" si="16"/>
        <v>48</v>
      </c>
      <c r="AG5" s="63">
        <v>3100</v>
      </c>
      <c r="AH5" s="74">
        <v>0</v>
      </c>
      <c r="AI5" s="53">
        <f t="shared" si="4"/>
        <v>0</v>
      </c>
      <c r="AJ5" s="13">
        <v>120</v>
      </c>
      <c r="AK5" s="23">
        <v>240</v>
      </c>
    </row>
    <row r="6" spans="1:37" x14ac:dyDescent="0.2">
      <c r="A6" s="25">
        <v>45540</v>
      </c>
      <c r="B6" s="10">
        <v>31952614</v>
      </c>
      <c r="C6" s="67">
        <f t="shared" si="5"/>
        <v>6482</v>
      </c>
      <c r="D6" s="11">
        <v>881358</v>
      </c>
      <c r="E6" s="17">
        <f t="shared" si="6"/>
        <v>2233</v>
      </c>
      <c r="F6" s="35">
        <v>110448</v>
      </c>
      <c r="G6" s="100">
        <f t="shared" si="7"/>
        <v>0</v>
      </c>
      <c r="H6" s="104">
        <f t="shared" si="1"/>
        <v>8715</v>
      </c>
      <c r="I6" s="110">
        <f t="shared" si="2"/>
        <v>7405.8000000007451</v>
      </c>
      <c r="J6" s="97">
        <v>4651712.4000000004</v>
      </c>
      <c r="K6" s="44">
        <f t="shared" si="8"/>
        <v>1023.1999999992549</v>
      </c>
      <c r="L6" s="15">
        <v>465323</v>
      </c>
      <c r="M6" s="44">
        <f t="shared" si="9"/>
        <v>71</v>
      </c>
      <c r="N6" s="15">
        <v>121988</v>
      </c>
      <c r="O6" s="44">
        <f t="shared" si="10"/>
        <v>71</v>
      </c>
      <c r="P6" s="97">
        <v>174257</v>
      </c>
      <c r="Q6" s="66">
        <f t="shared" si="11"/>
        <v>144</v>
      </c>
      <c r="R6" s="25">
        <f t="shared" si="12"/>
        <v>45540</v>
      </c>
      <c r="S6" s="42">
        <v>4690</v>
      </c>
      <c r="T6" s="43">
        <v>0</v>
      </c>
      <c r="U6" s="44">
        <f t="shared" si="13"/>
        <v>96</v>
      </c>
      <c r="V6" s="20">
        <v>0.73</v>
      </c>
      <c r="W6" s="51">
        <v>0.73</v>
      </c>
      <c r="X6" s="52">
        <f t="shared" si="0"/>
        <v>3650</v>
      </c>
      <c r="Y6" s="49"/>
      <c r="Z6" s="53">
        <f t="shared" si="3"/>
        <v>150</v>
      </c>
      <c r="AA6" s="57">
        <v>102416</v>
      </c>
      <c r="AB6" s="44">
        <f t="shared" si="14"/>
        <v>84</v>
      </c>
      <c r="AC6" s="57">
        <v>272.39999999999998</v>
      </c>
      <c r="AD6" s="44">
        <f t="shared" si="15"/>
        <v>10.5</v>
      </c>
      <c r="AE6" s="60">
        <v>70161</v>
      </c>
      <c r="AF6" s="44">
        <f t="shared" si="16"/>
        <v>60</v>
      </c>
      <c r="AG6" s="63">
        <v>3100</v>
      </c>
      <c r="AH6" s="74">
        <v>0</v>
      </c>
      <c r="AI6" s="53">
        <f t="shared" si="4"/>
        <v>0</v>
      </c>
      <c r="AJ6" s="13">
        <v>129</v>
      </c>
      <c r="AK6" s="23">
        <v>257</v>
      </c>
    </row>
    <row r="7" spans="1:37" x14ac:dyDescent="0.2">
      <c r="A7" s="25">
        <v>45541</v>
      </c>
      <c r="B7" s="10">
        <v>31959096</v>
      </c>
      <c r="C7" s="67">
        <f t="shared" si="5"/>
        <v>6966</v>
      </c>
      <c r="D7" s="11">
        <v>883591</v>
      </c>
      <c r="E7" s="17">
        <f t="shared" si="6"/>
        <v>2252</v>
      </c>
      <c r="F7" s="35">
        <v>110448</v>
      </c>
      <c r="G7" s="100">
        <f t="shared" si="7"/>
        <v>0</v>
      </c>
      <c r="H7" s="104">
        <f t="shared" si="1"/>
        <v>9218</v>
      </c>
      <c r="I7" s="110">
        <f t="shared" si="2"/>
        <v>7860</v>
      </c>
      <c r="J7" s="97">
        <v>4652735.5999999996</v>
      </c>
      <c r="K7" s="44">
        <f t="shared" si="8"/>
        <v>1072</v>
      </c>
      <c r="L7" s="15">
        <v>465394</v>
      </c>
      <c r="M7" s="44">
        <f t="shared" si="9"/>
        <v>71</v>
      </c>
      <c r="N7" s="15">
        <v>122059</v>
      </c>
      <c r="O7" s="44">
        <f t="shared" si="10"/>
        <v>71</v>
      </c>
      <c r="P7" s="97">
        <v>174401</v>
      </c>
      <c r="Q7" s="66">
        <f t="shared" si="11"/>
        <v>144</v>
      </c>
      <c r="R7" s="25">
        <f t="shared" si="12"/>
        <v>45541</v>
      </c>
      <c r="S7" s="42">
        <v>4594</v>
      </c>
      <c r="T7" s="43">
        <v>0</v>
      </c>
      <c r="U7" s="44">
        <f t="shared" si="13"/>
        <v>0</v>
      </c>
      <c r="V7" s="20">
        <v>0.7</v>
      </c>
      <c r="W7" s="51">
        <v>0.7</v>
      </c>
      <c r="X7" s="52">
        <f t="shared" si="0"/>
        <v>3500</v>
      </c>
      <c r="Y7" s="49"/>
      <c r="Z7" s="53">
        <f t="shared" si="3"/>
        <v>50.000000000000455</v>
      </c>
      <c r="AA7" s="57">
        <v>102500</v>
      </c>
      <c r="AB7" s="44">
        <f t="shared" si="14"/>
        <v>92</v>
      </c>
      <c r="AC7" s="57">
        <v>282.89999999999998</v>
      </c>
      <c r="AD7" s="44">
        <f t="shared" si="15"/>
        <v>14.900000000000034</v>
      </c>
      <c r="AE7" s="60">
        <v>70221</v>
      </c>
      <c r="AF7" s="44">
        <f t="shared" si="16"/>
        <v>43</v>
      </c>
      <c r="AG7" s="63">
        <v>3100</v>
      </c>
      <c r="AH7" s="74">
        <v>0</v>
      </c>
      <c r="AI7" s="53">
        <f t="shared" si="4"/>
        <v>0</v>
      </c>
      <c r="AJ7" s="13">
        <v>157</v>
      </c>
      <c r="AK7" s="23">
        <v>312</v>
      </c>
    </row>
    <row r="8" spans="1:37" x14ac:dyDescent="0.2">
      <c r="A8" s="25">
        <v>45542</v>
      </c>
      <c r="B8" s="10">
        <v>31966062</v>
      </c>
      <c r="C8" s="67">
        <f t="shared" si="5"/>
        <v>7326</v>
      </c>
      <c r="D8" s="11">
        <v>885843</v>
      </c>
      <c r="E8" s="17">
        <f t="shared" si="6"/>
        <v>2186</v>
      </c>
      <c r="F8" s="35">
        <v>110448</v>
      </c>
      <c r="G8" s="100">
        <f t="shared" si="7"/>
        <v>0</v>
      </c>
      <c r="H8" s="104">
        <f t="shared" si="1"/>
        <v>9512</v>
      </c>
      <c r="I8" s="110">
        <f t="shared" si="2"/>
        <v>8102</v>
      </c>
      <c r="J8" s="97">
        <v>4653807.5999999996</v>
      </c>
      <c r="K8" s="44">
        <f t="shared" si="8"/>
        <v>1124</v>
      </c>
      <c r="L8" s="15">
        <v>465465</v>
      </c>
      <c r="M8" s="44">
        <f t="shared" si="9"/>
        <v>71</v>
      </c>
      <c r="N8" s="15">
        <v>122130</v>
      </c>
      <c r="O8" s="44">
        <f t="shared" si="10"/>
        <v>71</v>
      </c>
      <c r="P8" s="97">
        <v>174545</v>
      </c>
      <c r="Q8" s="66">
        <f t="shared" si="11"/>
        <v>144</v>
      </c>
      <c r="R8" s="25">
        <f t="shared" si="12"/>
        <v>45542</v>
      </c>
      <c r="S8" s="42">
        <v>4594</v>
      </c>
      <c r="T8" s="43">
        <v>0</v>
      </c>
      <c r="U8" s="44">
        <f t="shared" si="13"/>
        <v>97</v>
      </c>
      <c r="V8" s="20">
        <v>0.69</v>
      </c>
      <c r="W8" s="51">
        <v>0.69</v>
      </c>
      <c r="X8" s="52">
        <f t="shared" si="0"/>
        <v>3449.9999999999995</v>
      </c>
      <c r="Y8" s="49"/>
      <c r="Z8" s="53">
        <f t="shared" si="3"/>
        <v>249.99999999999955</v>
      </c>
      <c r="AA8" s="57">
        <v>102592</v>
      </c>
      <c r="AB8" s="44">
        <f t="shared" si="14"/>
        <v>86</v>
      </c>
      <c r="AC8" s="57">
        <v>297.8</v>
      </c>
      <c r="AD8" s="44">
        <f t="shared" si="15"/>
        <v>9.1999999999999886</v>
      </c>
      <c r="AE8" s="60">
        <v>70264</v>
      </c>
      <c r="AF8" s="44">
        <f t="shared" si="16"/>
        <v>43</v>
      </c>
      <c r="AG8" s="63">
        <v>3100</v>
      </c>
      <c r="AH8" s="74">
        <v>0</v>
      </c>
      <c r="AI8" s="53">
        <f t="shared" si="4"/>
        <v>0</v>
      </c>
      <c r="AJ8" s="13">
        <v>175</v>
      </c>
      <c r="AK8" s="23">
        <v>351</v>
      </c>
    </row>
    <row r="9" spans="1:37" x14ac:dyDescent="0.2">
      <c r="A9" s="25">
        <v>45543</v>
      </c>
      <c r="B9" s="10">
        <v>31973388</v>
      </c>
      <c r="C9" s="67">
        <f t="shared" si="5"/>
        <v>7453</v>
      </c>
      <c r="D9" s="11">
        <v>888029</v>
      </c>
      <c r="E9" s="17">
        <f t="shared" si="6"/>
        <v>2203</v>
      </c>
      <c r="F9" s="35">
        <v>110448</v>
      </c>
      <c r="G9" s="100">
        <f t="shared" si="7"/>
        <v>0</v>
      </c>
      <c r="H9" s="104">
        <f t="shared" si="1"/>
        <v>9656</v>
      </c>
      <c r="I9" s="110">
        <f t="shared" si="2"/>
        <v>8230</v>
      </c>
      <c r="J9" s="97">
        <v>4654931.5999999996</v>
      </c>
      <c r="K9" s="44">
        <f t="shared" si="8"/>
        <v>1140</v>
      </c>
      <c r="L9" s="15">
        <v>465536</v>
      </c>
      <c r="M9" s="44">
        <f t="shared" si="9"/>
        <v>71</v>
      </c>
      <c r="N9" s="15">
        <v>122201</v>
      </c>
      <c r="O9" s="44">
        <f t="shared" si="10"/>
        <v>71</v>
      </c>
      <c r="P9" s="97">
        <v>174689</v>
      </c>
      <c r="Q9" s="66">
        <f t="shared" si="11"/>
        <v>144</v>
      </c>
      <c r="R9" s="25">
        <f t="shared" si="12"/>
        <v>45543</v>
      </c>
      <c r="S9" s="42">
        <v>4497</v>
      </c>
      <c r="T9" s="43">
        <v>0</v>
      </c>
      <c r="U9" s="44">
        <f t="shared" si="13"/>
        <v>191</v>
      </c>
      <c r="V9" s="20">
        <v>0.65</v>
      </c>
      <c r="W9" s="51">
        <v>0.63</v>
      </c>
      <c r="X9" s="52">
        <f t="shared" si="0"/>
        <v>3200</v>
      </c>
      <c r="Y9" s="49"/>
      <c r="Z9" s="53">
        <f t="shared" si="3"/>
        <v>200</v>
      </c>
      <c r="AA9" s="57">
        <v>102678</v>
      </c>
      <c r="AB9" s="44">
        <f t="shared" si="14"/>
        <v>92</v>
      </c>
      <c r="AC9" s="57">
        <v>307</v>
      </c>
      <c r="AD9" s="44">
        <f t="shared" si="15"/>
        <v>7.1000000000000227</v>
      </c>
      <c r="AE9" s="60">
        <v>70307</v>
      </c>
      <c r="AF9" s="44">
        <f t="shared" si="16"/>
        <v>22</v>
      </c>
      <c r="AG9" s="63">
        <v>3100</v>
      </c>
      <c r="AH9" s="74">
        <v>0</v>
      </c>
      <c r="AI9" s="53">
        <f t="shared" si="4"/>
        <v>0</v>
      </c>
      <c r="AJ9" s="13">
        <v>145</v>
      </c>
      <c r="AK9" s="23">
        <v>276</v>
      </c>
    </row>
    <row r="10" spans="1:37" x14ac:dyDescent="0.2">
      <c r="A10" s="25">
        <v>45544</v>
      </c>
      <c r="B10" s="10">
        <v>31980841</v>
      </c>
      <c r="C10" s="67"/>
      <c r="D10" s="11">
        <v>890232</v>
      </c>
      <c r="E10" s="17"/>
      <c r="F10" s="35">
        <v>110448</v>
      </c>
      <c r="G10" s="100"/>
      <c r="H10" s="104">
        <f t="shared" si="1"/>
        <v>0</v>
      </c>
      <c r="I10" s="110">
        <f t="shared" si="2"/>
        <v>0</v>
      </c>
      <c r="J10" s="97">
        <v>4656071.5999999996</v>
      </c>
      <c r="K10" s="44"/>
      <c r="L10" s="15">
        <v>465607</v>
      </c>
      <c r="M10" s="44"/>
      <c r="N10" s="15">
        <v>122272</v>
      </c>
      <c r="O10" s="44"/>
      <c r="P10" s="97">
        <v>174833</v>
      </c>
      <c r="Q10" s="66"/>
      <c r="R10" s="25">
        <f t="shared" si="12"/>
        <v>45544</v>
      </c>
      <c r="S10" s="42">
        <v>4306</v>
      </c>
      <c r="T10" s="43">
        <v>0</v>
      </c>
      <c r="U10" s="44"/>
      <c r="V10" s="20">
        <v>0.6</v>
      </c>
      <c r="W10" s="51">
        <v>0.6</v>
      </c>
      <c r="X10" s="52">
        <f t="shared" si="0"/>
        <v>3000</v>
      </c>
      <c r="Y10" s="49">
        <v>1073.42</v>
      </c>
      <c r="Z10" s="53"/>
      <c r="AA10" s="57">
        <v>102770</v>
      </c>
      <c r="AB10" s="44"/>
      <c r="AC10" s="57">
        <v>314.10000000000002</v>
      </c>
      <c r="AD10" s="44"/>
      <c r="AE10" s="60">
        <v>70329</v>
      </c>
      <c r="AF10" s="44"/>
      <c r="AG10" s="63">
        <v>3100</v>
      </c>
      <c r="AH10" s="74">
        <v>0</v>
      </c>
      <c r="AI10" s="53">
        <f t="shared" si="4"/>
        <v>0</v>
      </c>
      <c r="AJ10" s="13"/>
      <c r="AK10" s="23"/>
    </row>
    <row r="11" spans="1:37" x14ac:dyDescent="0.2">
      <c r="A11" s="25">
        <v>45545</v>
      </c>
      <c r="B11" s="10"/>
      <c r="C11" s="17"/>
      <c r="D11" s="11"/>
      <c r="E11" s="17"/>
      <c r="F11" s="35"/>
      <c r="G11" s="100"/>
      <c r="H11" s="104">
        <f t="shared" si="1"/>
        <v>0</v>
      </c>
      <c r="I11" s="110">
        <f t="shared" si="2"/>
        <v>0</v>
      </c>
      <c r="J11" s="97"/>
      <c r="K11" s="44"/>
      <c r="L11" s="15"/>
      <c r="M11" s="44"/>
      <c r="N11" s="15"/>
      <c r="O11" s="44"/>
      <c r="P11" s="97"/>
      <c r="Q11" s="66"/>
      <c r="R11" s="25">
        <f t="shared" si="12"/>
        <v>45545</v>
      </c>
      <c r="S11" s="42"/>
      <c r="T11" s="43">
        <v>0</v>
      </c>
      <c r="U11" s="44"/>
      <c r="V11" s="20"/>
      <c r="W11" s="51"/>
      <c r="X11" s="52">
        <f t="shared" si="0"/>
        <v>0</v>
      </c>
      <c r="Y11" s="49"/>
      <c r="Z11" s="53"/>
      <c r="AA11" s="57"/>
      <c r="AB11" s="44"/>
      <c r="AC11" s="57"/>
      <c r="AD11" s="44"/>
      <c r="AE11" s="60"/>
      <c r="AF11" s="44"/>
      <c r="AG11" s="63">
        <v>3100</v>
      </c>
      <c r="AH11" s="74">
        <v>0</v>
      </c>
      <c r="AI11" s="53">
        <f t="shared" si="4"/>
        <v>0</v>
      </c>
      <c r="AJ11" s="13"/>
      <c r="AK11" s="23"/>
    </row>
    <row r="12" spans="1:37" x14ac:dyDescent="0.2">
      <c r="A12" s="25">
        <v>45546</v>
      </c>
      <c r="B12" s="10"/>
      <c r="C12" s="17"/>
      <c r="D12" s="11"/>
      <c r="E12" s="17"/>
      <c r="F12" s="35"/>
      <c r="G12" s="100"/>
      <c r="H12" s="104">
        <f t="shared" si="1"/>
        <v>0</v>
      </c>
      <c r="I12" s="110">
        <f t="shared" si="2"/>
        <v>0</v>
      </c>
      <c r="J12" s="97"/>
      <c r="K12" s="44"/>
      <c r="L12" s="15"/>
      <c r="M12" s="44"/>
      <c r="N12" s="15"/>
      <c r="O12" s="44"/>
      <c r="P12" s="97"/>
      <c r="Q12" s="66"/>
      <c r="R12" s="25">
        <f t="shared" si="12"/>
        <v>45546</v>
      </c>
      <c r="S12" s="42"/>
      <c r="T12" s="43">
        <v>0</v>
      </c>
      <c r="U12" s="44"/>
      <c r="V12" s="20"/>
      <c r="W12" s="51"/>
      <c r="X12" s="52">
        <f t="shared" si="0"/>
        <v>0</v>
      </c>
      <c r="Y12" s="49"/>
      <c r="Z12" s="53"/>
      <c r="AA12" s="57"/>
      <c r="AB12" s="44"/>
      <c r="AC12" s="57"/>
      <c r="AD12" s="44"/>
      <c r="AE12" s="60"/>
      <c r="AF12" s="44"/>
      <c r="AG12" s="63">
        <v>3100</v>
      </c>
      <c r="AH12" s="74">
        <v>0</v>
      </c>
      <c r="AI12" s="53">
        <f t="shared" si="4"/>
        <v>0</v>
      </c>
      <c r="AJ12" s="13"/>
      <c r="AK12" s="23"/>
    </row>
    <row r="13" spans="1:37" x14ac:dyDescent="0.2">
      <c r="A13" s="25">
        <v>45547</v>
      </c>
      <c r="B13" s="10"/>
      <c r="C13" s="17"/>
      <c r="D13" s="11"/>
      <c r="E13" s="17"/>
      <c r="F13" s="35"/>
      <c r="G13" s="100"/>
      <c r="H13" s="104">
        <f t="shared" si="1"/>
        <v>0</v>
      </c>
      <c r="I13" s="110">
        <f t="shared" si="2"/>
        <v>0</v>
      </c>
      <c r="J13" s="97"/>
      <c r="K13" s="44"/>
      <c r="L13" s="15"/>
      <c r="M13" s="44"/>
      <c r="N13" s="15"/>
      <c r="O13" s="44"/>
      <c r="P13" s="97"/>
      <c r="Q13" s="66"/>
      <c r="R13" s="25">
        <f t="shared" si="12"/>
        <v>45547</v>
      </c>
      <c r="S13" s="42"/>
      <c r="T13" s="43">
        <v>0</v>
      </c>
      <c r="U13" s="44"/>
      <c r="V13" s="20"/>
      <c r="W13" s="51"/>
      <c r="X13" s="52">
        <f t="shared" si="0"/>
        <v>0</v>
      </c>
      <c r="Y13" s="49"/>
      <c r="Z13" s="53"/>
      <c r="AA13" s="57"/>
      <c r="AB13" s="44"/>
      <c r="AC13" s="57"/>
      <c r="AD13" s="44"/>
      <c r="AE13" s="60"/>
      <c r="AF13" s="44"/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2">
      <c r="A14" s="25">
        <v>45548</v>
      </c>
      <c r="B14" s="10"/>
      <c r="C14" s="17"/>
      <c r="D14" s="11"/>
      <c r="E14" s="17"/>
      <c r="F14" s="35"/>
      <c r="G14" s="100"/>
      <c r="H14" s="104">
        <f t="shared" si="1"/>
        <v>0</v>
      </c>
      <c r="I14" s="110">
        <f t="shared" si="2"/>
        <v>0</v>
      </c>
      <c r="J14" s="97"/>
      <c r="K14" s="44"/>
      <c r="L14" s="15"/>
      <c r="M14" s="44"/>
      <c r="N14" s="15"/>
      <c r="O14" s="44"/>
      <c r="P14" s="97"/>
      <c r="Q14" s="66"/>
      <c r="R14" s="25">
        <f t="shared" si="12"/>
        <v>45548</v>
      </c>
      <c r="S14" s="42"/>
      <c r="T14" s="43">
        <v>0</v>
      </c>
      <c r="U14" s="44"/>
      <c r="V14" s="20"/>
      <c r="W14" s="51"/>
      <c r="X14" s="52">
        <f t="shared" si="0"/>
        <v>0</v>
      </c>
      <c r="Y14" s="49"/>
      <c r="Z14" s="53"/>
      <c r="AA14" s="57"/>
      <c r="AB14" s="44"/>
      <c r="AC14" s="57"/>
      <c r="AD14" s="44"/>
      <c r="AE14" s="60"/>
      <c r="AF14" s="44"/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2">
      <c r="A15" s="25">
        <v>45549</v>
      </c>
      <c r="B15" s="10"/>
      <c r="C15" s="17"/>
      <c r="D15" s="11"/>
      <c r="E15" s="17"/>
      <c r="F15" s="35"/>
      <c r="G15" s="100"/>
      <c r="H15" s="104">
        <f t="shared" si="1"/>
        <v>0</v>
      </c>
      <c r="I15" s="110">
        <f t="shared" si="2"/>
        <v>0</v>
      </c>
      <c r="J15" s="97"/>
      <c r="K15" s="44"/>
      <c r="L15" s="15"/>
      <c r="M15" s="44"/>
      <c r="N15" s="15"/>
      <c r="O15" s="44"/>
      <c r="P15" s="97"/>
      <c r="Q15" s="66"/>
      <c r="R15" s="25">
        <f t="shared" si="12"/>
        <v>45549</v>
      </c>
      <c r="S15" s="42"/>
      <c r="T15" s="43">
        <v>0</v>
      </c>
      <c r="U15" s="44"/>
      <c r="V15" s="20"/>
      <c r="W15" s="51"/>
      <c r="X15" s="52">
        <f t="shared" si="0"/>
        <v>0</v>
      </c>
      <c r="Y15" s="49"/>
      <c r="Z15" s="53"/>
      <c r="AA15" s="57"/>
      <c r="AB15" s="44"/>
      <c r="AC15" s="57"/>
      <c r="AD15" s="44"/>
      <c r="AE15" s="60"/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45550</v>
      </c>
      <c r="B16" s="10"/>
      <c r="C16" s="17"/>
      <c r="D16" s="11"/>
      <c r="E16" s="17"/>
      <c r="F16" s="35"/>
      <c r="G16" s="100"/>
      <c r="H16" s="104">
        <f t="shared" si="1"/>
        <v>0</v>
      </c>
      <c r="I16" s="110">
        <f t="shared" si="2"/>
        <v>0</v>
      </c>
      <c r="J16" s="97"/>
      <c r="K16" s="44"/>
      <c r="L16" s="15"/>
      <c r="M16" s="44"/>
      <c r="N16" s="15"/>
      <c r="O16" s="44"/>
      <c r="P16" s="97"/>
      <c r="Q16" s="66"/>
      <c r="R16" s="25">
        <f t="shared" si="12"/>
        <v>45550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45551</v>
      </c>
      <c r="B17" s="10"/>
      <c r="C17" s="17"/>
      <c r="D17" s="11"/>
      <c r="E17" s="17"/>
      <c r="F17" s="35"/>
      <c r="G17" s="100"/>
      <c r="H17" s="104">
        <f t="shared" si="1"/>
        <v>0</v>
      </c>
      <c r="I17" s="110">
        <f t="shared" si="2"/>
        <v>0</v>
      </c>
      <c r="J17" s="97"/>
      <c r="K17" s="44"/>
      <c r="L17" s="15"/>
      <c r="M17" s="44"/>
      <c r="N17" s="15"/>
      <c r="O17" s="44"/>
      <c r="P17" s="97"/>
      <c r="Q17" s="66"/>
      <c r="R17" s="25">
        <f t="shared" si="12"/>
        <v>45551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45552</v>
      </c>
      <c r="B18" s="10"/>
      <c r="C18" s="17"/>
      <c r="D18" s="11"/>
      <c r="E18" s="17"/>
      <c r="F18" s="35"/>
      <c r="G18" s="100"/>
      <c r="H18" s="104">
        <f t="shared" si="1"/>
        <v>0</v>
      </c>
      <c r="I18" s="110">
        <f t="shared" si="2"/>
        <v>0</v>
      </c>
      <c r="J18" s="97"/>
      <c r="K18" s="44"/>
      <c r="L18" s="15"/>
      <c r="M18" s="44"/>
      <c r="N18" s="15"/>
      <c r="O18" s="44"/>
      <c r="P18" s="97"/>
      <c r="Q18" s="66"/>
      <c r="R18" s="25">
        <f t="shared" si="12"/>
        <v>45552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45553</v>
      </c>
      <c r="B19" s="10"/>
      <c r="C19" s="17"/>
      <c r="D19" s="11"/>
      <c r="E19" s="17"/>
      <c r="F19" s="35"/>
      <c r="G19" s="100"/>
      <c r="H19" s="104">
        <f t="shared" si="1"/>
        <v>0</v>
      </c>
      <c r="I19" s="110">
        <f t="shared" si="2"/>
        <v>0</v>
      </c>
      <c r="J19" s="97"/>
      <c r="K19" s="44"/>
      <c r="L19" s="15"/>
      <c r="M19" s="44"/>
      <c r="N19" s="15"/>
      <c r="O19" s="44"/>
      <c r="P19" s="97"/>
      <c r="Q19" s="66"/>
      <c r="R19" s="25">
        <f t="shared" si="12"/>
        <v>45553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45554</v>
      </c>
      <c r="B20" s="10"/>
      <c r="C20" s="17"/>
      <c r="D20" s="11"/>
      <c r="E20" s="17"/>
      <c r="F20" s="35"/>
      <c r="G20" s="100"/>
      <c r="H20" s="104">
        <f t="shared" si="1"/>
        <v>0</v>
      </c>
      <c r="I20" s="110">
        <f t="shared" si="2"/>
        <v>0</v>
      </c>
      <c r="J20" s="97"/>
      <c r="K20" s="44"/>
      <c r="L20" s="15"/>
      <c r="M20" s="44"/>
      <c r="N20" s="15"/>
      <c r="O20" s="44"/>
      <c r="P20" s="97"/>
      <c r="Q20" s="66"/>
      <c r="R20" s="25">
        <f t="shared" si="12"/>
        <v>45554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45555</v>
      </c>
      <c r="B21" s="10"/>
      <c r="C21" s="17"/>
      <c r="D21" s="11"/>
      <c r="E21" s="17"/>
      <c r="F21" s="35"/>
      <c r="G21" s="100"/>
      <c r="H21" s="104">
        <f t="shared" si="1"/>
        <v>0</v>
      </c>
      <c r="I21" s="110">
        <f t="shared" si="2"/>
        <v>0</v>
      </c>
      <c r="J21" s="97"/>
      <c r="K21" s="44"/>
      <c r="L21" s="15"/>
      <c r="M21" s="44"/>
      <c r="N21" s="15"/>
      <c r="O21" s="44"/>
      <c r="P21" s="97"/>
      <c r="Q21" s="66"/>
      <c r="R21" s="25">
        <f t="shared" si="12"/>
        <v>45555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45556</v>
      </c>
      <c r="B22" s="10"/>
      <c r="C22" s="17"/>
      <c r="D22" s="11"/>
      <c r="E22" s="17"/>
      <c r="F22" s="35"/>
      <c r="G22" s="100"/>
      <c r="H22" s="104">
        <f t="shared" si="1"/>
        <v>0</v>
      </c>
      <c r="I22" s="110">
        <f t="shared" si="2"/>
        <v>0</v>
      </c>
      <c r="J22" s="97"/>
      <c r="K22" s="44"/>
      <c r="L22" s="15"/>
      <c r="M22" s="44"/>
      <c r="N22" s="15"/>
      <c r="O22" s="44"/>
      <c r="P22" s="97"/>
      <c r="Q22" s="66"/>
      <c r="R22" s="25">
        <f t="shared" si="12"/>
        <v>45556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45557</v>
      </c>
      <c r="B23" s="10"/>
      <c r="C23" s="1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45557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45558</v>
      </c>
      <c r="B24" s="10"/>
      <c r="C24" s="1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45558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45559</v>
      </c>
      <c r="B25" s="10"/>
      <c r="C25" s="1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45559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45560</v>
      </c>
      <c r="B26" s="10"/>
      <c r="C26" s="1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45560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45561</v>
      </c>
      <c r="B27" s="10"/>
      <c r="C27" s="1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45561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45562</v>
      </c>
      <c r="B28" s="10"/>
      <c r="C28" s="1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45562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45563</v>
      </c>
      <c r="B29" s="10"/>
      <c r="C29" s="1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45563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45564</v>
      </c>
      <c r="B30" s="10"/>
      <c r="C30" s="1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45564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45565</v>
      </c>
      <c r="B31" s="10"/>
      <c r="C31" s="1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45565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45566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45566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45567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45567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50790</v>
      </c>
      <c r="D34" s="117"/>
      <c r="E34" s="116">
        <f>SUM(E2:E33)</f>
        <v>17550</v>
      </c>
      <c r="F34" s="118"/>
      <c r="G34" s="116">
        <f>SUM(G2:G33)</f>
        <v>0</v>
      </c>
      <c r="H34" s="117">
        <f>SUM(H2:H33)</f>
        <v>68340</v>
      </c>
      <c r="I34" s="116">
        <f>SUM(I2:I32)</f>
        <v>57819.400000000198</v>
      </c>
      <c r="J34" s="118"/>
      <c r="K34" s="116">
        <f>SUM(K2:K33)</f>
        <v>8232.7999999998137</v>
      </c>
      <c r="L34" s="118"/>
      <c r="M34" s="116">
        <f>SUM(M2:M33)</f>
        <v>568</v>
      </c>
      <c r="N34" s="118"/>
      <c r="O34" s="116">
        <f>SUM(O2:O33)</f>
        <v>567.5</v>
      </c>
      <c r="P34" s="118"/>
      <c r="Q34" s="116">
        <f>SUM(Q2:Q33)</f>
        <v>1152.2999999999884</v>
      </c>
      <c r="R34" s="115"/>
      <c r="S34" s="117"/>
      <c r="T34" s="117"/>
      <c r="U34" s="116">
        <f>SUM(U2:U33)</f>
        <v>694</v>
      </c>
      <c r="V34" s="115"/>
      <c r="W34" s="115"/>
      <c r="X34" s="115"/>
      <c r="Y34" s="117">
        <f>SUM(Y2:Y33)</f>
        <v>2207.13</v>
      </c>
      <c r="Z34" s="116">
        <f>SUM(Z2:Z33)</f>
        <v>1283.71</v>
      </c>
      <c r="AA34" s="115"/>
      <c r="AB34" s="116">
        <f>SUM(AB2:AB33)</f>
        <v>642</v>
      </c>
      <c r="AC34" s="118"/>
      <c r="AD34" s="116">
        <f>SUM(AD2:AD33)</f>
        <v>76.500000000000028</v>
      </c>
      <c r="AE34" s="115"/>
      <c r="AF34" s="116">
        <f>SUM(AF2:AF33)</f>
        <v>364</v>
      </c>
      <c r="AG34" s="115"/>
      <c r="AH34" s="115">
        <f>SUM(AH2:AH33)</f>
        <v>0</v>
      </c>
      <c r="AI34" s="116">
        <f>SUM(AI2:AI33)</f>
        <v>0</v>
      </c>
      <c r="AJ34" s="119">
        <f>SUM(AJ2:AJ33)</f>
        <v>1037</v>
      </c>
      <c r="AK34" s="120">
        <f>SUM(AK2:AK32)</f>
        <v>2073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2024-09-09T13:14:39Z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