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13830" yWindow="330" windowWidth="14325" windowHeight="11805" tabRatio="578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H22" i="3"/>
  <c r="D23" i="2"/>
  <c r="D24" s="1"/>
  <c r="D26" s="1"/>
  <c r="D27" s="1"/>
  <c r="D28" s="1"/>
  <c r="D29" s="1"/>
  <c r="D30" s="1"/>
  <c r="D31" s="1"/>
  <c r="D32" s="1"/>
  <c r="D33" s="1"/>
  <c r="D34" s="1"/>
  <c r="H7" i="3" l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3" s="1"/>
  <c r="H24" s="1"/>
  <c r="H25" s="1"/>
  <c r="H26" s="1"/>
  <c r="H27" s="1"/>
  <c r="H28" s="1"/>
  <c r="H29" s="1"/>
  <c r="H30" s="1"/>
  <c r="H31" s="1"/>
  <c r="H32" s="1"/>
  <c r="H33" s="1"/>
  <c r="H6"/>
  <c r="B2"/>
  <c r="B3" s="1"/>
  <c r="B4" s="1"/>
  <c r="C5" s="1"/>
  <c r="B9"/>
  <c r="B15"/>
  <c r="B16" s="1"/>
  <c r="B22" s="1"/>
  <c r="B23" s="1"/>
  <c r="B25" s="1"/>
  <c r="B26" s="1"/>
  <c r="B27" s="1"/>
  <c r="B28" s="1"/>
  <c r="B29" s="1"/>
  <c r="B30" s="1"/>
  <c r="B31" s="1"/>
  <c r="B32" s="1"/>
  <c r="B33" s="1"/>
  <c r="Q7" i="2"/>
  <c r="M7"/>
  <c r="K7"/>
  <c r="I7"/>
  <c r="G7"/>
  <c r="E7"/>
  <c r="N7" l="1"/>
  <c r="AR5" i="7"/>
  <c r="AS5"/>
  <c r="AT5"/>
  <c r="AU5"/>
  <c r="AV5"/>
  <c r="AW5"/>
  <c r="AX5"/>
  <c r="AY5"/>
  <c r="AZ5"/>
  <c r="BA5"/>
  <c r="BB5"/>
  <c r="BC5"/>
  <c r="BD5"/>
  <c r="BE5"/>
  <c r="BF5"/>
  <c r="BG5"/>
  <c r="BH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A2"/>
  <c r="AT5" i="5"/>
  <c r="AU5"/>
  <c r="AV5"/>
  <c r="AW5"/>
  <c r="AX5"/>
  <c r="AY5"/>
  <c r="AZ5"/>
  <c r="BA5"/>
  <c r="BB5"/>
  <c r="BC5"/>
  <c r="BD5"/>
  <c r="BE5"/>
  <c r="BF5"/>
  <c r="BG5"/>
  <c r="AS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E3" i="2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D3"/>
  <c r="C20" i="77"/>
  <c r="C18"/>
  <c r="C17"/>
  <c r="C16"/>
  <c r="C15"/>
  <c r="C14"/>
  <c r="C3" i="2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N1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C5" i="79"/>
  <c r="D5"/>
  <c r="E5"/>
  <c r="F5"/>
  <c r="G5"/>
  <c r="H5"/>
  <c r="H6" s="1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5"/>
  <c r="A5"/>
  <c r="X15" i="76"/>
  <c r="Y15"/>
  <c r="W13"/>
  <c r="W15"/>
  <c r="AA12"/>
  <c r="AB12"/>
  <c r="AB13"/>
  <c r="AB14"/>
  <c r="AB15"/>
  <c r="AB16"/>
  <c r="AB17"/>
  <c r="AB18"/>
  <c r="AB19"/>
  <c r="AC12"/>
  <c r="AC13"/>
  <c r="AC14"/>
  <c r="AC15"/>
  <c r="AC16"/>
  <c r="AC17"/>
  <c r="AC18"/>
  <c r="AC19"/>
  <c r="V10"/>
  <c r="W10"/>
  <c r="X10"/>
  <c r="Y10"/>
  <c r="Z10"/>
  <c r="AA10"/>
  <c r="AB10"/>
  <c r="AC10"/>
  <c r="AD10"/>
  <c r="AE10"/>
  <c r="AF10"/>
  <c r="V11"/>
  <c r="W11"/>
  <c r="X11"/>
  <c r="Y11"/>
  <c r="Z11"/>
  <c r="AA11"/>
  <c r="AB11"/>
  <c r="AC11"/>
  <c r="AD11"/>
  <c r="AE11"/>
  <c r="AF11"/>
  <c r="W9"/>
  <c r="X9"/>
  <c r="Y9"/>
  <c r="Z9"/>
  <c r="AA9"/>
  <c r="AB9"/>
  <c r="AC9"/>
  <c r="AD9"/>
  <c r="AE9"/>
  <c r="AF9"/>
  <c r="V9"/>
  <c r="W4"/>
  <c r="C3"/>
  <c r="D3"/>
  <c r="E3"/>
  <c r="F3"/>
  <c r="G3"/>
  <c r="H3"/>
  <c r="I3"/>
  <c r="J3"/>
  <c r="K3"/>
  <c r="L3"/>
  <c r="M3"/>
  <c r="N3"/>
  <c r="O3"/>
  <c r="P3"/>
  <c r="Q3"/>
  <c r="R3"/>
  <c r="S3"/>
  <c r="T3"/>
  <c r="B3"/>
  <c r="A3"/>
  <c r="BI5" i="7" l="1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AA16" i="76" l="1"/>
  <c r="AA17"/>
  <c r="AA18"/>
  <c r="AA19"/>
  <c r="V27"/>
  <c r="V28"/>
  <c r="V26"/>
  <c r="F4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6" s="1"/>
  <c r="H8" s="1"/>
  <c r="H9" s="1"/>
  <c r="H10" s="1"/>
  <c r="H16" s="1"/>
  <c r="H17" s="1"/>
  <c r="H20" s="1"/>
  <c r="H21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6" s="1"/>
  <c r="J7" s="1"/>
  <c r="J8" s="1"/>
  <c r="J10" s="1"/>
  <c r="B4"/>
  <c r="B5" s="1"/>
  <c r="B6" s="1"/>
  <c r="AT37" i="7"/>
  <c r="AJ31" i="3"/>
  <c r="AJ32"/>
  <c r="AJ33"/>
  <c r="J3"/>
  <c r="J4" s="1"/>
  <c r="J7" s="1"/>
  <c r="J8" s="1"/>
  <c r="J9" s="1"/>
  <c r="J10" s="1"/>
  <c r="J11" s="1"/>
  <c r="J12" s="1"/>
  <c r="J14" s="1"/>
  <c r="J15" s="1"/>
  <c r="J16" s="1"/>
  <c r="J17" s="1"/>
  <c r="J18" s="1"/>
  <c r="J19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R3"/>
  <c r="R4" s="1"/>
  <c r="R9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5" s="1"/>
  <c r="R26" s="1"/>
  <c r="R27" s="1"/>
  <c r="R28" s="1"/>
  <c r="R29" s="1"/>
  <c r="R30" s="1"/>
  <c r="R31" s="1"/>
  <c r="R32" s="1"/>
  <c r="R33" s="1"/>
  <c r="AT6" i="5"/>
  <c r="AT7" s="1"/>
  <c r="AT8" s="1"/>
  <c r="AT11" s="1"/>
  <c r="AT12" s="1"/>
  <c r="AT13" s="1"/>
  <c r="AT17" s="1"/>
  <c r="AT18" s="1"/>
  <c r="AT19" s="1"/>
  <c r="AT21" s="1"/>
  <c r="AT25" s="1"/>
  <c r="AT26" s="1"/>
  <c r="AT28" s="1"/>
  <c r="AT29" s="1"/>
  <c r="AT30" s="1"/>
  <c r="AT31" s="1"/>
  <c r="AT32" s="1"/>
  <c r="AT33" s="1"/>
  <c r="AT34" s="1"/>
  <c r="AT35" s="1"/>
  <c r="AT36" s="1"/>
  <c r="AV6"/>
  <c r="AV7" s="1"/>
  <c r="AV8" s="1"/>
  <c r="AV11" s="1"/>
  <c r="AV12" s="1"/>
  <c r="AV18" s="1"/>
  <c r="AV19" s="1"/>
  <c r="AV25" s="1"/>
  <c r="AV26" s="1"/>
  <c r="AV28" s="1"/>
  <c r="AV29" s="1"/>
  <c r="AV30" s="1"/>
  <c r="AV31" s="1"/>
  <c r="AV32" s="1"/>
  <c r="AV33" s="1"/>
  <c r="AV34" s="1"/>
  <c r="AV35" s="1"/>
  <c r="AV36" s="1"/>
  <c r="AX6"/>
  <c r="AX7" s="1"/>
  <c r="AX8" s="1"/>
  <c r="AX11" s="1"/>
  <c r="AX12" s="1"/>
  <c r="AX18" s="1"/>
  <c r="AX19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G6"/>
  <c r="G7" s="1"/>
  <c r="G8" s="1"/>
  <c r="G9" s="1"/>
  <c r="G11" s="1"/>
  <c r="G12" s="1"/>
  <c r="G13" s="1"/>
  <c r="G14" s="1"/>
  <c r="G17" s="1"/>
  <c r="G18" s="1"/>
  <c r="G19" s="1"/>
  <c r="G22" s="1"/>
  <c r="G23" s="1"/>
  <c r="G24" s="1"/>
  <c r="G25" s="1"/>
  <c r="G26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5" i="1"/>
  <c r="C6" s="1"/>
  <c r="C10" s="1"/>
  <c r="C11" s="1"/>
  <c r="C17" s="1"/>
  <c r="C18" s="1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9" s="1"/>
  <c r="K10" s="1"/>
  <c r="K11" s="1"/>
  <c r="K17" s="1"/>
  <c r="K18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10" s="1"/>
  <c r="M11" s="1"/>
  <c r="M17" s="1"/>
  <c r="M18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9" s="1"/>
  <c r="P10" s="1"/>
  <c r="P11" s="1"/>
  <c r="P12" s="1"/>
  <c r="P13" s="1"/>
  <c r="P14" s="1"/>
  <c r="P15" s="1"/>
  <c r="P16" s="1"/>
  <c r="P17" s="1"/>
  <c r="P18" s="1"/>
  <c r="P24" s="1"/>
  <c r="P25" s="1"/>
  <c r="P27" s="1"/>
  <c r="P28" s="1"/>
  <c r="P29" s="1"/>
  <c r="P30" s="1"/>
  <c r="P31" s="1"/>
  <c r="P32" s="1"/>
  <c r="P33" s="1"/>
  <c r="P34" s="1"/>
  <c r="P35" s="1"/>
  <c r="Q5"/>
  <c r="Q6" s="1"/>
  <c r="Q7" s="1"/>
  <c r="Q9" s="1"/>
  <c r="Q10" s="1"/>
  <c r="Q11" s="1"/>
  <c r="Q12" s="1"/>
  <c r="Q13" s="1"/>
  <c r="Q14" s="1"/>
  <c r="Q16" s="1"/>
  <c r="Q17" s="1"/>
  <c r="Q18" s="1"/>
  <c r="Q24" s="1"/>
  <c r="Q25" s="1"/>
  <c r="Q27" s="1"/>
  <c r="Q28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5"/>
  <c r="B6" s="1"/>
  <c r="B10" s="1"/>
  <c r="B11" s="1"/>
  <c r="B17" s="1"/>
  <c r="B18" s="1"/>
  <c r="B24" s="1"/>
  <c r="B27" s="1"/>
  <c r="B28" s="1"/>
  <c r="B29" s="1"/>
  <c r="B30" s="1"/>
  <c r="B31" s="1"/>
  <c r="B32" s="1"/>
  <c r="B33" s="1"/>
  <c r="B34" s="1"/>
  <c r="B35" s="1"/>
  <c r="F4" i="2"/>
  <c r="F5" s="1"/>
  <c r="H4"/>
  <c r="H5" s="1"/>
  <c r="J4"/>
  <c r="J5" s="1"/>
  <c r="L4"/>
  <c r="L5" s="1"/>
  <c r="P4"/>
  <c r="P5" s="1"/>
  <c r="D4"/>
  <c r="D5" s="1"/>
  <c r="B8" i="76" l="1"/>
  <c r="B9" s="1"/>
  <c r="B10" s="1"/>
  <c r="C7"/>
  <c r="J16"/>
  <c r="J17" s="1"/>
  <c r="J20" s="1"/>
  <c r="J21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D9" i="2"/>
  <c r="D10" s="1"/>
  <c r="D16" s="1"/>
  <c r="D17" s="1"/>
  <c r="E6"/>
  <c r="P9"/>
  <c r="P10" s="1"/>
  <c r="P16" s="1"/>
  <c r="P17" s="1"/>
  <c r="P23" s="1"/>
  <c r="P24" s="1"/>
  <c r="P26" s="1"/>
  <c r="P27" s="1"/>
  <c r="P28" s="1"/>
  <c r="P29" s="1"/>
  <c r="P30" s="1"/>
  <c r="P31" s="1"/>
  <c r="P32" s="1"/>
  <c r="P33" s="1"/>
  <c r="P34" s="1"/>
  <c r="Q6"/>
  <c r="J9"/>
  <c r="J10" s="1"/>
  <c r="J16" s="1"/>
  <c r="J17" s="1"/>
  <c r="J23" s="1"/>
  <c r="J24" s="1"/>
  <c r="J26" s="1"/>
  <c r="J27" s="1"/>
  <c r="J28" s="1"/>
  <c r="J29" s="1"/>
  <c r="J30" s="1"/>
  <c r="J31" s="1"/>
  <c r="J32" s="1"/>
  <c r="J33" s="1"/>
  <c r="J34" s="1"/>
  <c r="K6"/>
  <c r="H9"/>
  <c r="H10" s="1"/>
  <c r="H16" s="1"/>
  <c r="H17" s="1"/>
  <c r="H23" s="1"/>
  <c r="H24" s="1"/>
  <c r="H26" s="1"/>
  <c r="H27" s="1"/>
  <c r="H28" s="1"/>
  <c r="H29" s="1"/>
  <c r="H30" s="1"/>
  <c r="H31" s="1"/>
  <c r="H32" s="1"/>
  <c r="H33" s="1"/>
  <c r="H34" s="1"/>
  <c r="I6"/>
  <c r="L9"/>
  <c r="L10" s="1"/>
  <c r="L16" s="1"/>
  <c r="L17" s="1"/>
  <c r="L23" s="1"/>
  <c r="L24" s="1"/>
  <c r="L26" s="1"/>
  <c r="L27" s="1"/>
  <c r="L28" s="1"/>
  <c r="L29" s="1"/>
  <c r="L30" s="1"/>
  <c r="L31" s="1"/>
  <c r="L32" s="1"/>
  <c r="L33" s="1"/>
  <c r="L34" s="1"/>
  <c r="M6"/>
  <c r="F9"/>
  <c r="F10" s="1"/>
  <c r="F16" s="1"/>
  <c r="F17" s="1"/>
  <c r="F23" s="1"/>
  <c r="F24" s="1"/>
  <c r="F26" s="1"/>
  <c r="F27" s="1"/>
  <c r="F28" s="1"/>
  <c r="F29" s="1"/>
  <c r="F30" s="1"/>
  <c r="F31" s="1"/>
  <c r="F32" s="1"/>
  <c r="F33" s="1"/>
  <c r="F34" s="1"/>
  <c r="G6"/>
  <c r="C24" i="1"/>
  <c r="C27" s="1"/>
  <c r="C28" s="1"/>
  <c r="C29" s="1"/>
  <c r="C30" s="1"/>
  <c r="C31" s="1"/>
  <c r="C32" s="1"/>
  <c r="C33" s="1"/>
  <c r="C34" s="1"/>
  <c r="C35" s="1"/>
  <c r="K6" i="5"/>
  <c r="B16" i="76" l="1"/>
  <c r="B17" s="1"/>
  <c r="B20" s="1"/>
  <c r="B21" s="1"/>
  <c r="B23" s="1"/>
  <c r="B24" s="1"/>
  <c r="B25" s="1"/>
  <c r="B26" s="1"/>
  <c r="B27" s="1"/>
  <c r="B28" s="1"/>
  <c r="B29" s="1"/>
  <c r="B30" s="1"/>
  <c r="B31" s="1"/>
  <c r="B32" s="1"/>
  <c r="B33" s="1"/>
  <c r="B34" s="1"/>
  <c r="C11"/>
  <c r="N6" i="2"/>
  <c r="D23" i="1"/>
  <c r="K25" i="3"/>
  <c r="X3" l="1"/>
  <c r="X4" l="1"/>
  <c r="X5" s="1"/>
  <c r="X6" l="1"/>
  <c r="X7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Y7" i="3" l="1"/>
  <c r="X8"/>
  <c r="X9" s="1"/>
  <c r="Y9" s="1"/>
  <c r="L32" i="82"/>
  <c r="O32" i="81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BA36" i="5"/>
  <c r="BA34"/>
  <c r="Y34"/>
  <c r="H34"/>
  <c r="H36"/>
  <c r="N33" i="1"/>
  <c r="L33"/>
  <c r="I33"/>
  <c r="G33"/>
  <c r="J33" s="1"/>
  <c r="Z34" i="7"/>
  <c r="X10" i="3" l="1"/>
  <c r="X11" s="1"/>
  <c r="AI31"/>
  <c r="C33" i="76"/>
  <c r="S33" i="3"/>
  <c r="U33" s="1"/>
  <c r="K7" i="5"/>
  <c r="AB34" i="7"/>
  <c r="B36"/>
  <c r="B35"/>
  <c r="D34"/>
  <c r="Q34" i="2"/>
  <c r="AD33" i="3" s="1"/>
  <c r="Q33" i="2"/>
  <c r="AD32" i="3" s="1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/>
  <c r="I33" i="76"/>
  <c r="M33" s="1"/>
  <c r="D32"/>
  <c r="E32" s="1"/>
  <c r="K33"/>
  <c r="N33" s="1"/>
  <c r="G34"/>
  <c r="G33"/>
  <c r="BA35" i="5"/>
  <c r="BD35" s="1"/>
  <c r="Y36"/>
  <c r="J32" i="82" s="1"/>
  <c r="Y35" i="5"/>
  <c r="J30" i="82"/>
  <c r="H35" i="5"/>
  <c r="N35" i="1"/>
  <c r="N34"/>
  <c r="L34"/>
  <c r="L35"/>
  <c r="I35"/>
  <c r="I34"/>
  <c r="G35"/>
  <c r="G34"/>
  <c r="D33"/>
  <c r="E33" s="1"/>
  <c r="Y10" i="3" l="1"/>
  <c r="X12"/>
  <c r="Y11"/>
  <c r="AI33"/>
  <c r="AI32"/>
  <c r="BD36" i="5"/>
  <c r="S32" i="3"/>
  <c r="U32" s="1"/>
  <c r="I34" i="76"/>
  <c r="M34" s="1"/>
  <c r="M35" s="1"/>
  <c r="W27"/>
  <c r="K34"/>
  <c r="N34" s="1"/>
  <c r="N35" s="1"/>
  <c r="I34" i="79"/>
  <c r="K34" i="5"/>
  <c r="AD34" i="7"/>
  <c r="D34" i="1"/>
  <c r="E34" s="1"/>
  <c r="Z35" i="7"/>
  <c r="D36"/>
  <c r="F34"/>
  <c r="D35"/>
  <c r="H31" i="82"/>
  <c r="N33" i="2"/>
  <c r="N34"/>
  <c r="E32" i="81" s="1"/>
  <c r="E30"/>
  <c r="S32" i="76"/>
  <c r="R32" i="2"/>
  <c r="L34" i="76"/>
  <c r="D33"/>
  <c r="E33" s="1"/>
  <c r="L33"/>
  <c r="J31" i="82"/>
  <c r="J35" i="1"/>
  <c r="J34"/>
  <c r="Z36" i="7"/>
  <c r="X13" i="3" l="1"/>
  <c r="Y12"/>
  <c r="D35" i="1"/>
  <c r="E35" s="1"/>
  <c r="D34" i="76"/>
  <c r="E34" s="1"/>
  <c r="I35" i="79"/>
  <c r="K35" i="5"/>
  <c r="L35" s="1"/>
  <c r="AK35" s="1"/>
  <c r="AB35" i="7"/>
  <c r="AB36"/>
  <c r="AF34"/>
  <c r="F36"/>
  <c r="H34"/>
  <c r="F35"/>
  <c r="S34" i="76"/>
  <c r="T34" s="1"/>
  <c r="F32" i="81" s="1"/>
  <c r="R34" i="2"/>
  <c r="E31" i="81"/>
  <c r="R33" i="2"/>
  <c r="S33" i="76"/>
  <c r="T33" s="1"/>
  <c r="F31" i="81" s="1"/>
  <c r="L35" i="76"/>
  <c r="X14" i="3" l="1"/>
  <c r="Y13"/>
  <c r="K36" i="5"/>
  <c r="L36" s="1"/>
  <c r="AK36" s="1"/>
  <c r="I36" i="79"/>
  <c r="AH34" i="7"/>
  <c r="AD35"/>
  <c r="AD36"/>
  <c r="H36"/>
  <c r="J34"/>
  <c r="H35"/>
  <c r="X15" i="3" l="1"/>
  <c r="Y14"/>
  <c r="AF36" i="7"/>
  <c r="AJ34"/>
  <c r="AF35"/>
  <c r="J36"/>
  <c r="L34"/>
  <c r="J35"/>
  <c r="X16" i="3" l="1"/>
  <c r="Y15"/>
  <c r="AL34" i="7"/>
  <c r="AH35"/>
  <c r="AH36"/>
  <c r="L36"/>
  <c r="N34"/>
  <c r="L35"/>
  <c r="X17" i="3" l="1"/>
  <c r="Y16"/>
  <c r="AJ36" i="7"/>
  <c r="AJ35"/>
  <c r="N36"/>
  <c r="P34"/>
  <c r="N35"/>
  <c r="X18" i="3" l="1"/>
  <c r="Y17"/>
  <c r="AL36" i="7"/>
  <c r="AL35"/>
  <c r="P36"/>
  <c r="R34"/>
  <c r="P35"/>
  <c r="X19" i="3" l="1"/>
  <c r="Y18"/>
  <c r="R36" i="7"/>
  <c r="T34"/>
  <c r="R35"/>
  <c r="X20" i="3" l="1"/>
  <c r="Y19"/>
  <c r="T36" i="7"/>
  <c r="V34"/>
  <c r="T35"/>
  <c r="Y20" i="3" l="1"/>
  <c r="X21"/>
  <c r="V36" i="7"/>
  <c r="V35"/>
  <c r="X22" i="3" l="1"/>
  <c r="Y21"/>
  <c r="Y29" i="5"/>
  <c r="Y30"/>
  <c r="X23" i="3" l="1"/>
  <c r="Y22"/>
  <c r="Y31" i="5"/>
  <c r="X24" i="3" l="1"/>
  <c r="Y23"/>
  <c r="Y33" i="5"/>
  <c r="Y32"/>
  <c r="X25" i="3" l="1"/>
  <c r="Y24"/>
  <c r="I24" i="2"/>
  <c r="Y25" i="3" l="1"/>
  <c r="X26"/>
  <c r="Y26" s="1"/>
  <c r="E22" i="2"/>
  <c r="G22"/>
  <c r="I22"/>
  <c r="K22"/>
  <c r="M22"/>
  <c r="Q22"/>
  <c r="X27" i="3" l="1"/>
  <c r="X28" s="1"/>
  <c r="N22" i="2"/>
  <c r="R22" s="1"/>
  <c r="Y27" i="3" l="1"/>
  <c r="X29"/>
  <c r="Y28"/>
  <c r="C6"/>
  <c r="Y29" l="1"/>
  <c r="X30"/>
  <c r="Y30" s="1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X31" i="3" l="1"/>
  <c r="X32" s="1"/>
  <c r="R21" i="1"/>
  <c r="S33"/>
  <c r="Q9" i="2"/>
  <c r="C10" i="74"/>
  <c r="Y31" i="3" l="1"/>
  <c r="X33"/>
  <c r="Y33" s="1"/>
  <c r="Y32"/>
  <c r="R33" i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AF34" i="3" l="1"/>
  <c r="F37" i="5"/>
  <c r="AT38" i="7" l="1"/>
  <c r="X5" i="1" l="1"/>
  <c r="X6" s="1"/>
  <c r="X7" s="1"/>
  <c r="X8" s="1"/>
  <c r="X9" s="1"/>
  <c r="X10" s="1"/>
  <c r="X11" s="1"/>
  <c r="X13" s="1"/>
  <c r="X14" s="1"/>
  <c r="X15" s="1"/>
  <c r="X17" s="1"/>
  <c r="X18" s="1"/>
  <c r="X19" s="1"/>
  <c r="X20" s="1"/>
  <c r="X21" s="1"/>
  <c r="X23" s="1"/>
  <c r="Z5"/>
  <c r="Z6" s="1"/>
  <c r="Z7" s="1"/>
  <c r="Z8" s="1"/>
  <c r="Z9" s="1"/>
  <c r="Z10" s="1"/>
  <c r="Z11" s="1"/>
  <c r="Z13" s="1"/>
  <c r="Z14" s="1"/>
  <c r="Z15" s="1"/>
  <c r="Z17" s="1"/>
  <c r="Z18" s="1"/>
  <c r="Z19" s="1"/>
  <c r="Z20" s="1"/>
  <c r="Z21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24" l="1"/>
  <c r="X25" s="1"/>
  <c r="X26" s="1"/>
  <c r="X27" s="1"/>
  <c r="X28" s="1"/>
  <c r="X29" s="1"/>
  <c r="X30" s="1"/>
  <c r="X31" s="1"/>
  <c r="X32" s="1"/>
  <c r="X33" s="1"/>
  <c r="X34" s="1"/>
  <c r="X35" s="1"/>
  <c r="Y23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D30"/>
  <c r="E30" s="1"/>
  <c r="D25" i="73"/>
  <c r="D26"/>
  <c r="D27"/>
  <c r="D28"/>
  <c r="D29"/>
  <c r="D30"/>
  <c r="J30" i="1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S26" i="3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B16" i="7" l="1"/>
  <c r="B17" l="1"/>
  <c r="B18" l="1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K31" l="1"/>
  <c r="N31" s="1"/>
  <c r="S25" i="3"/>
  <c r="U25" s="1"/>
  <c r="I31" i="76"/>
  <c r="M31" s="1"/>
  <c r="L31"/>
  <c r="D31" i="7"/>
  <c r="D31" i="76" l="1"/>
  <c r="E31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N32" i="7"/>
  <c r="L33"/>
  <c r="P31"/>
  <c r="I22" i="76"/>
  <c r="G22"/>
  <c r="C22"/>
  <c r="BA24" i="5"/>
  <c r="H24"/>
  <c r="N23" i="1"/>
  <c r="L23"/>
  <c r="I23"/>
  <c r="G23"/>
  <c r="R31" i="7" l="1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G4" i="82"/>
  <c r="I4"/>
  <c r="H2"/>
  <c r="L5" i="79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Z8" i="7"/>
  <c r="F4" i="82"/>
  <c r="G5"/>
  <c r="G6" i="1"/>
  <c r="I6"/>
  <c r="G7"/>
  <c r="K8" i="76"/>
  <c r="N8" s="1"/>
  <c r="I8"/>
  <c r="G8"/>
  <c r="Y10" i="5"/>
  <c r="R9" i="1"/>
  <c r="S8"/>
  <c r="Z9" i="7"/>
  <c r="AB9" s="1"/>
  <c r="D8" i="1"/>
  <c r="E8" s="1"/>
  <c r="E5" i="82"/>
  <c r="F5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D7" i="76" l="1"/>
  <c r="D11"/>
  <c r="E11" s="1"/>
  <c r="A35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L12"/>
  <c r="D12"/>
  <c r="E12" s="1"/>
  <c r="L7"/>
  <c r="E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BD1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B15"/>
  <c r="E15" s="1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Y17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Y18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29" i="79"/>
  <c r="O30"/>
  <c r="AJ7" i="7"/>
  <c r="AK7" s="1"/>
  <c r="C9" i="3"/>
  <c r="AZ14" i="5"/>
  <c r="BC14" s="1"/>
  <c r="AU15"/>
  <c r="AU16" s="1"/>
  <c r="AU17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Y19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0" i="3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Y20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C11" i="3" l="1"/>
  <c r="I18" i="82"/>
  <c r="AL19" i="1"/>
  <c r="D20" i="75" s="1"/>
  <c r="E20" s="1"/>
  <c r="D11"/>
  <c r="E11" s="1"/>
  <c r="D17" i="65"/>
  <c r="U19" i="3"/>
  <c r="T20" i="1"/>
  <c r="J16" i="82"/>
  <c r="S16" i="76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Y21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3" l="1"/>
  <c r="E17" i="82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Y22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C13" i="3" l="1"/>
  <c r="D19" i="65"/>
  <c r="T22" i="1"/>
  <c r="J18" i="82"/>
  <c r="D13" i="75"/>
  <c r="E13" s="1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C14" i="3" l="1"/>
  <c r="E19" i="82"/>
  <c r="I21"/>
  <c r="D20" i="65"/>
  <c r="BC19" i="5"/>
  <c r="BC18"/>
  <c r="J19" i="82"/>
  <c r="AN16" i="7"/>
  <c r="AU20" i="5"/>
  <c r="AZ20" s="1"/>
  <c r="BC20" s="1"/>
  <c r="X14" i="7"/>
  <c r="B13" i="65"/>
  <c r="W13" i="1"/>
  <c r="Y7" i="7"/>
  <c r="H25" i="5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C15" i="3" l="1"/>
  <c r="AR7" i="7"/>
  <c r="AQ7" s="1"/>
  <c r="I22" i="82"/>
  <c r="D21" i="65"/>
  <c r="T24" i="1"/>
  <c r="J20" i="82"/>
  <c r="S20" i="76"/>
  <c r="AN17" i="7"/>
  <c r="Y9"/>
  <c r="AR9" s="1"/>
  <c r="AU21" i="5"/>
  <c r="AZ21" s="1"/>
  <c r="Y11" i="7"/>
  <c r="AR11" s="1"/>
  <c r="AS12" s="1"/>
  <c r="B14" i="65"/>
  <c r="W14" i="1"/>
  <c r="Y8" i="7"/>
  <c r="AR8" s="1"/>
  <c r="X7"/>
  <c r="Y13"/>
  <c r="AR13" s="1"/>
  <c r="AS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C16" i="3" l="1"/>
  <c r="AS10" i="7"/>
  <c r="AS9"/>
  <c r="AR6"/>
  <c r="AS6" s="1"/>
  <c r="BC15"/>
  <c r="E21" i="82"/>
  <c r="AS11" i="7"/>
  <c r="AS14"/>
  <c r="D22" i="65"/>
  <c r="T25" i="1"/>
  <c r="J21" i="82"/>
  <c r="D24" i="75"/>
  <c r="E24" s="1"/>
  <c r="S21" i="76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C17" i="3" l="1"/>
  <c r="AS7" i="7"/>
  <c r="AQ6"/>
  <c r="AS15"/>
  <c r="AS8"/>
  <c r="G23" i="82"/>
  <c r="I24"/>
  <c r="D23" i="65"/>
  <c r="BC8" i="7"/>
  <c r="AQ11"/>
  <c r="BC12"/>
  <c r="AQ15"/>
  <c r="T26" i="1"/>
  <c r="J22" i="82"/>
  <c r="S22" i="76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C18" i="3" l="1"/>
  <c r="AR16" i="7"/>
  <c r="AS16" s="1"/>
  <c r="I25" i="82"/>
  <c r="D24" i="65"/>
  <c r="T27" i="1"/>
  <c r="J23" i="82"/>
  <c r="S23" i="76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C19" i="3" l="1"/>
  <c r="AR17" i="7"/>
  <c r="AS17" s="1"/>
  <c r="I26" i="82"/>
  <c r="T28" i="1"/>
  <c r="J24" i="82"/>
  <c r="D27" i="75"/>
  <c r="E27" s="1"/>
  <c r="S24" i="76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C20" i="3" l="1"/>
  <c r="AR18" i="7"/>
  <c r="AS18" s="1"/>
  <c r="I27" i="82"/>
  <c r="D26" i="65"/>
  <c r="T29" i="1"/>
  <c r="J25" i="82"/>
  <c r="S25" i="76"/>
  <c r="X18" i="7"/>
  <c r="AN22"/>
  <c r="AU26" i="5"/>
  <c r="AZ25"/>
  <c r="BC25" s="1"/>
  <c r="B19" i="65"/>
  <c r="H31" i="5"/>
  <c r="S29" i="3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C21" i="3" l="1"/>
  <c r="AR19" i="7"/>
  <c r="AS19" s="1"/>
  <c r="I28" i="82"/>
  <c r="J26"/>
  <c r="S26" i="76"/>
  <c r="AN23" i="7"/>
  <c r="AU27" i="5"/>
  <c r="AZ26"/>
  <c r="BC26" s="1"/>
  <c r="B20" i="65"/>
  <c r="AO24" i="7"/>
  <c r="H32" i="5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C22" i="3" l="1"/>
  <c r="AR20" i="7"/>
  <c r="AS20" s="1"/>
  <c r="I29" i="82"/>
  <c r="U30" i="3"/>
  <c r="D28" i="65"/>
  <c r="T31" i="1"/>
  <c r="S27" i="76"/>
  <c r="J27" i="82"/>
  <c r="AN24" i="7"/>
  <c r="X20"/>
  <c r="AU28" i="5"/>
  <c r="AU29" s="1"/>
  <c r="AZ27"/>
  <c r="BC27" s="1"/>
  <c r="B21" i="65"/>
  <c r="H33" i="5"/>
  <c r="H37" s="1"/>
  <c r="BA32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E22" i="3" l="1"/>
  <c r="F22"/>
  <c r="AR21" i="7"/>
  <c r="AS21" s="1"/>
  <c r="D29" i="65"/>
  <c r="S28" i="76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C23" i="3" l="1"/>
  <c r="E23" s="1"/>
  <c r="F23" s="1"/>
  <c r="E29" i="82"/>
  <c r="AS22" i="7"/>
  <c r="D30" i="65"/>
  <c r="BD33" i="5"/>
  <c r="AL32" i="1"/>
  <c r="AL36" s="1"/>
  <c r="S29" i="76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C24" i="3" l="1"/>
  <c r="AS24" i="7"/>
  <c r="D32" i="65"/>
  <c r="S31" i="76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C25" i="3" l="1"/>
  <c r="J1" i="1"/>
  <c r="AS25" i="7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C26" i="3" l="1"/>
  <c r="AZ34" i="5"/>
  <c r="AU35"/>
  <c r="AS26" i="7"/>
  <c r="X26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C27" i="3" l="1"/>
  <c r="BC34" i="5"/>
  <c r="AZ35"/>
  <c r="BC35" s="1"/>
  <c r="AU36"/>
  <c r="AZ36" s="1"/>
  <c r="AS27" i="7"/>
  <c r="BC33" i="5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C28" i="3" l="1"/>
  <c r="BC36" i="5"/>
  <c r="AS28" i="7"/>
  <c r="AN32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C29" i="3" l="1"/>
  <c r="AS30" i="7"/>
  <c r="X30"/>
  <c r="B31" i="65"/>
  <c r="Y31" i="7"/>
  <c r="AR31" s="1"/>
  <c r="T33"/>
  <c r="V32"/>
  <c r="W32" s="1"/>
  <c r="U32"/>
  <c r="C30" i="3" l="1"/>
  <c r="AS31" i="7"/>
  <c r="B32" i="65"/>
  <c r="Y32" i="7"/>
  <c r="AR32" s="1"/>
  <c r="X31"/>
  <c r="U33"/>
  <c r="V33"/>
  <c r="W33" s="1"/>
  <c r="AS32" l="1"/>
  <c r="X32"/>
  <c r="B33" i="65"/>
  <c r="Y33" i="7"/>
  <c r="C31" i="3" l="1"/>
  <c r="AR33" i="7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C32" i="3" l="1"/>
  <c r="AS40" i="7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C33" i="3" l="1"/>
  <c r="C35" s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8" l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N11" i="2"/>
  <c r="S11" i="76" s="1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K32" i="81" s="1"/>
  <c r="E36" i="5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K32" i="82" s="1"/>
  <c r="AA36" i="5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5" i="1"/>
  <c r="AM5"/>
  <c r="AF6"/>
  <c r="AH6" s="1"/>
  <c r="AH8" i="5" l="1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G10" i="5"/>
  <c r="AH9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G11" i="5"/>
  <c r="AH10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T4" i="76" l="1"/>
  <c r="F2" i="81" s="1"/>
  <c r="C9" i="65"/>
  <c r="E9" s="1"/>
  <c r="AI9" i="1"/>
  <c r="AW10" i="7" s="1"/>
  <c r="AW9"/>
  <c r="AD10" i="1"/>
  <c r="AC11"/>
  <c r="AH11" i="5"/>
  <c r="AG12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G13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4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G15"/>
  <c r="AC14" i="1"/>
  <c r="AD13"/>
  <c r="AF14" l="1"/>
  <c r="AH14" s="1"/>
  <c r="C13" i="65"/>
  <c r="E13" s="1"/>
  <c r="AI13" i="1"/>
  <c r="AW14" i="7" s="1"/>
  <c r="AH15" i="5"/>
  <c r="AG16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G17" i="5"/>
  <c r="AH16"/>
  <c r="AF15" i="1"/>
  <c r="AH15" s="1"/>
  <c r="AX13" i="7"/>
  <c r="Q11" i="76" s="1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G18" i="5"/>
  <c r="AH17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H19" i="5"/>
  <c r="AC20" i="1" l="1"/>
  <c r="AD19"/>
  <c r="AH20" i="5"/>
  <c r="AG2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G22" i="5"/>
  <c r="AH21"/>
  <c r="AF21" i="1" l="1"/>
  <c r="AH21" s="1"/>
  <c r="AY19" i="7"/>
  <c r="BJ19"/>
  <c r="Q17" i="76"/>
  <c r="AG20" i="1"/>
  <c r="AM20"/>
  <c r="F21" i="75" s="1"/>
  <c r="G21" s="1"/>
  <c r="AD21" i="1"/>
  <c r="AC22"/>
  <c r="AH22" i="5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G24" i="5"/>
  <c r="AG25" s="1"/>
  <c r="AG26" s="1"/>
  <c r="AG27" s="1"/>
  <c r="AG28" s="1"/>
  <c r="AG29" s="1"/>
  <c r="AG30" s="1"/>
  <c r="AG31" s="1"/>
  <c r="AG32" s="1"/>
  <c r="AG33" s="1"/>
  <c r="AG34" s="1"/>
  <c r="AG35" s="1"/>
  <c r="AG36" s="1"/>
  <c r="AH23"/>
  <c r="AI21" i="1"/>
  <c r="AW22" i="7" s="1"/>
  <c r="C21" i="65"/>
  <c r="E21" s="1"/>
  <c r="AY20" i="7"/>
  <c r="Q18" i="76"/>
  <c r="BJ20" i="7"/>
  <c r="AM21" i="1"/>
  <c r="F22" i="75" s="1"/>
  <c r="G22" s="1"/>
  <c r="AG21" i="1"/>
  <c r="AH24" i="5" l="1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X22" i="7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H25" i="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H27" i="5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V6" i="5"/>
  <c r="AX26" i="7"/>
  <c r="AJ25" i="1"/>
  <c r="AK25" s="1"/>
  <c r="G22" i="81"/>
  <c r="AH28" i="5"/>
  <c r="AY25" i="7"/>
  <c r="BJ25"/>
  <c r="Q23" i="76"/>
  <c r="AC29" i="1" l="1"/>
  <c r="AD28"/>
  <c r="AH29" i="5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V7" i="5"/>
  <c r="W6"/>
  <c r="AL6" s="1"/>
  <c r="AH30" l="1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H31" i="5"/>
  <c r="AG29" i="1"/>
  <c r="AM29"/>
  <c r="F30" i="75" s="1"/>
  <c r="G30" s="1"/>
  <c r="AC31" i="1"/>
  <c r="AD30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W9" i="5"/>
  <c r="AL9" s="1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V1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V12" i="5"/>
  <c r="W11"/>
  <c r="AL11" s="1"/>
  <c r="AW34" i="7" l="1"/>
  <c r="AH36" i="5"/>
  <c r="AH35"/>
  <c r="AG33" i="1"/>
  <c r="AM33"/>
  <c r="AD34"/>
  <c r="AC35"/>
  <c r="AD35" s="1"/>
  <c r="AF35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G32" i="81" s="1"/>
  <c r="AJ33" i="1"/>
  <c r="AK33" s="1"/>
  <c r="G30" i="81"/>
  <c r="AX34" i="7"/>
  <c r="AG34" i="1"/>
  <c r="AM34"/>
  <c r="AG35"/>
  <c r="AM35"/>
  <c r="AI34"/>
  <c r="AW35" i="7" s="1"/>
  <c r="AH36" i="1"/>
  <c r="W13" i="5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V15"/>
  <c r="AX37" i="7" l="1"/>
  <c r="AX42" s="1"/>
  <c r="AY35"/>
  <c r="BJ35"/>
  <c r="Q33" i="76"/>
  <c r="BJ36" i="7"/>
  <c r="AY36"/>
  <c r="Q34" i="76"/>
  <c r="W15" i="5"/>
  <c r="AL15" s="1"/>
  <c r="V16"/>
  <c r="AY37" i="7" l="1"/>
  <c r="W16" i="5"/>
  <c r="AL16" s="1"/>
  <c r="K3" i="3" l="1"/>
  <c r="V18" i="5"/>
  <c r="W17"/>
  <c r="AL17" s="1"/>
  <c r="F2" i="63"/>
  <c r="V19" i="5" l="1"/>
  <c r="W18"/>
  <c r="AL18" s="1"/>
  <c r="K4" i="3"/>
  <c r="Z3"/>
  <c r="V20" i="5" l="1"/>
  <c r="W19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AG3"/>
  <c r="K6"/>
  <c r="V21" i="5"/>
  <c r="W20"/>
  <c r="AL20" s="1"/>
  <c r="AG4" i="3" l="1"/>
  <c r="W21" i="5"/>
  <c r="AL21" s="1"/>
  <c r="V22"/>
  <c r="F5" i="63"/>
  <c r="AE5" i="3"/>
  <c r="AF5" s="1"/>
  <c r="AK5"/>
  <c r="AL5"/>
  <c r="Z6"/>
  <c r="K8" l="1"/>
  <c r="Z7"/>
  <c r="W22" i="5"/>
  <c r="AL22" s="1"/>
  <c r="V23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V24"/>
  <c r="W24" l="1"/>
  <c r="AL24" s="1"/>
  <c r="V25"/>
  <c r="V26" s="1"/>
  <c r="V27" s="1"/>
  <c r="V28" s="1"/>
  <c r="V29" s="1"/>
  <c r="V30" s="1"/>
  <c r="V31" s="1"/>
  <c r="V32" s="1"/>
  <c r="V33" s="1"/>
  <c r="V34" s="1"/>
  <c r="V35" s="1"/>
  <c r="V36" s="1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AG8" i="3"/>
  <c r="K12" l="1"/>
  <c r="W26" i="5"/>
  <c r="AL26" s="1"/>
  <c r="AL10" i="3"/>
  <c r="AK10"/>
  <c r="F10" i="63"/>
  <c r="AE10" i="3"/>
  <c r="AF10" s="1"/>
  <c r="Z11"/>
  <c r="AG9"/>
  <c r="W27" i="5" l="1"/>
  <c r="AL27" s="1"/>
  <c r="AE11" i="3"/>
  <c r="AF11" s="1"/>
  <c r="F11" i="63"/>
  <c r="AL11" i="3"/>
  <c r="AK11"/>
  <c r="AG10"/>
  <c r="BK13" i="7"/>
  <c r="K13" i="3"/>
  <c r="Z12"/>
  <c r="W28" i="5" l="1"/>
  <c r="AL28" s="1"/>
  <c r="K14" i="3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W29" i="5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Z15" i="3"/>
  <c r="W31" i="5" l="1"/>
  <c r="AL31" s="1"/>
  <c r="BK17" i="7"/>
  <c r="AG14" i="3"/>
  <c r="F15" i="63"/>
  <c r="AK15" i="3"/>
  <c r="AL15"/>
  <c r="AE15"/>
  <c r="AF15" s="1"/>
  <c r="Z16"/>
  <c r="K17"/>
  <c r="AG15" l="1"/>
  <c r="AK16"/>
  <c r="AL16"/>
  <c r="AE16"/>
  <c r="AF16" s="1"/>
  <c r="F16" i="63"/>
  <c r="W32" i="5"/>
  <c r="AL32" s="1"/>
  <c r="Z17" i="3"/>
  <c r="K18"/>
  <c r="W33" i="5" l="1"/>
  <c r="AL33" s="1"/>
  <c r="AK17" i="3"/>
  <c r="AE17"/>
  <c r="AF17" s="1"/>
  <c r="F17" i="63"/>
  <c r="AL17" i="3"/>
  <c r="AG16"/>
  <c r="K19"/>
  <c r="Z18"/>
  <c r="W34" i="5" l="1"/>
  <c r="AL34" s="1"/>
  <c r="K20" i="3"/>
  <c r="Z19"/>
  <c r="AE18"/>
  <c r="AF18" s="1"/>
  <c r="AL18"/>
  <c r="F18" i="63"/>
  <c r="AK18" i="3"/>
  <c r="BK20" i="7"/>
  <c r="AG17" i="3"/>
  <c r="W36" i="5" l="1"/>
  <c r="AL36" s="1"/>
  <c r="W35"/>
  <c r="AL35" s="1"/>
  <c r="Z20" i="3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Z21"/>
  <c r="F21" i="63" l="1"/>
  <c r="AE21" i="3"/>
  <c r="AF21" s="1"/>
  <c r="AK21"/>
  <c r="AL21"/>
  <c r="BK23" i="7"/>
  <c r="AG20" i="3"/>
  <c r="K23"/>
  <c r="AB22"/>
  <c r="Z22"/>
  <c r="Z23" l="1"/>
  <c r="AB23"/>
  <c r="K24"/>
  <c r="BK24" i="7"/>
  <c r="AG21" i="3"/>
  <c r="AL22"/>
  <c r="F22" i="63"/>
  <c r="AE22" i="3"/>
  <c r="AF22" s="1"/>
  <c r="AK22"/>
  <c r="Z24" l="1"/>
  <c r="K26"/>
  <c r="F23" i="63"/>
  <c r="AL23" i="3"/>
  <c r="AE23"/>
  <c r="AF23" s="1"/>
  <c r="AK23"/>
  <c r="AG22"/>
  <c r="AG23" l="1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F26" i="63"/>
  <c r="AE26" i="3"/>
  <c r="AF26" s="1"/>
  <c r="AK26"/>
  <c r="AL26"/>
  <c r="BK28" i="7"/>
  <c r="AG25" i="3"/>
  <c r="Z28" l="1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Z30"/>
  <c r="BK31" i="7"/>
  <c r="AG28" i="3"/>
  <c r="AL31" l="1"/>
  <c r="AE31"/>
  <c r="AF31" s="1"/>
  <c r="AK31"/>
  <c r="K33"/>
  <c r="Z32"/>
  <c r="BK32" i="7"/>
  <c r="AG29" i="3"/>
  <c r="AL30"/>
  <c r="F30" i="63"/>
  <c r="AK30" i="3"/>
  <c r="AE30"/>
  <c r="AF30" s="1"/>
  <c r="K35" l="1"/>
  <c r="U34" s="1"/>
  <c r="AG31"/>
  <c r="BK34" i="7"/>
  <c r="AL32" i="3"/>
  <c r="AE32"/>
  <c r="AF32" s="1"/>
  <c r="AK32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BK35" i="7"/>
  <c r="AG33" i="3" l="1"/>
  <c r="BK36" i="7"/>
  <c r="F18" i="77"/>
  <c r="E18"/>
  <c r="X32" i="76"/>
  <c r="Y32" s="1"/>
  <c r="B20" i="77"/>
  <c r="F3" i="3" l="1"/>
  <c r="AB3" s="1"/>
  <c r="F4" l="1"/>
  <c r="AB4" s="1"/>
  <c r="AE6" i="5" l="1"/>
  <c r="AF6" l="1"/>
  <c r="AI6" s="1"/>
  <c r="AE7"/>
  <c r="AE8" l="1"/>
  <c r="AF7"/>
  <c r="AI7" s="1"/>
  <c r="AF8" l="1"/>
  <c r="AI8" s="1"/>
  <c r="AE10" l="1"/>
  <c r="AF9"/>
  <c r="AI9" s="1"/>
  <c r="AE11" l="1"/>
  <c r="AF10"/>
  <c r="AI10" s="1"/>
  <c r="AF11" l="1"/>
  <c r="AI11" s="1"/>
  <c r="AE12"/>
  <c r="AE13" l="1"/>
  <c r="AF12"/>
  <c r="AI12" s="1"/>
  <c r="AE14" l="1"/>
  <c r="AF13"/>
  <c r="AI13" s="1"/>
  <c r="AE15" l="1"/>
  <c r="AF14"/>
  <c r="AI14" s="1"/>
  <c r="AF15" l="1"/>
  <c r="AI15" s="1"/>
  <c r="AF16" l="1"/>
  <c r="AI16" s="1"/>
  <c r="AE17"/>
  <c r="AF17" l="1"/>
  <c r="AI17" s="1"/>
  <c r="AE18"/>
  <c r="AF18" l="1"/>
  <c r="AI18" s="1"/>
  <c r="AE19"/>
  <c r="AF19" l="1"/>
  <c r="AI19" s="1"/>
  <c r="AE21" l="1"/>
  <c r="AF20"/>
  <c r="AI20" s="1"/>
  <c r="AF21" l="1"/>
  <c r="AI21" s="1"/>
  <c r="AE22"/>
  <c r="AE23" l="1"/>
  <c r="AF22"/>
  <c r="AI22" s="1"/>
  <c r="AF23" l="1"/>
  <c r="AI23" s="1"/>
  <c r="AE24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F29" l="1"/>
  <c r="AI29" s="1"/>
  <c r="AE30"/>
  <c r="AF30" l="1"/>
  <c r="AI30" s="1"/>
  <c r="AE31"/>
  <c r="AF31" l="1"/>
  <c r="AI31" s="1"/>
  <c r="AE32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W4" i="2" l="1"/>
  <c r="Y4"/>
  <c r="AA4"/>
  <c r="AB4" l="1"/>
  <c r="AA5"/>
  <c r="Z4"/>
  <c r="Y5"/>
  <c r="X4"/>
  <c r="W5"/>
  <c r="AB5" l="1"/>
  <c r="AA6"/>
  <c r="X5"/>
  <c r="W6"/>
  <c r="Z5"/>
  <c r="Y6"/>
  <c r="X6" l="1"/>
  <c r="W7"/>
  <c r="Z6"/>
  <c r="Y7"/>
  <c r="AB6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Z10" l="1"/>
  <c r="Y11"/>
  <c r="AB10"/>
  <c r="AA11"/>
  <c r="X10"/>
  <c r="W11"/>
  <c r="AB11" l="1"/>
  <c r="AA12"/>
  <c r="X11"/>
  <c r="W12"/>
  <c r="Z11"/>
  <c r="Y12"/>
  <c r="Z1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Z16" l="1"/>
  <c r="Y17"/>
  <c r="AB16"/>
  <c r="AA17"/>
  <c r="X16"/>
  <c r="W17"/>
  <c r="Y18" l="1"/>
  <c r="Z17"/>
  <c r="AB17"/>
  <c r="AA18"/>
  <c r="X17"/>
  <c r="W18"/>
  <c r="Z18" l="1"/>
  <c r="Y19"/>
  <c r="X18"/>
  <c r="W19"/>
  <c r="AB18"/>
  <c r="AA19"/>
  <c r="Z19" l="1"/>
  <c r="Y20"/>
  <c r="AB19"/>
  <c r="AA20"/>
  <c r="X19"/>
  <c r="W20"/>
  <c r="X20" l="1"/>
  <c r="W21"/>
  <c r="AB20"/>
  <c r="AA21"/>
  <c r="Z20"/>
  <c r="Y21"/>
  <c r="Z21" l="1"/>
  <c r="Y22"/>
  <c r="X21"/>
  <c r="W22"/>
  <c r="AB21"/>
  <c r="AA22"/>
  <c r="AB22" l="1"/>
  <c r="AA23"/>
  <c r="Z22"/>
  <c r="Y23"/>
  <c r="X22"/>
  <c r="W23"/>
  <c r="X23" l="1"/>
  <c r="W24"/>
  <c r="AB23"/>
  <c r="AA24"/>
  <c r="Z23"/>
  <c r="Y24"/>
  <c r="AB24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T3" i="3" l="1"/>
  <c r="T4" s="1"/>
  <c r="T5" s="1"/>
  <c r="T6" l="1"/>
  <c r="T7" s="1"/>
  <c r="T8" s="1"/>
  <c r="T9" s="1"/>
  <c r="T10" s="1"/>
  <c r="T11" s="1"/>
  <c r="AB6" i="5"/>
  <c r="AB7" s="1"/>
  <c r="AB8" s="1"/>
  <c r="AB11" s="1"/>
  <c r="AB12" s="1"/>
  <c r="AB13" s="1"/>
  <c r="AB14" s="1"/>
  <c r="AB15" s="1"/>
  <c r="AB16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T12" i="3" l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C27" i="76"/>
  <c r="AC28"/>
  <c r="AC26"/>
  <c r="AC29" l="1"/>
  <c r="O29" s="1"/>
  <c r="P29" s="1"/>
  <c r="R29" s="1"/>
  <c r="T29" s="1"/>
  <c r="F27" i="81" s="1"/>
  <c r="O30" i="76" l="1"/>
  <c r="P30" s="1"/>
  <c r="R30" s="1"/>
  <c r="T30" s="1"/>
  <c r="F28" i="81" s="1"/>
  <c r="O27" i="76"/>
  <c r="P27" s="1"/>
  <c r="R27" s="1"/>
  <c r="T27" s="1"/>
  <c r="F25" i="81" s="1"/>
  <c r="O5" i="76"/>
  <c r="P5" s="1"/>
  <c r="R5" s="1"/>
  <c r="T5" s="1"/>
  <c r="F3" i="81" s="1"/>
  <c r="O33" i="76"/>
  <c r="P33" s="1"/>
  <c r="R33" s="1"/>
  <c r="O20"/>
  <c r="P20" s="1"/>
  <c r="R20" s="1"/>
  <c r="T20" s="1"/>
  <c r="F18" i="81" s="1"/>
  <c r="AC33" i="76"/>
  <c r="O10"/>
  <c r="P10" s="1"/>
  <c r="R10" s="1"/>
  <c r="T10" s="1"/>
  <c r="F8" i="81" s="1"/>
  <c r="O28" i="76"/>
  <c r="P28" s="1"/>
  <c r="R28" s="1"/>
  <c r="T28" s="1"/>
  <c r="F26" i="81" s="1"/>
  <c r="AB30" i="76"/>
  <c r="AB36" s="1"/>
  <c r="AB38" s="1"/>
  <c r="O19"/>
  <c r="P19" s="1"/>
  <c r="R19" s="1"/>
  <c r="T19" s="1"/>
  <c r="F17" i="81" s="1"/>
  <c r="O12" i="76"/>
  <c r="P12" s="1"/>
  <c r="R12" s="1"/>
  <c r="T12" s="1"/>
  <c r="F10" i="81" s="1"/>
  <c r="O25" i="76"/>
  <c r="P25" s="1"/>
  <c r="R25" s="1"/>
  <c r="T25" s="1"/>
  <c r="F23" i="81" s="1"/>
  <c r="O13" i="76"/>
  <c r="P13" s="1"/>
  <c r="R13" s="1"/>
  <c r="T13" s="1"/>
  <c r="F11" i="81" s="1"/>
  <c r="O24" i="76"/>
  <c r="P24" s="1"/>
  <c r="R24" s="1"/>
  <c r="T24" s="1"/>
  <c r="F22" i="81" s="1"/>
  <c r="O23" i="76"/>
  <c r="P23" s="1"/>
  <c r="R23" s="1"/>
  <c r="T23" s="1"/>
  <c r="F21" i="81" s="1"/>
  <c r="O34" i="76"/>
  <c r="P34" s="1"/>
  <c r="R34" s="1"/>
  <c r="O11"/>
  <c r="P11" s="1"/>
  <c r="R11" s="1"/>
  <c r="T11" s="1"/>
  <c r="F9" i="81" s="1"/>
  <c r="O15" i="76"/>
  <c r="P15" s="1"/>
  <c r="R15" s="1"/>
  <c r="T15" s="1"/>
  <c r="F13" i="81" s="1"/>
  <c r="O18" i="76"/>
  <c r="P18" s="1"/>
  <c r="R18" s="1"/>
  <c r="T18" s="1"/>
  <c r="F16" i="81" s="1"/>
  <c r="O4" i="76"/>
  <c r="P4" s="1"/>
  <c r="R4" s="1"/>
  <c r="O9"/>
  <c r="P9" s="1"/>
  <c r="R9" s="1"/>
  <c r="T9" s="1"/>
  <c r="F7" i="81" s="1"/>
  <c r="O16" i="76"/>
  <c r="P16" s="1"/>
  <c r="R16" s="1"/>
  <c r="T16" s="1"/>
  <c r="F14" i="81" s="1"/>
  <c r="O17" i="76"/>
  <c r="P17" s="1"/>
  <c r="R17" s="1"/>
  <c r="T17" s="1"/>
  <c r="F15" i="81" s="1"/>
  <c r="O26" i="76"/>
  <c r="P26" s="1"/>
  <c r="R26" s="1"/>
  <c r="T26" s="1"/>
  <c r="F24" i="81" s="1"/>
  <c r="O21" i="76"/>
  <c r="P21" s="1"/>
  <c r="R21" s="1"/>
  <c r="T21" s="1"/>
  <c r="F19" i="81" s="1"/>
  <c r="O14" i="76"/>
  <c r="P14" s="1"/>
  <c r="R14" s="1"/>
  <c r="T14" s="1"/>
  <c r="F12" i="81" s="1"/>
  <c r="O31" i="76"/>
  <c r="P31" s="1"/>
  <c r="R31" s="1"/>
  <c r="T31" s="1"/>
  <c r="F29" i="81" s="1"/>
  <c r="O8" i="76"/>
  <c r="P8" s="1"/>
  <c r="R8" s="1"/>
  <c r="T8" s="1"/>
  <c r="F6" i="81" s="1"/>
  <c r="O32" i="76"/>
  <c r="P32" s="1"/>
  <c r="R32" s="1"/>
  <c r="T32" s="1"/>
  <c r="F30" i="81" s="1"/>
  <c r="O22" i="76"/>
  <c r="P22" s="1"/>
  <c r="R22" s="1"/>
  <c r="T22" s="1"/>
  <c r="F20" i="81" s="1"/>
  <c r="O7" i="76"/>
  <c r="P7" s="1"/>
  <c r="R7" s="1"/>
  <c r="T7" s="1"/>
  <c r="F5" i="81" s="1"/>
  <c r="O6" i="76"/>
  <c r="P6" s="1"/>
  <c r="R6" s="1"/>
  <c r="T6" s="1"/>
  <c r="F4" i="81" s="1"/>
  <c r="D10" i="77" l="1"/>
  <c r="E10" s="1"/>
  <c r="E12" s="1"/>
  <c r="O35" i="76"/>
  <c r="AB33"/>
  <c r="AB34" s="1"/>
  <c r="F10" i="77" l="1"/>
  <c r="F12" s="1"/>
  <c r="G10"/>
  <c r="G12" s="1"/>
  <c r="I14" s="1"/>
  <c r="H14" l="1"/>
  <c r="AC6" i="5"/>
  <c r="AC7" s="1"/>
  <c r="AD7" l="1"/>
  <c r="AC8"/>
  <c r="AD8" l="1"/>
  <c r="AC9"/>
  <c r="S4" i="2"/>
  <c r="AC4"/>
  <c r="U4"/>
  <c r="U5" l="1"/>
  <c r="V4"/>
  <c r="T4"/>
  <c r="S5"/>
  <c r="AC10" i="5"/>
  <c r="AD9"/>
  <c r="AC5" i="2"/>
  <c r="AD4"/>
  <c r="AD10" i="5" l="1"/>
  <c r="AC11"/>
  <c r="AF4" i="2"/>
  <c r="V5"/>
  <c r="U6"/>
  <c r="A2" i="63"/>
  <c r="AE4" i="2"/>
  <c r="AG4" s="1"/>
  <c r="AC6"/>
  <c r="AD5"/>
  <c r="S6"/>
  <c r="T5"/>
  <c r="U7" l="1"/>
  <c r="V6"/>
  <c r="S7"/>
  <c r="T6"/>
  <c r="AD11" i="5"/>
  <c r="AC12"/>
  <c r="A3" i="63"/>
  <c r="AE5" i="2"/>
  <c r="AG5" s="1"/>
  <c r="B2" i="63"/>
  <c r="H5" i="65"/>
  <c r="AD6" i="2"/>
  <c r="AF5"/>
  <c r="V7" l="1"/>
  <c r="U8"/>
  <c r="AD7"/>
  <c r="AC8"/>
  <c r="AD12" i="5"/>
  <c r="AC13"/>
  <c r="AF6" i="2"/>
  <c r="B3" i="63"/>
  <c r="H6" i="65"/>
  <c r="T7" i="2"/>
  <c r="S8"/>
  <c r="A4" i="63"/>
  <c r="AE6" i="2"/>
  <c r="AG6" s="1"/>
  <c r="AF7" l="1"/>
  <c r="B5" i="63" s="1"/>
  <c r="T8" i="2"/>
  <c r="S9"/>
  <c r="AC14" i="5"/>
  <c r="AD13"/>
  <c r="V8" i="2"/>
  <c r="U9"/>
  <c r="H7" i="65"/>
  <c r="B4" i="63"/>
  <c r="A5"/>
  <c r="AE7" i="2"/>
  <c r="AG7" s="1"/>
  <c r="AD8"/>
  <c r="AC9"/>
  <c r="H8" i="65" l="1"/>
  <c r="AC15" i="5"/>
  <c r="AD14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AC16"/>
  <c r="T10" i="2"/>
  <c r="S11"/>
  <c r="AF9"/>
  <c r="H10" i="65" l="1"/>
  <c r="B7" i="63"/>
  <c r="AF10" i="2"/>
  <c r="AC17" i="5"/>
  <c r="AD16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C18"/>
  <c r="AF11" i="2"/>
  <c r="B9" i="63" l="1"/>
  <c r="H12" i="65"/>
  <c r="AC14" i="2"/>
  <c r="AD13"/>
  <c r="A10" i="63"/>
  <c r="AE12" i="2"/>
  <c r="AG12" s="1"/>
  <c r="T13"/>
  <c r="S14"/>
  <c r="U14"/>
  <c r="V13"/>
  <c r="AC19" i="5"/>
  <c r="AD18"/>
  <c r="AF12" i="2"/>
  <c r="AF13" l="1"/>
  <c r="H14" i="65" s="1"/>
  <c r="H13"/>
  <c r="B10" i="63"/>
  <c r="V14" i="2"/>
  <c r="U15"/>
  <c r="AD19" i="5"/>
  <c r="AC20"/>
  <c r="A11" i="63"/>
  <c r="AE13" i="2"/>
  <c r="AG13" s="1"/>
  <c r="AC15"/>
  <c r="AD14"/>
  <c r="T14"/>
  <c r="S15"/>
  <c r="B11" i="63" l="1"/>
  <c r="AF14" i="2"/>
  <c r="H15" i="65" s="1"/>
  <c r="A12" i="63"/>
  <c r="AE14" i="2"/>
  <c r="AG14" s="1"/>
  <c r="T15"/>
  <c r="S16"/>
  <c r="AC16"/>
  <c r="AD15"/>
  <c r="AD20" i="5"/>
  <c r="AC21"/>
  <c r="V15" i="2"/>
  <c r="U16"/>
  <c r="B12" i="63" l="1"/>
  <c r="AD16" i="2"/>
  <c r="AC17"/>
  <c r="AD21" i="5"/>
  <c r="AC22"/>
  <c r="A13" i="63"/>
  <c r="AE15" i="2"/>
  <c r="AG15" s="1"/>
  <c r="AF15"/>
  <c r="U17"/>
  <c r="V16"/>
  <c r="T16"/>
  <c r="S17"/>
  <c r="AF16" l="1"/>
  <c r="B14" i="63" s="1"/>
  <c r="A14"/>
  <c r="AE16" i="2"/>
  <c r="AG16" s="1"/>
  <c r="AC18"/>
  <c r="AD17"/>
  <c r="S18"/>
  <c r="T17"/>
  <c r="B13" i="63"/>
  <c r="H16" i="65"/>
  <c r="U18" i="2"/>
  <c r="V17"/>
  <c r="AD22" i="5"/>
  <c r="AC23"/>
  <c r="H17" i="65" l="1"/>
  <c r="AC19" i="2"/>
  <c r="AD18"/>
  <c r="AD23" i="5"/>
  <c r="AC24"/>
  <c r="V18" i="2"/>
  <c r="U19"/>
  <c r="T18"/>
  <c r="S19"/>
  <c r="A15" i="63"/>
  <c r="AE17" i="2"/>
  <c r="AG17" s="1"/>
  <c r="AF17"/>
  <c r="AF18" l="1"/>
  <c r="H19" i="65" s="1"/>
  <c r="AD19" i="2"/>
  <c r="AC20"/>
  <c r="V19"/>
  <c r="U20"/>
  <c r="B15" i="63"/>
  <c r="H18" i="65"/>
  <c r="A16" i="63"/>
  <c r="AE18" i="2"/>
  <c r="AG18" s="1"/>
  <c r="S20"/>
  <c r="T19"/>
  <c r="AD24" i="5"/>
  <c r="AC25"/>
  <c r="B16" i="63" l="1"/>
  <c r="AF19" i="2"/>
  <c r="B17" i="63" s="1"/>
  <c r="AC26" i="5"/>
  <c r="AD25"/>
  <c r="U21" i="2"/>
  <c r="V20"/>
  <c r="S21"/>
  <c r="T20"/>
  <c r="A17" i="63"/>
  <c r="AE19" i="2"/>
  <c r="AG19" s="1"/>
  <c r="AC21"/>
  <c r="AD20"/>
  <c r="H20" i="65" l="1"/>
  <c r="AF20" i="2"/>
  <c r="B18" i="63" s="1"/>
  <c r="V21" i="2"/>
  <c r="U22"/>
  <c r="AD21"/>
  <c r="AC22"/>
  <c r="T21"/>
  <c r="S22"/>
  <c r="AD26" i="5"/>
  <c r="AC27"/>
  <c r="A18" i="63"/>
  <c r="AE20" i="2"/>
  <c r="AG20" s="1"/>
  <c r="H21" i="65" l="1"/>
  <c r="AF21" i="2"/>
  <c r="AC28" i="5"/>
  <c r="AD27"/>
  <c r="AC23" i="2"/>
  <c r="AD22"/>
  <c r="U23"/>
  <c r="V22"/>
  <c r="A19" i="63"/>
  <c r="AE21" i="2"/>
  <c r="AG21" s="1"/>
  <c r="T22"/>
  <c r="S23"/>
  <c r="AS6" i="5"/>
  <c r="B19" i="63" l="1"/>
  <c r="H22" i="65"/>
  <c r="A20" i="63"/>
  <c r="AE22" i="2"/>
  <c r="AG22" s="1"/>
  <c r="V23"/>
  <c r="U24"/>
  <c r="AC29" i="5"/>
  <c r="AD28"/>
  <c r="S24" i="2"/>
  <c r="T23"/>
  <c r="AF22"/>
  <c r="AY6" i="5"/>
  <c r="AS7"/>
  <c r="AC24" i="2"/>
  <c r="AD23"/>
  <c r="AF23" l="1"/>
  <c r="H24" i="65" s="1"/>
  <c r="AY7" i="5"/>
  <c r="BB7" s="1"/>
  <c r="BE7" s="1"/>
  <c r="AS8"/>
  <c r="S25" i="2"/>
  <c r="T24"/>
  <c r="AD24"/>
  <c r="AC25"/>
  <c r="A21" i="63"/>
  <c r="AE23" i="2"/>
  <c r="AG23" s="1"/>
  <c r="V24"/>
  <c r="U25"/>
  <c r="B20" i="63"/>
  <c r="H23" i="65"/>
  <c r="AC30" i="5"/>
  <c r="AD29"/>
  <c r="BB6"/>
  <c r="BE6" s="1"/>
  <c r="AF24" i="2" l="1"/>
  <c r="B21" i="63"/>
  <c r="I2"/>
  <c r="BF6" i="5"/>
  <c r="BG6" s="1"/>
  <c r="G6" i="65" s="1"/>
  <c r="I3" i="63"/>
  <c r="BF7" i="5"/>
  <c r="BG7" s="1"/>
  <c r="G7" i="65" s="1"/>
  <c r="AS9" i="5"/>
  <c r="AY8"/>
  <c r="BB8" s="1"/>
  <c r="BE8" s="1"/>
  <c r="AD30"/>
  <c r="AC31"/>
  <c r="B22" i="63"/>
  <c r="H25" i="65"/>
  <c r="S26" i="2"/>
  <c r="T25"/>
  <c r="V25"/>
  <c r="U26"/>
  <c r="AC26"/>
  <c r="AD25"/>
  <c r="A22" i="63"/>
  <c r="AE24" i="2"/>
  <c r="AG24" s="1"/>
  <c r="M6" i="5"/>
  <c r="O6"/>
  <c r="AF25" i="2" l="1"/>
  <c r="H26" i="65" s="1"/>
  <c r="O7" i="5"/>
  <c r="P6"/>
  <c r="AY9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AC32"/>
  <c r="G5" i="65"/>
  <c r="B23" i="63" l="1"/>
  <c r="Q6" i="5"/>
  <c r="M2" i="81" s="1"/>
  <c r="T27" i="2"/>
  <c r="S28"/>
  <c r="I5" i="63"/>
  <c r="BF9" i="5"/>
  <c r="BG9" s="1"/>
  <c r="G9" i="65" s="1"/>
  <c r="P7" i="5"/>
  <c r="O8"/>
  <c r="AY10"/>
  <c r="BB10" s="1"/>
  <c r="BE10" s="1"/>
  <c r="AS11"/>
  <c r="N7"/>
  <c r="M8"/>
  <c r="AF26" i="2"/>
  <c r="A24" i="63"/>
  <c r="AE26" i="2"/>
  <c r="AG26" s="1"/>
  <c r="AD32" i="5"/>
  <c r="AC33"/>
  <c r="AD27" i="2"/>
  <c r="AC28"/>
  <c r="V27"/>
  <c r="U28"/>
  <c r="V28" l="1"/>
  <c r="U29"/>
  <c r="AC34" i="5"/>
  <c r="AD33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C35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H29" i="65"/>
  <c r="B26" i="63"/>
  <c r="S31" i="2"/>
  <c r="T30"/>
  <c r="AD35" i="5"/>
  <c r="AC36"/>
  <c r="AD36" s="1"/>
  <c r="V30" i="2"/>
  <c r="U31"/>
  <c r="A27" i="63"/>
  <c r="AE29" i="2"/>
  <c r="AG29" s="1"/>
  <c r="Q10" i="5" l="1"/>
  <c r="M6" i="81" s="1"/>
  <c r="V31" i="2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H32" i="65" s="1"/>
  <c r="AS16" i="5"/>
  <c r="AY15"/>
  <c r="BB15" s="1"/>
  <c r="BE15" s="1"/>
  <c r="S33" i="2"/>
  <c r="T32"/>
  <c r="AE32" s="1"/>
  <c r="AG32" s="1"/>
  <c r="N12" i="5"/>
  <c r="M13"/>
  <c r="U33" i="2"/>
  <c r="V32"/>
  <c r="P12" i="5"/>
  <c r="O13"/>
  <c r="I10" i="63"/>
  <c r="BF14" i="5"/>
  <c r="BG14" s="1"/>
  <c r="G14" i="65" s="1"/>
  <c r="A29" i="63"/>
  <c r="AE31" i="2"/>
  <c r="AG31" s="1"/>
  <c r="AD32"/>
  <c r="AC33"/>
  <c r="B28" i="63"/>
  <c r="H31" i="65"/>
  <c r="Q11" i="5"/>
  <c r="Q12" l="1"/>
  <c r="M8" i="81" s="1"/>
  <c r="B29" i="63"/>
  <c r="AF32" i="2"/>
  <c r="M7" i="8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O15"/>
  <c r="Q13"/>
  <c r="M9" i="81" s="1"/>
  <c r="AF33" i="2"/>
  <c r="Q14" i="5" l="1"/>
  <c r="M10" i="81" s="1"/>
  <c r="O16" i="5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3" i="3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M5" i="3" l="1"/>
  <c r="L6"/>
  <c r="L7" s="1"/>
  <c r="Q20" i="5"/>
  <c r="M16" i="81" s="1"/>
  <c r="M22" i="5"/>
  <c r="N21"/>
  <c r="AS25"/>
  <c r="AY24"/>
  <c r="BB24" s="1"/>
  <c r="BE24" s="1"/>
  <c r="P21"/>
  <c r="O22"/>
  <c r="BF23"/>
  <c r="BG23" s="1"/>
  <c r="G23" i="65" s="1"/>
  <c r="I19" i="63"/>
  <c r="L8" i="3" l="1"/>
  <c r="M7"/>
  <c r="M23" i="5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L9" i="3" l="1"/>
  <c r="M8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L10" i="3" l="1"/>
  <c r="M9"/>
  <c r="Q23" i="5"/>
  <c r="M19" i="81" s="1"/>
  <c r="BF26" i="5"/>
  <c r="BG26" s="1"/>
  <c r="G26" i="65" s="1"/>
  <c r="I22" i="63"/>
  <c r="N24" i="5"/>
  <c r="M25"/>
  <c r="AS28"/>
  <c r="AY27"/>
  <c r="BB27" s="1"/>
  <c r="BE27" s="1"/>
  <c r="O25"/>
  <c r="P24"/>
  <c r="L11" i="3" l="1"/>
  <c r="M10"/>
  <c r="Q24" i="5"/>
  <c r="M20" i="81" s="1"/>
  <c r="AY28" i="5"/>
  <c r="BB28" s="1"/>
  <c r="BE28" s="1"/>
  <c r="AS29"/>
  <c r="P25"/>
  <c r="O26"/>
  <c r="I23" i="63"/>
  <c r="BF27" i="5"/>
  <c r="BG27" s="1"/>
  <c r="G27" i="65" s="1"/>
  <c r="N25" i="5"/>
  <c r="M26"/>
  <c r="L12" i="3" l="1"/>
  <c r="M11"/>
  <c r="P26" i="5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L13" i="3" l="1"/>
  <c r="M12"/>
  <c r="Q26" i="5"/>
  <c r="M22" i="81" s="1"/>
  <c r="I25" i="63"/>
  <c r="BF29" i="5"/>
  <c r="BG29" s="1"/>
  <c r="G29" i="65" s="1"/>
  <c r="N27" i="5"/>
  <c r="M28"/>
  <c r="AS31"/>
  <c r="AY30"/>
  <c r="BB30" s="1"/>
  <c r="BE30" s="1"/>
  <c r="O28"/>
  <c r="P27"/>
  <c r="L14" i="3" l="1"/>
  <c r="M13"/>
  <c r="Q27" i="5"/>
  <c r="M23" i="81" s="1"/>
  <c r="P28" i="5"/>
  <c r="O29"/>
  <c r="AS32"/>
  <c r="AY31"/>
  <c r="BB31" s="1"/>
  <c r="BE31" s="1"/>
  <c r="BF30"/>
  <c r="BG30" s="1"/>
  <c r="G30" i="65" s="1"/>
  <c r="I26" i="63"/>
  <c r="M29" i="5"/>
  <c r="N28"/>
  <c r="L15" i="3" l="1"/>
  <c r="M14"/>
  <c r="Q28" i="5"/>
  <c r="M24" i="81" s="1"/>
  <c r="O30" i="5"/>
  <c r="P29"/>
  <c r="AS33"/>
  <c r="AY32"/>
  <c r="BB32" s="1"/>
  <c r="BE32" s="1"/>
  <c r="N29"/>
  <c r="M30"/>
  <c r="BF31"/>
  <c r="BG31" s="1"/>
  <c r="G31" i="65" s="1"/>
  <c r="I27" i="63"/>
  <c r="L16" i="3" l="1"/>
  <c r="M15"/>
  <c r="Q29" i="5"/>
  <c r="M25" i="81" s="1"/>
  <c r="O31" i="5"/>
  <c r="P30"/>
  <c r="AS34"/>
  <c r="AY33"/>
  <c r="BB33" s="1"/>
  <c r="BE33" s="1"/>
  <c r="BF32"/>
  <c r="BG32" s="1"/>
  <c r="G32" i="65" s="1"/>
  <c r="I28" i="63"/>
  <c r="M31" i="5"/>
  <c r="N30"/>
  <c r="L17" i="3" l="1"/>
  <c r="M16"/>
  <c r="AS35" i="5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L18" i="3" l="1"/>
  <c r="M17"/>
  <c r="N32" i="5"/>
  <c r="M33"/>
  <c r="Q31"/>
  <c r="M27" i="81" s="1"/>
  <c r="AY35" i="5"/>
  <c r="BB35" s="1"/>
  <c r="BE35" s="1"/>
  <c r="BF35" s="1"/>
  <c r="BG35" s="1"/>
  <c r="AS36"/>
  <c r="AY36" s="1"/>
  <c r="O33"/>
  <c r="P32"/>
  <c r="L19" i="3" l="1"/>
  <c r="M18"/>
  <c r="Q32" i="5"/>
  <c r="M28" i="81" s="1"/>
  <c r="BB36" i="5"/>
  <c r="BE36" s="1"/>
  <c r="BF36" s="1"/>
  <c r="BG36" s="1"/>
  <c r="P33"/>
  <c r="O34"/>
  <c r="N33"/>
  <c r="M34"/>
  <c r="L20" i="3" l="1"/>
  <c r="M19"/>
  <c r="P34" i="5"/>
  <c r="O35"/>
  <c r="N34"/>
  <c r="M35"/>
  <c r="Q33"/>
  <c r="M29" i="81" s="1"/>
  <c r="L21" i="3" l="1"/>
  <c r="M20"/>
  <c r="N35" i="5"/>
  <c r="M36"/>
  <c r="N36" s="1"/>
  <c r="Q34"/>
  <c r="M30" i="81" s="1"/>
  <c r="O36" i="5"/>
  <c r="P36" s="1"/>
  <c r="P35"/>
  <c r="L22" i="3" l="1"/>
  <c r="M21"/>
  <c r="Q36" i="5"/>
  <c r="M32" i="81" s="1"/>
  <c r="Q35" i="5"/>
  <c r="M31" i="81" s="1"/>
  <c r="L23" i="3" l="1"/>
  <c r="M22"/>
  <c r="Q37" i="5"/>
  <c r="O38" s="1"/>
  <c r="L24" i="3" l="1"/>
  <c r="M23"/>
  <c r="AA22"/>
  <c r="AC22" s="1"/>
  <c r="AH22" s="1"/>
  <c r="L25" l="1"/>
  <c r="M24"/>
  <c r="AA23"/>
  <c r="AC23" s="1"/>
  <c r="AH23" s="1"/>
  <c r="L26" l="1"/>
  <c r="M25"/>
  <c r="D3"/>
  <c r="D4" s="1"/>
  <c r="D5" l="1"/>
  <c r="D6" s="1"/>
  <c r="L27"/>
  <c r="M26"/>
  <c r="E3"/>
  <c r="AA3" s="1"/>
  <c r="AC3" s="1"/>
  <c r="AH3" s="1"/>
  <c r="I6" l="1"/>
  <c r="D7"/>
  <c r="I7"/>
  <c r="L28"/>
  <c r="M27"/>
  <c r="E4"/>
  <c r="AA4" s="1"/>
  <c r="AC4" s="1"/>
  <c r="AH4" s="1"/>
  <c r="D8" l="1"/>
  <c r="D9"/>
  <c r="I8"/>
  <c r="L29"/>
  <c r="M28"/>
  <c r="E5"/>
  <c r="D10" l="1"/>
  <c r="I9"/>
  <c r="AA5"/>
  <c r="AC5" s="1"/>
  <c r="AH5" s="1"/>
  <c r="F5"/>
  <c r="AB5" s="1"/>
  <c r="L30"/>
  <c r="M29"/>
  <c r="E6"/>
  <c r="F6" s="1"/>
  <c r="D11" l="1"/>
  <c r="I10"/>
  <c r="L31"/>
  <c r="M30"/>
  <c r="AA6"/>
  <c r="AC6" s="1"/>
  <c r="AH6" s="1"/>
  <c r="AB6"/>
  <c r="E7"/>
  <c r="F7" s="1"/>
  <c r="AB7" s="1"/>
  <c r="D12" l="1"/>
  <c r="I11"/>
  <c r="L32"/>
  <c r="M31"/>
  <c r="AA7"/>
  <c r="AC7" s="1"/>
  <c r="AH7" s="1"/>
  <c r="E8"/>
  <c r="D13" l="1"/>
  <c r="I12"/>
  <c r="AA8"/>
  <c r="AC8" s="1"/>
  <c r="AH8" s="1"/>
  <c r="F8"/>
  <c r="AB8" s="1"/>
  <c r="L33"/>
  <c r="M33" s="1"/>
  <c r="M32"/>
  <c r="E9"/>
  <c r="AA9" l="1"/>
  <c r="AC9" s="1"/>
  <c r="AH9" s="1"/>
  <c r="F9"/>
  <c r="AB9" s="1"/>
  <c r="D14"/>
  <c r="I13"/>
  <c r="E10"/>
  <c r="D15" l="1"/>
  <c r="I14"/>
  <c r="AA10"/>
  <c r="AC10" s="1"/>
  <c r="AH10" s="1"/>
  <c r="F10"/>
  <c r="AB10" s="1"/>
  <c r="E11"/>
  <c r="D16" l="1"/>
  <c r="I15"/>
  <c r="AA11"/>
  <c r="AC11" s="1"/>
  <c r="AH11" s="1"/>
  <c r="F11"/>
  <c r="AB11" s="1"/>
  <c r="E12"/>
  <c r="D17" l="1"/>
  <c r="I16"/>
  <c r="AA12"/>
  <c r="AC12" s="1"/>
  <c r="AH12" s="1"/>
  <c r="F12"/>
  <c r="AB12" s="1"/>
  <c r="E13"/>
  <c r="D18" l="1"/>
  <c r="I17"/>
  <c r="AA13"/>
  <c r="AC13" s="1"/>
  <c r="AH13" s="1"/>
  <c r="F13"/>
  <c r="AB13" s="1"/>
  <c r="E14"/>
  <c r="D19" l="1"/>
  <c r="I18"/>
  <c r="AA14"/>
  <c r="AC14" s="1"/>
  <c r="AH14" s="1"/>
  <c r="F14"/>
  <c r="AB14" s="1"/>
  <c r="E15"/>
  <c r="AA15" l="1"/>
  <c r="AC15" s="1"/>
  <c r="AH15" s="1"/>
  <c r="F15"/>
  <c r="AB15" s="1"/>
  <c r="D20"/>
  <c r="I19"/>
  <c r="E16"/>
  <c r="AA16" l="1"/>
  <c r="AC16" s="1"/>
  <c r="AH16" s="1"/>
  <c r="F16"/>
  <c r="AB16" s="1"/>
  <c r="D21"/>
  <c r="I20"/>
  <c r="E17"/>
  <c r="AA17" l="1"/>
  <c r="AC17" s="1"/>
  <c r="AH17" s="1"/>
  <c r="F17"/>
  <c r="AB17" s="1"/>
  <c r="D22"/>
  <c r="I21"/>
  <c r="E18"/>
  <c r="AA18" l="1"/>
  <c r="AC18" s="1"/>
  <c r="AH18" s="1"/>
  <c r="F18"/>
  <c r="AB18" s="1"/>
  <c r="D23"/>
  <c r="I22"/>
  <c r="E19"/>
  <c r="AA19" l="1"/>
  <c r="AC19" s="1"/>
  <c r="AH19" s="1"/>
  <c r="F19"/>
  <c r="AB19" s="1"/>
  <c r="D24"/>
  <c r="I23"/>
  <c r="E20"/>
  <c r="AA20" l="1"/>
  <c r="AC20" s="1"/>
  <c r="AH20" s="1"/>
  <c r="F20"/>
  <c r="AB20" s="1"/>
  <c r="D25"/>
  <c r="I24"/>
  <c r="E21"/>
  <c r="AA21" l="1"/>
  <c r="AC21" s="1"/>
  <c r="AH21" s="1"/>
  <c r="F21"/>
  <c r="AB21" s="1"/>
  <c r="D26"/>
  <c r="I25"/>
  <c r="E24"/>
  <c r="AA24" l="1"/>
  <c r="AC24" s="1"/>
  <c r="AH24" s="1"/>
  <c r="F24"/>
  <c r="AB24" s="1"/>
  <c r="D27"/>
  <c r="I26"/>
  <c r="E25"/>
  <c r="AA25" l="1"/>
  <c r="AC25" s="1"/>
  <c r="AH25" s="1"/>
  <c r="F25"/>
  <c r="AB25" s="1"/>
  <c r="D28"/>
  <c r="I27"/>
  <c r="E26"/>
  <c r="AA26" l="1"/>
  <c r="AC26" s="1"/>
  <c r="AH26" s="1"/>
  <c r="F26"/>
  <c r="AB26" s="1"/>
  <c r="D29"/>
  <c r="I28"/>
  <c r="E27"/>
  <c r="AA27" l="1"/>
  <c r="AC27" s="1"/>
  <c r="AH27" s="1"/>
  <c r="F27"/>
  <c r="AB27" s="1"/>
  <c r="D30"/>
  <c r="I29"/>
  <c r="E28"/>
  <c r="AA28" l="1"/>
  <c r="AC28" s="1"/>
  <c r="AH28" s="1"/>
  <c r="F28"/>
  <c r="AB28" s="1"/>
  <c r="D31"/>
  <c r="I30"/>
  <c r="E29"/>
  <c r="AA29" l="1"/>
  <c r="AC29" s="1"/>
  <c r="AH29" s="1"/>
  <c r="F29"/>
  <c r="AB29" s="1"/>
  <c r="D32"/>
  <c r="I31"/>
  <c r="E30"/>
  <c r="AA30" l="1"/>
  <c r="AC30" s="1"/>
  <c r="AH30" s="1"/>
  <c r="F30"/>
  <c r="AB30" s="1"/>
  <c r="D33"/>
  <c r="I32"/>
  <c r="E31"/>
  <c r="AA31" l="1"/>
  <c r="AC31" s="1"/>
  <c r="AH31" s="1"/>
  <c r="F31"/>
  <c r="AB31" s="1"/>
  <c r="I33"/>
  <c r="E33"/>
  <c r="E32"/>
  <c r="AP5" i="1"/>
  <c r="AN5"/>
  <c r="AR5"/>
  <c r="AA33" i="3" l="1"/>
  <c r="AC33" s="1"/>
  <c r="AH33" s="1"/>
  <c r="F33"/>
  <c r="AB33" s="1"/>
  <c r="AA32"/>
  <c r="AC32" s="1"/>
  <c r="AH32" s="1"/>
  <c r="F32"/>
  <c r="AB32" s="1"/>
  <c r="AP6" i="1"/>
  <c r="AQ5"/>
  <c r="AR6"/>
  <c r="AS5"/>
  <c r="AN6"/>
  <c r="AO5"/>
  <c r="AT5" l="1"/>
  <c r="AU5" s="1"/>
  <c r="I2" i="81" s="1"/>
  <c r="AN7" i="1"/>
  <c r="AO6"/>
  <c r="AQ6"/>
  <c r="AP7"/>
  <c r="AR7"/>
  <c r="AS6"/>
  <c r="P3" i="3"/>
  <c r="AT6" i="1" l="1"/>
  <c r="AU6" s="1"/>
  <c r="I3" i="81" s="1"/>
  <c r="Q3" i="3"/>
  <c r="P4"/>
  <c r="AR8" i="1"/>
  <c r="AS7"/>
  <c r="AO7"/>
  <c r="AN8"/>
  <c r="AQ7"/>
  <c r="AP8"/>
  <c r="AT7" l="1"/>
  <c r="AU7" s="1"/>
  <c r="I4" i="81" s="1"/>
  <c r="AN9" i="1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U9" s="1"/>
  <c r="I6" i="81" s="1"/>
  <c r="AO10" i="1"/>
  <c r="AN11"/>
  <c r="AQ10"/>
  <c r="AP11"/>
  <c r="AR11"/>
  <c r="AS10"/>
  <c r="P7" i="3"/>
  <c r="Q7" s="1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S20" i="1"/>
  <c r="AR21"/>
  <c r="AO20"/>
  <c r="AN21"/>
  <c r="AT19"/>
  <c r="AU19" s="1"/>
  <c r="I16" i="81" s="1"/>
  <c r="AT20" i="1" l="1"/>
  <c r="AU20" s="1"/>
  <c r="I17" i="81" s="1"/>
  <c r="Q17" i="3"/>
  <c r="P18"/>
  <c r="P19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3" s="1"/>
  <c r="I20" i="81" s="1"/>
  <c r="AU22" i="1"/>
  <c r="I19" i="81" s="1"/>
  <c r="Q21" i="3"/>
  <c r="P22"/>
  <c r="AS24" i="1"/>
  <c r="AR25"/>
  <c r="AQ24"/>
  <c r="AP25"/>
  <c r="AN25"/>
  <c r="AO24"/>
  <c r="AT24" l="1"/>
  <c r="AU24" s="1"/>
  <c r="I21" i="81" s="1"/>
  <c r="AO25" i="1"/>
  <c r="AN26"/>
  <c r="AR26"/>
  <c r="AS25"/>
  <c r="AP26"/>
  <c r="AQ25"/>
  <c r="P23" i="3"/>
  <c r="Q22"/>
  <c r="AT25" i="1" l="1"/>
  <c r="AU25" s="1"/>
  <c r="I22" i="81" s="1"/>
  <c r="AP27" i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N30"/>
  <c r="P27" i="3"/>
  <c r="Q26"/>
  <c r="AT28" i="1"/>
  <c r="AU28" s="1"/>
  <c r="I25" i="81" s="1"/>
  <c r="AT29" i="1" l="1"/>
  <c r="AU29" s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N33"/>
  <c r="AT31"/>
  <c r="AT32" l="1"/>
  <c r="AU32" s="1"/>
  <c r="I29" i="81" s="1"/>
  <c r="AU31" i="1"/>
  <c r="I28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5"/>
  <c r="AT34" l="1"/>
  <c r="AT35"/>
  <c r="AU33"/>
  <c r="I30" i="81" s="1"/>
  <c r="P33" i="3"/>
  <c r="Q33" s="1"/>
  <c r="Q32"/>
  <c r="AX6" i="1"/>
  <c r="J2" i="81"/>
  <c r="AU35" i="1" l="1"/>
  <c r="I32" i="81" s="1"/>
  <c r="AU34" i="1"/>
  <c r="I31" i="81" s="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6" i="7"/>
  <c r="J30" i="81" l="1"/>
  <c r="AX34" i="1"/>
  <c r="AV7" i="7"/>
  <c r="H2" i="81"/>
  <c r="J31" l="1"/>
  <c r="AX35" i="1"/>
  <c r="J32" i="81" s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/>
</calcChain>
</file>

<file path=xl/comments1.xml><?xml version="1.0" encoding="utf-8"?>
<comments xmlns="http://schemas.openxmlformats.org/spreadsheetml/2006/main">
  <authors>
    <author>Amjad Abou Hassan</author>
  </authors>
  <commentList>
    <comment ref="D4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Running cat C32 generator
</t>
        </r>
      </text>
    </comment>
    <comment ref="D6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Running cat C32 generator
with avarage 85 L/h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<sst xmlns="http://schemas.openxmlformats.org/spreadsheetml/2006/main" count="665" uniqueCount="417">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</sst>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3" fontId="0" fillId="0" borderId="4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6202</c:v>
                </c:pt>
                <c:pt idx="4">
                  <c:v>4288</c:v>
                </c:pt>
                <c:pt idx="5">
                  <c:v>3111</c:v>
                </c:pt>
                <c:pt idx="6">
                  <c:v>0</c:v>
                </c:pt>
                <c:pt idx="7">
                  <c:v>0</c:v>
                </c:pt>
                <c:pt idx="8">
                  <c:v>3135</c:v>
                </c:pt>
                <c:pt idx="9">
                  <c:v>3445</c:v>
                </c:pt>
                <c:pt idx="10">
                  <c:v>3157</c:v>
                </c:pt>
                <c:pt idx="11">
                  <c:v>3105</c:v>
                </c:pt>
                <c:pt idx="12">
                  <c:v>2743</c:v>
                </c:pt>
                <c:pt idx="13">
                  <c:v>0</c:v>
                </c:pt>
                <c:pt idx="14">
                  <c:v>0</c:v>
                </c:pt>
                <c:pt idx="15">
                  <c:v>2817</c:v>
                </c:pt>
                <c:pt idx="16">
                  <c:v>2812</c:v>
                </c:pt>
                <c:pt idx="17">
                  <c:v>3010</c:v>
                </c:pt>
                <c:pt idx="18">
                  <c:v>3148</c:v>
                </c:pt>
                <c:pt idx="19">
                  <c:v>3248</c:v>
                </c:pt>
                <c:pt idx="20">
                  <c:v>0</c:v>
                </c:pt>
                <c:pt idx="21">
                  <c:v>0</c:v>
                </c:pt>
                <c:pt idx="22">
                  <c:v>3609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/>
        <c:marker val="1"/>
        <c:axId val="159877760"/>
        <c:axId val="159883648"/>
      </c:lineChart>
      <c:catAx>
        <c:axId val="159877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883648"/>
        <c:crosses val="autoZero"/>
        <c:auto val="1"/>
        <c:lblAlgn val="ctr"/>
        <c:lblOffset val="100"/>
      </c:catAx>
      <c:valAx>
        <c:axId val="1598836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877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426</c:v>
                </c:pt>
                <c:pt idx="9">
                  <c:v>296</c:v>
                </c:pt>
                <c:pt idx="10">
                  <c:v>38</c:v>
                </c:pt>
                <c:pt idx="11">
                  <c:v>303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140</c:v>
                </c:pt>
                <c:pt idx="16">
                  <c:v>223</c:v>
                </c:pt>
                <c:pt idx="17">
                  <c:v>0</c:v>
                </c:pt>
                <c:pt idx="18">
                  <c:v>0</c:v>
                </c:pt>
                <c:pt idx="19">
                  <c:v>439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/>
        <c:marker val="1"/>
        <c:axId val="160305920"/>
        <c:axId val="160307456"/>
      </c:lineChart>
      <c:catAx>
        <c:axId val="160305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07456"/>
        <c:crosses val="autoZero"/>
        <c:auto val="1"/>
        <c:lblAlgn val="ctr"/>
        <c:lblOffset val="100"/>
      </c:catAx>
      <c:valAx>
        <c:axId val="160307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0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461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402"/>
          <c:w val="0.77663126001868665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/>
        <c:marker val="1"/>
        <c:axId val="160332416"/>
        <c:axId val="160354688"/>
      </c:lineChart>
      <c:catAx>
        <c:axId val="160332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54688"/>
        <c:crosses val="autoZero"/>
        <c:auto val="1"/>
        <c:lblAlgn val="ctr"/>
        <c:lblOffset val="100"/>
      </c:catAx>
      <c:valAx>
        <c:axId val="16035468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32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/>
        <c:marker val="1"/>
        <c:axId val="159720192"/>
        <c:axId val="159721728"/>
      </c:lineChart>
      <c:catAx>
        <c:axId val="159720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21728"/>
        <c:crosses val="autoZero"/>
        <c:auto val="1"/>
        <c:lblAlgn val="ctr"/>
        <c:lblOffset val="100"/>
      </c:catAx>
      <c:valAx>
        <c:axId val="1597217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2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526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/>
        <c:marker val="1"/>
        <c:axId val="159758976"/>
        <c:axId val="160366976"/>
      </c:lineChart>
      <c:catAx>
        <c:axId val="15975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66976"/>
        <c:crosses val="autoZero"/>
        <c:auto val="1"/>
        <c:lblAlgn val="ctr"/>
        <c:lblOffset val="100"/>
      </c:catAx>
      <c:valAx>
        <c:axId val="1603669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5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327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/>
        <c:marker val="1"/>
        <c:axId val="160507008"/>
        <c:axId val="160508544"/>
      </c:lineChart>
      <c:catAx>
        <c:axId val="16050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08544"/>
        <c:crosses val="autoZero"/>
        <c:auto val="1"/>
        <c:lblAlgn val="ctr"/>
        <c:lblOffset val="100"/>
      </c:catAx>
      <c:valAx>
        <c:axId val="160508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0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/>
        <c:marker val="1"/>
        <c:axId val="160533504"/>
        <c:axId val="160539392"/>
      </c:lineChart>
      <c:catAx>
        <c:axId val="160533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39392"/>
        <c:crosses val="autoZero"/>
        <c:auto val="1"/>
        <c:lblAlgn val="ctr"/>
        <c:lblOffset val="100"/>
      </c:catAx>
      <c:valAx>
        <c:axId val="160539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33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127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/>
        <c:marker val="1"/>
        <c:axId val="160842496"/>
        <c:axId val="160844032"/>
      </c:lineChart>
      <c:catAx>
        <c:axId val="16084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44032"/>
        <c:crosses val="autoZero"/>
        <c:auto val="1"/>
        <c:lblAlgn val="ctr"/>
        <c:lblOffset val="100"/>
      </c:catAx>
      <c:valAx>
        <c:axId val="160844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4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20.5</c:v>
                </c:pt>
                <c:pt idx="17">
                  <c:v>20</c:v>
                </c:pt>
                <c:pt idx="18">
                  <c:v>21.5</c:v>
                </c:pt>
                <c:pt idx="19">
                  <c:v>0</c:v>
                </c:pt>
                <c:pt idx="20">
                  <c:v>0</c:v>
                </c:pt>
                <c:pt idx="21">
                  <c:v>22.5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/>
        <c:marker val="1"/>
        <c:axId val="160868992"/>
        <c:axId val="160874880"/>
      </c:lineChart>
      <c:catAx>
        <c:axId val="160868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74880"/>
        <c:crosses val="autoZero"/>
        <c:auto val="1"/>
        <c:lblAlgn val="ctr"/>
        <c:lblOffset val="100"/>
      </c:catAx>
      <c:valAx>
        <c:axId val="1608748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6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10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/>
        <c:marker val="1"/>
        <c:axId val="160793344"/>
        <c:axId val="160794880"/>
      </c:lineChart>
      <c:catAx>
        <c:axId val="16079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94880"/>
        <c:crosses val="autoZero"/>
        <c:auto val="1"/>
        <c:lblAlgn val="ctr"/>
        <c:lblOffset val="100"/>
      </c:catAx>
      <c:valAx>
        <c:axId val="160794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9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11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8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/>
        <c:marker val="1"/>
        <c:axId val="162839168"/>
        <c:axId val="159326592"/>
      </c:lineChart>
      <c:catAx>
        <c:axId val="162839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26592"/>
        <c:crosses val="autoZero"/>
        <c:auto val="1"/>
        <c:lblAlgn val="ctr"/>
        <c:lblOffset val="100"/>
      </c:catAx>
      <c:valAx>
        <c:axId val="1593265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3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426</c:v>
                </c:pt>
                <c:pt idx="8">
                  <c:v>296</c:v>
                </c:pt>
                <c:pt idx="9">
                  <c:v>38</c:v>
                </c:pt>
                <c:pt idx="10">
                  <c:v>303</c:v>
                </c:pt>
                <c:pt idx="11">
                  <c:v>47</c:v>
                </c:pt>
                <c:pt idx="12">
                  <c:v>0</c:v>
                </c:pt>
                <c:pt idx="13">
                  <c:v>0</c:v>
                </c:pt>
                <c:pt idx="14">
                  <c:v>140</c:v>
                </c:pt>
                <c:pt idx="15">
                  <c:v>223</c:v>
                </c:pt>
                <c:pt idx="16">
                  <c:v>0</c:v>
                </c:pt>
                <c:pt idx="17">
                  <c:v>0</c:v>
                </c:pt>
                <c:pt idx="18">
                  <c:v>439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/>
        <c:marker val="1"/>
        <c:axId val="164152448"/>
        <c:axId val="164153984"/>
      </c:lineChart>
      <c:catAx>
        <c:axId val="164152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53984"/>
        <c:crosses val="autoZero"/>
        <c:auto val="1"/>
        <c:lblAlgn val="ctr"/>
        <c:lblOffset val="100"/>
      </c:catAx>
      <c:valAx>
        <c:axId val="164153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52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759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289</c:v>
                </c:pt>
                <c:pt idx="4">
                  <c:v>305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259</c:v>
                </c:pt>
                <c:pt idx="9">
                  <c:v>101</c:v>
                </c:pt>
                <c:pt idx="10">
                  <c:v>45</c:v>
                </c:pt>
                <c:pt idx="11">
                  <c:v>192</c:v>
                </c:pt>
                <c:pt idx="12">
                  <c:v>131</c:v>
                </c:pt>
                <c:pt idx="13">
                  <c:v>0</c:v>
                </c:pt>
                <c:pt idx="14">
                  <c:v>0</c:v>
                </c:pt>
                <c:pt idx="15">
                  <c:v>157</c:v>
                </c:pt>
                <c:pt idx="16">
                  <c:v>113</c:v>
                </c:pt>
                <c:pt idx="17">
                  <c:v>126</c:v>
                </c:pt>
                <c:pt idx="18">
                  <c:v>213</c:v>
                </c:pt>
                <c:pt idx="19">
                  <c:v>61</c:v>
                </c:pt>
                <c:pt idx="20">
                  <c:v>0</c:v>
                </c:pt>
                <c:pt idx="21">
                  <c:v>0</c:v>
                </c:pt>
                <c:pt idx="22">
                  <c:v>136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/>
        <c:marker val="1"/>
        <c:axId val="164076928"/>
        <c:axId val="164095104"/>
      </c:lineChart>
      <c:catAx>
        <c:axId val="164076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95104"/>
        <c:crosses val="autoZero"/>
        <c:auto val="1"/>
        <c:lblAlgn val="ctr"/>
        <c:lblOffset val="100"/>
      </c:catAx>
      <c:valAx>
        <c:axId val="164095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76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32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/>
        <c:marker val="1"/>
        <c:axId val="164259328"/>
        <c:axId val="164260864"/>
      </c:lineChart>
      <c:catAx>
        <c:axId val="16425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60864"/>
        <c:crosses val="autoZero"/>
        <c:auto val="1"/>
        <c:lblAlgn val="ctr"/>
        <c:lblOffset val="100"/>
      </c:catAx>
      <c:valAx>
        <c:axId val="1642608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5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6202</c:v>
                </c:pt>
                <c:pt idx="4">
                  <c:v>4288</c:v>
                </c:pt>
                <c:pt idx="5">
                  <c:v>3111</c:v>
                </c:pt>
                <c:pt idx="6">
                  <c:v>0</c:v>
                </c:pt>
                <c:pt idx="7">
                  <c:v>0</c:v>
                </c:pt>
                <c:pt idx="8">
                  <c:v>3135</c:v>
                </c:pt>
                <c:pt idx="9">
                  <c:v>3445</c:v>
                </c:pt>
                <c:pt idx="10">
                  <c:v>3157</c:v>
                </c:pt>
                <c:pt idx="11">
                  <c:v>3105</c:v>
                </c:pt>
                <c:pt idx="12">
                  <c:v>2743</c:v>
                </c:pt>
                <c:pt idx="13">
                  <c:v>0</c:v>
                </c:pt>
                <c:pt idx="14">
                  <c:v>0</c:v>
                </c:pt>
                <c:pt idx="15">
                  <c:v>2817</c:v>
                </c:pt>
                <c:pt idx="16">
                  <c:v>2812</c:v>
                </c:pt>
                <c:pt idx="17">
                  <c:v>3010</c:v>
                </c:pt>
                <c:pt idx="18">
                  <c:v>3148</c:v>
                </c:pt>
                <c:pt idx="19">
                  <c:v>3248</c:v>
                </c:pt>
                <c:pt idx="20">
                  <c:v>0</c:v>
                </c:pt>
                <c:pt idx="21">
                  <c:v>0</c:v>
                </c:pt>
                <c:pt idx="22">
                  <c:v>3609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/>
        <c:marker val="1"/>
        <c:axId val="164282368"/>
        <c:axId val="164283904"/>
      </c:lineChart>
      <c:catAx>
        <c:axId val="164282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83904"/>
        <c:crosses val="autoZero"/>
        <c:auto val="1"/>
        <c:lblAlgn val="ctr"/>
        <c:lblOffset val="100"/>
      </c:catAx>
      <c:valAx>
        <c:axId val="1642839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8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426</c:v>
                </c:pt>
                <c:pt idx="9">
                  <c:v>296</c:v>
                </c:pt>
                <c:pt idx="10">
                  <c:v>38</c:v>
                </c:pt>
                <c:pt idx="11">
                  <c:v>303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140</c:v>
                </c:pt>
                <c:pt idx="16">
                  <c:v>223</c:v>
                </c:pt>
                <c:pt idx="17">
                  <c:v>0</c:v>
                </c:pt>
                <c:pt idx="18">
                  <c:v>0</c:v>
                </c:pt>
                <c:pt idx="19">
                  <c:v>439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/>
        <c:marker val="1"/>
        <c:axId val="164202368"/>
        <c:axId val="164203904"/>
      </c:lineChart>
      <c:catAx>
        <c:axId val="164202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03904"/>
        <c:crosses val="autoZero"/>
        <c:auto val="1"/>
        <c:lblAlgn val="ctr"/>
        <c:lblOffset val="100"/>
      </c:catAx>
      <c:valAx>
        <c:axId val="164203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0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32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11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8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/>
        <c:marker val="1"/>
        <c:axId val="164384768"/>
        <c:axId val="164386304"/>
      </c:lineChart>
      <c:catAx>
        <c:axId val="164384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86304"/>
        <c:crosses val="autoZero"/>
        <c:auto val="1"/>
        <c:lblAlgn val="ctr"/>
        <c:lblOffset val="100"/>
      </c:catAx>
      <c:valAx>
        <c:axId val="1643863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84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612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-2690.0967741935601</c:v>
                </c:pt>
                <c:pt idx="3">
                  <c:v>-1840.0645161290304</c:v>
                </c:pt>
                <c:pt idx="4">
                  <c:v>-920.03225806450064</c:v>
                </c:pt>
                <c:pt idx="5">
                  <c:v>0</c:v>
                </c:pt>
                <c:pt idx="6">
                  <c:v>0</c:v>
                </c:pt>
                <c:pt idx="7">
                  <c:v>357.03225806450064</c:v>
                </c:pt>
                <c:pt idx="8">
                  <c:v>-1226.7096774193487</c:v>
                </c:pt>
                <c:pt idx="9">
                  <c:v>-920.03225806451519</c:v>
                </c:pt>
                <c:pt idx="10">
                  <c:v>-1226.7096774193633</c:v>
                </c:pt>
                <c:pt idx="11">
                  <c:v>-1226.7096774193487</c:v>
                </c:pt>
                <c:pt idx="12">
                  <c:v>0</c:v>
                </c:pt>
                <c:pt idx="13">
                  <c:v>0</c:v>
                </c:pt>
                <c:pt idx="14">
                  <c:v>-920.03225806451519</c:v>
                </c:pt>
                <c:pt idx="15">
                  <c:v>-990.03225806450064</c:v>
                </c:pt>
                <c:pt idx="16">
                  <c:v>-850.03225806454429</c:v>
                </c:pt>
                <c:pt idx="17">
                  <c:v>-1463.3870967741823</c:v>
                </c:pt>
                <c:pt idx="18">
                  <c:v>-920.03225806451519</c:v>
                </c:pt>
                <c:pt idx="19">
                  <c:v>0</c:v>
                </c:pt>
                <c:pt idx="20">
                  <c:v>4376.8225806451519</c:v>
                </c:pt>
                <c:pt idx="21">
                  <c:v>-5090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/>
        <c:marker val="1"/>
        <c:axId val="164415360"/>
        <c:axId val="164416896"/>
      </c:lineChart>
      <c:catAx>
        <c:axId val="164415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16896"/>
        <c:crosses val="autoZero"/>
        <c:auto val="1"/>
        <c:lblAlgn val="ctr"/>
        <c:lblOffset val="100"/>
      </c:catAx>
      <c:valAx>
        <c:axId val="1644168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15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/>
        <c:marker val="1"/>
        <c:axId val="164327808"/>
        <c:axId val="164329344"/>
      </c:lineChart>
      <c:catAx>
        <c:axId val="164327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29344"/>
        <c:crosses val="autoZero"/>
        <c:auto val="1"/>
        <c:lblAlgn val="ctr"/>
        <c:lblOffset val="100"/>
      </c:catAx>
      <c:valAx>
        <c:axId val="164329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2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35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/>
        <c:marker val="1"/>
        <c:axId val="164505856"/>
        <c:axId val="164511744"/>
      </c:lineChart>
      <c:catAx>
        <c:axId val="164505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11744"/>
        <c:crosses val="autoZero"/>
        <c:auto val="1"/>
        <c:lblAlgn val="ctr"/>
        <c:lblOffset val="100"/>
      </c:catAx>
      <c:valAx>
        <c:axId val="16451174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05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/>
        <c:marker val="1"/>
        <c:axId val="164540800"/>
        <c:axId val="164542336"/>
      </c:lineChart>
      <c:catAx>
        <c:axId val="16454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42336"/>
        <c:crosses val="autoZero"/>
        <c:auto val="1"/>
        <c:lblAlgn val="ctr"/>
        <c:lblOffset val="100"/>
      </c:catAx>
      <c:valAx>
        <c:axId val="1645423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4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/>
        <c:marker val="1"/>
        <c:axId val="164440320"/>
        <c:axId val="164458496"/>
      </c:lineChart>
      <c:catAx>
        <c:axId val="164440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58496"/>
        <c:crosses val="autoZero"/>
        <c:auto val="1"/>
        <c:lblAlgn val="ctr"/>
        <c:lblOffset val="100"/>
      </c:catAx>
      <c:valAx>
        <c:axId val="164458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4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9112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127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/>
        <c:marker val="1"/>
        <c:axId val="164565376"/>
        <c:axId val="164566912"/>
      </c:lineChart>
      <c:catAx>
        <c:axId val="164565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66912"/>
        <c:crosses val="autoZero"/>
        <c:auto val="1"/>
        <c:lblAlgn val="ctr"/>
        <c:lblOffset val="100"/>
      </c:catAx>
      <c:valAx>
        <c:axId val="164566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65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20.5</c:v>
                </c:pt>
                <c:pt idx="17">
                  <c:v>20</c:v>
                </c:pt>
                <c:pt idx="18">
                  <c:v>21.5</c:v>
                </c:pt>
                <c:pt idx="19">
                  <c:v>0</c:v>
                </c:pt>
                <c:pt idx="20">
                  <c:v>0</c:v>
                </c:pt>
                <c:pt idx="21">
                  <c:v>22.5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/>
        <c:marker val="1"/>
        <c:axId val="164604160"/>
        <c:axId val="164614144"/>
      </c:lineChart>
      <c:catAx>
        <c:axId val="164604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14144"/>
        <c:crosses val="autoZero"/>
        <c:auto val="1"/>
        <c:lblAlgn val="ctr"/>
        <c:lblOffset val="100"/>
      </c:catAx>
      <c:valAx>
        <c:axId val="164614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04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5261"/>
          <c:w val="0.1234311819809463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-274.50000000000006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27.099999999999991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/>
        <c:marker val="1"/>
        <c:axId val="164779904"/>
        <c:axId val="164781440"/>
      </c:lineChart>
      <c:catAx>
        <c:axId val="1647799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81440"/>
        <c:crosses val="autoZero"/>
        <c:auto val="1"/>
        <c:lblAlgn val="ctr"/>
        <c:lblOffset val="100"/>
      </c:catAx>
      <c:valAx>
        <c:axId val="1647814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79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304"/>
          <c:w val="0.15690398532824756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/>
        <c:marker val="1"/>
        <c:axId val="164814208"/>
        <c:axId val="164816000"/>
      </c:lineChart>
      <c:catAx>
        <c:axId val="164814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16000"/>
        <c:crosses val="autoZero"/>
        <c:auto val="1"/>
        <c:lblAlgn val="ctr"/>
        <c:lblOffset val="100"/>
      </c:catAx>
      <c:valAx>
        <c:axId val="1648160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1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68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20.5</c:v>
                </c:pt>
                <c:pt idx="17">
                  <c:v>20</c:v>
                </c:pt>
                <c:pt idx="18">
                  <c:v>21.5</c:v>
                </c:pt>
                <c:pt idx="19">
                  <c:v>0</c:v>
                </c:pt>
                <c:pt idx="20">
                  <c:v>0</c:v>
                </c:pt>
                <c:pt idx="21">
                  <c:v>22.5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/>
        <c:marker val="1"/>
        <c:axId val="164853632"/>
        <c:axId val="164855168"/>
      </c:lineChart>
      <c:catAx>
        <c:axId val="164853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55168"/>
        <c:crosses val="autoZero"/>
        <c:auto val="1"/>
        <c:lblAlgn val="ctr"/>
        <c:lblOffset val="100"/>
      </c:catAx>
      <c:valAx>
        <c:axId val="164855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5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709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-274.50000000000006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27.099999999999991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/>
        <c:marker val="1"/>
        <c:axId val="188811136"/>
        <c:axId val="188812672"/>
      </c:lineChart>
      <c:catAx>
        <c:axId val="1888111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812672"/>
        <c:crosses val="autoZero"/>
        <c:auto val="1"/>
        <c:lblAlgn val="ctr"/>
        <c:lblOffset val="100"/>
      </c:catAx>
      <c:valAx>
        <c:axId val="1888126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81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304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44681</v>
          </cell>
          <cell r="D33">
            <v>286340</v>
          </cell>
          <cell r="E33">
            <v>0</v>
          </cell>
          <cell r="F33">
            <v>4130656</v>
          </cell>
          <cell r="G33">
            <v>0</v>
          </cell>
          <cell r="H33">
            <v>18038570</v>
          </cell>
          <cell r="I33">
            <v>0</v>
          </cell>
          <cell r="J33">
            <v>29783774</v>
          </cell>
          <cell r="K33">
            <v>0</v>
          </cell>
          <cell r="L33">
            <v>24577264</v>
          </cell>
          <cell r="M33">
            <v>0</v>
          </cell>
          <cell r="N33">
            <v>0</v>
          </cell>
          <cell r="O33">
            <v>0</v>
          </cell>
          <cell r="P33">
            <v>19199.525000000001</v>
          </cell>
          <cell r="Q33">
            <v>0</v>
          </cell>
          <cell r="R33">
            <v>0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33484</v>
          </cell>
          <cell r="X33">
            <v>0</v>
          </cell>
          <cell r="Y33">
            <v>996900</v>
          </cell>
          <cell r="Z33">
            <v>0</v>
          </cell>
          <cell r="AA33">
            <v>36796</v>
          </cell>
          <cell r="AB33">
            <v>0</v>
          </cell>
          <cell r="AC33">
            <v>1170505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44681</v>
          </cell>
          <cell r="B34">
            <v>233</v>
          </cell>
          <cell r="C34">
            <v>239</v>
          </cell>
          <cell r="D34">
            <v>0</v>
          </cell>
          <cell r="E34">
            <v>0</v>
          </cell>
          <cell r="F34">
            <v>2242</v>
          </cell>
          <cell r="G34">
            <v>0</v>
          </cell>
          <cell r="H34">
            <v>43494</v>
          </cell>
          <cell r="I34">
            <v>0</v>
          </cell>
          <cell r="J34">
            <v>0</v>
          </cell>
          <cell r="K34">
            <v>2412</v>
          </cell>
          <cell r="L34">
            <v>0</v>
          </cell>
          <cell r="M34">
            <v>178611</v>
          </cell>
          <cell r="N34">
            <v>0</v>
          </cell>
          <cell r="O34">
            <v>1869</v>
          </cell>
          <cell r="P34">
            <v>2199</v>
          </cell>
          <cell r="Q34">
            <v>183982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2477</v>
          </cell>
          <cell r="Y34">
            <v>0</v>
          </cell>
          <cell r="Z34">
            <v>139698</v>
          </cell>
          <cell r="AA34">
            <v>0</v>
          </cell>
          <cell r="AB34">
            <v>0</v>
          </cell>
          <cell r="AC34">
            <v>1944</v>
          </cell>
          <cell r="AD34">
            <v>0</v>
          </cell>
          <cell r="AE34">
            <v>366312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44681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628184</v>
          </cell>
          <cell r="H35">
            <v>0</v>
          </cell>
          <cell r="I35">
            <v>0</v>
          </cell>
          <cell r="J35">
            <v>0</v>
          </cell>
          <cell r="K35">
            <v>7073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5182</v>
          </cell>
          <cell r="U35">
            <v>0</v>
          </cell>
          <cell r="V35">
            <v>482</v>
          </cell>
          <cell r="W35">
            <v>0</v>
          </cell>
          <cell r="X35">
            <v>155276</v>
          </cell>
          <cell r="Y35">
            <v>0</v>
          </cell>
          <cell r="Z35">
            <v>99356</v>
          </cell>
          <cell r="AA35">
            <v>0</v>
          </cell>
          <cell r="AB35">
            <v>260</v>
          </cell>
          <cell r="AC35">
            <v>790</v>
          </cell>
          <cell r="AD35">
            <v>0</v>
          </cell>
          <cell r="AE35">
            <v>240.12</v>
          </cell>
          <cell r="AF35">
            <v>0</v>
          </cell>
          <cell r="AG35">
            <v>2222.14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R35">
            <v>44681</v>
          </cell>
          <cell r="AS35">
            <v>0.9</v>
          </cell>
          <cell r="AT35">
            <v>102</v>
          </cell>
          <cell r="AU35">
            <v>1.1000000000000001</v>
          </cell>
          <cell r="AV35">
            <v>95</v>
          </cell>
          <cell r="AW35">
            <v>2.9</v>
          </cell>
          <cell r="AX35">
            <v>102</v>
          </cell>
          <cell r="AY35">
            <v>91.8</v>
          </cell>
          <cell r="AZ35">
            <v>104.50000000000001</v>
          </cell>
          <cell r="BA35">
            <v>295.8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5">
        <row r="32">
          <cell r="A32">
            <v>44681</v>
          </cell>
          <cell r="B32">
            <v>11629</v>
          </cell>
          <cell r="C32">
            <v>0</v>
          </cell>
          <cell r="D32">
            <v>670266</v>
          </cell>
          <cell r="E32">
            <v>0</v>
          </cell>
          <cell r="F32">
            <v>0</v>
          </cell>
          <cell r="G32">
            <v>0</v>
          </cell>
          <cell r="H32">
            <v>11690</v>
          </cell>
          <cell r="I32" t="str">
            <v>ok</v>
          </cell>
          <cell r="J32">
            <v>10796</v>
          </cell>
          <cell r="K32">
            <v>0</v>
          </cell>
          <cell r="L32">
            <v>382191</v>
          </cell>
          <cell r="M32">
            <v>0</v>
          </cell>
          <cell r="N32">
            <v>250</v>
          </cell>
          <cell r="O32">
            <v>0</v>
          </cell>
          <cell r="P32">
            <v>10873</v>
          </cell>
          <cell r="Q32" t="str">
            <v>ok</v>
          </cell>
          <cell r="R32">
            <v>13880</v>
          </cell>
          <cell r="S32">
            <v>0</v>
          </cell>
          <cell r="T32">
            <v>409512</v>
          </cell>
          <cell r="U32">
            <v>0</v>
          </cell>
          <cell r="V32">
            <v>250</v>
          </cell>
          <cell r="W32">
            <v>0</v>
          </cell>
          <cell r="X32">
            <v>13873</v>
          </cell>
          <cell r="Y32" t="str">
            <v>oil change</v>
          </cell>
          <cell r="Z32">
            <v>0</v>
          </cell>
          <cell r="AA32">
            <v>0</v>
          </cell>
          <cell r="AB32">
            <v>500</v>
          </cell>
          <cell r="AC32">
            <v>0</v>
          </cell>
          <cell r="AD32">
            <v>0</v>
          </cell>
          <cell r="AE32" t="e">
            <v>#DIV/0!</v>
          </cell>
          <cell r="AF32" t="e">
            <v>#DIV/0!</v>
          </cell>
          <cell r="AG32" t="e">
            <v>#DIV/0!</v>
          </cell>
          <cell r="AH32" t="e">
            <v>#DIV/0!</v>
          </cell>
          <cell r="AI32">
            <v>0</v>
          </cell>
          <cell r="AJ32">
            <v>0.25738396624472576</v>
          </cell>
          <cell r="AK32" t="e">
            <v>#DIV/0!</v>
          </cell>
          <cell r="AL32">
            <v>0</v>
          </cell>
        </row>
      </sheetData>
      <sheetData sheetId="6">
        <row r="35">
          <cell r="A35">
            <v>44681</v>
          </cell>
          <cell r="B35">
            <v>233</v>
          </cell>
          <cell r="C35">
            <v>5013.2580645161288</v>
          </cell>
          <cell r="D35">
            <v>233</v>
          </cell>
          <cell r="E35">
            <v>5013.2580645161288</v>
          </cell>
          <cell r="F35">
            <v>233</v>
          </cell>
          <cell r="G35">
            <v>5013.2580645161288</v>
          </cell>
          <cell r="H35">
            <v>233</v>
          </cell>
          <cell r="I35">
            <v>5013.2580645161288</v>
          </cell>
          <cell r="J35">
            <v>233</v>
          </cell>
          <cell r="K35">
            <v>5013.2580645161288</v>
          </cell>
          <cell r="L35">
            <v>233</v>
          </cell>
          <cell r="M35">
            <v>5013.2580645161288</v>
          </cell>
          <cell r="N35">
            <v>233</v>
          </cell>
          <cell r="O35">
            <v>5013.2580645161288</v>
          </cell>
          <cell r="P35">
            <v>233</v>
          </cell>
          <cell r="Q35">
            <v>5013.2580645161288</v>
          </cell>
          <cell r="R35">
            <v>233</v>
          </cell>
          <cell r="S35">
            <v>5013.2580645161288</v>
          </cell>
          <cell r="T35">
            <v>233</v>
          </cell>
          <cell r="U35">
            <v>5013.2580645161288</v>
          </cell>
          <cell r="V35">
            <v>233</v>
          </cell>
          <cell r="W35">
            <v>5013.2580645161288</v>
          </cell>
          <cell r="X35">
            <v>0.75161290322580643</v>
          </cell>
          <cell r="Y35">
            <v>55145.838709677417</v>
          </cell>
          <cell r="Z35">
            <v>239</v>
          </cell>
          <cell r="AA35">
            <v>2390</v>
          </cell>
          <cell r="AB35">
            <v>239</v>
          </cell>
          <cell r="AC35">
            <v>2390</v>
          </cell>
          <cell r="AD35">
            <v>239</v>
          </cell>
          <cell r="AE35">
            <v>2390</v>
          </cell>
          <cell r="AF35">
            <v>239</v>
          </cell>
          <cell r="AG35">
            <v>2390</v>
          </cell>
          <cell r="AH35">
            <v>239</v>
          </cell>
          <cell r="AI35">
            <v>2390</v>
          </cell>
          <cell r="AJ35">
            <v>239</v>
          </cell>
          <cell r="AK35">
            <v>2390</v>
          </cell>
          <cell r="AL35">
            <v>239</v>
          </cell>
          <cell r="AM35">
            <v>2390</v>
          </cell>
          <cell r="AN35">
            <v>0.85357142857142854</v>
          </cell>
          <cell r="AO35">
            <v>16730</v>
          </cell>
          <cell r="AQ35">
            <v>0.77310787038482764</v>
          </cell>
          <cell r="AR35">
            <v>71875.838709677424</v>
          </cell>
          <cell r="AS35">
            <v>0</v>
          </cell>
          <cell r="AT35">
            <v>0</v>
          </cell>
          <cell r="AU35">
            <v>0</v>
          </cell>
          <cell r="AV35">
            <v>1.05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19224</v>
          </cell>
          <cell r="BE35" t="e">
            <v>#REF!</v>
          </cell>
          <cell r="BF35">
            <v>0</v>
          </cell>
          <cell r="BG35" t="e">
            <v>#REF!</v>
          </cell>
          <cell r="BH35">
            <v>0</v>
          </cell>
        </row>
      </sheetData>
      <sheetData sheetId="7">
        <row r="21">
          <cell r="W21">
            <v>44673</v>
          </cell>
        </row>
        <row r="26">
          <cell r="V26">
            <v>401347</v>
          </cell>
          <cell r="W26">
            <v>401437</v>
          </cell>
          <cell r="X26" t="str">
            <v>Night</v>
          </cell>
          <cell r="Y26">
            <v>80</v>
          </cell>
          <cell r="Z26">
            <v>1</v>
          </cell>
          <cell r="AA26">
            <v>90</v>
          </cell>
          <cell r="AB26">
            <v>7200</v>
          </cell>
          <cell r="AC26">
            <v>1033333</v>
          </cell>
          <cell r="AD26">
            <v>5.1487414187643021E-2</v>
          </cell>
        </row>
        <row r="27">
          <cell r="V27">
            <v>553475</v>
          </cell>
          <cell r="W27">
            <v>555135</v>
          </cell>
          <cell r="X27" t="str">
            <v>day</v>
          </cell>
          <cell r="Y27">
            <v>112</v>
          </cell>
          <cell r="Z27">
            <v>1</v>
          </cell>
          <cell r="AA27">
            <v>1660</v>
          </cell>
          <cell r="AB27">
            <v>185920</v>
          </cell>
          <cell r="AC27">
            <v>6200000</v>
          </cell>
          <cell r="AD27">
            <v>0.94965675057208254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1750</v>
          </cell>
          <cell r="AB29">
            <v>193120</v>
          </cell>
          <cell r="AC29">
            <v>7234333</v>
          </cell>
        </row>
        <row r="30">
          <cell r="W30">
            <v>0</v>
          </cell>
          <cell r="AB30">
            <v>7427453</v>
          </cell>
          <cell r="AC30">
            <v>0</v>
          </cell>
        </row>
        <row r="31">
          <cell r="AB31">
            <v>0</v>
          </cell>
          <cell r="AC31">
            <v>0</v>
          </cell>
        </row>
        <row r="32">
          <cell r="W32">
            <v>175</v>
          </cell>
          <cell r="X32">
            <v>29.166666666666668</v>
          </cell>
          <cell r="Y32">
            <v>29.166666666666668</v>
          </cell>
          <cell r="AB32">
            <v>0</v>
          </cell>
          <cell r="AC32">
            <v>0</v>
          </cell>
        </row>
        <row r="33">
          <cell r="A33">
            <v>44681</v>
          </cell>
          <cell r="B33">
            <v>1117981</v>
          </cell>
          <cell r="C33">
            <v>0</v>
          </cell>
          <cell r="D33">
            <v>0</v>
          </cell>
          <cell r="E33">
            <v>1117981</v>
          </cell>
          <cell r="F33">
            <v>161410</v>
          </cell>
          <cell r="G33">
            <v>0</v>
          </cell>
          <cell r="H33">
            <v>555135</v>
          </cell>
          <cell r="I33">
            <v>0</v>
          </cell>
          <cell r="J33">
            <v>401437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0</v>
          </cell>
          <cell r="R33">
            <v>159.96313985627418</v>
          </cell>
          <cell r="S33">
            <v>0</v>
          </cell>
          <cell r="T33">
            <v>0</v>
          </cell>
          <cell r="AB33">
            <v>817019.83</v>
          </cell>
          <cell r="AC33">
            <v>7234333</v>
          </cell>
        </row>
        <row r="34">
          <cell r="AB34">
            <v>8244472.8300000001</v>
          </cell>
          <cell r="AC34">
            <v>0</v>
          </cell>
        </row>
        <row r="35">
          <cell r="AB35">
            <v>0</v>
          </cell>
          <cell r="AC35">
            <v>0</v>
          </cell>
        </row>
        <row r="36">
          <cell r="AB36">
            <v>4927.0003316749589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44681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7073</v>
          </cell>
        </row>
      </sheetData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3">
          <cell r="AA33">
            <v>0.11</v>
          </cell>
        </row>
        <row r="34">
          <cell r="AA34">
            <v>0</v>
          </cell>
        </row>
        <row r="35">
          <cell r="AA35">
            <v>0</v>
          </cell>
        </row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157.19999999999999</v>
          </cell>
        </row>
        <row r="15">
          <cell r="D15">
            <v>0</v>
          </cell>
        </row>
        <row r="16">
          <cell r="D16">
            <v>20.951612903225808</v>
          </cell>
        </row>
        <row r="17">
          <cell r="D17">
            <v>0</v>
          </cell>
        </row>
        <row r="18">
          <cell r="D18">
            <v>172.73885330486587</v>
          </cell>
        </row>
        <row r="19">
          <cell r="E19">
            <v>0</v>
          </cell>
        </row>
      </sheetData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</sheetData>
      <sheetData sheetId="6" refreshError="1"/>
      <sheetData sheetId="7" refreshError="1"/>
      <sheetData sheetId="8" refreshError="1"/>
      <sheetData sheetId="9">
        <row r="116">
          <cell r="G116">
            <v>202.66666666666666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I29" sqref="I29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5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1.05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5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1.05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5</v>
      </c>
      <c r="D4">
        <f t="shared" ref="D4:D32" si="1">D3</f>
        <v>2022</v>
      </c>
      <c r="E4" s="203">
        <f>ELEC!N6</f>
        <v>6202</v>
      </c>
      <c r="F4" s="315">
        <f>SUM('EDl log'!T6)</f>
        <v>0.44211299786587382</v>
      </c>
      <c r="G4" s="203">
        <f>-tanks!AW8</f>
        <v>289</v>
      </c>
      <c r="H4" s="315">
        <f>tanks!AV8</f>
        <v>1.05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5</v>
      </c>
      <c r="D5">
        <f t="shared" si="1"/>
        <v>2022</v>
      </c>
      <c r="E5" s="203">
        <f>ELEC!N7</f>
        <v>4288</v>
      </c>
      <c r="F5" s="315">
        <f>SUM('EDl log'!T7)</f>
        <v>0.42958139107937837</v>
      </c>
      <c r="G5" s="203">
        <f>-tanks!AW9</f>
        <v>305</v>
      </c>
      <c r="H5" s="315">
        <f>tanks!AV9</f>
        <v>1.05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5</v>
      </c>
      <c r="D6">
        <f t="shared" si="1"/>
        <v>2022</v>
      </c>
      <c r="E6" s="203">
        <f>ELEC!N8</f>
        <v>3111</v>
      </c>
      <c r="F6" s="315">
        <f>SUM('EDl log'!T8)</f>
        <v>0.35317511945840163</v>
      </c>
      <c r="G6" s="203">
        <f>-tanks!AW10</f>
        <v>44</v>
      </c>
      <c r="H6" s="315">
        <f>tanks!AV10</f>
        <v>1.05</v>
      </c>
      <c r="I6" s="10">
        <f>('B5'!AU9)*0.51</f>
        <v>0</v>
      </c>
      <c r="J6" s="296">
        <f>'B5'!AX9/0.51</f>
        <v>1.5686274509803921</v>
      </c>
      <c r="K6" s="203">
        <f>WATER!I10</f>
        <v>103</v>
      </c>
      <c r="L6" s="316">
        <f>SUM(WATER!J10)</f>
        <v>2.3488881929220171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5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1.05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5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1.05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5</v>
      </c>
      <c r="D9">
        <f t="shared" si="1"/>
        <v>2022</v>
      </c>
      <c r="E9" s="203">
        <f>ELEC!N11</f>
        <v>3135</v>
      </c>
      <c r="F9" s="315">
        <f>SUM('EDl log'!T11)</f>
        <v>-0.15228628090532384</v>
      </c>
      <c r="G9" s="203">
        <f>-tanks!AW13</f>
        <v>259</v>
      </c>
      <c r="H9" s="315">
        <f>tanks!AV13</f>
        <v>1.085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5</v>
      </c>
      <c r="D10">
        <f t="shared" si="1"/>
        <v>2022</v>
      </c>
      <c r="E10" s="203">
        <f>ELEC!N12</f>
        <v>3445</v>
      </c>
      <c r="F10" s="315">
        <f>SUM('EDl log'!T12)</f>
        <v>0.40285827526226226</v>
      </c>
      <c r="G10" s="203">
        <f>-tanks!AW14</f>
        <v>101</v>
      </c>
      <c r="H10" s="315">
        <f>tanks!AV14</f>
        <v>1.085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5</v>
      </c>
      <c r="D11">
        <f t="shared" si="1"/>
        <v>2022</v>
      </c>
      <c r="E11" s="203">
        <f>ELEC!N13</f>
        <v>3157</v>
      </c>
      <c r="F11" s="315">
        <f>SUM('EDl log'!T13)</f>
        <v>0.3485517869794556</v>
      </c>
      <c r="G11" s="203">
        <f>-tanks!AW15</f>
        <v>45</v>
      </c>
      <c r="H11" s="315">
        <f>tanks!AV15</f>
        <v>1.085</v>
      </c>
      <c r="I11" s="10">
        <f>('B5'!AU14)*0.51</f>
        <v>0</v>
      </c>
      <c r="J11" s="296">
        <f>'B5'!AX14/0.51</f>
        <v>1.5686274509803921</v>
      </c>
      <c r="K11" s="203">
        <f>WATER!I15</f>
        <v>127</v>
      </c>
      <c r="L11" s="316">
        <f>SUM(WATER!J15)</f>
        <v>1.9050038100076201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5</v>
      </c>
      <c r="D12">
        <f t="shared" si="1"/>
        <v>2022</v>
      </c>
      <c r="E12" s="203">
        <f>ELEC!N14</f>
        <v>3105</v>
      </c>
      <c r="F12" s="315">
        <f>SUM('EDl log'!T14)</f>
        <v>0.41558067832706624</v>
      </c>
      <c r="G12" s="203">
        <f>-tanks!AW16</f>
        <v>192</v>
      </c>
      <c r="H12" s="315">
        <f>tanks!AV16</f>
        <v>1.085</v>
      </c>
      <c r="I12" s="10">
        <f>('B5'!AU15)*0.51</f>
        <v>0</v>
      </c>
      <c r="J12" s="296">
        <f>'B5'!AX15/0.51</f>
        <v>1.5686274509803921</v>
      </c>
      <c r="K12" s="203">
        <f>WATER!I16</f>
        <v>68</v>
      </c>
      <c r="L12" s="316">
        <f>SUM(WATER!J16)</f>
        <v>3.5578747628083494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5</v>
      </c>
      <c r="D13">
        <f t="shared" si="1"/>
        <v>2022</v>
      </c>
      <c r="E13" s="203">
        <f>ELEC!N15</f>
        <v>2743</v>
      </c>
      <c r="F13" s="315">
        <f>SUM('EDl log'!T15)</f>
        <v>0.48809617016505247</v>
      </c>
      <c r="G13" s="203">
        <f>-tanks!AW17</f>
        <v>131</v>
      </c>
      <c r="H13" s="315">
        <f>tanks!AV17</f>
        <v>1.085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5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1.085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5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1.085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5</v>
      </c>
      <c r="D16">
        <f t="shared" si="1"/>
        <v>2022</v>
      </c>
      <c r="E16" s="203">
        <f>ELEC!N18</f>
        <v>2817</v>
      </c>
      <c r="F16" s="315">
        <f>SUM('EDl log'!T18)</f>
        <v>0.35050465862085101</v>
      </c>
      <c r="G16" s="203">
        <f>-tanks!AW20</f>
        <v>157</v>
      </c>
      <c r="H16" s="315">
        <f>tanks!AV20</f>
        <v>1.085</v>
      </c>
      <c r="I16" s="10">
        <f>('B5'!AU19)*0.51</f>
        <v>0</v>
      </c>
      <c r="J16" s="296">
        <f>'B5'!AX19/0.51</f>
        <v>1.5686274509803921</v>
      </c>
      <c r="K16" s="203">
        <f>WATER!I20</f>
        <v>89</v>
      </c>
      <c r="L16" s="316">
        <f>SUM(WATER!J20)</f>
        <v>2.7183762232693005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5</v>
      </c>
      <c r="D17">
        <f t="shared" si="1"/>
        <v>2022</v>
      </c>
      <c r="E17" s="203">
        <f>ELEC!N19</f>
        <v>2812</v>
      </c>
      <c r="F17" s="315">
        <f>SUM('EDl log'!T19)</f>
        <v>0.3962219449639886</v>
      </c>
      <c r="G17" s="203">
        <f>-tanks!AW21</f>
        <v>113</v>
      </c>
      <c r="H17" s="315">
        <f>tanks!AV21</f>
        <v>1.085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5</v>
      </c>
      <c r="D18">
        <f t="shared" si="1"/>
        <v>2022</v>
      </c>
      <c r="E18" s="203">
        <f>ELEC!N20</f>
        <v>3010</v>
      </c>
      <c r="F18" s="315">
        <f>SUM('EDl log'!T20)</f>
        <v>0.31061388592529382</v>
      </c>
      <c r="G18" s="203">
        <f>-tanks!AW22</f>
        <v>126</v>
      </c>
      <c r="H18" s="315">
        <f>tanks!AV22</f>
        <v>1.085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5</v>
      </c>
      <c r="D19">
        <f t="shared" si="1"/>
        <v>2022</v>
      </c>
      <c r="E19" s="203">
        <f>ELEC!N21</f>
        <v>3148</v>
      </c>
      <c r="F19" s="315">
        <f>SUM('EDl log'!T21)</f>
        <v>0.47715855633569548</v>
      </c>
      <c r="G19" s="203">
        <f>-tanks!AW23</f>
        <v>213</v>
      </c>
      <c r="H19" s="315">
        <f>tanks!AV23</f>
        <v>1.085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5</v>
      </c>
      <c r="D20">
        <f t="shared" si="1"/>
        <v>2022</v>
      </c>
      <c r="E20" s="203">
        <f>ELEC!N22</f>
        <v>3248</v>
      </c>
      <c r="F20" s="315">
        <f>SUM('EDl log'!T22)</f>
        <v>0.34265097382084203</v>
      </c>
      <c r="G20" s="203">
        <f>-tanks!AW24</f>
        <v>61</v>
      </c>
      <c r="H20" s="315">
        <f>tanks!AV24</f>
        <v>1.085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5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1.085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5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1.085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5</v>
      </c>
      <c r="D23">
        <f t="shared" si="1"/>
        <v>2022</v>
      </c>
      <c r="E23" s="203">
        <f>ELEC!N25</f>
        <v>3609</v>
      </c>
      <c r="F23" s="315">
        <f>SUM('EDl log'!T25)</f>
        <v>1.5219556770769156</v>
      </c>
      <c r="G23" s="203">
        <f>-tanks!AW27</f>
        <v>136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244</v>
      </c>
      <c r="L23" s="316">
        <f>SUM(WATER!J27)</f>
        <v>0.99153886832363824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5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5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5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5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5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5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5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5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5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E31" sqref="E31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5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5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5</v>
      </c>
      <c r="D4">
        <v>2022</v>
      </c>
      <c r="E4" s="203">
        <f>ELEC!M6</f>
        <v>1162</v>
      </c>
      <c r="F4" s="203">
        <f>ELEC!K6</f>
        <v>2202</v>
      </c>
      <c r="G4" s="203">
        <f>ELEC!I6</f>
        <v>552</v>
      </c>
      <c r="H4" s="203">
        <f>ELEC!E6</f>
        <v>1900</v>
      </c>
      <c r="I4" s="203">
        <f>ELEC!G6</f>
        <v>386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5</v>
      </c>
      <c r="D5">
        <v>2022</v>
      </c>
      <c r="E5" s="203">
        <f>ELEC!M7</f>
        <v>980</v>
      </c>
      <c r="F5" s="203">
        <f>ELEC!K7</f>
        <v>1324</v>
      </c>
      <c r="G5" s="203">
        <f>ELEC!I7</f>
        <v>448</v>
      </c>
      <c r="H5" s="203">
        <f>ELEC!E7</f>
        <v>1240</v>
      </c>
      <c r="I5" s="203">
        <f>ELEC!G7</f>
        <v>296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5</v>
      </c>
      <c r="D6">
        <v>2022</v>
      </c>
      <c r="E6" s="203">
        <f>ELEC!M8</f>
        <v>880</v>
      </c>
      <c r="F6" s="203">
        <f>ELEC!K8</f>
        <v>742</v>
      </c>
      <c r="G6" s="203">
        <f>ELEC!I8</f>
        <v>428</v>
      </c>
      <c r="H6" s="203">
        <f>ELEC!E8</f>
        <v>780</v>
      </c>
      <c r="I6" s="203">
        <f>ELEC!G8</f>
        <v>281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5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5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5</v>
      </c>
      <c r="D9">
        <v>2022</v>
      </c>
      <c r="E9" s="203">
        <f>ELEC!M11</f>
        <v>780</v>
      </c>
      <c r="F9" s="203">
        <f>ELEC!K11</f>
        <v>624</v>
      </c>
      <c r="G9" s="203">
        <f>ELEC!I11</f>
        <v>364</v>
      </c>
      <c r="H9" s="203">
        <f>ELEC!E11</f>
        <v>1110</v>
      </c>
      <c r="I9" s="203">
        <f>ELEC!G11</f>
        <v>257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5</v>
      </c>
      <c r="D10">
        <v>2022</v>
      </c>
      <c r="E10" s="203">
        <f>ELEC!M12</f>
        <v>1016</v>
      </c>
      <c r="F10" s="203">
        <f>ELEC!K12</f>
        <v>712</v>
      </c>
      <c r="G10" s="203">
        <f>ELEC!I12</f>
        <v>530</v>
      </c>
      <c r="H10" s="203">
        <f>ELEC!E12</f>
        <v>840</v>
      </c>
      <c r="I10" s="203">
        <f>ELEC!G12</f>
        <v>347</v>
      </c>
      <c r="J10" s="203">
        <f>WATER!Y14</f>
        <v>89</v>
      </c>
      <c r="K10" s="203">
        <f>WATER!AJ14</f>
        <v>27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5</v>
      </c>
      <c r="D11">
        <v>2022</v>
      </c>
      <c r="E11" s="203">
        <f>ELEC!M13</f>
        <v>976</v>
      </c>
      <c r="F11" s="203">
        <f>ELEC!K13</f>
        <v>620</v>
      </c>
      <c r="G11" s="203">
        <f>ELEC!I13</f>
        <v>486</v>
      </c>
      <c r="H11" s="203">
        <f>ELEC!E13</f>
        <v>770</v>
      </c>
      <c r="I11" s="203">
        <f>ELEC!G13</f>
        <v>305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5</v>
      </c>
      <c r="D12">
        <v>2022</v>
      </c>
      <c r="E12" s="203">
        <f>ELEC!M14</f>
        <v>908</v>
      </c>
      <c r="F12" s="203">
        <f>ELEC!K14</f>
        <v>638</v>
      </c>
      <c r="G12" s="203">
        <f>ELEC!I14</f>
        <v>488</v>
      </c>
      <c r="H12" s="203">
        <f>ELEC!E14</f>
        <v>770</v>
      </c>
      <c r="I12" s="203">
        <f>ELEC!G14</f>
        <v>301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5</v>
      </c>
      <c r="D13">
        <v>2022</v>
      </c>
      <c r="E13" s="203">
        <f>ELEC!M15</f>
        <v>766</v>
      </c>
      <c r="F13" s="203">
        <f>ELEC!K15</f>
        <v>564</v>
      </c>
      <c r="G13" s="203">
        <f>ELEC!I15</f>
        <v>436</v>
      </c>
      <c r="H13" s="203">
        <f>ELEC!E15</f>
        <v>690</v>
      </c>
      <c r="I13" s="203">
        <f>ELEC!G15</f>
        <v>287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5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5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5</v>
      </c>
      <c r="D16">
        <v>2022</v>
      </c>
      <c r="E16" s="203">
        <f>ELEC!M18</f>
        <v>832</v>
      </c>
      <c r="F16" s="203">
        <f>ELEC!K18</f>
        <v>560</v>
      </c>
      <c r="G16" s="203">
        <f>ELEC!I18</f>
        <v>424</v>
      </c>
      <c r="H16" s="203">
        <f>ELEC!E18</f>
        <v>720</v>
      </c>
      <c r="I16" s="203">
        <f>ELEC!G18</f>
        <v>281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5</v>
      </c>
      <c r="D17">
        <v>2022</v>
      </c>
      <c r="E17" s="203">
        <f>ELEC!M19</f>
        <v>904</v>
      </c>
      <c r="F17" s="203">
        <f>ELEC!K19</f>
        <v>606</v>
      </c>
      <c r="G17" s="203">
        <f>ELEC!I19</f>
        <v>404</v>
      </c>
      <c r="H17" s="203">
        <f>ELEC!E19</f>
        <v>620</v>
      </c>
      <c r="I17" s="203">
        <f>ELEC!G19</f>
        <v>278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5</v>
      </c>
      <c r="D18">
        <v>2022</v>
      </c>
      <c r="E18" s="203">
        <f>ELEC!M20</f>
        <v>870</v>
      </c>
      <c r="F18" s="203">
        <f>ELEC!K20</f>
        <v>768</v>
      </c>
      <c r="G18" s="203">
        <f>ELEC!I20</f>
        <v>414</v>
      </c>
      <c r="H18" s="203">
        <f>ELEC!E20</f>
        <v>640</v>
      </c>
      <c r="I18" s="203">
        <f>ELEC!G20</f>
        <v>318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5</v>
      </c>
      <c r="D19">
        <v>2022</v>
      </c>
      <c r="E19" s="203">
        <f>ELEC!M21</f>
        <v>956</v>
      </c>
      <c r="F19" s="203">
        <f>ELEC!K21</f>
        <v>816</v>
      </c>
      <c r="G19" s="203">
        <f>ELEC!I21</f>
        <v>442</v>
      </c>
      <c r="H19" s="203">
        <f>ELEC!E21</f>
        <v>690</v>
      </c>
      <c r="I19" s="203">
        <f>ELEC!G21</f>
        <v>244</v>
      </c>
      <c r="J19" s="203">
        <f>WATER!Y23</f>
        <v>159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5</v>
      </c>
      <c r="D20">
        <v>2022</v>
      </c>
      <c r="E20" s="203">
        <f>ELEC!M22</f>
        <v>948</v>
      </c>
      <c r="F20" s="203">
        <f>ELEC!K22</f>
        <v>820</v>
      </c>
      <c r="G20" s="203">
        <f>ELEC!I22</f>
        <v>450</v>
      </c>
      <c r="H20" s="203">
        <f>ELEC!E22</f>
        <v>720</v>
      </c>
      <c r="I20" s="203">
        <f>ELEC!G22</f>
        <v>310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5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5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5</v>
      </c>
      <c r="D23">
        <v>2022</v>
      </c>
      <c r="E23" s="203">
        <f>ELEC!M25</f>
        <v>1028</v>
      </c>
      <c r="F23" s="203">
        <f>ELEC!K25</f>
        <v>1014</v>
      </c>
      <c r="G23" s="203">
        <f>ELEC!I25</f>
        <v>462</v>
      </c>
      <c r="H23" s="203">
        <f>ELEC!E25</f>
        <v>780</v>
      </c>
      <c r="I23" s="203">
        <f>ELEC!G25</f>
        <v>325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5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5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5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5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5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5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5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5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5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3" activePane="bottomLeft" state="frozen"/>
      <selection activeCell="C1" sqref="C1"/>
      <selection pane="bottomLeft" activeCell="Q25" sqref="Q25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44681</v>
      </c>
      <c r="D3" s="591">
        <f>[2]ELEC!D33</f>
        <v>286340</v>
      </c>
      <c r="E3" s="591">
        <f>[2]ELEC!E33</f>
        <v>0</v>
      </c>
      <c r="F3" s="591">
        <f>[2]ELEC!F33</f>
        <v>4130656</v>
      </c>
      <c r="G3" s="591">
        <f>[2]ELEC!G33</f>
        <v>0</v>
      </c>
      <c r="H3" s="591">
        <f>[2]ELEC!H33</f>
        <v>18038570</v>
      </c>
      <c r="I3" s="591">
        <f>[2]ELEC!I33</f>
        <v>0</v>
      </c>
      <c r="J3" s="591">
        <f>[2]ELEC!J33</f>
        <v>29783774</v>
      </c>
      <c r="K3" s="591">
        <f>[2]ELEC!K33</f>
        <v>0</v>
      </c>
      <c r="L3" s="591">
        <f>[2]ELEC!L33</f>
        <v>24577264</v>
      </c>
      <c r="M3" s="591">
        <f>[2]ELEC!M33</f>
        <v>0</v>
      </c>
      <c r="N3" s="591">
        <f>[2]ELEC!N33</f>
        <v>0</v>
      </c>
      <c r="O3" s="591">
        <f>[2]ELEC!O33</f>
        <v>0</v>
      </c>
      <c r="P3" s="591">
        <f>[2]ELEC!P33</f>
        <v>19199.525000000001</v>
      </c>
      <c r="Q3" s="591">
        <f>[2]ELEC!Q33</f>
        <v>0</v>
      </c>
      <c r="R3" s="591">
        <f>[2]ELEC!R33</f>
        <v>0</v>
      </c>
      <c r="S3" s="591">
        <f>[2]ELEC!S33</f>
        <v>10175</v>
      </c>
      <c r="T3" s="591">
        <f>[2]ELEC!T33</f>
        <v>0</v>
      </c>
      <c r="U3" s="591">
        <f>[2]ELEC!U33</f>
        <v>429166</v>
      </c>
      <c r="V3" s="591">
        <f>[2]ELEC!V33</f>
        <v>0</v>
      </c>
      <c r="W3" s="591">
        <f>[2]ELEC!W33</f>
        <v>33484</v>
      </c>
      <c r="X3" s="591">
        <f>[2]ELEC!X33</f>
        <v>0</v>
      </c>
      <c r="Y3" s="591">
        <f>[2]ELEC!Y33</f>
        <v>996900</v>
      </c>
      <c r="Z3" s="591">
        <f>[2]ELEC!Z33</f>
        <v>0</v>
      </c>
      <c r="AA3" s="591">
        <f>[2]ELEC!AA33</f>
        <v>36796</v>
      </c>
      <c r="AB3" s="591">
        <f>[2]ELEC!AB33</f>
        <v>0</v>
      </c>
      <c r="AC3" s="591">
        <f>[2]ELEC!AC33</f>
        <v>1170505</v>
      </c>
      <c r="AD3" s="591">
        <f>[2]ELEC!AD33</f>
        <v>0</v>
      </c>
      <c r="AE3" s="591">
        <f>[2]ELEC!AE33</f>
        <v>0</v>
      </c>
      <c r="AF3" s="591">
        <f>[2]ELEC!AF33</f>
        <v>0</v>
      </c>
      <c r="AG3" s="591">
        <f>[2]ELEC!AG33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44682</v>
      </c>
      <c r="D4" s="592">
        <f>D3</f>
        <v>286340</v>
      </c>
      <c r="E4" s="580">
        <f>D4-D3</f>
        <v>0</v>
      </c>
      <c r="F4" s="569">
        <f>F3</f>
        <v>4130656</v>
      </c>
      <c r="G4" s="581">
        <f>F4-F3</f>
        <v>0</v>
      </c>
      <c r="H4" s="426">
        <f>H3</f>
        <v>18038570</v>
      </c>
      <c r="I4" s="581">
        <f>H4-H3</f>
        <v>0</v>
      </c>
      <c r="J4" s="426">
        <f>J3</f>
        <v>29783774</v>
      </c>
      <c r="K4" s="581">
        <f>J4-J3</f>
        <v>0</v>
      </c>
      <c r="L4" s="426">
        <f>L3</f>
        <v>24577264</v>
      </c>
      <c r="M4" s="581">
        <f>L4-L3</f>
        <v>0</v>
      </c>
      <c r="N4" s="427">
        <f>M4+K4+I4+G4+E4</f>
        <v>0</v>
      </c>
      <c r="O4" s="438">
        <f t="shared" ref="O4:O10" si="0">IF(B4&gt;0,N4/B4,0)</f>
        <v>0</v>
      </c>
      <c r="P4" s="563">
        <f>P3</f>
        <v>19199.525000000001</v>
      </c>
      <c r="Q4" s="446">
        <f t="shared" ref="Q4:Q31" si="1">(P4-P3)*1000</f>
        <v>0</v>
      </c>
      <c r="R4" s="547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44683</v>
      </c>
      <c r="D5" s="592">
        <f t="shared" ref="D5:D17" si="7">D4</f>
        <v>286340</v>
      </c>
      <c r="E5" s="580">
        <f t="shared" ref="E5:E34" si="8">D5-D4</f>
        <v>0</v>
      </c>
      <c r="F5" s="569">
        <f t="shared" ref="F5:F34" si="9">F4</f>
        <v>4130656</v>
      </c>
      <c r="G5" s="449">
        <f>F5-F4</f>
        <v>0</v>
      </c>
      <c r="H5" s="426">
        <f t="shared" ref="H5:H34" si="10">H4</f>
        <v>18038570</v>
      </c>
      <c r="I5" s="449">
        <f>H5-H4</f>
        <v>0</v>
      </c>
      <c r="J5" s="426">
        <f t="shared" ref="J5:J34" si="11">J4</f>
        <v>29783774</v>
      </c>
      <c r="K5" s="449">
        <f>J5-J4</f>
        <v>0</v>
      </c>
      <c r="L5" s="426">
        <f t="shared" ref="L5:L34" si="12">L4</f>
        <v>24577264</v>
      </c>
      <c r="M5" s="449">
        <f>L5-L4</f>
        <v>0</v>
      </c>
      <c r="N5" s="297">
        <f>M5+K5+I5+G5+E5</f>
        <v>0</v>
      </c>
      <c r="O5" s="445">
        <f t="shared" si="0"/>
        <v>0</v>
      </c>
      <c r="P5" s="563">
        <f t="shared" ref="P5:P34" si="13">P4</f>
        <v>19199.525000000001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1170505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44684</v>
      </c>
      <c r="D6" s="592">
        <v>288240</v>
      </c>
      <c r="E6" s="580">
        <f t="shared" ref="E6:E7" si="21">D6-D5</f>
        <v>1900</v>
      </c>
      <c r="F6" s="569">
        <v>4131042</v>
      </c>
      <c r="G6" s="449">
        <f t="shared" ref="G6:G7" si="22">F6-F5</f>
        <v>386</v>
      </c>
      <c r="H6" s="426">
        <v>18039122</v>
      </c>
      <c r="I6" s="449">
        <f t="shared" ref="I6:I7" si="23">H6-H5</f>
        <v>552</v>
      </c>
      <c r="J6" s="426">
        <v>29785976</v>
      </c>
      <c r="K6" s="449">
        <f t="shared" ref="K6:K7" si="24">J6-J5</f>
        <v>2202</v>
      </c>
      <c r="L6" s="426">
        <v>24578426</v>
      </c>
      <c r="M6" s="449">
        <f t="shared" ref="M6:M7" si="25">L6-L5</f>
        <v>1162</v>
      </c>
      <c r="N6" s="297">
        <f t="shared" ref="N6:N7" si="26">M6+K6+I6+G6+E6</f>
        <v>6202</v>
      </c>
      <c r="O6" s="445">
        <f t="shared" ref="O6:O7" si="27">IF(B6&gt;0,N6/B6,0)</f>
        <v>0</v>
      </c>
      <c r="P6" s="563">
        <v>19205.543000000001</v>
      </c>
      <c r="Q6" s="446">
        <f t="shared" ref="Q6:Q7" si="28">(P6-P5)*1000</f>
        <v>6018.0000000000291</v>
      </c>
      <c r="R6" s="428">
        <f>N6-Q6</f>
        <v>183.9999999999709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9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30">AA6-AA5</f>
        <v>0</v>
      </c>
      <c r="AC6" s="426">
        <f t="shared" si="19"/>
        <v>1170505</v>
      </c>
      <c r="AD6" s="428">
        <f t="shared" ref="AD6:AD17" si="31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44685</v>
      </c>
      <c r="D7" s="592">
        <v>289480</v>
      </c>
      <c r="E7" s="580">
        <f t="shared" si="21"/>
        <v>1240</v>
      </c>
      <c r="F7" s="569">
        <v>4131338</v>
      </c>
      <c r="G7" s="449">
        <f t="shared" si="22"/>
        <v>296</v>
      </c>
      <c r="H7" s="426">
        <v>18039570</v>
      </c>
      <c r="I7" s="449">
        <f t="shared" si="23"/>
        <v>448</v>
      </c>
      <c r="J7" s="426">
        <v>29787300</v>
      </c>
      <c r="K7" s="449">
        <f t="shared" si="24"/>
        <v>1324</v>
      </c>
      <c r="L7" s="426">
        <v>24579406</v>
      </c>
      <c r="M7" s="449">
        <f t="shared" si="25"/>
        <v>980</v>
      </c>
      <c r="N7" s="297">
        <f t="shared" si="26"/>
        <v>4288</v>
      </c>
      <c r="O7" s="445">
        <f t="shared" si="27"/>
        <v>0</v>
      </c>
      <c r="P7" s="563">
        <v>19209.517</v>
      </c>
      <c r="Q7" s="446">
        <f t="shared" si="28"/>
        <v>3973.9999999983411</v>
      </c>
      <c r="R7" s="428">
        <f t="shared" ref="R7:R18" si="32">N7-Q7</f>
        <v>314.00000000165892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9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11</v>
      </c>
      <c r="AE7" s="450">
        <f t="shared" si="20"/>
        <v>0</v>
      </c>
      <c r="AF7" s="451">
        <f t="shared" si="4"/>
        <v>11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44686</v>
      </c>
      <c r="D8" s="592">
        <v>290260</v>
      </c>
      <c r="E8" s="580">
        <f t="shared" si="8"/>
        <v>780</v>
      </c>
      <c r="F8" s="569">
        <v>4131619</v>
      </c>
      <c r="G8" s="449">
        <f t="shared" ref="G8:G34" si="34">F8-F7</f>
        <v>281</v>
      </c>
      <c r="H8" s="426">
        <v>18039998</v>
      </c>
      <c r="I8" s="449">
        <f t="shared" ref="I8:I34" si="35">H8-H7</f>
        <v>428</v>
      </c>
      <c r="J8" s="426">
        <v>29788042</v>
      </c>
      <c r="K8" s="449">
        <f t="shared" ref="K8:K34" si="36">J8-J7</f>
        <v>742</v>
      </c>
      <c r="L8" s="426">
        <v>24580286</v>
      </c>
      <c r="M8" s="449">
        <f t="shared" ref="M8:M31" si="37">L8-L7</f>
        <v>880</v>
      </c>
      <c r="N8" s="297">
        <f t="shared" ref="N8:N31" si="38">M8+K8+I8+G8+E8</f>
        <v>3111</v>
      </c>
      <c r="O8" s="445">
        <f t="shared" si="0"/>
        <v>0</v>
      </c>
      <c r="P8" s="563">
        <v>19212.417000000001</v>
      </c>
      <c r="Q8" s="446">
        <f t="shared" si="1"/>
        <v>2900.0000000014552</v>
      </c>
      <c r="R8" s="428">
        <f t="shared" si="32"/>
        <v>210.99999999854481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9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3"/>
        <v>0</v>
      </c>
      <c r="AA8" s="426">
        <f t="shared" si="18"/>
        <v>36796</v>
      </c>
      <c r="AB8" s="428">
        <f t="shared" si="30"/>
        <v>0</v>
      </c>
      <c r="AC8" s="426">
        <f t="shared" si="19"/>
        <v>1170516</v>
      </c>
      <c r="AD8" s="428">
        <f t="shared" si="31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44687</v>
      </c>
      <c r="D9" s="592">
        <f t="shared" si="7"/>
        <v>290260</v>
      </c>
      <c r="E9" s="580">
        <f t="shared" si="8"/>
        <v>0</v>
      </c>
      <c r="F9" s="569">
        <f t="shared" si="9"/>
        <v>4131619</v>
      </c>
      <c r="G9" s="449">
        <f t="shared" si="34"/>
        <v>0</v>
      </c>
      <c r="H9" s="426">
        <f t="shared" si="10"/>
        <v>18039998</v>
      </c>
      <c r="I9" s="449">
        <f t="shared" si="35"/>
        <v>0</v>
      </c>
      <c r="J9" s="426">
        <f t="shared" si="11"/>
        <v>29788042</v>
      </c>
      <c r="K9" s="449">
        <f t="shared" si="36"/>
        <v>0</v>
      </c>
      <c r="L9" s="426">
        <f t="shared" si="12"/>
        <v>24580286</v>
      </c>
      <c r="M9" s="449">
        <f t="shared" si="37"/>
        <v>0</v>
      </c>
      <c r="N9" s="297">
        <f t="shared" si="38"/>
        <v>0</v>
      </c>
      <c r="O9" s="445">
        <f t="shared" si="0"/>
        <v>0</v>
      </c>
      <c r="P9" s="563">
        <f t="shared" si="13"/>
        <v>19212.417000000001</v>
      </c>
      <c r="Q9" s="446">
        <f t="shared" si="1"/>
        <v>0</v>
      </c>
      <c r="R9" s="428">
        <f t="shared" si="32"/>
        <v>0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9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3"/>
        <v>0</v>
      </c>
      <c r="AA9" s="426">
        <f t="shared" si="18"/>
        <v>36796</v>
      </c>
      <c r="AB9" s="428">
        <f t="shared" si="30"/>
        <v>0</v>
      </c>
      <c r="AC9" s="426">
        <f t="shared" si="19"/>
        <v>1170516</v>
      </c>
      <c r="AD9" s="428">
        <f t="shared" si="31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44688</v>
      </c>
      <c r="D10" s="592">
        <f t="shared" si="7"/>
        <v>290260</v>
      </c>
      <c r="E10" s="580">
        <f t="shared" si="8"/>
        <v>0</v>
      </c>
      <c r="F10" s="569">
        <f t="shared" si="9"/>
        <v>4131619</v>
      </c>
      <c r="G10" s="449">
        <f t="shared" si="34"/>
        <v>0</v>
      </c>
      <c r="H10" s="426">
        <f t="shared" si="10"/>
        <v>18039998</v>
      </c>
      <c r="I10" s="449">
        <f t="shared" si="35"/>
        <v>0</v>
      </c>
      <c r="J10" s="426">
        <f t="shared" si="11"/>
        <v>29788042</v>
      </c>
      <c r="K10" s="449">
        <f t="shared" si="36"/>
        <v>0</v>
      </c>
      <c r="L10" s="426">
        <f t="shared" si="12"/>
        <v>24580286</v>
      </c>
      <c r="M10" s="449">
        <f t="shared" si="37"/>
        <v>0</v>
      </c>
      <c r="N10" s="297">
        <f t="shared" si="38"/>
        <v>0</v>
      </c>
      <c r="O10" s="445">
        <f t="shared" si="0"/>
        <v>0</v>
      </c>
      <c r="P10" s="563">
        <f t="shared" si="13"/>
        <v>19212.417000000001</v>
      </c>
      <c r="Q10" s="446">
        <f t="shared" si="1"/>
        <v>0</v>
      </c>
      <c r="R10" s="428">
        <f t="shared" si="32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9"/>
        <v>0</v>
      </c>
      <c r="W10" s="426">
        <f t="shared" si="16"/>
        <v>33484</v>
      </c>
      <c r="X10" s="428">
        <f t="shared" ref="X10:X31" si="39">W10-W9</f>
        <v>0</v>
      </c>
      <c r="Y10" s="426">
        <f t="shared" si="17"/>
        <v>996900</v>
      </c>
      <c r="Z10" s="428">
        <f t="shared" si="33"/>
        <v>0</v>
      </c>
      <c r="AA10" s="426">
        <f t="shared" si="18"/>
        <v>36796</v>
      </c>
      <c r="AB10" s="428">
        <f t="shared" si="30"/>
        <v>0</v>
      </c>
      <c r="AC10" s="426">
        <f t="shared" si="19"/>
        <v>1170516</v>
      </c>
      <c r="AD10" s="428">
        <f t="shared" si="31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44689</v>
      </c>
      <c r="D11" s="592">
        <v>291370</v>
      </c>
      <c r="E11" s="580">
        <f t="shared" si="8"/>
        <v>1110</v>
      </c>
      <c r="F11" s="569">
        <v>4131876</v>
      </c>
      <c r="G11" s="449">
        <f t="shared" si="34"/>
        <v>257</v>
      </c>
      <c r="H11" s="426">
        <v>18040362</v>
      </c>
      <c r="I11" s="449">
        <f t="shared" si="35"/>
        <v>364</v>
      </c>
      <c r="J11" s="426">
        <v>29788666</v>
      </c>
      <c r="K11" s="449">
        <f t="shared" si="36"/>
        <v>624</v>
      </c>
      <c r="L11" s="426">
        <v>24581066</v>
      </c>
      <c r="M11" s="449">
        <f t="shared" si="37"/>
        <v>780</v>
      </c>
      <c r="N11" s="297">
        <f t="shared" si="38"/>
        <v>3135</v>
      </c>
      <c r="O11" s="445">
        <f t="shared" ref="O11:O31" si="40">IF(B11&gt;0,N11/B11,0)</f>
        <v>0</v>
      </c>
      <c r="P11" s="563">
        <v>19215.397000000001</v>
      </c>
      <c r="Q11" s="446">
        <f t="shared" si="1"/>
        <v>2979.9999999995634</v>
      </c>
      <c r="R11" s="428">
        <f t="shared" si="32"/>
        <v>155.00000000043656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9"/>
        <v>0</v>
      </c>
      <c r="W11" s="426">
        <f t="shared" si="16"/>
        <v>33484</v>
      </c>
      <c r="X11" s="428">
        <f t="shared" si="39"/>
        <v>0</v>
      </c>
      <c r="Y11" s="426">
        <f t="shared" si="17"/>
        <v>996900</v>
      </c>
      <c r="Z11" s="428">
        <f t="shared" si="33"/>
        <v>0</v>
      </c>
      <c r="AA11" s="426">
        <f t="shared" si="18"/>
        <v>36796</v>
      </c>
      <c r="AB11" s="428">
        <f t="shared" si="30"/>
        <v>0</v>
      </c>
      <c r="AC11" s="426">
        <f t="shared" si="19"/>
        <v>1170516</v>
      </c>
      <c r="AD11" s="428">
        <f t="shared" si="31"/>
        <v>0</v>
      </c>
      <c r="AE11" s="450">
        <f t="shared" si="20"/>
        <v>0</v>
      </c>
      <c r="AF11" s="451">
        <f t="shared" si="4"/>
        <v>0</v>
      </c>
      <c r="AG11" s="443">
        <f t="shared" ref="AG11:AG32" si="41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44690</v>
      </c>
      <c r="D12" s="592">
        <v>292210</v>
      </c>
      <c r="E12" s="580">
        <f>D12-D11</f>
        <v>840</v>
      </c>
      <c r="F12" s="569">
        <v>4132223</v>
      </c>
      <c r="G12" s="449">
        <f t="shared" si="34"/>
        <v>347</v>
      </c>
      <c r="H12" s="426">
        <v>18040892</v>
      </c>
      <c r="I12" s="449">
        <f t="shared" si="35"/>
        <v>530</v>
      </c>
      <c r="J12" s="426">
        <v>29789378</v>
      </c>
      <c r="K12" s="449">
        <f t="shared" si="36"/>
        <v>712</v>
      </c>
      <c r="L12" s="426">
        <v>24582082</v>
      </c>
      <c r="M12" s="449">
        <f t="shared" si="37"/>
        <v>1016</v>
      </c>
      <c r="N12" s="297">
        <f>M12+K12+I12+G12+E12</f>
        <v>3445</v>
      </c>
      <c r="O12" s="445">
        <f t="shared" si="40"/>
        <v>0</v>
      </c>
      <c r="P12" s="563">
        <v>19218.530999999999</v>
      </c>
      <c r="Q12" s="446">
        <f t="shared" si="1"/>
        <v>3133.9999999981956</v>
      </c>
      <c r="R12" s="594">
        <f>N12-Q12</f>
        <v>311.00000000180444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9"/>
        <v>0</v>
      </c>
      <c r="W12" s="426">
        <f t="shared" si="16"/>
        <v>33484</v>
      </c>
      <c r="X12" s="428">
        <f t="shared" si="39"/>
        <v>0</v>
      </c>
      <c r="Y12" s="426">
        <f t="shared" si="17"/>
        <v>996900</v>
      </c>
      <c r="Z12" s="428">
        <f t="shared" si="33"/>
        <v>0</v>
      </c>
      <c r="AA12" s="426">
        <f t="shared" si="18"/>
        <v>36796</v>
      </c>
      <c r="AB12" s="428">
        <f t="shared" si="30"/>
        <v>0</v>
      </c>
      <c r="AC12" s="426">
        <f t="shared" si="19"/>
        <v>1170516</v>
      </c>
      <c r="AD12" s="428">
        <f t="shared" si="31"/>
        <v>0</v>
      </c>
      <c r="AE12" s="450">
        <f t="shared" si="20"/>
        <v>0</v>
      </c>
      <c r="AF12" s="451">
        <f t="shared" si="4"/>
        <v>0</v>
      </c>
      <c r="AG12" s="443">
        <f t="shared" si="41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44691</v>
      </c>
      <c r="D13" s="592">
        <v>292980</v>
      </c>
      <c r="E13" s="580">
        <f t="shared" si="8"/>
        <v>770</v>
      </c>
      <c r="F13" s="569">
        <v>4132528</v>
      </c>
      <c r="G13" s="449">
        <f t="shared" si="34"/>
        <v>305</v>
      </c>
      <c r="H13" s="426">
        <v>18041378</v>
      </c>
      <c r="I13" s="449">
        <f t="shared" si="35"/>
        <v>486</v>
      </c>
      <c r="J13" s="426">
        <v>29789998</v>
      </c>
      <c r="K13" s="449">
        <f t="shared" si="36"/>
        <v>620</v>
      </c>
      <c r="L13" s="426">
        <v>24583058</v>
      </c>
      <c r="M13" s="449">
        <f t="shared" si="37"/>
        <v>976</v>
      </c>
      <c r="N13" s="297">
        <f>M13+K13+I13+G13+E13</f>
        <v>3157</v>
      </c>
      <c r="O13" s="445">
        <f t="shared" si="40"/>
        <v>0</v>
      </c>
      <c r="P13" s="563">
        <v>19221.399000000001</v>
      </c>
      <c r="Q13" s="446">
        <f t="shared" si="1"/>
        <v>2868.0000000022119</v>
      </c>
      <c r="R13" s="428">
        <f t="shared" si="32"/>
        <v>288.99999999778811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9"/>
        <v>0</v>
      </c>
      <c r="W13" s="426">
        <f t="shared" si="16"/>
        <v>33484</v>
      </c>
      <c r="X13" s="428">
        <f t="shared" si="39"/>
        <v>0</v>
      </c>
      <c r="Y13" s="426">
        <f t="shared" si="17"/>
        <v>996900</v>
      </c>
      <c r="Z13" s="428">
        <f t="shared" si="33"/>
        <v>0</v>
      </c>
      <c r="AA13" s="426">
        <f t="shared" si="18"/>
        <v>36796</v>
      </c>
      <c r="AB13" s="428">
        <f t="shared" si="30"/>
        <v>0</v>
      </c>
      <c r="AC13" s="426">
        <f t="shared" si="19"/>
        <v>1170516</v>
      </c>
      <c r="AD13" s="428">
        <f t="shared" si="31"/>
        <v>0</v>
      </c>
      <c r="AE13" s="450">
        <f t="shared" si="20"/>
        <v>0</v>
      </c>
      <c r="AF13" s="451">
        <f t="shared" si="4"/>
        <v>0</v>
      </c>
      <c r="AG13" s="443">
        <f t="shared" si="41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44692</v>
      </c>
      <c r="D14" s="592">
        <v>293750</v>
      </c>
      <c r="E14" s="580">
        <f t="shared" si="8"/>
        <v>770</v>
      </c>
      <c r="F14" s="569">
        <v>4132829</v>
      </c>
      <c r="G14" s="449">
        <f t="shared" si="34"/>
        <v>301</v>
      </c>
      <c r="H14" s="426">
        <v>18041866</v>
      </c>
      <c r="I14" s="449">
        <f t="shared" si="35"/>
        <v>488</v>
      </c>
      <c r="J14" s="426">
        <v>29790636</v>
      </c>
      <c r="K14" s="449">
        <f t="shared" si="36"/>
        <v>638</v>
      </c>
      <c r="L14" s="426">
        <v>24583966</v>
      </c>
      <c r="M14" s="449">
        <f t="shared" si="37"/>
        <v>908</v>
      </c>
      <c r="N14" s="297">
        <f t="shared" si="38"/>
        <v>3105</v>
      </c>
      <c r="O14" s="445">
        <f t="shared" si="40"/>
        <v>0</v>
      </c>
      <c r="P14" s="563">
        <v>19224.400000000001</v>
      </c>
      <c r="Q14" s="446">
        <f t="shared" si="1"/>
        <v>3001.0000000002037</v>
      </c>
      <c r="R14" s="428">
        <f t="shared" si="32"/>
        <v>103.99999999979627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9"/>
        <v>0</v>
      </c>
      <c r="W14" s="426">
        <f t="shared" si="16"/>
        <v>33484</v>
      </c>
      <c r="X14" s="428">
        <f t="shared" si="39"/>
        <v>0</v>
      </c>
      <c r="Y14" s="426">
        <f t="shared" si="17"/>
        <v>996900</v>
      </c>
      <c r="Z14" s="428">
        <f t="shared" si="33"/>
        <v>0</v>
      </c>
      <c r="AA14" s="426">
        <f t="shared" si="18"/>
        <v>36796</v>
      </c>
      <c r="AB14" s="428">
        <f t="shared" si="30"/>
        <v>0</v>
      </c>
      <c r="AC14" s="426">
        <f t="shared" si="19"/>
        <v>1170516</v>
      </c>
      <c r="AD14" s="428">
        <f t="shared" si="31"/>
        <v>0</v>
      </c>
      <c r="AE14" s="450">
        <f t="shared" si="20"/>
        <v>0</v>
      </c>
      <c r="AF14" s="451">
        <f t="shared" si="4"/>
        <v>0</v>
      </c>
      <c r="AG14" s="443">
        <f t="shared" si="41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44693</v>
      </c>
      <c r="D15" s="592">
        <v>294440</v>
      </c>
      <c r="E15" s="580">
        <f t="shared" si="8"/>
        <v>690</v>
      </c>
      <c r="F15" s="569">
        <v>4133116</v>
      </c>
      <c r="G15" s="449">
        <f t="shared" si="34"/>
        <v>287</v>
      </c>
      <c r="H15" s="426">
        <v>18042302</v>
      </c>
      <c r="I15" s="449">
        <f t="shared" si="35"/>
        <v>436</v>
      </c>
      <c r="J15" s="426">
        <v>29791200</v>
      </c>
      <c r="K15" s="449">
        <f t="shared" si="36"/>
        <v>564</v>
      </c>
      <c r="L15" s="426">
        <v>24584732</v>
      </c>
      <c r="M15" s="449">
        <f t="shared" si="37"/>
        <v>766</v>
      </c>
      <c r="N15" s="297">
        <f t="shared" si="38"/>
        <v>2743</v>
      </c>
      <c r="O15" s="445">
        <f t="shared" si="40"/>
        <v>0</v>
      </c>
      <c r="P15" s="563">
        <v>19227.006000000001</v>
      </c>
      <c r="Q15" s="446">
        <f t="shared" si="1"/>
        <v>2605.9999999997672</v>
      </c>
      <c r="R15" s="594">
        <f>N15-Q15</f>
        <v>137.00000000023283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9"/>
        <v>0</v>
      </c>
      <c r="W15" s="426">
        <f t="shared" si="16"/>
        <v>33484</v>
      </c>
      <c r="X15" s="428">
        <f t="shared" si="39"/>
        <v>0</v>
      </c>
      <c r="Y15" s="426">
        <f t="shared" si="17"/>
        <v>996900</v>
      </c>
      <c r="Z15" s="428">
        <f t="shared" si="33"/>
        <v>0</v>
      </c>
      <c r="AA15" s="426">
        <f t="shared" si="18"/>
        <v>36796</v>
      </c>
      <c r="AB15" s="428">
        <f t="shared" si="30"/>
        <v>0</v>
      </c>
      <c r="AC15" s="426">
        <f t="shared" si="19"/>
        <v>1170516</v>
      </c>
      <c r="AD15" s="428">
        <f t="shared" si="31"/>
        <v>0</v>
      </c>
      <c r="AE15" s="450">
        <f t="shared" si="20"/>
        <v>0</v>
      </c>
      <c r="AF15" s="451">
        <f t="shared" si="4"/>
        <v>0</v>
      </c>
      <c r="AG15" s="443">
        <f t="shared" si="41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44694</v>
      </c>
      <c r="D16" s="592">
        <f t="shared" si="7"/>
        <v>294440</v>
      </c>
      <c r="E16" s="580">
        <f t="shared" si="8"/>
        <v>0</v>
      </c>
      <c r="F16" s="569">
        <f t="shared" si="9"/>
        <v>4133116</v>
      </c>
      <c r="G16" s="449">
        <f t="shared" si="34"/>
        <v>0</v>
      </c>
      <c r="H16" s="426">
        <f t="shared" si="10"/>
        <v>18042302</v>
      </c>
      <c r="I16" s="449">
        <f t="shared" si="35"/>
        <v>0</v>
      </c>
      <c r="J16" s="426">
        <f t="shared" si="11"/>
        <v>29791200</v>
      </c>
      <c r="K16" s="449">
        <f t="shared" si="36"/>
        <v>0</v>
      </c>
      <c r="L16" s="426">
        <f t="shared" si="12"/>
        <v>24584732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3">
        <f t="shared" si="13"/>
        <v>19227.006000000001</v>
      </c>
      <c r="Q16" s="446">
        <f t="shared" si="1"/>
        <v>0</v>
      </c>
      <c r="R16" s="428">
        <f t="shared" si="32"/>
        <v>0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9"/>
        <v>0</v>
      </c>
      <c r="W16" s="426">
        <f t="shared" si="16"/>
        <v>33484</v>
      </c>
      <c r="X16" s="428">
        <f t="shared" si="39"/>
        <v>0</v>
      </c>
      <c r="Y16" s="426">
        <f t="shared" si="17"/>
        <v>996900</v>
      </c>
      <c r="Z16" s="428">
        <f t="shared" si="33"/>
        <v>0</v>
      </c>
      <c r="AA16" s="426">
        <f t="shared" si="18"/>
        <v>36796</v>
      </c>
      <c r="AB16" s="428">
        <f t="shared" si="30"/>
        <v>0</v>
      </c>
      <c r="AC16" s="426">
        <f t="shared" si="19"/>
        <v>1170516</v>
      </c>
      <c r="AD16" s="428">
        <f t="shared" si="31"/>
        <v>0</v>
      </c>
      <c r="AE16" s="450">
        <f t="shared" si="20"/>
        <v>0</v>
      </c>
      <c r="AF16" s="451">
        <f t="shared" si="4"/>
        <v>0</v>
      </c>
      <c r="AG16" s="443">
        <f t="shared" si="41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44695</v>
      </c>
      <c r="D17" s="592">
        <f t="shared" si="7"/>
        <v>294440</v>
      </c>
      <c r="E17" s="580">
        <f t="shared" si="8"/>
        <v>0</v>
      </c>
      <c r="F17" s="569">
        <f t="shared" si="9"/>
        <v>4133116</v>
      </c>
      <c r="G17" s="449">
        <f t="shared" si="34"/>
        <v>0</v>
      </c>
      <c r="H17" s="426">
        <f t="shared" si="10"/>
        <v>18042302</v>
      </c>
      <c r="I17" s="449">
        <f t="shared" si="35"/>
        <v>0</v>
      </c>
      <c r="J17" s="426">
        <f t="shared" si="11"/>
        <v>29791200</v>
      </c>
      <c r="K17" s="449">
        <f t="shared" si="36"/>
        <v>0</v>
      </c>
      <c r="L17" s="426">
        <f t="shared" si="12"/>
        <v>24584732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3">
        <f t="shared" si="13"/>
        <v>19227.006000000001</v>
      </c>
      <c r="Q17" s="446">
        <f t="shared" si="1"/>
        <v>0</v>
      </c>
      <c r="R17" s="428">
        <f t="shared" si="32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9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1170516</v>
      </c>
      <c r="AD17" s="428">
        <f t="shared" si="31"/>
        <v>0</v>
      </c>
      <c r="AE17" s="450">
        <f t="shared" si="20"/>
        <v>0</v>
      </c>
      <c r="AF17" s="451">
        <f t="shared" si="4"/>
        <v>0</v>
      </c>
      <c r="AG17" s="443">
        <f t="shared" si="41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44696</v>
      </c>
      <c r="D18" s="592">
        <v>295160</v>
      </c>
      <c r="E18" s="580">
        <f t="shared" si="8"/>
        <v>720</v>
      </c>
      <c r="F18" s="569">
        <v>4133397</v>
      </c>
      <c r="G18" s="449">
        <f t="shared" si="34"/>
        <v>281</v>
      </c>
      <c r="H18" s="426">
        <v>18042726</v>
      </c>
      <c r="I18" s="449">
        <f t="shared" si="35"/>
        <v>424</v>
      </c>
      <c r="J18" s="426">
        <v>29791760</v>
      </c>
      <c r="K18" s="449">
        <f t="shared" si="36"/>
        <v>560</v>
      </c>
      <c r="L18" s="426">
        <v>24585564</v>
      </c>
      <c r="M18" s="449">
        <f t="shared" si="37"/>
        <v>832</v>
      </c>
      <c r="N18" s="297">
        <f>M18+K18+I18+G18+E18</f>
        <v>2817</v>
      </c>
      <c r="O18" s="445">
        <f t="shared" si="40"/>
        <v>0</v>
      </c>
      <c r="P18" s="563">
        <v>19229.59</v>
      </c>
      <c r="Q18" s="446">
        <f t="shared" si="1"/>
        <v>2583.9999999989232</v>
      </c>
      <c r="R18" s="428">
        <f t="shared" si="32"/>
        <v>233.00000000107684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9"/>
        <v>0</v>
      </c>
      <c r="W18" s="426">
        <f t="shared" si="16"/>
        <v>33484</v>
      </c>
      <c r="X18" s="428">
        <f t="shared" si="39"/>
        <v>0</v>
      </c>
      <c r="Y18" s="426">
        <f t="shared" si="17"/>
        <v>996900</v>
      </c>
      <c r="Z18" s="428">
        <f t="shared" si="33"/>
        <v>0</v>
      </c>
      <c r="AA18" s="426">
        <f t="shared" si="18"/>
        <v>36796</v>
      </c>
      <c r="AB18" s="428">
        <f t="shared" si="30"/>
        <v>0</v>
      </c>
      <c r="AC18" s="426">
        <f t="shared" si="19"/>
        <v>1170516</v>
      </c>
      <c r="AD18" s="428">
        <f t="shared" ref="AD18:AD31" si="42">AC18-AC17</f>
        <v>0</v>
      </c>
      <c r="AE18" s="450">
        <f t="shared" si="20"/>
        <v>0</v>
      </c>
      <c r="AF18" s="451">
        <f t="shared" si="4"/>
        <v>0</v>
      </c>
      <c r="AG18" s="443">
        <f t="shared" si="41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44697</v>
      </c>
      <c r="D19" s="592">
        <v>295780</v>
      </c>
      <c r="E19" s="580">
        <f t="shared" si="8"/>
        <v>620</v>
      </c>
      <c r="F19" s="569">
        <v>4133675</v>
      </c>
      <c r="G19" s="449">
        <f t="shared" si="34"/>
        <v>278</v>
      </c>
      <c r="H19" s="426">
        <v>18043130</v>
      </c>
      <c r="I19" s="449">
        <f t="shared" si="35"/>
        <v>404</v>
      </c>
      <c r="J19" s="426">
        <v>29792366</v>
      </c>
      <c r="K19" s="449">
        <f t="shared" si="36"/>
        <v>606</v>
      </c>
      <c r="L19" s="426">
        <v>24586468</v>
      </c>
      <c r="M19" s="449">
        <f t="shared" si="37"/>
        <v>904</v>
      </c>
      <c r="N19" s="297">
        <f t="shared" si="38"/>
        <v>2812</v>
      </c>
      <c r="O19" s="445">
        <f t="shared" si="40"/>
        <v>0</v>
      </c>
      <c r="P19" s="563">
        <v>19232.048999999999</v>
      </c>
      <c r="Q19" s="446">
        <f>(P19-P18)*1000</f>
        <v>2458.9999999989232</v>
      </c>
      <c r="R19" s="594">
        <f>N19-Q19</f>
        <v>353.00000000107684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9"/>
        <v>0</v>
      </c>
      <c r="W19" s="426">
        <f t="shared" si="16"/>
        <v>33484</v>
      </c>
      <c r="X19" s="428">
        <f t="shared" si="39"/>
        <v>0</v>
      </c>
      <c r="Y19" s="426">
        <f t="shared" si="17"/>
        <v>996900</v>
      </c>
      <c r="Z19" s="428">
        <f t="shared" si="33"/>
        <v>0</v>
      </c>
      <c r="AA19" s="426">
        <f t="shared" si="18"/>
        <v>36796</v>
      </c>
      <c r="AB19" s="428">
        <f t="shared" si="30"/>
        <v>0</v>
      </c>
      <c r="AC19" s="426">
        <f t="shared" si="19"/>
        <v>1170516</v>
      </c>
      <c r="AD19" s="428">
        <f t="shared" si="42"/>
        <v>0</v>
      </c>
      <c r="AE19" s="450">
        <f t="shared" si="20"/>
        <v>0</v>
      </c>
      <c r="AF19" s="451">
        <f t="shared" si="4"/>
        <v>0</v>
      </c>
      <c r="AG19" s="443">
        <f t="shared" si="41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44698</v>
      </c>
      <c r="D20" s="592">
        <v>296420</v>
      </c>
      <c r="E20" s="580">
        <f t="shared" si="8"/>
        <v>640</v>
      </c>
      <c r="F20" s="569">
        <v>4133993</v>
      </c>
      <c r="G20" s="449">
        <f t="shared" si="34"/>
        <v>318</v>
      </c>
      <c r="H20" s="426">
        <v>18043544</v>
      </c>
      <c r="I20" s="449">
        <f t="shared" si="35"/>
        <v>414</v>
      </c>
      <c r="J20" s="426">
        <v>29793134</v>
      </c>
      <c r="K20" s="449">
        <f t="shared" si="36"/>
        <v>768</v>
      </c>
      <c r="L20" s="426">
        <v>24587338</v>
      </c>
      <c r="M20" s="449">
        <f t="shared" si="37"/>
        <v>870</v>
      </c>
      <c r="N20" s="297">
        <f t="shared" si="38"/>
        <v>3010</v>
      </c>
      <c r="O20" s="445">
        <f t="shared" si="40"/>
        <v>0</v>
      </c>
      <c r="P20" s="563">
        <v>19234.721000000001</v>
      </c>
      <c r="Q20" s="446">
        <f>(P20-P19)*1000</f>
        <v>2672.0000000022992</v>
      </c>
      <c r="R20" s="594">
        <f>N20-Q20</f>
        <v>337.9999999977008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9"/>
        <v>0</v>
      </c>
      <c r="W20" s="426">
        <f t="shared" si="16"/>
        <v>33484</v>
      </c>
      <c r="X20" s="428">
        <f t="shared" si="39"/>
        <v>0</v>
      </c>
      <c r="Y20" s="426">
        <f t="shared" si="17"/>
        <v>996900</v>
      </c>
      <c r="Z20" s="428">
        <f t="shared" si="33"/>
        <v>0</v>
      </c>
      <c r="AA20" s="426">
        <f t="shared" si="18"/>
        <v>36796</v>
      </c>
      <c r="AB20" s="428">
        <f t="shared" si="30"/>
        <v>0</v>
      </c>
      <c r="AC20" s="426">
        <f t="shared" si="19"/>
        <v>1170516</v>
      </c>
      <c r="AD20" s="428">
        <f t="shared" si="42"/>
        <v>0</v>
      </c>
      <c r="AE20" s="450">
        <f t="shared" si="20"/>
        <v>0</v>
      </c>
      <c r="AF20" s="451">
        <f t="shared" si="4"/>
        <v>0</v>
      </c>
      <c r="AG20" s="443">
        <f t="shared" si="41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44699</v>
      </c>
      <c r="D21" s="592">
        <v>297110</v>
      </c>
      <c r="E21" s="580">
        <f t="shared" si="8"/>
        <v>690</v>
      </c>
      <c r="F21" s="569">
        <v>4134237</v>
      </c>
      <c r="G21" s="449">
        <f t="shared" si="34"/>
        <v>244</v>
      </c>
      <c r="H21" s="426">
        <v>18043986</v>
      </c>
      <c r="I21" s="449">
        <f t="shared" si="35"/>
        <v>442</v>
      </c>
      <c r="J21" s="426">
        <v>29793950</v>
      </c>
      <c r="K21" s="449">
        <f t="shared" si="36"/>
        <v>816</v>
      </c>
      <c r="L21" s="426">
        <v>24588294</v>
      </c>
      <c r="M21" s="449">
        <f t="shared" si="37"/>
        <v>956</v>
      </c>
      <c r="N21" s="297">
        <f t="shared" si="38"/>
        <v>3148</v>
      </c>
      <c r="O21" s="445">
        <f t="shared" si="40"/>
        <v>0</v>
      </c>
      <c r="P21" s="563">
        <v>19237.716</v>
      </c>
      <c r="Q21" s="446">
        <f t="shared" si="1"/>
        <v>2994.9999999989814</v>
      </c>
      <c r="R21" s="594">
        <f t="shared" ref="R21:R31" si="43">N21-Q21</f>
        <v>153.00000000101863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9"/>
        <v>0</v>
      </c>
      <c r="W21" s="426">
        <f t="shared" si="16"/>
        <v>33484</v>
      </c>
      <c r="X21" s="428">
        <f t="shared" si="39"/>
        <v>0</v>
      </c>
      <c r="Y21" s="426">
        <f t="shared" si="17"/>
        <v>996900</v>
      </c>
      <c r="Z21" s="428">
        <f t="shared" si="33"/>
        <v>0</v>
      </c>
      <c r="AA21" s="426">
        <f t="shared" si="18"/>
        <v>36796</v>
      </c>
      <c r="AB21" s="428">
        <f t="shared" si="30"/>
        <v>0</v>
      </c>
      <c r="AC21" s="426">
        <f t="shared" si="19"/>
        <v>1170516</v>
      </c>
      <c r="AD21" s="428">
        <f t="shared" si="42"/>
        <v>0</v>
      </c>
      <c r="AE21" s="450">
        <f t="shared" si="20"/>
        <v>0</v>
      </c>
      <c r="AF21" s="451">
        <f t="shared" si="4"/>
        <v>0</v>
      </c>
      <c r="AG21" s="443">
        <f t="shared" si="41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44700</v>
      </c>
      <c r="D22" s="592">
        <v>297830</v>
      </c>
      <c r="E22" s="580">
        <f t="shared" ref="E22" si="44">D22-D21</f>
        <v>720</v>
      </c>
      <c r="F22" s="569">
        <v>4134547</v>
      </c>
      <c r="G22" s="449">
        <f t="shared" ref="G22" si="45">F22-F21</f>
        <v>310</v>
      </c>
      <c r="H22" s="426">
        <v>18044436</v>
      </c>
      <c r="I22" s="449">
        <f t="shared" ref="I22" si="46">H22-H21</f>
        <v>450</v>
      </c>
      <c r="J22" s="426">
        <v>29794770</v>
      </c>
      <c r="K22" s="449">
        <f t="shared" ref="K22" si="47">J22-J21</f>
        <v>820</v>
      </c>
      <c r="L22" s="426">
        <v>24589242</v>
      </c>
      <c r="M22" s="449">
        <f t="shared" ref="M22" si="48">L22-L21</f>
        <v>948</v>
      </c>
      <c r="N22" s="297">
        <f t="shared" ref="N22" si="49">M22+K22+I22+G22+E22</f>
        <v>3248</v>
      </c>
      <c r="O22" s="445">
        <f t="shared" ref="O22" si="50">IF(B22&gt;0,N22/B22,0)</f>
        <v>0</v>
      </c>
      <c r="P22" s="563">
        <v>19240.741999999998</v>
      </c>
      <c r="Q22" s="446">
        <f t="shared" ref="Q22" si="51">(P22-P21)*1000</f>
        <v>3025.9999999980209</v>
      </c>
      <c r="R22" s="594">
        <f t="shared" ref="R22" si="52">N22-Q22</f>
        <v>222.00000000197906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9"/>
        <v>0</v>
      </c>
      <c r="W22" s="426">
        <f t="shared" si="16"/>
        <v>33484</v>
      </c>
      <c r="X22" s="428">
        <f t="shared" si="39"/>
        <v>0</v>
      </c>
      <c r="Y22" s="426">
        <f t="shared" si="17"/>
        <v>996900</v>
      </c>
      <c r="Z22" s="428">
        <f t="shared" si="33"/>
        <v>0</v>
      </c>
      <c r="AA22" s="426">
        <f t="shared" si="18"/>
        <v>36796</v>
      </c>
      <c r="AB22" s="428">
        <f t="shared" si="30"/>
        <v>0</v>
      </c>
      <c r="AC22" s="426">
        <f t="shared" si="19"/>
        <v>1170516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41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44701</v>
      </c>
      <c r="D23" s="592">
        <f t="shared" ref="D23:D34" si="53">D22</f>
        <v>297830</v>
      </c>
      <c r="E23" s="580">
        <f t="shared" si="8"/>
        <v>0</v>
      </c>
      <c r="F23" s="569">
        <f t="shared" si="9"/>
        <v>4134547</v>
      </c>
      <c r="G23" s="449">
        <f t="shared" si="34"/>
        <v>0</v>
      </c>
      <c r="H23" s="426">
        <f t="shared" si="10"/>
        <v>18044436</v>
      </c>
      <c r="I23" s="449">
        <f t="shared" si="35"/>
        <v>0</v>
      </c>
      <c r="J23" s="426">
        <f t="shared" si="11"/>
        <v>29794770</v>
      </c>
      <c r="K23" s="449">
        <f t="shared" si="36"/>
        <v>0</v>
      </c>
      <c r="L23" s="426">
        <f t="shared" si="12"/>
        <v>24589242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3">
        <f t="shared" si="13"/>
        <v>19240.741999999998</v>
      </c>
      <c r="Q23" s="446">
        <f t="shared" si="1"/>
        <v>0</v>
      </c>
      <c r="R23" s="594">
        <f t="shared" si="43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9"/>
        <v>0</v>
      </c>
      <c r="W23" s="426">
        <f t="shared" si="16"/>
        <v>33484</v>
      </c>
      <c r="X23" s="428">
        <f t="shared" si="39"/>
        <v>0</v>
      </c>
      <c r="Y23" s="426">
        <f t="shared" si="17"/>
        <v>996900</v>
      </c>
      <c r="Z23" s="428">
        <f t="shared" si="33"/>
        <v>0</v>
      </c>
      <c r="AA23" s="426">
        <f t="shared" si="18"/>
        <v>36796</v>
      </c>
      <c r="AB23" s="428">
        <f t="shared" si="30"/>
        <v>0</v>
      </c>
      <c r="AC23" s="426">
        <f t="shared" si="19"/>
        <v>1170516</v>
      </c>
      <c r="AD23" s="428">
        <f t="shared" si="42"/>
        <v>0</v>
      </c>
      <c r="AE23" s="450">
        <f t="shared" si="20"/>
        <v>0</v>
      </c>
      <c r="AF23" s="451">
        <f t="shared" si="4"/>
        <v>0</v>
      </c>
      <c r="AG23" s="443">
        <f t="shared" si="41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44702</v>
      </c>
      <c r="D24" s="592">
        <f t="shared" si="53"/>
        <v>297830</v>
      </c>
      <c r="E24" s="580">
        <f t="shared" si="8"/>
        <v>0</v>
      </c>
      <c r="F24" s="569">
        <f t="shared" si="9"/>
        <v>4134547</v>
      </c>
      <c r="G24" s="449">
        <f t="shared" si="34"/>
        <v>0</v>
      </c>
      <c r="H24" s="426">
        <f t="shared" si="10"/>
        <v>18044436</v>
      </c>
      <c r="I24" s="599">
        <f t="shared" si="35"/>
        <v>0</v>
      </c>
      <c r="J24" s="426">
        <f t="shared" si="11"/>
        <v>29794770</v>
      </c>
      <c r="K24" s="449">
        <f t="shared" si="36"/>
        <v>0</v>
      </c>
      <c r="L24" s="426">
        <f t="shared" si="12"/>
        <v>24589242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3">
        <f t="shared" si="13"/>
        <v>19240.741999999998</v>
      </c>
      <c r="Q24" s="446">
        <f t="shared" si="1"/>
        <v>0</v>
      </c>
      <c r="R24" s="594">
        <f t="shared" si="43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9"/>
        <v>0</v>
      </c>
      <c r="W24" s="426">
        <f t="shared" si="16"/>
        <v>33484</v>
      </c>
      <c r="X24" s="428">
        <f t="shared" si="39"/>
        <v>0</v>
      </c>
      <c r="Y24" s="426">
        <f t="shared" si="17"/>
        <v>996900</v>
      </c>
      <c r="Z24" s="428">
        <f t="shared" si="33"/>
        <v>0</v>
      </c>
      <c r="AA24" s="426">
        <f t="shared" si="18"/>
        <v>36796</v>
      </c>
      <c r="AB24" s="428">
        <f t="shared" si="30"/>
        <v>0</v>
      </c>
      <c r="AC24" s="426">
        <f t="shared" si="19"/>
        <v>1170516</v>
      </c>
      <c r="AD24" s="428">
        <f t="shared" si="42"/>
        <v>0</v>
      </c>
      <c r="AE24" s="450">
        <f t="shared" si="20"/>
        <v>0</v>
      </c>
      <c r="AF24" s="451">
        <f t="shared" si="4"/>
        <v>0</v>
      </c>
      <c r="AG24" s="443">
        <f t="shared" si="41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44703</v>
      </c>
      <c r="D25" s="592">
        <v>298610</v>
      </c>
      <c r="E25" s="580">
        <f t="shared" si="8"/>
        <v>780</v>
      </c>
      <c r="F25" s="569">
        <v>4134872</v>
      </c>
      <c r="G25" s="449">
        <f t="shared" si="34"/>
        <v>325</v>
      </c>
      <c r="H25" s="426">
        <v>18044898</v>
      </c>
      <c r="I25" s="449">
        <f t="shared" si="35"/>
        <v>462</v>
      </c>
      <c r="J25" s="426">
        <v>29795784</v>
      </c>
      <c r="K25" s="449">
        <f t="shared" si="36"/>
        <v>1014</v>
      </c>
      <c r="L25" s="426">
        <v>24590270</v>
      </c>
      <c r="M25" s="449">
        <f t="shared" si="37"/>
        <v>1028</v>
      </c>
      <c r="N25" s="297">
        <f t="shared" si="38"/>
        <v>3609</v>
      </c>
      <c r="O25" s="445">
        <f t="shared" si="40"/>
        <v>0</v>
      </c>
      <c r="P25" s="563">
        <v>19244.437000000002</v>
      </c>
      <c r="Q25" s="446">
        <f t="shared" si="1"/>
        <v>3695.0000000033469</v>
      </c>
      <c r="R25" s="594">
        <f t="shared" si="43"/>
        <v>-86.000000003346941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9"/>
        <v>0</v>
      </c>
      <c r="W25" s="426">
        <f t="shared" si="16"/>
        <v>33484</v>
      </c>
      <c r="X25" s="428">
        <f t="shared" si="39"/>
        <v>0</v>
      </c>
      <c r="Y25" s="426">
        <f t="shared" si="17"/>
        <v>996900</v>
      </c>
      <c r="Z25" s="428">
        <f t="shared" si="33"/>
        <v>0</v>
      </c>
      <c r="AA25" s="426">
        <f t="shared" si="18"/>
        <v>36796</v>
      </c>
      <c r="AB25" s="428">
        <f t="shared" si="30"/>
        <v>0</v>
      </c>
      <c r="AC25" s="426">
        <f t="shared" si="19"/>
        <v>1170516</v>
      </c>
      <c r="AD25" s="428">
        <f t="shared" si="42"/>
        <v>0</v>
      </c>
      <c r="AE25" s="450">
        <f t="shared" si="20"/>
        <v>0</v>
      </c>
      <c r="AF25" s="451">
        <f t="shared" si="4"/>
        <v>0</v>
      </c>
      <c r="AG25" s="443">
        <f t="shared" si="41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44704</v>
      </c>
      <c r="D26" s="592">
        <f t="shared" si="53"/>
        <v>298610</v>
      </c>
      <c r="E26" s="580">
        <f t="shared" si="8"/>
        <v>0</v>
      </c>
      <c r="F26" s="569">
        <f t="shared" si="9"/>
        <v>4134872</v>
      </c>
      <c r="G26" s="449">
        <f t="shared" si="34"/>
        <v>0</v>
      </c>
      <c r="H26" s="426">
        <f t="shared" si="10"/>
        <v>18044898</v>
      </c>
      <c r="I26" s="449">
        <f t="shared" si="35"/>
        <v>0</v>
      </c>
      <c r="J26" s="426">
        <f t="shared" si="11"/>
        <v>29795784</v>
      </c>
      <c r="K26" s="449">
        <f t="shared" si="36"/>
        <v>0</v>
      </c>
      <c r="L26" s="426">
        <f t="shared" si="12"/>
        <v>24590270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3">
        <f t="shared" si="13"/>
        <v>19244.437000000002</v>
      </c>
      <c r="Q26" s="446">
        <f t="shared" si="1"/>
        <v>0</v>
      </c>
      <c r="R26" s="594">
        <f t="shared" si="43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9"/>
        <v>0</v>
      </c>
      <c r="W26" s="426">
        <f t="shared" si="16"/>
        <v>33484</v>
      </c>
      <c r="X26" s="428">
        <f t="shared" si="39"/>
        <v>0</v>
      </c>
      <c r="Y26" s="426">
        <f t="shared" si="17"/>
        <v>996900</v>
      </c>
      <c r="Z26" s="428">
        <f t="shared" si="33"/>
        <v>0</v>
      </c>
      <c r="AA26" s="426">
        <f t="shared" si="18"/>
        <v>36796</v>
      </c>
      <c r="AB26" s="428">
        <f t="shared" si="30"/>
        <v>0</v>
      </c>
      <c r="AC26" s="426">
        <f t="shared" si="19"/>
        <v>1170516</v>
      </c>
      <c r="AD26" s="428">
        <f t="shared" si="42"/>
        <v>0</v>
      </c>
      <c r="AE26" s="450">
        <f t="shared" si="20"/>
        <v>0</v>
      </c>
      <c r="AF26" s="451">
        <f t="shared" si="4"/>
        <v>0</v>
      </c>
      <c r="AG26" s="443">
        <f t="shared" si="41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44705</v>
      </c>
      <c r="D27" s="592">
        <f t="shared" si="53"/>
        <v>298610</v>
      </c>
      <c r="E27" s="580">
        <f t="shared" si="8"/>
        <v>0</v>
      </c>
      <c r="F27" s="569">
        <f t="shared" si="9"/>
        <v>4134872</v>
      </c>
      <c r="G27" s="449">
        <f t="shared" si="34"/>
        <v>0</v>
      </c>
      <c r="H27" s="426">
        <f t="shared" si="10"/>
        <v>18044898</v>
      </c>
      <c r="I27" s="449">
        <f t="shared" si="35"/>
        <v>0</v>
      </c>
      <c r="J27" s="426">
        <f t="shared" si="11"/>
        <v>29795784</v>
      </c>
      <c r="K27" s="449">
        <f t="shared" si="36"/>
        <v>0</v>
      </c>
      <c r="L27" s="426">
        <f t="shared" si="12"/>
        <v>24590270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3">
        <f t="shared" si="13"/>
        <v>19244.437000000002</v>
      </c>
      <c r="Q27" s="446">
        <f t="shared" si="1"/>
        <v>0</v>
      </c>
      <c r="R27" s="594">
        <f t="shared" si="43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9"/>
        <v>0</v>
      </c>
      <c r="W27" s="426">
        <f t="shared" si="16"/>
        <v>33484</v>
      </c>
      <c r="X27" s="428">
        <f t="shared" si="39"/>
        <v>0</v>
      </c>
      <c r="Y27" s="426">
        <f t="shared" si="17"/>
        <v>996900</v>
      </c>
      <c r="Z27" s="428">
        <f t="shared" si="33"/>
        <v>0</v>
      </c>
      <c r="AA27" s="426">
        <f t="shared" si="18"/>
        <v>36796</v>
      </c>
      <c r="AB27" s="428">
        <f t="shared" si="30"/>
        <v>0</v>
      </c>
      <c r="AC27" s="426">
        <f t="shared" si="19"/>
        <v>1170516</v>
      </c>
      <c r="AD27" s="428">
        <f t="shared" si="42"/>
        <v>0</v>
      </c>
      <c r="AE27" s="450">
        <f t="shared" si="20"/>
        <v>0</v>
      </c>
      <c r="AF27" s="451">
        <f t="shared" si="4"/>
        <v>0</v>
      </c>
      <c r="AG27" s="443">
        <f t="shared" si="41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44706</v>
      </c>
      <c r="D28" s="592">
        <f t="shared" si="53"/>
        <v>298610</v>
      </c>
      <c r="E28" s="580">
        <f t="shared" si="8"/>
        <v>0</v>
      </c>
      <c r="F28" s="569">
        <f t="shared" si="9"/>
        <v>4134872</v>
      </c>
      <c r="G28" s="449">
        <f>F28-F27</f>
        <v>0</v>
      </c>
      <c r="H28" s="426">
        <f t="shared" si="10"/>
        <v>18044898</v>
      </c>
      <c r="I28" s="449">
        <f t="shared" si="35"/>
        <v>0</v>
      </c>
      <c r="J28" s="426">
        <f t="shared" si="11"/>
        <v>29795784</v>
      </c>
      <c r="K28" s="449">
        <f t="shared" si="36"/>
        <v>0</v>
      </c>
      <c r="L28" s="426">
        <f t="shared" si="12"/>
        <v>24590270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3">
        <f t="shared" si="13"/>
        <v>19244.437000000002</v>
      </c>
      <c r="Q28" s="446">
        <f t="shared" si="1"/>
        <v>0</v>
      </c>
      <c r="R28" s="594">
        <f>N28-Q28</f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9"/>
        <v>0</v>
      </c>
      <c r="W28" s="426">
        <f t="shared" si="16"/>
        <v>33484</v>
      </c>
      <c r="X28" s="428">
        <f t="shared" si="39"/>
        <v>0</v>
      </c>
      <c r="Y28" s="426">
        <f t="shared" si="17"/>
        <v>996900</v>
      </c>
      <c r="Z28" s="428">
        <f t="shared" si="33"/>
        <v>0</v>
      </c>
      <c r="AA28" s="426">
        <f t="shared" si="18"/>
        <v>36796</v>
      </c>
      <c r="AB28" s="428">
        <f t="shared" si="30"/>
        <v>0</v>
      </c>
      <c r="AC28" s="426">
        <f t="shared" si="19"/>
        <v>1170516</v>
      </c>
      <c r="AD28" s="428">
        <f t="shared" si="42"/>
        <v>0</v>
      </c>
      <c r="AE28" s="450">
        <f t="shared" si="20"/>
        <v>0</v>
      </c>
      <c r="AF28" s="451">
        <f t="shared" si="4"/>
        <v>0</v>
      </c>
      <c r="AG28" s="443">
        <f t="shared" si="41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44707</v>
      </c>
      <c r="D29" s="592">
        <f t="shared" si="53"/>
        <v>298610</v>
      </c>
      <c r="E29" s="580">
        <f t="shared" si="8"/>
        <v>0</v>
      </c>
      <c r="F29" s="569">
        <f t="shared" si="9"/>
        <v>4134872</v>
      </c>
      <c r="G29" s="449">
        <f>F29-F28</f>
        <v>0</v>
      </c>
      <c r="H29" s="426">
        <f t="shared" si="10"/>
        <v>18044898</v>
      </c>
      <c r="I29" s="449">
        <f>H29-H28</f>
        <v>0</v>
      </c>
      <c r="J29" s="426">
        <f t="shared" si="11"/>
        <v>29795784</v>
      </c>
      <c r="K29" s="449">
        <f>J29-J28</f>
        <v>0</v>
      </c>
      <c r="L29" s="426">
        <f t="shared" si="12"/>
        <v>24590270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13"/>
        <v>19244.437000000002</v>
      </c>
      <c r="Q29" s="446">
        <f>(P29-P28)*1000</f>
        <v>0</v>
      </c>
      <c r="R29" s="594">
        <f t="shared" si="43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44708</v>
      </c>
      <c r="D30" s="592">
        <f t="shared" si="53"/>
        <v>298610</v>
      </c>
      <c r="E30" s="580">
        <f t="shared" si="8"/>
        <v>0</v>
      </c>
      <c r="F30" s="569">
        <f t="shared" si="9"/>
        <v>4134872</v>
      </c>
      <c r="G30" s="449">
        <f t="shared" si="34"/>
        <v>0</v>
      </c>
      <c r="H30" s="426">
        <f t="shared" si="10"/>
        <v>18044898</v>
      </c>
      <c r="I30" s="449">
        <f t="shared" si="35"/>
        <v>0</v>
      </c>
      <c r="J30" s="426">
        <f t="shared" si="11"/>
        <v>29795784</v>
      </c>
      <c r="K30" s="449">
        <f t="shared" si="36"/>
        <v>0</v>
      </c>
      <c r="L30" s="426">
        <f t="shared" si="12"/>
        <v>24590270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3">
        <f t="shared" si="13"/>
        <v>19244.437000000002</v>
      </c>
      <c r="Q30" s="446">
        <f t="shared" si="1"/>
        <v>0</v>
      </c>
      <c r="R30" s="594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9"/>
        <v>0</v>
      </c>
      <c r="W30" s="426">
        <f t="shared" si="16"/>
        <v>33484</v>
      </c>
      <c r="X30" s="428">
        <f t="shared" si="39"/>
        <v>0</v>
      </c>
      <c r="Y30" s="426">
        <f t="shared" si="17"/>
        <v>996900</v>
      </c>
      <c r="Z30" s="428">
        <f t="shared" si="33"/>
        <v>0</v>
      </c>
      <c r="AA30" s="426">
        <f t="shared" si="18"/>
        <v>36796</v>
      </c>
      <c r="AB30" s="428">
        <f t="shared" si="30"/>
        <v>0</v>
      </c>
      <c r="AC30" s="426">
        <f t="shared" si="19"/>
        <v>1170516</v>
      </c>
      <c r="AD30" s="428">
        <f t="shared" si="42"/>
        <v>0</v>
      </c>
      <c r="AE30" s="450">
        <f t="shared" si="20"/>
        <v>0</v>
      </c>
      <c r="AF30" s="451">
        <f t="shared" si="4"/>
        <v>0</v>
      </c>
      <c r="AG30" s="443">
        <f t="shared" si="41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44709</v>
      </c>
      <c r="D31" s="592">
        <f t="shared" si="53"/>
        <v>298610</v>
      </c>
      <c r="E31" s="580">
        <f t="shared" si="8"/>
        <v>0</v>
      </c>
      <c r="F31" s="569">
        <f t="shared" si="9"/>
        <v>4134872</v>
      </c>
      <c r="G31" s="449">
        <f t="shared" si="34"/>
        <v>0</v>
      </c>
      <c r="H31" s="426">
        <f t="shared" si="10"/>
        <v>18044898</v>
      </c>
      <c r="I31" s="449">
        <f t="shared" si="35"/>
        <v>0</v>
      </c>
      <c r="J31" s="426">
        <f t="shared" si="11"/>
        <v>29795784</v>
      </c>
      <c r="K31" s="449">
        <f t="shared" si="36"/>
        <v>0</v>
      </c>
      <c r="L31" s="426">
        <f t="shared" si="12"/>
        <v>24590270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3">
        <f t="shared" si="13"/>
        <v>19244.437000000002</v>
      </c>
      <c r="Q31" s="446">
        <f t="shared" si="1"/>
        <v>0</v>
      </c>
      <c r="R31" s="594">
        <f t="shared" si="43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9"/>
        <v>0</v>
      </c>
      <c r="Y31" s="426">
        <f t="shared" si="17"/>
        <v>996900</v>
      </c>
      <c r="Z31" s="428">
        <f t="shared" si="33"/>
        <v>0</v>
      </c>
      <c r="AA31" s="426">
        <f t="shared" si="18"/>
        <v>36796</v>
      </c>
      <c r="AB31" s="428">
        <f t="shared" si="30"/>
        <v>0</v>
      </c>
      <c r="AC31" s="426">
        <f t="shared" si="19"/>
        <v>1170516</v>
      </c>
      <c r="AD31" s="428">
        <f t="shared" si="42"/>
        <v>0</v>
      </c>
      <c r="AE31" s="450">
        <f t="shared" si="20"/>
        <v>0</v>
      </c>
      <c r="AF31" s="451">
        <f t="shared" si="4"/>
        <v>0</v>
      </c>
      <c r="AG31" s="443">
        <f t="shared" si="41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54">SUM(230*A32)</f>
        <v>0</v>
      </c>
      <c r="C32" s="437">
        <v>44710</v>
      </c>
      <c r="D32" s="592">
        <f t="shared" si="53"/>
        <v>298610</v>
      </c>
      <c r="E32" s="580">
        <f t="shared" si="8"/>
        <v>0</v>
      </c>
      <c r="F32" s="569">
        <f t="shared" si="9"/>
        <v>4134872</v>
      </c>
      <c r="G32" s="449">
        <f t="shared" si="34"/>
        <v>0</v>
      </c>
      <c r="H32" s="426">
        <f t="shared" si="10"/>
        <v>18044898</v>
      </c>
      <c r="I32" s="449">
        <f t="shared" si="35"/>
        <v>0</v>
      </c>
      <c r="J32" s="426">
        <f t="shared" si="11"/>
        <v>29795784</v>
      </c>
      <c r="K32" s="449">
        <f t="shared" si="36"/>
        <v>0</v>
      </c>
      <c r="L32" s="426">
        <f t="shared" si="12"/>
        <v>24590270</v>
      </c>
      <c r="M32" s="449">
        <f t="shared" ref="M32:M34" si="55">L32-L31</f>
        <v>0</v>
      </c>
      <c r="N32" s="297">
        <f t="shared" ref="N32:N34" si="56">M32+K32+I32+G32+E32</f>
        <v>0</v>
      </c>
      <c r="O32" s="445">
        <f t="shared" ref="O32:O34" si="57">IF(B32&gt;0,N32/B32,0)</f>
        <v>0</v>
      </c>
      <c r="P32" s="563">
        <f t="shared" si="13"/>
        <v>19244.437000000002</v>
      </c>
      <c r="Q32" s="446">
        <f t="shared" ref="Q32:Q34" si="58">(P32-P31)*1000</f>
        <v>0</v>
      </c>
      <c r="R32" s="594">
        <f t="shared" ref="R32:R34" si="59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60">W32-W31</f>
        <v>0</v>
      </c>
      <c r="Y32" s="426">
        <f t="shared" si="17"/>
        <v>996900</v>
      </c>
      <c r="Z32" s="428">
        <f t="shared" ref="Z32:Z34" si="61">Y32-Y31</f>
        <v>0</v>
      </c>
      <c r="AA32" s="426">
        <f t="shared" si="18"/>
        <v>36796</v>
      </c>
      <c r="AB32" s="428">
        <f t="shared" ref="AB32:AB34" si="62">AA32-AA31</f>
        <v>0</v>
      </c>
      <c r="AC32" s="426">
        <f t="shared" si="19"/>
        <v>1170516</v>
      </c>
      <c r="AD32" s="428">
        <f t="shared" ref="AD32:AD34" si="63">AC32-AC31</f>
        <v>0</v>
      </c>
      <c r="AE32" s="450">
        <f t="shared" ref="AE32:AE34" si="64">AB32+X32+T32</f>
        <v>0</v>
      </c>
      <c r="AF32" s="451">
        <f t="shared" ref="AF32:AF34" si="65">V32+Z32+AD32</f>
        <v>0</v>
      </c>
      <c r="AG32" s="443">
        <f t="shared" si="41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54"/>
        <v>0</v>
      </c>
      <c r="C33" s="437">
        <v>44711</v>
      </c>
      <c r="D33" s="592">
        <f t="shared" si="53"/>
        <v>298610</v>
      </c>
      <c r="E33" s="580">
        <f t="shared" si="8"/>
        <v>0</v>
      </c>
      <c r="F33" s="569">
        <f t="shared" si="9"/>
        <v>4134872</v>
      </c>
      <c r="G33" s="449">
        <f t="shared" si="34"/>
        <v>0</v>
      </c>
      <c r="H33" s="426">
        <f t="shared" si="10"/>
        <v>18044898</v>
      </c>
      <c r="I33" s="449">
        <f t="shared" si="35"/>
        <v>0</v>
      </c>
      <c r="J33" s="426">
        <f t="shared" si="11"/>
        <v>29795784</v>
      </c>
      <c r="K33" s="449">
        <f t="shared" si="36"/>
        <v>0</v>
      </c>
      <c r="L33" s="426">
        <f t="shared" si="12"/>
        <v>24590270</v>
      </c>
      <c r="M33" s="449">
        <f t="shared" si="55"/>
        <v>0</v>
      </c>
      <c r="N33" s="297">
        <f t="shared" si="56"/>
        <v>0</v>
      </c>
      <c r="O33" s="445">
        <f t="shared" si="57"/>
        <v>0</v>
      </c>
      <c r="P33" s="563">
        <f t="shared" si="13"/>
        <v>19244.437000000002</v>
      </c>
      <c r="Q33" s="446">
        <f t="shared" si="58"/>
        <v>0</v>
      </c>
      <c r="R33" s="594">
        <f t="shared" si="59"/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66">U33-U32</f>
        <v>0</v>
      </c>
      <c r="W33" s="426">
        <f t="shared" si="16"/>
        <v>33484</v>
      </c>
      <c r="X33" s="448">
        <f t="shared" si="60"/>
        <v>0</v>
      </c>
      <c r="Y33" s="426">
        <f t="shared" si="17"/>
        <v>996900</v>
      </c>
      <c r="Z33" s="428">
        <f t="shared" si="61"/>
        <v>0</v>
      </c>
      <c r="AA33" s="426">
        <f t="shared" si="18"/>
        <v>36796</v>
      </c>
      <c r="AB33" s="428">
        <f t="shared" si="62"/>
        <v>0</v>
      </c>
      <c r="AC33" s="426">
        <f t="shared" si="19"/>
        <v>1170516</v>
      </c>
      <c r="AD33" s="428">
        <f t="shared" si="63"/>
        <v>0</v>
      </c>
      <c r="AE33" s="450">
        <f t="shared" si="64"/>
        <v>0</v>
      </c>
      <c r="AF33" s="451">
        <f t="shared" si="65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54"/>
        <v>0</v>
      </c>
      <c r="C34" s="437">
        <v>44712</v>
      </c>
      <c r="D34" s="592">
        <f t="shared" si="53"/>
        <v>298610</v>
      </c>
      <c r="E34" s="580">
        <f t="shared" si="8"/>
        <v>0</v>
      </c>
      <c r="F34" s="569">
        <f t="shared" si="9"/>
        <v>4134872</v>
      </c>
      <c r="G34" s="449">
        <f t="shared" si="34"/>
        <v>0</v>
      </c>
      <c r="H34" s="426">
        <f t="shared" si="10"/>
        <v>18044898</v>
      </c>
      <c r="I34" s="449">
        <f t="shared" si="35"/>
        <v>0</v>
      </c>
      <c r="J34" s="426">
        <f t="shared" si="11"/>
        <v>29795784</v>
      </c>
      <c r="K34" s="449">
        <f t="shared" si="36"/>
        <v>0</v>
      </c>
      <c r="L34" s="426">
        <f t="shared" si="12"/>
        <v>24590270</v>
      </c>
      <c r="M34" s="449">
        <f t="shared" si="55"/>
        <v>0</v>
      </c>
      <c r="N34" s="297">
        <f t="shared" si="56"/>
        <v>0</v>
      </c>
      <c r="O34" s="445">
        <f t="shared" si="57"/>
        <v>0</v>
      </c>
      <c r="P34" s="563">
        <f t="shared" si="13"/>
        <v>19244.437000000002</v>
      </c>
      <c r="Q34" s="446">
        <f t="shared" si="58"/>
        <v>0</v>
      </c>
      <c r="R34" s="594">
        <f t="shared" si="59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60"/>
        <v>0</v>
      </c>
      <c r="Y34" s="426">
        <f t="shared" si="17"/>
        <v>996900</v>
      </c>
      <c r="Z34" s="428">
        <f t="shared" si="61"/>
        <v>0</v>
      </c>
      <c r="AA34" s="426">
        <f t="shared" si="18"/>
        <v>36796</v>
      </c>
      <c r="AB34" s="428">
        <f t="shared" si="62"/>
        <v>0</v>
      </c>
      <c r="AC34" s="426">
        <f t="shared" si="19"/>
        <v>1170516</v>
      </c>
      <c r="AD34" s="428">
        <f t="shared" si="63"/>
        <v>0</v>
      </c>
      <c r="AE34" s="450">
        <f t="shared" si="64"/>
        <v>0</v>
      </c>
      <c r="AF34" s="451">
        <f t="shared" si="65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E25" sqref="E25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5" t="s">
        <v>2</v>
      </c>
      <c r="G1" s="636"/>
      <c r="H1" s="636"/>
      <c r="I1" s="637"/>
      <c r="J1" s="271">
        <f>J36</f>
        <v>1</v>
      </c>
      <c r="K1" s="638" t="s">
        <v>4</v>
      </c>
      <c r="L1" s="639"/>
      <c r="M1" s="639"/>
      <c r="N1" s="639"/>
      <c r="O1" s="640"/>
      <c r="P1" s="629" t="s">
        <v>6</v>
      </c>
      <c r="Q1" s="630"/>
      <c r="R1" s="630"/>
      <c r="S1" s="630"/>
      <c r="T1" s="631"/>
      <c r="U1" s="381"/>
      <c r="V1" s="27" t="s">
        <v>104</v>
      </c>
      <c r="W1" s="382"/>
      <c r="X1" s="629" t="s">
        <v>8</v>
      </c>
      <c r="Y1" s="630"/>
      <c r="Z1" s="630"/>
      <c r="AA1" s="630"/>
      <c r="AB1" s="630"/>
      <c r="AC1" s="632" t="s">
        <v>10</v>
      </c>
      <c r="AD1" s="633"/>
      <c r="AE1" s="633"/>
      <c r="AF1" s="634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7"/>
      <c r="R2" s="628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[2]B5!$A$34</f>
        <v>44681</v>
      </c>
      <c r="B4" s="379">
        <f>[2]B5!B34</f>
        <v>233</v>
      </c>
      <c r="C4" s="379">
        <f>[2]B5!C34</f>
        <v>239</v>
      </c>
      <c r="D4" s="379">
        <f>[2]B5!D34</f>
        <v>0</v>
      </c>
      <c r="E4" s="379">
        <f>[2]B5!E34</f>
        <v>0</v>
      </c>
      <c r="F4" s="379">
        <f>[2]B5!F34</f>
        <v>2242</v>
      </c>
      <c r="G4" s="379">
        <f>[2]B5!G34</f>
        <v>0</v>
      </c>
      <c r="H4" s="379">
        <f>[2]B5!H34</f>
        <v>43494</v>
      </c>
      <c r="I4" s="379">
        <f>[2]B5!I34</f>
        <v>0</v>
      </c>
      <c r="J4" s="379">
        <f>[2]B5!J34</f>
        <v>0</v>
      </c>
      <c r="K4" s="379">
        <f>[2]B5!K34</f>
        <v>2412</v>
      </c>
      <c r="L4" s="379">
        <f>[2]B5!L34</f>
        <v>0</v>
      </c>
      <c r="M4" s="379">
        <f>[2]B5!M34</f>
        <v>178611</v>
      </c>
      <c r="N4" s="379">
        <f>[2]B5!N34</f>
        <v>0</v>
      </c>
      <c r="O4" s="379">
        <f>[2]B5!O34</f>
        <v>1869</v>
      </c>
      <c r="P4" s="379">
        <f>[2]B5!P34</f>
        <v>2199</v>
      </c>
      <c r="Q4" s="379">
        <f>[2]B5!Q34</f>
        <v>183982</v>
      </c>
      <c r="R4" s="379">
        <f>[2]B5!R34</f>
        <v>0</v>
      </c>
      <c r="S4" s="379">
        <f>[2]B5!S34</f>
        <v>0</v>
      </c>
      <c r="T4" s="379">
        <f>[2]B5!T34</f>
        <v>0</v>
      </c>
      <c r="U4" s="379">
        <f>[2]B5!U34</f>
        <v>0</v>
      </c>
      <c r="V4" s="379">
        <f>[2]B5!V34</f>
        <v>0</v>
      </c>
      <c r="W4" s="379">
        <f>[2]B5!W34</f>
        <v>0</v>
      </c>
      <c r="X4" s="379">
        <f>[2]B5!X34</f>
        <v>2477</v>
      </c>
      <c r="Y4" s="379">
        <f>[2]B5!Y34</f>
        <v>0</v>
      </c>
      <c r="Z4" s="379">
        <f>[2]B5!Z34</f>
        <v>139698</v>
      </c>
      <c r="AA4" s="379">
        <f>[2]B5!AA34</f>
        <v>0</v>
      </c>
      <c r="AB4" s="379">
        <f>[2]B5!AB34</f>
        <v>0</v>
      </c>
      <c r="AC4" s="379">
        <f>[2]B5!AC34</f>
        <v>1944</v>
      </c>
      <c r="AD4" s="379">
        <f>[2]B5!AD34</f>
        <v>0</v>
      </c>
      <c r="AE4" s="379">
        <f>[2]B5!AE34</f>
        <v>366312</v>
      </c>
      <c r="AF4" s="379">
        <f>[2]B5!AF34</f>
        <v>0</v>
      </c>
      <c r="AG4" s="379">
        <f>[2]B5!AG34</f>
        <v>0</v>
      </c>
      <c r="AH4" s="379">
        <f>[2]B5!AH34</f>
        <v>0</v>
      </c>
      <c r="AI4" s="379">
        <f>[2]B5!AI34</f>
        <v>0</v>
      </c>
      <c r="AJ4" s="379">
        <f>[2]B5!AJ34</f>
        <v>0</v>
      </c>
      <c r="AK4" s="379">
        <f>[2]B5!AK34</f>
        <v>0</v>
      </c>
      <c r="AL4" s="379">
        <f>[2]B5!AL34</f>
        <v>0</v>
      </c>
      <c r="AM4" s="379">
        <f>[2]B5!AM34</f>
        <v>0</v>
      </c>
      <c r="AN4" s="379">
        <f>[2]B5!AN34</f>
        <v>65</v>
      </c>
      <c r="AO4" s="379">
        <f>[2]B5!AO34</f>
        <v>1950</v>
      </c>
      <c r="AP4" s="379">
        <f>[2]B5!AP34</f>
        <v>55</v>
      </c>
      <c r="AQ4" s="379">
        <f>[2]B5!AQ34</f>
        <v>1650.0000000000002</v>
      </c>
      <c r="AR4" s="379">
        <f>[2]B5!AR34</f>
        <v>61</v>
      </c>
      <c r="AS4" s="379">
        <f>[2]B5!AS34</f>
        <v>1830</v>
      </c>
      <c r="AT4" s="379">
        <f>[2]B5!AT34</f>
        <v>5430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44682</v>
      </c>
      <c r="B5" s="537">
        <f>B4</f>
        <v>233</v>
      </c>
      <c r="C5" s="537">
        <f>C4</f>
        <v>239</v>
      </c>
      <c r="D5" s="45">
        <f>C4-C5</f>
        <v>0</v>
      </c>
      <c r="E5" s="45">
        <f>D5*8.38</f>
        <v>0</v>
      </c>
      <c r="F5" s="537">
        <f>F4</f>
        <v>2242</v>
      </c>
      <c r="G5" s="52">
        <f t="shared" ref="G5:G32" si="0">F5-F4</f>
        <v>0</v>
      </c>
      <c r="H5" s="537">
        <f>H4</f>
        <v>43494</v>
      </c>
      <c r="I5" s="380">
        <f t="shared" ref="I5:I32" si="1">SUM(H5-H4)</f>
        <v>0</v>
      </c>
      <c r="J5" s="66">
        <v>1</v>
      </c>
      <c r="K5" s="537">
        <f>K4</f>
        <v>2412</v>
      </c>
      <c r="L5" s="52">
        <f>K5-K4</f>
        <v>0</v>
      </c>
      <c r="M5" s="537">
        <f>M4</f>
        <v>178611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2199</v>
      </c>
      <c r="Q5" s="537">
        <f>Q4</f>
        <v>183982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7">
        <f>X4</f>
        <v>2477</v>
      </c>
      <c r="Y5" s="52">
        <f>X5-X4</f>
        <v>0</v>
      </c>
      <c r="Z5" s="537">
        <f>Z4</f>
        <v>139698</v>
      </c>
      <c r="AA5" s="65">
        <f t="shared" ref="AA5:AA32" si="6">Z5-Z4</f>
        <v>0</v>
      </c>
      <c r="AB5" s="273">
        <f>SUM(Y5*$AB$2)</f>
        <v>0</v>
      </c>
      <c r="AC5" s="537">
        <f>AC4</f>
        <v>1944</v>
      </c>
      <c r="AD5" s="45">
        <f t="shared" ref="AD5:AD32" si="7">AC5-AC4</f>
        <v>0</v>
      </c>
      <c r="AE5" s="537">
        <f>AE4</f>
        <v>366312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44683</v>
      </c>
      <c r="B6" s="537">
        <f t="shared" ref="B6:B35" si="12">B5</f>
        <v>233</v>
      </c>
      <c r="C6" s="537">
        <f t="shared" ref="C6:C35" si="13">C5</f>
        <v>239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2242</v>
      </c>
      <c r="G6" s="52">
        <f t="shared" si="0"/>
        <v>0</v>
      </c>
      <c r="H6" s="537">
        <f t="shared" ref="H6:H35" si="16">H5</f>
        <v>43494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2412</v>
      </c>
      <c r="L6" s="52">
        <f t="shared" ref="L6:L32" si="19">K6-K5</f>
        <v>0</v>
      </c>
      <c r="M6" s="537">
        <f t="shared" ref="M6:M35" si="20">M5</f>
        <v>178611</v>
      </c>
      <c r="N6" s="380">
        <f t="shared" si="2"/>
        <v>0</v>
      </c>
      <c r="O6" s="64">
        <f t="shared" si="3"/>
        <v>1869</v>
      </c>
      <c r="P6" s="537">
        <f t="shared" si="3"/>
        <v>2199</v>
      </c>
      <c r="Q6" s="537">
        <f t="shared" si="3"/>
        <v>183982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2" si="22">R6+N6+I6:I6</f>
        <v>0</v>
      </c>
      <c r="W6" s="384" t="e">
        <f t="shared" ref="W6:W16" si="23">SUM(V6/U6)</f>
        <v>#DIV/0!</v>
      </c>
      <c r="X6" s="537">
        <f t="shared" ref="X6:X35" si="24">X5</f>
        <v>2477</v>
      </c>
      <c r="Y6" s="52">
        <f t="shared" ref="Y6:Y32" si="25">X6-X5</f>
        <v>0</v>
      </c>
      <c r="Z6" s="537">
        <f t="shared" ref="Z6:Z35" si="26">Z5</f>
        <v>139698</v>
      </c>
      <c r="AA6" s="65">
        <f t="shared" si="6"/>
        <v>0</v>
      </c>
      <c r="AB6" s="273">
        <f>SUM(Y6*$AB$2)</f>
        <v>0</v>
      </c>
      <c r="AC6" s="537">
        <f t="shared" ref="AC6:AC35" si="27">AC5</f>
        <v>1944</v>
      </c>
      <c r="AD6" s="45">
        <f t="shared" si="7"/>
        <v>0</v>
      </c>
      <c r="AE6" s="537">
        <f t="shared" ref="AE6:AE35" si="28">AE5</f>
        <v>366312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44684</v>
      </c>
      <c r="B7" s="537">
        <v>224</v>
      </c>
      <c r="C7" s="537">
        <v>231</v>
      </c>
      <c r="D7" s="45">
        <f t="shared" ref="D7:D19" si="36">C6-C7</f>
        <v>8</v>
      </c>
      <c r="E7" s="45">
        <f t="shared" si="14"/>
        <v>67.040000000000006</v>
      </c>
      <c r="F7" s="537">
        <f t="shared" si="15"/>
        <v>2242</v>
      </c>
      <c r="G7" s="52">
        <f t="shared" si="0"/>
        <v>0</v>
      </c>
      <c r="H7" s="537">
        <f t="shared" si="16"/>
        <v>43494</v>
      </c>
      <c r="I7" s="380">
        <f t="shared" si="1"/>
        <v>0</v>
      </c>
      <c r="J7" s="66">
        <f t="shared" si="17"/>
        <v>0</v>
      </c>
      <c r="K7" s="537">
        <v>2415</v>
      </c>
      <c r="L7" s="52">
        <f t="shared" si="19"/>
        <v>3</v>
      </c>
      <c r="M7" s="537">
        <v>178900</v>
      </c>
      <c r="N7" s="380">
        <f t="shared" si="2"/>
        <v>289</v>
      </c>
      <c r="O7" s="64">
        <f t="shared" si="3"/>
        <v>1869</v>
      </c>
      <c r="P7" s="537">
        <f t="shared" si="3"/>
        <v>2199</v>
      </c>
      <c r="Q7" s="537">
        <f t="shared" si="3"/>
        <v>183982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3</v>
      </c>
      <c r="V7" s="62">
        <f>R7+N7+I7:I7</f>
        <v>289</v>
      </c>
      <c r="W7" s="384">
        <f t="shared" si="23"/>
        <v>96.333333333333329</v>
      </c>
      <c r="X7" s="537">
        <f t="shared" si="24"/>
        <v>2477</v>
      </c>
      <c r="Y7" s="52">
        <f t="shared" si="25"/>
        <v>0</v>
      </c>
      <c r="Z7" s="537">
        <f t="shared" si="26"/>
        <v>139698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1944</v>
      </c>
      <c r="AD7" s="45">
        <f t="shared" si="7"/>
        <v>0</v>
      </c>
      <c r="AE7" s="537">
        <f t="shared" si="28"/>
        <v>366312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289</v>
      </c>
      <c r="AJ7" s="303">
        <f>-tanks!AW8</f>
        <v>289</v>
      </c>
      <c r="AK7" s="303">
        <f t="shared" si="31"/>
        <v>0</v>
      </c>
      <c r="AL7" s="303">
        <f t="shared" si="8"/>
        <v>3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44685</v>
      </c>
      <c r="B8" s="537">
        <v>218</v>
      </c>
      <c r="C8" s="537">
        <v>225</v>
      </c>
      <c r="D8" s="45">
        <f t="shared" si="36"/>
        <v>6</v>
      </c>
      <c r="E8" s="45">
        <f t="shared" si="14"/>
        <v>50.28</v>
      </c>
      <c r="F8" s="537">
        <f t="shared" si="15"/>
        <v>2242</v>
      </c>
      <c r="G8" s="52">
        <f t="shared" si="0"/>
        <v>0</v>
      </c>
      <c r="H8" s="537">
        <f t="shared" si="16"/>
        <v>43494</v>
      </c>
      <c r="I8" s="380">
        <f t="shared" si="1"/>
        <v>0</v>
      </c>
      <c r="J8" s="66">
        <f t="shared" si="17"/>
        <v>0</v>
      </c>
      <c r="K8" s="537">
        <v>2419</v>
      </c>
      <c r="L8" s="52">
        <f t="shared" si="19"/>
        <v>4</v>
      </c>
      <c r="M8" s="537">
        <v>179204</v>
      </c>
      <c r="N8" s="380">
        <f t="shared" si="2"/>
        <v>304</v>
      </c>
      <c r="O8" s="64">
        <f t="shared" si="3"/>
        <v>1869</v>
      </c>
      <c r="P8" s="537">
        <v>2199</v>
      </c>
      <c r="Q8" s="537">
        <v>183983</v>
      </c>
      <c r="R8" s="379">
        <f t="shared" si="4"/>
        <v>1</v>
      </c>
      <c r="S8" s="52">
        <f t="shared" si="5"/>
        <v>0</v>
      </c>
      <c r="T8" s="67">
        <f t="shared" si="37"/>
        <v>0</v>
      </c>
      <c r="U8" s="386">
        <f t="shared" si="21"/>
        <v>4</v>
      </c>
      <c r="V8" s="62">
        <f>R8+N8+I8:I8</f>
        <v>305</v>
      </c>
      <c r="W8" s="384">
        <f t="shared" si="23"/>
        <v>76.25</v>
      </c>
      <c r="X8" s="537">
        <f t="shared" si="24"/>
        <v>2477</v>
      </c>
      <c r="Y8" s="52">
        <f t="shared" si="25"/>
        <v>0</v>
      </c>
      <c r="Z8" s="537">
        <f t="shared" si="26"/>
        <v>139698</v>
      </c>
      <c r="AA8" s="65">
        <f t="shared" si="6"/>
        <v>0</v>
      </c>
      <c r="AB8" s="273">
        <f t="shared" si="38"/>
        <v>0</v>
      </c>
      <c r="AC8" s="537">
        <f t="shared" si="27"/>
        <v>1944</v>
      </c>
      <c r="AD8" s="45">
        <f t="shared" si="7"/>
        <v>0</v>
      </c>
      <c r="AE8" s="537">
        <f t="shared" si="28"/>
        <v>366312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305</v>
      </c>
      <c r="AJ8" s="303">
        <f>-tanks!AW9</f>
        <v>305</v>
      </c>
      <c r="AK8" s="303">
        <f t="shared" si="31"/>
        <v>0</v>
      </c>
      <c r="AL8" s="303">
        <f t="shared" si="8"/>
        <v>4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44686</v>
      </c>
      <c r="B9" s="537">
        <v>215</v>
      </c>
      <c r="C9" s="537">
        <v>222</v>
      </c>
      <c r="D9" s="45">
        <f t="shared" si="36"/>
        <v>3</v>
      </c>
      <c r="E9" s="45">
        <f t="shared" si="14"/>
        <v>25.14</v>
      </c>
      <c r="F9" s="537">
        <f t="shared" si="15"/>
        <v>2242</v>
      </c>
      <c r="G9" s="52">
        <f t="shared" si="0"/>
        <v>0</v>
      </c>
      <c r="H9" s="537">
        <f t="shared" si="16"/>
        <v>43494</v>
      </c>
      <c r="I9" s="380">
        <f t="shared" si="1"/>
        <v>0</v>
      </c>
      <c r="J9" s="66">
        <f t="shared" si="17"/>
        <v>0</v>
      </c>
      <c r="K9" s="537">
        <f t="shared" si="18"/>
        <v>2419</v>
      </c>
      <c r="L9" s="52">
        <f t="shared" si="19"/>
        <v>0</v>
      </c>
      <c r="M9" s="537">
        <v>179248</v>
      </c>
      <c r="N9" s="380">
        <f t="shared" si="2"/>
        <v>44</v>
      </c>
      <c r="O9" s="64">
        <f t="shared" si="3"/>
        <v>1869</v>
      </c>
      <c r="P9" s="537">
        <f t="shared" si="3"/>
        <v>2199</v>
      </c>
      <c r="Q9" s="537">
        <f t="shared" si="3"/>
        <v>183983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0</v>
      </c>
      <c r="V9" s="62">
        <f t="shared" si="22"/>
        <v>44</v>
      </c>
      <c r="W9" s="384" t="e">
        <f t="shared" si="23"/>
        <v>#DIV/0!</v>
      </c>
      <c r="X9" s="537">
        <f t="shared" si="24"/>
        <v>2477</v>
      </c>
      <c r="Y9" s="52">
        <f t="shared" si="25"/>
        <v>0</v>
      </c>
      <c r="Z9" s="537">
        <f t="shared" si="26"/>
        <v>139698</v>
      </c>
      <c r="AA9" s="65">
        <f t="shared" si="6"/>
        <v>0</v>
      </c>
      <c r="AB9" s="273">
        <f t="shared" si="38"/>
        <v>0</v>
      </c>
      <c r="AC9" s="537">
        <f t="shared" si="27"/>
        <v>1944</v>
      </c>
      <c r="AD9" s="45">
        <f t="shared" si="7"/>
        <v>0</v>
      </c>
      <c r="AE9" s="537">
        <f t="shared" si="28"/>
        <v>366312</v>
      </c>
      <c r="AF9" s="293">
        <f t="shared" si="29"/>
        <v>0</v>
      </c>
      <c r="AG9" s="209">
        <f t="shared" si="39"/>
        <v>0</v>
      </c>
      <c r="AH9" s="62">
        <f t="shared" si="40"/>
        <v>0</v>
      </c>
      <c r="AI9" s="303">
        <f t="shared" si="30"/>
        <v>44</v>
      </c>
      <c r="AJ9" s="303">
        <f>-tanks!AW10</f>
        <v>44</v>
      </c>
      <c r="AK9" s="303">
        <f t="shared" si="31"/>
        <v>0</v>
      </c>
      <c r="AL9" s="303">
        <f t="shared" si="8"/>
        <v>0</v>
      </c>
      <c r="AM9" s="303">
        <f t="shared" si="32"/>
        <v>0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44687</v>
      </c>
      <c r="B10" s="537">
        <f t="shared" si="12"/>
        <v>215</v>
      </c>
      <c r="C10" s="537">
        <f t="shared" si="13"/>
        <v>222</v>
      </c>
      <c r="D10" s="45">
        <f t="shared" si="36"/>
        <v>0</v>
      </c>
      <c r="E10" s="45">
        <f t="shared" si="14"/>
        <v>0</v>
      </c>
      <c r="F10" s="537">
        <f t="shared" si="15"/>
        <v>2242</v>
      </c>
      <c r="G10" s="52">
        <f t="shared" si="0"/>
        <v>0</v>
      </c>
      <c r="H10" s="537">
        <f t="shared" si="16"/>
        <v>43494</v>
      </c>
      <c r="I10" s="380">
        <f t="shared" si="1"/>
        <v>0</v>
      </c>
      <c r="J10" s="66">
        <f t="shared" si="17"/>
        <v>0</v>
      </c>
      <c r="K10" s="537">
        <f t="shared" si="18"/>
        <v>2419</v>
      </c>
      <c r="L10" s="52">
        <f t="shared" si="19"/>
        <v>0</v>
      </c>
      <c r="M10" s="537">
        <f t="shared" si="20"/>
        <v>179248</v>
      </c>
      <c r="N10" s="380">
        <f t="shared" si="2"/>
        <v>0</v>
      </c>
      <c r="O10" s="64">
        <f t="shared" si="3"/>
        <v>1869</v>
      </c>
      <c r="P10" s="537">
        <f t="shared" si="3"/>
        <v>2199</v>
      </c>
      <c r="Q10" s="537">
        <f t="shared" si="3"/>
        <v>183983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0</v>
      </c>
      <c r="V10" s="62">
        <f t="shared" si="22"/>
        <v>0</v>
      </c>
      <c r="W10" s="384" t="e">
        <f t="shared" si="23"/>
        <v>#DIV/0!</v>
      </c>
      <c r="X10" s="537">
        <f t="shared" si="24"/>
        <v>2477</v>
      </c>
      <c r="Y10" s="52">
        <f t="shared" si="25"/>
        <v>0</v>
      </c>
      <c r="Z10" s="537">
        <f t="shared" si="26"/>
        <v>139698</v>
      </c>
      <c r="AA10" s="65">
        <f t="shared" si="6"/>
        <v>0</v>
      </c>
      <c r="AB10" s="273">
        <f t="shared" si="38"/>
        <v>0</v>
      </c>
      <c r="AC10" s="537">
        <f t="shared" si="27"/>
        <v>1944</v>
      </c>
      <c r="AD10" s="45">
        <f t="shared" si="7"/>
        <v>0</v>
      </c>
      <c r="AE10" s="537">
        <f t="shared" si="28"/>
        <v>366312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31"/>
        <v>0</v>
      </c>
      <c r="AL10" s="303">
        <f t="shared" si="8"/>
        <v>0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44688</v>
      </c>
      <c r="B11" s="537">
        <f t="shared" si="12"/>
        <v>215</v>
      </c>
      <c r="C11" s="537">
        <f t="shared" si="13"/>
        <v>222</v>
      </c>
      <c r="D11" s="45">
        <f t="shared" si="36"/>
        <v>0</v>
      </c>
      <c r="E11" s="45">
        <f t="shared" si="14"/>
        <v>0</v>
      </c>
      <c r="F11" s="537">
        <f t="shared" si="15"/>
        <v>2242</v>
      </c>
      <c r="G11" s="52">
        <f t="shared" si="0"/>
        <v>0</v>
      </c>
      <c r="H11" s="537">
        <f t="shared" si="16"/>
        <v>43494</v>
      </c>
      <c r="I11" s="380">
        <f t="shared" si="1"/>
        <v>0</v>
      </c>
      <c r="J11" s="66">
        <f t="shared" si="17"/>
        <v>0</v>
      </c>
      <c r="K11" s="537">
        <f t="shared" si="18"/>
        <v>2419</v>
      </c>
      <c r="L11" s="52">
        <f t="shared" si="19"/>
        <v>0</v>
      </c>
      <c r="M11" s="537">
        <f t="shared" si="20"/>
        <v>179248</v>
      </c>
      <c r="N11" s="380">
        <f t="shared" si="2"/>
        <v>0</v>
      </c>
      <c r="O11" s="64">
        <f t="shared" si="3"/>
        <v>1869</v>
      </c>
      <c r="P11" s="537">
        <f t="shared" si="3"/>
        <v>2199</v>
      </c>
      <c r="Q11" s="537">
        <f t="shared" si="3"/>
        <v>183983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0</v>
      </c>
      <c r="V11" s="62">
        <f t="shared" si="22"/>
        <v>0</v>
      </c>
      <c r="W11" s="384" t="e">
        <f t="shared" si="23"/>
        <v>#DIV/0!</v>
      </c>
      <c r="X11" s="537">
        <f t="shared" si="24"/>
        <v>2477</v>
      </c>
      <c r="Y11" s="52">
        <f t="shared" si="25"/>
        <v>0</v>
      </c>
      <c r="Z11" s="537">
        <f t="shared" si="26"/>
        <v>139698</v>
      </c>
      <c r="AA11" s="65">
        <f t="shared" si="6"/>
        <v>0</v>
      </c>
      <c r="AB11" s="273">
        <f t="shared" si="38"/>
        <v>0</v>
      </c>
      <c r="AC11" s="537">
        <f t="shared" si="27"/>
        <v>1944</v>
      </c>
      <c r="AD11" s="45">
        <f t="shared" si="7"/>
        <v>0</v>
      </c>
      <c r="AE11" s="537">
        <f t="shared" si="28"/>
        <v>366312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31"/>
        <v>0</v>
      </c>
      <c r="AL11" s="303">
        <f t="shared" si="8"/>
        <v>0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44689</v>
      </c>
      <c r="B12" s="537">
        <v>249</v>
      </c>
      <c r="C12" s="537">
        <v>255</v>
      </c>
      <c r="D12" s="45">
        <f t="shared" si="36"/>
        <v>-33</v>
      </c>
      <c r="E12" s="45">
        <f t="shared" si="14"/>
        <v>-276.54000000000002</v>
      </c>
      <c r="F12" s="537">
        <f t="shared" si="15"/>
        <v>2242</v>
      </c>
      <c r="G12" s="52">
        <f t="shared" si="0"/>
        <v>0</v>
      </c>
      <c r="H12" s="537">
        <f t="shared" si="16"/>
        <v>43494</v>
      </c>
      <c r="I12" s="380">
        <f t="shared" si="1"/>
        <v>0</v>
      </c>
      <c r="J12" s="66">
        <f t="shared" si="17"/>
        <v>0</v>
      </c>
      <c r="K12" s="537">
        <v>2421</v>
      </c>
      <c r="L12" s="52">
        <f t="shared" si="19"/>
        <v>2</v>
      </c>
      <c r="M12" s="537">
        <v>179434</v>
      </c>
      <c r="N12" s="380">
        <f t="shared" si="2"/>
        <v>186</v>
      </c>
      <c r="O12" s="64">
        <f t="shared" si="3"/>
        <v>1869</v>
      </c>
      <c r="P12" s="537">
        <f t="shared" si="3"/>
        <v>2199</v>
      </c>
      <c r="Q12" s="537">
        <f t="shared" si="3"/>
        <v>183983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2</v>
      </c>
      <c r="V12" s="62">
        <f t="shared" si="22"/>
        <v>186</v>
      </c>
      <c r="W12" s="384">
        <f t="shared" si="23"/>
        <v>93</v>
      </c>
      <c r="X12" s="537">
        <v>2478</v>
      </c>
      <c r="Y12" s="52">
        <f t="shared" si="25"/>
        <v>1</v>
      </c>
      <c r="Z12" s="537">
        <v>139771</v>
      </c>
      <c r="AA12" s="65">
        <f t="shared" si="6"/>
        <v>73</v>
      </c>
      <c r="AB12" s="273">
        <f t="shared" si="38"/>
        <v>0</v>
      </c>
      <c r="AC12" s="537">
        <f t="shared" si="27"/>
        <v>1944</v>
      </c>
      <c r="AD12" s="45">
        <f t="shared" si="7"/>
        <v>0</v>
      </c>
      <c r="AE12" s="537">
        <f t="shared" si="28"/>
        <v>366312</v>
      </c>
      <c r="AF12" s="293">
        <f t="shared" si="29"/>
        <v>0</v>
      </c>
      <c r="AG12" s="209">
        <f t="shared" si="39"/>
        <v>0</v>
      </c>
      <c r="AH12" s="62">
        <f t="shared" si="40"/>
        <v>73</v>
      </c>
      <c r="AI12" s="303">
        <f t="shared" si="30"/>
        <v>259</v>
      </c>
      <c r="AJ12" s="303">
        <f>-tanks!AW13</f>
        <v>259</v>
      </c>
      <c r="AK12" s="303">
        <f t="shared" si="31"/>
        <v>0</v>
      </c>
      <c r="AL12" s="303">
        <f t="shared" si="8"/>
        <v>2</v>
      </c>
      <c r="AM12" s="303">
        <f t="shared" si="32"/>
        <v>1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44690</v>
      </c>
      <c r="B13" s="537">
        <v>245</v>
      </c>
      <c r="C13" s="537">
        <v>251</v>
      </c>
      <c r="D13" s="45">
        <f t="shared" si="36"/>
        <v>4</v>
      </c>
      <c r="E13" s="45">
        <f t="shared" si="14"/>
        <v>33.520000000000003</v>
      </c>
      <c r="F13" s="537">
        <f t="shared" si="15"/>
        <v>2242</v>
      </c>
      <c r="G13" s="52">
        <f t="shared" si="0"/>
        <v>0</v>
      </c>
      <c r="H13" s="537">
        <f t="shared" si="16"/>
        <v>43494</v>
      </c>
      <c r="I13" s="380">
        <f t="shared" si="1"/>
        <v>0</v>
      </c>
      <c r="J13" s="66">
        <f t="shared" si="17"/>
        <v>0</v>
      </c>
      <c r="K13" s="537">
        <v>2422</v>
      </c>
      <c r="L13" s="52">
        <f t="shared" si="19"/>
        <v>1</v>
      </c>
      <c r="M13" s="537">
        <v>179535</v>
      </c>
      <c r="N13" s="380">
        <f t="shared" si="2"/>
        <v>101</v>
      </c>
      <c r="O13" s="64">
        <f t="shared" si="3"/>
        <v>1869</v>
      </c>
      <c r="P13" s="537">
        <f t="shared" si="3"/>
        <v>2199</v>
      </c>
      <c r="Q13" s="537">
        <f t="shared" si="3"/>
        <v>183983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1</v>
      </c>
      <c r="V13" s="62">
        <f t="shared" si="22"/>
        <v>101</v>
      </c>
      <c r="W13" s="384">
        <f t="shared" si="23"/>
        <v>101</v>
      </c>
      <c r="X13" s="537">
        <f t="shared" si="24"/>
        <v>2478</v>
      </c>
      <c r="Y13" s="52">
        <f t="shared" si="25"/>
        <v>0</v>
      </c>
      <c r="Z13" s="537">
        <f t="shared" si="26"/>
        <v>139771</v>
      </c>
      <c r="AA13" s="273">
        <f t="shared" si="6"/>
        <v>0</v>
      </c>
      <c r="AB13" s="273">
        <f t="shared" si="38"/>
        <v>0</v>
      </c>
      <c r="AC13" s="537">
        <f t="shared" si="27"/>
        <v>1944</v>
      </c>
      <c r="AD13" s="45">
        <f t="shared" si="7"/>
        <v>0</v>
      </c>
      <c r="AE13" s="537">
        <f t="shared" si="28"/>
        <v>366312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101</v>
      </c>
      <c r="AJ13" s="303">
        <f>-tanks!AW14</f>
        <v>101</v>
      </c>
      <c r="AK13" s="303">
        <f t="shared" si="31"/>
        <v>0</v>
      </c>
      <c r="AL13" s="303">
        <f t="shared" si="8"/>
        <v>1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44691</v>
      </c>
      <c r="B14" s="537">
        <v>242</v>
      </c>
      <c r="C14" s="537">
        <v>248</v>
      </c>
      <c r="D14" s="45">
        <f t="shared" si="36"/>
        <v>3</v>
      </c>
      <c r="E14" s="45">
        <f t="shared" si="14"/>
        <v>25.14</v>
      </c>
      <c r="F14" s="537">
        <f t="shared" si="15"/>
        <v>2242</v>
      </c>
      <c r="G14" s="52">
        <f t="shared" si="0"/>
        <v>0</v>
      </c>
      <c r="H14" s="537">
        <f t="shared" si="16"/>
        <v>43494</v>
      </c>
      <c r="I14" s="380">
        <f t="shared" si="1"/>
        <v>0</v>
      </c>
      <c r="J14" s="66">
        <f t="shared" si="17"/>
        <v>0</v>
      </c>
      <c r="K14" s="537">
        <v>2423</v>
      </c>
      <c r="L14" s="52">
        <f t="shared" si="19"/>
        <v>1</v>
      </c>
      <c r="M14" s="537">
        <v>179580</v>
      </c>
      <c r="N14" s="380">
        <f t="shared" si="2"/>
        <v>45</v>
      </c>
      <c r="O14" s="64">
        <f t="shared" si="3"/>
        <v>1869</v>
      </c>
      <c r="P14" s="537">
        <f t="shared" si="3"/>
        <v>2199</v>
      </c>
      <c r="Q14" s="537">
        <f t="shared" si="3"/>
        <v>183983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1</v>
      </c>
      <c r="V14" s="62">
        <f t="shared" si="22"/>
        <v>45</v>
      </c>
      <c r="W14" s="384">
        <f t="shared" si="23"/>
        <v>45</v>
      </c>
      <c r="X14" s="537">
        <f t="shared" si="24"/>
        <v>2478</v>
      </c>
      <c r="Y14" s="52">
        <f t="shared" si="25"/>
        <v>0</v>
      </c>
      <c r="Z14" s="537">
        <f t="shared" si="26"/>
        <v>139771</v>
      </c>
      <c r="AA14" s="65">
        <f t="shared" si="6"/>
        <v>0</v>
      </c>
      <c r="AB14" s="273">
        <f t="shared" si="38"/>
        <v>0</v>
      </c>
      <c r="AC14" s="537">
        <f t="shared" si="27"/>
        <v>1944</v>
      </c>
      <c r="AD14" s="45">
        <f t="shared" si="7"/>
        <v>0</v>
      </c>
      <c r="AE14" s="537">
        <f t="shared" si="28"/>
        <v>366312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45</v>
      </c>
      <c r="AJ14" s="303">
        <f>-tanks!AW15</f>
        <v>45</v>
      </c>
      <c r="AK14" s="303">
        <f t="shared" si="31"/>
        <v>0</v>
      </c>
      <c r="AL14" s="303">
        <f t="shared" si="8"/>
        <v>1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44692</v>
      </c>
      <c r="B15" s="537">
        <v>238</v>
      </c>
      <c r="C15" s="537">
        <v>244</v>
      </c>
      <c r="D15" s="45">
        <f t="shared" si="36"/>
        <v>4</v>
      </c>
      <c r="E15" s="45">
        <f t="shared" si="14"/>
        <v>33.520000000000003</v>
      </c>
      <c r="F15" s="537">
        <f t="shared" si="15"/>
        <v>2242</v>
      </c>
      <c r="G15" s="52">
        <f t="shared" si="0"/>
        <v>0</v>
      </c>
      <c r="H15" s="537">
        <f t="shared" si="16"/>
        <v>43494</v>
      </c>
      <c r="I15" s="380">
        <f t="shared" si="1"/>
        <v>0</v>
      </c>
      <c r="J15" s="66">
        <f t="shared" si="17"/>
        <v>0</v>
      </c>
      <c r="K15" s="537">
        <v>2424</v>
      </c>
      <c r="L15" s="52">
        <f t="shared" si="19"/>
        <v>1</v>
      </c>
      <c r="M15" s="537">
        <v>179756</v>
      </c>
      <c r="N15" s="380">
        <f t="shared" si="2"/>
        <v>176</v>
      </c>
      <c r="O15" s="64">
        <f t="shared" si="3"/>
        <v>1869</v>
      </c>
      <c r="P15" s="537">
        <f t="shared" si="3"/>
        <v>2199</v>
      </c>
      <c r="Q15" s="537">
        <v>183999</v>
      </c>
      <c r="R15" s="379">
        <f t="shared" si="44"/>
        <v>16</v>
      </c>
      <c r="S15" s="52">
        <f t="shared" si="5"/>
        <v>0</v>
      </c>
      <c r="T15" s="67">
        <f t="shared" si="37"/>
        <v>0</v>
      </c>
      <c r="U15" s="386">
        <f t="shared" si="21"/>
        <v>1</v>
      </c>
      <c r="V15" s="62">
        <f t="shared" si="22"/>
        <v>192</v>
      </c>
      <c r="W15" s="384">
        <f t="shared" si="23"/>
        <v>192</v>
      </c>
      <c r="X15" s="537">
        <f t="shared" si="24"/>
        <v>2478</v>
      </c>
      <c r="Y15" s="52">
        <f t="shared" si="25"/>
        <v>0</v>
      </c>
      <c r="Z15" s="537">
        <f t="shared" si="26"/>
        <v>139771</v>
      </c>
      <c r="AA15" s="65">
        <f t="shared" si="6"/>
        <v>0</v>
      </c>
      <c r="AB15" s="273">
        <f t="shared" si="38"/>
        <v>0</v>
      </c>
      <c r="AC15" s="537">
        <f t="shared" si="27"/>
        <v>1944</v>
      </c>
      <c r="AD15" s="45">
        <f t="shared" si="7"/>
        <v>0</v>
      </c>
      <c r="AE15" s="537">
        <f t="shared" si="28"/>
        <v>366312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192</v>
      </c>
      <c r="AJ15" s="303">
        <f>-tanks!AW16</f>
        <v>192</v>
      </c>
      <c r="AK15" s="303">
        <f t="shared" si="31"/>
        <v>0</v>
      </c>
      <c r="AL15" s="303">
        <f t="shared" si="8"/>
        <v>1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44693</v>
      </c>
      <c r="B16" s="537">
        <v>234</v>
      </c>
      <c r="C16" s="537">
        <v>240</v>
      </c>
      <c r="D16" s="45">
        <f t="shared" si="36"/>
        <v>4</v>
      </c>
      <c r="E16" s="45">
        <f t="shared" si="14"/>
        <v>33.520000000000003</v>
      </c>
      <c r="F16" s="537">
        <f t="shared" si="15"/>
        <v>2242</v>
      </c>
      <c r="G16" s="52">
        <f t="shared" si="0"/>
        <v>0</v>
      </c>
      <c r="H16" s="537">
        <f t="shared" si="16"/>
        <v>43494</v>
      </c>
      <c r="I16" s="380">
        <f t="shared" si="1"/>
        <v>0</v>
      </c>
      <c r="J16" s="66">
        <f t="shared" si="17"/>
        <v>0</v>
      </c>
      <c r="K16" s="537">
        <v>2425</v>
      </c>
      <c r="L16" s="52">
        <f t="shared" si="19"/>
        <v>1</v>
      </c>
      <c r="M16" s="537">
        <v>179797</v>
      </c>
      <c r="N16" s="380">
        <f t="shared" si="2"/>
        <v>41</v>
      </c>
      <c r="O16" s="64">
        <f t="shared" si="3"/>
        <v>1869</v>
      </c>
      <c r="P16" s="537">
        <f t="shared" si="3"/>
        <v>2199</v>
      </c>
      <c r="Q16" s="537">
        <f t="shared" si="3"/>
        <v>183999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1</v>
      </c>
      <c r="V16" s="62">
        <f t="shared" si="22"/>
        <v>41</v>
      </c>
      <c r="W16" s="384">
        <f t="shared" si="23"/>
        <v>41</v>
      </c>
      <c r="X16" s="537">
        <v>2479</v>
      </c>
      <c r="Y16" s="52">
        <f t="shared" si="25"/>
        <v>1</v>
      </c>
      <c r="Z16" s="537">
        <v>139861</v>
      </c>
      <c r="AA16" s="65">
        <f t="shared" si="6"/>
        <v>90</v>
      </c>
      <c r="AB16" s="273">
        <f t="shared" si="38"/>
        <v>0</v>
      </c>
      <c r="AC16" s="537">
        <f t="shared" si="27"/>
        <v>1944</v>
      </c>
      <c r="AD16" s="45">
        <f t="shared" si="7"/>
        <v>0</v>
      </c>
      <c r="AE16" s="537">
        <f t="shared" si="28"/>
        <v>366312</v>
      </c>
      <c r="AF16" s="293">
        <f t="shared" si="29"/>
        <v>0</v>
      </c>
      <c r="AG16" s="209">
        <f t="shared" si="39"/>
        <v>0</v>
      </c>
      <c r="AH16" s="62">
        <f t="shared" si="40"/>
        <v>90</v>
      </c>
      <c r="AI16" s="303">
        <f t="shared" si="30"/>
        <v>131</v>
      </c>
      <c r="AJ16" s="303">
        <f>-tanks!AW17</f>
        <v>131</v>
      </c>
      <c r="AK16" s="303">
        <f t="shared" si="31"/>
        <v>0</v>
      </c>
      <c r="AL16" s="303">
        <f t="shared" si="8"/>
        <v>1</v>
      </c>
      <c r="AM16" s="303">
        <f t="shared" si="32"/>
        <v>1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44694</v>
      </c>
      <c r="B17" s="537">
        <f t="shared" si="12"/>
        <v>234</v>
      </c>
      <c r="C17" s="537">
        <f t="shared" si="13"/>
        <v>240</v>
      </c>
      <c r="D17" s="45">
        <f t="shared" si="36"/>
        <v>0</v>
      </c>
      <c r="E17" s="45">
        <f t="shared" si="14"/>
        <v>0</v>
      </c>
      <c r="F17" s="537">
        <f t="shared" si="15"/>
        <v>2242</v>
      </c>
      <c r="G17" s="52">
        <f t="shared" si="0"/>
        <v>0</v>
      </c>
      <c r="H17" s="537">
        <f t="shared" si="16"/>
        <v>43494</v>
      </c>
      <c r="I17" s="380">
        <f t="shared" si="1"/>
        <v>0</v>
      </c>
      <c r="J17" s="66">
        <f t="shared" si="17"/>
        <v>0</v>
      </c>
      <c r="K17" s="537">
        <f t="shared" si="18"/>
        <v>2425</v>
      </c>
      <c r="L17" s="52">
        <f t="shared" si="19"/>
        <v>0</v>
      </c>
      <c r="M17" s="537">
        <f t="shared" si="20"/>
        <v>179797</v>
      </c>
      <c r="N17" s="380">
        <f t="shared" si="2"/>
        <v>0</v>
      </c>
      <c r="O17" s="64">
        <f t="shared" si="3"/>
        <v>1869</v>
      </c>
      <c r="P17" s="537">
        <f t="shared" si="3"/>
        <v>2199</v>
      </c>
      <c r="Q17" s="537">
        <f t="shared" si="3"/>
        <v>183999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0</v>
      </c>
      <c r="V17" s="62">
        <f t="shared" si="22"/>
        <v>0</v>
      </c>
      <c r="W17" s="384"/>
      <c r="X17" s="537">
        <f t="shared" si="24"/>
        <v>2479</v>
      </c>
      <c r="Y17" s="52">
        <f t="shared" si="25"/>
        <v>0</v>
      </c>
      <c r="Z17" s="537">
        <f t="shared" si="26"/>
        <v>139861</v>
      </c>
      <c r="AA17" s="65">
        <f t="shared" si="6"/>
        <v>0</v>
      </c>
      <c r="AB17" s="273">
        <f t="shared" si="38"/>
        <v>0</v>
      </c>
      <c r="AC17" s="537">
        <f t="shared" si="27"/>
        <v>1944</v>
      </c>
      <c r="AD17" s="45">
        <f t="shared" si="7"/>
        <v>0</v>
      </c>
      <c r="AE17" s="537">
        <f t="shared" si="28"/>
        <v>366312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0</v>
      </c>
      <c r="AJ17" s="303">
        <f>-tanks!AW18</f>
        <v>0</v>
      </c>
      <c r="AK17" s="303">
        <f t="shared" si="31"/>
        <v>0</v>
      </c>
      <c r="AL17" s="303">
        <f t="shared" si="8"/>
        <v>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44695</v>
      </c>
      <c r="B18" s="537">
        <f t="shared" si="12"/>
        <v>234</v>
      </c>
      <c r="C18" s="537">
        <f t="shared" si="13"/>
        <v>240</v>
      </c>
      <c r="D18" s="45">
        <f t="shared" si="36"/>
        <v>0</v>
      </c>
      <c r="E18" s="45">
        <f t="shared" si="14"/>
        <v>0</v>
      </c>
      <c r="F18" s="537">
        <f t="shared" si="15"/>
        <v>2242</v>
      </c>
      <c r="G18" s="52">
        <f t="shared" si="0"/>
        <v>0</v>
      </c>
      <c r="H18" s="537">
        <f t="shared" si="16"/>
        <v>43494</v>
      </c>
      <c r="I18" s="380">
        <f t="shared" si="1"/>
        <v>0</v>
      </c>
      <c r="J18" s="66">
        <f t="shared" si="17"/>
        <v>0</v>
      </c>
      <c r="K18" s="537">
        <f t="shared" si="18"/>
        <v>2425</v>
      </c>
      <c r="L18" s="52">
        <f t="shared" si="19"/>
        <v>0</v>
      </c>
      <c r="M18" s="537">
        <f t="shared" si="20"/>
        <v>179797</v>
      </c>
      <c r="N18" s="380">
        <f t="shared" si="2"/>
        <v>0</v>
      </c>
      <c r="O18" s="64">
        <v>1869</v>
      </c>
      <c r="P18" s="537">
        <f t="shared" ref="P18:P35" si="45">P17</f>
        <v>2199</v>
      </c>
      <c r="Q18" s="537">
        <f t="shared" ref="Q18:Q35" si="46">Q17</f>
        <v>183999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2479</v>
      </c>
      <c r="Y18" s="52">
        <f t="shared" si="25"/>
        <v>0</v>
      </c>
      <c r="Z18" s="537">
        <f t="shared" si="26"/>
        <v>139861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1944</v>
      </c>
      <c r="AD18" s="45">
        <f t="shared" si="7"/>
        <v>0</v>
      </c>
      <c r="AE18" s="537">
        <f t="shared" si="28"/>
        <v>366312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44696</v>
      </c>
      <c r="B19" s="537">
        <v>231</v>
      </c>
      <c r="C19" s="537">
        <v>237</v>
      </c>
      <c r="D19" s="45">
        <f t="shared" si="36"/>
        <v>3</v>
      </c>
      <c r="E19" s="45">
        <f t="shared" si="14"/>
        <v>25.14</v>
      </c>
      <c r="F19" s="537">
        <f t="shared" si="15"/>
        <v>2242</v>
      </c>
      <c r="G19" s="52">
        <f t="shared" si="0"/>
        <v>0</v>
      </c>
      <c r="H19" s="537">
        <f t="shared" si="16"/>
        <v>43494</v>
      </c>
      <c r="I19" s="380">
        <f t="shared" si="1"/>
        <v>0</v>
      </c>
      <c r="J19" s="66">
        <f t="shared" si="17"/>
        <v>0</v>
      </c>
      <c r="K19" s="537">
        <v>2426</v>
      </c>
      <c r="L19" s="52">
        <f t="shared" si="19"/>
        <v>1</v>
      </c>
      <c r="M19" s="537">
        <v>179905</v>
      </c>
      <c r="N19" s="380">
        <f t="shared" si="2"/>
        <v>108</v>
      </c>
      <c r="O19" s="64">
        <f t="shared" ref="O19:O35" si="48">O18</f>
        <v>1869</v>
      </c>
      <c r="P19" s="537">
        <v>2200</v>
      </c>
      <c r="Q19" s="537">
        <v>184048</v>
      </c>
      <c r="R19" s="379">
        <f t="shared" si="44"/>
        <v>49</v>
      </c>
      <c r="S19" s="52">
        <f t="shared" si="5"/>
        <v>1</v>
      </c>
      <c r="T19" s="67">
        <f t="shared" si="37"/>
        <v>0</v>
      </c>
      <c r="U19" s="386">
        <f t="shared" si="21"/>
        <v>2</v>
      </c>
      <c r="V19" s="62">
        <f t="shared" si="22"/>
        <v>157</v>
      </c>
      <c r="W19" s="384"/>
      <c r="X19" s="537">
        <f t="shared" si="24"/>
        <v>2479</v>
      </c>
      <c r="Y19" s="52">
        <f t="shared" si="25"/>
        <v>0</v>
      </c>
      <c r="Z19" s="537">
        <f t="shared" si="26"/>
        <v>139861</v>
      </c>
      <c r="AA19" s="65">
        <f t="shared" si="6"/>
        <v>0</v>
      </c>
      <c r="AB19" s="273">
        <f t="shared" si="47"/>
        <v>0</v>
      </c>
      <c r="AC19" s="537">
        <f t="shared" si="27"/>
        <v>1944</v>
      </c>
      <c r="AD19" s="45">
        <f t="shared" si="7"/>
        <v>0</v>
      </c>
      <c r="AE19" s="537">
        <f t="shared" si="28"/>
        <v>366312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157</v>
      </c>
      <c r="AJ19" s="303">
        <f>-tanks!AW20</f>
        <v>157</v>
      </c>
      <c r="AK19" s="303">
        <f t="shared" si="31"/>
        <v>0</v>
      </c>
      <c r="AL19" s="303">
        <f t="shared" si="8"/>
        <v>2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44697</v>
      </c>
      <c r="B20" s="537">
        <v>228</v>
      </c>
      <c r="C20" s="537">
        <v>233</v>
      </c>
      <c r="D20" s="45">
        <f>C19-C20</f>
        <v>4</v>
      </c>
      <c r="E20" s="45">
        <f t="shared" si="14"/>
        <v>33.520000000000003</v>
      </c>
      <c r="F20" s="537">
        <f t="shared" si="15"/>
        <v>2242</v>
      </c>
      <c r="G20" s="52">
        <f t="shared" si="0"/>
        <v>0</v>
      </c>
      <c r="H20" s="537">
        <f t="shared" si="16"/>
        <v>43494</v>
      </c>
      <c r="I20" s="380">
        <f t="shared" si="1"/>
        <v>0</v>
      </c>
      <c r="J20" s="66">
        <f t="shared" si="17"/>
        <v>0</v>
      </c>
      <c r="K20" s="537">
        <f t="shared" si="18"/>
        <v>2426</v>
      </c>
      <c r="L20" s="52">
        <f t="shared" si="19"/>
        <v>0</v>
      </c>
      <c r="M20" s="537">
        <f t="shared" si="20"/>
        <v>179905</v>
      </c>
      <c r="N20" s="380">
        <f t="shared" si="2"/>
        <v>0</v>
      </c>
      <c r="O20" s="64">
        <f t="shared" si="48"/>
        <v>1869</v>
      </c>
      <c r="P20" s="537">
        <v>2201</v>
      </c>
      <c r="Q20" s="537">
        <v>184161</v>
      </c>
      <c r="R20" s="379">
        <f t="shared" si="44"/>
        <v>113</v>
      </c>
      <c r="S20" s="52">
        <f t="shared" si="5"/>
        <v>1</v>
      </c>
      <c r="T20" s="67">
        <f t="shared" si="37"/>
        <v>0</v>
      </c>
      <c r="U20" s="386">
        <f t="shared" si="21"/>
        <v>1</v>
      </c>
      <c r="V20" s="62">
        <f t="shared" si="22"/>
        <v>113</v>
      </c>
      <c r="W20" s="384"/>
      <c r="X20" s="537">
        <f t="shared" si="24"/>
        <v>2479</v>
      </c>
      <c r="Y20" s="52">
        <f t="shared" si="25"/>
        <v>0</v>
      </c>
      <c r="Z20" s="537">
        <f t="shared" si="26"/>
        <v>139861</v>
      </c>
      <c r="AA20" s="65">
        <f t="shared" si="6"/>
        <v>0</v>
      </c>
      <c r="AB20" s="273">
        <f t="shared" si="47"/>
        <v>0</v>
      </c>
      <c r="AC20" s="537">
        <f t="shared" si="27"/>
        <v>1944</v>
      </c>
      <c r="AD20" s="45">
        <f t="shared" si="7"/>
        <v>0</v>
      </c>
      <c r="AE20" s="537">
        <f t="shared" si="28"/>
        <v>366312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113</v>
      </c>
      <c r="AJ20" s="303">
        <f>-tanks!AW21</f>
        <v>113</v>
      </c>
      <c r="AK20" s="303">
        <f t="shared" si="31"/>
        <v>0</v>
      </c>
      <c r="AL20" s="303">
        <f t="shared" si="8"/>
        <v>1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44698</v>
      </c>
      <c r="B21" s="537">
        <v>225</v>
      </c>
      <c r="C21" s="537">
        <v>231</v>
      </c>
      <c r="D21" s="45">
        <f t="shared" ref="D21:D32" si="49">C20-C21</f>
        <v>2</v>
      </c>
      <c r="E21" s="45">
        <f t="shared" si="14"/>
        <v>16.760000000000002</v>
      </c>
      <c r="F21" s="537">
        <f t="shared" si="15"/>
        <v>2242</v>
      </c>
      <c r="G21" s="52">
        <f t="shared" si="0"/>
        <v>0</v>
      </c>
      <c r="H21" s="537">
        <f t="shared" si="16"/>
        <v>43494</v>
      </c>
      <c r="I21" s="380">
        <f t="shared" si="1"/>
        <v>0</v>
      </c>
      <c r="J21" s="66">
        <f t="shared" si="17"/>
        <v>0</v>
      </c>
      <c r="K21" s="537">
        <f t="shared" si="18"/>
        <v>2426</v>
      </c>
      <c r="L21" s="52">
        <f t="shared" si="19"/>
        <v>0</v>
      </c>
      <c r="M21" s="537">
        <f t="shared" si="20"/>
        <v>179905</v>
      </c>
      <c r="N21" s="380">
        <f t="shared" si="2"/>
        <v>0</v>
      </c>
      <c r="O21" s="64">
        <f t="shared" si="48"/>
        <v>1869</v>
      </c>
      <c r="P21" s="537">
        <v>2202</v>
      </c>
      <c r="Q21" s="537">
        <v>184263</v>
      </c>
      <c r="R21" s="379">
        <f t="shared" si="44"/>
        <v>102</v>
      </c>
      <c r="S21" s="52">
        <f t="shared" si="5"/>
        <v>1</v>
      </c>
      <c r="T21" s="67">
        <f t="shared" si="37"/>
        <v>0</v>
      </c>
      <c r="U21" s="386">
        <f t="shared" si="21"/>
        <v>1</v>
      </c>
      <c r="V21" s="62">
        <f t="shared" si="22"/>
        <v>102</v>
      </c>
      <c r="W21" s="384"/>
      <c r="X21" s="537">
        <f t="shared" si="24"/>
        <v>2479</v>
      </c>
      <c r="Y21" s="52">
        <f t="shared" si="25"/>
        <v>0</v>
      </c>
      <c r="Z21" s="537">
        <f t="shared" si="26"/>
        <v>139861</v>
      </c>
      <c r="AA21" s="65">
        <f t="shared" si="6"/>
        <v>0</v>
      </c>
      <c r="AB21" s="273">
        <f t="shared" si="47"/>
        <v>0</v>
      </c>
      <c r="AC21" s="537">
        <f t="shared" si="27"/>
        <v>1944</v>
      </c>
      <c r="AD21" s="45">
        <f t="shared" si="7"/>
        <v>0</v>
      </c>
      <c r="AE21" s="537">
        <v>366336</v>
      </c>
      <c r="AF21" s="293">
        <f t="shared" si="29"/>
        <v>24</v>
      </c>
      <c r="AG21" s="209">
        <f t="shared" si="39"/>
        <v>0</v>
      </c>
      <c r="AH21" s="62">
        <f t="shared" si="40"/>
        <v>24</v>
      </c>
      <c r="AI21" s="303">
        <f t="shared" si="30"/>
        <v>126</v>
      </c>
      <c r="AJ21" s="303">
        <f>-tanks!AW22</f>
        <v>126</v>
      </c>
      <c r="AK21" s="303">
        <f t="shared" si="31"/>
        <v>0</v>
      </c>
      <c r="AL21" s="303">
        <f t="shared" si="8"/>
        <v>1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44699</v>
      </c>
      <c r="B22" s="537">
        <v>220</v>
      </c>
      <c r="C22" s="537">
        <v>227</v>
      </c>
      <c r="D22" s="45">
        <f t="shared" si="49"/>
        <v>4</v>
      </c>
      <c r="E22" s="45">
        <f t="shared" si="14"/>
        <v>33.520000000000003</v>
      </c>
      <c r="F22" s="537">
        <f t="shared" si="15"/>
        <v>2242</v>
      </c>
      <c r="G22" s="52">
        <f t="shared" si="0"/>
        <v>0</v>
      </c>
      <c r="H22" s="537">
        <f t="shared" si="16"/>
        <v>43494</v>
      </c>
      <c r="I22" s="380">
        <f t="shared" si="1"/>
        <v>0</v>
      </c>
      <c r="J22" s="66">
        <f t="shared" si="17"/>
        <v>0</v>
      </c>
      <c r="K22" s="537">
        <f t="shared" si="18"/>
        <v>2426</v>
      </c>
      <c r="L22" s="52">
        <f t="shared" si="19"/>
        <v>0</v>
      </c>
      <c r="M22" s="537">
        <f t="shared" si="20"/>
        <v>179905</v>
      </c>
      <c r="N22" s="380">
        <f t="shared" si="2"/>
        <v>0</v>
      </c>
      <c r="O22" s="64">
        <f t="shared" si="48"/>
        <v>1869</v>
      </c>
      <c r="P22" s="537">
        <v>2204</v>
      </c>
      <c r="Q22" s="537">
        <v>184373</v>
      </c>
      <c r="R22" s="379">
        <f t="shared" si="44"/>
        <v>110</v>
      </c>
      <c r="S22" s="52">
        <f t="shared" si="5"/>
        <v>2</v>
      </c>
      <c r="T22" s="67">
        <f t="shared" si="37"/>
        <v>0</v>
      </c>
      <c r="U22" s="386">
        <f t="shared" si="21"/>
        <v>2</v>
      </c>
      <c r="V22" s="62">
        <f t="shared" si="22"/>
        <v>110</v>
      </c>
      <c r="W22" s="384"/>
      <c r="X22" s="537">
        <v>2481</v>
      </c>
      <c r="Y22" s="52">
        <f t="shared" si="25"/>
        <v>2</v>
      </c>
      <c r="Z22" s="537">
        <v>139964</v>
      </c>
      <c r="AA22" s="65">
        <f t="shared" si="6"/>
        <v>103</v>
      </c>
      <c r="AB22" s="273">
        <f t="shared" si="47"/>
        <v>0</v>
      </c>
      <c r="AC22" s="537">
        <f t="shared" si="27"/>
        <v>1944</v>
      </c>
      <c r="AD22" s="45">
        <f t="shared" si="7"/>
        <v>0</v>
      </c>
      <c r="AE22" s="537">
        <f t="shared" si="28"/>
        <v>366336</v>
      </c>
      <c r="AF22" s="293">
        <f t="shared" si="29"/>
        <v>0</v>
      </c>
      <c r="AG22" s="209">
        <f t="shared" si="39"/>
        <v>0</v>
      </c>
      <c r="AH22" s="62">
        <f t="shared" si="40"/>
        <v>103</v>
      </c>
      <c r="AI22" s="303">
        <f t="shared" si="30"/>
        <v>213</v>
      </c>
      <c r="AJ22" s="303">
        <f>-tanks!AW23</f>
        <v>213</v>
      </c>
      <c r="AK22" s="303">
        <f t="shared" si="31"/>
        <v>0</v>
      </c>
      <c r="AL22" s="303">
        <f t="shared" si="8"/>
        <v>2</v>
      </c>
      <c r="AM22" s="303">
        <f t="shared" si="32"/>
        <v>2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44700</v>
      </c>
      <c r="B23" s="537">
        <v>217</v>
      </c>
      <c r="C23" s="537">
        <v>224</v>
      </c>
      <c r="D23" s="45">
        <f t="shared" si="49"/>
        <v>3</v>
      </c>
      <c r="E23" s="45">
        <f t="shared" si="14"/>
        <v>25.14</v>
      </c>
      <c r="F23" s="537">
        <f t="shared" si="15"/>
        <v>2242</v>
      </c>
      <c r="G23" s="52">
        <f t="shared" si="0"/>
        <v>0</v>
      </c>
      <c r="H23" s="537">
        <f t="shared" si="16"/>
        <v>43494</v>
      </c>
      <c r="I23" s="380">
        <f t="shared" si="1"/>
        <v>0</v>
      </c>
      <c r="J23" s="66">
        <f t="shared" si="17"/>
        <v>0</v>
      </c>
      <c r="K23" s="537">
        <f t="shared" si="18"/>
        <v>2426</v>
      </c>
      <c r="L23" s="52">
        <f t="shared" si="19"/>
        <v>0</v>
      </c>
      <c r="M23" s="537">
        <f t="shared" si="20"/>
        <v>179905</v>
      </c>
      <c r="N23" s="380">
        <f t="shared" si="2"/>
        <v>0</v>
      </c>
      <c r="O23" s="64">
        <f t="shared" si="48"/>
        <v>1869</v>
      </c>
      <c r="P23" s="537">
        <v>2205</v>
      </c>
      <c r="Q23" s="537">
        <v>184434</v>
      </c>
      <c r="R23" s="379">
        <f t="shared" si="44"/>
        <v>61</v>
      </c>
      <c r="S23" s="52">
        <f t="shared" si="5"/>
        <v>1</v>
      </c>
      <c r="T23" s="67">
        <f t="shared" si="37"/>
        <v>0</v>
      </c>
      <c r="U23" s="386">
        <f t="shared" si="21"/>
        <v>1</v>
      </c>
      <c r="V23" s="62">
        <f t="shared" si="22"/>
        <v>61</v>
      </c>
      <c r="W23" s="384"/>
      <c r="X23" s="537">
        <f t="shared" si="24"/>
        <v>2481</v>
      </c>
      <c r="Y23" s="52">
        <f t="shared" si="25"/>
        <v>0</v>
      </c>
      <c r="Z23" s="537">
        <f t="shared" si="26"/>
        <v>139964</v>
      </c>
      <c r="AA23" s="65">
        <f t="shared" si="6"/>
        <v>0</v>
      </c>
      <c r="AB23" s="273">
        <f t="shared" si="47"/>
        <v>0</v>
      </c>
      <c r="AC23" s="537">
        <f t="shared" si="27"/>
        <v>1944</v>
      </c>
      <c r="AD23" s="45">
        <f t="shared" si="7"/>
        <v>0</v>
      </c>
      <c r="AE23" s="537">
        <f t="shared" si="28"/>
        <v>366336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61</v>
      </c>
      <c r="AJ23" s="303">
        <f>-tanks!AW24</f>
        <v>61</v>
      </c>
      <c r="AK23" s="303">
        <f>SUM(AJ23-AI23)</f>
        <v>0</v>
      </c>
      <c r="AL23" s="303">
        <f>S23+L23+G23</f>
        <v>1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44701</v>
      </c>
      <c r="B24" s="537">
        <f t="shared" si="12"/>
        <v>217</v>
      </c>
      <c r="C24" s="537">
        <f t="shared" si="13"/>
        <v>224</v>
      </c>
      <c r="D24" s="45">
        <f t="shared" si="49"/>
        <v>0</v>
      </c>
      <c r="E24" s="45">
        <f t="shared" si="14"/>
        <v>0</v>
      </c>
      <c r="F24" s="537">
        <f t="shared" si="15"/>
        <v>2242</v>
      </c>
      <c r="G24" s="52">
        <f t="shared" si="0"/>
        <v>0</v>
      </c>
      <c r="H24" s="537">
        <f t="shared" si="16"/>
        <v>43494</v>
      </c>
      <c r="I24" s="380">
        <f t="shared" si="1"/>
        <v>0</v>
      </c>
      <c r="J24" s="66">
        <f t="shared" si="17"/>
        <v>0</v>
      </c>
      <c r="K24" s="537">
        <f t="shared" si="18"/>
        <v>2426</v>
      </c>
      <c r="L24" s="52">
        <f t="shared" si="19"/>
        <v>0</v>
      </c>
      <c r="M24" s="537">
        <f t="shared" si="20"/>
        <v>179905</v>
      </c>
      <c r="N24" s="380">
        <f t="shared" si="2"/>
        <v>0</v>
      </c>
      <c r="O24" s="64">
        <f t="shared" si="48"/>
        <v>1869</v>
      </c>
      <c r="P24" s="537">
        <f t="shared" si="45"/>
        <v>2205</v>
      </c>
      <c r="Q24" s="537">
        <f t="shared" si="46"/>
        <v>184434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2481</v>
      </c>
      <c r="Y24" s="52">
        <f t="shared" si="25"/>
        <v>0</v>
      </c>
      <c r="Z24" s="537">
        <f t="shared" si="26"/>
        <v>139964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1944</v>
      </c>
      <c r="AD24" s="45">
        <f t="shared" si="7"/>
        <v>0</v>
      </c>
      <c r="AE24" s="537">
        <f t="shared" si="28"/>
        <v>366336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44702</v>
      </c>
      <c r="B25" s="537">
        <v>231.5</v>
      </c>
      <c r="C25" s="537">
        <v>237.5</v>
      </c>
      <c r="D25" s="45">
        <f t="shared" si="49"/>
        <v>-13.5</v>
      </c>
      <c r="E25" s="45">
        <f t="shared" si="14"/>
        <v>-113.13000000000001</v>
      </c>
      <c r="F25" s="537">
        <f t="shared" si="15"/>
        <v>2242</v>
      </c>
      <c r="G25" s="52">
        <f t="shared" si="0"/>
        <v>0</v>
      </c>
      <c r="H25" s="537">
        <f t="shared" si="16"/>
        <v>43494</v>
      </c>
      <c r="I25" s="380">
        <f t="shared" si="1"/>
        <v>0</v>
      </c>
      <c r="J25" s="66">
        <f t="shared" si="17"/>
        <v>0</v>
      </c>
      <c r="K25" s="537">
        <f t="shared" si="18"/>
        <v>2426</v>
      </c>
      <c r="L25" s="52">
        <f t="shared" si="19"/>
        <v>0</v>
      </c>
      <c r="M25" s="537">
        <f t="shared" si="20"/>
        <v>179905</v>
      </c>
      <c r="N25" s="380">
        <f t="shared" si="2"/>
        <v>0</v>
      </c>
      <c r="O25" s="64">
        <f t="shared" si="48"/>
        <v>1869</v>
      </c>
      <c r="P25" s="537">
        <f t="shared" si="45"/>
        <v>2205</v>
      </c>
      <c r="Q25" s="537">
        <f t="shared" si="46"/>
        <v>184434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2481</v>
      </c>
      <c r="Y25" s="52">
        <f t="shared" si="25"/>
        <v>0</v>
      </c>
      <c r="Z25" s="537">
        <f t="shared" si="26"/>
        <v>139964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0</v>
      </c>
      <c r="AE25" s="537">
        <f t="shared" si="28"/>
        <v>366336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44703</v>
      </c>
      <c r="B26" s="537">
        <v>231.5</v>
      </c>
      <c r="C26" s="537">
        <v>237.5</v>
      </c>
      <c r="D26" s="45">
        <f t="shared" si="49"/>
        <v>0</v>
      </c>
      <c r="E26" s="45">
        <f t="shared" si="14"/>
        <v>0</v>
      </c>
      <c r="F26" s="537">
        <f t="shared" si="15"/>
        <v>2242</v>
      </c>
      <c r="G26" s="52">
        <f t="shared" si="0"/>
        <v>0</v>
      </c>
      <c r="H26" s="537">
        <f t="shared" si="16"/>
        <v>43494</v>
      </c>
      <c r="I26" s="380">
        <f t="shared" si="1"/>
        <v>0</v>
      </c>
      <c r="J26" s="66">
        <f t="shared" si="17"/>
        <v>0</v>
      </c>
      <c r="K26" s="537">
        <f t="shared" si="18"/>
        <v>2426</v>
      </c>
      <c r="L26" s="52">
        <f t="shared" si="19"/>
        <v>0</v>
      </c>
      <c r="M26" s="537">
        <f t="shared" si="20"/>
        <v>179905</v>
      </c>
      <c r="N26" s="380">
        <f t="shared" si="2"/>
        <v>0</v>
      </c>
      <c r="O26" s="64">
        <f t="shared" si="48"/>
        <v>1869</v>
      </c>
      <c r="P26" s="537">
        <v>2206</v>
      </c>
      <c r="Q26" s="537">
        <v>184570</v>
      </c>
      <c r="R26" s="379">
        <f t="shared" si="44"/>
        <v>136</v>
      </c>
      <c r="S26" s="52">
        <f t="shared" si="5"/>
        <v>1</v>
      </c>
      <c r="T26" s="67">
        <f t="shared" si="37"/>
        <v>0</v>
      </c>
      <c r="U26" s="386">
        <f t="shared" si="21"/>
        <v>1</v>
      </c>
      <c r="V26" s="62">
        <f t="shared" si="22"/>
        <v>136</v>
      </c>
      <c r="W26" s="384"/>
      <c r="X26" s="537">
        <f t="shared" si="24"/>
        <v>2481</v>
      </c>
      <c r="Y26" s="52">
        <f t="shared" si="25"/>
        <v>0</v>
      </c>
      <c r="Z26" s="537">
        <f t="shared" si="26"/>
        <v>139964</v>
      </c>
      <c r="AA26" s="65">
        <f t="shared" si="6"/>
        <v>0</v>
      </c>
      <c r="AB26" s="273">
        <f t="shared" si="50"/>
        <v>0</v>
      </c>
      <c r="AC26" s="537">
        <f t="shared" si="27"/>
        <v>1944</v>
      </c>
      <c r="AD26" s="45">
        <f t="shared" si="7"/>
        <v>0</v>
      </c>
      <c r="AE26" s="537">
        <f t="shared" si="28"/>
        <v>366336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136</v>
      </c>
      <c r="AJ26" s="303">
        <f>-tanks!AW27</f>
        <v>136</v>
      </c>
      <c r="AK26" s="303">
        <f t="shared" si="31"/>
        <v>0</v>
      </c>
      <c r="AL26" s="303">
        <f t="shared" si="8"/>
        <v>1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44704</v>
      </c>
      <c r="B27" s="537">
        <f t="shared" si="12"/>
        <v>231.5</v>
      </c>
      <c r="C27" s="537">
        <f t="shared" si="13"/>
        <v>237.5</v>
      </c>
      <c r="D27" s="45">
        <f t="shared" si="49"/>
        <v>0</v>
      </c>
      <c r="E27" s="45">
        <f t="shared" si="14"/>
        <v>0</v>
      </c>
      <c r="F27" s="537">
        <f t="shared" si="15"/>
        <v>2242</v>
      </c>
      <c r="G27" s="52">
        <f t="shared" si="0"/>
        <v>0</v>
      </c>
      <c r="H27" s="537">
        <f t="shared" si="16"/>
        <v>43494</v>
      </c>
      <c r="I27" s="380">
        <f t="shared" si="1"/>
        <v>0</v>
      </c>
      <c r="J27" s="66">
        <f t="shared" si="17"/>
        <v>0</v>
      </c>
      <c r="K27" s="537">
        <f t="shared" si="18"/>
        <v>2426</v>
      </c>
      <c r="L27" s="52">
        <f t="shared" si="19"/>
        <v>0</v>
      </c>
      <c r="M27" s="537">
        <f t="shared" si="20"/>
        <v>179905</v>
      </c>
      <c r="N27" s="380">
        <f t="shared" si="2"/>
        <v>0</v>
      </c>
      <c r="O27" s="64">
        <f t="shared" si="48"/>
        <v>1869</v>
      </c>
      <c r="P27" s="537">
        <f t="shared" si="45"/>
        <v>2206</v>
      </c>
      <c r="Q27" s="537">
        <f t="shared" si="46"/>
        <v>184570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2481</v>
      </c>
      <c r="Y27" s="52">
        <f t="shared" si="25"/>
        <v>0</v>
      </c>
      <c r="Z27" s="537">
        <f t="shared" si="26"/>
        <v>139964</v>
      </c>
      <c r="AA27" s="65">
        <f t="shared" si="6"/>
        <v>0</v>
      </c>
      <c r="AB27" s="273">
        <f t="shared" si="50"/>
        <v>0</v>
      </c>
      <c r="AC27" s="537">
        <f t="shared" si="27"/>
        <v>1944</v>
      </c>
      <c r="AD27" s="45">
        <f t="shared" si="7"/>
        <v>0</v>
      </c>
      <c r="AE27" s="537">
        <f t="shared" si="28"/>
        <v>366336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44705</v>
      </c>
      <c r="B28" s="537">
        <f t="shared" si="12"/>
        <v>231.5</v>
      </c>
      <c r="C28" s="537">
        <f t="shared" si="13"/>
        <v>237.5</v>
      </c>
      <c r="D28" s="45">
        <f t="shared" si="49"/>
        <v>0</v>
      </c>
      <c r="E28" s="45">
        <f t="shared" si="14"/>
        <v>0</v>
      </c>
      <c r="F28" s="537">
        <f t="shared" si="15"/>
        <v>2242</v>
      </c>
      <c r="G28" s="52">
        <f t="shared" si="0"/>
        <v>0</v>
      </c>
      <c r="H28" s="537">
        <f t="shared" si="16"/>
        <v>43494</v>
      </c>
      <c r="I28" s="380">
        <f t="shared" si="1"/>
        <v>0</v>
      </c>
      <c r="J28" s="66">
        <f t="shared" si="17"/>
        <v>0</v>
      </c>
      <c r="K28" s="537">
        <f t="shared" si="18"/>
        <v>2426</v>
      </c>
      <c r="L28" s="52">
        <f t="shared" si="19"/>
        <v>0</v>
      </c>
      <c r="M28" s="537">
        <f t="shared" si="20"/>
        <v>179905</v>
      </c>
      <c r="N28" s="380">
        <f t="shared" si="2"/>
        <v>0</v>
      </c>
      <c r="O28" s="64">
        <f t="shared" si="48"/>
        <v>1869</v>
      </c>
      <c r="P28" s="537">
        <f t="shared" si="45"/>
        <v>2206</v>
      </c>
      <c r="Q28" s="537">
        <f t="shared" si="46"/>
        <v>184570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2481</v>
      </c>
      <c r="Y28" s="52">
        <f t="shared" si="25"/>
        <v>0</v>
      </c>
      <c r="Z28" s="537">
        <f t="shared" si="26"/>
        <v>139964</v>
      </c>
      <c r="AA28" s="65">
        <f t="shared" si="6"/>
        <v>0</v>
      </c>
      <c r="AB28" s="273">
        <f t="shared" si="50"/>
        <v>0</v>
      </c>
      <c r="AC28" s="537">
        <f t="shared" si="27"/>
        <v>1944</v>
      </c>
      <c r="AD28" s="45">
        <f t="shared" si="7"/>
        <v>0</v>
      </c>
      <c r="AE28" s="537">
        <f t="shared" si="28"/>
        <v>366336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44706</v>
      </c>
      <c r="B29" s="537">
        <f t="shared" si="12"/>
        <v>231.5</v>
      </c>
      <c r="C29" s="537">
        <f t="shared" si="13"/>
        <v>237.5</v>
      </c>
      <c r="D29" s="45">
        <f t="shared" si="49"/>
        <v>0</v>
      </c>
      <c r="E29" s="45">
        <f t="shared" si="14"/>
        <v>0</v>
      </c>
      <c r="F29" s="537">
        <f t="shared" si="15"/>
        <v>2242</v>
      </c>
      <c r="G29" s="52">
        <f t="shared" si="0"/>
        <v>0</v>
      </c>
      <c r="H29" s="537">
        <f t="shared" si="16"/>
        <v>43494</v>
      </c>
      <c r="I29" s="380">
        <f t="shared" si="1"/>
        <v>0</v>
      </c>
      <c r="J29" s="66">
        <f t="shared" si="17"/>
        <v>0</v>
      </c>
      <c r="K29" s="537">
        <f t="shared" si="18"/>
        <v>2426</v>
      </c>
      <c r="L29" s="52">
        <f t="shared" si="19"/>
        <v>0</v>
      </c>
      <c r="M29" s="537">
        <f t="shared" si="20"/>
        <v>179905</v>
      </c>
      <c r="N29" s="380">
        <f t="shared" si="2"/>
        <v>0</v>
      </c>
      <c r="O29" s="64">
        <f t="shared" si="48"/>
        <v>1869</v>
      </c>
      <c r="P29" s="537">
        <f t="shared" si="45"/>
        <v>2206</v>
      </c>
      <c r="Q29" s="537">
        <f t="shared" si="46"/>
        <v>184570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0</v>
      </c>
      <c r="V29" s="62">
        <f t="shared" si="22"/>
        <v>0</v>
      </c>
      <c r="W29" s="384"/>
      <c r="X29" s="537">
        <f t="shared" si="24"/>
        <v>2481</v>
      </c>
      <c r="Y29" s="52">
        <f t="shared" si="25"/>
        <v>0</v>
      </c>
      <c r="Z29" s="537">
        <f t="shared" si="26"/>
        <v>139964</v>
      </c>
      <c r="AA29" s="65">
        <f t="shared" si="6"/>
        <v>0</v>
      </c>
      <c r="AB29" s="273">
        <f t="shared" si="50"/>
        <v>0</v>
      </c>
      <c r="AC29" s="537">
        <f t="shared" si="27"/>
        <v>1944</v>
      </c>
      <c r="AD29" s="45">
        <f t="shared" si="7"/>
        <v>0</v>
      </c>
      <c r="AE29" s="537">
        <f t="shared" si="28"/>
        <v>366336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0</v>
      </c>
      <c r="AJ29" s="303">
        <f>-tanks!AW30</f>
        <v>0</v>
      </c>
      <c r="AK29" s="303">
        <f t="shared" si="31"/>
        <v>0</v>
      </c>
      <c r="AL29" s="303">
        <f t="shared" si="8"/>
        <v>0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44707</v>
      </c>
      <c r="B30" s="537">
        <f t="shared" si="12"/>
        <v>231.5</v>
      </c>
      <c r="C30" s="537">
        <f t="shared" si="13"/>
        <v>237.5</v>
      </c>
      <c r="D30" s="45">
        <f>C29-C30</f>
        <v>0</v>
      </c>
      <c r="E30" s="45">
        <f>D30*8.38</f>
        <v>0</v>
      </c>
      <c r="F30" s="537">
        <f t="shared" si="15"/>
        <v>2242</v>
      </c>
      <c r="G30" s="52">
        <f>F30-F29</f>
        <v>0</v>
      </c>
      <c r="H30" s="537">
        <f t="shared" si="16"/>
        <v>43494</v>
      </c>
      <c r="I30" s="380">
        <f>SUM(H30-H29)</f>
        <v>0</v>
      </c>
      <c r="J30" s="66">
        <f>IF(G30&gt;0,I30/G30,0)</f>
        <v>0</v>
      </c>
      <c r="K30" s="537">
        <f t="shared" si="18"/>
        <v>2426</v>
      </c>
      <c r="L30" s="52">
        <f>K30-K29</f>
        <v>0</v>
      </c>
      <c r="M30" s="537">
        <f t="shared" si="20"/>
        <v>179905</v>
      </c>
      <c r="N30" s="380">
        <f>M30-M29</f>
        <v>0</v>
      </c>
      <c r="O30" s="64">
        <f t="shared" si="48"/>
        <v>1869</v>
      </c>
      <c r="P30" s="537">
        <f t="shared" si="45"/>
        <v>2206</v>
      </c>
      <c r="Q30" s="537">
        <f t="shared" si="46"/>
        <v>184570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22"/>
        <v>0</v>
      </c>
      <c r="W30" s="384"/>
      <c r="X30" s="537">
        <f t="shared" si="24"/>
        <v>2481</v>
      </c>
      <c r="Y30" s="52">
        <f>X30-X29</f>
        <v>0</v>
      </c>
      <c r="Z30" s="537">
        <f t="shared" si="26"/>
        <v>139964</v>
      </c>
      <c r="AA30" s="65">
        <f>Z30-Z29</f>
        <v>0</v>
      </c>
      <c r="AB30" s="273">
        <f>SUM(Y30*$AB$2)</f>
        <v>0</v>
      </c>
      <c r="AC30" s="537">
        <f t="shared" si="27"/>
        <v>1944</v>
      </c>
      <c r="AD30" s="259">
        <f>AC30-AC29</f>
        <v>0</v>
      </c>
      <c r="AE30" s="537">
        <f t="shared" si="28"/>
        <v>366336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44708</v>
      </c>
      <c r="B31" s="537">
        <f t="shared" si="12"/>
        <v>231.5</v>
      </c>
      <c r="C31" s="537">
        <f t="shared" si="13"/>
        <v>237.5</v>
      </c>
      <c r="D31" s="45">
        <f t="shared" si="49"/>
        <v>0</v>
      </c>
      <c r="E31" s="45">
        <f t="shared" si="14"/>
        <v>0</v>
      </c>
      <c r="F31" s="537">
        <f t="shared" si="15"/>
        <v>2242</v>
      </c>
      <c r="G31" s="52">
        <f t="shared" si="0"/>
        <v>0</v>
      </c>
      <c r="H31" s="537">
        <f t="shared" si="16"/>
        <v>43494</v>
      </c>
      <c r="I31" s="380">
        <f t="shared" si="1"/>
        <v>0</v>
      </c>
      <c r="J31" s="66">
        <f t="shared" si="17"/>
        <v>0</v>
      </c>
      <c r="K31" s="537">
        <f t="shared" si="18"/>
        <v>2426</v>
      </c>
      <c r="L31" s="52">
        <f t="shared" si="19"/>
        <v>0</v>
      </c>
      <c r="M31" s="537">
        <f t="shared" si="20"/>
        <v>179905</v>
      </c>
      <c r="N31" s="380">
        <f t="shared" si="2"/>
        <v>0</v>
      </c>
      <c r="O31" s="64">
        <f t="shared" si="48"/>
        <v>1869</v>
      </c>
      <c r="P31" s="537">
        <f t="shared" si="45"/>
        <v>2206</v>
      </c>
      <c r="Q31" s="537">
        <f t="shared" si="46"/>
        <v>184570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2481</v>
      </c>
      <c r="Y31" s="52">
        <f t="shared" si="25"/>
        <v>0</v>
      </c>
      <c r="Z31" s="537">
        <f t="shared" si="26"/>
        <v>139964</v>
      </c>
      <c r="AA31" s="65">
        <f t="shared" si="6"/>
        <v>0</v>
      </c>
      <c r="AB31" s="273">
        <f t="shared" si="50"/>
        <v>0</v>
      </c>
      <c r="AC31" s="537">
        <f t="shared" si="27"/>
        <v>1944</v>
      </c>
      <c r="AD31" s="259">
        <f t="shared" si="7"/>
        <v>0</v>
      </c>
      <c r="AE31" s="537">
        <f t="shared" si="28"/>
        <v>366336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44709</v>
      </c>
      <c r="B32" s="537">
        <f t="shared" si="12"/>
        <v>231.5</v>
      </c>
      <c r="C32" s="537">
        <f t="shared" si="13"/>
        <v>237.5</v>
      </c>
      <c r="D32" s="45">
        <f t="shared" si="49"/>
        <v>0</v>
      </c>
      <c r="E32" s="45">
        <f t="shared" si="14"/>
        <v>0</v>
      </c>
      <c r="F32" s="537">
        <f t="shared" si="15"/>
        <v>2242</v>
      </c>
      <c r="G32" s="52">
        <f t="shared" si="0"/>
        <v>0</v>
      </c>
      <c r="H32" s="537">
        <f t="shared" si="16"/>
        <v>43494</v>
      </c>
      <c r="I32" s="380">
        <f t="shared" si="1"/>
        <v>0</v>
      </c>
      <c r="J32" s="66">
        <f t="shared" si="17"/>
        <v>0</v>
      </c>
      <c r="K32" s="537">
        <f t="shared" si="18"/>
        <v>2426</v>
      </c>
      <c r="L32" s="52">
        <f t="shared" si="19"/>
        <v>0</v>
      </c>
      <c r="M32" s="537">
        <f t="shared" si="20"/>
        <v>179905</v>
      </c>
      <c r="N32" s="380">
        <f t="shared" si="2"/>
        <v>0</v>
      </c>
      <c r="O32" s="64">
        <f t="shared" si="48"/>
        <v>1869</v>
      </c>
      <c r="P32" s="537">
        <f t="shared" si="45"/>
        <v>2206</v>
      </c>
      <c r="Q32" s="537">
        <f t="shared" si="46"/>
        <v>184570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2481</v>
      </c>
      <c r="Y32" s="52">
        <f t="shared" si="25"/>
        <v>0</v>
      </c>
      <c r="Z32" s="537">
        <f t="shared" si="26"/>
        <v>139964</v>
      </c>
      <c r="AA32" s="65">
        <f t="shared" si="6"/>
        <v>0</v>
      </c>
      <c r="AB32" s="273">
        <f t="shared" si="50"/>
        <v>0</v>
      </c>
      <c r="AC32" s="537">
        <f t="shared" si="27"/>
        <v>1944</v>
      </c>
      <c r="AD32" s="259">
        <f t="shared" si="7"/>
        <v>0</v>
      </c>
      <c r="AE32" s="537">
        <f t="shared" si="28"/>
        <v>366336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44710</v>
      </c>
      <c r="B33" s="537">
        <f t="shared" si="12"/>
        <v>231.5</v>
      </c>
      <c r="C33" s="537">
        <f t="shared" si="13"/>
        <v>237.5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5"/>
        <v>2242</v>
      </c>
      <c r="G33" s="52">
        <f t="shared" ref="G33:G35" si="56">F33-F32</f>
        <v>0</v>
      </c>
      <c r="H33" s="537">
        <f t="shared" si="16"/>
        <v>43494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8"/>
        <v>2426</v>
      </c>
      <c r="L33" s="52">
        <f t="shared" ref="L33:L35" si="59">K33-K32</f>
        <v>0</v>
      </c>
      <c r="M33" s="537">
        <f t="shared" si="20"/>
        <v>179905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2206</v>
      </c>
      <c r="Q33" s="537">
        <f t="shared" si="46"/>
        <v>184570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4"/>
        <v>2481</v>
      </c>
      <c r="Y33" s="52">
        <f t="shared" ref="Y33:Y35" si="66">X33-X32</f>
        <v>0</v>
      </c>
      <c r="Z33" s="537">
        <f t="shared" si="26"/>
        <v>139964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7"/>
        <v>1944</v>
      </c>
      <c r="AD33" s="259">
        <f t="shared" ref="AD33:AD35" si="69">AC33-AC32</f>
        <v>0</v>
      </c>
      <c r="AE33" s="537">
        <f t="shared" si="28"/>
        <v>366336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44711</v>
      </c>
      <c r="B34" s="537">
        <f t="shared" si="12"/>
        <v>231.5</v>
      </c>
      <c r="C34" s="537">
        <f t="shared" si="13"/>
        <v>237.5</v>
      </c>
      <c r="D34" s="45">
        <f t="shared" si="54"/>
        <v>0</v>
      </c>
      <c r="E34" s="45">
        <f t="shared" si="55"/>
        <v>0</v>
      </c>
      <c r="F34" s="537">
        <f t="shared" si="15"/>
        <v>2242</v>
      </c>
      <c r="G34" s="52">
        <f t="shared" si="56"/>
        <v>0</v>
      </c>
      <c r="H34" s="537">
        <f t="shared" si="16"/>
        <v>43494</v>
      </c>
      <c r="I34" s="380">
        <f t="shared" si="57"/>
        <v>0</v>
      </c>
      <c r="J34" s="66">
        <f t="shared" si="58"/>
        <v>0</v>
      </c>
      <c r="K34" s="537">
        <f t="shared" si="18"/>
        <v>2426</v>
      </c>
      <c r="L34" s="52">
        <f t="shared" si="59"/>
        <v>0</v>
      </c>
      <c r="M34" s="537">
        <f t="shared" si="20"/>
        <v>179905</v>
      </c>
      <c r="N34" s="380">
        <f t="shared" si="60"/>
        <v>0</v>
      </c>
      <c r="O34" s="64">
        <f t="shared" si="48"/>
        <v>1869</v>
      </c>
      <c r="P34" s="537">
        <f t="shared" si="45"/>
        <v>2206</v>
      </c>
      <c r="Q34" s="537">
        <f t="shared" si="46"/>
        <v>184570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4"/>
        <v>2481</v>
      </c>
      <c r="Y34" s="52">
        <f t="shared" si="66"/>
        <v>0</v>
      </c>
      <c r="Z34" s="537">
        <f t="shared" si="26"/>
        <v>139964</v>
      </c>
      <c r="AA34" s="65">
        <f t="shared" si="67"/>
        <v>0</v>
      </c>
      <c r="AB34" s="273">
        <f t="shared" si="68"/>
        <v>0</v>
      </c>
      <c r="AC34" s="537">
        <f t="shared" si="27"/>
        <v>1944</v>
      </c>
      <c r="AD34" s="259">
        <f t="shared" si="69"/>
        <v>0</v>
      </c>
      <c r="AE34" s="537">
        <f t="shared" si="28"/>
        <v>366336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44712</v>
      </c>
      <c r="B35" s="537">
        <f t="shared" si="12"/>
        <v>231.5</v>
      </c>
      <c r="C35" s="537">
        <f t="shared" si="13"/>
        <v>237.5</v>
      </c>
      <c r="D35" s="45">
        <f t="shared" si="54"/>
        <v>0</v>
      </c>
      <c r="E35" s="45">
        <f t="shared" si="55"/>
        <v>0</v>
      </c>
      <c r="F35" s="537">
        <f t="shared" si="15"/>
        <v>2242</v>
      </c>
      <c r="G35" s="52">
        <f t="shared" si="56"/>
        <v>0</v>
      </c>
      <c r="H35" s="537">
        <f t="shared" si="16"/>
        <v>43494</v>
      </c>
      <c r="I35" s="380">
        <f t="shared" si="57"/>
        <v>0</v>
      </c>
      <c r="J35" s="66">
        <f t="shared" si="58"/>
        <v>0</v>
      </c>
      <c r="K35" s="537">
        <f t="shared" si="18"/>
        <v>2426</v>
      </c>
      <c r="L35" s="52">
        <f t="shared" si="59"/>
        <v>0</v>
      </c>
      <c r="M35" s="537">
        <f t="shared" si="20"/>
        <v>179905</v>
      </c>
      <c r="N35" s="380">
        <f t="shared" si="60"/>
        <v>0</v>
      </c>
      <c r="O35" s="64">
        <f t="shared" si="48"/>
        <v>1869</v>
      </c>
      <c r="P35" s="537">
        <f t="shared" si="45"/>
        <v>2206</v>
      </c>
      <c r="Q35" s="537">
        <f t="shared" si="46"/>
        <v>184570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4"/>
        <v>2481</v>
      </c>
      <c r="Y35" s="52">
        <f t="shared" si="66"/>
        <v>0</v>
      </c>
      <c r="Z35" s="537">
        <f t="shared" si="26"/>
        <v>139964</v>
      </c>
      <c r="AA35" s="65">
        <f t="shared" si="67"/>
        <v>0</v>
      </c>
      <c r="AB35" s="273">
        <f t="shared" si="68"/>
        <v>0</v>
      </c>
      <c r="AC35" s="537">
        <f t="shared" si="27"/>
        <v>1944</v>
      </c>
      <c r="AD35" s="259">
        <f t="shared" si="69"/>
        <v>0</v>
      </c>
      <c r="AE35" s="537">
        <f t="shared" si="28"/>
        <v>366336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1</v>
      </c>
      <c r="U36" s="70">
        <f>SUM(U5:U35)</f>
        <v>21</v>
      </c>
      <c r="V36" s="62">
        <f>SUM(V5:V35)</f>
        <v>1882</v>
      </c>
      <c r="AE36" s="71" t="s">
        <v>379</v>
      </c>
      <c r="AG36" s="329"/>
      <c r="AH36" s="62">
        <f>SUM(AH5:AH35)</f>
        <v>290</v>
      </c>
      <c r="AL36" s="62">
        <f>SUM(AL5:AL35)</f>
        <v>21</v>
      </c>
      <c r="AM36" s="62">
        <f>SUM(AM5:AM35)</f>
        <v>4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89.61904761904762</v>
      </c>
      <c r="AH37" s="62">
        <f>AF37+AA37</f>
        <v>0</v>
      </c>
      <c r="AI37" s="306">
        <f>SUM(AI5:AI35)</f>
        <v>2172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I1" zoomScale="90" zoomScaleNormal="90" workbookViewId="0">
      <pane ySplit="3" topLeftCell="A4" activePane="bottomLeft" state="frozen"/>
      <selection pane="bottomLeft" activeCell="AX27" sqref="AX2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8173131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4" t="s">
        <v>95</v>
      </c>
      <c r="AS2" s="645"/>
      <c r="AT2" s="645"/>
      <c r="AU2" s="645"/>
      <c r="AV2" s="646"/>
      <c r="AW2" s="644" t="s">
        <v>96</v>
      </c>
      <c r="AX2" s="645"/>
      <c r="AY2" s="646"/>
      <c r="AZ2" s="644" t="s">
        <v>98</v>
      </c>
      <c r="BA2" s="645"/>
      <c r="BB2" s="646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1" t="s">
        <v>126</v>
      </c>
      <c r="AO3" s="642"/>
      <c r="AP3" s="643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44681</v>
      </c>
      <c r="B5" s="393">
        <f>[2]WATER!B35</f>
        <v>109443</v>
      </c>
      <c r="C5" s="393">
        <f>[2]WATER!C35</f>
        <v>0</v>
      </c>
      <c r="D5" s="393">
        <f>[2]WATER!D35</f>
        <v>0</v>
      </c>
      <c r="E5" s="393">
        <f>[2]WATER!E35</f>
        <v>250</v>
      </c>
      <c r="F5" s="393">
        <f>[2]WATER!F35</f>
        <v>0</v>
      </c>
      <c r="G5" s="393">
        <f>[2]WATER!G35</f>
        <v>628184</v>
      </c>
      <c r="H5" s="393">
        <f>[2]WATER!H35</f>
        <v>0</v>
      </c>
      <c r="I5" s="393">
        <f>[2]WATER!I35</f>
        <v>0</v>
      </c>
      <c r="J5" s="393">
        <f>[2]WATER!J35</f>
        <v>0</v>
      </c>
      <c r="K5" s="393">
        <f>[2]WATER!K35</f>
        <v>7073</v>
      </c>
      <c r="L5" s="393">
        <f>[2]WATER!L35</f>
        <v>0</v>
      </c>
      <c r="M5" s="393">
        <f>[2]WATER!M35</f>
        <v>457.44</v>
      </c>
      <c r="N5" s="393">
        <f>[2]WATER!N35</f>
        <v>0</v>
      </c>
      <c r="O5" s="393">
        <f>[2]WATER!O35</f>
        <v>529.52</v>
      </c>
      <c r="P5" s="393">
        <f>[2]WATER!P35</f>
        <v>0</v>
      </c>
      <c r="Q5" s="393">
        <f>[2]WATER!Q35</f>
        <v>0</v>
      </c>
      <c r="R5" s="393">
        <f>[2]WATER!R35</f>
        <v>0</v>
      </c>
      <c r="S5" s="393">
        <f>[2]WATER!S35</f>
        <v>0</v>
      </c>
      <c r="T5" s="393">
        <f>[2]WATER!T35</f>
        <v>5182</v>
      </c>
      <c r="U5" s="393">
        <f>[2]WATER!U35</f>
        <v>0</v>
      </c>
      <c r="V5" s="393">
        <f>[2]WATER!V35</f>
        <v>482</v>
      </c>
      <c r="W5" s="393">
        <f>[2]WATER!W35</f>
        <v>0</v>
      </c>
      <c r="X5" s="393">
        <f>[2]WATER!X35</f>
        <v>155276</v>
      </c>
      <c r="Y5" s="393">
        <f>[2]WATER!Y35</f>
        <v>0</v>
      </c>
      <c r="Z5" s="393">
        <f>[2]WATER!Z35</f>
        <v>99356</v>
      </c>
      <c r="AA5" s="393">
        <f>[2]WATER!AA35</f>
        <v>0</v>
      </c>
      <c r="AB5" s="393">
        <f>[2]WATER!AB35</f>
        <v>260</v>
      </c>
      <c r="AC5" s="393">
        <f>[2]WATER!AC35</f>
        <v>790</v>
      </c>
      <c r="AD5" s="393">
        <f>[2]WATER!AD35</f>
        <v>0</v>
      </c>
      <c r="AE5" s="393">
        <f>[2]WATER!AE35</f>
        <v>240.12</v>
      </c>
      <c r="AF5" s="393">
        <f>[2]WATER!AF35</f>
        <v>0</v>
      </c>
      <c r="AG5" s="393">
        <f>[2]WATER!AG35</f>
        <v>2222.14</v>
      </c>
      <c r="AH5" s="393">
        <f>[2]WATER!AH35</f>
        <v>0</v>
      </c>
      <c r="AI5" s="393">
        <f>[2]WATER!AI35</f>
        <v>0</v>
      </c>
      <c r="AJ5" s="393">
        <f>[2]WATER!AJ35</f>
        <v>0</v>
      </c>
      <c r="AK5" s="393">
        <f>[2]WATER!AK35</f>
        <v>0</v>
      </c>
      <c r="AL5" s="393">
        <f>[2]WATER!AL35</f>
        <v>0</v>
      </c>
      <c r="AM5" s="393">
        <f>[2]WATER!AM35</f>
        <v>0</v>
      </c>
      <c r="AN5" s="393">
        <f>[2]WATER!AN35</f>
        <v>0</v>
      </c>
      <c r="AO5" s="393">
        <f>[2]WATER!AO35</f>
        <v>0</v>
      </c>
      <c r="AP5" s="393">
        <f>[2]WATER!AP35</f>
        <v>0</v>
      </c>
      <c r="AR5" s="543">
        <f>[2]WATER!$AR$35</f>
        <v>44681</v>
      </c>
      <c r="AS5" s="393">
        <f>[2]WATER!AS35</f>
        <v>0.9</v>
      </c>
      <c r="AT5" s="393">
        <f>[2]WATER!AT35</f>
        <v>102</v>
      </c>
      <c r="AU5" s="393">
        <f>[2]WATER!AU35</f>
        <v>1.1000000000000001</v>
      </c>
      <c r="AV5" s="393">
        <f>[2]WATER!AV35</f>
        <v>95</v>
      </c>
      <c r="AW5" s="393">
        <f>[2]WATER!AW35</f>
        <v>2.9</v>
      </c>
      <c r="AX5" s="393">
        <f>[2]WATER!AX35</f>
        <v>102</v>
      </c>
      <c r="AY5" s="393">
        <f>[2]WATER!AY35</f>
        <v>91.8</v>
      </c>
      <c r="AZ5" s="393">
        <f>[2]WATER!AZ35</f>
        <v>104.50000000000001</v>
      </c>
      <c r="BA5" s="393">
        <f>[2]WATER!BA35</f>
        <v>295.8</v>
      </c>
      <c r="BB5" s="393">
        <f>[2]WATER!BB35</f>
        <v>0</v>
      </c>
      <c r="BC5" s="393">
        <f>[2]WATER!BC35</f>
        <v>0</v>
      </c>
      <c r="BD5" s="393">
        <f>[2]WATER!BD35</f>
        <v>0</v>
      </c>
      <c r="BE5" s="393">
        <f>[2]WATER!BE35</f>
        <v>0</v>
      </c>
      <c r="BF5" s="393">
        <f>[2]WATER!BF35</f>
        <v>0</v>
      </c>
      <c r="BG5" s="393">
        <f>[2]WATER!BG35</f>
        <v>0</v>
      </c>
    </row>
    <row r="6" spans="1:65" ht="15.75" thickBot="1">
      <c r="A6" s="6">
        <f>ELEC!C4</f>
        <v>44682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628184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7073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5182</v>
      </c>
      <c r="U6" s="5">
        <f t="shared" ref="U6:U33" si="3">SUM(T6-T5)</f>
        <v>0</v>
      </c>
      <c r="V6" s="5">
        <f>V5</f>
        <v>482</v>
      </c>
      <c r="W6" s="309">
        <f>+V6-V5</f>
        <v>0</v>
      </c>
      <c r="X6" s="5">
        <f>X5</f>
        <v>155276</v>
      </c>
      <c r="Y6" s="309">
        <f>SUM(X6-X5)</f>
        <v>0</v>
      </c>
      <c r="Z6" s="5">
        <f>Z5</f>
        <v>99356</v>
      </c>
      <c r="AA6" s="83">
        <f>Z6-Z5</f>
        <v>0</v>
      </c>
      <c r="AB6" s="5">
        <f>AB5</f>
        <v>260</v>
      </c>
      <c r="AC6" s="5">
        <f>AC5</f>
        <v>790</v>
      </c>
      <c r="AD6" s="83">
        <v>0</v>
      </c>
      <c r="AE6" s="5">
        <f>AE5</f>
        <v>240.12</v>
      </c>
      <c r="AF6" s="83">
        <f>AE6-AE5</f>
        <v>0</v>
      </c>
      <c r="AG6" s="5">
        <f>AG5</f>
        <v>2222.14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44682</v>
      </c>
      <c r="AS6" s="407">
        <f>AS5</f>
        <v>0.9</v>
      </c>
      <c r="AT6" s="201">
        <f>AT5</f>
        <v>102</v>
      </c>
      <c r="AU6" s="408">
        <f>AU5</f>
        <v>1.1000000000000001</v>
      </c>
      <c r="AV6" s="201">
        <f>AV5</f>
        <v>95</v>
      </c>
      <c r="AW6" s="5">
        <v>2.9</v>
      </c>
      <c r="AX6" s="201">
        <f>AX5</f>
        <v>102</v>
      </c>
      <c r="AY6" s="409">
        <f>AS6*AT6</f>
        <v>91.8</v>
      </c>
      <c r="AZ6" s="409">
        <f>AU6*AV6</f>
        <v>104.50000000000001</v>
      </c>
      <c r="BA6" s="409">
        <f>AW6*AX6</f>
        <v>295.8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44683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628184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7073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5182</v>
      </c>
      <c r="U7" s="5">
        <f t="shared" si="3"/>
        <v>0</v>
      </c>
      <c r="V7" s="5">
        <f t="shared" ref="V7:V36" si="14">V6</f>
        <v>482</v>
      </c>
      <c r="W7" s="309">
        <f t="shared" ref="W7:W33" si="15">+V7-V6</f>
        <v>0</v>
      </c>
      <c r="X7" s="5">
        <f t="shared" ref="X7:X36" si="16">X6</f>
        <v>155276</v>
      </c>
      <c r="Y7" s="309">
        <f>SUM(X7-X6)</f>
        <v>0</v>
      </c>
      <c r="Z7" s="5">
        <f t="shared" ref="Z7:Z36" si="17">Z6</f>
        <v>99356</v>
      </c>
      <c r="AA7" s="83">
        <f t="shared" ref="AA7:AA33" si="18">Z7-Z6</f>
        <v>0</v>
      </c>
      <c r="AB7" s="5">
        <f t="shared" ref="AB7:AB36" si="19">AB6</f>
        <v>260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240.12</v>
      </c>
      <c r="AF7" s="83">
        <f t="shared" ref="AF7:AF32" si="22">AE7-AE6</f>
        <v>0</v>
      </c>
      <c r="AG7" s="5">
        <f t="shared" ref="AG7:AG36" si="23">AG6</f>
        <v>2222.14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44683</v>
      </c>
      <c r="AS7" s="407">
        <f t="shared" ref="AS7:AT21" si="29">AS6</f>
        <v>0.9</v>
      </c>
      <c r="AT7" s="201">
        <f t="shared" si="29"/>
        <v>102</v>
      </c>
      <c r="AU7" s="408">
        <f>AU6</f>
        <v>1.1000000000000001</v>
      </c>
      <c r="AV7" s="201">
        <f t="shared" ref="AV7:AV36" si="30">AV6</f>
        <v>95</v>
      </c>
      <c r="AW7" s="5">
        <v>2.9</v>
      </c>
      <c r="AX7" s="201">
        <f t="shared" ref="AX7:AX36" si="31">AX6</f>
        <v>102</v>
      </c>
      <c r="AY7" s="409">
        <f>AS7*AT7</f>
        <v>91.8</v>
      </c>
      <c r="AZ7" s="409">
        <f>AU7*AV7</f>
        <v>104.50000000000001</v>
      </c>
      <c r="BA7" s="409">
        <f>AW7*AX7</f>
        <v>295.8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44684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628184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7073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5182</v>
      </c>
      <c r="U8" s="5">
        <f t="shared" si="3"/>
        <v>0</v>
      </c>
      <c r="V8" s="5">
        <v>489</v>
      </c>
      <c r="W8" s="309">
        <f t="shared" si="15"/>
        <v>7</v>
      </c>
      <c r="X8" s="5">
        <f t="shared" si="16"/>
        <v>155276</v>
      </c>
      <c r="Y8" s="309">
        <f>SUM(X8-X7)</f>
        <v>0</v>
      </c>
      <c r="Z8" s="5">
        <f t="shared" si="17"/>
        <v>99356</v>
      </c>
      <c r="AA8" s="83">
        <f t="shared" si="18"/>
        <v>0</v>
      </c>
      <c r="AB8" s="5">
        <f t="shared" si="19"/>
        <v>260</v>
      </c>
      <c r="AC8" s="5">
        <f t="shared" si="20"/>
        <v>790</v>
      </c>
      <c r="AD8" s="83">
        <f t="shared" ref="AD8:AD33" si="35">AC8-AC7</f>
        <v>0</v>
      </c>
      <c r="AE8" s="5">
        <f t="shared" si="21"/>
        <v>240.12</v>
      </c>
      <c r="AF8" s="83">
        <f t="shared" si="22"/>
        <v>0</v>
      </c>
      <c r="AG8" s="5">
        <f t="shared" si="23"/>
        <v>2222.14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6">SUM(Y8-L8)</f>
        <v>0</v>
      </c>
      <c r="AL8" s="312">
        <f t="shared" si="27"/>
        <v>-7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44684</v>
      </c>
      <c r="AS8" s="407">
        <f t="shared" si="29"/>
        <v>0.9</v>
      </c>
      <c r="AT8" s="201">
        <f t="shared" si="29"/>
        <v>102</v>
      </c>
      <c r="AU8" s="408">
        <v>1.1000000000000001</v>
      </c>
      <c r="AV8" s="201">
        <f t="shared" si="30"/>
        <v>95</v>
      </c>
      <c r="AW8" s="5">
        <v>2.9</v>
      </c>
      <c r="AX8" s="201">
        <f t="shared" si="31"/>
        <v>102</v>
      </c>
      <c r="AY8" s="409">
        <f t="shared" ref="AY8:AY33" si="37">AS8*AT8</f>
        <v>91.8</v>
      </c>
      <c r="AZ8" s="409">
        <f t="shared" ref="AZ8:AZ33" si="38">AU8*AV8</f>
        <v>104.50000000000001</v>
      </c>
      <c r="BA8" s="409">
        <f t="shared" ref="BA8:BA33" si="39">AW8*AX8</f>
        <v>295.8</v>
      </c>
      <c r="BB8" s="21">
        <f t="shared" ref="BB8:BB19" si="40">AY8-AY7</f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34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44685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628184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7082</v>
      </c>
      <c r="L9" s="83">
        <f t="shared" ref="L9:L33" si="41">K9-K8</f>
        <v>9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5182</v>
      </c>
      <c r="U9" s="5">
        <f t="shared" si="3"/>
        <v>0</v>
      </c>
      <c r="V9" s="5">
        <v>490</v>
      </c>
      <c r="W9" s="309">
        <f t="shared" si="15"/>
        <v>1</v>
      </c>
      <c r="X9" s="5">
        <f t="shared" si="16"/>
        <v>155276</v>
      </c>
      <c r="Y9" s="309">
        <f t="shared" ref="Y9:Y33" si="42">SUM(X9-X8)</f>
        <v>0</v>
      </c>
      <c r="Z9" s="5">
        <f t="shared" si="17"/>
        <v>99356</v>
      </c>
      <c r="AA9" s="83">
        <f t="shared" si="18"/>
        <v>0</v>
      </c>
      <c r="AB9" s="5">
        <v>283</v>
      </c>
      <c r="AC9" s="5">
        <f t="shared" si="20"/>
        <v>790</v>
      </c>
      <c r="AD9" s="83">
        <f t="shared" si="35"/>
        <v>0</v>
      </c>
      <c r="AE9" s="5">
        <v>242.22</v>
      </c>
      <c r="AF9" s="83">
        <f t="shared" si="22"/>
        <v>2.0999999999999943</v>
      </c>
      <c r="AG9" s="5">
        <v>2229.7600000000002</v>
      </c>
      <c r="AH9" s="83">
        <f t="shared" si="24"/>
        <v>7.6200000000003456</v>
      </c>
      <c r="AI9" s="83">
        <f t="shared" si="25"/>
        <v>9.7200000000003399</v>
      </c>
      <c r="AJ9" s="311">
        <f t="shared" si="26"/>
        <v>0</v>
      </c>
      <c r="AK9" s="312">
        <f t="shared" si="36"/>
        <v>-9</v>
      </c>
      <c r="AL9" s="312">
        <f t="shared" si="27"/>
        <v>-1</v>
      </c>
      <c r="AM9" s="312">
        <f>'General information '!D8</f>
        <v>21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44685</v>
      </c>
      <c r="AS9" s="407">
        <f t="shared" si="29"/>
        <v>0.9</v>
      </c>
      <c r="AT9" s="201">
        <v>175</v>
      </c>
      <c r="AU9" s="408">
        <f t="shared" ref="AU9:AU36" si="43">AU8</f>
        <v>1.1000000000000001</v>
      </c>
      <c r="AV9" s="201">
        <v>84</v>
      </c>
      <c r="AW9" s="5">
        <v>2.9</v>
      </c>
      <c r="AX9" s="201">
        <v>99</v>
      </c>
      <c r="AY9" s="409">
        <f t="shared" si="37"/>
        <v>157.5</v>
      </c>
      <c r="AZ9" s="409">
        <f t="shared" si="38"/>
        <v>92.4</v>
      </c>
      <c r="BA9" s="409">
        <f t="shared" si="39"/>
        <v>287.09999999999997</v>
      </c>
      <c r="BB9" s="21">
        <f t="shared" si="40"/>
        <v>65.7</v>
      </c>
      <c r="BC9" s="21">
        <f t="shared" si="32"/>
        <v>-12.100000000000009</v>
      </c>
      <c r="BD9" s="21">
        <f t="shared" si="32"/>
        <v>-8.7000000000000455</v>
      </c>
      <c r="BE9" s="24">
        <f t="shared" si="33"/>
        <v>44.899999999999949</v>
      </c>
      <c r="BF9" s="330">
        <f t="shared" si="34"/>
        <v>-44.899999999999949</v>
      </c>
      <c r="BG9" s="82">
        <f t="shared" si="4"/>
        <v>44.899999999999949</v>
      </c>
    </row>
    <row r="10" spans="1:65" ht="15.75" thickBot="1">
      <c r="A10" s="6">
        <f>ELEC!C8</f>
        <v>44686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v>628287</v>
      </c>
      <c r="H10" s="5">
        <f t="shared" si="9"/>
        <v>103</v>
      </c>
      <c r="I10" s="5">
        <f t="shared" si="10"/>
        <v>103</v>
      </c>
      <c r="J10" s="319">
        <f t="shared" si="0"/>
        <v>2.3488881929220171</v>
      </c>
      <c r="K10" s="5">
        <f>'Swimming Pool quality check '!H10</f>
        <v>7082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5182</v>
      </c>
      <c r="U10" s="5">
        <f t="shared" si="3"/>
        <v>0</v>
      </c>
      <c r="V10" s="5">
        <v>490</v>
      </c>
      <c r="W10" s="309">
        <f t="shared" si="15"/>
        <v>0</v>
      </c>
      <c r="X10" s="5">
        <f t="shared" si="16"/>
        <v>155276</v>
      </c>
      <c r="Y10" s="309">
        <f t="shared" si="42"/>
        <v>0</v>
      </c>
      <c r="Z10" s="5">
        <f t="shared" si="17"/>
        <v>99356</v>
      </c>
      <c r="AA10" s="83">
        <f t="shared" si="18"/>
        <v>0</v>
      </c>
      <c r="AB10" s="5">
        <v>257</v>
      </c>
      <c r="AC10" s="5">
        <f t="shared" si="20"/>
        <v>790</v>
      </c>
      <c r="AD10" s="83">
        <f t="shared" si="35"/>
        <v>0</v>
      </c>
      <c r="AE10" s="5">
        <f t="shared" si="21"/>
        <v>242.22</v>
      </c>
      <c r="AF10" s="83">
        <f t="shared" si="22"/>
        <v>0</v>
      </c>
      <c r="AG10" s="5">
        <f t="shared" si="23"/>
        <v>2229.7600000000002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20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44686</v>
      </c>
      <c r="AS10" s="407">
        <f t="shared" si="29"/>
        <v>0.9</v>
      </c>
      <c r="AT10" s="201">
        <v>163</v>
      </c>
      <c r="AU10" s="408">
        <f t="shared" si="43"/>
        <v>1.1000000000000001</v>
      </c>
      <c r="AV10" s="201">
        <v>89</v>
      </c>
      <c r="AW10" s="5">
        <v>2.9</v>
      </c>
      <c r="AX10" s="201">
        <v>94</v>
      </c>
      <c r="AY10" s="409">
        <f t="shared" si="37"/>
        <v>146.70000000000002</v>
      </c>
      <c r="AZ10" s="409">
        <f t="shared" si="38"/>
        <v>97.9</v>
      </c>
      <c r="BA10" s="409">
        <f t="shared" si="39"/>
        <v>272.59999999999997</v>
      </c>
      <c r="BB10" s="21">
        <f t="shared" si="40"/>
        <v>-10.799999999999983</v>
      </c>
      <c r="BC10" s="21">
        <f t="shared" si="32"/>
        <v>5.5</v>
      </c>
      <c r="BD10" s="21">
        <f t="shared" si="32"/>
        <v>-14.5</v>
      </c>
      <c r="BE10" s="24">
        <f t="shared" si="33"/>
        <v>-19.799999999999983</v>
      </c>
      <c r="BF10" s="96">
        <f t="shared" si="34"/>
        <v>122.79999999999998</v>
      </c>
      <c r="BG10" s="82">
        <f t="shared" si="4"/>
        <v>-19.799999999999983</v>
      </c>
    </row>
    <row r="11" spans="1:65" ht="15.75" thickBot="1">
      <c r="A11" s="6">
        <f>ELEC!C9</f>
        <v>44687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628287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7082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5182</v>
      </c>
      <c r="U11" s="5">
        <f t="shared" si="3"/>
        <v>0</v>
      </c>
      <c r="V11" s="5">
        <f t="shared" si="14"/>
        <v>490</v>
      </c>
      <c r="W11" s="309">
        <f t="shared" si="15"/>
        <v>0</v>
      </c>
      <c r="X11" s="5">
        <f t="shared" si="16"/>
        <v>155276</v>
      </c>
      <c r="Y11" s="309">
        <f t="shared" si="42"/>
        <v>0</v>
      </c>
      <c r="Z11" s="5">
        <f t="shared" si="17"/>
        <v>99356</v>
      </c>
      <c r="AA11" s="83">
        <f t="shared" si="18"/>
        <v>0</v>
      </c>
      <c r="AB11" s="5">
        <f t="shared" si="19"/>
        <v>257</v>
      </c>
      <c r="AC11" s="5">
        <f t="shared" si="20"/>
        <v>790</v>
      </c>
      <c r="AD11" s="83">
        <f t="shared" si="35"/>
        <v>0</v>
      </c>
      <c r="AE11" s="5">
        <f t="shared" si="21"/>
        <v>242.22</v>
      </c>
      <c r="AF11" s="83">
        <f t="shared" si="22"/>
        <v>0</v>
      </c>
      <c r="AG11" s="5">
        <f t="shared" si="23"/>
        <v>2229.7600000000002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6"/>
        <v>0</v>
      </c>
      <c r="AL11" s="312">
        <f t="shared" si="27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44687</v>
      </c>
      <c r="AS11" s="407">
        <f t="shared" si="29"/>
        <v>0.9</v>
      </c>
      <c r="AT11" s="201">
        <f t="shared" si="29"/>
        <v>163</v>
      </c>
      <c r="AU11" s="408">
        <f t="shared" si="43"/>
        <v>1.1000000000000001</v>
      </c>
      <c r="AV11" s="201">
        <f t="shared" si="30"/>
        <v>89</v>
      </c>
      <c r="AW11" s="5">
        <v>2.9</v>
      </c>
      <c r="AX11" s="201">
        <f t="shared" si="31"/>
        <v>94</v>
      </c>
      <c r="AY11" s="409">
        <f t="shared" si="37"/>
        <v>146.70000000000002</v>
      </c>
      <c r="AZ11" s="409">
        <f t="shared" si="38"/>
        <v>97.9</v>
      </c>
      <c r="BA11" s="409">
        <f t="shared" si="39"/>
        <v>272.59999999999997</v>
      </c>
      <c r="BB11" s="21">
        <f t="shared" si="40"/>
        <v>0</v>
      </c>
      <c r="BC11" s="21">
        <f t="shared" si="32"/>
        <v>0</v>
      </c>
      <c r="BD11" s="21">
        <f t="shared" si="32"/>
        <v>0</v>
      </c>
      <c r="BE11" s="24">
        <f t="shared" si="33"/>
        <v>0</v>
      </c>
      <c r="BF11" s="96">
        <f t="shared" si="34"/>
        <v>0</v>
      </c>
      <c r="BG11" s="82">
        <f t="shared" si="4"/>
        <v>0</v>
      </c>
    </row>
    <row r="12" spans="1:65" ht="15.75" thickBot="1">
      <c r="A12" s="6">
        <f>ELEC!C10</f>
        <v>44688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628287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7082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5182</v>
      </c>
      <c r="U12" s="5">
        <f t="shared" si="3"/>
        <v>0</v>
      </c>
      <c r="V12" s="5">
        <f t="shared" si="14"/>
        <v>490</v>
      </c>
      <c r="W12" s="309">
        <f t="shared" si="15"/>
        <v>0</v>
      </c>
      <c r="X12" s="5">
        <f t="shared" si="16"/>
        <v>155276</v>
      </c>
      <c r="Y12" s="309">
        <f t="shared" si="42"/>
        <v>0</v>
      </c>
      <c r="Z12" s="5">
        <f t="shared" si="17"/>
        <v>99356</v>
      </c>
      <c r="AA12" s="83">
        <f t="shared" si="18"/>
        <v>0</v>
      </c>
      <c r="AB12" s="5">
        <f t="shared" si="19"/>
        <v>257</v>
      </c>
      <c r="AC12" s="5">
        <f t="shared" si="20"/>
        <v>790</v>
      </c>
      <c r="AD12" s="83">
        <f t="shared" si="35"/>
        <v>0</v>
      </c>
      <c r="AE12" s="5">
        <f t="shared" si="21"/>
        <v>242.22</v>
      </c>
      <c r="AF12" s="83">
        <f t="shared" si="22"/>
        <v>0</v>
      </c>
      <c r="AG12" s="5">
        <f t="shared" si="23"/>
        <v>2229.7600000000002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6"/>
        <v>0</v>
      </c>
      <c r="AL12" s="312">
        <f t="shared" si="27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44688</v>
      </c>
      <c r="AS12" s="407">
        <f t="shared" si="29"/>
        <v>0.9</v>
      </c>
      <c r="AT12" s="201">
        <f t="shared" si="29"/>
        <v>163</v>
      </c>
      <c r="AU12" s="408">
        <f t="shared" si="43"/>
        <v>1.1000000000000001</v>
      </c>
      <c r="AV12" s="201">
        <f t="shared" si="30"/>
        <v>89</v>
      </c>
      <c r="AW12" s="5">
        <v>2.9</v>
      </c>
      <c r="AX12" s="201">
        <f t="shared" si="31"/>
        <v>94</v>
      </c>
      <c r="AY12" s="409">
        <f t="shared" si="37"/>
        <v>146.70000000000002</v>
      </c>
      <c r="AZ12" s="409">
        <f t="shared" si="38"/>
        <v>97.9</v>
      </c>
      <c r="BA12" s="409">
        <f t="shared" si="39"/>
        <v>272.59999999999997</v>
      </c>
      <c r="BB12" s="21">
        <f t="shared" si="40"/>
        <v>0</v>
      </c>
      <c r="BC12" s="21">
        <f t="shared" si="32"/>
        <v>0</v>
      </c>
      <c r="BD12" s="21">
        <f t="shared" si="32"/>
        <v>0</v>
      </c>
      <c r="BE12" s="24">
        <f t="shared" si="33"/>
        <v>0</v>
      </c>
      <c r="BF12" s="96">
        <f t="shared" si="34"/>
        <v>0</v>
      </c>
      <c r="BG12" s="82">
        <f t="shared" si="4"/>
        <v>0</v>
      </c>
    </row>
    <row r="13" spans="1:65" ht="15.75" thickBot="1">
      <c r="A13" s="6">
        <f>ELEC!C11</f>
        <v>44689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628287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7082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5182</v>
      </c>
      <c r="U13" s="5">
        <f t="shared" si="3"/>
        <v>0</v>
      </c>
      <c r="V13" s="5">
        <v>490</v>
      </c>
      <c r="W13" s="309">
        <f t="shared" si="15"/>
        <v>0</v>
      </c>
      <c r="X13" s="5">
        <f t="shared" si="16"/>
        <v>155276</v>
      </c>
      <c r="Y13" s="309">
        <f t="shared" si="42"/>
        <v>0</v>
      </c>
      <c r="Z13" s="5">
        <f t="shared" si="17"/>
        <v>99356</v>
      </c>
      <c r="AA13" s="83">
        <f t="shared" si="18"/>
        <v>0</v>
      </c>
      <c r="AB13" s="5">
        <f t="shared" si="19"/>
        <v>257</v>
      </c>
      <c r="AC13" s="5">
        <f t="shared" si="20"/>
        <v>790</v>
      </c>
      <c r="AD13" s="83">
        <f t="shared" si="35"/>
        <v>0</v>
      </c>
      <c r="AE13" s="5">
        <f t="shared" si="21"/>
        <v>242.22</v>
      </c>
      <c r="AF13" s="83">
        <f t="shared" si="22"/>
        <v>0</v>
      </c>
      <c r="AG13" s="5">
        <f t="shared" si="23"/>
        <v>2229.7600000000002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6"/>
        <v>0</v>
      </c>
      <c r="AL13" s="312">
        <f t="shared" si="27"/>
        <v>0</v>
      </c>
      <c r="AM13" s="312">
        <f>'General information '!D12</f>
        <v>19.5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44689</v>
      </c>
      <c r="AS13" s="407">
        <f t="shared" si="29"/>
        <v>0.9</v>
      </c>
      <c r="AT13" s="201">
        <f t="shared" si="29"/>
        <v>163</v>
      </c>
      <c r="AU13" s="408">
        <f t="shared" si="43"/>
        <v>1.1000000000000001</v>
      </c>
      <c r="AV13" s="201">
        <v>88</v>
      </c>
      <c r="AW13" s="5">
        <v>2.9</v>
      </c>
      <c r="AX13" s="201">
        <v>91</v>
      </c>
      <c r="AY13" s="409">
        <f t="shared" si="37"/>
        <v>146.70000000000002</v>
      </c>
      <c r="AZ13" s="409">
        <f t="shared" si="38"/>
        <v>96.800000000000011</v>
      </c>
      <c r="BA13" s="409">
        <f t="shared" si="39"/>
        <v>263.89999999999998</v>
      </c>
      <c r="BB13" s="21">
        <f t="shared" si="40"/>
        <v>0</v>
      </c>
      <c r="BC13" s="21">
        <f t="shared" si="32"/>
        <v>-1.0999999999999943</v>
      </c>
      <c r="BD13" s="21">
        <f t="shared" si="32"/>
        <v>-8.6999999999999886</v>
      </c>
      <c r="BE13" s="24">
        <f t="shared" si="33"/>
        <v>-9.7999999999999829</v>
      </c>
      <c r="BF13" s="96">
        <f t="shared" si="34"/>
        <v>9.7999999999999829</v>
      </c>
      <c r="BG13" s="82">
        <f t="shared" si="4"/>
        <v>-9.7999999999999829</v>
      </c>
    </row>
    <row r="14" spans="1:65" ht="15.75" thickBot="1">
      <c r="A14" s="6">
        <f>ELEC!C12</f>
        <v>44690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628287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7088</v>
      </c>
      <c r="L14" s="83">
        <f t="shared" si="41"/>
        <v>6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5182</v>
      </c>
      <c r="U14" s="5">
        <f t="shared" si="3"/>
        <v>0</v>
      </c>
      <c r="V14" s="5">
        <v>490</v>
      </c>
      <c r="W14" s="309">
        <f t="shared" si="15"/>
        <v>0</v>
      </c>
      <c r="X14" s="5">
        <v>155365</v>
      </c>
      <c r="Y14" s="309">
        <f t="shared" si="42"/>
        <v>89</v>
      </c>
      <c r="Z14" s="5">
        <v>99383</v>
      </c>
      <c r="AA14" s="83">
        <f t="shared" si="18"/>
        <v>27</v>
      </c>
      <c r="AB14" s="5">
        <f t="shared" si="19"/>
        <v>257</v>
      </c>
      <c r="AC14" s="5">
        <f t="shared" si="20"/>
        <v>790</v>
      </c>
      <c r="AD14" s="83">
        <f t="shared" si="35"/>
        <v>0</v>
      </c>
      <c r="AE14" s="5">
        <f t="shared" si="21"/>
        <v>242.22</v>
      </c>
      <c r="AF14" s="83">
        <f t="shared" si="22"/>
        <v>0</v>
      </c>
      <c r="AG14" s="5">
        <f t="shared" si="23"/>
        <v>2229.7600000000002</v>
      </c>
      <c r="AH14" s="83">
        <f t="shared" si="24"/>
        <v>0</v>
      </c>
      <c r="AI14" s="83">
        <f t="shared" si="25"/>
        <v>0</v>
      </c>
      <c r="AJ14" s="311">
        <f t="shared" si="26"/>
        <v>27</v>
      </c>
      <c r="AK14" s="312">
        <f t="shared" si="36"/>
        <v>83</v>
      </c>
      <c r="AL14" s="312">
        <f t="shared" si="27"/>
        <v>27</v>
      </c>
      <c r="AM14" s="312">
        <f>'General information '!D13</f>
        <v>20.5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44690</v>
      </c>
      <c r="AS14" s="407">
        <f t="shared" si="29"/>
        <v>0.9</v>
      </c>
      <c r="AT14" s="201">
        <v>122</v>
      </c>
      <c r="AU14" s="408">
        <f t="shared" si="43"/>
        <v>1.1000000000000001</v>
      </c>
      <c r="AV14" s="201">
        <v>103</v>
      </c>
      <c r="AW14" s="5">
        <v>2.9</v>
      </c>
      <c r="AX14" s="201">
        <v>114</v>
      </c>
      <c r="AY14" s="409">
        <f t="shared" si="37"/>
        <v>109.8</v>
      </c>
      <c r="AZ14" s="409">
        <f t="shared" si="38"/>
        <v>113.30000000000001</v>
      </c>
      <c r="BA14" s="409">
        <f t="shared" si="39"/>
        <v>330.59999999999997</v>
      </c>
      <c r="BB14" s="21">
        <f t="shared" si="40"/>
        <v>-36.90000000000002</v>
      </c>
      <c r="BC14" s="21">
        <f t="shared" si="32"/>
        <v>16.5</v>
      </c>
      <c r="BD14" s="21">
        <f t="shared" si="32"/>
        <v>66.699999999999989</v>
      </c>
      <c r="BE14" s="24">
        <f t="shared" si="33"/>
        <v>46.299999999999969</v>
      </c>
      <c r="BF14" s="96">
        <f t="shared" si="34"/>
        <v>-46.299999999999969</v>
      </c>
      <c r="BG14" s="82">
        <f t="shared" si="4"/>
        <v>46.299999999999969</v>
      </c>
    </row>
    <row r="15" spans="1:65" ht="16.5" customHeight="1" thickBot="1">
      <c r="A15" s="6">
        <f>ELEC!C13</f>
        <v>44691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v>628414</v>
      </c>
      <c r="H15" s="5">
        <f t="shared" si="9"/>
        <v>127</v>
      </c>
      <c r="I15" s="5">
        <f t="shared" si="10"/>
        <v>127</v>
      </c>
      <c r="J15" s="319">
        <f t="shared" si="0"/>
        <v>1.9050038100076201</v>
      </c>
      <c r="K15" s="5">
        <f>'Swimming Pool quality check '!H15</f>
        <v>7088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5182</v>
      </c>
      <c r="U15" s="5">
        <f t="shared" si="3"/>
        <v>0</v>
      </c>
      <c r="V15" s="5">
        <f t="shared" si="14"/>
        <v>490</v>
      </c>
      <c r="W15" s="309">
        <f t="shared" si="15"/>
        <v>0</v>
      </c>
      <c r="X15" s="5">
        <f t="shared" si="16"/>
        <v>155365</v>
      </c>
      <c r="Y15" s="309">
        <f t="shared" si="42"/>
        <v>0</v>
      </c>
      <c r="Z15" s="5">
        <f t="shared" si="17"/>
        <v>99383</v>
      </c>
      <c r="AA15" s="83">
        <f t="shared" si="18"/>
        <v>0</v>
      </c>
      <c r="AB15" s="5">
        <f t="shared" si="19"/>
        <v>257</v>
      </c>
      <c r="AC15" s="5">
        <f t="shared" si="20"/>
        <v>790</v>
      </c>
      <c r="AD15" s="83">
        <f t="shared" si="35"/>
        <v>0</v>
      </c>
      <c r="AE15" s="5">
        <f t="shared" si="21"/>
        <v>242.22</v>
      </c>
      <c r="AF15" s="83">
        <f t="shared" si="22"/>
        <v>0</v>
      </c>
      <c r="AG15" s="5">
        <f t="shared" si="23"/>
        <v>2229.7600000000002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>SUM(Y15-L15)</f>
        <v>0</v>
      </c>
      <c r="AL15" s="312">
        <f t="shared" si="27"/>
        <v>0</v>
      </c>
      <c r="AM15" s="312">
        <f>'General information '!D14</f>
        <v>20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44691</v>
      </c>
      <c r="AS15" s="407">
        <f t="shared" si="29"/>
        <v>0.9</v>
      </c>
      <c r="AT15" s="201">
        <v>114</v>
      </c>
      <c r="AU15" s="408">
        <f t="shared" si="43"/>
        <v>1.1000000000000001</v>
      </c>
      <c r="AV15" s="201">
        <v>100</v>
      </c>
      <c r="AW15" s="5">
        <v>2.9</v>
      </c>
      <c r="AX15" s="201">
        <v>112</v>
      </c>
      <c r="AY15" s="409">
        <f t="shared" si="37"/>
        <v>102.60000000000001</v>
      </c>
      <c r="AZ15" s="409">
        <f t="shared" si="38"/>
        <v>110.00000000000001</v>
      </c>
      <c r="BA15" s="409">
        <f t="shared" si="39"/>
        <v>324.8</v>
      </c>
      <c r="BB15" s="21">
        <f t="shared" si="40"/>
        <v>-7.1999999999999886</v>
      </c>
      <c r="BC15" s="21">
        <f t="shared" si="32"/>
        <v>-3.2999999999999972</v>
      </c>
      <c r="BD15" s="21">
        <f t="shared" si="32"/>
        <v>-5.7999999999999545</v>
      </c>
      <c r="BE15" s="24">
        <f t="shared" si="33"/>
        <v>-16.29999999999994</v>
      </c>
      <c r="BF15" s="96">
        <f t="shared" si="34"/>
        <v>143.29999999999995</v>
      </c>
      <c r="BG15" s="82">
        <f t="shared" si="4"/>
        <v>-16.299999999999955</v>
      </c>
    </row>
    <row r="16" spans="1:65" ht="15.75" thickBot="1">
      <c r="A16" s="6">
        <f>ELEC!C14</f>
        <v>44692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v>628482</v>
      </c>
      <c r="H16" s="5">
        <f t="shared" si="9"/>
        <v>68</v>
      </c>
      <c r="I16" s="5">
        <f t="shared" si="10"/>
        <v>68</v>
      </c>
      <c r="J16" s="319">
        <f t="shared" si="0"/>
        <v>3.5578747628083494</v>
      </c>
      <c r="K16" s="5">
        <f>'Swimming Pool quality check '!H16</f>
        <v>7089</v>
      </c>
      <c r="L16" s="263">
        <f t="shared" si="41"/>
        <v>1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5182</v>
      </c>
      <c r="U16" s="5">
        <f t="shared" si="3"/>
        <v>0</v>
      </c>
      <c r="V16" s="5">
        <f t="shared" si="14"/>
        <v>490</v>
      </c>
      <c r="W16" s="309">
        <f t="shared" si="15"/>
        <v>0</v>
      </c>
      <c r="X16" s="5">
        <f t="shared" si="16"/>
        <v>155365</v>
      </c>
      <c r="Y16" s="309">
        <f t="shared" si="42"/>
        <v>0</v>
      </c>
      <c r="Z16" s="5">
        <f t="shared" si="17"/>
        <v>99383</v>
      </c>
      <c r="AA16" s="83">
        <f t="shared" si="18"/>
        <v>0</v>
      </c>
      <c r="AB16" s="5">
        <f t="shared" si="19"/>
        <v>257</v>
      </c>
      <c r="AC16" s="5">
        <f t="shared" si="20"/>
        <v>790</v>
      </c>
      <c r="AD16" s="83">
        <f t="shared" si="35"/>
        <v>0</v>
      </c>
      <c r="AE16" s="5">
        <v>242.23</v>
      </c>
      <c r="AF16" s="83">
        <f t="shared" si="22"/>
        <v>9.9999999999909051E-3</v>
      </c>
      <c r="AG16" s="5">
        <f t="shared" si="23"/>
        <v>2229.7600000000002</v>
      </c>
      <c r="AH16" s="83">
        <f t="shared" si="24"/>
        <v>0</v>
      </c>
      <c r="AI16" s="83">
        <f t="shared" si="25"/>
        <v>9.9999999999909051E-3</v>
      </c>
      <c r="AJ16" s="311">
        <f t="shared" si="26"/>
        <v>0</v>
      </c>
      <c r="AK16" s="312">
        <f t="shared" si="36"/>
        <v>-1</v>
      </c>
      <c r="AL16" s="312">
        <f t="shared" si="27"/>
        <v>0</v>
      </c>
      <c r="AM16" s="312">
        <f>'General information '!D15</f>
        <v>20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44692</v>
      </c>
      <c r="AS16" s="407">
        <f t="shared" si="29"/>
        <v>0.9</v>
      </c>
      <c r="AT16" s="201">
        <v>153</v>
      </c>
      <c r="AU16" s="408">
        <f t="shared" si="43"/>
        <v>1.1000000000000001</v>
      </c>
      <c r="AV16" s="201">
        <v>99</v>
      </c>
      <c r="AW16" s="5">
        <v>2.9</v>
      </c>
      <c r="AX16" s="201">
        <v>110</v>
      </c>
      <c r="AY16" s="409">
        <f t="shared" si="37"/>
        <v>137.70000000000002</v>
      </c>
      <c r="AZ16" s="409">
        <f t="shared" si="38"/>
        <v>108.9</v>
      </c>
      <c r="BA16" s="409">
        <f t="shared" si="39"/>
        <v>319</v>
      </c>
      <c r="BB16" s="21">
        <f t="shared" si="40"/>
        <v>35.100000000000009</v>
      </c>
      <c r="BC16" s="21">
        <f t="shared" si="32"/>
        <v>-1.1000000000000085</v>
      </c>
      <c r="BD16" s="21">
        <f t="shared" si="32"/>
        <v>-5.8000000000000114</v>
      </c>
      <c r="BE16" s="24">
        <f t="shared" si="33"/>
        <v>28.199999999999989</v>
      </c>
      <c r="BF16" s="96">
        <f t="shared" si="34"/>
        <v>39.800000000000011</v>
      </c>
      <c r="BG16" s="82">
        <f t="shared" si="4"/>
        <v>28.199999999999989</v>
      </c>
    </row>
    <row r="17" spans="1:61" ht="15.75" thickBot="1">
      <c r="A17" s="6">
        <f>ELEC!C15</f>
        <v>44693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628482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7089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5182</v>
      </c>
      <c r="U17" s="5">
        <f t="shared" si="3"/>
        <v>0</v>
      </c>
      <c r="V17" s="5">
        <v>493</v>
      </c>
      <c r="W17" s="309">
        <f t="shared" si="15"/>
        <v>3</v>
      </c>
      <c r="X17" s="5">
        <f t="shared" si="16"/>
        <v>155365</v>
      </c>
      <c r="Y17" s="309">
        <f t="shared" si="42"/>
        <v>0</v>
      </c>
      <c r="Z17" s="5">
        <f t="shared" si="17"/>
        <v>99383</v>
      </c>
      <c r="AA17" s="83">
        <f t="shared" si="18"/>
        <v>0</v>
      </c>
      <c r="AB17" s="5">
        <v>249</v>
      </c>
      <c r="AC17" s="5">
        <f t="shared" si="20"/>
        <v>790</v>
      </c>
      <c r="AD17" s="83">
        <f t="shared" si="35"/>
        <v>0</v>
      </c>
      <c r="AE17" s="5">
        <f t="shared" si="21"/>
        <v>242.23</v>
      </c>
      <c r="AF17" s="83">
        <f t="shared" si="22"/>
        <v>0</v>
      </c>
      <c r="AG17" s="5">
        <f t="shared" si="23"/>
        <v>2229.7600000000002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-3</v>
      </c>
      <c r="AM17" s="312">
        <f>'General information '!D16</f>
        <v>19.5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44693</v>
      </c>
      <c r="AS17" s="407">
        <f t="shared" si="29"/>
        <v>0.9</v>
      </c>
      <c r="AT17" s="201">
        <f t="shared" si="29"/>
        <v>153</v>
      </c>
      <c r="AU17" s="408">
        <f t="shared" si="43"/>
        <v>1.1000000000000001</v>
      </c>
      <c r="AV17" s="201">
        <v>98</v>
      </c>
      <c r="AW17" s="5">
        <v>2.9</v>
      </c>
      <c r="AX17" s="201">
        <v>108</v>
      </c>
      <c r="AY17" s="409">
        <f t="shared" si="37"/>
        <v>137.70000000000002</v>
      </c>
      <c r="AZ17" s="409">
        <f t="shared" si="38"/>
        <v>107.80000000000001</v>
      </c>
      <c r="BA17" s="409">
        <f t="shared" si="39"/>
        <v>313.2</v>
      </c>
      <c r="BB17" s="21">
        <f t="shared" si="40"/>
        <v>0</v>
      </c>
      <c r="BC17" s="21">
        <f t="shared" si="32"/>
        <v>-1.0999999999999943</v>
      </c>
      <c r="BD17" s="21">
        <f t="shared" si="32"/>
        <v>-5.8000000000000114</v>
      </c>
      <c r="BE17" s="24">
        <f t="shared" si="33"/>
        <v>-6.9000000000000057</v>
      </c>
      <c r="BF17" s="96">
        <f t="shared" si="34"/>
        <v>6.9000000000000057</v>
      </c>
      <c r="BG17" s="82">
        <f t="shared" si="4"/>
        <v>-6.9000000000000057</v>
      </c>
    </row>
    <row r="18" spans="1:61" ht="15.75" thickBot="1">
      <c r="A18" s="6">
        <f>ELEC!C16</f>
        <v>44694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628482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7089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5182</v>
      </c>
      <c r="U18" s="5">
        <f t="shared" si="3"/>
        <v>0</v>
      </c>
      <c r="V18" s="5">
        <f t="shared" si="14"/>
        <v>493</v>
      </c>
      <c r="W18" s="309">
        <f t="shared" si="15"/>
        <v>0</v>
      </c>
      <c r="X18" s="5">
        <f t="shared" si="16"/>
        <v>155365</v>
      </c>
      <c r="Y18" s="309">
        <f t="shared" si="42"/>
        <v>0</v>
      </c>
      <c r="Z18" s="5">
        <f t="shared" si="17"/>
        <v>99383</v>
      </c>
      <c r="AA18" s="83">
        <f t="shared" si="18"/>
        <v>0</v>
      </c>
      <c r="AB18" s="5">
        <f t="shared" si="19"/>
        <v>249</v>
      </c>
      <c r="AC18" s="5">
        <f t="shared" si="20"/>
        <v>790</v>
      </c>
      <c r="AD18" s="83">
        <f t="shared" si="35"/>
        <v>0</v>
      </c>
      <c r="AE18" s="5">
        <f t="shared" si="21"/>
        <v>242.23</v>
      </c>
      <c r="AF18" s="83">
        <f t="shared" si="22"/>
        <v>0</v>
      </c>
      <c r="AG18" s="5">
        <f t="shared" si="23"/>
        <v>2229.7600000000002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44694</v>
      </c>
      <c r="AS18" s="407">
        <f t="shared" si="29"/>
        <v>0.9</v>
      </c>
      <c r="AT18" s="201">
        <f t="shared" si="29"/>
        <v>153</v>
      </c>
      <c r="AU18" s="408">
        <f t="shared" si="43"/>
        <v>1.1000000000000001</v>
      </c>
      <c r="AV18" s="201">
        <f t="shared" si="30"/>
        <v>98</v>
      </c>
      <c r="AW18" s="5">
        <v>2.9</v>
      </c>
      <c r="AX18" s="201">
        <f t="shared" si="31"/>
        <v>108</v>
      </c>
      <c r="AY18" s="409">
        <f t="shared" si="37"/>
        <v>137.70000000000002</v>
      </c>
      <c r="AZ18" s="409">
        <f t="shared" si="38"/>
        <v>107.80000000000001</v>
      </c>
      <c r="BA18" s="409">
        <f t="shared" si="39"/>
        <v>313.2</v>
      </c>
      <c r="BB18" s="21">
        <f t="shared" si="40"/>
        <v>0</v>
      </c>
      <c r="BC18" s="21">
        <f t="shared" si="32"/>
        <v>0</v>
      </c>
      <c r="BD18" s="21">
        <f t="shared" si="32"/>
        <v>0</v>
      </c>
      <c r="BE18" s="24">
        <f t="shared" si="33"/>
        <v>0</v>
      </c>
      <c r="BF18" s="96">
        <f t="shared" si="34"/>
        <v>0</v>
      </c>
      <c r="BG18" s="82">
        <f t="shared" si="4"/>
        <v>0</v>
      </c>
    </row>
    <row r="19" spans="1:61" ht="15.75" thickBot="1">
      <c r="A19" s="6">
        <f>ELEC!C17</f>
        <v>44695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628482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7089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5182</v>
      </c>
      <c r="U19" s="5">
        <f t="shared" si="3"/>
        <v>0</v>
      </c>
      <c r="V19" s="5">
        <f t="shared" si="14"/>
        <v>493</v>
      </c>
      <c r="W19" s="309">
        <f t="shared" si="15"/>
        <v>0</v>
      </c>
      <c r="X19" s="5">
        <f t="shared" si="16"/>
        <v>155365</v>
      </c>
      <c r="Y19" s="309">
        <f t="shared" si="42"/>
        <v>0</v>
      </c>
      <c r="Z19" s="5">
        <f t="shared" si="17"/>
        <v>99383</v>
      </c>
      <c r="AA19" s="83">
        <f t="shared" si="18"/>
        <v>0</v>
      </c>
      <c r="AB19" s="5">
        <f t="shared" si="19"/>
        <v>249</v>
      </c>
      <c r="AC19" s="5">
        <f t="shared" si="20"/>
        <v>790</v>
      </c>
      <c r="AD19" s="83">
        <f t="shared" si="35"/>
        <v>0</v>
      </c>
      <c r="AE19" s="5">
        <f t="shared" si="21"/>
        <v>242.23</v>
      </c>
      <c r="AF19" s="83">
        <f t="shared" si="22"/>
        <v>0</v>
      </c>
      <c r="AG19" s="5">
        <f t="shared" si="23"/>
        <v>2229.7600000000002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6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44695</v>
      </c>
      <c r="AS19" s="407">
        <f t="shared" si="29"/>
        <v>0.9</v>
      </c>
      <c r="AT19" s="201">
        <f t="shared" si="29"/>
        <v>153</v>
      </c>
      <c r="AU19" s="408">
        <f t="shared" si="43"/>
        <v>1.1000000000000001</v>
      </c>
      <c r="AV19" s="201">
        <f t="shared" si="30"/>
        <v>98</v>
      </c>
      <c r="AW19" s="5">
        <v>2.9</v>
      </c>
      <c r="AX19" s="201">
        <f t="shared" si="31"/>
        <v>108</v>
      </c>
      <c r="AY19" s="409">
        <f>AS19*AT19</f>
        <v>137.70000000000002</v>
      </c>
      <c r="AZ19" s="409">
        <f>AU19*AV19</f>
        <v>107.80000000000001</v>
      </c>
      <c r="BA19" s="409">
        <f>AW19*AX19</f>
        <v>313.2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44696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v>628571</v>
      </c>
      <c r="H20" s="5">
        <f t="shared" si="9"/>
        <v>89</v>
      </c>
      <c r="I20" s="5">
        <f t="shared" si="10"/>
        <v>89</v>
      </c>
      <c r="J20" s="319">
        <f t="shared" si="0"/>
        <v>2.7183762232693005</v>
      </c>
      <c r="K20" s="5">
        <f>'Swimming Pool quality check '!H20</f>
        <v>7089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5182</v>
      </c>
      <c r="U20" s="5">
        <f t="shared" si="3"/>
        <v>0</v>
      </c>
      <c r="V20" s="5">
        <f t="shared" si="14"/>
        <v>493</v>
      </c>
      <c r="W20" s="309">
        <f t="shared" si="15"/>
        <v>0</v>
      </c>
      <c r="X20" s="5">
        <f t="shared" si="16"/>
        <v>155365</v>
      </c>
      <c r="Y20" s="309">
        <f t="shared" si="42"/>
        <v>0</v>
      </c>
      <c r="Z20" s="5">
        <f t="shared" si="17"/>
        <v>99383</v>
      </c>
      <c r="AA20" s="83">
        <f t="shared" si="18"/>
        <v>0</v>
      </c>
      <c r="AB20" s="5">
        <f t="shared" si="19"/>
        <v>249</v>
      </c>
      <c r="AC20" s="5">
        <f t="shared" si="20"/>
        <v>790</v>
      </c>
      <c r="AD20" s="83">
        <f t="shared" si="35"/>
        <v>0</v>
      </c>
      <c r="AE20" s="5">
        <v>242.64</v>
      </c>
      <c r="AF20" s="83">
        <f t="shared" si="22"/>
        <v>0.40999999999999659</v>
      </c>
      <c r="AG20" s="5">
        <v>2231.1799999999998</v>
      </c>
      <c r="AH20" s="83">
        <f t="shared" si="24"/>
        <v>1.419999999999618</v>
      </c>
      <c r="AI20" s="83">
        <f t="shared" si="25"/>
        <v>1.8299999999996146</v>
      </c>
      <c r="AJ20" s="311">
        <f t="shared" si="26"/>
        <v>0</v>
      </c>
      <c r="AK20" s="312">
        <f t="shared" si="36"/>
        <v>0</v>
      </c>
      <c r="AL20" s="312">
        <f t="shared" si="27"/>
        <v>0</v>
      </c>
      <c r="AM20" s="312">
        <f>'General information '!D19</f>
        <v>20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44696</v>
      </c>
      <c r="AS20" s="407">
        <f t="shared" si="29"/>
        <v>0.9</v>
      </c>
      <c r="AT20" s="201">
        <v>207</v>
      </c>
      <c r="AU20" s="408">
        <f t="shared" si="43"/>
        <v>1.1000000000000001</v>
      </c>
      <c r="AV20" s="201">
        <v>93</v>
      </c>
      <c r="AW20" s="5">
        <v>2.9</v>
      </c>
      <c r="AX20" s="201">
        <v>95</v>
      </c>
      <c r="AY20" s="409">
        <f>AS20*AT20</f>
        <v>186.3</v>
      </c>
      <c r="AZ20" s="409">
        <f>AU20*AV20</f>
        <v>102.30000000000001</v>
      </c>
      <c r="BA20" s="409">
        <f>AW20*AX20</f>
        <v>275.5</v>
      </c>
      <c r="BB20" s="21">
        <f t="shared" si="47"/>
        <v>48.599999999999994</v>
      </c>
      <c r="BC20" s="21">
        <f t="shared" si="47"/>
        <v>-5.5</v>
      </c>
      <c r="BD20" s="21">
        <f t="shared" si="47"/>
        <v>-37.699999999999989</v>
      </c>
      <c r="BE20" s="24">
        <f>SUM(BB20:BD20)</f>
        <v>5.4000000000000057</v>
      </c>
      <c r="BF20" s="96">
        <f t="shared" si="34"/>
        <v>83.6</v>
      </c>
      <c r="BG20" s="82">
        <f t="shared" si="4"/>
        <v>5.4000000000000057</v>
      </c>
    </row>
    <row r="21" spans="1:61" ht="15.75" thickBot="1">
      <c r="A21" s="6">
        <f>ELEC!C19</f>
        <v>44697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v>628571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7089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v>5186</v>
      </c>
      <c r="U21" s="5">
        <f t="shared" si="3"/>
        <v>4</v>
      </c>
      <c r="V21" s="5">
        <f t="shared" si="14"/>
        <v>493</v>
      </c>
      <c r="W21" s="309">
        <f t="shared" si="15"/>
        <v>0</v>
      </c>
      <c r="X21" s="5">
        <f t="shared" si="16"/>
        <v>155365</v>
      </c>
      <c r="Y21" s="309">
        <f>SUM(X21-X20)</f>
        <v>0</v>
      </c>
      <c r="Z21" s="5">
        <f t="shared" si="17"/>
        <v>99383</v>
      </c>
      <c r="AA21" s="83">
        <f t="shared" si="18"/>
        <v>0</v>
      </c>
      <c r="AB21" s="5">
        <f t="shared" si="19"/>
        <v>249</v>
      </c>
      <c r="AC21" s="5">
        <f t="shared" si="20"/>
        <v>790</v>
      </c>
      <c r="AD21" s="83">
        <f t="shared" si="35"/>
        <v>0</v>
      </c>
      <c r="AE21" s="5">
        <f t="shared" si="21"/>
        <v>242.64</v>
      </c>
      <c r="AF21" s="83">
        <f t="shared" si="22"/>
        <v>0</v>
      </c>
      <c r="AG21" s="5">
        <f t="shared" si="23"/>
        <v>2231.1799999999998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20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44697</v>
      </c>
      <c r="AS21" s="407">
        <f t="shared" si="29"/>
        <v>0.9</v>
      </c>
      <c r="AT21" s="201">
        <f t="shared" si="29"/>
        <v>207</v>
      </c>
      <c r="AU21" s="408">
        <f t="shared" si="43"/>
        <v>1.1000000000000001</v>
      </c>
      <c r="AV21" s="201">
        <v>92</v>
      </c>
      <c r="AW21" s="5">
        <v>2.9</v>
      </c>
      <c r="AX21" s="201">
        <v>104</v>
      </c>
      <c r="AY21" s="409">
        <f>AS21*AT21</f>
        <v>186.3</v>
      </c>
      <c r="AZ21" s="409">
        <f>AU21*AV21</f>
        <v>101.2</v>
      </c>
      <c r="BA21" s="409">
        <f>AW21*AX21</f>
        <v>301.59999999999997</v>
      </c>
      <c r="BB21" s="21">
        <f t="shared" ref="BB21:BD33" si="48">AY21-AY20</f>
        <v>0</v>
      </c>
      <c r="BC21" s="21">
        <f t="shared" si="32"/>
        <v>-1.1000000000000085</v>
      </c>
      <c r="BD21" s="21">
        <f t="shared" si="32"/>
        <v>26.099999999999966</v>
      </c>
      <c r="BE21" s="24">
        <f t="shared" si="33"/>
        <v>24.999999999999957</v>
      </c>
      <c r="BF21" s="96">
        <f t="shared" si="34"/>
        <v>-24.999999999999957</v>
      </c>
      <c r="BG21" s="82">
        <f t="shared" si="4"/>
        <v>24.999999999999957</v>
      </c>
    </row>
    <row r="22" spans="1:61" ht="15.75" thickBot="1">
      <c r="A22" s="6">
        <f>ELEC!C20</f>
        <v>44698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628571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7089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5186</v>
      </c>
      <c r="U22" s="5">
        <f t="shared" si="3"/>
        <v>0</v>
      </c>
      <c r="V22" s="5">
        <f t="shared" si="14"/>
        <v>493</v>
      </c>
      <c r="W22" s="309">
        <f t="shared" si="15"/>
        <v>0</v>
      </c>
      <c r="X22" s="5">
        <f t="shared" si="16"/>
        <v>155365</v>
      </c>
      <c r="Y22" s="309">
        <f t="shared" si="42"/>
        <v>0</v>
      </c>
      <c r="Z22" s="5">
        <f t="shared" si="17"/>
        <v>99383</v>
      </c>
      <c r="AA22" s="83">
        <f t="shared" si="18"/>
        <v>0</v>
      </c>
      <c r="AB22" s="5">
        <f t="shared" si="19"/>
        <v>249</v>
      </c>
      <c r="AC22" s="5">
        <f t="shared" si="20"/>
        <v>790</v>
      </c>
      <c r="AD22" s="83">
        <f t="shared" si="35"/>
        <v>0</v>
      </c>
      <c r="AE22" s="5">
        <f t="shared" si="21"/>
        <v>242.64</v>
      </c>
      <c r="AF22" s="83">
        <f t="shared" si="22"/>
        <v>0</v>
      </c>
      <c r="AG22" s="5">
        <f t="shared" si="23"/>
        <v>2231.1799999999998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6"/>
        <v>0</v>
      </c>
      <c r="AL22" s="312">
        <f t="shared" si="27"/>
        <v>0</v>
      </c>
      <c r="AM22" s="312">
        <f>'General information '!D21</f>
        <v>20.5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44698</v>
      </c>
      <c r="AS22" s="407">
        <f t="shared" ref="AS22:AT33" si="49">AS21</f>
        <v>0.9</v>
      </c>
      <c r="AT22" s="201">
        <v>178</v>
      </c>
      <c r="AU22" s="408">
        <f t="shared" si="43"/>
        <v>1.1000000000000001</v>
      </c>
      <c r="AV22" s="201">
        <v>85</v>
      </c>
      <c r="AW22" s="5">
        <v>2.9</v>
      </c>
      <c r="AX22" s="201">
        <v>103</v>
      </c>
      <c r="AY22" s="409">
        <f t="shared" si="37"/>
        <v>160.20000000000002</v>
      </c>
      <c r="AZ22" s="409">
        <f t="shared" si="38"/>
        <v>93.500000000000014</v>
      </c>
      <c r="BA22" s="409">
        <f t="shared" si="39"/>
        <v>298.7</v>
      </c>
      <c r="BB22" s="21">
        <f>AY22-AY21</f>
        <v>-26.099999999999994</v>
      </c>
      <c r="BC22" s="21">
        <f t="shared" si="48"/>
        <v>-7.6999999999999886</v>
      </c>
      <c r="BD22" s="21">
        <f t="shared" si="48"/>
        <v>-2.8999999999999773</v>
      </c>
      <c r="BE22" s="24">
        <f t="shared" si="33"/>
        <v>-36.69999999999996</v>
      </c>
      <c r="BF22" s="96">
        <f t="shared" si="34"/>
        <v>36.69999999999996</v>
      </c>
      <c r="BG22" s="82">
        <f t="shared" si="4"/>
        <v>-36.69999999999996</v>
      </c>
    </row>
    <row r="23" spans="1:61" ht="15.75" thickBot="1">
      <c r="A23" s="6">
        <f>ELEC!C21</f>
        <v>44699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628571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7089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5186</v>
      </c>
      <c r="U23" s="5">
        <f t="shared" si="3"/>
        <v>0</v>
      </c>
      <c r="V23" s="5">
        <f t="shared" si="14"/>
        <v>493</v>
      </c>
      <c r="W23" s="309">
        <f t="shared" si="15"/>
        <v>0</v>
      </c>
      <c r="X23" s="5">
        <v>155524</v>
      </c>
      <c r="Y23" s="309">
        <f t="shared" si="42"/>
        <v>159</v>
      </c>
      <c r="Z23" s="5">
        <f t="shared" si="17"/>
        <v>99383</v>
      </c>
      <c r="AA23" s="83">
        <f t="shared" si="18"/>
        <v>0</v>
      </c>
      <c r="AB23" s="5">
        <f t="shared" si="19"/>
        <v>249</v>
      </c>
      <c r="AC23" s="5">
        <f t="shared" si="20"/>
        <v>790</v>
      </c>
      <c r="AD23" s="83">
        <f t="shared" si="35"/>
        <v>0</v>
      </c>
      <c r="AE23" s="5">
        <f t="shared" si="21"/>
        <v>242.64</v>
      </c>
      <c r="AF23" s="83">
        <f t="shared" si="22"/>
        <v>0</v>
      </c>
      <c r="AG23" s="5">
        <v>2241.54</v>
      </c>
      <c r="AH23" s="83">
        <f t="shared" si="24"/>
        <v>10.360000000000127</v>
      </c>
      <c r="AI23" s="83">
        <f t="shared" si="25"/>
        <v>10.360000000000127</v>
      </c>
      <c r="AJ23" s="311">
        <f t="shared" si="26"/>
        <v>0</v>
      </c>
      <c r="AK23" s="312">
        <f t="shared" si="36"/>
        <v>159</v>
      </c>
      <c r="AL23" s="312">
        <f t="shared" si="27"/>
        <v>0</v>
      </c>
      <c r="AM23" s="312">
        <f>'General information '!D22</f>
        <v>20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44699</v>
      </c>
      <c r="AS23" s="407">
        <f t="shared" si="49"/>
        <v>0.9</v>
      </c>
      <c r="AT23" s="201">
        <v>12</v>
      </c>
      <c r="AU23" s="408">
        <f t="shared" si="43"/>
        <v>1.1000000000000001</v>
      </c>
      <c r="AV23" s="201">
        <v>78</v>
      </c>
      <c r="AW23" s="5">
        <v>2.9</v>
      </c>
      <c r="AX23" s="201">
        <v>145</v>
      </c>
      <c r="AY23" s="409">
        <f t="shared" si="37"/>
        <v>10.8</v>
      </c>
      <c r="AZ23" s="409">
        <f t="shared" si="38"/>
        <v>85.800000000000011</v>
      </c>
      <c r="BA23" s="409">
        <f t="shared" si="39"/>
        <v>420.5</v>
      </c>
      <c r="BB23" s="21">
        <f t="shared" si="48"/>
        <v>-149.4</v>
      </c>
      <c r="BC23" s="21">
        <f t="shared" si="48"/>
        <v>-7.7000000000000028</v>
      </c>
      <c r="BD23" s="21">
        <f t="shared" si="48"/>
        <v>121.80000000000001</v>
      </c>
      <c r="BE23" s="24">
        <f t="shared" si="33"/>
        <v>-35.300000000000011</v>
      </c>
      <c r="BF23" s="96">
        <f t="shared" si="34"/>
        <v>35.300000000000011</v>
      </c>
      <c r="BG23" s="82">
        <f t="shared" si="4"/>
        <v>-35.300000000000011</v>
      </c>
    </row>
    <row r="24" spans="1:61" ht="15.75" thickBot="1">
      <c r="A24" s="6">
        <f>ELEC!C22</f>
        <v>44700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628571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7089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5186</v>
      </c>
      <c r="U24" s="5">
        <f t="shared" si="3"/>
        <v>0</v>
      </c>
      <c r="V24" s="5">
        <f t="shared" si="14"/>
        <v>493</v>
      </c>
      <c r="W24" s="309">
        <f t="shared" si="15"/>
        <v>0</v>
      </c>
      <c r="X24" s="5">
        <f t="shared" si="16"/>
        <v>155524</v>
      </c>
      <c r="Y24" s="309">
        <f t="shared" si="42"/>
        <v>0</v>
      </c>
      <c r="Z24" s="5">
        <f t="shared" si="17"/>
        <v>99383</v>
      </c>
      <c r="AA24" s="83">
        <f t="shared" si="18"/>
        <v>0</v>
      </c>
      <c r="AB24" s="5">
        <f t="shared" si="19"/>
        <v>249</v>
      </c>
      <c r="AC24" s="5">
        <f t="shared" si="20"/>
        <v>790</v>
      </c>
      <c r="AD24" s="83">
        <f t="shared" si="35"/>
        <v>0</v>
      </c>
      <c r="AE24" s="5">
        <f t="shared" si="21"/>
        <v>242.64</v>
      </c>
      <c r="AF24" s="83">
        <f t="shared" si="22"/>
        <v>0</v>
      </c>
      <c r="AG24" s="5">
        <f t="shared" si="23"/>
        <v>2241.54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6"/>
        <v>0</v>
      </c>
      <c r="AL24" s="312">
        <f t="shared" si="27"/>
        <v>0</v>
      </c>
      <c r="AM24" s="312">
        <f>'General information '!D23</f>
        <v>21.5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44700</v>
      </c>
      <c r="AS24" s="407">
        <f t="shared" si="49"/>
        <v>0.9</v>
      </c>
      <c r="AT24" s="201">
        <v>140</v>
      </c>
      <c r="AU24" s="408">
        <f t="shared" si="43"/>
        <v>1.1000000000000001</v>
      </c>
      <c r="AV24" s="201">
        <v>76</v>
      </c>
      <c r="AW24" s="5">
        <v>2.9</v>
      </c>
      <c r="AX24" s="201">
        <v>142</v>
      </c>
      <c r="AY24" s="409">
        <f t="shared" si="37"/>
        <v>126</v>
      </c>
      <c r="AZ24" s="409">
        <f t="shared" si="38"/>
        <v>83.600000000000009</v>
      </c>
      <c r="BA24" s="409">
        <f t="shared" si="39"/>
        <v>411.8</v>
      </c>
      <c r="BB24" s="21">
        <f t="shared" si="48"/>
        <v>115.2</v>
      </c>
      <c r="BC24" s="21">
        <f t="shared" si="48"/>
        <v>-2.2000000000000028</v>
      </c>
      <c r="BD24" s="21">
        <f t="shared" si="48"/>
        <v>-8.6999999999999886</v>
      </c>
      <c r="BE24" s="24">
        <f t="shared" si="33"/>
        <v>104.30000000000001</v>
      </c>
      <c r="BF24" s="96">
        <f t="shared" si="34"/>
        <v>-104.30000000000001</v>
      </c>
      <c r="BG24" s="82">
        <f t="shared" si="4"/>
        <v>104.30000000000001</v>
      </c>
      <c r="BI24" s="82"/>
    </row>
    <row r="25" spans="1:61" ht="15.75" thickBot="1">
      <c r="A25" s="6">
        <f>ELEC!C23</f>
        <v>44701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628571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7089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5186</v>
      </c>
      <c r="U25" s="5">
        <f t="shared" si="3"/>
        <v>0</v>
      </c>
      <c r="V25" s="5">
        <f t="shared" si="14"/>
        <v>493</v>
      </c>
      <c r="W25" s="309">
        <f t="shared" si="15"/>
        <v>0</v>
      </c>
      <c r="X25" s="5">
        <f t="shared" si="16"/>
        <v>155524</v>
      </c>
      <c r="Y25" s="309">
        <f t="shared" si="42"/>
        <v>0</v>
      </c>
      <c r="Z25" s="5">
        <f t="shared" si="17"/>
        <v>99383</v>
      </c>
      <c r="AA25" s="83">
        <f t="shared" si="18"/>
        <v>0</v>
      </c>
      <c r="AB25" s="5">
        <f t="shared" si="19"/>
        <v>249</v>
      </c>
      <c r="AC25" s="5">
        <f t="shared" si="20"/>
        <v>790</v>
      </c>
      <c r="AD25" s="83">
        <f t="shared" si="35"/>
        <v>0</v>
      </c>
      <c r="AE25" s="5">
        <f t="shared" si="21"/>
        <v>242.64</v>
      </c>
      <c r="AF25" s="83">
        <f t="shared" si="22"/>
        <v>0</v>
      </c>
      <c r="AG25" s="5">
        <f t="shared" si="23"/>
        <v>2241.54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6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44701</v>
      </c>
      <c r="AS25" s="407">
        <f t="shared" si="49"/>
        <v>0.9</v>
      </c>
      <c r="AT25" s="201">
        <f t="shared" si="49"/>
        <v>140</v>
      </c>
      <c r="AU25" s="408">
        <f t="shared" si="43"/>
        <v>1.1000000000000001</v>
      </c>
      <c r="AV25" s="201">
        <f t="shared" si="30"/>
        <v>76</v>
      </c>
      <c r="AW25" s="5">
        <v>2.9</v>
      </c>
      <c r="AX25" s="201">
        <f t="shared" si="31"/>
        <v>142</v>
      </c>
      <c r="AY25" s="409">
        <f t="shared" si="37"/>
        <v>126</v>
      </c>
      <c r="AZ25" s="409">
        <f t="shared" si="38"/>
        <v>83.600000000000009</v>
      </c>
      <c r="BA25" s="409">
        <f t="shared" si="39"/>
        <v>411.8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3"/>
        <v>0</v>
      </c>
      <c r="BF25" s="96">
        <f t="shared" si="34"/>
        <v>0</v>
      </c>
      <c r="BG25" s="82">
        <f t="shared" si="4"/>
        <v>0</v>
      </c>
    </row>
    <row r="26" spans="1:61" ht="15.75" thickBot="1">
      <c r="A26" s="6">
        <f>ELEC!C24</f>
        <v>44702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628571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7089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5186</v>
      </c>
      <c r="U26" s="5">
        <f t="shared" si="3"/>
        <v>0</v>
      </c>
      <c r="V26" s="5">
        <f t="shared" si="14"/>
        <v>493</v>
      </c>
      <c r="W26" s="309">
        <f t="shared" si="15"/>
        <v>0</v>
      </c>
      <c r="X26" s="5">
        <f t="shared" si="16"/>
        <v>155524</v>
      </c>
      <c r="Y26" s="309">
        <f t="shared" si="42"/>
        <v>0</v>
      </c>
      <c r="Z26" s="5">
        <f t="shared" si="17"/>
        <v>99383</v>
      </c>
      <c r="AA26" s="83">
        <f t="shared" si="18"/>
        <v>0</v>
      </c>
      <c r="AB26" s="5">
        <f t="shared" si="19"/>
        <v>249</v>
      </c>
      <c r="AC26" s="5">
        <f t="shared" si="20"/>
        <v>790</v>
      </c>
      <c r="AD26" s="83">
        <f t="shared" si="35"/>
        <v>0</v>
      </c>
      <c r="AE26" s="5">
        <f t="shared" si="21"/>
        <v>242.64</v>
      </c>
      <c r="AF26" s="83">
        <f t="shared" si="22"/>
        <v>0</v>
      </c>
      <c r="AG26" s="5">
        <f t="shared" si="23"/>
        <v>2241.54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44702</v>
      </c>
      <c r="AS26" s="407">
        <f t="shared" si="49"/>
        <v>0.9</v>
      </c>
      <c r="AT26" s="201">
        <f t="shared" si="49"/>
        <v>140</v>
      </c>
      <c r="AU26" s="408">
        <f t="shared" si="43"/>
        <v>1.1000000000000001</v>
      </c>
      <c r="AV26" s="201">
        <f t="shared" si="30"/>
        <v>76</v>
      </c>
      <c r="AW26" s="5">
        <v>2.9</v>
      </c>
      <c r="AX26" s="201">
        <f t="shared" si="31"/>
        <v>142</v>
      </c>
      <c r="AY26" s="409">
        <f t="shared" si="37"/>
        <v>126</v>
      </c>
      <c r="AZ26" s="409">
        <f t="shared" si="38"/>
        <v>83.600000000000009</v>
      </c>
      <c r="BA26" s="409">
        <f t="shared" si="39"/>
        <v>411.8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44703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v>628815</v>
      </c>
      <c r="H27" s="5">
        <f t="shared" si="9"/>
        <v>244</v>
      </c>
      <c r="I27" s="5">
        <f t="shared" si="10"/>
        <v>244</v>
      </c>
      <c r="J27" s="319">
        <f t="shared" si="0"/>
        <v>0.99153886832363824</v>
      </c>
      <c r="K27" s="5">
        <f>'Swimming Pool quality check '!H27</f>
        <v>7089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13"/>
        <v>5186</v>
      </c>
      <c r="U27" s="5">
        <f t="shared" si="3"/>
        <v>0</v>
      </c>
      <c r="V27" s="5">
        <f t="shared" si="14"/>
        <v>493</v>
      </c>
      <c r="W27" s="309">
        <f t="shared" si="15"/>
        <v>0</v>
      </c>
      <c r="X27" s="5">
        <f t="shared" si="16"/>
        <v>155524</v>
      </c>
      <c r="Y27" s="309">
        <f t="shared" si="42"/>
        <v>0</v>
      </c>
      <c r="Z27" s="5">
        <f t="shared" si="17"/>
        <v>99383</v>
      </c>
      <c r="AA27" s="83">
        <f t="shared" si="18"/>
        <v>0</v>
      </c>
      <c r="AB27" s="5">
        <f t="shared" si="19"/>
        <v>249</v>
      </c>
      <c r="AC27" s="5">
        <f t="shared" si="20"/>
        <v>790</v>
      </c>
      <c r="AD27" s="83">
        <f t="shared" si="35"/>
        <v>0</v>
      </c>
      <c r="AE27" s="5">
        <f t="shared" si="21"/>
        <v>242.64</v>
      </c>
      <c r="AF27" s="83">
        <f t="shared" si="22"/>
        <v>0</v>
      </c>
      <c r="AG27" s="5">
        <f t="shared" si="23"/>
        <v>2241.54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6"/>
        <v>0</v>
      </c>
      <c r="AL27" s="312">
        <f t="shared" si="27"/>
        <v>0</v>
      </c>
      <c r="AM27" s="312">
        <f>'General information '!D26</f>
        <v>22.5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44703</v>
      </c>
      <c r="AS27" s="407">
        <f t="shared" si="49"/>
        <v>0.9</v>
      </c>
      <c r="AT27" s="201">
        <v>185</v>
      </c>
      <c r="AU27" s="408">
        <f t="shared" si="43"/>
        <v>1.1000000000000001</v>
      </c>
      <c r="AV27" s="201">
        <v>80</v>
      </c>
      <c r="AW27" s="5">
        <v>2.9</v>
      </c>
      <c r="AX27" s="201">
        <f t="shared" si="31"/>
        <v>142</v>
      </c>
      <c r="AY27" s="409">
        <f t="shared" si="37"/>
        <v>166.5</v>
      </c>
      <c r="AZ27" s="409">
        <f t="shared" si="38"/>
        <v>88</v>
      </c>
      <c r="BA27" s="409">
        <f t="shared" si="39"/>
        <v>411.8</v>
      </c>
      <c r="BB27" s="21">
        <f t="shared" si="48"/>
        <v>40.5</v>
      </c>
      <c r="BC27" s="21">
        <f t="shared" si="48"/>
        <v>4.3999999999999915</v>
      </c>
      <c r="BD27" s="21">
        <f t="shared" si="48"/>
        <v>0</v>
      </c>
      <c r="BE27" s="24">
        <f t="shared" si="33"/>
        <v>44.899999999999991</v>
      </c>
      <c r="BF27" s="96">
        <f t="shared" si="34"/>
        <v>199.10000000000002</v>
      </c>
      <c r="BG27" s="82">
        <f t="shared" si="4"/>
        <v>44.899999999999977</v>
      </c>
    </row>
    <row r="28" spans="1:61" ht="15.75" thickBot="1">
      <c r="A28" s="6">
        <f>ELEC!C26</f>
        <v>44704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628815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7089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5186</v>
      </c>
      <c r="U28" s="5">
        <f t="shared" si="3"/>
        <v>0</v>
      </c>
      <c r="V28" s="5">
        <f t="shared" si="14"/>
        <v>493</v>
      </c>
      <c r="W28" s="309">
        <f t="shared" si="15"/>
        <v>0</v>
      </c>
      <c r="X28" s="5">
        <f t="shared" si="16"/>
        <v>155524</v>
      </c>
      <c r="Y28" s="309">
        <f t="shared" si="42"/>
        <v>0</v>
      </c>
      <c r="Z28" s="5">
        <f t="shared" si="17"/>
        <v>99383</v>
      </c>
      <c r="AA28" s="83">
        <f t="shared" si="18"/>
        <v>0</v>
      </c>
      <c r="AB28" s="5">
        <f t="shared" si="19"/>
        <v>249</v>
      </c>
      <c r="AC28" s="5">
        <f t="shared" si="20"/>
        <v>790</v>
      </c>
      <c r="AD28" s="83">
        <f t="shared" si="35"/>
        <v>0</v>
      </c>
      <c r="AE28" s="5">
        <f t="shared" si="21"/>
        <v>242.64</v>
      </c>
      <c r="AF28" s="83">
        <f t="shared" si="22"/>
        <v>0</v>
      </c>
      <c r="AG28" s="5">
        <f t="shared" si="23"/>
        <v>2241.54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6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44704</v>
      </c>
      <c r="AS28" s="407">
        <f t="shared" si="49"/>
        <v>0.9</v>
      </c>
      <c r="AT28" s="201">
        <f t="shared" si="49"/>
        <v>185</v>
      </c>
      <c r="AU28" s="408">
        <f t="shared" si="43"/>
        <v>1.1000000000000001</v>
      </c>
      <c r="AV28" s="201">
        <f t="shared" si="30"/>
        <v>80</v>
      </c>
      <c r="AW28" s="5">
        <v>2.9</v>
      </c>
      <c r="AX28" s="201">
        <f t="shared" si="31"/>
        <v>142</v>
      </c>
      <c r="AY28" s="409">
        <f t="shared" si="37"/>
        <v>166.5</v>
      </c>
      <c r="AZ28" s="409">
        <f t="shared" si="38"/>
        <v>88</v>
      </c>
      <c r="BA28" s="409">
        <f t="shared" si="39"/>
        <v>411.8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3"/>
        <v>0</v>
      </c>
      <c r="BF28" s="96">
        <f t="shared" si="34"/>
        <v>0</v>
      </c>
      <c r="BG28" s="82">
        <f t="shared" si="4"/>
        <v>0</v>
      </c>
    </row>
    <row r="29" spans="1:61" ht="15.75" thickBot="1">
      <c r="A29" s="6">
        <f>ELEC!C27</f>
        <v>44705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628815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7089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5186</v>
      </c>
      <c r="U29" s="5">
        <f t="shared" si="3"/>
        <v>0</v>
      </c>
      <c r="V29" s="5">
        <f t="shared" si="14"/>
        <v>493</v>
      </c>
      <c r="W29" s="309">
        <f t="shared" si="15"/>
        <v>0</v>
      </c>
      <c r="X29" s="5">
        <f t="shared" si="16"/>
        <v>155524</v>
      </c>
      <c r="Y29" s="309">
        <f t="shared" si="42"/>
        <v>0</v>
      </c>
      <c r="Z29" s="5">
        <f t="shared" si="17"/>
        <v>99383</v>
      </c>
      <c r="AA29" s="83">
        <f t="shared" si="18"/>
        <v>0</v>
      </c>
      <c r="AB29" s="5">
        <f t="shared" si="19"/>
        <v>249</v>
      </c>
      <c r="AC29" s="5">
        <f t="shared" si="20"/>
        <v>790</v>
      </c>
      <c r="AD29" s="83">
        <f t="shared" si="35"/>
        <v>0</v>
      </c>
      <c r="AE29" s="5">
        <f t="shared" si="21"/>
        <v>242.64</v>
      </c>
      <c r="AF29" s="83">
        <f t="shared" si="22"/>
        <v>0</v>
      </c>
      <c r="AG29" s="5">
        <f t="shared" si="23"/>
        <v>2241.54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6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44705</v>
      </c>
      <c r="AS29" s="407">
        <f t="shared" si="49"/>
        <v>0.9</v>
      </c>
      <c r="AT29" s="201">
        <f t="shared" si="49"/>
        <v>185</v>
      </c>
      <c r="AU29" s="408">
        <f t="shared" si="43"/>
        <v>1.1000000000000001</v>
      </c>
      <c r="AV29" s="201">
        <f t="shared" si="30"/>
        <v>80</v>
      </c>
      <c r="AW29" s="5">
        <v>2.9</v>
      </c>
      <c r="AX29" s="201">
        <f t="shared" si="31"/>
        <v>142</v>
      </c>
      <c r="AY29" s="409">
        <f t="shared" si="37"/>
        <v>166.5</v>
      </c>
      <c r="AZ29" s="409">
        <f t="shared" si="38"/>
        <v>88</v>
      </c>
      <c r="BA29" s="409">
        <f t="shared" si="39"/>
        <v>411.8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3"/>
        <v>0</v>
      </c>
      <c r="BF29" s="96">
        <f t="shared" si="34"/>
        <v>0</v>
      </c>
      <c r="BG29" s="82">
        <f t="shared" si="4"/>
        <v>0</v>
      </c>
    </row>
    <row r="30" spans="1:61" ht="15.75" thickBot="1">
      <c r="A30" s="6">
        <f>ELEC!C28</f>
        <v>44706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628815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7089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5186</v>
      </c>
      <c r="U30" s="5">
        <f t="shared" si="3"/>
        <v>0</v>
      </c>
      <c r="V30" s="5">
        <f t="shared" si="14"/>
        <v>493</v>
      </c>
      <c r="W30" s="309">
        <f t="shared" si="15"/>
        <v>0</v>
      </c>
      <c r="X30" s="5">
        <f t="shared" si="16"/>
        <v>155524</v>
      </c>
      <c r="Y30" s="309">
        <f t="shared" si="42"/>
        <v>0</v>
      </c>
      <c r="Z30" s="5">
        <f t="shared" si="17"/>
        <v>99383</v>
      </c>
      <c r="AA30" s="83">
        <f t="shared" si="18"/>
        <v>0</v>
      </c>
      <c r="AB30" s="5">
        <f t="shared" si="19"/>
        <v>249</v>
      </c>
      <c r="AC30" s="5">
        <f t="shared" si="20"/>
        <v>790</v>
      </c>
      <c r="AD30" s="83">
        <f t="shared" si="35"/>
        <v>0</v>
      </c>
      <c r="AE30" s="5">
        <f t="shared" si="21"/>
        <v>242.64</v>
      </c>
      <c r="AF30" s="83">
        <f t="shared" si="22"/>
        <v>0</v>
      </c>
      <c r="AG30" s="5">
        <f t="shared" si="23"/>
        <v>2241.54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6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44706</v>
      </c>
      <c r="AS30" s="407">
        <f t="shared" si="49"/>
        <v>0.9</v>
      </c>
      <c r="AT30" s="201">
        <f t="shared" si="49"/>
        <v>185</v>
      </c>
      <c r="AU30" s="408">
        <f t="shared" si="43"/>
        <v>1.1000000000000001</v>
      </c>
      <c r="AV30" s="201">
        <f t="shared" si="30"/>
        <v>80</v>
      </c>
      <c r="AW30" s="5">
        <v>2.9</v>
      </c>
      <c r="AX30" s="201">
        <f t="shared" si="31"/>
        <v>142</v>
      </c>
      <c r="AY30" s="409">
        <f t="shared" si="37"/>
        <v>166.5</v>
      </c>
      <c r="AZ30" s="409">
        <f t="shared" si="38"/>
        <v>88</v>
      </c>
      <c r="BA30" s="409">
        <f t="shared" si="39"/>
        <v>411.8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3"/>
        <v>0</v>
      </c>
      <c r="BF30" s="96">
        <f t="shared" si="34"/>
        <v>0</v>
      </c>
      <c r="BG30" s="82">
        <f t="shared" si="4"/>
        <v>0</v>
      </c>
    </row>
    <row r="31" spans="1:61" ht="15.75" thickBot="1">
      <c r="A31" s="6">
        <f>ELEC!C29</f>
        <v>44707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628815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7089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5186</v>
      </c>
      <c r="U31" s="5">
        <f t="shared" si="3"/>
        <v>0</v>
      </c>
      <c r="V31" s="5">
        <f t="shared" si="14"/>
        <v>493</v>
      </c>
      <c r="W31" s="309">
        <f t="shared" si="15"/>
        <v>0</v>
      </c>
      <c r="X31" s="5">
        <f t="shared" si="16"/>
        <v>155524</v>
      </c>
      <c r="Y31" s="309">
        <f t="shared" si="42"/>
        <v>0</v>
      </c>
      <c r="Z31" s="5">
        <f t="shared" si="17"/>
        <v>99383</v>
      </c>
      <c r="AA31" s="83">
        <f t="shared" si="18"/>
        <v>0</v>
      </c>
      <c r="AB31" s="5">
        <f t="shared" si="19"/>
        <v>249</v>
      </c>
      <c r="AC31" s="5">
        <f t="shared" si="20"/>
        <v>790</v>
      </c>
      <c r="AD31" s="83">
        <f t="shared" si="35"/>
        <v>0</v>
      </c>
      <c r="AE31" s="5">
        <f t="shared" si="21"/>
        <v>242.64</v>
      </c>
      <c r="AF31" s="83">
        <f t="shared" si="22"/>
        <v>0</v>
      </c>
      <c r="AG31" s="5">
        <f t="shared" si="23"/>
        <v>2241.54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6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44707</v>
      </c>
      <c r="AS31" s="407">
        <f t="shared" si="49"/>
        <v>0.9</v>
      </c>
      <c r="AT31" s="201">
        <f t="shared" si="49"/>
        <v>185</v>
      </c>
      <c r="AU31" s="408">
        <f t="shared" si="43"/>
        <v>1.1000000000000001</v>
      </c>
      <c r="AV31" s="201">
        <f t="shared" si="30"/>
        <v>80</v>
      </c>
      <c r="AW31" s="5">
        <v>2.9</v>
      </c>
      <c r="AX31" s="201">
        <f t="shared" si="31"/>
        <v>142</v>
      </c>
      <c r="AY31" s="409">
        <f t="shared" si="37"/>
        <v>166.5</v>
      </c>
      <c r="AZ31" s="409">
        <f>AU31*AV31</f>
        <v>88</v>
      </c>
      <c r="BA31" s="409">
        <f t="shared" si="39"/>
        <v>411.8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3"/>
        <v>0</v>
      </c>
      <c r="BF31" s="96">
        <f t="shared" si="34"/>
        <v>0</v>
      </c>
      <c r="BG31" s="82">
        <f t="shared" si="4"/>
        <v>0</v>
      </c>
    </row>
    <row r="32" spans="1:61" ht="15.75" thickBot="1">
      <c r="A32" s="6">
        <f>ELEC!C30</f>
        <v>44708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628815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7089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5186</v>
      </c>
      <c r="U32" s="5">
        <f t="shared" si="3"/>
        <v>0</v>
      </c>
      <c r="V32" s="5">
        <f t="shared" si="14"/>
        <v>493</v>
      </c>
      <c r="W32" s="309">
        <f t="shared" si="15"/>
        <v>0</v>
      </c>
      <c r="X32" s="5">
        <f t="shared" si="16"/>
        <v>155524</v>
      </c>
      <c r="Y32" s="309">
        <f t="shared" si="42"/>
        <v>0</v>
      </c>
      <c r="Z32" s="5">
        <f t="shared" si="17"/>
        <v>99383</v>
      </c>
      <c r="AA32" s="83">
        <f t="shared" si="18"/>
        <v>0</v>
      </c>
      <c r="AB32" s="5">
        <f t="shared" si="19"/>
        <v>249</v>
      </c>
      <c r="AC32" s="5">
        <f t="shared" si="20"/>
        <v>790</v>
      </c>
      <c r="AD32" s="83">
        <f t="shared" si="35"/>
        <v>0</v>
      </c>
      <c r="AE32" s="5">
        <f t="shared" si="21"/>
        <v>242.64</v>
      </c>
      <c r="AF32" s="83">
        <f t="shared" si="22"/>
        <v>0</v>
      </c>
      <c r="AG32" s="5">
        <f t="shared" si="23"/>
        <v>2241.54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6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44708</v>
      </c>
      <c r="AS32" s="407">
        <f t="shared" si="49"/>
        <v>0.9</v>
      </c>
      <c r="AT32" s="201">
        <f t="shared" si="49"/>
        <v>185</v>
      </c>
      <c r="AU32" s="408">
        <f t="shared" si="43"/>
        <v>1.1000000000000001</v>
      </c>
      <c r="AV32" s="201">
        <f t="shared" si="30"/>
        <v>80</v>
      </c>
      <c r="AW32" s="5">
        <v>2.9</v>
      </c>
      <c r="AX32" s="201">
        <f t="shared" si="31"/>
        <v>142</v>
      </c>
      <c r="AY32" s="409">
        <f t="shared" si="37"/>
        <v>166.5</v>
      </c>
      <c r="AZ32" s="409">
        <f t="shared" si="38"/>
        <v>88</v>
      </c>
      <c r="BA32" s="409">
        <f t="shared" si="39"/>
        <v>411.8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44709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628815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7089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5186</v>
      </c>
      <c r="U33" s="5">
        <f t="shared" si="3"/>
        <v>0</v>
      </c>
      <c r="V33" s="5">
        <f t="shared" si="14"/>
        <v>493</v>
      </c>
      <c r="W33" s="309">
        <f t="shared" si="15"/>
        <v>0</v>
      </c>
      <c r="X33" s="5">
        <f t="shared" si="16"/>
        <v>155524</v>
      </c>
      <c r="Y33" s="309">
        <f t="shared" si="42"/>
        <v>0</v>
      </c>
      <c r="Z33" s="5">
        <f t="shared" si="17"/>
        <v>99383</v>
      </c>
      <c r="AA33" s="83">
        <f t="shared" si="18"/>
        <v>0</v>
      </c>
      <c r="AB33" s="5">
        <f t="shared" si="19"/>
        <v>249</v>
      </c>
      <c r="AC33" s="5">
        <f t="shared" si="20"/>
        <v>790</v>
      </c>
      <c r="AD33" s="83">
        <f t="shared" si="35"/>
        <v>0</v>
      </c>
      <c r="AE33" s="5">
        <f t="shared" si="21"/>
        <v>242.64</v>
      </c>
      <c r="AF33" s="83">
        <f>AE33-AE32</f>
        <v>0</v>
      </c>
      <c r="AG33" s="5">
        <f t="shared" si="23"/>
        <v>2241.54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6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44709</v>
      </c>
      <c r="AS33" s="407">
        <f t="shared" si="49"/>
        <v>0.9</v>
      </c>
      <c r="AT33" s="201">
        <f t="shared" si="49"/>
        <v>185</v>
      </c>
      <c r="AU33" s="408">
        <f t="shared" si="43"/>
        <v>1.1000000000000001</v>
      </c>
      <c r="AV33" s="201">
        <f t="shared" si="30"/>
        <v>80</v>
      </c>
      <c r="AW33" s="5">
        <v>2.9</v>
      </c>
      <c r="AX33" s="201">
        <f t="shared" si="31"/>
        <v>142</v>
      </c>
      <c r="AY33" s="409">
        <f t="shared" si="37"/>
        <v>166.5</v>
      </c>
      <c r="AZ33" s="409">
        <f t="shared" si="38"/>
        <v>88</v>
      </c>
      <c r="BA33" s="409">
        <f t="shared" si="39"/>
        <v>411.8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44710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628815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7089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5186</v>
      </c>
      <c r="U34" s="5">
        <f t="shared" ref="U34:U36" si="59">SUM(T34-T33)</f>
        <v>0</v>
      </c>
      <c r="V34" s="5">
        <f t="shared" si="14"/>
        <v>493</v>
      </c>
      <c r="W34" s="309">
        <f t="shared" ref="W34:W36" si="60">+V34-V33</f>
        <v>0</v>
      </c>
      <c r="X34" s="5">
        <f t="shared" si="16"/>
        <v>155524</v>
      </c>
      <c r="Y34" s="309">
        <f t="shared" ref="Y34:Y36" si="61">SUM(X34-X33)</f>
        <v>0</v>
      </c>
      <c r="Z34" s="5">
        <f t="shared" si="17"/>
        <v>99383</v>
      </c>
      <c r="AA34" s="83">
        <f t="shared" ref="AA34:AA36" si="62">Z34-Z33</f>
        <v>0</v>
      </c>
      <c r="AB34" s="5">
        <f t="shared" si="19"/>
        <v>249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242.64</v>
      </c>
      <c r="AF34" s="83">
        <f t="shared" ref="AF34:AF36" si="64">AE34-AE33</f>
        <v>0</v>
      </c>
      <c r="AG34" s="5">
        <f t="shared" si="23"/>
        <v>2241.54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44710</v>
      </c>
      <c r="AS34" s="407">
        <f t="shared" ref="AS34:AT34" si="70">AS33</f>
        <v>0.9</v>
      </c>
      <c r="AT34" s="201">
        <f t="shared" si="70"/>
        <v>185</v>
      </c>
      <c r="AU34" s="408">
        <f t="shared" si="43"/>
        <v>1.1000000000000001</v>
      </c>
      <c r="AV34" s="201">
        <f t="shared" si="30"/>
        <v>80</v>
      </c>
      <c r="AW34" s="5">
        <v>2.9</v>
      </c>
      <c r="AX34" s="201">
        <f t="shared" si="31"/>
        <v>142</v>
      </c>
      <c r="AY34" s="409">
        <f t="shared" ref="AY34:AY36" si="71">AS34*AT34</f>
        <v>166.5</v>
      </c>
      <c r="AZ34" s="409">
        <f t="shared" ref="AZ34:AZ36" si="72">AU34*AV34</f>
        <v>88</v>
      </c>
      <c r="BA34" s="409">
        <f t="shared" ref="BA34:BA36" si="73">AW34*AX34</f>
        <v>411.8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44711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628815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7089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5186</v>
      </c>
      <c r="U35" s="5">
        <f t="shared" si="59"/>
        <v>0</v>
      </c>
      <c r="V35" s="5">
        <f t="shared" si="14"/>
        <v>493</v>
      </c>
      <c r="W35" s="309">
        <f t="shared" si="60"/>
        <v>0</v>
      </c>
      <c r="X35" s="5">
        <f t="shared" si="16"/>
        <v>155524</v>
      </c>
      <c r="Y35" s="309">
        <f t="shared" si="61"/>
        <v>0</v>
      </c>
      <c r="Z35" s="5">
        <f t="shared" si="17"/>
        <v>99383</v>
      </c>
      <c r="AA35" s="83">
        <f t="shared" si="62"/>
        <v>0</v>
      </c>
      <c r="AB35" s="5">
        <f t="shared" si="19"/>
        <v>249</v>
      </c>
      <c r="AC35" s="5">
        <f t="shared" si="20"/>
        <v>790</v>
      </c>
      <c r="AD35" s="83">
        <f t="shared" si="63"/>
        <v>0</v>
      </c>
      <c r="AE35" s="5">
        <f t="shared" si="21"/>
        <v>242.64</v>
      </c>
      <c r="AF35" s="83">
        <f t="shared" si="64"/>
        <v>0</v>
      </c>
      <c r="AG35" s="5">
        <f t="shared" si="23"/>
        <v>2241.54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44711</v>
      </c>
      <c r="AS35" s="407">
        <f t="shared" ref="AS35:AT35" si="81">AS34</f>
        <v>0.9</v>
      </c>
      <c r="AT35" s="201">
        <f t="shared" si="81"/>
        <v>185</v>
      </c>
      <c r="AU35" s="408">
        <f t="shared" si="43"/>
        <v>1.1000000000000001</v>
      </c>
      <c r="AV35" s="201">
        <f t="shared" si="30"/>
        <v>80</v>
      </c>
      <c r="AW35" s="5">
        <v>2.9</v>
      </c>
      <c r="AX35" s="201">
        <f t="shared" si="31"/>
        <v>142</v>
      </c>
      <c r="AY35" s="409">
        <f t="shared" si="71"/>
        <v>166.5</v>
      </c>
      <c r="AZ35" s="409">
        <f t="shared" si="72"/>
        <v>88</v>
      </c>
      <c r="BA35" s="409">
        <f t="shared" si="73"/>
        <v>411.8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44712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628815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7089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5186</v>
      </c>
      <c r="U36" s="5">
        <f t="shared" si="59"/>
        <v>0</v>
      </c>
      <c r="V36" s="5">
        <f t="shared" si="14"/>
        <v>493</v>
      </c>
      <c r="W36" s="309">
        <f t="shared" si="60"/>
        <v>0</v>
      </c>
      <c r="X36" s="5">
        <f t="shared" si="16"/>
        <v>155524</v>
      </c>
      <c r="Y36" s="309">
        <f t="shared" si="61"/>
        <v>0</v>
      </c>
      <c r="Z36" s="5">
        <f t="shared" si="17"/>
        <v>99383</v>
      </c>
      <c r="AA36" s="83">
        <f t="shared" si="62"/>
        <v>0</v>
      </c>
      <c r="AB36" s="5">
        <f t="shared" si="19"/>
        <v>249</v>
      </c>
      <c r="AC36" s="5">
        <f t="shared" si="20"/>
        <v>790</v>
      </c>
      <c r="AD36" s="83">
        <f t="shared" si="63"/>
        <v>0</v>
      </c>
      <c r="AE36" s="5">
        <f t="shared" si="21"/>
        <v>242.64</v>
      </c>
      <c r="AF36" s="83">
        <f t="shared" si="64"/>
        <v>0</v>
      </c>
      <c r="AG36" s="5">
        <f t="shared" si="23"/>
        <v>2241.54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44712</v>
      </c>
      <c r="AS36" s="407">
        <f t="shared" ref="AS36:AT36" si="82">AS35</f>
        <v>0.9</v>
      </c>
      <c r="AT36" s="201">
        <f t="shared" si="82"/>
        <v>185</v>
      </c>
      <c r="AU36" s="408">
        <f t="shared" si="43"/>
        <v>1.1000000000000001</v>
      </c>
      <c r="AV36" s="201">
        <f t="shared" si="30"/>
        <v>80</v>
      </c>
      <c r="AW36" s="5">
        <v>2.9</v>
      </c>
      <c r="AX36" s="201">
        <f t="shared" si="31"/>
        <v>142</v>
      </c>
      <c r="AY36" s="409">
        <f t="shared" si="71"/>
        <v>166.5</v>
      </c>
      <c r="AZ36" s="409">
        <f t="shared" si="72"/>
        <v>88</v>
      </c>
      <c r="BA36" s="409">
        <f t="shared" si="73"/>
        <v>411.8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631</v>
      </c>
      <c r="I37" s="395">
        <f>SUM(I6:I36)</f>
        <v>631</v>
      </c>
      <c r="L37" s="258">
        <f>SUM(L7:L36)</f>
        <v>16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4</v>
      </c>
      <c r="X37" s="308"/>
      <c r="Y37" s="307">
        <f>SUM(Y6,Y33,Y31,Y29,Y27,Y25,Y23,Y21,Y19,Y17,Y15,Y13,Y11,Y9,Y7,Y34,Y35,Y36)</f>
        <v>159</v>
      </c>
      <c r="AJ37" s="307">
        <f>SUM(AJ6:AJ36)</f>
        <v>27</v>
      </c>
      <c r="AK37" s="312">
        <f>SUM(Y37-L37)</f>
        <v>143</v>
      </c>
      <c r="AL37" s="307">
        <f>SUM(AL6:AL36)</f>
        <v>16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631</v>
      </c>
      <c r="Z38" s="307">
        <f>SUM(Y37:AJ37)</f>
        <v>186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631</v>
      </c>
      <c r="H39" s="1">
        <f>SUM(H38+C38)</f>
        <v>7500</v>
      </c>
      <c r="K39" s="1">
        <f>SUM(H39/G39)</f>
        <v>11.885895404120443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AA24" sqref="AA24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44681</v>
      </c>
      <c r="B2" s="260">
        <f>[2]GEN!B32</f>
        <v>11629</v>
      </c>
      <c r="C2" s="260">
        <f>[2]GEN!C32</f>
        <v>0</v>
      </c>
      <c r="D2" s="260">
        <f>[2]GEN!D32</f>
        <v>670266</v>
      </c>
      <c r="E2" s="260">
        <f>[2]GEN!E32</f>
        <v>0</v>
      </c>
      <c r="F2" s="260">
        <f>[2]GEN!F32</f>
        <v>0</v>
      </c>
      <c r="G2" s="260">
        <f>[2]GEN!G32</f>
        <v>0</v>
      </c>
      <c r="H2" s="260">
        <f>[2]GEN!H32</f>
        <v>11690</v>
      </c>
      <c r="I2" s="260" t="str">
        <f>[2]GEN!I32</f>
        <v>ok</v>
      </c>
      <c r="J2" s="260">
        <f>[2]GEN!J32</f>
        <v>10796</v>
      </c>
      <c r="K2" s="260">
        <f>[2]GEN!K32</f>
        <v>0</v>
      </c>
      <c r="L2" s="260">
        <f>[2]GEN!L32</f>
        <v>382191</v>
      </c>
      <c r="M2" s="260">
        <f>[2]GEN!M32</f>
        <v>0</v>
      </c>
      <c r="N2" s="260">
        <f>[2]GEN!N32</f>
        <v>250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13880</v>
      </c>
      <c r="S2" s="260">
        <f>[2]GEN!S32</f>
        <v>0</v>
      </c>
      <c r="T2" s="260">
        <f>[2]GEN!T32</f>
        <v>409512</v>
      </c>
      <c r="U2" s="260">
        <f>[2]GEN!U32</f>
        <v>0</v>
      </c>
      <c r="V2" s="260">
        <f>[2]GEN!V32</f>
        <v>250</v>
      </c>
      <c r="W2" s="260">
        <f>[2]GEN!W32</f>
        <v>0</v>
      </c>
      <c r="X2" s="260">
        <f>[2]GEN!X32</f>
        <v>13873</v>
      </c>
      <c r="Y2" s="260" t="str">
        <f>[2]GEN!Y32</f>
        <v>oil change</v>
      </c>
      <c r="Z2" s="260">
        <f>[2]GEN!Z32</f>
        <v>0</v>
      </c>
      <c r="AA2" s="260">
        <f>[2]GEN!AA32</f>
        <v>0</v>
      </c>
      <c r="AB2" s="260">
        <f>[2]GEN!AB32</f>
        <v>500</v>
      </c>
      <c r="AC2" s="260">
        <f>[2]GEN!AC32</f>
        <v>0</v>
      </c>
      <c r="AD2" s="260">
        <f>[2]GEN!AD32</f>
        <v>0</v>
      </c>
      <c r="AE2" s="260" t="e">
        <f>[2]GEN!AE32</f>
        <v>#DIV/0!</v>
      </c>
      <c r="AF2" s="260" t="e">
        <f>[2]GEN!AF32</f>
        <v>#DIV/0!</v>
      </c>
      <c r="AG2" s="260" t="e">
        <f>[2]GEN!AG32</f>
        <v>#DIV/0!</v>
      </c>
      <c r="AH2" s="260" t="e">
        <f>[2]GEN!AH32</f>
        <v>#DIV/0!</v>
      </c>
      <c r="AI2" s="260">
        <f>[2]GEN!AI32</f>
        <v>0</v>
      </c>
      <c r="AJ2" s="260">
        <f>[2]GEN!AJ32</f>
        <v>0.25738396624472576</v>
      </c>
      <c r="AK2" s="260" t="e">
        <f>[2]GEN!AK32</f>
        <v>#DIV/0!</v>
      </c>
      <c r="AL2" s="260">
        <f>[2]GEN!AL32</f>
        <v>0</v>
      </c>
    </row>
    <row r="3" spans="1:38" ht="15.75" thickBot="1">
      <c r="A3" s="4">
        <f>ELEC!C4</f>
        <v>44682</v>
      </c>
      <c r="B3" s="502">
        <f>B2</f>
        <v>11629</v>
      </c>
      <c r="C3" s="276">
        <f>B3-B2</f>
        <v>0</v>
      </c>
      <c r="D3" s="503">
        <f>D2+C3*250</f>
        <v>670266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11690</v>
      </c>
      <c r="I3" s="276" t="str">
        <f t="shared" ref="I3:I30" si="1">IF(B3-H3&lt;=0,"ok","oil change")</f>
        <v>ok</v>
      </c>
      <c r="J3" s="502">
        <f>J2</f>
        <v>10796</v>
      </c>
      <c r="K3" s="276">
        <f t="shared" ref="K3:K33" si="2">J3-J2</f>
        <v>0</v>
      </c>
      <c r="L3" s="503">
        <f>L2</f>
        <v>382191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13880</v>
      </c>
      <c r="S3" s="276">
        <f t="shared" ref="S3:S30" si="5">R3-R2</f>
        <v>0</v>
      </c>
      <c r="T3" s="503">
        <f t="shared" ref="T3:T8" si="6">T2+U3</f>
        <v>409512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13873</v>
      </c>
      <c r="Y3" s="276" t="str">
        <f>IF(R3-X3&lt;=0,"ok","oil change")</f>
        <v>oil change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44683</v>
      </c>
      <c r="B4" s="502">
        <f t="shared" ref="B4:B33" si="11">B3</f>
        <v>11629</v>
      </c>
      <c r="C4" s="276">
        <f t="shared" ref="C4:C30" si="12">B4-B3</f>
        <v>0</v>
      </c>
      <c r="D4" s="503">
        <f>D3+C4*85</f>
        <v>670266</v>
      </c>
      <c r="E4" s="276">
        <f t="shared" ref="E4:E25" si="13">SUM(D4-D3)</f>
        <v>0</v>
      </c>
      <c r="F4" s="276">
        <f t="shared" si="0"/>
        <v>0</v>
      </c>
      <c r="G4" s="196"/>
      <c r="H4" s="260">
        <f t="shared" ref="H4:H33" si="14">H3</f>
        <v>11690</v>
      </c>
      <c r="I4" s="276" t="str">
        <f t="shared" si="1"/>
        <v>ok</v>
      </c>
      <c r="J4" s="502">
        <f t="shared" ref="J4:J33" si="15">J3</f>
        <v>10796</v>
      </c>
      <c r="K4" s="276">
        <f t="shared" si="2"/>
        <v>0</v>
      </c>
      <c r="L4" s="503">
        <f t="shared" ref="L4:L5" si="16">L3</f>
        <v>382191</v>
      </c>
      <c r="M4" s="276">
        <f t="shared" si="3"/>
        <v>0</v>
      </c>
      <c r="N4" s="276">
        <v>250</v>
      </c>
      <c r="O4" s="196"/>
      <c r="P4" s="277">
        <f t="shared" ref="P4:P33" si="17">P3</f>
        <v>10873</v>
      </c>
      <c r="Q4" s="276" t="str">
        <f t="shared" si="4"/>
        <v>ok</v>
      </c>
      <c r="R4" s="502">
        <f t="shared" ref="R4:R33" si="18">R3</f>
        <v>13880</v>
      </c>
      <c r="S4" s="276">
        <f t="shared" si="5"/>
        <v>0</v>
      </c>
      <c r="T4" s="503">
        <f t="shared" si="6"/>
        <v>409512</v>
      </c>
      <c r="U4" s="276">
        <f t="shared" si="7"/>
        <v>0</v>
      </c>
      <c r="V4" s="276">
        <v>250</v>
      </c>
      <c r="W4" s="196"/>
      <c r="X4" s="260">
        <f t="shared" ref="X4:X33" si="19">X3</f>
        <v>13873</v>
      </c>
      <c r="Y4" s="276" t="str">
        <f t="shared" ref="Y4:Y33" si="20">IF(R4-X4&lt;=0,"ok","oil change")</f>
        <v>oil change</v>
      </c>
      <c r="Z4" s="276">
        <f t="shared" si="8"/>
        <v>0</v>
      </c>
      <c r="AA4" s="276">
        <f t="shared" ref="AA4:AA30" si="21">U4+M4+E4</f>
        <v>0</v>
      </c>
      <c r="AB4" s="276">
        <f t="shared" ref="AB4:AB30" si="22">V4+N4+F4</f>
        <v>500</v>
      </c>
      <c r="AC4" s="276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4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44684</v>
      </c>
      <c r="B5" s="502">
        <v>11631</v>
      </c>
      <c r="C5" s="276">
        <f t="shared" si="12"/>
        <v>2</v>
      </c>
      <c r="D5" s="503">
        <f t="shared" ref="D5:D33" si="26">D4+C5*85</f>
        <v>670436</v>
      </c>
      <c r="E5" s="276">
        <f t="shared" si="13"/>
        <v>170</v>
      </c>
      <c r="F5" s="276">
        <f t="shared" si="0"/>
        <v>85</v>
      </c>
      <c r="G5" s="274"/>
      <c r="H5" s="260">
        <v>11731</v>
      </c>
      <c r="I5" s="276" t="str">
        <f t="shared" si="1"/>
        <v>ok</v>
      </c>
      <c r="J5" s="502">
        <v>10798</v>
      </c>
      <c r="K5" s="276">
        <f t="shared" si="2"/>
        <v>2</v>
      </c>
      <c r="L5" s="503">
        <f t="shared" si="16"/>
        <v>382191</v>
      </c>
      <c r="M5" s="276">
        <f>SUM(L5-L4)</f>
        <v>0</v>
      </c>
      <c r="N5" s="276">
        <v>250</v>
      </c>
      <c r="O5" s="196"/>
      <c r="P5" s="277">
        <f t="shared" si="17"/>
        <v>10873</v>
      </c>
      <c r="Q5" s="276" t="str">
        <f t="shared" si="4"/>
        <v>ok</v>
      </c>
      <c r="R5" s="502">
        <v>13891</v>
      </c>
      <c r="S5" s="276">
        <f t="shared" si="5"/>
        <v>11</v>
      </c>
      <c r="T5" s="503">
        <f t="shared" si="6"/>
        <v>412262</v>
      </c>
      <c r="U5" s="276">
        <f t="shared" si="7"/>
        <v>2750</v>
      </c>
      <c r="V5" s="276">
        <v>250</v>
      </c>
      <c r="W5" s="196"/>
      <c r="X5" s="260">
        <f t="shared" si="19"/>
        <v>13873</v>
      </c>
      <c r="Y5" s="276" t="str">
        <f t="shared" si="20"/>
        <v>oil change</v>
      </c>
      <c r="Z5" s="276">
        <f t="shared" si="8"/>
        <v>15</v>
      </c>
      <c r="AA5" s="276">
        <f t="shared" si="21"/>
        <v>2920</v>
      </c>
      <c r="AB5" s="276">
        <f t="shared" si="22"/>
        <v>585</v>
      </c>
      <c r="AC5" s="276">
        <f t="shared" si="23"/>
        <v>194.66666666666666</v>
      </c>
      <c r="AD5" s="73">
        <f>ELEC!Q6</f>
        <v>6018.0000000000291</v>
      </c>
      <c r="AE5" s="73">
        <f t="shared" ref="AE5:AE30" si="27">SUM(AD5/Z5)</f>
        <v>401.20000000000192</v>
      </c>
      <c r="AF5" s="387">
        <f t="shared" ref="AF5:AG30" si="28">SUM(AE5/1600)</f>
        <v>0.25075000000000119</v>
      </c>
      <c r="AG5" s="388">
        <f>SUM(320*AF5)</f>
        <v>80.240000000000379</v>
      </c>
      <c r="AH5" s="388">
        <f t="shared" si="24"/>
        <v>114.42666666666628</v>
      </c>
      <c r="AI5" s="73">
        <f t="shared" ref="AI5:AI30" si="29">AD5*AJ5</f>
        <v>1548.9367088607671</v>
      </c>
      <c r="AJ5" s="278">
        <f t="shared" si="9"/>
        <v>0.25738396624472576</v>
      </c>
      <c r="AK5" s="278">
        <f t="shared" si="10"/>
        <v>103.26244725738448</v>
      </c>
      <c r="AL5">
        <f t="shared" si="25"/>
        <v>1</v>
      </c>
    </row>
    <row r="6" spans="1:38" ht="15.75" thickBot="1">
      <c r="A6" s="4">
        <f>ELEC!C7</f>
        <v>44685</v>
      </c>
      <c r="B6" s="502">
        <v>11637</v>
      </c>
      <c r="C6" s="276">
        <f>B6-B5</f>
        <v>6</v>
      </c>
      <c r="D6" s="503">
        <f t="shared" si="26"/>
        <v>670946</v>
      </c>
      <c r="E6" s="276">
        <f t="shared" si="13"/>
        <v>510</v>
      </c>
      <c r="F6" s="276">
        <f t="shared" si="0"/>
        <v>85</v>
      </c>
      <c r="G6" s="196"/>
      <c r="H6" s="260">
        <f t="shared" si="14"/>
        <v>11731</v>
      </c>
      <c r="I6" s="276" t="str">
        <f t="shared" si="1"/>
        <v>ok</v>
      </c>
      <c r="J6" s="502">
        <v>10798</v>
      </c>
      <c r="K6" s="276">
        <f t="shared" si="2"/>
        <v>0</v>
      </c>
      <c r="L6" s="503">
        <f>(K6*N5)+L5</f>
        <v>382191</v>
      </c>
      <c r="M6" s="276">
        <f t="shared" si="3"/>
        <v>0</v>
      </c>
      <c r="N6" s="276">
        <v>250</v>
      </c>
      <c r="O6" s="294"/>
      <c r="P6" s="277">
        <f t="shared" si="17"/>
        <v>10873</v>
      </c>
      <c r="Q6" s="276" t="str">
        <f t="shared" si="4"/>
        <v>ok</v>
      </c>
      <c r="R6" s="502">
        <v>13896</v>
      </c>
      <c r="S6" s="276">
        <f t="shared" si="5"/>
        <v>5</v>
      </c>
      <c r="T6" s="503">
        <f t="shared" si="6"/>
        <v>413512</v>
      </c>
      <c r="U6" s="276">
        <f t="shared" si="7"/>
        <v>1250</v>
      </c>
      <c r="V6" s="276">
        <v>250</v>
      </c>
      <c r="W6" s="294"/>
      <c r="X6" s="260">
        <f>X5+180</f>
        <v>14053</v>
      </c>
      <c r="Y6" s="276" t="str">
        <f t="shared" si="20"/>
        <v>ok</v>
      </c>
      <c r="Z6" s="276">
        <f t="shared" si="8"/>
        <v>11</v>
      </c>
      <c r="AA6" s="276">
        <f t="shared" si="21"/>
        <v>1760</v>
      </c>
      <c r="AB6" s="276">
        <f t="shared" si="22"/>
        <v>585</v>
      </c>
      <c r="AC6" s="276">
        <f t="shared" si="23"/>
        <v>160</v>
      </c>
      <c r="AD6" s="73">
        <f>ELEC!Q7</f>
        <v>3973.9999999983411</v>
      </c>
      <c r="AE6" s="73">
        <f>SUM(AD6/Z6)</f>
        <v>361.27272727257645</v>
      </c>
      <c r="AF6" s="387">
        <f t="shared" si="28"/>
        <v>0.22579545454536029</v>
      </c>
      <c r="AG6" s="388">
        <f>SUM(320*AF6)</f>
        <v>72.254545454515295</v>
      </c>
      <c r="AH6" s="388">
        <f t="shared" si="24"/>
        <v>87.745454545484705</v>
      </c>
      <c r="AI6" s="73">
        <f t="shared" si="29"/>
        <v>1022.8438818561132</v>
      </c>
      <c r="AJ6" s="278">
        <f t="shared" si="9"/>
        <v>0.25738396624472576</v>
      </c>
      <c r="AK6" s="278">
        <f t="shared" si="10"/>
        <v>92.985807441464829</v>
      </c>
      <c r="AL6">
        <f t="shared" si="25"/>
        <v>1</v>
      </c>
    </row>
    <row r="7" spans="1:38" ht="15.75" thickBot="1">
      <c r="A7" s="4">
        <f>ELEC!C8</f>
        <v>44686</v>
      </c>
      <c r="B7" s="502">
        <v>11645</v>
      </c>
      <c r="C7" s="276">
        <f t="shared" si="12"/>
        <v>8</v>
      </c>
      <c r="D7" s="503">
        <f t="shared" si="26"/>
        <v>671626</v>
      </c>
      <c r="E7" s="276">
        <f t="shared" si="13"/>
        <v>680</v>
      </c>
      <c r="F7" s="276">
        <f t="shared" si="0"/>
        <v>85</v>
      </c>
      <c r="G7" s="196"/>
      <c r="H7" s="260">
        <f t="shared" si="14"/>
        <v>11731</v>
      </c>
      <c r="I7" s="276" t="str">
        <f t="shared" si="1"/>
        <v>ok</v>
      </c>
      <c r="J7" s="502">
        <f t="shared" si="15"/>
        <v>10798</v>
      </c>
      <c r="K7" s="276"/>
      <c r="L7" s="503">
        <f t="shared" ref="L7:L33" si="30">(K7*N6)+L6</f>
        <v>382191</v>
      </c>
      <c r="M7" s="276">
        <f t="shared" si="3"/>
        <v>0</v>
      </c>
      <c r="N7" s="276">
        <v>250</v>
      </c>
      <c r="O7" s="294"/>
      <c r="P7" s="277">
        <f t="shared" si="17"/>
        <v>10873</v>
      </c>
      <c r="Q7" s="276" t="str">
        <f>IF(J7-P7&lt;=0,"ok","oil change")</f>
        <v>ok</v>
      </c>
      <c r="R7" s="502">
        <v>13898</v>
      </c>
      <c r="S7" s="276">
        <f t="shared" si="5"/>
        <v>2</v>
      </c>
      <c r="T7" s="503">
        <f t="shared" si="6"/>
        <v>414012</v>
      </c>
      <c r="U7" s="276">
        <f>V7*S7</f>
        <v>500</v>
      </c>
      <c r="V7" s="276">
        <v>250</v>
      </c>
      <c r="W7" s="196"/>
      <c r="X7" s="260">
        <f t="shared" si="19"/>
        <v>14053</v>
      </c>
      <c r="Y7" s="276" t="str">
        <f>IF(R7-X7&lt;=0,"ok","oil change")</f>
        <v>ok</v>
      </c>
      <c r="Z7" s="276">
        <f t="shared" si="8"/>
        <v>10</v>
      </c>
      <c r="AA7" s="276">
        <f>U7+M7+E7</f>
        <v>1180</v>
      </c>
      <c r="AB7" s="276">
        <f t="shared" si="22"/>
        <v>585</v>
      </c>
      <c r="AC7" s="276">
        <f t="shared" si="23"/>
        <v>118</v>
      </c>
      <c r="AD7" s="73">
        <f>ELEC!Q8</f>
        <v>2900.0000000014552</v>
      </c>
      <c r="AE7" s="73">
        <f t="shared" si="27"/>
        <v>290.00000000014552</v>
      </c>
      <c r="AF7" s="387">
        <f t="shared" si="28"/>
        <v>0.18125000000009095</v>
      </c>
      <c r="AG7" s="387">
        <f t="shared" si="28"/>
        <v>1.1328125000005685E-4</v>
      </c>
      <c r="AH7" s="388">
        <f t="shared" si="24"/>
        <v>117.99988671875001</v>
      </c>
      <c r="AI7" s="73">
        <f t="shared" si="29"/>
        <v>746.41350211007921</v>
      </c>
      <c r="AJ7" s="278">
        <f t="shared" si="9"/>
        <v>0.25738396624472576</v>
      </c>
      <c r="AK7" s="278">
        <f t="shared" si="10"/>
        <v>74.641350211007918</v>
      </c>
      <c r="AL7">
        <f t="shared" si="25"/>
        <v>1</v>
      </c>
    </row>
    <row r="8" spans="1:38" ht="15.75" thickBot="1">
      <c r="A8" s="4">
        <f>ELEC!C9</f>
        <v>44687</v>
      </c>
      <c r="B8" s="502">
        <v>11645</v>
      </c>
      <c r="C8" s="276">
        <f t="shared" si="12"/>
        <v>0</v>
      </c>
      <c r="D8" s="503">
        <f t="shared" si="26"/>
        <v>671626</v>
      </c>
      <c r="E8" s="276">
        <f t="shared" si="13"/>
        <v>0</v>
      </c>
      <c r="F8" s="276">
        <f t="shared" si="0"/>
        <v>0</v>
      </c>
      <c r="G8" s="196"/>
      <c r="H8" s="260">
        <f t="shared" si="14"/>
        <v>11731</v>
      </c>
      <c r="I8" s="276" t="str">
        <f>IF(B8-H8&lt;=0,"ok","oil change")</f>
        <v>ok</v>
      </c>
      <c r="J8" s="502">
        <f t="shared" si="15"/>
        <v>10798</v>
      </c>
      <c r="K8" s="276">
        <f t="shared" si="2"/>
        <v>0</v>
      </c>
      <c r="L8" s="503">
        <f t="shared" si="30"/>
        <v>382191</v>
      </c>
      <c r="M8" s="276">
        <f t="shared" si="3"/>
        <v>0</v>
      </c>
      <c r="N8" s="276">
        <v>250</v>
      </c>
      <c r="O8" s="196"/>
      <c r="P8" s="277">
        <f t="shared" si="17"/>
        <v>10873</v>
      </c>
      <c r="Q8" s="276" t="str">
        <f t="shared" si="4"/>
        <v>ok</v>
      </c>
      <c r="R8" s="502">
        <v>13898</v>
      </c>
      <c r="S8" s="276">
        <f t="shared" si="5"/>
        <v>0</v>
      </c>
      <c r="T8" s="503">
        <f t="shared" si="6"/>
        <v>414012</v>
      </c>
      <c r="U8" s="276">
        <f t="shared" si="7"/>
        <v>0</v>
      </c>
      <c r="V8" s="276">
        <v>250</v>
      </c>
      <c r="W8" s="196"/>
      <c r="X8" s="260">
        <f>X7</f>
        <v>14053</v>
      </c>
      <c r="Y8" s="276" t="str">
        <f t="shared" si="20"/>
        <v>ok</v>
      </c>
      <c r="Z8" s="276">
        <f t="shared" si="8"/>
        <v>0</v>
      </c>
      <c r="AA8" s="276">
        <f t="shared" si="21"/>
        <v>0</v>
      </c>
      <c r="AB8" s="276">
        <f t="shared" si="22"/>
        <v>500</v>
      </c>
      <c r="AC8" s="276">
        <f t="shared" si="23"/>
        <v>0</v>
      </c>
      <c r="AD8" s="73">
        <f>ELEC!Q9</f>
        <v>0</v>
      </c>
      <c r="AE8" s="73" t="e">
        <f>SUM(AD8/Z8)</f>
        <v>#DIV/0!</v>
      </c>
      <c r="AF8" s="387" t="e">
        <f t="shared" si="28"/>
        <v>#DIV/0!</v>
      </c>
      <c r="AG8" s="387" t="e">
        <f t="shared" si="28"/>
        <v>#DIV/0!</v>
      </c>
      <c r="AH8" s="388" t="e">
        <f t="shared" si="24"/>
        <v>#DIV/0!</v>
      </c>
      <c r="AI8" s="73">
        <f t="shared" si="29"/>
        <v>0</v>
      </c>
      <c r="AJ8" s="278">
        <f t="shared" si="9"/>
        <v>0.25738396624472576</v>
      </c>
      <c r="AK8" s="278" t="e">
        <f t="shared" si="10"/>
        <v>#DIV/0!</v>
      </c>
      <c r="AL8">
        <f t="shared" si="25"/>
        <v>0</v>
      </c>
    </row>
    <row r="9" spans="1:38" ht="15.75" thickBot="1">
      <c r="A9" s="4">
        <f>ELEC!C10</f>
        <v>44688</v>
      </c>
      <c r="B9" s="502">
        <f t="shared" si="11"/>
        <v>11645</v>
      </c>
      <c r="C9" s="276">
        <f t="shared" si="12"/>
        <v>0</v>
      </c>
      <c r="D9" s="503">
        <f t="shared" si="26"/>
        <v>671626</v>
      </c>
      <c r="E9" s="276">
        <f t="shared" si="13"/>
        <v>0</v>
      </c>
      <c r="F9" s="276">
        <f t="shared" si="0"/>
        <v>0</v>
      </c>
      <c r="G9" s="196"/>
      <c r="H9" s="260">
        <f t="shared" si="14"/>
        <v>11731</v>
      </c>
      <c r="I9" s="276" t="str">
        <f t="shared" si="1"/>
        <v>ok</v>
      </c>
      <c r="J9" s="502">
        <f t="shared" si="15"/>
        <v>10798</v>
      </c>
      <c r="K9" s="276">
        <f t="shared" si="2"/>
        <v>0</v>
      </c>
      <c r="L9" s="503">
        <f t="shared" si="30"/>
        <v>382191</v>
      </c>
      <c r="M9" s="276">
        <f t="shared" si="3"/>
        <v>0</v>
      </c>
      <c r="N9" s="276">
        <v>250</v>
      </c>
      <c r="O9" s="196"/>
      <c r="P9" s="277">
        <f t="shared" si="17"/>
        <v>10873</v>
      </c>
      <c r="Q9" s="276" t="str">
        <f t="shared" si="4"/>
        <v>ok</v>
      </c>
      <c r="R9" s="502">
        <f t="shared" si="18"/>
        <v>13898</v>
      </c>
      <c r="S9" s="276">
        <f t="shared" si="5"/>
        <v>0</v>
      </c>
      <c r="T9" s="503">
        <f t="shared" ref="T9:T33" si="31">T8+U9</f>
        <v>414012</v>
      </c>
      <c r="U9" s="276">
        <f t="shared" ref="U9:U30" si="32">V9*S9</f>
        <v>0</v>
      </c>
      <c r="V9" s="276">
        <v>250</v>
      </c>
      <c r="W9" s="196"/>
      <c r="X9" s="260">
        <f t="shared" si="19"/>
        <v>14053</v>
      </c>
      <c r="Y9" s="276" t="str">
        <f t="shared" si="20"/>
        <v>ok</v>
      </c>
      <c r="Z9" s="276">
        <f t="shared" si="8"/>
        <v>0</v>
      </c>
      <c r="AA9" s="276">
        <f t="shared" si="21"/>
        <v>0</v>
      </c>
      <c r="AB9" s="276">
        <f t="shared" si="22"/>
        <v>500</v>
      </c>
      <c r="AC9" s="276">
        <f t="shared" si="23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4"/>
        <v>#DIV/0!</v>
      </c>
      <c r="AI9" s="73">
        <f t="shared" si="29"/>
        <v>0</v>
      </c>
      <c r="AJ9" s="278">
        <f t="shared" si="9"/>
        <v>0.25738396624472576</v>
      </c>
      <c r="AK9" s="278" t="e">
        <f t="shared" si="10"/>
        <v>#DIV/0!</v>
      </c>
      <c r="AL9">
        <f t="shared" si="25"/>
        <v>0</v>
      </c>
    </row>
    <row r="10" spans="1:38" ht="15.75" thickBot="1">
      <c r="A10" s="4">
        <f>ELEC!C11</f>
        <v>44689</v>
      </c>
      <c r="B10" s="502">
        <v>11651</v>
      </c>
      <c r="C10" s="276">
        <f t="shared" si="12"/>
        <v>6</v>
      </c>
      <c r="D10" s="503">
        <f t="shared" si="26"/>
        <v>672136</v>
      </c>
      <c r="E10" s="276">
        <f>SUM(D10-D9)</f>
        <v>510</v>
      </c>
      <c r="F10" s="276">
        <f t="shared" si="0"/>
        <v>85</v>
      </c>
      <c r="G10" s="196"/>
      <c r="H10" s="260">
        <f t="shared" si="14"/>
        <v>11731</v>
      </c>
      <c r="I10" s="276" t="str">
        <f>IF(B10-H10&lt;=0,"ok","oil change")</f>
        <v>ok</v>
      </c>
      <c r="J10" s="502">
        <f t="shared" si="15"/>
        <v>10798</v>
      </c>
      <c r="K10" s="276">
        <f t="shared" si="2"/>
        <v>0</v>
      </c>
      <c r="L10" s="503">
        <f t="shared" si="30"/>
        <v>382191</v>
      </c>
      <c r="M10" s="276">
        <f t="shared" si="3"/>
        <v>0</v>
      </c>
      <c r="N10" s="276">
        <v>250</v>
      </c>
      <c r="O10" s="196"/>
      <c r="P10" s="277">
        <f t="shared" si="17"/>
        <v>10873</v>
      </c>
      <c r="Q10" s="276" t="str">
        <f t="shared" si="4"/>
        <v>ok</v>
      </c>
      <c r="R10" s="502">
        <v>13901</v>
      </c>
      <c r="S10" s="276">
        <f t="shared" si="5"/>
        <v>3</v>
      </c>
      <c r="T10" s="503">
        <f t="shared" si="31"/>
        <v>414762</v>
      </c>
      <c r="U10" s="276">
        <f t="shared" si="32"/>
        <v>750</v>
      </c>
      <c r="V10" s="276">
        <v>250</v>
      </c>
      <c r="W10" s="323"/>
      <c r="X10" s="260">
        <f t="shared" si="19"/>
        <v>14053</v>
      </c>
      <c r="Y10" s="276" t="str">
        <f t="shared" si="20"/>
        <v>ok</v>
      </c>
      <c r="Z10" s="276">
        <f t="shared" si="8"/>
        <v>9</v>
      </c>
      <c r="AA10" s="276">
        <f t="shared" si="21"/>
        <v>1260</v>
      </c>
      <c r="AB10" s="276">
        <f t="shared" si="22"/>
        <v>585</v>
      </c>
      <c r="AC10" s="276">
        <f t="shared" si="23"/>
        <v>140</v>
      </c>
      <c r="AD10" s="73">
        <f>ELEC!Q11</f>
        <v>2979.9999999995634</v>
      </c>
      <c r="AE10" s="73">
        <f t="shared" si="27"/>
        <v>331.1111111110626</v>
      </c>
      <c r="AF10" s="387">
        <f t="shared" si="28"/>
        <v>0.20694444444441412</v>
      </c>
      <c r="AG10" s="387">
        <f t="shared" si="28"/>
        <v>1.2934027777775883E-4</v>
      </c>
      <c r="AH10" s="388">
        <f t="shared" si="24"/>
        <v>139.99987065972223</v>
      </c>
      <c r="AI10" s="73">
        <f t="shared" si="29"/>
        <v>767.00421940917045</v>
      </c>
      <c r="AJ10" s="278">
        <f t="shared" si="9"/>
        <v>0.25738396624472576</v>
      </c>
      <c r="AK10" s="278">
        <f t="shared" si="10"/>
        <v>85.222691045463378</v>
      </c>
      <c r="AL10">
        <f t="shared" si="25"/>
        <v>1</v>
      </c>
    </row>
    <row r="11" spans="1:38" ht="15.75" thickBot="1">
      <c r="A11" s="4">
        <f>ELEC!C12</f>
        <v>44690</v>
      </c>
      <c r="B11" s="502">
        <v>11662</v>
      </c>
      <c r="C11" s="276">
        <f t="shared" si="12"/>
        <v>11</v>
      </c>
      <c r="D11" s="503">
        <f t="shared" si="26"/>
        <v>673071</v>
      </c>
      <c r="E11" s="276">
        <f t="shared" si="13"/>
        <v>935</v>
      </c>
      <c r="F11" s="276">
        <f>IF(C11&gt;0,E11/C11,0)</f>
        <v>85</v>
      </c>
      <c r="G11" s="196"/>
      <c r="H11" s="260">
        <f t="shared" si="14"/>
        <v>11731</v>
      </c>
      <c r="I11" s="276" t="str">
        <f t="shared" si="1"/>
        <v>ok</v>
      </c>
      <c r="J11" s="502">
        <f t="shared" si="15"/>
        <v>10798</v>
      </c>
      <c r="K11" s="276">
        <f t="shared" si="2"/>
        <v>0</v>
      </c>
      <c r="L11" s="503">
        <f t="shared" si="30"/>
        <v>382191</v>
      </c>
      <c r="M11" s="276">
        <f t="shared" si="3"/>
        <v>0</v>
      </c>
      <c r="N11" s="276">
        <v>250</v>
      </c>
      <c r="O11" s="196"/>
      <c r="P11" s="277">
        <f t="shared" si="17"/>
        <v>10873</v>
      </c>
      <c r="Q11" s="276" t="str">
        <f t="shared" si="4"/>
        <v>ok</v>
      </c>
      <c r="R11" s="502">
        <f t="shared" si="18"/>
        <v>13901</v>
      </c>
      <c r="S11" s="276">
        <f t="shared" si="5"/>
        <v>0</v>
      </c>
      <c r="T11" s="503">
        <f t="shared" si="31"/>
        <v>414762</v>
      </c>
      <c r="U11" s="276">
        <f t="shared" si="32"/>
        <v>0</v>
      </c>
      <c r="V11" s="276">
        <v>250</v>
      </c>
      <c r="W11" s="323"/>
      <c r="X11" s="260">
        <f t="shared" si="19"/>
        <v>14053</v>
      </c>
      <c r="Y11" s="276" t="str">
        <f t="shared" si="20"/>
        <v>ok</v>
      </c>
      <c r="Z11" s="276">
        <f t="shared" si="8"/>
        <v>11</v>
      </c>
      <c r="AA11" s="276">
        <f t="shared" si="21"/>
        <v>935</v>
      </c>
      <c r="AB11" s="276">
        <f t="shared" si="22"/>
        <v>585</v>
      </c>
      <c r="AC11" s="276">
        <f t="shared" si="23"/>
        <v>85</v>
      </c>
      <c r="AD11" s="73">
        <f>ELEC!Q12</f>
        <v>3133.9999999981956</v>
      </c>
      <c r="AE11" s="73">
        <f t="shared" si="27"/>
        <v>284.90909090892688</v>
      </c>
      <c r="AF11" s="387">
        <f t="shared" si="28"/>
        <v>0.17806818181807929</v>
      </c>
      <c r="AG11" s="387">
        <f t="shared" si="28"/>
        <v>1.1129261363629956E-4</v>
      </c>
      <c r="AH11" s="388">
        <f t="shared" si="24"/>
        <v>84.999888707386361</v>
      </c>
      <c r="AI11" s="73">
        <f t="shared" si="29"/>
        <v>806.64135021050606</v>
      </c>
      <c r="AJ11" s="278">
        <f t="shared" si="9"/>
        <v>0.25738396624472576</v>
      </c>
      <c r="AK11" s="278">
        <f t="shared" si="10"/>
        <v>73.331031837318733</v>
      </c>
      <c r="AL11">
        <f t="shared" si="25"/>
        <v>1</v>
      </c>
    </row>
    <row r="12" spans="1:38" ht="15.75" thickBot="1">
      <c r="A12" s="4">
        <f>ELEC!C13</f>
        <v>44691</v>
      </c>
      <c r="B12" s="502">
        <v>11673</v>
      </c>
      <c r="C12" s="276">
        <f t="shared" si="12"/>
        <v>11</v>
      </c>
      <c r="D12" s="503">
        <f t="shared" si="26"/>
        <v>674006</v>
      </c>
      <c r="E12" s="276">
        <f t="shared" si="13"/>
        <v>935</v>
      </c>
      <c r="F12" s="276">
        <f t="shared" si="0"/>
        <v>85</v>
      </c>
      <c r="G12" s="196"/>
      <c r="H12" s="260">
        <f t="shared" si="14"/>
        <v>11731</v>
      </c>
      <c r="I12" s="276" t="str">
        <f t="shared" si="1"/>
        <v>ok</v>
      </c>
      <c r="J12" s="502">
        <f t="shared" si="15"/>
        <v>10798</v>
      </c>
      <c r="K12" s="276">
        <f t="shared" si="2"/>
        <v>0</v>
      </c>
      <c r="L12" s="503">
        <f t="shared" si="30"/>
        <v>382191</v>
      </c>
      <c r="M12" s="276">
        <f t="shared" si="3"/>
        <v>0</v>
      </c>
      <c r="N12" s="276">
        <v>250</v>
      </c>
      <c r="O12" s="196"/>
      <c r="P12" s="277">
        <f t="shared" si="17"/>
        <v>10873</v>
      </c>
      <c r="Q12" s="276" t="str">
        <f t="shared" si="4"/>
        <v>ok</v>
      </c>
      <c r="R12" s="502">
        <f t="shared" si="18"/>
        <v>13901</v>
      </c>
      <c r="S12" s="276">
        <f t="shared" si="5"/>
        <v>0</v>
      </c>
      <c r="T12" s="503">
        <f>T11+U12</f>
        <v>414762</v>
      </c>
      <c r="U12" s="276">
        <f>V12*S12</f>
        <v>0</v>
      </c>
      <c r="V12" s="276">
        <v>250</v>
      </c>
      <c r="W12" s="323"/>
      <c r="X12" s="260">
        <f t="shared" si="19"/>
        <v>14053</v>
      </c>
      <c r="Y12" s="276" t="str">
        <f t="shared" si="20"/>
        <v>ok</v>
      </c>
      <c r="Z12" s="276">
        <f t="shared" si="8"/>
        <v>11</v>
      </c>
      <c r="AA12" s="276">
        <f t="shared" si="21"/>
        <v>935</v>
      </c>
      <c r="AB12" s="276">
        <f t="shared" si="22"/>
        <v>585</v>
      </c>
      <c r="AC12" s="276">
        <f t="shared" si="23"/>
        <v>85</v>
      </c>
      <c r="AD12" s="73">
        <f>ELEC!Q13</f>
        <v>2868.0000000022119</v>
      </c>
      <c r="AE12" s="73">
        <f t="shared" si="27"/>
        <v>260.7272727274738</v>
      </c>
      <c r="AF12" s="387">
        <f t="shared" si="28"/>
        <v>0.16295454545467114</v>
      </c>
      <c r="AG12" s="387">
        <f t="shared" si="28"/>
        <v>1.0184659090916947E-4</v>
      </c>
      <c r="AH12" s="388">
        <f t="shared" si="24"/>
        <v>84.999898153409092</v>
      </c>
      <c r="AI12" s="73">
        <f t="shared" si="29"/>
        <v>738.17721519044278</v>
      </c>
      <c r="AJ12" s="278">
        <f t="shared" si="9"/>
        <v>0.25738396624472576</v>
      </c>
      <c r="AK12" s="278">
        <f t="shared" si="10"/>
        <v>67.107019562767519</v>
      </c>
      <c r="AL12">
        <f t="shared" si="25"/>
        <v>1</v>
      </c>
    </row>
    <row r="13" spans="1:38" ht="15.75" thickBot="1">
      <c r="A13" s="4">
        <f>ELEC!C14</f>
        <v>44692</v>
      </c>
      <c r="B13" s="502">
        <v>11683</v>
      </c>
      <c r="C13" s="276">
        <f t="shared" si="12"/>
        <v>10</v>
      </c>
      <c r="D13" s="503">
        <f t="shared" si="26"/>
        <v>674856</v>
      </c>
      <c r="E13" s="276">
        <f t="shared" si="13"/>
        <v>850</v>
      </c>
      <c r="F13" s="276">
        <f t="shared" si="0"/>
        <v>85</v>
      </c>
      <c r="G13" s="196"/>
      <c r="H13" s="260">
        <f t="shared" si="14"/>
        <v>11731</v>
      </c>
      <c r="I13" s="276" t="str">
        <f t="shared" si="1"/>
        <v>ok</v>
      </c>
      <c r="J13" s="502">
        <v>10799</v>
      </c>
      <c r="K13" s="276">
        <f t="shared" si="2"/>
        <v>1</v>
      </c>
      <c r="L13" s="503">
        <f t="shared" si="30"/>
        <v>382441</v>
      </c>
      <c r="M13" s="276">
        <f t="shared" si="3"/>
        <v>250</v>
      </c>
      <c r="N13" s="276">
        <v>250</v>
      </c>
      <c r="O13" s="196"/>
      <c r="P13" s="277">
        <f t="shared" si="17"/>
        <v>10873</v>
      </c>
      <c r="Q13" s="276" t="str">
        <f t="shared" si="4"/>
        <v>ok</v>
      </c>
      <c r="R13" s="502">
        <f t="shared" si="18"/>
        <v>13901</v>
      </c>
      <c r="S13" s="276">
        <f t="shared" si="5"/>
        <v>0</v>
      </c>
      <c r="T13" s="503">
        <f t="shared" si="31"/>
        <v>414762</v>
      </c>
      <c r="U13" s="276">
        <f t="shared" si="32"/>
        <v>0</v>
      </c>
      <c r="V13" s="276">
        <v>250</v>
      </c>
      <c r="W13" s="323"/>
      <c r="X13" s="260">
        <f t="shared" si="19"/>
        <v>14053</v>
      </c>
      <c r="Y13" s="276" t="str">
        <f t="shared" si="20"/>
        <v>ok</v>
      </c>
      <c r="Z13" s="276">
        <f t="shared" si="8"/>
        <v>11</v>
      </c>
      <c r="AA13" s="276">
        <f t="shared" si="21"/>
        <v>1100</v>
      </c>
      <c r="AB13" s="276">
        <f t="shared" si="22"/>
        <v>585</v>
      </c>
      <c r="AC13" s="276">
        <f t="shared" si="23"/>
        <v>100</v>
      </c>
      <c r="AD13" s="73">
        <f>ELEC!Q14</f>
        <v>3001.0000000002037</v>
      </c>
      <c r="AE13" s="73">
        <f t="shared" si="27"/>
        <v>272.81818181820034</v>
      </c>
      <c r="AF13" s="387">
        <f t="shared" si="28"/>
        <v>0.1705113636363752</v>
      </c>
      <c r="AG13" s="387">
        <f t="shared" si="28"/>
        <v>1.0656960227273449E-4</v>
      </c>
      <c r="AH13" s="388">
        <f t="shared" si="24"/>
        <v>99.999893430397734</v>
      </c>
      <c r="AI13" s="73">
        <f t="shared" si="29"/>
        <v>772.40928270047448</v>
      </c>
      <c r="AJ13" s="278">
        <f t="shared" si="9"/>
        <v>0.25738396624472576</v>
      </c>
      <c r="AK13" s="278">
        <f t="shared" si="10"/>
        <v>70.219025700043133</v>
      </c>
      <c r="AL13">
        <f t="shared" si="25"/>
        <v>1</v>
      </c>
    </row>
    <row r="14" spans="1:38" ht="15.75" thickBot="1">
      <c r="A14" s="4">
        <f>ELEC!C15</f>
        <v>44693</v>
      </c>
      <c r="B14" s="502">
        <v>11692</v>
      </c>
      <c r="C14" s="276">
        <f t="shared" si="12"/>
        <v>9</v>
      </c>
      <c r="D14" s="503">
        <f t="shared" si="26"/>
        <v>675621</v>
      </c>
      <c r="E14" s="276">
        <f t="shared" si="13"/>
        <v>765</v>
      </c>
      <c r="F14" s="276">
        <f t="shared" si="0"/>
        <v>85</v>
      </c>
      <c r="G14" s="196"/>
      <c r="H14" s="260">
        <f t="shared" si="14"/>
        <v>11731</v>
      </c>
      <c r="I14" s="276" t="str">
        <f t="shared" si="1"/>
        <v>ok</v>
      </c>
      <c r="J14" s="502">
        <f t="shared" si="15"/>
        <v>10799</v>
      </c>
      <c r="K14" s="276">
        <f t="shared" si="2"/>
        <v>0</v>
      </c>
      <c r="L14" s="503">
        <f t="shared" si="30"/>
        <v>382441</v>
      </c>
      <c r="M14" s="276">
        <f t="shared" si="3"/>
        <v>0</v>
      </c>
      <c r="N14" s="276">
        <v>250</v>
      </c>
      <c r="O14" s="196"/>
      <c r="P14" s="277">
        <f t="shared" si="17"/>
        <v>10873</v>
      </c>
      <c r="Q14" s="276" t="str">
        <f t="shared" si="4"/>
        <v>ok</v>
      </c>
      <c r="R14" s="502">
        <f t="shared" si="18"/>
        <v>13901</v>
      </c>
      <c r="S14" s="276">
        <f t="shared" si="5"/>
        <v>0</v>
      </c>
      <c r="T14" s="503">
        <f t="shared" si="31"/>
        <v>414762</v>
      </c>
      <c r="U14" s="276">
        <f t="shared" si="32"/>
        <v>0</v>
      </c>
      <c r="V14" s="276">
        <v>250</v>
      </c>
      <c r="W14" s="323"/>
      <c r="X14" s="260">
        <f t="shared" si="19"/>
        <v>14053</v>
      </c>
      <c r="Y14" s="276" t="str">
        <f t="shared" si="20"/>
        <v>ok</v>
      </c>
      <c r="Z14" s="276">
        <f t="shared" si="8"/>
        <v>9</v>
      </c>
      <c r="AA14" s="276">
        <f t="shared" si="21"/>
        <v>765</v>
      </c>
      <c r="AB14" s="276">
        <f t="shared" si="22"/>
        <v>585</v>
      </c>
      <c r="AC14" s="276">
        <f t="shared" si="23"/>
        <v>85</v>
      </c>
      <c r="AD14" s="73">
        <f>ELEC!Q15</f>
        <v>2605.9999999997672</v>
      </c>
      <c r="AE14" s="73">
        <f t="shared" si="27"/>
        <v>289.55555555552968</v>
      </c>
      <c r="AF14" s="387">
        <f t="shared" si="28"/>
        <v>0.18097222222220605</v>
      </c>
      <c r="AG14" s="387">
        <f t="shared" si="28"/>
        <v>1.1310763888887879E-4</v>
      </c>
      <c r="AH14" s="388">
        <f t="shared" si="24"/>
        <v>84.999886892361104</v>
      </c>
      <c r="AI14" s="73">
        <f t="shared" si="29"/>
        <v>670.74261603369541</v>
      </c>
      <c r="AJ14" s="278">
        <f t="shared" si="9"/>
        <v>0.25738396624472576</v>
      </c>
      <c r="AK14" s="278">
        <f t="shared" si="10"/>
        <v>74.526957337077263</v>
      </c>
      <c r="AL14">
        <f t="shared" si="25"/>
        <v>1</v>
      </c>
    </row>
    <row r="15" spans="1:38" ht="15.75" thickBot="1">
      <c r="A15" s="4">
        <f>ELEC!C16</f>
        <v>44694</v>
      </c>
      <c r="B15" s="502">
        <f t="shared" si="11"/>
        <v>11692</v>
      </c>
      <c r="C15" s="276">
        <f t="shared" si="12"/>
        <v>0</v>
      </c>
      <c r="D15" s="503">
        <f t="shared" si="26"/>
        <v>675621</v>
      </c>
      <c r="E15" s="276">
        <f t="shared" si="13"/>
        <v>0</v>
      </c>
      <c r="F15" s="276">
        <f t="shared" si="0"/>
        <v>0</v>
      </c>
      <c r="G15" s="196"/>
      <c r="H15" s="260">
        <f t="shared" si="14"/>
        <v>11731</v>
      </c>
      <c r="I15" s="276" t="str">
        <f t="shared" si="1"/>
        <v>ok</v>
      </c>
      <c r="J15" s="502">
        <f t="shared" si="15"/>
        <v>10799</v>
      </c>
      <c r="K15" s="276">
        <f t="shared" si="2"/>
        <v>0</v>
      </c>
      <c r="L15" s="503">
        <f t="shared" si="30"/>
        <v>382441</v>
      </c>
      <c r="M15" s="276">
        <f t="shared" si="3"/>
        <v>0</v>
      </c>
      <c r="N15" s="276">
        <v>250</v>
      </c>
      <c r="O15" s="196"/>
      <c r="P15" s="277">
        <f t="shared" si="17"/>
        <v>10873</v>
      </c>
      <c r="Q15" s="276" t="str">
        <f t="shared" si="4"/>
        <v>ok</v>
      </c>
      <c r="R15" s="502">
        <f t="shared" si="18"/>
        <v>13901</v>
      </c>
      <c r="S15" s="276">
        <f t="shared" si="5"/>
        <v>0</v>
      </c>
      <c r="T15" s="503">
        <f t="shared" si="31"/>
        <v>414762</v>
      </c>
      <c r="U15" s="276">
        <f t="shared" si="32"/>
        <v>0</v>
      </c>
      <c r="V15" s="276">
        <v>250</v>
      </c>
      <c r="W15" s="323"/>
      <c r="X15" s="260">
        <f t="shared" si="19"/>
        <v>14053</v>
      </c>
      <c r="Y15" s="276" t="str">
        <f t="shared" si="20"/>
        <v>ok</v>
      </c>
      <c r="Z15" s="276">
        <f t="shared" si="8"/>
        <v>0</v>
      </c>
      <c r="AA15" s="276">
        <f t="shared" si="21"/>
        <v>0</v>
      </c>
      <c r="AB15" s="276">
        <f t="shared" si="22"/>
        <v>500</v>
      </c>
      <c r="AC15" s="276">
        <f t="shared" si="23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4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5"/>
        <v>0</v>
      </c>
    </row>
    <row r="16" spans="1:38" ht="15.75" thickBot="1">
      <c r="A16" s="4">
        <f>ELEC!C17</f>
        <v>44695</v>
      </c>
      <c r="B16" s="502">
        <f t="shared" si="11"/>
        <v>11692</v>
      </c>
      <c r="C16" s="276">
        <f t="shared" si="12"/>
        <v>0</v>
      </c>
      <c r="D16" s="503">
        <f t="shared" si="26"/>
        <v>675621</v>
      </c>
      <c r="E16" s="276">
        <f t="shared" si="13"/>
        <v>0</v>
      </c>
      <c r="F16" s="276">
        <f t="shared" si="0"/>
        <v>0</v>
      </c>
      <c r="G16" s="196"/>
      <c r="H16" s="260">
        <f t="shared" si="14"/>
        <v>11731</v>
      </c>
      <c r="I16" s="276" t="str">
        <f t="shared" si="1"/>
        <v>ok</v>
      </c>
      <c r="J16" s="502">
        <f t="shared" si="15"/>
        <v>10799</v>
      </c>
      <c r="K16" s="276">
        <f t="shared" si="2"/>
        <v>0</v>
      </c>
      <c r="L16" s="503">
        <f t="shared" si="30"/>
        <v>382441</v>
      </c>
      <c r="M16" s="276">
        <f t="shared" si="3"/>
        <v>0</v>
      </c>
      <c r="N16" s="276">
        <v>250</v>
      </c>
      <c r="O16" s="196"/>
      <c r="P16" s="277">
        <f t="shared" si="17"/>
        <v>10873</v>
      </c>
      <c r="Q16" s="276" t="str">
        <f t="shared" si="4"/>
        <v>ok</v>
      </c>
      <c r="R16" s="502">
        <f t="shared" si="18"/>
        <v>13901</v>
      </c>
      <c r="S16" s="276">
        <f t="shared" si="5"/>
        <v>0</v>
      </c>
      <c r="T16" s="503">
        <f t="shared" si="31"/>
        <v>414762</v>
      </c>
      <c r="U16" s="276">
        <f t="shared" si="32"/>
        <v>0</v>
      </c>
      <c r="V16" s="276">
        <v>250</v>
      </c>
      <c r="W16" s="323"/>
      <c r="X16" s="260">
        <f t="shared" si="19"/>
        <v>14053</v>
      </c>
      <c r="Y16" s="276" t="str">
        <f t="shared" si="20"/>
        <v>ok</v>
      </c>
      <c r="Z16" s="276">
        <f t="shared" si="8"/>
        <v>0</v>
      </c>
      <c r="AA16" s="276">
        <f t="shared" si="21"/>
        <v>0</v>
      </c>
      <c r="AB16" s="276">
        <f t="shared" si="22"/>
        <v>500</v>
      </c>
      <c r="AC16" s="276">
        <f t="shared" si="23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4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5"/>
        <v>0</v>
      </c>
    </row>
    <row r="17" spans="1:38" ht="15.75" thickBot="1">
      <c r="A17" s="4">
        <f>ELEC!C18</f>
        <v>44696</v>
      </c>
      <c r="B17" s="502">
        <v>11702</v>
      </c>
      <c r="C17" s="276">
        <f t="shared" si="12"/>
        <v>10</v>
      </c>
      <c r="D17" s="503">
        <f t="shared" si="26"/>
        <v>676471</v>
      </c>
      <c r="E17" s="276">
        <f t="shared" si="13"/>
        <v>850</v>
      </c>
      <c r="F17" s="276">
        <f t="shared" si="0"/>
        <v>85</v>
      </c>
      <c r="G17" s="196"/>
      <c r="H17" s="260">
        <f t="shared" si="14"/>
        <v>11731</v>
      </c>
      <c r="I17" s="276" t="str">
        <f t="shared" si="1"/>
        <v>ok</v>
      </c>
      <c r="J17" s="502">
        <f t="shared" si="15"/>
        <v>10799</v>
      </c>
      <c r="K17" s="276">
        <f t="shared" si="2"/>
        <v>0</v>
      </c>
      <c r="L17" s="503">
        <f t="shared" si="30"/>
        <v>382441</v>
      </c>
      <c r="M17" s="276">
        <f t="shared" si="3"/>
        <v>0</v>
      </c>
      <c r="N17" s="276">
        <v>250</v>
      </c>
      <c r="O17" s="196"/>
      <c r="P17" s="277">
        <f t="shared" si="17"/>
        <v>10873</v>
      </c>
      <c r="Q17" s="276" t="str">
        <f t="shared" si="4"/>
        <v>ok</v>
      </c>
      <c r="R17" s="502">
        <f t="shared" si="18"/>
        <v>13901</v>
      </c>
      <c r="S17" s="276">
        <f t="shared" si="5"/>
        <v>0</v>
      </c>
      <c r="T17" s="503">
        <f t="shared" si="31"/>
        <v>414762</v>
      </c>
      <c r="U17" s="276">
        <f t="shared" si="32"/>
        <v>0</v>
      </c>
      <c r="V17" s="276">
        <v>250</v>
      </c>
      <c r="W17" s="323"/>
      <c r="X17" s="260">
        <f t="shared" si="19"/>
        <v>14053</v>
      </c>
      <c r="Y17" s="276" t="str">
        <f t="shared" si="20"/>
        <v>ok</v>
      </c>
      <c r="Z17" s="276">
        <f t="shared" si="8"/>
        <v>10</v>
      </c>
      <c r="AA17" s="276">
        <f t="shared" si="21"/>
        <v>850</v>
      </c>
      <c r="AB17" s="276">
        <f t="shared" si="22"/>
        <v>585</v>
      </c>
      <c r="AC17" s="276">
        <f t="shared" si="23"/>
        <v>85</v>
      </c>
      <c r="AD17" s="73">
        <f>ELEC!Q18</f>
        <v>2583.9999999989232</v>
      </c>
      <c r="AE17" s="73">
        <f t="shared" si="27"/>
        <v>258.39999999989232</v>
      </c>
      <c r="AF17" s="387">
        <f t="shared" si="28"/>
        <v>0.1614999999999327</v>
      </c>
      <c r="AG17" s="387">
        <f t="shared" si="28"/>
        <v>1.0093749999995794E-4</v>
      </c>
      <c r="AH17" s="388">
        <f t="shared" si="24"/>
        <v>84.999899062500006</v>
      </c>
      <c r="AI17" s="73">
        <f t="shared" si="29"/>
        <v>665.08016877609418</v>
      </c>
      <c r="AJ17" s="278">
        <f t="shared" si="9"/>
        <v>0.25738396624472576</v>
      </c>
      <c r="AK17" s="278">
        <f t="shared" si="10"/>
        <v>66.508016877609421</v>
      </c>
      <c r="AL17">
        <f t="shared" si="25"/>
        <v>1</v>
      </c>
    </row>
    <row r="18" spans="1:38" ht="15.75" thickBot="1">
      <c r="A18" s="4">
        <f>ELEC!C19</f>
        <v>44697</v>
      </c>
      <c r="B18" s="502">
        <v>11710</v>
      </c>
      <c r="C18" s="276">
        <f t="shared" si="12"/>
        <v>8</v>
      </c>
      <c r="D18" s="503">
        <f t="shared" si="26"/>
        <v>677151</v>
      </c>
      <c r="E18" s="276">
        <f t="shared" si="13"/>
        <v>680</v>
      </c>
      <c r="F18" s="276">
        <f t="shared" si="0"/>
        <v>85</v>
      </c>
      <c r="G18" s="196"/>
      <c r="H18" s="260">
        <f t="shared" si="14"/>
        <v>11731</v>
      </c>
      <c r="I18" s="276" t="str">
        <f t="shared" si="1"/>
        <v>ok</v>
      </c>
      <c r="J18" s="502">
        <f t="shared" si="15"/>
        <v>10799</v>
      </c>
      <c r="K18" s="276">
        <f t="shared" si="2"/>
        <v>0</v>
      </c>
      <c r="L18" s="503">
        <f t="shared" si="30"/>
        <v>382441</v>
      </c>
      <c r="M18" s="276">
        <f t="shared" si="3"/>
        <v>0</v>
      </c>
      <c r="N18" s="276"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18"/>
        <v>13901</v>
      </c>
      <c r="S18" s="276">
        <f t="shared" si="5"/>
        <v>0</v>
      </c>
      <c r="T18" s="503">
        <f t="shared" si="31"/>
        <v>414762</v>
      </c>
      <c r="U18" s="276">
        <f t="shared" si="32"/>
        <v>0</v>
      </c>
      <c r="V18" s="276">
        <v>250</v>
      </c>
      <c r="W18" s="323"/>
      <c r="X18" s="260">
        <f t="shared" si="19"/>
        <v>14053</v>
      </c>
      <c r="Y18" s="276" t="str">
        <f t="shared" si="20"/>
        <v>ok</v>
      </c>
      <c r="Z18" s="276">
        <f t="shared" si="8"/>
        <v>8</v>
      </c>
      <c r="AA18" s="276">
        <f t="shared" si="21"/>
        <v>680</v>
      </c>
      <c r="AB18" s="276">
        <f t="shared" si="22"/>
        <v>585</v>
      </c>
      <c r="AC18" s="276">
        <f t="shared" si="23"/>
        <v>85</v>
      </c>
      <c r="AD18" s="73">
        <f>ELEC!Q19</f>
        <v>2458.9999999989232</v>
      </c>
      <c r="AE18" s="73">
        <f t="shared" si="27"/>
        <v>307.37499999986539</v>
      </c>
      <c r="AF18" s="387">
        <f t="shared" si="28"/>
        <v>0.19210937499991587</v>
      </c>
      <c r="AG18" s="387">
        <f t="shared" si="28"/>
        <v>1.2006835937494742E-4</v>
      </c>
      <c r="AH18" s="388">
        <f t="shared" si="24"/>
        <v>84.999879931640621</v>
      </c>
      <c r="AI18" s="73">
        <f t="shared" si="29"/>
        <v>632.90717299550352</v>
      </c>
      <c r="AJ18" s="278">
        <f t="shared" si="9"/>
        <v>0.25738396624472576</v>
      </c>
      <c r="AK18" s="278">
        <f t="shared" si="10"/>
        <v>79.113396624437939</v>
      </c>
      <c r="AL18">
        <f t="shared" si="25"/>
        <v>1</v>
      </c>
    </row>
    <row r="19" spans="1:38" ht="15.75" thickBot="1">
      <c r="A19" s="4">
        <f>ELEC!C20</f>
        <v>44698</v>
      </c>
      <c r="B19" s="502">
        <v>11720</v>
      </c>
      <c r="C19" s="276">
        <f t="shared" si="12"/>
        <v>10</v>
      </c>
      <c r="D19" s="503">
        <f t="shared" si="26"/>
        <v>678001</v>
      </c>
      <c r="E19" s="276">
        <f t="shared" si="13"/>
        <v>850</v>
      </c>
      <c r="F19" s="276">
        <f t="shared" si="0"/>
        <v>85</v>
      </c>
      <c r="G19" s="196"/>
      <c r="H19" s="260">
        <f t="shared" si="14"/>
        <v>11731</v>
      </c>
      <c r="I19" s="276" t="str">
        <f t="shared" si="1"/>
        <v>ok</v>
      </c>
      <c r="J19" s="502">
        <f t="shared" si="15"/>
        <v>10799</v>
      </c>
      <c r="K19" s="276">
        <f t="shared" si="2"/>
        <v>0</v>
      </c>
      <c r="L19" s="503">
        <f t="shared" si="30"/>
        <v>382441</v>
      </c>
      <c r="M19" s="276">
        <f t="shared" si="3"/>
        <v>0</v>
      </c>
      <c r="N19" s="276">
        <v>250</v>
      </c>
      <c r="O19" s="196"/>
      <c r="P19" s="277">
        <f t="shared" si="17"/>
        <v>10873</v>
      </c>
      <c r="Q19" s="276" t="str">
        <f t="shared" ref="Q19:Q30" si="33">IF(J19-P19&lt;=0,"ok","oil change")</f>
        <v>ok</v>
      </c>
      <c r="R19" s="502">
        <f t="shared" si="18"/>
        <v>13901</v>
      </c>
      <c r="S19" s="276">
        <f t="shared" si="5"/>
        <v>0</v>
      </c>
      <c r="T19" s="503">
        <f t="shared" si="31"/>
        <v>414762</v>
      </c>
      <c r="U19" s="276">
        <f t="shared" si="32"/>
        <v>0</v>
      </c>
      <c r="V19" s="276">
        <v>250</v>
      </c>
      <c r="W19" s="323"/>
      <c r="X19" s="260">
        <f t="shared" si="19"/>
        <v>14053</v>
      </c>
      <c r="Y19" s="276" t="str">
        <f t="shared" si="20"/>
        <v>ok</v>
      </c>
      <c r="Z19" s="276">
        <f t="shared" si="8"/>
        <v>10</v>
      </c>
      <c r="AA19" s="276">
        <f t="shared" si="21"/>
        <v>850</v>
      </c>
      <c r="AB19" s="276">
        <f t="shared" si="22"/>
        <v>585</v>
      </c>
      <c r="AC19" s="276">
        <f t="shared" si="23"/>
        <v>85</v>
      </c>
      <c r="AD19" s="73">
        <f>ELEC!Q20</f>
        <v>2672.0000000022992</v>
      </c>
      <c r="AE19" s="73">
        <f t="shared" si="27"/>
        <v>267.20000000022992</v>
      </c>
      <c r="AF19" s="387">
        <f t="shared" si="28"/>
        <v>0.1670000000001437</v>
      </c>
      <c r="AG19" s="387">
        <f t="shared" si="28"/>
        <v>1.0437500000008982E-4</v>
      </c>
      <c r="AH19" s="388">
        <f t="shared" si="24"/>
        <v>84.999895624999994</v>
      </c>
      <c r="AI19" s="73">
        <f t="shared" si="29"/>
        <v>687.72995780649899</v>
      </c>
      <c r="AJ19" s="278">
        <f t="shared" si="9"/>
        <v>0.25738396624472576</v>
      </c>
      <c r="AK19" s="278">
        <f t="shared" si="10"/>
        <v>68.772995780649893</v>
      </c>
      <c r="AL19">
        <f t="shared" si="25"/>
        <v>1</v>
      </c>
    </row>
    <row r="20" spans="1:38" ht="15.75" thickBot="1">
      <c r="A20" s="4">
        <f>ELEC!C21</f>
        <v>44699</v>
      </c>
      <c r="B20" s="502">
        <v>11729</v>
      </c>
      <c r="C20" s="276">
        <f>B20-B19</f>
        <v>9</v>
      </c>
      <c r="D20" s="503">
        <f t="shared" si="26"/>
        <v>678766</v>
      </c>
      <c r="E20" s="276">
        <f t="shared" si="13"/>
        <v>765</v>
      </c>
      <c r="F20" s="276">
        <f t="shared" si="0"/>
        <v>85</v>
      </c>
      <c r="G20" s="196"/>
      <c r="H20" s="260">
        <f t="shared" si="14"/>
        <v>11731</v>
      </c>
      <c r="I20" s="276" t="str">
        <f t="shared" si="1"/>
        <v>ok</v>
      </c>
      <c r="J20" s="502">
        <v>10800</v>
      </c>
      <c r="K20" s="276">
        <f t="shared" si="2"/>
        <v>1</v>
      </c>
      <c r="L20" s="503">
        <f t="shared" si="30"/>
        <v>382691</v>
      </c>
      <c r="M20" s="276">
        <f t="shared" si="3"/>
        <v>250</v>
      </c>
      <c r="N20" s="276">
        <v>250</v>
      </c>
      <c r="O20" s="196"/>
      <c r="P20" s="277">
        <f t="shared" si="17"/>
        <v>10873</v>
      </c>
      <c r="Q20" s="276" t="str">
        <f t="shared" si="33"/>
        <v>ok</v>
      </c>
      <c r="R20" s="502">
        <f t="shared" si="18"/>
        <v>13901</v>
      </c>
      <c r="S20" s="276">
        <f t="shared" si="5"/>
        <v>0</v>
      </c>
      <c r="T20" s="503">
        <f t="shared" si="31"/>
        <v>414762</v>
      </c>
      <c r="U20" s="276">
        <f t="shared" si="32"/>
        <v>0</v>
      </c>
      <c r="V20" s="276">
        <v>250</v>
      </c>
      <c r="W20" s="323"/>
      <c r="X20" s="260">
        <f t="shared" si="19"/>
        <v>14053</v>
      </c>
      <c r="Y20" s="276" t="str">
        <f t="shared" si="20"/>
        <v>ok</v>
      </c>
      <c r="Z20" s="276">
        <f t="shared" si="8"/>
        <v>10</v>
      </c>
      <c r="AA20" s="276">
        <f t="shared" si="21"/>
        <v>1015</v>
      </c>
      <c r="AB20" s="276">
        <f t="shared" si="22"/>
        <v>585</v>
      </c>
      <c r="AC20" s="276">
        <f t="shared" si="23"/>
        <v>101.5</v>
      </c>
      <c r="AD20" s="73">
        <f>ELEC!Q21</f>
        <v>2994.9999999989814</v>
      </c>
      <c r="AE20" s="73">
        <f t="shared" si="27"/>
        <v>299.49999999989814</v>
      </c>
      <c r="AF20" s="387">
        <f t="shared" si="28"/>
        <v>0.18718749999993634</v>
      </c>
      <c r="AG20" s="387">
        <f t="shared" si="28"/>
        <v>1.1699218749996021E-4</v>
      </c>
      <c r="AH20" s="388">
        <f t="shared" si="24"/>
        <v>101.4998830078125</v>
      </c>
      <c r="AI20" s="73">
        <f>AD20*AJ20</f>
        <v>770.86497890269152</v>
      </c>
      <c r="AJ20" s="278">
        <f t="shared" si="9"/>
        <v>0.25738396624472576</v>
      </c>
      <c r="AK20" s="278">
        <f t="shared" si="10"/>
        <v>77.086497890269158</v>
      </c>
      <c r="AL20">
        <f t="shared" si="25"/>
        <v>1</v>
      </c>
    </row>
    <row r="21" spans="1:38" ht="15.75" thickBot="1">
      <c r="A21" s="4">
        <f>ELEC!C22</f>
        <v>44700</v>
      </c>
      <c r="B21" s="502">
        <v>11740</v>
      </c>
      <c r="C21" s="276">
        <f>B21-B20</f>
        <v>11</v>
      </c>
      <c r="D21" s="503">
        <f t="shared" si="26"/>
        <v>679701</v>
      </c>
      <c r="E21" s="276">
        <f t="shared" si="13"/>
        <v>935</v>
      </c>
      <c r="F21" s="276">
        <f t="shared" si="0"/>
        <v>85</v>
      </c>
      <c r="G21" s="196"/>
      <c r="H21" s="260">
        <f t="shared" si="14"/>
        <v>11731</v>
      </c>
      <c r="I21" s="276" t="str">
        <f t="shared" si="1"/>
        <v>oil change</v>
      </c>
      <c r="J21" s="502">
        <f t="shared" si="15"/>
        <v>10800</v>
      </c>
      <c r="K21" s="276">
        <f t="shared" si="2"/>
        <v>0</v>
      </c>
      <c r="L21" s="503">
        <f t="shared" si="30"/>
        <v>382691</v>
      </c>
      <c r="M21" s="276">
        <f t="shared" si="3"/>
        <v>0</v>
      </c>
      <c r="N21" s="276">
        <v>250</v>
      </c>
      <c r="O21" s="196"/>
      <c r="P21" s="277">
        <f t="shared" si="17"/>
        <v>10873</v>
      </c>
      <c r="Q21" s="276" t="str">
        <f t="shared" si="33"/>
        <v>ok</v>
      </c>
      <c r="R21" s="502">
        <f t="shared" si="18"/>
        <v>13901</v>
      </c>
      <c r="S21" s="276">
        <f t="shared" si="5"/>
        <v>0</v>
      </c>
      <c r="T21" s="503">
        <f t="shared" si="31"/>
        <v>414762</v>
      </c>
      <c r="U21" s="276">
        <f t="shared" si="32"/>
        <v>0</v>
      </c>
      <c r="V21" s="276">
        <v>250</v>
      </c>
      <c r="W21" s="196"/>
      <c r="X21" s="260">
        <f t="shared" si="19"/>
        <v>14053</v>
      </c>
      <c r="Y21" s="276" t="str">
        <f t="shared" si="20"/>
        <v>ok</v>
      </c>
      <c r="Z21" s="276">
        <f t="shared" si="8"/>
        <v>11</v>
      </c>
      <c r="AA21" s="276">
        <f t="shared" si="21"/>
        <v>935</v>
      </c>
      <c r="AB21" s="276">
        <f t="shared" si="22"/>
        <v>585</v>
      </c>
      <c r="AC21" s="276">
        <f t="shared" si="23"/>
        <v>85</v>
      </c>
      <c r="AD21" s="73">
        <f>ELEC!Q22</f>
        <v>3025.9999999980209</v>
      </c>
      <c r="AE21" s="73">
        <f t="shared" si="27"/>
        <v>275.09090909072916</v>
      </c>
      <c r="AF21" s="387">
        <f t="shared" si="28"/>
        <v>0.17193181818170572</v>
      </c>
      <c r="AG21" s="387">
        <f t="shared" si="28"/>
        <v>1.0745738636356607E-4</v>
      </c>
      <c r="AH21" s="388">
        <f t="shared" si="24"/>
        <v>84.999892542613637</v>
      </c>
      <c r="AI21" s="73">
        <f t="shared" si="29"/>
        <v>778.84388185603075</v>
      </c>
      <c r="AJ21" s="278">
        <f t="shared" si="9"/>
        <v>0.25738396624472576</v>
      </c>
      <c r="AK21" s="278">
        <f t="shared" si="10"/>
        <v>70.803989259639152</v>
      </c>
      <c r="AL21">
        <f t="shared" si="25"/>
        <v>1</v>
      </c>
    </row>
    <row r="22" spans="1:38" ht="15.75" thickBot="1">
      <c r="A22" s="4">
        <f>ELEC!C23</f>
        <v>44701</v>
      </c>
      <c r="B22" s="502">
        <f t="shared" si="11"/>
        <v>11740</v>
      </c>
      <c r="C22" s="276">
        <f t="shared" si="12"/>
        <v>0</v>
      </c>
      <c r="D22" s="503">
        <f t="shared" si="26"/>
        <v>679701</v>
      </c>
      <c r="E22" s="276">
        <f>150*C22</f>
        <v>0</v>
      </c>
      <c r="F22" s="276">
        <f t="shared" si="0"/>
        <v>0</v>
      </c>
      <c r="G22" s="196"/>
      <c r="H22" s="260">
        <f>H21+500</f>
        <v>12231</v>
      </c>
      <c r="I22" s="276" t="str">
        <f t="shared" si="1"/>
        <v>ok</v>
      </c>
      <c r="J22" s="502">
        <f t="shared" si="15"/>
        <v>10800</v>
      </c>
      <c r="K22" s="276">
        <f t="shared" si="2"/>
        <v>0</v>
      </c>
      <c r="L22" s="503">
        <f t="shared" si="30"/>
        <v>382691</v>
      </c>
      <c r="M22" s="276">
        <f t="shared" si="3"/>
        <v>0</v>
      </c>
      <c r="N22" s="276">
        <v>250</v>
      </c>
      <c r="O22" s="196"/>
      <c r="P22" s="277">
        <f t="shared" si="17"/>
        <v>10873</v>
      </c>
      <c r="Q22" s="276" t="str">
        <f t="shared" si="33"/>
        <v>ok</v>
      </c>
      <c r="R22" s="502">
        <f t="shared" si="18"/>
        <v>13901</v>
      </c>
      <c r="S22" s="276">
        <f t="shared" si="5"/>
        <v>0</v>
      </c>
      <c r="T22" s="503">
        <f t="shared" si="31"/>
        <v>414762</v>
      </c>
      <c r="U22" s="276">
        <f t="shared" si="32"/>
        <v>0</v>
      </c>
      <c r="V22" s="276">
        <v>250</v>
      </c>
      <c r="W22" s="196"/>
      <c r="X22" s="260">
        <f t="shared" si="19"/>
        <v>14053</v>
      </c>
      <c r="Y22" s="276" t="str">
        <f t="shared" si="20"/>
        <v>ok</v>
      </c>
      <c r="Z22" s="276">
        <f t="shared" si="8"/>
        <v>0</v>
      </c>
      <c r="AA22" s="276">
        <f t="shared" si="21"/>
        <v>0</v>
      </c>
      <c r="AB22" s="276">
        <f t="shared" si="22"/>
        <v>500</v>
      </c>
      <c r="AC22" s="276">
        <f t="shared" si="23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4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5"/>
        <v>0</v>
      </c>
    </row>
    <row r="23" spans="1:38" ht="15.75" thickBot="1">
      <c r="A23" s="4">
        <f>ELEC!C24</f>
        <v>44702</v>
      </c>
      <c r="B23" s="502">
        <f t="shared" si="11"/>
        <v>11740</v>
      </c>
      <c r="C23" s="276">
        <f t="shared" si="12"/>
        <v>0</v>
      </c>
      <c r="D23" s="503">
        <f t="shared" si="26"/>
        <v>679701</v>
      </c>
      <c r="E23" s="276">
        <f>150*C23</f>
        <v>0</v>
      </c>
      <c r="F23" s="276">
        <f t="shared" si="0"/>
        <v>0</v>
      </c>
      <c r="G23" s="196"/>
      <c r="H23" s="260">
        <f t="shared" si="14"/>
        <v>12231</v>
      </c>
      <c r="I23" s="276" t="str">
        <f t="shared" si="1"/>
        <v>ok</v>
      </c>
      <c r="J23" s="502">
        <f t="shared" si="15"/>
        <v>10800</v>
      </c>
      <c r="K23" s="276">
        <f t="shared" si="2"/>
        <v>0</v>
      </c>
      <c r="L23" s="503">
        <f t="shared" si="30"/>
        <v>382691</v>
      </c>
      <c r="M23" s="276">
        <f t="shared" si="3"/>
        <v>0</v>
      </c>
      <c r="N23" s="276">
        <v>250</v>
      </c>
      <c r="O23" s="196"/>
      <c r="P23" s="277">
        <f t="shared" si="17"/>
        <v>10873</v>
      </c>
      <c r="Q23" s="276" t="str">
        <f t="shared" si="33"/>
        <v>ok</v>
      </c>
      <c r="R23" s="502">
        <f t="shared" si="18"/>
        <v>13901</v>
      </c>
      <c r="S23" s="276">
        <f>R23-R22</f>
        <v>0</v>
      </c>
      <c r="T23" s="503">
        <f t="shared" si="31"/>
        <v>414762</v>
      </c>
      <c r="U23" s="276">
        <f>V23*S23</f>
        <v>0</v>
      </c>
      <c r="V23" s="276">
        <v>250</v>
      </c>
      <c r="W23" s="196"/>
      <c r="X23" s="260">
        <f t="shared" si="19"/>
        <v>14053</v>
      </c>
      <c r="Y23" s="276" t="str">
        <f t="shared" si="20"/>
        <v>ok</v>
      </c>
      <c r="Z23" s="276">
        <f t="shared" si="8"/>
        <v>0</v>
      </c>
      <c r="AA23" s="276">
        <f t="shared" si="21"/>
        <v>0</v>
      </c>
      <c r="AB23" s="276">
        <f t="shared" si="22"/>
        <v>500</v>
      </c>
      <c r="AC23" s="276">
        <f t="shared" si="23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4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5"/>
        <v>0</v>
      </c>
    </row>
    <row r="24" spans="1:38" ht="15.75" thickBot="1">
      <c r="A24" s="4">
        <f>ELEC!C25</f>
        <v>44703</v>
      </c>
      <c r="B24" s="502">
        <v>11748</v>
      </c>
      <c r="C24" s="276">
        <f t="shared" si="12"/>
        <v>8</v>
      </c>
      <c r="D24" s="503">
        <f t="shared" si="26"/>
        <v>680381</v>
      </c>
      <c r="E24" s="276">
        <f t="shared" si="13"/>
        <v>680</v>
      </c>
      <c r="F24" s="276">
        <f t="shared" si="0"/>
        <v>85</v>
      </c>
      <c r="G24" s="196"/>
      <c r="H24" s="260">
        <f t="shared" si="14"/>
        <v>12231</v>
      </c>
      <c r="I24" s="276" t="str">
        <f t="shared" si="1"/>
        <v>ok</v>
      </c>
      <c r="J24" s="502">
        <f t="shared" si="15"/>
        <v>10800</v>
      </c>
      <c r="K24" s="276">
        <f t="shared" si="2"/>
        <v>0</v>
      </c>
      <c r="L24" s="503">
        <f t="shared" si="30"/>
        <v>382691</v>
      </c>
      <c r="M24" s="276">
        <f t="shared" si="3"/>
        <v>0</v>
      </c>
      <c r="N24" s="276">
        <v>250</v>
      </c>
      <c r="O24" s="196"/>
      <c r="P24" s="277">
        <f t="shared" si="17"/>
        <v>10873</v>
      </c>
      <c r="Q24" s="276" t="str">
        <f t="shared" si="33"/>
        <v>ok</v>
      </c>
      <c r="R24" s="502">
        <v>13905</v>
      </c>
      <c r="S24" s="276">
        <f t="shared" si="5"/>
        <v>4</v>
      </c>
      <c r="T24" s="503">
        <f t="shared" si="31"/>
        <v>415762</v>
      </c>
      <c r="U24" s="276">
        <f t="shared" si="32"/>
        <v>1000</v>
      </c>
      <c r="V24" s="276">
        <v>250</v>
      </c>
      <c r="W24" s="196"/>
      <c r="X24" s="260">
        <f t="shared" si="19"/>
        <v>14053</v>
      </c>
      <c r="Y24" s="276" t="str">
        <f t="shared" si="20"/>
        <v>ok</v>
      </c>
      <c r="Z24" s="276">
        <f t="shared" si="8"/>
        <v>12</v>
      </c>
      <c r="AA24" s="276">
        <f t="shared" si="21"/>
        <v>1680</v>
      </c>
      <c r="AB24" s="276">
        <f t="shared" si="22"/>
        <v>585</v>
      </c>
      <c r="AC24" s="276">
        <f t="shared" si="23"/>
        <v>140</v>
      </c>
      <c r="AD24" s="73">
        <f>ELEC!Q25</f>
        <v>3695.0000000033469</v>
      </c>
      <c r="AE24" s="73">
        <f t="shared" si="27"/>
        <v>307.91666666694556</v>
      </c>
      <c r="AF24" s="387">
        <f t="shared" si="28"/>
        <v>0.19244791666684097</v>
      </c>
      <c r="AG24" s="387">
        <f t="shared" si="28"/>
        <v>1.2027994791677561E-4</v>
      </c>
      <c r="AH24" s="388">
        <f t="shared" si="24"/>
        <v>139.99987972005209</v>
      </c>
      <c r="AI24" s="73">
        <f t="shared" si="29"/>
        <v>951.0337552751231</v>
      </c>
      <c r="AJ24" s="278">
        <f t="shared" si="9"/>
        <v>0.25738396624472576</v>
      </c>
      <c r="AK24" s="278">
        <f t="shared" si="10"/>
        <v>79.252812939593596</v>
      </c>
      <c r="AL24">
        <f t="shared" si="25"/>
        <v>1</v>
      </c>
    </row>
    <row r="25" spans="1:38" ht="15.75" thickBot="1">
      <c r="A25" s="4">
        <f>ELEC!C26</f>
        <v>44704</v>
      </c>
      <c r="B25" s="502">
        <f t="shared" si="11"/>
        <v>11748</v>
      </c>
      <c r="C25" s="276">
        <f t="shared" si="12"/>
        <v>0</v>
      </c>
      <c r="D25" s="503">
        <f t="shared" si="26"/>
        <v>680381</v>
      </c>
      <c r="E25" s="276">
        <f t="shared" si="13"/>
        <v>0</v>
      </c>
      <c r="F25" s="276">
        <f t="shared" si="0"/>
        <v>0</v>
      </c>
      <c r="G25" s="196"/>
      <c r="H25" s="260">
        <f t="shared" si="14"/>
        <v>12231</v>
      </c>
      <c r="I25" s="276" t="str">
        <f t="shared" si="1"/>
        <v>ok</v>
      </c>
      <c r="J25" s="502">
        <f t="shared" si="15"/>
        <v>10800</v>
      </c>
      <c r="K25" s="276">
        <f t="shared" si="2"/>
        <v>0</v>
      </c>
      <c r="L25" s="503">
        <f t="shared" si="30"/>
        <v>382691</v>
      </c>
      <c r="M25" s="276">
        <f t="shared" si="3"/>
        <v>0</v>
      </c>
      <c r="N25" s="276">
        <v>250</v>
      </c>
      <c r="O25" s="196"/>
      <c r="P25" s="277">
        <f t="shared" si="17"/>
        <v>10873</v>
      </c>
      <c r="Q25" s="276" t="str">
        <f t="shared" si="33"/>
        <v>ok</v>
      </c>
      <c r="R25" s="502">
        <f t="shared" si="18"/>
        <v>13905</v>
      </c>
      <c r="S25" s="276">
        <f t="shared" si="5"/>
        <v>0</v>
      </c>
      <c r="T25" s="503">
        <f t="shared" si="31"/>
        <v>415762</v>
      </c>
      <c r="U25" s="276">
        <f t="shared" si="32"/>
        <v>0</v>
      </c>
      <c r="V25" s="276">
        <v>250</v>
      </c>
      <c r="W25" s="196"/>
      <c r="X25" s="260">
        <f t="shared" si="19"/>
        <v>14053</v>
      </c>
      <c r="Y25" s="276" t="str">
        <f t="shared" si="20"/>
        <v>ok</v>
      </c>
      <c r="Z25" s="276">
        <f t="shared" si="8"/>
        <v>0</v>
      </c>
      <c r="AA25" s="276">
        <f t="shared" si="21"/>
        <v>0</v>
      </c>
      <c r="AB25" s="276">
        <f t="shared" si="22"/>
        <v>500</v>
      </c>
      <c r="AC25" s="276">
        <f t="shared" si="23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4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44705</v>
      </c>
      <c r="B26" s="502">
        <f t="shared" si="11"/>
        <v>11748</v>
      </c>
      <c r="C26" s="276">
        <f>B26-B25</f>
        <v>0</v>
      </c>
      <c r="D26" s="503">
        <f t="shared" si="26"/>
        <v>680381</v>
      </c>
      <c r="E26" s="276">
        <f>SUM(D26-D25)</f>
        <v>0</v>
      </c>
      <c r="F26" s="276">
        <f t="shared" si="0"/>
        <v>0</v>
      </c>
      <c r="G26" s="196"/>
      <c r="H26" s="260">
        <f t="shared" si="14"/>
        <v>12231</v>
      </c>
      <c r="I26" s="276" t="str">
        <f t="shared" si="1"/>
        <v>ok</v>
      </c>
      <c r="J26" s="502">
        <f t="shared" si="15"/>
        <v>10800</v>
      </c>
      <c r="K26" s="276">
        <f t="shared" si="2"/>
        <v>0</v>
      </c>
      <c r="L26" s="503">
        <f t="shared" si="30"/>
        <v>382691</v>
      </c>
      <c r="M26" s="276">
        <f t="shared" si="3"/>
        <v>0</v>
      </c>
      <c r="N26" s="276">
        <v>250</v>
      </c>
      <c r="O26" s="196"/>
      <c r="P26" s="277">
        <f t="shared" si="17"/>
        <v>10873</v>
      </c>
      <c r="Q26" s="276" t="str">
        <f t="shared" si="33"/>
        <v>ok</v>
      </c>
      <c r="R26" s="502">
        <f t="shared" si="18"/>
        <v>13905</v>
      </c>
      <c r="S26" s="276">
        <f>R26-R25</f>
        <v>0</v>
      </c>
      <c r="T26" s="503">
        <f t="shared" si="31"/>
        <v>415762</v>
      </c>
      <c r="U26" s="276">
        <f t="shared" si="32"/>
        <v>0</v>
      </c>
      <c r="V26" s="276">
        <v>250</v>
      </c>
      <c r="W26" s="196"/>
      <c r="X26" s="260">
        <f>X25</f>
        <v>14053</v>
      </c>
      <c r="Y26" s="276" t="str">
        <f t="shared" si="20"/>
        <v>ok</v>
      </c>
      <c r="Z26" s="276">
        <f t="shared" si="8"/>
        <v>0</v>
      </c>
      <c r="AA26" s="276">
        <f t="shared" si="21"/>
        <v>0</v>
      </c>
      <c r="AB26" s="276">
        <f t="shared" si="22"/>
        <v>500</v>
      </c>
      <c r="AC26" s="276">
        <f t="shared" si="23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4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5"/>
        <v>0</v>
      </c>
    </row>
    <row r="27" spans="1:38" ht="15.75" thickBot="1">
      <c r="A27" s="4">
        <f>ELEC!C28</f>
        <v>44706</v>
      </c>
      <c r="B27" s="502">
        <f t="shared" si="11"/>
        <v>11748</v>
      </c>
      <c r="C27" s="276">
        <f>B27-B26</f>
        <v>0</v>
      </c>
      <c r="D27" s="503">
        <f t="shared" si="26"/>
        <v>680381</v>
      </c>
      <c r="E27" s="276">
        <f>SUM(D27-D26)</f>
        <v>0</v>
      </c>
      <c r="F27" s="276">
        <f t="shared" si="0"/>
        <v>0</v>
      </c>
      <c r="G27" s="196"/>
      <c r="H27" s="260">
        <f t="shared" si="14"/>
        <v>12231</v>
      </c>
      <c r="I27" s="276" t="str">
        <f>IF(B27-H27&lt;=0,"ok","oil change")</f>
        <v>ok</v>
      </c>
      <c r="J27" s="502">
        <f t="shared" si="15"/>
        <v>10800</v>
      </c>
      <c r="K27" s="276">
        <f t="shared" si="2"/>
        <v>0</v>
      </c>
      <c r="L27" s="503">
        <f t="shared" si="30"/>
        <v>382691</v>
      </c>
      <c r="M27" s="276">
        <f t="shared" si="3"/>
        <v>0</v>
      </c>
      <c r="N27" s="276">
        <v>250</v>
      </c>
      <c r="O27" s="196"/>
      <c r="P27" s="277">
        <f t="shared" si="17"/>
        <v>10873</v>
      </c>
      <c r="Q27" s="276" t="str">
        <f t="shared" si="33"/>
        <v>ok</v>
      </c>
      <c r="R27" s="502">
        <f t="shared" si="18"/>
        <v>13905</v>
      </c>
      <c r="S27" s="276">
        <f t="shared" si="5"/>
        <v>0</v>
      </c>
      <c r="T27" s="503">
        <f t="shared" si="31"/>
        <v>415762</v>
      </c>
      <c r="U27" s="276">
        <f t="shared" si="32"/>
        <v>0</v>
      </c>
      <c r="V27" s="276">
        <v>250</v>
      </c>
      <c r="W27" s="196"/>
      <c r="X27" s="260">
        <f t="shared" si="19"/>
        <v>14053</v>
      </c>
      <c r="Y27" s="276" t="str">
        <f t="shared" si="20"/>
        <v>ok</v>
      </c>
      <c r="Z27" s="276">
        <f t="shared" si="8"/>
        <v>0</v>
      </c>
      <c r="AA27" s="276">
        <f t="shared" si="21"/>
        <v>0</v>
      </c>
      <c r="AB27" s="276">
        <f t="shared" si="22"/>
        <v>500</v>
      </c>
      <c r="AC27" s="276">
        <f t="shared" si="23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4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5"/>
        <v>0</v>
      </c>
    </row>
    <row r="28" spans="1:38" ht="15.75" thickBot="1">
      <c r="A28" s="4">
        <f>ELEC!C29</f>
        <v>44707</v>
      </c>
      <c r="B28" s="502">
        <f t="shared" si="11"/>
        <v>11748</v>
      </c>
      <c r="C28" s="276">
        <f t="shared" si="12"/>
        <v>0</v>
      </c>
      <c r="D28" s="503">
        <f t="shared" si="26"/>
        <v>680381</v>
      </c>
      <c r="E28" s="276">
        <f>SUM(D28-D27)</f>
        <v>0</v>
      </c>
      <c r="F28" s="276">
        <f t="shared" si="0"/>
        <v>0</v>
      </c>
      <c r="G28" s="274"/>
      <c r="H28" s="260">
        <f t="shared" si="14"/>
        <v>12231</v>
      </c>
      <c r="I28" s="276" t="str">
        <f t="shared" si="1"/>
        <v>ok</v>
      </c>
      <c r="J28" s="502">
        <f t="shared" si="15"/>
        <v>10800</v>
      </c>
      <c r="K28" s="276">
        <f t="shared" si="2"/>
        <v>0</v>
      </c>
      <c r="L28" s="503">
        <f t="shared" si="30"/>
        <v>382691</v>
      </c>
      <c r="M28" s="276">
        <f t="shared" si="3"/>
        <v>0</v>
      </c>
      <c r="N28" s="276">
        <v>250</v>
      </c>
      <c r="O28" s="196"/>
      <c r="P28" s="277">
        <f t="shared" si="17"/>
        <v>10873</v>
      </c>
      <c r="Q28" s="276" t="str">
        <f t="shared" si="33"/>
        <v>ok</v>
      </c>
      <c r="R28" s="502">
        <f t="shared" si="18"/>
        <v>13905</v>
      </c>
      <c r="S28" s="276">
        <f t="shared" si="5"/>
        <v>0</v>
      </c>
      <c r="T28" s="503">
        <f t="shared" si="31"/>
        <v>415762</v>
      </c>
      <c r="U28" s="276">
        <f t="shared" si="32"/>
        <v>0</v>
      </c>
      <c r="V28" s="276">
        <v>250</v>
      </c>
      <c r="W28" s="196"/>
      <c r="X28" s="260">
        <f t="shared" si="19"/>
        <v>14053</v>
      </c>
      <c r="Y28" s="276" t="str">
        <f t="shared" si="20"/>
        <v>ok</v>
      </c>
      <c r="Z28" s="276">
        <f t="shared" si="8"/>
        <v>0</v>
      </c>
      <c r="AA28" s="276">
        <f t="shared" si="21"/>
        <v>0</v>
      </c>
      <c r="AB28" s="276">
        <f t="shared" si="22"/>
        <v>500</v>
      </c>
      <c r="AC28" s="276">
        <f t="shared" si="23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4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5"/>
        <v>0</v>
      </c>
    </row>
    <row r="29" spans="1:38" ht="15.75" thickBot="1">
      <c r="A29" s="4">
        <f>ELEC!C30</f>
        <v>44708</v>
      </c>
      <c r="B29" s="502">
        <f t="shared" si="11"/>
        <v>11748</v>
      </c>
      <c r="C29" s="276">
        <f t="shared" si="12"/>
        <v>0</v>
      </c>
      <c r="D29" s="503">
        <f t="shared" si="26"/>
        <v>680381</v>
      </c>
      <c r="E29" s="276">
        <f>SUM(D29-D28)</f>
        <v>0</v>
      </c>
      <c r="F29" s="276">
        <f t="shared" si="0"/>
        <v>0</v>
      </c>
      <c r="G29" s="196"/>
      <c r="H29" s="260">
        <f t="shared" si="14"/>
        <v>12231</v>
      </c>
      <c r="I29" s="276" t="str">
        <f t="shared" si="1"/>
        <v>ok</v>
      </c>
      <c r="J29" s="502">
        <f t="shared" si="15"/>
        <v>10800</v>
      </c>
      <c r="K29" s="276">
        <f t="shared" si="2"/>
        <v>0</v>
      </c>
      <c r="L29" s="503">
        <f t="shared" si="30"/>
        <v>382691</v>
      </c>
      <c r="M29" s="276">
        <f t="shared" si="3"/>
        <v>0</v>
      </c>
      <c r="N29" s="276">
        <v>250</v>
      </c>
      <c r="O29" s="196"/>
      <c r="P29" s="277">
        <f t="shared" si="17"/>
        <v>10873</v>
      </c>
      <c r="Q29" s="276" t="str">
        <f t="shared" si="33"/>
        <v>ok</v>
      </c>
      <c r="R29" s="502">
        <f t="shared" si="18"/>
        <v>13905</v>
      </c>
      <c r="S29" s="276">
        <f t="shared" si="5"/>
        <v>0</v>
      </c>
      <c r="T29" s="503">
        <f t="shared" si="31"/>
        <v>415762</v>
      </c>
      <c r="U29" s="276">
        <f>V29*S29</f>
        <v>0</v>
      </c>
      <c r="V29" s="276">
        <v>250</v>
      </c>
      <c r="W29" s="196"/>
      <c r="X29" s="260">
        <f t="shared" si="19"/>
        <v>14053</v>
      </c>
      <c r="Y29" s="276" t="str">
        <f t="shared" si="20"/>
        <v>ok</v>
      </c>
      <c r="Z29" s="276">
        <f t="shared" si="8"/>
        <v>0</v>
      </c>
      <c r="AA29" s="276">
        <f t="shared" si="21"/>
        <v>0</v>
      </c>
      <c r="AB29" s="276">
        <f t="shared" si="22"/>
        <v>500</v>
      </c>
      <c r="AC29" s="276">
        <f t="shared" si="23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4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44709</v>
      </c>
      <c r="B30" s="502">
        <f t="shared" si="11"/>
        <v>11748</v>
      </c>
      <c r="C30" s="276">
        <f t="shared" si="12"/>
        <v>0</v>
      </c>
      <c r="D30" s="503">
        <f t="shared" si="26"/>
        <v>680381</v>
      </c>
      <c r="E30" s="276">
        <f>SUM(D30-D29)</f>
        <v>0</v>
      </c>
      <c r="F30" s="276">
        <f t="shared" si="0"/>
        <v>0</v>
      </c>
      <c r="G30" s="196"/>
      <c r="H30" s="260">
        <f t="shared" si="14"/>
        <v>12231</v>
      </c>
      <c r="I30" s="276" t="str">
        <f t="shared" si="1"/>
        <v>ok</v>
      </c>
      <c r="J30" s="502">
        <f t="shared" si="15"/>
        <v>10800</v>
      </c>
      <c r="K30" s="276">
        <f t="shared" si="2"/>
        <v>0</v>
      </c>
      <c r="L30" s="503">
        <f t="shared" si="30"/>
        <v>382691</v>
      </c>
      <c r="M30" s="276">
        <f t="shared" si="3"/>
        <v>0</v>
      </c>
      <c r="N30" s="276">
        <v>250</v>
      </c>
      <c r="O30" s="196"/>
      <c r="P30" s="277">
        <f t="shared" si="17"/>
        <v>10873</v>
      </c>
      <c r="Q30" s="276" t="str">
        <f t="shared" si="33"/>
        <v>ok</v>
      </c>
      <c r="R30" s="502">
        <f t="shared" si="18"/>
        <v>13905</v>
      </c>
      <c r="S30" s="276">
        <f t="shared" si="5"/>
        <v>0</v>
      </c>
      <c r="T30" s="503">
        <f t="shared" si="31"/>
        <v>415762</v>
      </c>
      <c r="U30" s="276">
        <f t="shared" si="32"/>
        <v>0</v>
      </c>
      <c r="V30" s="276">
        <v>250</v>
      </c>
      <c r="W30" s="274"/>
      <c r="X30" s="260">
        <f>X29</f>
        <v>14053</v>
      </c>
      <c r="Y30" s="276" t="str">
        <f t="shared" si="20"/>
        <v>ok</v>
      </c>
      <c r="Z30" s="276">
        <f t="shared" si="8"/>
        <v>0</v>
      </c>
      <c r="AA30" s="276">
        <f t="shared" si="21"/>
        <v>0</v>
      </c>
      <c r="AB30" s="276">
        <f t="shared" si="22"/>
        <v>500</v>
      </c>
      <c r="AC30" s="276">
        <f t="shared" si="23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4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44710</v>
      </c>
      <c r="B31" s="502">
        <f t="shared" si="11"/>
        <v>11748</v>
      </c>
      <c r="C31" s="276">
        <f t="shared" ref="C31:C33" si="34">B31-B30</f>
        <v>0</v>
      </c>
      <c r="D31" s="503">
        <f t="shared" si="26"/>
        <v>680381</v>
      </c>
      <c r="E31" s="276">
        <f t="shared" ref="E31:E33" si="35">SUM(D31-D30)</f>
        <v>0</v>
      </c>
      <c r="F31" s="276">
        <f t="shared" ref="F31:F33" si="36">IF(C31&gt;0,E31/C31,0)</f>
        <v>0</v>
      </c>
      <c r="G31" s="323"/>
      <c r="H31" s="260">
        <f t="shared" si="14"/>
        <v>12231</v>
      </c>
      <c r="I31" s="276" t="str">
        <f t="shared" ref="I31:I33" si="37">IF(B31-H31&lt;=0,"ok","oil change")</f>
        <v>ok</v>
      </c>
      <c r="J31" s="502">
        <f t="shared" si="15"/>
        <v>10800</v>
      </c>
      <c r="K31" s="276">
        <f t="shared" si="2"/>
        <v>0</v>
      </c>
      <c r="L31" s="503">
        <f t="shared" si="30"/>
        <v>382691</v>
      </c>
      <c r="M31" s="276">
        <f t="shared" si="3"/>
        <v>0</v>
      </c>
      <c r="N31" s="276">
        <v>250</v>
      </c>
      <c r="O31" s="323"/>
      <c r="P31" s="277">
        <f t="shared" si="17"/>
        <v>10873</v>
      </c>
      <c r="Q31" s="276" t="str">
        <f t="shared" ref="Q31:Q33" si="38">IF(J31-P31&lt;=0,"ok","oil change")</f>
        <v>ok</v>
      </c>
      <c r="R31" s="502">
        <f t="shared" si="18"/>
        <v>13905</v>
      </c>
      <c r="S31" s="276">
        <f t="shared" ref="S31:S33" si="39">R31-R30</f>
        <v>0</v>
      </c>
      <c r="T31" s="503">
        <f t="shared" si="31"/>
        <v>415762</v>
      </c>
      <c r="U31" s="276">
        <f t="shared" ref="U31:U33" si="40">V31*S31</f>
        <v>0</v>
      </c>
      <c r="V31" s="276">
        <v>250</v>
      </c>
      <c r="W31" s="323"/>
      <c r="X31" s="260">
        <f t="shared" si="19"/>
        <v>14053</v>
      </c>
      <c r="Y31" s="276" t="str">
        <f t="shared" si="20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44711</v>
      </c>
      <c r="B32" s="502">
        <f t="shared" si="11"/>
        <v>11748</v>
      </c>
      <c r="C32" s="276">
        <f t="shared" si="34"/>
        <v>0</v>
      </c>
      <c r="D32" s="503">
        <f t="shared" si="26"/>
        <v>680381</v>
      </c>
      <c r="E32" s="276">
        <f t="shared" si="35"/>
        <v>0</v>
      </c>
      <c r="F32" s="276">
        <f t="shared" si="36"/>
        <v>0</v>
      </c>
      <c r="G32" s="323"/>
      <c r="H32" s="260">
        <f t="shared" si="14"/>
        <v>12231</v>
      </c>
      <c r="I32" s="276" t="str">
        <f t="shared" si="37"/>
        <v>ok</v>
      </c>
      <c r="J32" s="502">
        <f t="shared" si="15"/>
        <v>10800</v>
      </c>
      <c r="K32" s="276">
        <f t="shared" si="2"/>
        <v>0</v>
      </c>
      <c r="L32" s="503">
        <f t="shared" si="30"/>
        <v>382691</v>
      </c>
      <c r="M32" s="276">
        <f t="shared" si="3"/>
        <v>0</v>
      </c>
      <c r="N32" s="276">
        <v>250</v>
      </c>
      <c r="O32" s="323"/>
      <c r="P32" s="277">
        <f t="shared" si="17"/>
        <v>10873</v>
      </c>
      <c r="Q32" s="276" t="str">
        <f t="shared" si="38"/>
        <v>ok</v>
      </c>
      <c r="R32" s="502">
        <f t="shared" si="18"/>
        <v>13905</v>
      </c>
      <c r="S32" s="276">
        <f t="shared" si="39"/>
        <v>0</v>
      </c>
      <c r="T32" s="503">
        <f t="shared" si="31"/>
        <v>415762</v>
      </c>
      <c r="U32" s="276">
        <f t="shared" si="40"/>
        <v>0</v>
      </c>
      <c r="V32" s="276">
        <v>250</v>
      </c>
      <c r="W32" s="323"/>
      <c r="X32" s="260">
        <f t="shared" si="19"/>
        <v>14053</v>
      </c>
      <c r="Y32" s="276" t="str">
        <f t="shared" si="20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44712</v>
      </c>
      <c r="B33" s="502">
        <f t="shared" si="11"/>
        <v>11748</v>
      </c>
      <c r="C33" s="276">
        <f t="shared" si="34"/>
        <v>0</v>
      </c>
      <c r="D33" s="503">
        <f t="shared" si="26"/>
        <v>680381</v>
      </c>
      <c r="E33" s="276">
        <f t="shared" si="35"/>
        <v>0</v>
      </c>
      <c r="F33" s="276">
        <f t="shared" si="36"/>
        <v>0</v>
      </c>
      <c r="G33" s="323"/>
      <c r="H33" s="260">
        <f t="shared" si="14"/>
        <v>12231</v>
      </c>
      <c r="I33" s="276" t="str">
        <f t="shared" si="37"/>
        <v>ok</v>
      </c>
      <c r="J33" s="502">
        <f t="shared" si="15"/>
        <v>10800</v>
      </c>
      <c r="K33" s="276">
        <f t="shared" si="2"/>
        <v>0</v>
      </c>
      <c r="L33" s="503">
        <f t="shared" si="30"/>
        <v>382691</v>
      </c>
      <c r="M33" s="276">
        <f t="shared" si="3"/>
        <v>0</v>
      </c>
      <c r="N33" s="276">
        <v>250</v>
      </c>
      <c r="O33" s="323"/>
      <c r="P33" s="277">
        <f t="shared" si="17"/>
        <v>10873</v>
      </c>
      <c r="Q33" s="276" t="str">
        <f t="shared" si="38"/>
        <v>ok</v>
      </c>
      <c r="R33" s="502">
        <f t="shared" si="18"/>
        <v>13905</v>
      </c>
      <c r="S33" s="276">
        <f t="shared" si="39"/>
        <v>0</v>
      </c>
      <c r="T33" s="503">
        <f t="shared" si="31"/>
        <v>415762</v>
      </c>
      <c r="U33" s="276">
        <f t="shared" si="40"/>
        <v>0</v>
      </c>
      <c r="V33" s="276">
        <v>250</v>
      </c>
      <c r="W33" s="323"/>
      <c r="X33" s="260">
        <f t="shared" si="19"/>
        <v>14053</v>
      </c>
      <c r="Y33" s="276" t="str">
        <f t="shared" si="20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148</v>
      </c>
      <c r="V34" s="40"/>
      <c r="X34">
        <v>341</v>
      </c>
      <c r="Z34" s="404">
        <f>SUM(Z3:Z33)</f>
        <v>148</v>
      </c>
      <c r="AF34" s="387">
        <f>SUM(AE34/1600)</f>
        <v>0</v>
      </c>
      <c r="AL34">
        <f>SUM(AL3:AL33)</f>
        <v>14</v>
      </c>
    </row>
    <row r="35" spans="1:38">
      <c r="C35" s="40">
        <f>SUM(C3:C33)</f>
        <v>119</v>
      </c>
      <c r="K35" s="40">
        <f>SUM(K3:K33)</f>
        <v>4</v>
      </c>
      <c r="S35" s="40">
        <f>SUM(S3:S33)</f>
        <v>25</v>
      </c>
      <c r="U35" s="40"/>
      <c r="V35" s="40"/>
      <c r="X35" s="40"/>
    </row>
  </sheetData>
  <conditionalFormatting sqref="Z3:Z33 C3:C33 S3:S33 K3:K33">
    <cfRule type="cellIs" dxfId="6" priority="11" stopIfTrue="1" operator="equal">
      <formula>0</formula>
    </cfRule>
  </conditionalFormatting>
  <conditionalFormatting sqref="AA3:AB33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tabSelected="1" zoomScale="85" zoomScaleNormal="85" workbookViewId="0">
      <pane xSplit="1" topLeftCell="AP1" activePane="topRight" state="frozen"/>
      <selection pane="topRight" activeCell="AU27" sqref="AU27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9" t="s">
        <v>108</v>
      </c>
      <c r="AS3" s="649" t="s">
        <v>231</v>
      </c>
      <c r="AT3" s="647" t="s">
        <v>299</v>
      </c>
      <c r="AU3" s="648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0"/>
      <c r="AS4" s="650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44681</v>
      </c>
      <c r="B5" s="499">
        <f>[2]tanks!B35</f>
        <v>233</v>
      </c>
      <c r="C5" s="499">
        <f>[2]tanks!C35</f>
        <v>5013.2580645161288</v>
      </c>
      <c r="D5" s="499">
        <f>[2]tanks!D35</f>
        <v>233</v>
      </c>
      <c r="E5" s="499">
        <f>[2]tanks!E35</f>
        <v>5013.2580645161288</v>
      </c>
      <c r="F5" s="499">
        <f>[2]tanks!F35</f>
        <v>233</v>
      </c>
      <c r="G5" s="499">
        <f>[2]tanks!G35</f>
        <v>5013.2580645161288</v>
      </c>
      <c r="H5" s="499">
        <f>[2]tanks!H35</f>
        <v>233</v>
      </c>
      <c r="I5" s="499">
        <f>[2]tanks!I35</f>
        <v>5013.2580645161288</v>
      </c>
      <c r="J5" s="499">
        <f>[2]tanks!J35</f>
        <v>233</v>
      </c>
      <c r="K5" s="499">
        <f>[2]tanks!K35</f>
        <v>5013.2580645161288</v>
      </c>
      <c r="L5" s="499">
        <f>[2]tanks!L35</f>
        <v>233</v>
      </c>
      <c r="M5" s="499">
        <f>[2]tanks!M35</f>
        <v>5013.2580645161288</v>
      </c>
      <c r="N5" s="499">
        <f>[2]tanks!N35</f>
        <v>233</v>
      </c>
      <c r="O5" s="499">
        <f>[2]tanks!O35</f>
        <v>5013.2580645161288</v>
      </c>
      <c r="P5" s="499">
        <f>[2]tanks!P35</f>
        <v>233</v>
      </c>
      <c r="Q5" s="499">
        <f>[2]tanks!Q35</f>
        <v>5013.2580645161288</v>
      </c>
      <c r="R5" s="499">
        <f>[2]tanks!R35</f>
        <v>233</v>
      </c>
      <c r="S5" s="499">
        <f>[2]tanks!S35</f>
        <v>5013.2580645161288</v>
      </c>
      <c r="T5" s="499">
        <f>[2]tanks!T35</f>
        <v>233</v>
      </c>
      <c r="U5" s="499">
        <f>[2]tanks!U35</f>
        <v>5013.2580645161288</v>
      </c>
      <c r="V5" s="499">
        <f>[2]tanks!V35</f>
        <v>233</v>
      </c>
      <c r="W5" s="499">
        <f>[2]tanks!W35</f>
        <v>5013.2580645161288</v>
      </c>
      <c r="X5" s="499">
        <f>[2]tanks!X35</f>
        <v>0.75161290322580643</v>
      </c>
      <c r="Y5" s="499">
        <f>[2]tanks!Y35</f>
        <v>55145.838709677417</v>
      </c>
      <c r="Z5" s="499">
        <f>[2]tanks!Z35</f>
        <v>239</v>
      </c>
      <c r="AA5" s="499">
        <f>[2]tanks!AA35</f>
        <v>2390</v>
      </c>
      <c r="AB5" s="499">
        <f>[2]tanks!AB35</f>
        <v>239</v>
      </c>
      <c r="AC5" s="499">
        <f>[2]tanks!AC35</f>
        <v>2390</v>
      </c>
      <c r="AD5" s="499">
        <f>[2]tanks!AD35</f>
        <v>239</v>
      </c>
      <c r="AE5" s="499">
        <f>[2]tanks!AE35</f>
        <v>2390</v>
      </c>
      <c r="AF5" s="499">
        <f>[2]tanks!AF35</f>
        <v>239</v>
      </c>
      <c r="AG5" s="499">
        <f>[2]tanks!AG35</f>
        <v>2390</v>
      </c>
      <c r="AH5" s="499">
        <f>[2]tanks!AH35</f>
        <v>239</v>
      </c>
      <c r="AI5" s="499">
        <f>[2]tanks!AI35</f>
        <v>2390</v>
      </c>
      <c r="AJ5" s="499">
        <f>[2]tanks!AJ35</f>
        <v>239</v>
      </c>
      <c r="AK5" s="499">
        <f>[2]tanks!AK35</f>
        <v>2390</v>
      </c>
      <c r="AL5" s="499">
        <f>[2]tanks!AL35</f>
        <v>239</v>
      </c>
      <c r="AM5" s="499">
        <f>[2]tanks!AM35</f>
        <v>2390</v>
      </c>
      <c r="AN5" s="476">
        <f>[2]tanks!AN35</f>
        <v>0.85357142857142854</v>
      </c>
      <c r="AO5" s="499">
        <f>[2]tanks!AO35</f>
        <v>16730</v>
      </c>
      <c r="AP5" s="499"/>
      <c r="AQ5" s="476">
        <f>[2]tanks!AQ35</f>
        <v>0.77310787038482764</v>
      </c>
      <c r="AR5" s="476">
        <f>[2]tanks!AR35</f>
        <v>71875.838709677424</v>
      </c>
      <c r="AS5" s="476">
        <f>[2]tanks!AS35</f>
        <v>0</v>
      </c>
      <c r="AT5" s="476">
        <f>[2]tanks!AT35</f>
        <v>0</v>
      </c>
      <c r="AU5" s="476">
        <f>[2]tanks!AU35</f>
        <v>0</v>
      </c>
      <c r="AV5" s="476">
        <f>[2]tanks!AV35</f>
        <v>1.05</v>
      </c>
      <c r="AW5" s="476">
        <f>[2]tanks!AW35</f>
        <v>0</v>
      </c>
      <c r="AX5" s="476">
        <f>[2]tanks!AX35</f>
        <v>0</v>
      </c>
      <c r="AY5" s="476">
        <f>[2]tanks!AY35</f>
        <v>0</v>
      </c>
      <c r="AZ5" s="476">
        <f>[2]tanks!AZ35</f>
        <v>0</v>
      </c>
      <c r="BA5" s="476">
        <f>[2]tanks!BA35</f>
        <v>0</v>
      </c>
      <c r="BB5" s="476">
        <f>[2]tanks!BB35</f>
        <v>0</v>
      </c>
      <c r="BC5" s="476">
        <f>[2]tanks!BC35</f>
        <v>0</v>
      </c>
      <c r="BD5" s="476">
        <f>[2]tanks!BD35</f>
        <v>19224</v>
      </c>
      <c r="BE5" s="476" t="e">
        <f>[2]tanks!BE35</f>
        <v>#REF!</v>
      </c>
      <c r="BF5" s="476">
        <f>[2]tanks!BF35</f>
        <v>0</v>
      </c>
      <c r="BG5" s="476" t="e">
        <f>[2]tanks!BG35</f>
        <v>#REF!</v>
      </c>
      <c r="BH5" s="476">
        <f>[2]tanks!BH35</f>
        <v>0</v>
      </c>
      <c r="BI5" s="572">
        <f>[5]tanks!BI36</f>
        <v>23</v>
      </c>
    </row>
    <row r="6" spans="1:63">
      <c r="A6" s="425">
        <f>ELEC!C4</f>
        <v>44682</v>
      </c>
      <c r="B6" s="499">
        <f>'B5'!B5</f>
        <v>233</v>
      </c>
      <c r="C6" s="203">
        <f>B6*$B$4</f>
        <v>5013.2580645161288</v>
      </c>
      <c r="D6">
        <f>SUM(B6)</f>
        <v>233</v>
      </c>
      <c r="E6" s="203">
        <f>D6*$B$4</f>
        <v>5013.2580645161288</v>
      </c>
      <c r="F6">
        <f>SUM(D6)</f>
        <v>233</v>
      </c>
      <c r="G6" s="203">
        <f t="shared" ref="G6:G33" si="1">F6*$B$4</f>
        <v>5013.2580645161288</v>
      </c>
      <c r="H6" s="203">
        <f>SUM(F6)</f>
        <v>233</v>
      </c>
      <c r="I6" s="203">
        <f t="shared" ref="I6:I33" si="2">H6*$B$4</f>
        <v>5013.2580645161288</v>
      </c>
      <c r="J6" s="203">
        <f>SUM(H6)</f>
        <v>233</v>
      </c>
      <c r="K6" s="203">
        <f t="shared" ref="K6:K33" si="3">J6*$B$4</f>
        <v>5013.2580645161288</v>
      </c>
      <c r="L6" s="203">
        <f>SUM(J6)</f>
        <v>233</v>
      </c>
      <c r="M6" s="203">
        <f t="shared" ref="M6:M33" si="4">L6*$B$4</f>
        <v>5013.2580645161288</v>
      </c>
      <c r="N6" s="203">
        <f>SUM(L6)</f>
        <v>233</v>
      </c>
      <c r="O6" s="203">
        <f t="shared" ref="O6:O33" si="5">N6*$B$4</f>
        <v>5013.2580645161288</v>
      </c>
      <c r="P6" s="203">
        <f>SUM(N6)</f>
        <v>233</v>
      </c>
      <c r="Q6" s="203">
        <f t="shared" ref="Q6:Q33" si="6">P6*$B$4</f>
        <v>5013.2580645161288</v>
      </c>
      <c r="R6" s="203">
        <f>SUM(P6)</f>
        <v>233</v>
      </c>
      <c r="S6" s="203">
        <f t="shared" ref="S6:S33" si="7">R6*$B$4</f>
        <v>5013.2580645161288</v>
      </c>
      <c r="T6" s="203">
        <f>SUM(R6)</f>
        <v>233</v>
      </c>
      <c r="U6" s="203">
        <f t="shared" ref="U6:U33" si="8">T6*$B$4</f>
        <v>5013.2580645161288</v>
      </c>
      <c r="V6" s="203">
        <f>SUM(T6)</f>
        <v>233</v>
      </c>
      <c r="W6" s="203">
        <f t="shared" ref="W6:W33" si="9">V6*$B$4</f>
        <v>5013.2580645161288</v>
      </c>
      <c r="X6" s="35">
        <f t="shared" ref="X6:X29" si="10">SUM(Y6/73370)</f>
        <v>0.75161290322580643</v>
      </c>
      <c r="Y6" s="36">
        <f>SUM(C6+E6+G6+I6+K6+M6+O6+Q6+S6+U6+W6)</f>
        <v>55145.838709677417</v>
      </c>
      <c r="Z6" s="203">
        <f>'B5'!C5</f>
        <v>239</v>
      </c>
      <c r="AA6" s="203">
        <f>SUM(Z6*$Z$4)</f>
        <v>2390</v>
      </c>
      <c r="AB6" s="203">
        <f>SUM(Z6)</f>
        <v>239</v>
      </c>
      <c r="AC6" s="203">
        <f>SUM(AB6*$Z$4)</f>
        <v>2390</v>
      </c>
      <c r="AD6" s="203">
        <f>SUM(AB6)</f>
        <v>239</v>
      </c>
      <c r="AE6" s="203">
        <f t="shared" ref="AE6:AE33" si="11">SUM(AD6*$Z$4)</f>
        <v>2390</v>
      </c>
      <c r="AF6" s="203">
        <f>SUM(AD6)</f>
        <v>239</v>
      </c>
      <c r="AG6" s="203">
        <f t="shared" ref="AG6:AG33" si="12">SUM(AF6*$Z$4)</f>
        <v>2390</v>
      </c>
      <c r="AH6" s="203">
        <f>SUM(AF6)</f>
        <v>239</v>
      </c>
      <c r="AI6" s="203">
        <f t="shared" ref="AI6:AI33" si="13">SUM(AH6*$Z$4)</f>
        <v>2390</v>
      </c>
      <c r="AJ6" s="203">
        <f>SUM(AH6)</f>
        <v>239</v>
      </c>
      <c r="AK6" s="203">
        <f t="shared" ref="AK6:AK33" si="14">SUM(AJ6*$Z$4)</f>
        <v>2390</v>
      </c>
      <c r="AL6" s="203">
        <f>SUM(AJ6)</f>
        <v>239</v>
      </c>
      <c r="AM6" s="203">
        <f t="shared" ref="AM6:AM33" si="15">SUM(AL6*$Z$4)</f>
        <v>2390</v>
      </c>
      <c r="AN6" s="35">
        <f t="shared" ref="AN6:AN29" si="16">SUM(AO6/19600)</f>
        <v>0.85357142857142854</v>
      </c>
      <c r="AO6" s="36">
        <f>SUM(AA6+AC6+AE6+AG6+AI6+AK6+AM6)</f>
        <v>16730</v>
      </c>
      <c r="AQ6" s="223">
        <f>SUM(AR6/92970)</f>
        <v>0.77310787038482764</v>
      </c>
      <c r="AR6" s="38">
        <f>Y6+AO6</f>
        <v>71875.838709677424</v>
      </c>
      <c r="AS6" s="197">
        <f>SUM(AR6-AR5-AT6)</f>
        <v>0</v>
      </c>
      <c r="AT6" s="340"/>
      <c r="AU6" s="548"/>
      <c r="AV6" s="485">
        <f>IF(AT6&gt;0,AU6,AV5)</f>
        <v>1.05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/>
    </row>
    <row r="7" spans="1:63">
      <c r="A7" s="425">
        <f>ELEC!C5</f>
        <v>44683</v>
      </c>
      <c r="B7">
        <f>'B5'!B6</f>
        <v>233</v>
      </c>
      <c r="C7" s="203">
        <f t="shared" ref="C7:E33" si="18">B7*$B$4</f>
        <v>5013.2580645161288</v>
      </c>
      <c r="D7">
        <f t="shared" ref="D7:D29" si="19">SUM(B7)</f>
        <v>233</v>
      </c>
      <c r="E7" s="203">
        <f t="shared" si="18"/>
        <v>5013.2580645161288</v>
      </c>
      <c r="F7">
        <f t="shared" ref="F7:F29" si="20">SUM(D7)</f>
        <v>233</v>
      </c>
      <c r="G7" s="203">
        <f t="shared" si="1"/>
        <v>5013.2580645161288</v>
      </c>
      <c r="H7" s="203">
        <f t="shared" ref="H7:H29" si="21">SUM(F7)</f>
        <v>233</v>
      </c>
      <c r="I7" s="203">
        <f t="shared" si="2"/>
        <v>5013.2580645161288</v>
      </c>
      <c r="J7" s="203">
        <f t="shared" ref="J7:J29" si="22">SUM(H7)</f>
        <v>233</v>
      </c>
      <c r="K7" s="203">
        <f t="shared" si="3"/>
        <v>5013.2580645161288</v>
      </c>
      <c r="L7" s="203">
        <f t="shared" ref="L7:L29" si="23">SUM(J7)</f>
        <v>233</v>
      </c>
      <c r="M7" s="203">
        <f t="shared" si="4"/>
        <v>5013.2580645161288</v>
      </c>
      <c r="N7" s="203">
        <f t="shared" ref="N7:N29" si="24">SUM(L7)</f>
        <v>233</v>
      </c>
      <c r="O7" s="203">
        <f t="shared" si="5"/>
        <v>5013.2580645161288</v>
      </c>
      <c r="P7" s="203">
        <f t="shared" ref="P7:P29" si="25">SUM(N7)</f>
        <v>233</v>
      </c>
      <c r="Q7" s="203">
        <f t="shared" si="6"/>
        <v>5013.2580645161288</v>
      </c>
      <c r="R7" s="203">
        <f t="shared" ref="R7:R29" si="26">SUM(P7)</f>
        <v>233</v>
      </c>
      <c r="S7" s="203">
        <f t="shared" si="7"/>
        <v>5013.2580645161288</v>
      </c>
      <c r="T7" s="203">
        <f t="shared" ref="T7:T29" si="27">SUM(R7)</f>
        <v>233</v>
      </c>
      <c r="U7" s="203">
        <f t="shared" si="8"/>
        <v>5013.2580645161288</v>
      </c>
      <c r="V7" s="203">
        <f t="shared" ref="V7:V29" si="28">SUM(T7)</f>
        <v>233</v>
      </c>
      <c r="W7" s="203">
        <f t="shared" si="9"/>
        <v>5013.2580645161288</v>
      </c>
      <c r="X7" s="35">
        <f t="shared" si="10"/>
        <v>0.75161290322580643</v>
      </c>
      <c r="Y7" s="36">
        <f t="shared" ref="Y7:Y29" si="29">SUM(C7+E7+G7+I7+K7+M7+O7+Q7+S7+U7+W7)</f>
        <v>55145.838709677417</v>
      </c>
      <c r="Z7" s="203">
        <f>'B5'!C6</f>
        <v>239</v>
      </c>
      <c r="AA7" s="203">
        <f t="shared" ref="AA7:AC33" si="30">SUM(Z7*$Z$4)</f>
        <v>2390</v>
      </c>
      <c r="AB7" s="203">
        <f t="shared" ref="AB7:AB29" si="31">SUM(Z7)</f>
        <v>239</v>
      </c>
      <c r="AC7" s="203">
        <f t="shared" si="30"/>
        <v>2390</v>
      </c>
      <c r="AD7" s="203">
        <f t="shared" ref="AD7:AD29" si="32">SUM(AB7)</f>
        <v>239</v>
      </c>
      <c r="AE7" s="203">
        <f t="shared" si="11"/>
        <v>2390</v>
      </c>
      <c r="AF7" s="203">
        <f t="shared" ref="AF7:AF29" si="33">SUM(AD7)</f>
        <v>239</v>
      </c>
      <c r="AG7" s="203">
        <f t="shared" si="12"/>
        <v>2390</v>
      </c>
      <c r="AH7" s="203">
        <f t="shared" ref="AH7:AH29" si="34">SUM(AF7)</f>
        <v>239</v>
      </c>
      <c r="AI7" s="203">
        <f t="shared" si="13"/>
        <v>2390</v>
      </c>
      <c r="AJ7" s="203">
        <f t="shared" ref="AJ7:AJ29" si="35">SUM(AH7)</f>
        <v>239</v>
      </c>
      <c r="AK7" s="203">
        <f t="shared" si="14"/>
        <v>2390</v>
      </c>
      <c r="AL7" s="203">
        <f t="shared" ref="AL7:AL29" si="36">SUM(AJ7)</f>
        <v>239</v>
      </c>
      <c r="AM7" s="203">
        <f t="shared" si="15"/>
        <v>2390</v>
      </c>
      <c r="AN7" s="35">
        <f>SUM(AO7/19600)</f>
        <v>0.85357142857142854</v>
      </c>
      <c r="AO7" s="36">
        <f>SUM(AA7+AC7+AE7+AG7+AI7+AK7+AM7)</f>
        <v>16730</v>
      </c>
      <c r="AQ7" s="223">
        <f>SUM(AR7/92970)</f>
        <v>0.77310787038482764</v>
      </c>
      <c r="AR7" s="38">
        <f>Y7+AO7</f>
        <v>71875.838709677424</v>
      </c>
      <c r="AS7" s="197">
        <f>SUM(AR7-AR6-AT7)</f>
        <v>0</v>
      </c>
      <c r="AT7" s="340"/>
      <c r="AU7" s="548"/>
      <c r="AV7" s="485">
        <f>IF(AT7&gt;0,AU7,AV6)</f>
        <v>1.05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1548.9367088607671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8"/>
    </row>
    <row r="8" spans="1:63">
      <c r="A8" s="425">
        <f>ELEC!C6</f>
        <v>44684</v>
      </c>
      <c r="B8">
        <f>'B5'!B7</f>
        <v>224</v>
      </c>
      <c r="C8" s="203">
        <f t="shared" si="18"/>
        <v>4819.6129032258068</v>
      </c>
      <c r="D8">
        <f t="shared" si="19"/>
        <v>224</v>
      </c>
      <c r="E8" s="203">
        <f t="shared" si="18"/>
        <v>4819.6129032258068</v>
      </c>
      <c r="F8">
        <f t="shared" si="20"/>
        <v>224</v>
      </c>
      <c r="G8" s="203">
        <f t="shared" si="1"/>
        <v>4819.6129032258068</v>
      </c>
      <c r="H8" s="203">
        <f t="shared" si="21"/>
        <v>224</v>
      </c>
      <c r="I8" s="203">
        <f t="shared" si="2"/>
        <v>4819.6129032258068</v>
      </c>
      <c r="J8" s="203">
        <f t="shared" si="22"/>
        <v>224</v>
      </c>
      <c r="K8" s="203">
        <f t="shared" si="3"/>
        <v>4819.6129032258068</v>
      </c>
      <c r="L8" s="203">
        <f t="shared" si="23"/>
        <v>224</v>
      </c>
      <c r="M8" s="203">
        <f t="shared" si="4"/>
        <v>4819.6129032258068</v>
      </c>
      <c r="N8" s="203">
        <f t="shared" si="24"/>
        <v>224</v>
      </c>
      <c r="O8" s="203">
        <f t="shared" si="5"/>
        <v>4819.6129032258068</v>
      </c>
      <c r="P8" s="203">
        <f t="shared" si="25"/>
        <v>224</v>
      </c>
      <c r="Q8" s="203">
        <f t="shared" si="6"/>
        <v>4819.6129032258068</v>
      </c>
      <c r="R8" s="203">
        <f t="shared" si="26"/>
        <v>224</v>
      </c>
      <c r="S8" s="203">
        <f t="shared" si="7"/>
        <v>4819.6129032258068</v>
      </c>
      <c r="T8" s="203">
        <f t="shared" si="27"/>
        <v>224</v>
      </c>
      <c r="U8" s="203">
        <f t="shared" si="8"/>
        <v>4819.6129032258068</v>
      </c>
      <c r="V8" s="203">
        <f t="shared" si="28"/>
        <v>224</v>
      </c>
      <c r="W8" s="203">
        <f t="shared" si="9"/>
        <v>4819.6129032258068</v>
      </c>
      <c r="X8" s="35">
        <f t="shared" si="10"/>
        <v>0.72258064516129028</v>
      </c>
      <c r="Y8" s="36">
        <f t="shared" si="29"/>
        <v>53015.741935483864</v>
      </c>
      <c r="Z8" s="203">
        <f>'B5'!C7</f>
        <v>231</v>
      </c>
      <c r="AA8" s="203">
        <f t="shared" si="30"/>
        <v>2310</v>
      </c>
      <c r="AB8" s="203">
        <f t="shared" si="31"/>
        <v>231</v>
      </c>
      <c r="AC8" s="203">
        <f t="shared" si="30"/>
        <v>2310</v>
      </c>
      <c r="AD8" s="203">
        <f t="shared" si="32"/>
        <v>231</v>
      </c>
      <c r="AE8" s="203">
        <f t="shared" si="11"/>
        <v>2310</v>
      </c>
      <c r="AF8" s="203">
        <f t="shared" si="33"/>
        <v>231</v>
      </c>
      <c r="AG8" s="203">
        <f t="shared" si="12"/>
        <v>2310</v>
      </c>
      <c r="AH8" s="203">
        <f t="shared" si="34"/>
        <v>231</v>
      </c>
      <c r="AI8" s="203">
        <f t="shared" si="13"/>
        <v>2310</v>
      </c>
      <c r="AJ8" s="203">
        <f t="shared" si="35"/>
        <v>231</v>
      </c>
      <c r="AK8" s="203">
        <f t="shared" si="14"/>
        <v>2310</v>
      </c>
      <c r="AL8" s="203">
        <f t="shared" si="36"/>
        <v>231</v>
      </c>
      <c r="AM8" s="203">
        <f t="shared" si="15"/>
        <v>2310</v>
      </c>
      <c r="AN8" s="35">
        <f t="shared" si="16"/>
        <v>0.82499999999999996</v>
      </c>
      <c r="AO8" s="36">
        <f t="shared" ref="AO8:AO29" si="39">SUM(AA8+AC8+AE8+AG8+AI8+AK8+AM8)</f>
        <v>16170</v>
      </c>
      <c r="AQ8" s="223">
        <f t="shared" ref="AQ8:AQ33" si="40">SUM(AR8/92970)</f>
        <v>0.74417276471425042</v>
      </c>
      <c r="AR8" s="38">
        <f t="shared" ref="AR8:AR33" si="41">Y8+AO8</f>
        <v>69185.741935483864</v>
      </c>
      <c r="AS8" s="197">
        <f t="shared" ref="AS8:AS17" si="42">SUM(AR8-AR7-AT8)</f>
        <v>-2690.0967741935601</v>
      </c>
      <c r="AT8" s="340"/>
      <c r="AU8" s="548"/>
      <c r="AV8" s="485">
        <f t="shared" ref="AV8:AV31" si="43">IF(AT8&gt;0,AU8,AV7)</f>
        <v>1.05</v>
      </c>
      <c r="AW8" s="279">
        <f>-SUM('B5'!AI7)</f>
        <v>-289</v>
      </c>
      <c r="AX8" s="279">
        <f t="shared" si="17"/>
        <v>-2401.0967741935601</v>
      </c>
      <c r="AY8" s="37">
        <f t="shared" si="37"/>
        <v>-2690.0967741935601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1022.8438818561132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-266.78853046595111</v>
      </c>
      <c r="BK8" s="538">
        <f>GEN!AF5</f>
        <v>0.25075000000000119</v>
      </c>
    </row>
    <row r="9" spans="1:63">
      <c r="A9" s="425">
        <f>ELEC!C7</f>
        <v>44685</v>
      </c>
      <c r="B9">
        <f>'B5'!B8</f>
        <v>218</v>
      </c>
      <c r="C9" s="203">
        <f t="shared" si="18"/>
        <v>4690.5161290322576</v>
      </c>
      <c r="D9">
        <f t="shared" si="19"/>
        <v>218</v>
      </c>
      <c r="E9" s="203">
        <f t="shared" si="18"/>
        <v>4690.5161290322576</v>
      </c>
      <c r="F9">
        <f t="shared" si="20"/>
        <v>218</v>
      </c>
      <c r="G9" s="203">
        <f t="shared" si="1"/>
        <v>4690.5161290322576</v>
      </c>
      <c r="H9" s="203">
        <f t="shared" si="21"/>
        <v>218</v>
      </c>
      <c r="I9" s="203">
        <f t="shared" si="2"/>
        <v>4690.5161290322576</v>
      </c>
      <c r="J9" s="203">
        <f t="shared" si="22"/>
        <v>218</v>
      </c>
      <c r="K9" s="203">
        <f t="shared" si="3"/>
        <v>4690.5161290322576</v>
      </c>
      <c r="L9" s="203">
        <f t="shared" si="23"/>
        <v>218</v>
      </c>
      <c r="M9" s="203">
        <f t="shared" si="4"/>
        <v>4690.5161290322576</v>
      </c>
      <c r="N9" s="203">
        <f t="shared" si="24"/>
        <v>218</v>
      </c>
      <c r="O9" s="203">
        <f t="shared" si="5"/>
        <v>4690.5161290322576</v>
      </c>
      <c r="P9" s="203">
        <f t="shared" si="25"/>
        <v>218</v>
      </c>
      <c r="Q9" s="203">
        <f t="shared" si="6"/>
        <v>4690.5161290322576</v>
      </c>
      <c r="R9" s="203">
        <f t="shared" si="26"/>
        <v>218</v>
      </c>
      <c r="S9" s="203">
        <f t="shared" si="7"/>
        <v>4690.5161290322576</v>
      </c>
      <c r="T9" s="203">
        <f t="shared" si="27"/>
        <v>218</v>
      </c>
      <c r="U9" s="203">
        <f t="shared" si="8"/>
        <v>4690.5161290322576</v>
      </c>
      <c r="V9" s="203">
        <f t="shared" si="28"/>
        <v>218</v>
      </c>
      <c r="W9" s="203">
        <f t="shared" si="9"/>
        <v>4690.5161290322576</v>
      </c>
      <c r="X9" s="35">
        <f t="shared" si="10"/>
        <v>0.70322580645161281</v>
      </c>
      <c r="Y9" s="36">
        <f t="shared" si="29"/>
        <v>51595.677419354834</v>
      </c>
      <c r="Z9" s="203">
        <f>'B5'!C8</f>
        <v>225</v>
      </c>
      <c r="AA9" s="203">
        <f t="shared" si="30"/>
        <v>2250</v>
      </c>
      <c r="AB9" s="203">
        <f t="shared" si="31"/>
        <v>225</v>
      </c>
      <c r="AC9" s="203">
        <f t="shared" si="30"/>
        <v>2250</v>
      </c>
      <c r="AD9" s="203">
        <f t="shared" si="32"/>
        <v>225</v>
      </c>
      <c r="AE9" s="203">
        <f t="shared" si="11"/>
        <v>2250</v>
      </c>
      <c r="AF9" s="203">
        <f t="shared" si="33"/>
        <v>225</v>
      </c>
      <c r="AG9" s="203">
        <f t="shared" si="12"/>
        <v>2250</v>
      </c>
      <c r="AH9" s="203">
        <f t="shared" si="34"/>
        <v>225</v>
      </c>
      <c r="AI9" s="203">
        <f t="shared" si="13"/>
        <v>2250</v>
      </c>
      <c r="AJ9" s="203">
        <f t="shared" si="35"/>
        <v>225</v>
      </c>
      <c r="AK9" s="203">
        <f t="shared" si="14"/>
        <v>2250</v>
      </c>
      <c r="AL9" s="203">
        <f t="shared" si="36"/>
        <v>225</v>
      </c>
      <c r="AM9" s="203">
        <f t="shared" si="15"/>
        <v>2250</v>
      </c>
      <c r="AN9" s="35">
        <f t="shared" si="16"/>
        <v>0.8035714285714286</v>
      </c>
      <c r="AO9" s="36">
        <f>SUM(AA9+AC9+AE9+AG9+AI9+AK9+AM9)</f>
        <v>15750</v>
      </c>
      <c r="AQ9" s="223">
        <f t="shared" si="40"/>
        <v>0.72438074023184718</v>
      </c>
      <c r="AR9" s="38">
        <f t="shared" si="41"/>
        <v>67345.677419354834</v>
      </c>
      <c r="AS9" s="197">
        <f>SUM(AR9-AR8-AT9)</f>
        <v>-1840.0645161290304</v>
      </c>
      <c r="AT9" s="340"/>
      <c r="AU9" s="548"/>
      <c r="AV9" s="485">
        <f t="shared" si="43"/>
        <v>1.05</v>
      </c>
      <c r="AW9" s="279">
        <f>-SUM('B5'!AI8)</f>
        <v>-305</v>
      </c>
      <c r="AX9" s="279">
        <f t="shared" si="17"/>
        <v>-1535.0645161290304</v>
      </c>
      <c r="AY9" s="37">
        <f t="shared" si="37"/>
        <v>-1840.0645161290304</v>
      </c>
      <c r="AZ9" s="100">
        <f>ELEC!A7</f>
        <v>0</v>
      </c>
      <c r="BA9" s="118">
        <f>'General information '!D8</f>
        <v>21</v>
      </c>
      <c r="BB9" s="378">
        <f>SUM('General information '!E8)</f>
        <v>0.77</v>
      </c>
      <c r="BC9" s="3">
        <f t="shared" si="44"/>
        <v>0</v>
      </c>
      <c r="BD9" s="102">
        <v>19222</v>
      </c>
      <c r="BE9" s="14">
        <f>(305/1185)*ELEC!Q8</f>
        <v>746.41350211007921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-255.84408602150506</v>
      </c>
      <c r="BK9" s="538">
        <f>GEN!AF6</f>
        <v>0.22579545454536029</v>
      </c>
    </row>
    <row r="10" spans="1:63">
      <c r="A10" s="425">
        <f>ELEC!C8</f>
        <v>44686</v>
      </c>
      <c r="B10">
        <f>'B5'!B9</f>
        <v>215</v>
      </c>
      <c r="C10" s="203">
        <f t="shared" si="18"/>
        <v>4625.9677419354839</v>
      </c>
      <c r="D10">
        <f t="shared" si="19"/>
        <v>215</v>
      </c>
      <c r="E10" s="203">
        <f t="shared" si="18"/>
        <v>4625.9677419354839</v>
      </c>
      <c r="F10">
        <f t="shared" si="20"/>
        <v>215</v>
      </c>
      <c r="G10" s="203">
        <f t="shared" si="1"/>
        <v>4625.9677419354839</v>
      </c>
      <c r="H10" s="203">
        <f t="shared" si="21"/>
        <v>215</v>
      </c>
      <c r="I10" s="203">
        <f t="shared" si="2"/>
        <v>4625.9677419354839</v>
      </c>
      <c r="J10" s="203">
        <f t="shared" si="22"/>
        <v>215</v>
      </c>
      <c r="K10" s="203">
        <f t="shared" si="3"/>
        <v>4625.9677419354839</v>
      </c>
      <c r="L10" s="203">
        <f t="shared" si="23"/>
        <v>215</v>
      </c>
      <c r="M10" s="203">
        <f t="shared" si="4"/>
        <v>4625.9677419354839</v>
      </c>
      <c r="N10" s="203">
        <f t="shared" si="24"/>
        <v>215</v>
      </c>
      <c r="O10" s="203">
        <f t="shared" si="5"/>
        <v>4625.9677419354839</v>
      </c>
      <c r="P10" s="203">
        <f t="shared" si="25"/>
        <v>215</v>
      </c>
      <c r="Q10" s="203">
        <f t="shared" si="6"/>
        <v>4625.9677419354839</v>
      </c>
      <c r="R10" s="203">
        <f t="shared" si="26"/>
        <v>215</v>
      </c>
      <c r="S10" s="203">
        <f t="shared" si="7"/>
        <v>4625.9677419354839</v>
      </c>
      <c r="T10" s="203">
        <f t="shared" si="27"/>
        <v>215</v>
      </c>
      <c r="U10" s="203">
        <f t="shared" si="8"/>
        <v>4625.9677419354839</v>
      </c>
      <c r="V10" s="203">
        <f t="shared" si="28"/>
        <v>215</v>
      </c>
      <c r="W10" s="203">
        <f t="shared" si="9"/>
        <v>4625.9677419354839</v>
      </c>
      <c r="X10" s="35">
        <f t="shared" si="10"/>
        <v>0.69354838709677424</v>
      </c>
      <c r="Y10" s="36">
        <f t="shared" si="29"/>
        <v>50885.645161290326</v>
      </c>
      <c r="Z10" s="203">
        <f>'B5'!C9</f>
        <v>222</v>
      </c>
      <c r="AA10" s="203">
        <f t="shared" si="30"/>
        <v>2220</v>
      </c>
      <c r="AB10" s="203">
        <f t="shared" si="31"/>
        <v>222</v>
      </c>
      <c r="AC10" s="203">
        <f t="shared" si="30"/>
        <v>2220</v>
      </c>
      <c r="AD10" s="203">
        <f t="shared" si="32"/>
        <v>222</v>
      </c>
      <c r="AE10" s="203">
        <f t="shared" si="11"/>
        <v>2220</v>
      </c>
      <c r="AF10" s="203">
        <f t="shared" si="33"/>
        <v>222</v>
      </c>
      <c r="AG10" s="203">
        <f t="shared" si="12"/>
        <v>2220</v>
      </c>
      <c r="AH10" s="203">
        <f t="shared" si="34"/>
        <v>222</v>
      </c>
      <c r="AI10" s="203">
        <f t="shared" si="13"/>
        <v>2220</v>
      </c>
      <c r="AJ10" s="203">
        <f t="shared" si="35"/>
        <v>222</v>
      </c>
      <c r="AK10" s="203">
        <f t="shared" si="14"/>
        <v>2220</v>
      </c>
      <c r="AL10" s="203">
        <f t="shared" si="36"/>
        <v>222</v>
      </c>
      <c r="AM10" s="203">
        <f t="shared" si="15"/>
        <v>2220</v>
      </c>
      <c r="AN10" s="35">
        <f t="shared" si="16"/>
        <v>0.79285714285714282</v>
      </c>
      <c r="AO10" s="36">
        <f t="shared" si="39"/>
        <v>15540</v>
      </c>
      <c r="AQ10" s="223">
        <f t="shared" si="40"/>
        <v>0.71448472799064577</v>
      </c>
      <c r="AR10" s="38">
        <f t="shared" si="41"/>
        <v>66425.645161290333</v>
      </c>
      <c r="AS10" s="197">
        <f>SUM(AR10-AR9-AT10)</f>
        <v>-920.03225806450064</v>
      </c>
      <c r="AT10" s="340"/>
      <c r="AU10" s="548"/>
      <c r="AV10" s="485">
        <f>IF(AT10&gt;0,AU10,AV9)</f>
        <v>1.05</v>
      </c>
      <c r="AW10" s="279">
        <f>-SUM('B5'!AI9)</f>
        <v>-44</v>
      </c>
      <c r="AX10" s="279">
        <f t="shared" si="17"/>
        <v>-876.03225806450064</v>
      </c>
      <c r="AY10" s="37">
        <f t="shared" si="37"/>
        <v>-920.03225806450064</v>
      </c>
      <c r="AZ10" s="100">
        <f>ELEC!A8</f>
        <v>0</v>
      </c>
      <c r="BA10" s="118">
        <f>'General information '!D9</f>
        <v>20</v>
      </c>
      <c r="BB10" s="378">
        <f>SUM('General information '!E9)</f>
        <v>0.65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-125.14746543778581</v>
      </c>
      <c r="BK10" s="538">
        <f>GEN!AF7</f>
        <v>0.18125000000009095</v>
      </c>
    </row>
    <row r="11" spans="1:63">
      <c r="A11" s="425">
        <f>ELEC!C9</f>
        <v>44687</v>
      </c>
      <c r="B11">
        <f>'B5'!B10</f>
        <v>215</v>
      </c>
      <c r="C11" s="203">
        <f t="shared" si="18"/>
        <v>4625.9677419354839</v>
      </c>
      <c r="D11">
        <f>SUM(B11)</f>
        <v>215</v>
      </c>
      <c r="E11" s="203">
        <f t="shared" si="18"/>
        <v>4625.9677419354839</v>
      </c>
      <c r="F11">
        <f>SUM(D11)</f>
        <v>215</v>
      </c>
      <c r="G11" s="203">
        <f t="shared" si="1"/>
        <v>4625.9677419354839</v>
      </c>
      <c r="H11" s="203">
        <f>SUM(F11)</f>
        <v>215</v>
      </c>
      <c r="I11" s="203">
        <f t="shared" si="2"/>
        <v>4625.9677419354839</v>
      </c>
      <c r="J11" s="203">
        <f>SUM(H11)</f>
        <v>215</v>
      </c>
      <c r="K11" s="203">
        <f t="shared" si="3"/>
        <v>4625.9677419354839</v>
      </c>
      <c r="L11" s="203">
        <f>SUM(J11)</f>
        <v>215</v>
      </c>
      <c r="M11" s="203">
        <f t="shared" si="4"/>
        <v>4625.9677419354839</v>
      </c>
      <c r="N11" s="203">
        <f>SUM(L11)</f>
        <v>215</v>
      </c>
      <c r="O11" s="203">
        <f t="shared" si="5"/>
        <v>4625.9677419354839</v>
      </c>
      <c r="P11" s="203">
        <f>SUM(N11)</f>
        <v>215</v>
      </c>
      <c r="Q11" s="203">
        <f t="shared" si="6"/>
        <v>4625.9677419354839</v>
      </c>
      <c r="R11" s="203">
        <f>SUM(P11)</f>
        <v>215</v>
      </c>
      <c r="S11" s="203">
        <f t="shared" si="7"/>
        <v>4625.9677419354839</v>
      </c>
      <c r="T11" s="203">
        <f>SUM(R11)</f>
        <v>215</v>
      </c>
      <c r="U11" s="203">
        <f t="shared" si="8"/>
        <v>4625.9677419354839</v>
      </c>
      <c r="V11" s="203">
        <f>SUM(T11)</f>
        <v>215</v>
      </c>
      <c r="W11" s="203">
        <f t="shared" si="9"/>
        <v>4625.9677419354839</v>
      </c>
      <c r="X11" s="35">
        <f>SUM(Y11/73370)</f>
        <v>0.69354838709677424</v>
      </c>
      <c r="Y11" s="36">
        <f>SUM(C11+E11+G11+I11+K11+M11+O11+Q11+S11+U11+W11)</f>
        <v>50885.645161290326</v>
      </c>
      <c r="Z11" s="203">
        <f>'B5'!C10</f>
        <v>222</v>
      </c>
      <c r="AA11" s="203">
        <f t="shared" si="30"/>
        <v>2220</v>
      </c>
      <c r="AB11" s="203">
        <f>SUM(Z11)</f>
        <v>222</v>
      </c>
      <c r="AC11" s="203">
        <f t="shared" si="30"/>
        <v>2220</v>
      </c>
      <c r="AD11" s="203">
        <f>SUM(AB11)</f>
        <v>222</v>
      </c>
      <c r="AE11" s="203">
        <f t="shared" si="11"/>
        <v>2220</v>
      </c>
      <c r="AF11" s="203">
        <f>SUM(AD11)</f>
        <v>222</v>
      </c>
      <c r="AG11" s="203">
        <f t="shared" si="12"/>
        <v>2220</v>
      </c>
      <c r="AH11" s="203">
        <f>SUM(AF11)</f>
        <v>222</v>
      </c>
      <c r="AI11" s="203">
        <f t="shared" si="13"/>
        <v>2220</v>
      </c>
      <c r="AJ11" s="203">
        <f>SUM(AH11)</f>
        <v>222</v>
      </c>
      <c r="AK11" s="203">
        <f t="shared" si="14"/>
        <v>2220</v>
      </c>
      <c r="AL11" s="203">
        <f>SUM(AJ11)</f>
        <v>222</v>
      </c>
      <c r="AM11" s="203">
        <f t="shared" si="15"/>
        <v>2220</v>
      </c>
      <c r="AN11" s="35">
        <f>SUM(AO11/19600)</f>
        <v>0.79285714285714282</v>
      </c>
      <c r="AO11" s="36">
        <f t="shared" si="39"/>
        <v>15540</v>
      </c>
      <c r="AP11" s="525"/>
      <c r="AQ11" s="223">
        <f t="shared" si="40"/>
        <v>0.71448472799064577</v>
      </c>
      <c r="AR11" s="38">
        <f>Y11+AO11</f>
        <v>66425.645161290333</v>
      </c>
      <c r="AS11" s="197">
        <f t="shared" si="42"/>
        <v>0</v>
      </c>
      <c r="AT11" s="340"/>
      <c r="AU11" s="548"/>
      <c r="AV11" s="485">
        <f>IF(AT11&gt;0,AU11,AV10)</f>
        <v>1.05</v>
      </c>
      <c r="AW11" s="279">
        <f>-SUM('B5'!AI10)</f>
        <v>0</v>
      </c>
      <c r="AX11" s="279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8"/>
    </row>
    <row r="12" spans="1:63">
      <c r="A12" s="425">
        <f>ELEC!C10</f>
        <v>44688</v>
      </c>
      <c r="B12">
        <f>'B5'!B11</f>
        <v>215</v>
      </c>
      <c r="C12" s="203">
        <f t="shared" si="18"/>
        <v>4625.9677419354839</v>
      </c>
      <c r="D12">
        <f t="shared" si="19"/>
        <v>215</v>
      </c>
      <c r="E12" s="203">
        <f t="shared" si="18"/>
        <v>4625.9677419354839</v>
      </c>
      <c r="F12">
        <f t="shared" si="20"/>
        <v>215</v>
      </c>
      <c r="G12" s="203">
        <f t="shared" si="1"/>
        <v>4625.9677419354839</v>
      </c>
      <c r="H12" s="203">
        <f t="shared" si="21"/>
        <v>215</v>
      </c>
      <c r="I12" s="203">
        <f t="shared" si="2"/>
        <v>4625.9677419354839</v>
      </c>
      <c r="J12" s="203">
        <f t="shared" si="22"/>
        <v>215</v>
      </c>
      <c r="K12" s="203">
        <f t="shared" si="3"/>
        <v>4625.9677419354839</v>
      </c>
      <c r="L12" s="203">
        <f t="shared" si="23"/>
        <v>215</v>
      </c>
      <c r="M12" s="203">
        <f t="shared" si="4"/>
        <v>4625.9677419354839</v>
      </c>
      <c r="N12" s="203">
        <f t="shared" si="24"/>
        <v>215</v>
      </c>
      <c r="O12" s="203">
        <f t="shared" si="5"/>
        <v>4625.9677419354839</v>
      </c>
      <c r="P12" s="203">
        <f t="shared" si="25"/>
        <v>215</v>
      </c>
      <c r="Q12" s="203">
        <f t="shared" si="6"/>
        <v>4625.9677419354839</v>
      </c>
      <c r="R12" s="203">
        <f t="shared" si="26"/>
        <v>215</v>
      </c>
      <c r="S12" s="203">
        <f t="shared" si="7"/>
        <v>4625.9677419354839</v>
      </c>
      <c r="T12" s="203">
        <f t="shared" si="27"/>
        <v>215</v>
      </c>
      <c r="U12" s="203">
        <f t="shared" si="8"/>
        <v>4625.9677419354839</v>
      </c>
      <c r="V12" s="203">
        <f t="shared" si="28"/>
        <v>215</v>
      </c>
      <c r="W12" s="203">
        <f t="shared" si="9"/>
        <v>4625.9677419354839</v>
      </c>
      <c r="X12" s="35">
        <f t="shared" si="10"/>
        <v>0.69354838709677424</v>
      </c>
      <c r="Y12" s="36">
        <f t="shared" si="29"/>
        <v>50885.645161290326</v>
      </c>
      <c r="Z12" s="203">
        <f>'B5'!C11</f>
        <v>222</v>
      </c>
      <c r="AA12" s="203">
        <f t="shared" si="30"/>
        <v>2220</v>
      </c>
      <c r="AB12" s="203">
        <f t="shared" si="31"/>
        <v>222</v>
      </c>
      <c r="AC12" s="203">
        <f t="shared" si="30"/>
        <v>2220</v>
      </c>
      <c r="AD12" s="203">
        <f t="shared" si="32"/>
        <v>222</v>
      </c>
      <c r="AE12" s="203">
        <f t="shared" si="11"/>
        <v>2220</v>
      </c>
      <c r="AF12" s="203">
        <f t="shared" si="33"/>
        <v>222</v>
      </c>
      <c r="AG12" s="203">
        <f t="shared" si="12"/>
        <v>2220</v>
      </c>
      <c r="AH12" s="203">
        <f t="shared" si="34"/>
        <v>222</v>
      </c>
      <c r="AI12" s="203">
        <f t="shared" si="13"/>
        <v>2220</v>
      </c>
      <c r="AJ12" s="203">
        <f t="shared" si="35"/>
        <v>222</v>
      </c>
      <c r="AK12" s="203">
        <f t="shared" si="14"/>
        <v>2220</v>
      </c>
      <c r="AL12" s="203">
        <f t="shared" si="36"/>
        <v>222</v>
      </c>
      <c r="AM12" s="203">
        <f t="shared" si="15"/>
        <v>2220</v>
      </c>
      <c r="AN12" s="35">
        <f t="shared" si="16"/>
        <v>0.79285714285714282</v>
      </c>
      <c r="AO12" s="36">
        <f t="shared" si="39"/>
        <v>15540</v>
      </c>
      <c r="AP12" s="525"/>
      <c r="AQ12" s="223">
        <f t="shared" si="40"/>
        <v>0.71448472799064577</v>
      </c>
      <c r="AR12" s="38">
        <f t="shared" si="41"/>
        <v>66425.645161290333</v>
      </c>
      <c r="AS12" s="197">
        <f>SUM(AR12-AR11-AT12)</f>
        <v>0</v>
      </c>
      <c r="AT12" s="340"/>
      <c r="AU12" s="548"/>
      <c r="AV12" s="485">
        <f t="shared" si="43"/>
        <v>1.05</v>
      </c>
      <c r="AW12" s="279">
        <f>-SUM('B5'!AI11)</f>
        <v>0</v>
      </c>
      <c r="AX12" s="279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767.00421940917045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8"/>
    </row>
    <row r="13" spans="1:63">
      <c r="A13" s="425">
        <f>ELEC!C11</f>
        <v>44689</v>
      </c>
      <c r="B13">
        <f>'B5'!B12</f>
        <v>249</v>
      </c>
      <c r="C13" s="203">
        <f t="shared" si="18"/>
        <v>5357.5161290322576</v>
      </c>
      <c r="D13">
        <f t="shared" si="19"/>
        <v>249</v>
      </c>
      <c r="E13" s="203">
        <f t="shared" si="18"/>
        <v>5357.5161290322576</v>
      </c>
      <c r="F13">
        <f t="shared" si="20"/>
        <v>249</v>
      </c>
      <c r="G13" s="203">
        <f t="shared" si="1"/>
        <v>5357.5161290322576</v>
      </c>
      <c r="H13" s="203">
        <f t="shared" si="21"/>
        <v>249</v>
      </c>
      <c r="I13" s="203">
        <f t="shared" si="2"/>
        <v>5357.5161290322576</v>
      </c>
      <c r="J13" s="203">
        <f t="shared" si="22"/>
        <v>249</v>
      </c>
      <c r="K13" s="203">
        <f t="shared" si="3"/>
        <v>5357.5161290322576</v>
      </c>
      <c r="L13" s="203">
        <f t="shared" si="23"/>
        <v>249</v>
      </c>
      <c r="M13" s="203">
        <f t="shared" si="4"/>
        <v>5357.5161290322576</v>
      </c>
      <c r="N13" s="203">
        <f t="shared" si="24"/>
        <v>249</v>
      </c>
      <c r="O13" s="203">
        <f t="shared" si="5"/>
        <v>5357.5161290322576</v>
      </c>
      <c r="P13" s="203">
        <f t="shared" si="25"/>
        <v>249</v>
      </c>
      <c r="Q13" s="203">
        <f t="shared" si="6"/>
        <v>5357.5161290322576</v>
      </c>
      <c r="R13" s="203">
        <f t="shared" si="26"/>
        <v>249</v>
      </c>
      <c r="S13" s="203">
        <f t="shared" si="7"/>
        <v>5357.5161290322576</v>
      </c>
      <c r="T13" s="203">
        <f t="shared" si="27"/>
        <v>249</v>
      </c>
      <c r="U13" s="203">
        <f t="shared" si="8"/>
        <v>5357.5161290322576</v>
      </c>
      <c r="V13" s="203">
        <f t="shared" si="28"/>
        <v>249</v>
      </c>
      <c r="W13" s="203">
        <f t="shared" si="9"/>
        <v>5357.5161290322576</v>
      </c>
      <c r="X13" s="35">
        <f t="shared" si="10"/>
        <v>0.80322580645161279</v>
      </c>
      <c r="Y13" s="36">
        <f t="shared" si="29"/>
        <v>58932.677419354834</v>
      </c>
      <c r="Z13" s="203">
        <f>'B5'!C12</f>
        <v>255</v>
      </c>
      <c r="AA13" s="203">
        <f t="shared" si="30"/>
        <v>2550</v>
      </c>
      <c r="AB13" s="203">
        <f t="shared" si="31"/>
        <v>255</v>
      </c>
      <c r="AC13" s="203">
        <f t="shared" si="30"/>
        <v>2550</v>
      </c>
      <c r="AD13" s="203">
        <f t="shared" si="32"/>
        <v>255</v>
      </c>
      <c r="AE13" s="203">
        <f t="shared" si="11"/>
        <v>2550</v>
      </c>
      <c r="AF13" s="203">
        <f t="shared" si="33"/>
        <v>255</v>
      </c>
      <c r="AG13" s="203">
        <f t="shared" si="12"/>
        <v>2550</v>
      </c>
      <c r="AH13" s="203">
        <f t="shared" si="34"/>
        <v>255</v>
      </c>
      <c r="AI13" s="203">
        <f t="shared" si="13"/>
        <v>2550</v>
      </c>
      <c r="AJ13" s="203">
        <f t="shared" si="35"/>
        <v>255</v>
      </c>
      <c r="AK13" s="203">
        <f t="shared" si="14"/>
        <v>2550</v>
      </c>
      <c r="AL13" s="203">
        <f t="shared" si="36"/>
        <v>255</v>
      </c>
      <c r="AM13" s="203">
        <f t="shared" si="15"/>
        <v>2550</v>
      </c>
      <c r="AN13" s="35">
        <f t="shared" si="16"/>
        <v>0.9107142857142857</v>
      </c>
      <c r="AO13" s="36">
        <f t="shared" si="39"/>
        <v>17850</v>
      </c>
      <c r="AP13" s="525"/>
      <c r="AQ13" s="223">
        <f t="shared" si="40"/>
        <v>0.8258866023379029</v>
      </c>
      <c r="AR13" s="38">
        <f>Y13+AO13</f>
        <v>76782.677419354834</v>
      </c>
      <c r="AS13" s="197">
        <f>SUM(AR13-AR12-AT13)</f>
        <v>357.03225806450064</v>
      </c>
      <c r="AT13" s="340">
        <v>10000</v>
      </c>
      <c r="AU13" s="548">
        <v>1.085</v>
      </c>
      <c r="AV13" s="485">
        <f t="shared" si="43"/>
        <v>1.085</v>
      </c>
      <c r="AW13" s="279">
        <f>-SUM('B5'!AI12)</f>
        <v>-259</v>
      </c>
      <c r="AX13" s="279">
        <f t="shared" si="17"/>
        <v>616.03225806450064</v>
      </c>
      <c r="AY13" s="37">
        <f t="shared" si="37"/>
        <v>357.03225806450064</v>
      </c>
      <c r="AZ13" s="100">
        <f>ELEC!A11</f>
        <v>0</v>
      </c>
      <c r="BA13" s="118">
        <f>'General information '!D12</f>
        <v>19.5</v>
      </c>
      <c r="BB13" s="378">
        <f>SUM('General information '!E12)</f>
        <v>0.61</v>
      </c>
      <c r="BC13" s="3">
        <f t="shared" si="44"/>
        <v>1</v>
      </c>
      <c r="BD13" s="102">
        <v>19222</v>
      </c>
      <c r="BE13" s="14">
        <f>(305/1185)*ELEC!Q12</f>
        <v>806.64135021050606</v>
      </c>
      <c r="BF13" s="14"/>
      <c r="BG13" s="14" t="e">
        <f>#REF!-BE13</f>
        <v>#REF!</v>
      </c>
      <c r="BH13" s="11"/>
      <c r="BI13">
        <v>5</v>
      </c>
      <c r="BJ13">
        <f t="shared" si="38"/>
        <v>123.20645161290012</v>
      </c>
      <c r="BK13" s="538">
        <f>GEN!AF10</f>
        <v>0.20694444444441412</v>
      </c>
    </row>
    <row r="14" spans="1:63">
      <c r="A14" s="425">
        <f>ELEC!C12</f>
        <v>44690</v>
      </c>
      <c r="B14">
        <f>'B5'!B13</f>
        <v>245</v>
      </c>
      <c r="C14" s="203">
        <f t="shared" si="18"/>
        <v>5271.4516129032254</v>
      </c>
      <c r="D14">
        <f t="shared" si="19"/>
        <v>245</v>
      </c>
      <c r="E14" s="203">
        <f t="shared" si="18"/>
        <v>5271.4516129032254</v>
      </c>
      <c r="F14">
        <f t="shared" si="20"/>
        <v>245</v>
      </c>
      <c r="G14" s="203">
        <f t="shared" si="1"/>
        <v>5271.4516129032254</v>
      </c>
      <c r="H14" s="203">
        <f t="shared" si="21"/>
        <v>245</v>
      </c>
      <c r="I14" s="203">
        <f t="shared" si="2"/>
        <v>5271.4516129032254</v>
      </c>
      <c r="J14" s="203">
        <f t="shared" si="22"/>
        <v>245</v>
      </c>
      <c r="K14" s="203">
        <f t="shared" si="3"/>
        <v>5271.4516129032254</v>
      </c>
      <c r="L14" s="203">
        <f t="shared" si="23"/>
        <v>245</v>
      </c>
      <c r="M14" s="203">
        <f t="shared" si="4"/>
        <v>5271.4516129032254</v>
      </c>
      <c r="N14" s="203">
        <f t="shared" si="24"/>
        <v>245</v>
      </c>
      <c r="O14" s="203">
        <f t="shared" si="5"/>
        <v>5271.4516129032254</v>
      </c>
      <c r="P14" s="203">
        <f t="shared" si="25"/>
        <v>245</v>
      </c>
      <c r="Q14" s="203">
        <f t="shared" si="6"/>
        <v>5271.4516129032254</v>
      </c>
      <c r="R14" s="203">
        <f t="shared" si="26"/>
        <v>245</v>
      </c>
      <c r="S14" s="203">
        <f t="shared" si="7"/>
        <v>5271.4516129032254</v>
      </c>
      <c r="T14" s="203">
        <f t="shared" si="27"/>
        <v>245</v>
      </c>
      <c r="U14" s="203">
        <f t="shared" si="8"/>
        <v>5271.4516129032254</v>
      </c>
      <c r="V14" s="203">
        <f t="shared" si="28"/>
        <v>245</v>
      </c>
      <c r="W14" s="203">
        <f t="shared" si="9"/>
        <v>5271.4516129032254</v>
      </c>
      <c r="X14" s="35">
        <f t="shared" si="10"/>
        <v>0.79032258064516137</v>
      </c>
      <c r="Y14" s="36">
        <f t="shared" si="29"/>
        <v>57985.967741935492</v>
      </c>
      <c r="Z14" s="203">
        <f>'B5'!C13</f>
        <v>251</v>
      </c>
      <c r="AA14" s="203">
        <f t="shared" si="30"/>
        <v>2510</v>
      </c>
      <c r="AB14" s="203">
        <f t="shared" si="31"/>
        <v>251</v>
      </c>
      <c r="AC14" s="203">
        <f t="shared" si="30"/>
        <v>2510</v>
      </c>
      <c r="AD14" s="203">
        <f t="shared" si="32"/>
        <v>251</v>
      </c>
      <c r="AE14" s="203">
        <f t="shared" si="11"/>
        <v>2510</v>
      </c>
      <c r="AF14" s="203">
        <f t="shared" si="33"/>
        <v>251</v>
      </c>
      <c r="AG14" s="203">
        <f t="shared" si="12"/>
        <v>2510</v>
      </c>
      <c r="AH14" s="203">
        <f t="shared" si="34"/>
        <v>251</v>
      </c>
      <c r="AI14" s="203">
        <f t="shared" si="13"/>
        <v>2510</v>
      </c>
      <c r="AJ14" s="203">
        <f t="shared" si="35"/>
        <v>251</v>
      </c>
      <c r="AK14" s="203">
        <f t="shared" si="14"/>
        <v>2510</v>
      </c>
      <c r="AL14" s="203">
        <f t="shared" si="36"/>
        <v>251</v>
      </c>
      <c r="AM14" s="203">
        <f t="shared" si="15"/>
        <v>2510</v>
      </c>
      <c r="AN14" s="35">
        <f t="shared" si="16"/>
        <v>0.89642857142857146</v>
      </c>
      <c r="AO14" s="36">
        <f t="shared" si="39"/>
        <v>17570</v>
      </c>
      <c r="AQ14" s="223">
        <f t="shared" si="40"/>
        <v>0.81269191934963414</v>
      </c>
      <c r="AR14" s="38">
        <f t="shared" si="41"/>
        <v>75555.967741935485</v>
      </c>
      <c r="AS14" s="197">
        <f t="shared" si="42"/>
        <v>-1226.7096774193487</v>
      </c>
      <c r="AT14" s="340"/>
      <c r="AU14" s="548"/>
      <c r="AV14" s="485">
        <f t="shared" si="43"/>
        <v>1.085</v>
      </c>
      <c r="AW14" s="279">
        <f>-SUM('B5'!AI13)</f>
        <v>-101</v>
      </c>
      <c r="AX14" s="279">
        <f t="shared" si="17"/>
        <v>-1125.7096774193487</v>
      </c>
      <c r="AY14" s="37">
        <f t="shared" si="37"/>
        <v>-1226.7096774193487</v>
      </c>
      <c r="AZ14" s="100">
        <f>ELEC!A12</f>
        <v>0</v>
      </c>
      <c r="BA14" s="118">
        <f>'General information '!D13</f>
        <v>20.5</v>
      </c>
      <c r="BB14" s="378">
        <f>SUM('General information '!E13)</f>
        <v>0.56999999999999995</v>
      </c>
      <c r="BC14" s="3">
        <f t="shared" si="44"/>
        <v>0</v>
      </c>
      <c r="BD14" s="102">
        <v>19222</v>
      </c>
      <c r="BE14" s="14">
        <f>(305/1185)*ELEC!Q13</f>
        <v>738.17721519044278</v>
      </c>
      <c r="BF14" s="14"/>
      <c r="BG14" s="14" t="e">
        <f>#REF!-BE14</f>
        <v>#REF!</v>
      </c>
      <c r="BH14" s="11"/>
      <c r="BI14">
        <v>3</v>
      </c>
      <c r="BJ14">
        <f t="shared" si="38"/>
        <v>-375.23655913978291</v>
      </c>
      <c r="BK14" s="538">
        <f>GEN!AF11</f>
        <v>0.17806818181807929</v>
      </c>
    </row>
    <row r="15" spans="1:63" ht="13.5" customHeight="1">
      <c r="A15" s="425">
        <f>ELEC!C13</f>
        <v>44691</v>
      </c>
      <c r="B15">
        <f>'B5'!B14</f>
        <v>242</v>
      </c>
      <c r="C15" s="203">
        <f>B15*$B$4</f>
        <v>5206.9032258064517</v>
      </c>
      <c r="D15">
        <f t="shared" si="19"/>
        <v>242</v>
      </c>
      <c r="E15" s="203">
        <f t="shared" si="18"/>
        <v>5206.9032258064517</v>
      </c>
      <c r="F15">
        <f t="shared" si="20"/>
        <v>242</v>
      </c>
      <c r="G15" s="203">
        <f t="shared" si="1"/>
        <v>5206.9032258064517</v>
      </c>
      <c r="H15" s="203">
        <f t="shared" si="21"/>
        <v>242</v>
      </c>
      <c r="I15" s="203">
        <f t="shared" si="2"/>
        <v>5206.9032258064517</v>
      </c>
      <c r="J15" s="203">
        <f t="shared" si="22"/>
        <v>242</v>
      </c>
      <c r="K15" s="203">
        <f t="shared" si="3"/>
        <v>5206.9032258064517</v>
      </c>
      <c r="L15" s="203">
        <f t="shared" si="23"/>
        <v>242</v>
      </c>
      <c r="M15" s="203">
        <f t="shared" si="4"/>
        <v>5206.9032258064517</v>
      </c>
      <c r="N15" s="203">
        <f t="shared" si="24"/>
        <v>242</v>
      </c>
      <c r="O15" s="203">
        <f t="shared" si="5"/>
        <v>5206.9032258064517</v>
      </c>
      <c r="P15" s="203">
        <f t="shared" si="25"/>
        <v>242</v>
      </c>
      <c r="Q15" s="203">
        <f t="shared" si="6"/>
        <v>5206.9032258064517</v>
      </c>
      <c r="R15" s="203">
        <f t="shared" si="26"/>
        <v>242</v>
      </c>
      <c r="S15" s="203">
        <f t="shared" si="7"/>
        <v>5206.9032258064517</v>
      </c>
      <c r="T15" s="203">
        <f t="shared" si="27"/>
        <v>242</v>
      </c>
      <c r="U15" s="203">
        <f t="shared" si="8"/>
        <v>5206.9032258064517</v>
      </c>
      <c r="V15" s="203">
        <f t="shared" si="28"/>
        <v>242</v>
      </c>
      <c r="W15" s="203">
        <f t="shared" si="9"/>
        <v>5206.9032258064517</v>
      </c>
      <c r="X15" s="35">
        <f t="shared" si="10"/>
        <v>0.78064516129032269</v>
      </c>
      <c r="Y15" s="36">
        <f t="shared" si="29"/>
        <v>57275.935483870977</v>
      </c>
      <c r="Z15" s="203">
        <f>'B5'!C14</f>
        <v>248</v>
      </c>
      <c r="AA15" s="203">
        <f t="shared" si="30"/>
        <v>2480</v>
      </c>
      <c r="AB15" s="203">
        <f t="shared" si="31"/>
        <v>248</v>
      </c>
      <c r="AC15" s="203">
        <f t="shared" si="30"/>
        <v>2480</v>
      </c>
      <c r="AD15" s="203">
        <f t="shared" si="32"/>
        <v>248</v>
      </c>
      <c r="AE15" s="203">
        <f t="shared" si="11"/>
        <v>2480</v>
      </c>
      <c r="AF15" s="203">
        <f t="shared" si="33"/>
        <v>248</v>
      </c>
      <c r="AG15" s="203">
        <f t="shared" si="12"/>
        <v>2480</v>
      </c>
      <c r="AH15" s="203">
        <f t="shared" si="34"/>
        <v>248</v>
      </c>
      <c r="AI15" s="203">
        <f t="shared" si="13"/>
        <v>2480</v>
      </c>
      <c r="AJ15" s="203">
        <f t="shared" si="35"/>
        <v>248</v>
      </c>
      <c r="AK15" s="203">
        <f t="shared" si="14"/>
        <v>2480</v>
      </c>
      <c r="AL15" s="203">
        <f t="shared" si="36"/>
        <v>248</v>
      </c>
      <c r="AM15" s="203">
        <f t="shared" si="15"/>
        <v>2480</v>
      </c>
      <c r="AN15" s="35">
        <f t="shared" si="16"/>
        <v>0.88571428571428568</v>
      </c>
      <c r="AO15" s="36">
        <f t="shared" si="39"/>
        <v>17360</v>
      </c>
      <c r="AQ15" s="223">
        <f t="shared" si="40"/>
        <v>0.80279590710843252</v>
      </c>
      <c r="AR15" s="38">
        <f>Y15+AO15</f>
        <v>74635.93548387097</v>
      </c>
      <c r="AS15" s="197">
        <f t="shared" si="42"/>
        <v>-920.03225806451519</v>
      </c>
      <c r="AT15" s="340"/>
      <c r="AU15" s="548"/>
      <c r="AV15" s="485">
        <f>IF(AT15&gt;0,AU15,AV14)</f>
        <v>1.085</v>
      </c>
      <c r="AW15" s="279">
        <f>-SUM('B5'!AI14)</f>
        <v>-45</v>
      </c>
      <c r="AX15" s="279">
        <f t="shared" si="17"/>
        <v>-875.03225806451519</v>
      </c>
      <c r="AY15" s="37">
        <f t="shared" si="37"/>
        <v>-920.03225806451519</v>
      </c>
      <c r="AZ15" s="100">
        <f>ELEC!A13</f>
        <v>0</v>
      </c>
      <c r="BA15" s="118">
        <f>'General information '!D14</f>
        <v>20</v>
      </c>
      <c r="BB15" s="378">
        <f>SUM('General information '!E14)</f>
        <v>0.64</v>
      </c>
      <c r="BC15" s="3">
        <f t="shared" si="44"/>
        <v>0</v>
      </c>
      <c r="BD15" s="102">
        <v>19222</v>
      </c>
      <c r="BE15" s="14">
        <f>(305/1185)*ELEC!Q14</f>
        <v>772.40928270047448</v>
      </c>
      <c r="BF15" s="14"/>
      <c r="BG15" s="14" t="e">
        <f>#REF!-BE15</f>
        <v>#REF!</v>
      </c>
      <c r="BH15" s="11"/>
      <c r="BI15">
        <v>4</v>
      </c>
      <c r="BJ15">
        <f t="shared" si="38"/>
        <v>-218.7580645161288</v>
      </c>
      <c r="BK15" s="538">
        <f>GEN!AF12</f>
        <v>0.16295454545467114</v>
      </c>
    </row>
    <row r="16" spans="1:63">
      <c r="A16" s="425">
        <f>ELEC!C14</f>
        <v>44692</v>
      </c>
      <c r="B16">
        <f>'B5'!B15</f>
        <v>238</v>
      </c>
      <c r="C16" s="203">
        <f t="shared" si="18"/>
        <v>5120.8387096774195</v>
      </c>
      <c r="D16">
        <f t="shared" si="19"/>
        <v>238</v>
      </c>
      <c r="E16" s="203">
        <f t="shared" si="18"/>
        <v>5120.8387096774195</v>
      </c>
      <c r="F16">
        <f t="shared" si="20"/>
        <v>238</v>
      </c>
      <c r="G16" s="203">
        <f t="shared" si="1"/>
        <v>5120.8387096774195</v>
      </c>
      <c r="H16" s="203">
        <f t="shared" si="21"/>
        <v>238</v>
      </c>
      <c r="I16" s="203">
        <f t="shared" si="2"/>
        <v>5120.8387096774195</v>
      </c>
      <c r="J16" s="203">
        <f t="shared" si="22"/>
        <v>238</v>
      </c>
      <c r="K16" s="203">
        <f t="shared" si="3"/>
        <v>5120.8387096774195</v>
      </c>
      <c r="L16" s="203">
        <f t="shared" si="23"/>
        <v>238</v>
      </c>
      <c r="M16" s="203">
        <f t="shared" si="4"/>
        <v>5120.8387096774195</v>
      </c>
      <c r="N16" s="203">
        <f t="shared" si="24"/>
        <v>238</v>
      </c>
      <c r="O16" s="203">
        <f t="shared" si="5"/>
        <v>5120.8387096774195</v>
      </c>
      <c r="P16" s="203">
        <f t="shared" si="25"/>
        <v>238</v>
      </c>
      <c r="Q16" s="203">
        <f t="shared" si="6"/>
        <v>5120.8387096774195</v>
      </c>
      <c r="R16" s="203">
        <f t="shared" si="26"/>
        <v>238</v>
      </c>
      <c r="S16" s="203">
        <f t="shared" si="7"/>
        <v>5120.8387096774195</v>
      </c>
      <c r="T16" s="203">
        <f t="shared" si="27"/>
        <v>238</v>
      </c>
      <c r="U16" s="203">
        <f t="shared" si="8"/>
        <v>5120.8387096774195</v>
      </c>
      <c r="V16" s="203">
        <f t="shared" si="28"/>
        <v>238</v>
      </c>
      <c r="W16" s="203">
        <f t="shared" si="9"/>
        <v>5120.8387096774195</v>
      </c>
      <c r="X16" s="35">
        <f t="shared" si="10"/>
        <v>0.76774193548387093</v>
      </c>
      <c r="Y16" s="36">
        <f t="shared" si="29"/>
        <v>56329.225806451606</v>
      </c>
      <c r="Z16" s="203">
        <f>'B5'!C15</f>
        <v>244</v>
      </c>
      <c r="AA16" s="203">
        <f t="shared" si="30"/>
        <v>2440</v>
      </c>
      <c r="AB16" s="203">
        <f t="shared" si="31"/>
        <v>244</v>
      </c>
      <c r="AC16" s="203">
        <f t="shared" si="30"/>
        <v>2440</v>
      </c>
      <c r="AD16" s="203">
        <f t="shared" si="32"/>
        <v>244</v>
      </c>
      <c r="AE16" s="203">
        <f t="shared" si="11"/>
        <v>2440</v>
      </c>
      <c r="AF16" s="203">
        <f t="shared" si="33"/>
        <v>244</v>
      </c>
      <c r="AG16" s="203">
        <f t="shared" si="12"/>
        <v>2440</v>
      </c>
      <c r="AH16" s="203">
        <f t="shared" si="34"/>
        <v>244</v>
      </c>
      <c r="AI16" s="203">
        <f t="shared" si="13"/>
        <v>2440</v>
      </c>
      <c r="AJ16" s="203">
        <f t="shared" si="35"/>
        <v>244</v>
      </c>
      <c r="AK16" s="203">
        <f t="shared" si="14"/>
        <v>2440</v>
      </c>
      <c r="AL16" s="203">
        <f t="shared" si="36"/>
        <v>244</v>
      </c>
      <c r="AM16" s="203">
        <f t="shared" si="15"/>
        <v>2440</v>
      </c>
      <c r="AN16" s="35">
        <f t="shared" si="16"/>
        <v>0.87142857142857144</v>
      </c>
      <c r="AO16" s="36">
        <f t="shared" si="39"/>
        <v>17080</v>
      </c>
      <c r="AQ16" s="223">
        <f t="shared" si="40"/>
        <v>0.78960122412016354</v>
      </c>
      <c r="AR16" s="38">
        <f t="shared" si="41"/>
        <v>73409.225806451606</v>
      </c>
      <c r="AS16" s="197">
        <f t="shared" si="42"/>
        <v>-1226.7096774193633</v>
      </c>
      <c r="AT16" s="340"/>
      <c r="AU16" s="548"/>
      <c r="AV16" s="485">
        <f t="shared" ref="AV16:AV21" si="45">IF(AT16&gt;0,AU16,AV15)</f>
        <v>1.085</v>
      </c>
      <c r="AW16" s="279">
        <f>-SUM('B5'!AI15)</f>
        <v>-192</v>
      </c>
      <c r="AX16" s="279">
        <f t="shared" si="17"/>
        <v>-1034.7096774193633</v>
      </c>
      <c r="AY16" s="37">
        <f t="shared" si="37"/>
        <v>-1226.7096774193633</v>
      </c>
      <c r="AZ16" s="100">
        <f>ELEC!A14</f>
        <v>0</v>
      </c>
      <c r="BA16" s="118">
        <f>'General information '!D15</f>
        <v>20</v>
      </c>
      <c r="BB16" s="378">
        <f>SUM('General information '!E15)</f>
        <v>0.75</v>
      </c>
      <c r="BC16" s="3">
        <f t="shared" si="44"/>
        <v>0</v>
      </c>
      <c r="BD16" s="102">
        <v>19222</v>
      </c>
      <c r="BE16" s="14">
        <f>(305/1185)*ELEC!Q15</f>
        <v>670.74261603369541</v>
      </c>
      <c r="BF16" s="14"/>
      <c r="BG16" s="14" t="e">
        <f>#REF!-BE16</f>
        <v>#REF!</v>
      </c>
      <c r="BH16" s="11"/>
      <c r="BI16">
        <v>3</v>
      </c>
      <c r="BJ16">
        <f t="shared" si="38"/>
        <v>-344.90322580645443</v>
      </c>
      <c r="BK16" s="538">
        <f>GEN!AF13</f>
        <v>0.1705113636363752</v>
      </c>
    </row>
    <row r="17" spans="1:64">
      <c r="A17" s="425">
        <f>ELEC!C15</f>
        <v>44693</v>
      </c>
      <c r="B17">
        <f>'B5'!B16</f>
        <v>234</v>
      </c>
      <c r="C17" s="203">
        <f t="shared" si="18"/>
        <v>5034.7741935483873</v>
      </c>
      <c r="D17">
        <f t="shared" si="19"/>
        <v>234</v>
      </c>
      <c r="E17" s="203">
        <f t="shared" si="18"/>
        <v>5034.7741935483873</v>
      </c>
      <c r="F17">
        <f t="shared" si="20"/>
        <v>234</v>
      </c>
      <c r="G17" s="203">
        <f t="shared" si="1"/>
        <v>5034.7741935483873</v>
      </c>
      <c r="H17" s="203">
        <f t="shared" si="21"/>
        <v>234</v>
      </c>
      <c r="I17" s="203">
        <f t="shared" si="2"/>
        <v>5034.7741935483873</v>
      </c>
      <c r="J17" s="203">
        <f t="shared" si="22"/>
        <v>234</v>
      </c>
      <c r="K17" s="203">
        <f t="shared" si="3"/>
        <v>5034.7741935483873</v>
      </c>
      <c r="L17" s="203">
        <f t="shared" si="23"/>
        <v>234</v>
      </c>
      <c r="M17" s="203">
        <f t="shared" si="4"/>
        <v>5034.7741935483873</v>
      </c>
      <c r="N17" s="203">
        <f t="shared" si="24"/>
        <v>234</v>
      </c>
      <c r="O17" s="203">
        <f t="shared" si="5"/>
        <v>5034.7741935483873</v>
      </c>
      <c r="P17" s="203">
        <f t="shared" si="25"/>
        <v>234</v>
      </c>
      <c r="Q17" s="203">
        <f t="shared" si="6"/>
        <v>5034.7741935483873</v>
      </c>
      <c r="R17" s="203">
        <f t="shared" si="26"/>
        <v>234</v>
      </c>
      <c r="S17" s="203">
        <f t="shared" si="7"/>
        <v>5034.7741935483873</v>
      </c>
      <c r="T17" s="203">
        <f t="shared" si="27"/>
        <v>234</v>
      </c>
      <c r="U17" s="203">
        <f t="shared" si="8"/>
        <v>5034.7741935483873</v>
      </c>
      <c r="V17" s="203">
        <f t="shared" si="28"/>
        <v>234</v>
      </c>
      <c r="W17" s="203">
        <f t="shared" si="9"/>
        <v>5034.7741935483873</v>
      </c>
      <c r="X17" s="35">
        <f t="shared" si="10"/>
        <v>0.75483870967741939</v>
      </c>
      <c r="Y17" s="36">
        <f t="shared" si="29"/>
        <v>55382.516129032258</v>
      </c>
      <c r="Z17" s="203">
        <f>'B5'!C16</f>
        <v>240</v>
      </c>
      <c r="AA17" s="203">
        <f t="shared" si="30"/>
        <v>2400</v>
      </c>
      <c r="AB17" s="203">
        <f t="shared" si="31"/>
        <v>240</v>
      </c>
      <c r="AC17" s="203">
        <f t="shared" si="30"/>
        <v>2400</v>
      </c>
      <c r="AD17" s="203">
        <f t="shared" si="32"/>
        <v>240</v>
      </c>
      <c r="AE17" s="203">
        <f t="shared" si="11"/>
        <v>2400</v>
      </c>
      <c r="AF17" s="203">
        <f t="shared" si="33"/>
        <v>240</v>
      </c>
      <c r="AG17" s="203">
        <f t="shared" si="12"/>
        <v>2400</v>
      </c>
      <c r="AH17" s="203">
        <f t="shared" si="34"/>
        <v>240</v>
      </c>
      <c r="AI17" s="203">
        <f t="shared" si="13"/>
        <v>2400</v>
      </c>
      <c r="AJ17" s="203">
        <f t="shared" si="35"/>
        <v>240</v>
      </c>
      <c r="AK17" s="203">
        <f t="shared" si="14"/>
        <v>2400</v>
      </c>
      <c r="AL17" s="203">
        <f t="shared" si="36"/>
        <v>240</v>
      </c>
      <c r="AM17" s="203">
        <f t="shared" si="15"/>
        <v>2400</v>
      </c>
      <c r="AN17" s="35">
        <f t="shared" si="16"/>
        <v>0.8571428571428571</v>
      </c>
      <c r="AO17" s="36">
        <f>SUM(AA17+AC17+AE17+AG17+AI17+AK17+AM17)</f>
        <v>16800</v>
      </c>
      <c r="AQ17" s="223">
        <f t="shared" si="40"/>
        <v>0.77640654113189478</v>
      </c>
      <c r="AR17" s="38">
        <f t="shared" si="41"/>
        <v>72182.516129032258</v>
      </c>
      <c r="AS17" s="197">
        <f t="shared" si="42"/>
        <v>-1226.7096774193487</v>
      </c>
      <c r="AU17" s="3"/>
      <c r="AV17" s="485">
        <f t="shared" si="45"/>
        <v>1.085</v>
      </c>
      <c r="AW17" s="279">
        <f>-SUM('B5'!AI16)</f>
        <v>-131</v>
      </c>
      <c r="AX17" s="279">
        <f t="shared" si="17"/>
        <v>-1095.7096774193487</v>
      </c>
      <c r="AY17" s="37">
        <f t="shared" si="37"/>
        <v>-1226.7096774193487</v>
      </c>
      <c r="AZ17" s="100">
        <f>ELEC!A15</f>
        <v>0</v>
      </c>
      <c r="BA17" s="118">
        <f>'General information '!D16</f>
        <v>19.5</v>
      </c>
      <c r="BB17" s="378">
        <f>SUM('General information '!E16)</f>
        <v>0.72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-273.92741935483718</v>
      </c>
      <c r="BK17" s="538">
        <f>GEN!AF14</f>
        <v>0.18097222222220605</v>
      </c>
    </row>
    <row r="18" spans="1:64">
      <c r="A18" s="425">
        <f>ELEC!C16</f>
        <v>44694</v>
      </c>
      <c r="B18">
        <f>'B5'!B17</f>
        <v>234</v>
      </c>
      <c r="C18" s="203">
        <f t="shared" si="18"/>
        <v>5034.7741935483873</v>
      </c>
      <c r="D18">
        <f t="shared" si="19"/>
        <v>234</v>
      </c>
      <c r="E18" s="203">
        <f t="shared" si="18"/>
        <v>5034.7741935483873</v>
      </c>
      <c r="F18">
        <f t="shared" si="20"/>
        <v>234</v>
      </c>
      <c r="G18" s="203">
        <f t="shared" si="1"/>
        <v>5034.7741935483873</v>
      </c>
      <c r="H18" s="203">
        <f t="shared" si="21"/>
        <v>234</v>
      </c>
      <c r="I18" s="203">
        <f t="shared" si="2"/>
        <v>5034.7741935483873</v>
      </c>
      <c r="J18" s="203">
        <f t="shared" si="22"/>
        <v>234</v>
      </c>
      <c r="K18" s="203">
        <f t="shared" si="3"/>
        <v>5034.7741935483873</v>
      </c>
      <c r="L18" s="203">
        <f t="shared" si="23"/>
        <v>234</v>
      </c>
      <c r="M18" s="203">
        <f t="shared" si="4"/>
        <v>5034.7741935483873</v>
      </c>
      <c r="N18" s="203">
        <f t="shared" si="24"/>
        <v>234</v>
      </c>
      <c r="O18" s="203">
        <f t="shared" si="5"/>
        <v>5034.7741935483873</v>
      </c>
      <c r="P18" s="203">
        <f t="shared" si="25"/>
        <v>234</v>
      </c>
      <c r="Q18" s="203">
        <f t="shared" si="6"/>
        <v>5034.7741935483873</v>
      </c>
      <c r="R18" s="203">
        <f t="shared" si="26"/>
        <v>234</v>
      </c>
      <c r="S18" s="203">
        <f t="shared" si="7"/>
        <v>5034.7741935483873</v>
      </c>
      <c r="T18" s="203">
        <f t="shared" si="27"/>
        <v>234</v>
      </c>
      <c r="U18" s="203">
        <f t="shared" si="8"/>
        <v>5034.7741935483873</v>
      </c>
      <c r="V18" s="203">
        <f t="shared" si="28"/>
        <v>234</v>
      </c>
      <c r="W18" s="203">
        <f t="shared" si="9"/>
        <v>5034.7741935483873</v>
      </c>
      <c r="X18" s="35">
        <f t="shared" si="10"/>
        <v>0.75483870967741939</v>
      </c>
      <c r="Y18" s="36">
        <f t="shared" si="29"/>
        <v>55382.516129032258</v>
      </c>
      <c r="Z18" s="203">
        <f>'B5'!C17</f>
        <v>240</v>
      </c>
      <c r="AA18" s="203">
        <f t="shared" si="30"/>
        <v>2400</v>
      </c>
      <c r="AB18" s="203">
        <f t="shared" si="31"/>
        <v>240</v>
      </c>
      <c r="AC18" s="203">
        <f t="shared" si="30"/>
        <v>2400</v>
      </c>
      <c r="AD18" s="203">
        <f t="shared" si="32"/>
        <v>240</v>
      </c>
      <c r="AE18" s="203">
        <f t="shared" si="11"/>
        <v>2400</v>
      </c>
      <c r="AF18" s="203">
        <f t="shared" si="33"/>
        <v>240</v>
      </c>
      <c r="AG18" s="203">
        <f t="shared" si="12"/>
        <v>2400</v>
      </c>
      <c r="AH18" s="203">
        <f t="shared" si="34"/>
        <v>240</v>
      </c>
      <c r="AI18" s="203">
        <f t="shared" si="13"/>
        <v>2400</v>
      </c>
      <c r="AJ18" s="203">
        <f t="shared" si="35"/>
        <v>240</v>
      </c>
      <c r="AK18" s="203">
        <f t="shared" si="14"/>
        <v>2400</v>
      </c>
      <c r="AL18" s="203">
        <f t="shared" si="36"/>
        <v>240</v>
      </c>
      <c r="AM18" s="203">
        <f t="shared" si="15"/>
        <v>2400</v>
      </c>
      <c r="AN18" s="35">
        <f t="shared" si="16"/>
        <v>0.8571428571428571</v>
      </c>
      <c r="AO18" s="36">
        <f t="shared" si="39"/>
        <v>16800</v>
      </c>
      <c r="AQ18" s="223">
        <f t="shared" si="40"/>
        <v>0.77640654113189478</v>
      </c>
      <c r="AR18" s="38">
        <f t="shared" si="41"/>
        <v>72182.516129032258</v>
      </c>
      <c r="AS18" s="197">
        <f>SUM(AR18-AR17-AT18)</f>
        <v>0</v>
      </c>
      <c r="AT18" s="340"/>
      <c r="AU18" s="548"/>
      <c r="AV18" s="485">
        <f t="shared" si="45"/>
        <v>1.085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/>
    </row>
    <row r="19" spans="1:64">
      <c r="A19" s="425">
        <f>ELEC!C17</f>
        <v>44695</v>
      </c>
      <c r="B19">
        <f>'B5'!B18</f>
        <v>234</v>
      </c>
      <c r="C19" s="203">
        <f t="shared" si="18"/>
        <v>5034.7741935483873</v>
      </c>
      <c r="D19">
        <f t="shared" si="19"/>
        <v>234</v>
      </c>
      <c r="E19" s="203">
        <f t="shared" si="18"/>
        <v>5034.7741935483873</v>
      </c>
      <c r="F19">
        <f t="shared" si="20"/>
        <v>234</v>
      </c>
      <c r="G19" s="203">
        <f t="shared" si="1"/>
        <v>5034.7741935483873</v>
      </c>
      <c r="H19" s="203">
        <f t="shared" si="21"/>
        <v>234</v>
      </c>
      <c r="I19" s="203">
        <f t="shared" si="2"/>
        <v>5034.7741935483873</v>
      </c>
      <c r="J19" s="203">
        <f t="shared" si="22"/>
        <v>234</v>
      </c>
      <c r="K19" s="203">
        <f t="shared" si="3"/>
        <v>5034.7741935483873</v>
      </c>
      <c r="L19" s="203">
        <f t="shared" si="23"/>
        <v>234</v>
      </c>
      <c r="M19" s="203">
        <f t="shared" si="4"/>
        <v>5034.7741935483873</v>
      </c>
      <c r="N19" s="203">
        <f t="shared" si="24"/>
        <v>234</v>
      </c>
      <c r="O19" s="203">
        <f t="shared" si="5"/>
        <v>5034.7741935483873</v>
      </c>
      <c r="P19" s="203">
        <f t="shared" si="25"/>
        <v>234</v>
      </c>
      <c r="Q19" s="203">
        <f t="shared" si="6"/>
        <v>5034.7741935483873</v>
      </c>
      <c r="R19" s="203">
        <f t="shared" si="26"/>
        <v>234</v>
      </c>
      <c r="S19" s="203">
        <f t="shared" si="7"/>
        <v>5034.7741935483873</v>
      </c>
      <c r="T19" s="203">
        <f t="shared" si="27"/>
        <v>234</v>
      </c>
      <c r="U19" s="203">
        <f t="shared" si="8"/>
        <v>5034.7741935483873</v>
      </c>
      <c r="V19" s="203">
        <f t="shared" si="28"/>
        <v>234</v>
      </c>
      <c r="W19" s="203">
        <f t="shared" si="9"/>
        <v>5034.7741935483873</v>
      </c>
      <c r="X19" s="35">
        <f t="shared" si="10"/>
        <v>0.75483870967741939</v>
      </c>
      <c r="Y19" s="36">
        <f t="shared" si="29"/>
        <v>55382.516129032258</v>
      </c>
      <c r="Z19" s="203">
        <f>'B5'!C18</f>
        <v>240</v>
      </c>
      <c r="AA19" s="203">
        <f t="shared" si="30"/>
        <v>2400</v>
      </c>
      <c r="AB19" s="203">
        <f t="shared" si="31"/>
        <v>240</v>
      </c>
      <c r="AC19" s="203">
        <f t="shared" si="30"/>
        <v>2400</v>
      </c>
      <c r="AD19" s="203">
        <f t="shared" si="32"/>
        <v>240</v>
      </c>
      <c r="AE19" s="203">
        <f t="shared" si="11"/>
        <v>2400</v>
      </c>
      <c r="AF19" s="203">
        <f t="shared" si="33"/>
        <v>240</v>
      </c>
      <c r="AG19" s="203">
        <f t="shared" si="12"/>
        <v>2400</v>
      </c>
      <c r="AH19" s="203">
        <f t="shared" si="34"/>
        <v>240</v>
      </c>
      <c r="AI19" s="203">
        <f t="shared" si="13"/>
        <v>2400</v>
      </c>
      <c r="AJ19" s="203">
        <f t="shared" si="35"/>
        <v>240</v>
      </c>
      <c r="AK19" s="203">
        <f t="shared" si="14"/>
        <v>2400</v>
      </c>
      <c r="AL19" s="203">
        <f t="shared" si="36"/>
        <v>240</v>
      </c>
      <c r="AM19" s="203">
        <f t="shared" si="15"/>
        <v>2400</v>
      </c>
      <c r="AN19" s="35">
        <f t="shared" si="16"/>
        <v>0.8571428571428571</v>
      </c>
      <c r="AO19" s="36">
        <f t="shared" si="39"/>
        <v>16800</v>
      </c>
      <c r="AQ19" s="223">
        <f t="shared" si="40"/>
        <v>0.77640654113189478</v>
      </c>
      <c r="AR19" s="38">
        <f t="shared" si="41"/>
        <v>72182.516129032258</v>
      </c>
      <c r="AS19" s="197">
        <f t="shared" ref="AS19:AS32" si="47">SUM(AR19-AR18-AT19)</f>
        <v>0</v>
      </c>
      <c r="AT19" s="340"/>
      <c r="AU19" s="548"/>
      <c r="AV19" s="485">
        <f t="shared" si="45"/>
        <v>1.085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665.08016877609418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/>
    </row>
    <row r="20" spans="1:64">
      <c r="A20" s="425">
        <f>ELEC!C18</f>
        <v>44696</v>
      </c>
      <c r="B20">
        <f>'B5'!B19</f>
        <v>231</v>
      </c>
      <c r="C20" s="203">
        <f t="shared" si="18"/>
        <v>4970.2258064516127</v>
      </c>
      <c r="D20">
        <f t="shared" si="19"/>
        <v>231</v>
      </c>
      <c r="E20" s="203">
        <f t="shared" si="18"/>
        <v>4970.2258064516127</v>
      </c>
      <c r="F20">
        <f t="shared" si="20"/>
        <v>231</v>
      </c>
      <c r="G20" s="203">
        <f t="shared" si="1"/>
        <v>4970.2258064516127</v>
      </c>
      <c r="H20" s="203">
        <f t="shared" si="21"/>
        <v>231</v>
      </c>
      <c r="I20" s="203">
        <f t="shared" si="2"/>
        <v>4970.2258064516127</v>
      </c>
      <c r="J20" s="203">
        <f t="shared" si="22"/>
        <v>231</v>
      </c>
      <c r="K20" s="203">
        <f t="shared" si="3"/>
        <v>4970.2258064516127</v>
      </c>
      <c r="L20" s="203">
        <f t="shared" si="23"/>
        <v>231</v>
      </c>
      <c r="M20" s="203">
        <f t="shared" si="4"/>
        <v>4970.2258064516127</v>
      </c>
      <c r="N20" s="203">
        <f t="shared" si="24"/>
        <v>231</v>
      </c>
      <c r="O20" s="203">
        <f t="shared" si="5"/>
        <v>4970.2258064516127</v>
      </c>
      <c r="P20" s="203">
        <f t="shared" si="25"/>
        <v>231</v>
      </c>
      <c r="Q20" s="203">
        <f t="shared" si="6"/>
        <v>4970.2258064516127</v>
      </c>
      <c r="R20" s="203">
        <f t="shared" si="26"/>
        <v>231</v>
      </c>
      <c r="S20" s="203">
        <f t="shared" si="7"/>
        <v>4970.2258064516127</v>
      </c>
      <c r="T20" s="203">
        <f t="shared" si="27"/>
        <v>231</v>
      </c>
      <c r="U20" s="203">
        <f t="shared" si="8"/>
        <v>4970.2258064516127</v>
      </c>
      <c r="V20" s="203">
        <f t="shared" si="28"/>
        <v>231</v>
      </c>
      <c r="W20" s="203">
        <f t="shared" si="9"/>
        <v>4970.2258064516127</v>
      </c>
      <c r="X20" s="35">
        <f t="shared" si="10"/>
        <v>0.74516129032258061</v>
      </c>
      <c r="Y20" s="36">
        <f t="shared" si="29"/>
        <v>54672.483870967742</v>
      </c>
      <c r="Z20" s="203">
        <f>'B5'!C19</f>
        <v>237</v>
      </c>
      <c r="AA20" s="203">
        <f t="shared" si="30"/>
        <v>2370</v>
      </c>
      <c r="AB20" s="203">
        <f t="shared" si="31"/>
        <v>237</v>
      </c>
      <c r="AC20" s="203">
        <f t="shared" si="30"/>
        <v>2370</v>
      </c>
      <c r="AD20" s="203">
        <f t="shared" si="32"/>
        <v>237</v>
      </c>
      <c r="AE20" s="203">
        <f t="shared" si="11"/>
        <v>2370</v>
      </c>
      <c r="AF20" s="203">
        <f t="shared" si="33"/>
        <v>237</v>
      </c>
      <c r="AG20" s="203">
        <f t="shared" si="12"/>
        <v>2370</v>
      </c>
      <c r="AH20" s="203">
        <f t="shared" si="34"/>
        <v>237</v>
      </c>
      <c r="AI20" s="203">
        <f t="shared" si="13"/>
        <v>2370</v>
      </c>
      <c r="AJ20" s="203">
        <f t="shared" si="35"/>
        <v>237</v>
      </c>
      <c r="AK20" s="203">
        <f t="shared" si="14"/>
        <v>2370</v>
      </c>
      <c r="AL20" s="203">
        <f t="shared" si="36"/>
        <v>237</v>
      </c>
      <c r="AM20" s="203">
        <f t="shared" si="15"/>
        <v>2370</v>
      </c>
      <c r="AN20" s="35">
        <f t="shared" si="16"/>
        <v>0.84642857142857142</v>
      </c>
      <c r="AO20" s="36">
        <f t="shared" si="39"/>
        <v>16590</v>
      </c>
      <c r="AQ20" s="223">
        <f t="shared" si="40"/>
        <v>0.76651052889069315</v>
      </c>
      <c r="AR20" s="38">
        <f t="shared" si="41"/>
        <v>71262.483870967742</v>
      </c>
      <c r="AS20" s="197">
        <f>SUM(AR20-AR19-AT20)</f>
        <v>-920.03225806451519</v>
      </c>
      <c r="AT20" s="340"/>
      <c r="AU20" s="548"/>
      <c r="AV20" s="485">
        <f t="shared" si="45"/>
        <v>1.085</v>
      </c>
      <c r="AW20" s="279">
        <f>-SUM('B5'!AI19)</f>
        <v>-157</v>
      </c>
      <c r="AX20" s="279">
        <f>-SUM(AW20-AS20)</f>
        <v>-763.03225806451519</v>
      </c>
      <c r="AY20" s="37">
        <f t="shared" si="37"/>
        <v>-920.03225806451519</v>
      </c>
      <c r="AZ20" s="100">
        <f>ELEC!A18</f>
        <v>0</v>
      </c>
      <c r="BA20" s="118">
        <f>'General information '!D19</f>
        <v>20</v>
      </c>
      <c r="BB20" s="378">
        <f>SUM('General information '!E19)</f>
        <v>0.77</v>
      </c>
      <c r="BC20" s="3">
        <f t="shared" si="44"/>
        <v>0</v>
      </c>
      <c r="BD20" s="102">
        <v>19222</v>
      </c>
      <c r="BE20" s="14">
        <f>(305/1185)*ELEC!Q19</f>
        <v>632.90717299550352</v>
      </c>
      <c r="BF20" s="14"/>
      <c r="BG20" s="14" t="e">
        <f>#REF!-BE20</f>
        <v>#REF!</v>
      </c>
      <c r="BH20" s="11"/>
      <c r="BI20">
        <v>7</v>
      </c>
      <c r="BJ20">
        <f t="shared" si="46"/>
        <v>-109.00460829493075</v>
      </c>
      <c r="BK20" s="538">
        <f>GEN!AF17</f>
        <v>0.1614999999999327</v>
      </c>
      <c r="BL20" s="203"/>
    </row>
    <row r="21" spans="1:64">
      <c r="A21" s="425">
        <f>ELEC!C19</f>
        <v>44697</v>
      </c>
      <c r="B21">
        <f>'B5'!B20</f>
        <v>228</v>
      </c>
      <c r="C21" s="203">
        <f t="shared" si="18"/>
        <v>4905.677419354839</v>
      </c>
      <c r="D21">
        <f t="shared" si="19"/>
        <v>228</v>
      </c>
      <c r="E21" s="203">
        <f t="shared" si="18"/>
        <v>4905.677419354839</v>
      </c>
      <c r="F21">
        <f t="shared" si="20"/>
        <v>228</v>
      </c>
      <c r="G21" s="203">
        <f t="shared" si="1"/>
        <v>4905.677419354839</v>
      </c>
      <c r="H21" s="203">
        <f t="shared" si="21"/>
        <v>228</v>
      </c>
      <c r="I21" s="203">
        <f t="shared" si="2"/>
        <v>4905.677419354839</v>
      </c>
      <c r="J21" s="203">
        <f t="shared" si="22"/>
        <v>228</v>
      </c>
      <c r="K21" s="203">
        <f t="shared" si="3"/>
        <v>4905.677419354839</v>
      </c>
      <c r="L21" s="203">
        <f t="shared" si="23"/>
        <v>228</v>
      </c>
      <c r="M21" s="203">
        <f t="shared" si="4"/>
        <v>4905.677419354839</v>
      </c>
      <c r="N21" s="203">
        <f t="shared" si="24"/>
        <v>228</v>
      </c>
      <c r="O21" s="203">
        <f t="shared" si="5"/>
        <v>4905.677419354839</v>
      </c>
      <c r="P21" s="203">
        <f t="shared" si="25"/>
        <v>228</v>
      </c>
      <c r="Q21" s="203">
        <f t="shared" si="6"/>
        <v>4905.677419354839</v>
      </c>
      <c r="R21" s="203">
        <f t="shared" si="26"/>
        <v>228</v>
      </c>
      <c r="S21" s="203">
        <f t="shared" si="7"/>
        <v>4905.677419354839</v>
      </c>
      <c r="T21" s="203">
        <f t="shared" si="27"/>
        <v>228</v>
      </c>
      <c r="U21" s="203">
        <f t="shared" si="8"/>
        <v>4905.677419354839</v>
      </c>
      <c r="V21" s="203">
        <f t="shared" si="28"/>
        <v>228</v>
      </c>
      <c r="W21" s="203">
        <f t="shared" si="9"/>
        <v>4905.677419354839</v>
      </c>
      <c r="X21" s="35">
        <f t="shared" si="10"/>
        <v>0.73548387096774215</v>
      </c>
      <c r="Y21" s="36">
        <f t="shared" si="29"/>
        <v>53962.451612903242</v>
      </c>
      <c r="Z21" s="203">
        <f>'B5'!C20</f>
        <v>233</v>
      </c>
      <c r="AA21" s="203">
        <f t="shared" si="30"/>
        <v>2330</v>
      </c>
      <c r="AB21" s="203">
        <f t="shared" si="31"/>
        <v>233</v>
      </c>
      <c r="AC21" s="203">
        <f t="shared" si="30"/>
        <v>2330</v>
      </c>
      <c r="AD21" s="203">
        <f t="shared" si="32"/>
        <v>233</v>
      </c>
      <c r="AE21" s="203">
        <f t="shared" si="11"/>
        <v>2330</v>
      </c>
      <c r="AF21" s="203">
        <f t="shared" si="33"/>
        <v>233</v>
      </c>
      <c r="AG21" s="203">
        <f t="shared" si="12"/>
        <v>2330</v>
      </c>
      <c r="AH21" s="203">
        <f t="shared" si="34"/>
        <v>233</v>
      </c>
      <c r="AI21" s="203">
        <f t="shared" si="13"/>
        <v>2330</v>
      </c>
      <c r="AJ21" s="203">
        <f t="shared" si="35"/>
        <v>233</v>
      </c>
      <c r="AK21" s="203">
        <f t="shared" si="14"/>
        <v>2330</v>
      </c>
      <c r="AL21" s="203">
        <f t="shared" si="36"/>
        <v>233</v>
      </c>
      <c r="AM21" s="203">
        <f t="shared" si="15"/>
        <v>2330</v>
      </c>
      <c r="AN21" s="35">
        <f t="shared" si="16"/>
        <v>0.83214285714285718</v>
      </c>
      <c r="AO21" s="36">
        <f t="shared" si="39"/>
        <v>16310</v>
      </c>
      <c r="AQ21" s="223">
        <f t="shared" si="40"/>
        <v>0.75586158559646377</v>
      </c>
      <c r="AR21" s="38">
        <f t="shared" si="41"/>
        <v>70272.451612903242</v>
      </c>
      <c r="AS21" s="197">
        <f>SUM(AR21-AR20-AT21)</f>
        <v>-990.03225806450064</v>
      </c>
      <c r="AT21" s="340"/>
      <c r="AU21" s="548"/>
      <c r="AV21" s="485">
        <f t="shared" si="45"/>
        <v>1.085</v>
      </c>
      <c r="AW21" s="279">
        <f>-SUM('B5'!AI20)</f>
        <v>-113</v>
      </c>
      <c r="AX21" s="279">
        <f t="shared" si="17"/>
        <v>-877.03225806450064</v>
      </c>
      <c r="AY21" s="37">
        <f t="shared" si="37"/>
        <v>-990.03225806450064</v>
      </c>
      <c r="AZ21" s="100">
        <f>ELEC!A19</f>
        <v>0</v>
      </c>
      <c r="BA21" s="118">
        <f>'General information '!D20</f>
        <v>20</v>
      </c>
      <c r="BB21" s="378">
        <f>SUM('General information '!E20)</f>
        <v>0.7</v>
      </c>
      <c r="BC21" s="3">
        <f t="shared" si="44"/>
        <v>0</v>
      </c>
      <c r="BD21" s="102">
        <v>19222</v>
      </c>
      <c r="BE21" s="14">
        <f>(305/1185)*ELEC!Q20</f>
        <v>687.72995780649899</v>
      </c>
      <c r="BF21" s="14"/>
      <c r="BG21" s="14" t="e">
        <f>#REF!-BE21</f>
        <v>#REF!</v>
      </c>
      <c r="BH21" s="11"/>
      <c r="BI21">
        <v>8</v>
      </c>
      <c r="BJ21">
        <f t="shared" si="46"/>
        <v>-109.62903225806258</v>
      </c>
      <c r="BK21" s="538">
        <f>GEN!AF18</f>
        <v>0.19210937499991587</v>
      </c>
    </row>
    <row r="22" spans="1:64">
      <c r="A22" s="425">
        <f>ELEC!C20</f>
        <v>44698</v>
      </c>
      <c r="B22">
        <f>'B5'!B21</f>
        <v>225</v>
      </c>
      <c r="C22" s="203">
        <f t="shared" si="18"/>
        <v>4841.1290322580644</v>
      </c>
      <c r="D22">
        <f t="shared" si="19"/>
        <v>225</v>
      </c>
      <c r="E22" s="203">
        <f t="shared" si="18"/>
        <v>4841.1290322580644</v>
      </c>
      <c r="F22">
        <f t="shared" si="20"/>
        <v>225</v>
      </c>
      <c r="G22" s="203">
        <f t="shared" si="1"/>
        <v>4841.1290322580644</v>
      </c>
      <c r="H22" s="203">
        <f t="shared" si="21"/>
        <v>225</v>
      </c>
      <c r="I22" s="203">
        <f t="shared" si="2"/>
        <v>4841.1290322580644</v>
      </c>
      <c r="J22" s="203">
        <f t="shared" si="22"/>
        <v>225</v>
      </c>
      <c r="K22" s="203">
        <f t="shared" si="3"/>
        <v>4841.1290322580644</v>
      </c>
      <c r="L22" s="203">
        <f t="shared" si="23"/>
        <v>225</v>
      </c>
      <c r="M22" s="203">
        <f t="shared" si="4"/>
        <v>4841.1290322580644</v>
      </c>
      <c r="N22" s="203">
        <f t="shared" si="24"/>
        <v>225</v>
      </c>
      <c r="O22" s="203">
        <f t="shared" si="5"/>
        <v>4841.1290322580644</v>
      </c>
      <c r="P22" s="203">
        <f t="shared" si="25"/>
        <v>225</v>
      </c>
      <c r="Q22" s="203">
        <f t="shared" si="6"/>
        <v>4841.1290322580644</v>
      </c>
      <c r="R22" s="203">
        <f t="shared" si="26"/>
        <v>225</v>
      </c>
      <c r="S22" s="203">
        <f t="shared" si="7"/>
        <v>4841.1290322580644</v>
      </c>
      <c r="T22" s="203">
        <f t="shared" si="27"/>
        <v>225</v>
      </c>
      <c r="U22" s="203">
        <f t="shared" si="8"/>
        <v>4841.1290322580644</v>
      </c>
      <c r="V22" s="203">
        <f t="shared" si="28"/>
        <v>225</v>
      </c>
      <c r="W22" s="203">
        <f t="shared" si="9"/>
        <v>4841.1290322580644</v>
      </c>
      <c r="X22" s="35">
        <f t="shared" si="10"/>
        <v>0.72580645161290303</v>
      </c>
      <c r="Y22" s="36">
        <f t="shared" si="29"/>
        <v>53252.419354838697</v>
      </c>
      <c r="Z22" s="203">
        <f>'B5'!C21</f>
        <v>231</v>
      </c>
      <c r="AA22" s="203">
        <f t="shared" si="30"/>
        <v>2310</v>
      </c>
      <c r="AB22" s="203">
        <f t="shared" si="31"/>
        <v>231</v>
      </c>
      <c r="AC22" s="203">
        <f t="shared" si="30"/>
        <v>2310</v>
      </c>
      <c r="AD22" s="203">
        <f t="shared" si="32"/>
        <v>231</v>
      </c>
      <c r="AE22" s="203">
        <f t="shared" si="11"/>
        <v>2310</v>
      </c>
      <c r="AF22" s="203">
        <f t="shared" si="33"/>
        <v>231</v>
      </c>
      <c r="AG22" s="203">
        <f t="shared" si="12"/>
        <v>2310</v>
      </c>
      <c r="AH22" s="203">
        <f t="shared" si="34"/>
        <v>231</v>
      </c>
      <c r="AI22" s="203">
        <f t="shared" si="13"/>
        <v>2310</v>
      </c>
      <c r="AJ22" s="203">
        <f t="shared" si="35"/>
        <v>231</v>
      </c>
      <c r="AK22" s="203">
        <f t="shared" si="14"/>
        <v>2310</v>
      </c>
      <c r="AL22" s="203">
        <f t="shared" si="36"/>
        <v>231</v>
      </c>
      <c r="AM22" s="203">
        <f t="shared" si="15"/>
        <v>2310</v>
      </c>
      <c r="AN22" s="35">
        <f t="shared" si="16"/>
        <v>0.82499999999999996</v>
      </c>
      <c r="AO22" s="36">
        <f t="shared" si="39"/>
        <v>16170</v>
      </c>
      <c r="AQ22" s="223">
        <f t="shared" si="40"/>
        <v>0.7467185044082898</v>
      </c>
      <c r="AR22" s="38">
        <f t="shared" si="41"/>
        <v>69422.419354838697</v>
      </c>
      <c r="AS22" s="197">
        <f t="shared" si="47"/>
        <v>-850.03225806454429</v>
      </c>
      <c r="AT22" s="340"/>
      <c r="AU22" s="548"/>
      <c r="AV22" s="485">
        <f t="shared" si="43"/>
        <v>1.085</v>
      </c>
      <c r="AW22" s="279">
        <f>-SUM('B5'!AI21)</f>
        <v>-126</v>
      </c>
      <c r="AX22" s="279">
        <f t="shared" si="17"/>
        <v>-724.03225806454429</v>
      </c>
      <c r="AY22" s="37">
        <f t="shared" si="37"/>
        <v>-850.03225806454429</v>
      </c>
      <c r="AZ22" s="100">
        <f>ELEC!A20</f>
        <v>0</v>
      </c>
      <c r="BA22" s="118">
        <f>'General information '!D21</f>
        <v>20.5</v>
      </c>
      <c r="BB22" s="378">
        <f>SUM('General information '!E21)</f>
        <v>0.81</v>
      </c>
      <c r="BC22" s="3">
        <f t="shared" si="44"/>
        <v>0</v>
      </c>
      <c r="BD22" s="102">
        <v>19222</v>
      </c>
      <c r="BE22" s="14">
        <f>(305/1185)*ELEC!Q21</f>
        <v>770.86497890269152</v>
      </c>
      <c r="BF22" s="14"/>
      <c r="BG22" s="14" t="e">
        <f>#REF!-BE22</f>
        <v>#REF!</v>
      </c>
      <c r="BH22" s="11"/>
      <c r="BI22">
        <v>9</v>
      </c>
      <c r="BJ22">
        <f t="shared" si="46"/>
        <v>-80.448028673838252</v>
      </c>
      <c r="BK22" s="538">
        <f>GEN!AF19</f>
        <v>0.1670000000001437</v>
      </c>
    </row>
    <row r="23" spans="1:64">
      <c r="A23" s="425">
        <f>ELEC!C21</f>
        <v>44699</v>
      </c>
      <c r="B23">
        <f>'B5'!B22</f>
        <v>220</v>
      </c>
      <c r="C23" s="203">
        <f t="shared" si="18"/>
        <v>4733.5483870967737</v>
      </c>
      <c r="D23">
        <f t="shared" si="19"/>
        <v>220</v>
      </c>
      <c r="E23" s="203">
        <f t="shared" si="18"/>
        <v>4733.5483870967737</v>
      </c>
      <c r="F23">
        <f t="shared" si="20"/>
        <v>220</v>
      </c>
      <c r="G23" s="203">
        <f t="shared" si="1"/>
        <v>4733.5483870967737</v>
      </c>
      <c r="H23" s="203">
        <f t="shared" si="21"/>
        <v>220</v>
      </c>
      <c r="I23" s="203">
        <f t="shared" si="2"/>
        <v>4733.5483870967737</v>
      </c>
      <c r="J23" s="203">
        <f t="shared" si="22"/>
        <v>220</v>
      </c>
      <c r="K23" s="203">
        <f t="shared" si="3"/>
        <v>4733.5483870967737</v>
      </c>
      <c r="L23" s="203">
        <f t="shared" si="23"/>
        <v>220</v>
      </c>
      <c r="M23" s="203">
        <f t="shared" si="4"/>
        <v>4733.5483870967737</v>
      </c>
      <c r="N23" s="203">
        <f t="shared" si="24"/>
        <v>220</v>
      </c>
      <c r="O23" s="203">
        <f t="shared" si="5"/>
        <v>4733.5483870967737</v>
      </c>
      <c r="P23" s="203">
        <f t="shared" si="25"/>
        <v>220</v>
      </c>
      <c r="Q23" s="203">
        <f t="shared" si="6"/>
        <v>4733.5483870967737</v>
      </c>
      <c r="R23" s="203">
        <f t="shared" si="26"/>
        <v>220</v>
      </c>
      <c r="S23" s="203">
        <f t="shared" si="7"/>
        <v>4733.5483870967737</v>
      </c>
      <c r="T23" s="203">
        <f t="shared" si="27"/>
        <v>220</v>
      </c>
      <c r="U23" s="203">
        <f t="shared" si="8"/>
        <v>4733.5483870967737</v>
      </c>
      <c r="V23" s="203">
        <f t="shared" si="28"/>
        <v>220</v>
      </c>
      <c r="W23" s="203">
        <f t="shared" si="9"/>
        <v>4733.5483870967737</v>
      </c>
      <c r="X23" s="35">
        <f t="shared" si="10"/>
        <v>0.70967741935483863</v>
      </c>
      <c r="Y23" s="36">
        <f t="shared" si="29"/>
        <v>52069.032258064508</v>
      </c>
      <c r="Z23" s="203">
        <f>'B5'!C22</f>
        <v>227</v>
      </c>
      <c r="AA23" s="203">
        <f t="shared" si="30"/>
        <v>2270</v>
      </c>
      <c r="AB23" s="203">
        <f t="shared" si="31"/>
        <v>227</v>
      </c>
      <c r="AC23" s="203">
        <f t="shared" si="30"/>
        <v>2270</v>
      </c>
      <c r="AD23" s="203">
        <f t="shared" si="32"/>
        <v>227</v>
      </c>
      <c r="AE23" s="203">
        <f t="shared" si="11"/>
        <v>2270</v>
      </c>
      <c r="AF23" s="203">
        <f t="shared" si="33"/>
        <v>227</v>
      </c>
      <c r="AG23" s="203">
        <f t="shared" si="12"/>
        <v>2270</v>
      </c>
      <c r="AH23" s="203">
        <f t="shared" si="34"/>
        <v>227</v>
      </c>
      <c r="AI23" s="203">
        <f t="shared" si="13"/>
        <v>2270</v>
      </c>
      <c r="AJ23" s="203">
        <f t="shared" si="35"/>
        <v>227</v>
      </c>
      <c r="AK23" s="203">
        <f t="shared" si="14"/>
        <v>2270</v>
      </c>
      <c r="AL23" s="203">
        <f t="shared" si="36"/>
        <v>227</v>
      </c>
      <c r="AM23" s="203">
        <f t="shared" si="15"/>
        <v>2270</v>
      </c>
      <c r="AN23" s="35">
        <f t="shared" si="16"/>
        <v>0.81071428571428572</v>
      </c>
      <c r="AO23" s="36">
        <f t="shared" si="39"/>
        <v>15890</v>
      </c>
      <c r="AQ23" s="223">
        <f t="shared" si="40"/>
        <v>0.73097808172598167</v>
      </c>
      <c r="AR23" s="38">
        <f t="shared" si="41"/>
        <v>67959.032258064515</v>
      </c>
      <c r="AS23" s="197">
        <f t="shared" si="47"/>
        <v>-1463.3870967741823</v>
      </c>
      <c r="AT23" s="340"/>
      <c r="AU23" s="548"/>
      <c r="AV23" s="485">
        <f t="shared" si="43"/>
        <v>1.085</v>
      </c>
      <c r="AW23" s="279">
        <f>-SUM('B5'!AI22)</f>
        <v>-213</v>
      </c>
      <c r="AX23" s="279">
        <f t="shared" si="17"/>
        <v>-1250.3870967741823</v>
      </c>
      <c r="AY23" s="37">
        <f t="shared" si="37"/>
        <v>-1463.3870967741823</v>
      </c>
      <c r="AZ23" s="100">
        <f>ELEC!A21</f>
        <v>0</v>
      </c>
      <c r="BA23" s="118">
        <f>'General information '!D22</f>
        <v>20</v>
      </c>
      <c r="BB23" s="378">
        <f>SUM('General information '!E22)</f>
        <v>0.8</v>
      </c>
      <c r="BC23" s="3">
        <f t="shared" si="44"/>
        <v>0</v>
      </c>
      <c r="BD23" s="102">
        <v>19222</v>
      </c>
      <c r="BE23" s="14">
        <f>(305/1185)*ELEC!Q22</f>
        <v>778.84388185603075</v>
      </c>
      <c r="BF23" s="14"/>
      <c r="BG23" s="14" t="e">
        <f>#REF!-BE23</f>
        <v>#REF!</v>
      </c>
      <c r="BH23" s="11"/>
      <c r="BI23">
        <v>10</v>
      </c>
      <c r="BJ23">
        <f t="shared" si="46"/>
        <v>-125.03870967741823</v>
      </c>
      <c r="BK23" s="538">
        <f>GEN!AF20</f>
        <v>0.18718749999993634</v>
      </c>
    </row>
    <row r="24" spans="1:64">
      <c r="A24" s="425">
        <f>ELEC!C22</f>
        <v>44700</v>
      </c>
      <c r="B24">
        <f>'B5'!B23</f>
        <v>217</v>
      </c>
      <c r="C24" s="203">
        <f t="shared" si="18"/>
        <v>4669</v>
      </c>
      <c r="D24">
        <f t="shared" si="19"/>
        <v>217</v>
      </c>
      <c r="E24" s="203">
        <f t="shared" si="18"/>
        <v>4669</v>
      </c>
      <c r="F24">
        <f t="shared" si="20"/>
        <v>217</v>
      </c>
      <c r="G24" s="203">
        <f t="shared" si="1"/>
        <v>4669</v>
      </c>
      <c r="H24" s="203">
        <f t="shared" si="21"/>
        <v>217</v>
      </c>
      <c r="I24" s="203">
        <f t="shared" si="2"/>
        <v>4669</v>
      </c>
      <c r="J24" s="203">
        <f t="shared" si="22"/>
        <v>217</v>
      </c>
      <c r="K24" s="203">
        <f t="shared" si="3"/>
        <v>4669</v>
      </c>
      <c r="L24" s="203">
        <f t="shared" si="23"/>
        <v>217</v>
      </c>
      <c r="M24" s="203">
        <f t="shared" si="4"/>
        <v>4669</v>
      </c>
      <c r="N24" s="203">
        <f t="shared" si="24"/>
        <v>217</v>
      </c>
      <c r="O24" s="203">
        <f t="shared" si="5"/>
        <v>4669</v>
      </c>
      <c r="P24" s="203">
        <f t="shared" si="25"/>
        <v>217</v>
      </c>
      <c r="Q24" s="203">
        <f t="shared" si="6"/>
        <v>4669</v>
      </c>
      <c r="R24" s="203">
        <f t="shared" si="26"/>
        <v>217</v>
      </c>
      <c r="S24" s="203">
        <f t="shared" si="7"/>
        <v>4669</v>
      </c>
      <c r="T24" s="203">
        <f t="shared" si="27"/>
        <v>217</v>
      </c>
      <c r="U24" s="203">
        <f t="shared" si="8"/>
        <v>4669</v>
      </c>
      <c r="V24" s="203">
        <f t="shared" si="28"/>
        <v>217</v>
      </c>
      <c r="W24" s="203">
        <f t="shared" si="9"/>
        <v>4669</v>
      </c>
      <c r="X24" s="35">
        <f t="shared" si="10"/>
        <v>0.7</v>
      </c>
      <c r="Y24" s="36">
        <f t="shared" si="29"/>
        <v>51359</v>
      </c>
      <c r="Z24" s="203">
        <f>'B5'!C23</f>
        <v>224</v>
      </c>
      <c r="AA24" s="203">
        <f t="shared" si="30"/>
        <v>2240</v>
      </c>
      <c r="AB24" s="203">
        <f t="shared" si="31"/>
        <v>224</v>
      </c>
      <c r="AC24" s="203">
        <f t="shared" si="30"/>
        <v>2240</v>
      </c>
      <c r="AD24" s="203">
        <f t="shared" si="32"/>
        <v>224</v>
      </c>
      <c r="AE24" s="203">
        <f t="shared" si="11"/>
        <v>2240</v>
      </c>
      <c r="AF24" s="203">
        <f t="shared" si="33"/>
        <v>224</v>
      </c>
      <c r="AG24" s="203">
        <f t="shared" si="12"/>
        <v>2240</v>
      </c>
      <c r="AH24" s="203">
        <f t="shared" si="34"/>
        <v>224</v>
      </c>
      <c r="AI24" s="203">
        <f t="shared" si="13"/>
        <v>2240</v>
      </c>
      <c r="AJ24" s="203">
        <f t="shared" si="35"/>
        <v>224</v>
      </c>
      <c r="AK24" s="203">
        <f t="shared" si="14"/>
        <v>2240</v>
      </c>
      <c r="AL24" s="203">
        <f t="shared" si="36"/>
        <v>224</v>
      </c>
      <c r="AM24" s="203">
        <f t="shared" si="15"/>
        <v>2240</v>
      </c>
      <c r="AN24" s="35">
        <f t="shared" si="16"/>
        <v>0.8</v>
      </c>
      <c r="AO24" s="36">
        <f t="shared" si="39"/>
        <v>15680</v>
      </c>
      <c r="AQ24" s="223">
        <f t="shared" si="40"/>
        <v>0.72108206948478004</v>
      </c>
      <c r="AR24" s="38">
        <f t="shared" si="41"/>
        <v>67039</v>
      </c>
      <c r="AS24" s="197">
        <f t="shared" si="47"/>
        <v>-920.03225806451519</v>
      </c>
      <c r="AT24" s="340"/>
      <c r="AU24" s="548"/>
      <c r="AV24" s="485">
        <f t="shared" si="43"/>
        <v>1.085</v>
      </c>
      <c r="AW24" s="279">
        <f>-SUM('B5'!AI23)</f>
        <v>-61</v>
      </c>
      <c r="AX24" s="279">
        <f t="shared" si="17"/>
        <v>-859.03225806451519</v>
      </c>
      <c r="AY24" s="37">
        <f t="shared" si="37"/>
        <v>-920.03225806451519</v>
      </c>
      <c r="AZ24" s="100">
        <f>ELEC!A22</f>
        <v>0</v>
      </c>
      <c r="BA24" s="118">
        <f>'General information '!D23</f>
        <v>21.5</v>
      </c>
      <c r="BB24" s="378">
        <f>SUM('General information '!E23)</f>
        <v>0.83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-78.093841642228654</v>
      </c>
      <c r="BK24" s="538">
        <f>GEN!AF21</f>
        <v>0.17193181818170572</v>
      </c>
    </row>
    <row r="25" spans="1:64">
      <c r="A25" s="425">
        <f>ELEC!C23</f>
        <v>44701</v>
      </c>
      <c r="B25">
        <f>'B5'!B24</f>
        <v>217</v>
      </c>
      <c r="C25" s="203">
        <f t="shared" si="18"/>
        <v>4669</v>
      </c>
      <c r="D25">
        <f t="shared" si="19"/>
        <v>217</v>
      </c>
      <c r="E25" s="203">
        <f t="shared" si="18"/>
        <v>4669</v>
      </c>
      <c r="F25">
        <f t="shared" si="20"/>
        <v>217</v>
      </c>
      <c r="G25" s="203">
        <f t="shared" si="1"/>
        <v>4669</v>
      </c>
      <c r="H25" s="203">
        <f t="shared" si="21"/>
        <v>217</v>
      </c>
      <c r="I25" s="203">
        <f t="shared" si="2"/>
        <v>4669</v>
      </c>
      <c r="J25" s="203">
        <f t="shared" si="22"/>
        <v>217</v>
      </c>
      <c r="K25" s="203">
        <f t="shared" si="3"/>
        <v>4669</v>
      </c>
      <c r="L25" s="203">
        <f t="shared" si="23"/>
        <v>217</v>
      </c>
      <c r="M25" s="203">
        <f t="shared" si="4"/>
        <v>4669</v>
      </c>
      <c r="N25" s="203">
        <f t="shared" si="24"/>
        <v>217</v>
      </c>
      <c r="O25" s="203">
        <f t="shared" si="5"/>
        <v>4669</v>
      </c>
      <c r="P25" s="203">
        <f t="shared" si="25"/>
        <v>217</v>
      </c>
      <c r="Q25" s="203">
        <f t="shared" si="6"/>
        <v>4669</v>
      </c>
      <c r="R25" s="203">
        <f t="shared" si="26"/>
        <v>217</v>
      </c>
      <c r="S25" s="203">
        <f t="shared" si="7"/>
        <v>4669</v>
      </c>
      <c r="T25" s="203">
        <f t="shared" si="27"/>
        <v>217</v>
      </c>
      <c r="U25" s="203">
        <f t="shared" si="8"/>
        <v>4669</v>
      </c>
      <c r="V25" s="203">
        <f t="shared" si="28"/>
        <v>217</v>
      </c>
      <c r="W25" s="203">
        <f t="shared" si="9"/>
        <v>4669</v>
      </c>
      <c r="X25" s="35">
        <f t="shared" si="10"/>
        <v>0.7</v>
      </c>
      <c r="Y25" s="36">
        <f t="shared" si="29"/>
        <v>51359</v>
      </c>
      <c r="Z25" s="203">
        <f>'B5'!C24</f>
        <v>224</v>
      </c>
      <c r="AA25" s="203">
        <f t="shared" si="30"/>
        <v>2240</v>
      </c>
      <c r="AB25" s="203">
        <f t="shared" si="31"/>
        <v>224</v>
      </c>
      <c r="AC25" s="203">
        <f t="shared" si="30"/>
        <v>2240</v>
      </c>
      <c r="AD25" s="203">
        <f t="shared" si="32"/>
        <v>224</v>
      </c>
      <c r="AE25" s="203">
        <f t="shared" si="11"/>
        <v>2240</v>
      </c>
      <c r="AF25" s="203">
        <f t="shared" si="33"/>
        <v>224</v>
      </c>
      <c r="AG25" s="203">
        <f t="shared" si="12"/>
        <v>2240</v>
      </c>
      <c r="AH25" s="203">
        <f t="shared" si="34"/>
        <v>224</v>
      </c>
      <c r="AI25" s="203">
        <f t="shared" si="13"/>
        <v>2240</v>
      </c>
      <c r="AJ25" s="203">
        <f t="shared" si="35"/>
        <v>224</v>
      </c>
      <c r="AK25" s="203">
        <f t="shared" si="14"/>
        <v>2240</v>
      </c>
      <c r="AL25" s="203">
        <f t="shared" si="36"/>
        <v>224</v>
      </c>
      <c r="AM25" s="203">
        <f t="shared" si="15"/>
        <v>2240</v>
      </c>
      <c r="AN25" s="35">
        <f t="shared" si="16"/>
        <v>0.8</v>
      </c>
      <c r="AO25" s="36">
        <f t="shared" si="39"/>
        <v>15680</v>
      </c>
      <c r="AQ25" s="223">
        <f t="shared" si="40"/>
        <v>0.72108206948478004</v>
      </c>
      <c r="AR25" s="38">
        <f>Y25+AO25</f>
        <v>67039</v>
      </c>
      <c r="AS25" s="197">
        <f t="shared" si="47"/>
        <v>0</v>
      </c>
      <c r="AT25" s="340"/>
      <c r="AU25" s="548"/>
      <c r="AV25" s="485">
        <f t="shared" si="43"/>
        <v>1.085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/>
    </row>
    <row r="26" spans="1:64">
      <c r="A26" s="425">
        <f>ELEC!C24</f>
        <v>44702</v>
      </c>
      <c r="B26">
        <f>'B5'!B25</f>
        <v>231.5</v>
      </c>
      <c r="C26" s="203">
        <f t="shared" si="18"/>
        <v>4980.9838709677415</v>
      </c>
      <c r="D26">
        <f t="shared" si="19"/>
        <v>231.5</v>
      </c>
      <c r="E26" s="203">
        <f t="shared" si="18"/>
        <v>4980.9838709677415</v>
      </c>
      <c r="F26">
        <f t="shared" si="20"/>
        <v>231.5</v>
      </c>
      <c r="G26" s="203">
        <f t="shared" si="1"/>
        <v>4980.9838709677415</v>
      </c>
      <c r="H26" s="203">
        <f t="shared" si="21"/>
        <v>231.5</v>
      </c>
      <c r="I26" s="203">
        <f t="shared" si="2"/>
        <v>4980.9838709677415</v>
      </c>
      <c r="J26" s="203">
        <f t="shared" si="22"/>
        <v>231.5</v>
      </c>
      <c r="K26" s="203">
        <f t="shared" si="3"/>
        <v>4980.9838709677415</v>
      </c>
      <c r="L26" s="203">
        <f t="shared" si="23"/>
        <v>231.5</v>
      </c>
      <c r="M26" s="203">
        <f t="shared" si="4"/>
        <v>4980.9838709677415</v>
      </c>
      <c r="N26" s="203">
        <f t="shared" si="24"/>
        <v>231.5</v>
      </c>
      <c r="O26" s="203">
        <f t="shared" si="5"/>
        <v>4980.9838709677415</v>
      </c>
      <c r="P26" s="203">
        <f t="shared" si="25"/>
        <v>231.5</v>
      </c>
      <c r="Q26" s="203">
        <f t="shared" si="6"/>
        <v>4980.9838709677415</v>
      </c>
      <c r="R26" s="203">
        <f t="shared" si="26"/>
        <v>231.5</v>
      </c>
      <c r="S26" s="203">
        <f t="shared" si="7"/>
        <v>4980.9838709677415</v>
      </c>
      <c r="T26" s="203">
        <f t="shared" si="27"/>
        <v>231.5</v>
      </c>
      <c r="U26" s="203">
        <f t="shared" si="8"/>
        <v>4980.9838709677415</v>
      </c>
      <c r="V26" s="203">
        <f t="shared" si="28"/>
        <v>231.5</v>
      </c>
      <c r="W26" s="203">
        <f t="shared" si="9"/>
        <v>4980.9838709677415</v>
      </c>
      <c r="X26" s="35">
        <f t="shared" si="10"/>
        <v>0.74677419354838703</v>
      </c>
      <c r="Y26" s="36">
        <f t="shared" si="29"/>
        <v>54790.822580645159</v>
      </c>
      <c r="Z26" s="203">
        <f>'B5'!C25</f>
        <v>237.5</v>
      </c>
      <c r="AA26" s="203">
        <f t="shared" si="30"/>
        <v>2375</v>
      </c>
      <c r="AB26" s="203">
        <f t="shared" si="31"/>
        <v>237.5</v>
      </c>
      <c r="AC26" s="203">
        <f t="shared" si="30"/>
        <v>2375</v>
      </c>
      <c r="AD26" s="203">
        <f t="shared" si="32"/>
        <v>237.5</v>
      </c>
      <c r="AE26" s="203">
        <f t="shared" si="11"/>
        <v>2375</v>
      </c>
      <c r="AF26" s="203">
        <f t="shared" si="33"/>
        <v>237.5</v>
      </c>
      <c r="AG26" s="203">
        <f t="shared" si="12"/>
        <v>2375</v>
      </c>
      <c r="AH26" s="203">
        <f t="shared" si="34"/>
        <v>237.5</v>
      </c>
      <c r="AI26" s="203">
        <f t="shared" si="13"/>
        <v>2375</v>
      </c>
      <c r="AJ26" s="203">
        <f t="shared" si="35"/>
        <v>237.5</v>
      </c>
      <c r="AK26" s="203">
        <f t="shared" si="14"/>
        <v>2375</v>
      </c>
      <c r="AL26" s="203">
        <f t="shared" si="36"/>
        <v>237.5</v>
      </c>
      <c r="AM26" s="203">
        <f t="shared" si="15"/>
        <v>2375</v>
      </c>
      <c r="AN26" s="35">
        <f t="shared" si="16"/>
        <v>0.8482142857142857</v>
      </c>
      <c r="AO26" s="36">
        <f t="shared" si="39"/>
        <v>16625</v>
      </c>
      <c r="AQ26" s="223">
        <f t="shared" si="40"/>
        <v>0.76815986426422667</v>
      </c>
      <c r="AR26" s="38">
        <f>Y26+AO26</f>
        <v>71415.822580645152</v>
      </c>
      <c r="AS26" s="197">
        <f t="shared" si="47"/>
        <v>4376.8225806451519</v>
      </c>
      <c r="AT26" s="340"/>
      <c r="AU26" s="548"/>
      <c r="AV26" s="485">
        <f t="shared" si="43"/>
        <v>1.085</v>
      </c>
      <c r="AW26" s="279">
        <f>-SUM('B5'!AI25)</f>
        <v>0</v>
      </c>
      <c r="AX26" s="279">
        <f t="shared" si="17"/>
        <v>4376.8225806451519</v>
      </c>
      <c r="AY26" s="37">
        <f t="shared" si="37"/>
        <v>4376.8225806451519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1</v>
      </c>
      <c r="BD26" s="102">
        <v>19222</v>
      </c>
      <c r="BE26" s="14">
        <f>(305/1185)*ELEC!Q25</f>
        <v>951.0337552751231</v>
      </c>
      <c r="BF26" s="14"/>
      <c r="BG26" s="14" t="e">
        <f>#REF!-BE26</f>
        <v>#REF!</v>
      </c>
      <c r="BH26" s="11"/>
      <c r="BI26">
        <v>13</v>
      </c>
      <c r="BJ26">
        <f t="shared" si="46"/>
        <v>336.67866004962707</v>
      </c>
      <c r="BK26" s="538"/>
    </row>
    <row r="27" spans="1:64">
      <c r="A27" s="425">
        <f>ELEC!C25</f>
        <v>44703</v>
      </c>
      <c r="B27">
        <f>'B5'!B26</f>
        <v>231.5</v>
      </c>
      <c r="C27" s="203">
        <f t="shared" si="18"/>
        <v>4980.9838709677415</v>
      </c>
      <c r="D27">
        <f t="shared" si="19"/>
        <v>231.5</v>
      </c>
      <c r="E27" s="203">
        <f t="shared" si="18"/>
        <v>4980.9838709677415</v>
      </c>
      <c r="F27">
        <f t="shared" si="20"/>
        <v>231.5</v>
      </c>
      <c r="G27" s="203">
        <f t="shared" si="1"/>
        <v>4980.9838709677415</v>
      </c>
      <c r="H27" s="203">
        <f t="shared" si="21"/>
        <v>231.5</v>
      </c>
      <c r="I27" s="203">
        <f t="shared" si="2"/>
        <v>4980.9838709677415</v>
      </c>
      <c r="J27" s="203">
        <f t="shared" si="22"/>
        <v>231.5</v>
      </c>
      <c r="K27" s="203">
        <f t="shared" si="3"/>
        <v>4980.9838709677415</v>
      </c>
      <c r="L27" s="203">
        <f t="shared" si="23"/>
        <v>231.5</v>
      </c>
      <c r="M27" s="203">
        <f t="shared" si="4"/>
        <v>4980.9838709677415</v>
      </c>
      <c r="N27" s="203">
        <f t="shared" si="24"/>
        <v>231.5</v>
      </c>
      <c r="O27" s="203">
        <f t="shared" si="5"/>
        <v>4980.9838709677415</v>
      </c>
      <c r="P27" s="203">
        <f t="shared" si="25"/>
        <v>231.5</v>
      </c>
      <c r="Q27" s="203">
        <f t="shared" si="6"/>
        <v>4980.9838709677415</v>
      </c>
      <c r="R27" s="203">
        <f t="shared" si="26"/>
        <v>231.5</v>
      </c>
      <c r="S27" s="203">
        <f t="shared" si="7"/>
        <v>4980.9838709677415</v>
      </c>
      <c r="T27" s="203">
        <f t="shared" si="27"/>
        <v>231.5</v>
      </c>
      <c r="U27" s="203">
        <f t="shared" si="8"/>
        <v>4980.9838709677415</v>
      </c>
      <c r="V27" s="203">
        <f t="shared" si="28"/>
        <v>231.5</v>
      </c>
      <c r="W27" s="203">
        <f t="shared" si="9"/>
        <v>4980.9838709677415</v>
      </c>
      <c r="X27" s="35">
        <f t="shared" si="10"/>
        <v>0.74677419354838703</v>
      </c>
      <c r="Y27" s="36">
        <f t="shared" si="29"/>
        <v>54790.822580645159</v>
      </c>
      <c r="Z27" s="203">
        <f>'B5'!C26</f>
        <v>237.5</v>
      </c>
      <c r="AA27" s="203">
        <f t="shared" si="30"/>
        <v>2375</v>
      </c>
      <c r="AB27" s="203">
        <f t="shared" si="31"/>
        <v>237.5</v>
      </c>
      <c r="AC27" s="203">
        <f t="shared" si="30"/>
        <v>2375</v>
      </c>
      <c r="AD27" s="203">
        <f t="shared" si="32"/>
        <v>237.5</v>
      </c>
      <c r="AE27" s="203">
        <f t="shared" si="11"/>
        <v>2375</v>
      </c>
      <c r="AF27" s="203">
        <f t="shared" si="33"/>
        <v>237.5</v>
      </c>
      <c r="AG27" s="203">
        <f t="shared" si="12"/>
        <v>2375</v>
      </c>
      <c r="AH27" s="203">
        <f t="shared" si="34"/>
        <v>237.5</v>
      </c>
      <c r="AI27" s="203">
        <f t="shared" si="13"/>
        <v>2375</v>
      </c>
      <c r="AJ27" s="203">
        <f t="shared" si="35"/>
        <v>237.5</v>
      </c>
      <c r="AK27" s="203">
        <f t="shared" si="14"/>
        <v>2375</v>
      </c>
      <c r="AL27" s="203">
        <f t="shared" si="36"/>
        <v>237.5</v>
      </c>
      <c r="AM27" s="203">
        <f t="shared" si="15"/>
        <v>2375</v>
      </c>
      <c r="AN27" s="35">
        <f t="shared" si="16"/>
        <v>0.8482142857142857</v>
      </c>
      <c r="AO27" s="36">
        <f t="shared" si="39"/>
        <v>16625</v>
      </c>
      <c r="AQ27" s="223">
        <f t="shared" si="40"/>
        <v>0.76815986426422667</v>
      </c>
      <c r="AR27" s="38">
        <f t="shared" si="41"/>
        <v>71415.822580645152</v>
      </c>
      <c r="AS27" s="197">
        <f t="shared" si="47"/>
        <v>-5090</v>
      </c>
      <c r="AT27" s="340">
        <v>5090</v>
      </c>
      <c r="AU27" s="548">
        <v>1.07</v>
      </c>
      <c r="AV27" s="485">
        <v>0</v>
      </c>
      <c r="AW27" s="279">
        <f>-SUM('B5'!AI26)</f>
        <v>-136</v>
      </c>
      <c r="AX27" s="279">
        <f t="shared" si="17"/>
        <v>-4954</v>
      </c>
      <c r="AY27" s="37">
        <f t="shared" si="37"/>
        <v>-5090</v>
      </c>
      <c r="AZ27" s="100">
        <f>ELEC!A25</f>
        <v>0</v>
      </c>
      <c r="BA27" s="118">
        <f>'General information '!D26</f>
        <v>22.5</v>
      </c>
      <c r="BB27" s="378">
        <f>SUM('General information '!E26)</f>
        <v>0.7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-353.85714285714283</v>
      </c>
      <c r="BK27" s="538">
        <f>GEN!AF24</f>
        <v>0.19244791666684097</v>
      </c>
    </row>
    <row r="28" spans="1:64">
      <c r="A28" s="425">
        <f>ELEC!C26</f>
        <v>44704</v>
      </c>
      <c r="B28">
        <f>'B5'!B27</f>
        <v>231.5</v>
      </c>
      <c r="C28" s="203">
        <f t="shared" si="18"/>
        <v>4980.9838709677415</v>
      </c>
      <c r="D28">
        <f t="shared" si="19"/>
        <v>231.5</v>
      </c>
      <c r="E28" s="203">
        <f t="shared" si="18"/>
        <v>4980.9838709677415</v>
      </c>
      <c r="F28">
        <f t="shared" si="20"/>
        <v>231.5</v>
      </c>
      <c r="G28" s="203">
        <f t="shared" si="1"/>
        <v>4980.9838709677415</v>
      </c>
      <c r="H28" s="203">
        <f t="shared" si="21"/>
        <v>231.5</v>
      </c>
      <c r="I28" s="203">
        <f t="shared" si="2"/>
        <v>4980.9838709677415</v>
      </c>
      <c r="J28" s="203">
        <f t="shared" si="22"/>
        <v>231.5</v>
      </c>
      <c r="K28" s="203">
        <f t="shared" si="3"/>
        <v>4980.9838709677415</v>
      </c>
      <c r="L28" s="203">
        <f t="shared" si="23"/>
        <v>231.5</v>
      </c>
      <c r="M28" s="203">
        <f t="shared" si="4"/>
        <v>4980.9838709677415</v>
      </c>
      <c r="N28" s="203">
        <f t="shared" si="24"/>
        <v>231.5</v>
      </c>
      <c r="O28" s="203">
        <f t="shared" si="5"/>
        <v>4980.9838709677415</v>
      </c>
      <c r="P28" s="203">
        <f t="shared" si="25"/>
        <v>231.5</v>
      </c>
      <c r="Q28" s="203">
        <f t="shared" si="6"/>
        <v>4980.9838709677415</v>
      </c>
      <c r="R28" s="203">
        <f t="shared" si="26"/>
        <v>231.5</v>
      </c>
      <c r="S28" s="203">
        <f t="shared" si="7"/>
        <v>4980.9838709677415</v>
      </c>
      <c r="T28" s="203">
        <f t="shared" si="27"/>
        <v>231.5</v>
      </c>
      <c r="U28" s="203">
        <f t="shared" si="8"/>
        <v>4980.9838709677415</v>
      </c>
      <c r="V28" s="203">
        <f t="shared" si="28"/>
        <v>231.5</v>
      </c>
      <c r="W28" s="203">
        <f t="shared" si="9"/>
        <v>4980.9838709677415</v>
      </c>
      <c r="X28" s="35">
        <f t="shared" si="10"/>
        <v>0.74677419354838703</v>
      </c>
      <c r="Y28" s="36">
        <f t="shared" si="29"/>
        <v>54790.822580645159</v>
      </c>
      <c r="Z28" s="203">
        <f>'B5'!C27</f>
        <v>237.5</v>
      </c>
      <c r="AA28" s="203">
        <f t="shared" si="30"/>
        <v>2375</v>
      </c>
      <c r="AB28" s="203">
        <f t="shared" si="31"/>
        <v>237.5</v>
      </c>
      <c r="AC28" s="203">
        <f t="shared" si="30"/>
        <v>2375</v>
      </c>
      <c r="AD28" s="203">
        <f t="shared" si="32"/>
        <v>237.5</v>
      </c>
      <c r="AE28" s="203">
        <f t="shared" si="11"/>
        <v>2375</v>
      </c>
      <c r="AF28" s="203">
        <f t="shared" si="33"/>
        <v>237.5</v>
      </c>
      <c r="AG28" s="203">
        <f t="shared" si="12"/>
        <v>2375</v>
      </c>
      <c r="AH28" s="203">
        <f t="shared" si="34"/>
        <v>237.5</v>
      </c>
      <c r="AI28" s="203">
        <f t="shared" si="13"/>
        <v>2375</v>
      </c>
      <c r="AJ28" s="203">
        <f t="shared" si="35"/>
        <v>237.5</v>
      </c>
      <c r="AK28" s="203">
        <f t="shared" si="14"/>
        <v>2375</v>
      </c>
      <c r="AL28" s="203">
        <f t="shared" si="36"/>
        <v>237.5</v>
      </c>
      <c r="AM28" s="203">
        <f t="shared" si="15"/>
        <v>2375</v>
      </c>
      <c r="AN28" s="35">
        <f t="shared" si="16"/>
        <v>0.8482142857142857</v>
      </c>
      <c r="AO28" s="36">
        <f t="shared" si="39"/>
        <v>16625</v>
      </c>
      <c r="AQ28" s="223">
        <f t="shared" si="40"/>
        <v>0.76815986426422667</v>
      </c>
      <c r="AR28" s="38">
        <f t="shared" si="41"/>
        <v>71415.822580645152</v>
      </c>
      <c r="AS28" s="197">
        <f t="shared" si="47"/>
        <v>0</v>
      </c>
      <c r="AT28" s="340"/>
      <c r="AU28" s="549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44705</v>
      </c>
      <c r="B29">
        <f>'B5'!B28</f>
        <v>231.5</v>
      </c>
      <c r="C29" s="203">
        <f t="shared" si="18"/>
        <v>4980.9838709677415</v>
      </c>
      <c r="D29">
        <f t="shared" si="19"/>
        <v>231.5</v>
      </c>
      <c r="E29" s="203">
        <f t="shared" si="18"/>
        <v>4980.9838709677415</v>
      </c>
      <c r="F29">
        <f t="shared" si="20"/>
        <v>231.5</v>
      </c>
      <c r="G29" s="203">
        <f t="shared" si="1"/>
        <v>4980.9838709677415</v>
      </c>
      <c r="H29" s="203">
        <f t="shared" si="21"/>
        <v>231.5</v>
      </c>
      <c r="I29" s="203">
        <f t="shared" si="2"/>
        <v>4980.9838709677415</v>
      </c>
      <c r="J29" s="203">
        <f t="shared" si="22"/>
        <v>231.5</v>
      </c>
      <c r="K29" s="203">
        <f t="shared" si="3"/>
        <v>4980.9838709677415</v>
      </c>
      <c r="L29" s="203">
        <f t="shared" si="23"/>
        <v>231.5</v>
      </c>
      <c r="M29" s="203">
        <f t="shared" si="4"/>
        <v>4980.9838709677415</v>
      </c>
      <c r="N29" s="203">
        <f t="shared" si="24"/>
        <v>231.5</v>
      </c>
      <c r="O29" s="203">
        <f t="shared" si="5"/>
        <v>4980.9838709677415</v>
      </c>
      <c r="P29" s="203">
        <f t="shared" si="25"/>
        <v>231.5</v>
      </c>
      <c r="Q29" s="203">
        <f t="shared" si="6"/>
        <v>4980.9838709677415</v>
      </c>
      <c r="R29" s="203">
        <f t="shared" si="26"/>
        <v>231.5</v>
      </c>
      <c r="S29" s="203">
        <f t="shared" si="7"/>
        <v>4980.9838709677415</v>
      </c>
      <c r="T29" s="203">
        <f t="shared" si="27"/>
        <v>231.5</v>
      </c>
      <c r="U29" s="203">
        <f t="shared" si="8"/>
        <v>4980.9838709677415</v>
      </c>
      <c r="V29" s="203">
        <f t="shared" si="28"/>
        <v>231.5</v>
      </c>
      <c r="W29" s="203">
        <f t="shared" si="9"/>
        <v>4980.9838709677415</v>
      </c>
      <c r="X29" s="35">
        <f t="shared" si="10"/>
        <v>0.74677419354838703</v>
      </c>
      <c r="Y29" s="36">
        <f t="shared" si="29"/>
        <v>54790.822580645159</v>
      </c>
      <c r="Z29" s="203">
        <f>'B5'!C28</f>
        <v>237.5</v>
      </c>
      <c r="AA29" s="203">
        <f t="shared" si="30"/>
        <v>2375</v>
      </c>
      <c r="AB29" s="203">
        <f t="shared" si="31"/>
        <v>237.5</v>
      </c>
      <c r="AC29" s="203">
        <f t="shared" si="30"/>
        <v>2375</v>
      </c>
      <c r="AD29" s="203">
        <f t="shared" si="32"/>
        <v>237.5</v>
      </c>
      <c r="AE29" s="203">
        <f t="shared" si="11"/>
        <v>2375</v>
      </c>
      <c r="AF29" s="203">
        <f t="shared" si="33"/>
        <v>237.5</v>
      </c>
      <c r="AG29" s="203">
        <f t="shared" si="12"/>
        <v>2375</v>
      </c>
      <c r="AH29" s="203">
        <f t="shared" si="34"/>
        <v>237.5</v>
      </c>
      <c r="AI29" s="203">
        <f t="shared" si="13"/>
        <v>2375</v>
      </c>
      <c r="AJ29" s="203">
        <f t="shared" si="35"/>
        <v>237.5</v>
      </c>
      <c r="AK29" s="203">
        <f t="shared" si="14"/>
        <v>2375</v>
      </c>
      <c r="AL29" s="203">
        <f t="shared" si="36"/>
        <v>237.5</v>
      </c>
      <c r="AM29" s="203">
        <f t="shared" si="15"/>
        <v>2375</v>
      </c>
      <c r="AN29" s="35">
        <f t="shared" si="16"/>
        <v>0.8482142857142857</v>
      </c>
      <c r="AO29" s="36">
        <f t="shared" si="39"/>
        <v>16625</v>
      </c>
      <c r="AQ29" s="223">
        <f t="shared" si="40"/>
        <v>0.76815986426422667</v>
      </c>
      <c r="AR29" s="38">
        <f t="shared" si="41"/>
        <v>71415.822580645152</v>
      </c>
      <c r="AS29" s="197">
        <f>SUM(AR29-AR28-AT29)</f>
        <v>0</v>
      </c>
      <c r="AT29" s="340"/>
      <c r="AU29" s="549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44706</v>
      </c>
      <c r="B30">
        <f>'B5'!B29</f>
        <v>231.5</v>
      </c>
      <c r="C30" s="203">
        <f t="shared" si="18"/>
        <v>4980.9838709677415</v>
      </c>
      <c r="D30">
        <f>SUM(B30)</f>
        <v>231.5</v>
      </c>
      <c r="E30" s="203">
        <f t="shared" si="18"/>
        <v>4980.9838709677415</v>
      </c>
      <c r="F30">
        <f>SUM(D30)</f>
        <v>231.5</v>
      </c>
      <c r="G30" s="203">
        <f t="shared" si="1"/>
        <v>4980.9838709677415</v>
      </c>
      <c r="H30" s="203">
        <f>SUM(F30)</f>
        <v>231.5</v>
      </c>
      <c r="I30" s="203">
        <f t="shared" si="2"/>
        <v>4980.9838709677415</v>
      </c>
      <c r="J30" s="203">
        <f>SUM(H30)</f>
        <v>231.5</v>
      </c>
      <c r="K30" s="203">
        <f t="shared" si="3"/>
        <v>4980.9838709677415</v>
      </c>
      <c r="L30" s="203">
        <f>SUM(J30)</f>
        <v>231.5</v>
      </c>
      <c r="M30" s="203">
        <f t="shared" si="4"/>
        <v>4980.9838709677415</v>
      </c>
      <c r="N30" s="203">
        <f>SUM(L30)</f>
        <v>231.5</v>
      </c>
      <c r="O30" s="203">
        <f t="shared" si="5"/>
        <v>4980.9838709677415</v>
      </c>
      <c r="P30" s="203">
        <f>SUM(N30)</f>
        <v>231.5</v>
      </c>
      <c r="Q30" s="203">
        <f t="shared" si="6"/>
        <v>4980.9838709677415</v>
      </c>
      <c r="R30" s="203">
        <f>SUM(P30)</f>
        <v>231.5</v>
      </c>
      <c r="S30" s="203">
        <f t="shared" si="7"/>
        <v>4980.9838709677415</v>
      </c>
      <c r="T30" s="203">
        <f>SUM(R30)</f>
        <v>231.5</v>
      </c>
      <c r="U30" s="203">
        <f t="shared" si="8"/>
        <v>4980.9838709677415</v>
      </c>
      <c r="V30" s="203">
        <f>SUM(T30)</f>
        <v>231.5</v>
      </c>
      <c r="W30" s="203">
        <f t="shared" si="9"/>
        <v>4980.9838709677415</v>
      </c>
      <c r="X30" s="35">
        <f>SUM(Y30/73370)</f>
        <v>0.74677419354838703</v>
      </c>
      <c r="Y30" s="36">
        <f>SUM(C30+E30+G30+I30+K30+M30+O30+Q30+S30+U30+W30)</f>
        <v>54790.822580645159</v>
      </c>
      <c r="Z30" s="203">
        <f>'B5'!C29</f>
        <v>237.5</v>
      </c>
      <c r="AA30" s="203">
        <f t="shared" si="30"/>
        <v>2375</v>
      </c>
      <c r="AB30" s="203">
        <f>SUM(Z30)</f>
        <v>237.5</v>
      </c>
      <c r="AC30" s="203">
        <f t="shared" si="30"/>
        <v>2375</v>
      </c>
      <c r="AD30" s="203">
        <f>SUM(AB30)</f>
        <v>237.5</v>
      </c>
      <c r="AE30" s="203">
        <f t="shared" si="11"/>
        <v>2375</v>
      </c>
      <c r="AF30" s="203">
        <f>SUM(AD30)</f>
        <v>237.5</v>
      </c>
      <c r="AG30" s="203">
        <f t="shared" si="12"/>
        <v>2375</v>
      </c>
      <c r="AH30" s="203">
        <f>SUM(AF30)</f>
        <v>237.5</v>
      </c>
      <c r="AI30" s="203">
        <f t="shared" si="13"/>
        <v>2375</v>
      </c>
      <c r="AJ30" s="203">
        <f>SUM(AH30)</f>
        <v>237.5</v>
      </c>
      <c r="AK30" s="203">
        <f t="shared" si="14"/>
        <v>2375</v>
      </c>
      <c r="AL30" s="203">
        <f>SUM(AJ30)</f>
        <v>237.5</v>
      </c>
      <c r="AM30" s="203">
        <f t="shared" si="15"/>
        <v>2375</v>
      </c>
      <c r="AN30" s="35">
        <f>SUM(AO30/19600)</f>
        <v>0.8482142857142857</v>
      </c>
      <c r="AO30" s="36">
        <f>SUM(AA30+AC30+AE30+AG30+AI30+AK30+AM30)</f>
        <v>16625</v>
      </c>
      <c r="AQ30" s="223">
        <f t="shared" si="40"/>
        <v>0.76815986426422667</v>
      </c>
      <c r="AR30" s="38">
        <f t="shared" si="41"/>
        <v>71415.822580645152</v>
      </c>
      <c r="AS30" s="197">
        <f>SUM(AR30-AR29-AT30)</f>
        <v>0</v>
      </c>
      <c r="AT30" s="340"/>
      <c r="AU30" s="549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44707</v>
      </c>
      <c r="B31">
        <f>'B5'!B30</f>
        <v>231.5</v>
      </c>
      <c r="C31" s="203">
        <f t="shared" si="18"/>
        <v>4980.9838709677415</v>
      </c>
      <c r="D31">
        <f>SUM(B31)</f>
        <v>231.5</v>
      </c>
      <c r="E31" s="203">
        <f t="shared" si="18"/>
        <v>4980.9838709677415</v>
      </c>
      <c r="F31">
        <f>SUM(D31)</f>
        <v>231.5</v>
      </c>
      <c r="G31" s="203">
        <f t="shared" si="1"/>
        <v>4980.9838709677415</v>
      </c>
      <c r="H31" s="203">
        <f>SUM(F31)</f>
        <v>231.5</v>
      </c>
      <c r="I31" s="203">
        <f t="shared" si="2"/>
        <v>4980.9838709677415</v>
      </c>
      <c r="J31" s="203">
        <f>SUM(H31)</f>
        <v>231.5</v>
      </c>
      <c r="K31" s="203">
        <f t="shared" si="3"/>
        <v>4980.9838709677415</v>
      </c>
      <c r="L31" s="203">
        <f>SUM(J31)</f>
        <v>231.5</v>
      </c>
      <c r="M31" s="203">
        <f t="shared" si="4"/>
        <v>4980.9838709677415</v>
      </c>
      <c r="N31" s="203">
        <f>SUM(L31)</f>
        <v>231.5</v>
      </c>
      <c r="O31" s="203">
        <f t="shared" si="5"/>
        <v>4980.9838709677415</v>
      </c>
      <c r="P31" s="203">
        <f>SUM(N31)</f>
        <v>231.5</v>
      </c>
      <c r="Q31" s="203">
        <f t="shared" si="6"/>
        <v>4980.9838709677415</v>
      </c>
      <c r="R31" s="203">
        <f>SUM(P31)</f>
        <v>231.5</v>
      </c>
      <c r="S31" s="203">
        <f t="shared" si="7"/>
        <v>4980.9838709677415</v>
      </c>
      <c r="T31" s="203">
        <f>SUM(R31)</f>
        <v>231.5</v>
      </c>
      <c r="U31" s="203">
        <f t="shared" si="8"/>
        <v>4980.9838709677415</v>
      </c>
      <c r="V31" s="203">
        <f>SUM(T31)</f>
        <v>231.5</v>
      </c>
      <c r="W31" s="203">
        <f t="shared" si="9"/>
        <v>4980.9838709677415</v>
      </c>
      <c r="X31" s="35">
        <f>SUM(Y31/73370)</f>
        <v>0.74677419354838703</v>
      </c>
      <c r="Y31" s="36">
        <f>SUM(C31+E31+G31+I31+K31+M31+O31+Q31+S31+U31+W31)</f>
        <v>54790.822580645159</v>
      </c>
      <c r="Z31" s="203">
        <f>'B5'!C30</f>
        <v>237.5</v>
      </c>
      <c r="AA31" s="203">
        <f t="shared" si="30"/>
        <v>2375</v>
      </c>
      <c r="AB31" s="203">
        <f>SUM(Z31)</f>
        <v>237.5</v>
      </c>
      <c r="AC31" s="203">
        <f t="shared" si="30"/>
        <v>2375</v>
      </c>
      <c r="AD31" s="203">
        <f>SUM(AB31)</f>
        <v>237.5</v>
      </c>
      <c r="AE31" s="203">
        <f t="shared" si="11"/>
        <v>2375</v>
      </c>
      <c r="AF31" s="203">
        <f>SUM(AD31)</f>
        <v>237.5</v>
      </c>
      <c r="AG31" s="203">
        <f t="shared" si="12"/>
        <v>2375</v>
      </c>
      <c r="AH31" s="203">
        <f>SUM(AF31)</f>
        <v>237.5</v>
      </c>
      <c r="AI31" s="203">
        <f t="shared" si="13"/>
        <v>2375</v>
      </c>
      <c r="AJ31" s="203">
        <f>SUM(AH31)</f>
        <v>237.5</v>
      </c>
      <c r="AK31" s="203">
        <f t="shared" si="14"/>
        <v>2375</v>
      </c>
      <c r="AL31" s="203">
        <f>SUM(AJ31)</f>
        <v>237.5</v>
      </c>
      <c r="AM31" s="203">
        <f t="shared" si="15"/>
        <v>2375</v>
      </c>
      <c r="AN31" s="35">
        <f>SUM(AO31/19600)</f>
        <v>0.8482142857142857</v>
      </c>
      <c r="AO31" s="36">
        <f>SUM(AA31+AC31+AE31+AG31+AI31+AK31+AM31)</f>
        <v>16625</v>
      </c>
      <c r="AQ31" s="223">
        <f t="shared" si="40"/>
        <v>0.76815986426422667</v>
      </c>
      <c r="AR31" s="38">
        <f t="shared" si="41"/>
        <v>71415.822580645152</v>
      </c>
      <c r="AS31" s="197">
        <f t="shared" si="47"/>
        <v>0</v>
      </c>
      <c r="AT31" s="340"/>
      <c r="AU31" s="571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44708</v>
      </c>
      <c r="B32">
        <f>'B5'!B31</f>
        <v>231.5</v>
      </c>
      <c r="C32" s="203">
        <f t="shared" si="18"/>
        <v>4980.9838709677415</v>
      </c>
      <c r="D32">
        <f>SUM(B32)</f>
        <v>231.5</v>
      </c>
      <c r="E32" s="203">
        <f t="shared" si="18"/>
        <v>4980.9838709677415</v>
      </c>
      <c r="F32">
        <f>SUM(D32)</f>
        <v>231.5</v>
      </c>
      <c r="G32" s="203">
        <f t="shared" si="1"/>
        <v>4980.9838709677415</v>
      </c>
      <c r="H32" s="203">
        <f>SUM(F32)</f>
        <v>231.5</v>
      </c>
      <c r="I32" s="203">
        <f t="shared" si="2"/>
        <v>4980.9838709677415</v>
      </c>
      <c r="J32" s="203">
        <f>SUM(H32)</f>
        <v>231.5</v>
      </c>
      <c r="K32" s="203">
        <f t="shared" si="3"/>
        <v>4980.9838709677415</v>
      </c>
      <c r="L32" s="203">
        <f>SUM(J32)</f>
        <v>231.5</v>
      </c>
      <c r="M32" s="203">
        <f t="shared" si="4"/>
        <v>4980.9838709677415</v>
      </c>
      <c r="N32" s="203">
        <f>SUM(L32)</f>
        <v>231.5</v>
      </c>
      <c r="O32" s="203">
        <f t="shared" si="5"/>
        <v>4980.9838709677415</v>
      </c>
      <c r="P32" s="203">
        <f>SUM(N32)</f>
        <v>231.5</v>
      </c>
      <c r="Q32" s="203">
        <f t="shared" si="6"/>
        <v>4980.9838709677415</v>
      </c>
      <c r="R32" s="203">
        <f>SUM(P32)</f>
        <v>231.5</v>
      </c>
      <c r="S32" s="203">
        <f t="shared" si="7"/>
        <v>4980.9838709677415</v>
      </c>
      <c r="T32" s="203">
        <f>SUM(R32)</f>
        <v>231.5</v>
      </c>
      <c r="U32" s="203">
        <f t="shared" si="8"/>
        <v>4980.9838709677415</v>
      </c>
      <c r="V32" s="203">
        <f>SUM(T32)</f>
        <v>231.5</v>
      </c>
      <c r="W32" s="203">
        <f t="shared" si="9"/>
        <v>4980.9838709677415</v>
      </c>
      <c r="X32" s="35">
        <f>SUM(Y32/73370)</f>
        <v>0.74677419354838703</v>
      </c>
      <c r="Y32" s="36">
        <f>SUM(C32+E32+G32+I32+K32+M32+O32+Q32+S32+U32+W32)</f>
        <v>54790.822580645159</v>
      </c>
      <c r="Z32" s="203">
        <f>'B5'!C31</f>
        <v>237.5</v>
      </c>
      <c r="AA32" s="203">
        <f t="shared" si="30"/>
        <v>2375</v>
      </c>
      <c r="AB32" s="203">
        <f>SUM(Z32)</f>
        <v>237.5</v>
      </c>
      <c r="AC32" s="203">
        <f t="shared" si="30"/>
        <v>2375</v>
      </c>
      <c r="AD32" s="203">
        <f>SUM(AB32)</f>
        <v>237.5</v>
      </c>
      <c r="AE32" s="203">
        <f t="shared" si="11"/>
        <v>2375</v>
      </c>
      <c r="AF32" s="203">
        <f>SUM(AD32)</f>
        <v>237.5</v>
      </c>
      <c r="AG32" s="203">
        <f t="shared" si="12"/>
        <v>2375</v>
      </c>
      <c r="AH32" s="203">
        <f>SUM(AF32)</f>
        <v>237.5</v>
      </c>
      <c r="AI32" s="203">
        <f t="shared" si="13"/>
        <v>2375</v>
      </c>
      <c r="AJ32" s="203">
        <f>SUM(AH32)</f>
        <v>237.5</v>
      </c>
      <c r="AK32" s="203">
        <f t="shared" si="14"/>
        <v>2375</v>
      </c>
      <c r="AL32" s="203">
        <f>SUM(AJ32)</f>
        <v>237.5</v>
      </c>
      <c r="AM32" s="203">
        <f t="shared" si="15"/>
        <v>2375</v>
      </c>
      <c r="AN32" s="35">
        <f>SUM(AO32/19600)</f>
        <v>0.8482142857142857</v>
      </c>
      <c r="AO32" s="36">
        <f>SUM(AA32+AC32+AE32+AG32+AI32+AK32+AM32)</f>
        <v>16625</v>
      </c>
      <c r="AQ32" s="223">
        <f t="shared" si="40"/>
        <v>0.76815986426422667</v>
      </c>
      <c r="AR32" s="38">
        <f t="shared" si="41"/>
        <v>71415.822580645152</v>
      </c>
      <c r="AS32" s="197">
        <f t="shared" si="47"/>
        <v>0</v>
      </c>
      <c r="AT32" s="340"/>
      <c r="AU32" s="548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44709</v>
      </c>
      <c r="B33">
        <f>'B5'!B32</f>
        <v>231.5</v>
      </c>
      <c r="C33" s="203">
        <f t="shared" si="18"/>
        <v>4980.9838709677415</v>
      </c>
      <c r="D33">
        <f>SUM(B33)</f>
        <v>231.5</v>
      </c>
      <c r="E33" s="203">
        <f t="shared" si="18"/>
        <v>4980.9838709677415</v>
      </c>
      <c r="F33">
        <f>SUM(D33)</f>
        <v>231.5</v>
      </c>
      <c r="G33" s="203">
        <f t="shared" si="1"/>
        <v>4980.9838709677415</v>
      </c>
      <c r="H33" s="203">
        <f>SUM(F33)</f>
        <v>231.5</v>
      </c>
      <c r="I33" s="203">
        <f t="shared" si="2"/>
        <v>4980.9838709677415</v>
      </c>
      <c r="J33" s="203">
        <f>SUM(H33)</f>
        <v>231.5</v>
      </c>
      <c r="K33" s="203">
        <f t="shared" si="3"/>
        <v>4980.9838709677415</v>
      </c>
      <c r="L33" s="203">
        <f>SUM(J33)</f>
        <v>231.5</v>
      </c>
      <c r="M33" s="203">
        <f t="shared" si="4"/>
        <v>4980.9838709677415</v>
      </c>
      <c r="N33" s="203">
        <f>SUM(L33)</f>
        <v>231.5</v>
      </c>
      <c r="O33" s="203">
        <f t="shared" si="5"/>
        <v>4980.9838709677415</v>
      </c>
      <c r="P33" s="203">
        <f>SUM(N33)</f>
        <v>231.5</v>
      </c>
      <c r="Q33" s="203">
        <f t="shared" si="6"/>
        <v>4980.9838709677415</v>
      </c>
      <c r="R33" s="203">
        <f>SUM(P33)</f>
        <v>231.5</v>
      </c>
      <c r="S33" s="203">
        <f t="shared" si="7"/>
        <v>4980.9838709677415</v>
      </c>
      <c r="T33" s="203">
        <f>SUM(R33)</f>
        <v>231.5</v>
      </c>
      <c r="U33" s="203">
        <f t="shared" si="8"/>
        <v>4980.9838709677415</v>
      </c>
      <c r="V33" s="203">
        <f>SUM(T33)</f>
        <v>231.5</v>
      </c>
      <c r="W33" s="203">
        <f t="shared" si="9"/>
        <v>4980.9838709677415</v>
      </c>
      <c r="X33" s="35">
        <f>SUM(Y33/73370)</f>
        <v>0.74677419354838703</v>
      </c>
      <c r="Y33" s="36">
        <f>SUM(C33+E33+G33+I33+K33+M33+O33+Q33+S33+U33+W33)</f>
        <v>54790.822580645159</v>
      </c>
      <c r="Z33" s="203">
        <f>'B5'!C32</f>
        <v>237.5</v>
      </c>
      <c r="AA33" s="203">
        <f t="shared" si="30"/>
        <v>2375</v>
      </c>
      <c r="AB33" s="203">
        <f>SUM(Z33)</f>
        <v>237.5</v>
      </c>
      <c r="AC33" s="203">
        <f t="shared" si="30"/>
        <v>2375</v>
      </c>
      <c r="AD33" s="203">
        <f>SUM(AB33)</f>
        <v>237.5</v>
      </c>
      <c r="AE33" s="203">
        <f t="shared" si="11"/>
        <v>2375</v>
      </c>
      <c r="AF33" s="203">
        <f>SUM(AD33)</f>
        <v>237.5</v>
      </c>
      <c r="AG33" s="203">
        <f t="shared" si="12"/>
        <v>2375</v>
      </c>
      <c r="AH33" s="203">
        <f>SUM(AF33)</f>
        <v>237.5</v>
      </c>
      <c r="AI33" s="203">
        <f t="shared" si="13"/>
        <v>2375</v>
      </c>
      <c r="AJ33" s="203">
        <f>SUM(AH33)</f>
        <v>237.5</v>
      </c>
      <c r="AK33" s="203">
        <f t="shared" si="14"/>
        <v>2375</v>
      </c>
      <c r="AL33" s="203">
        <f>SUM(AJ33)</f>
        <v>237.5</v>
      </c>
      <c r="AM33" s="203">
        <f t="shared" si="15"/>
        <v>2375</v>
      </c>
      <c r="AN33" s="35">
        <f>SUM(AO33/19600)</f>
        <v>0.8482142857142857</v>
      </c>
      <c r="AO33" s="36">
        <f>SUM(AA33+AC33+AE33+AG33+AI33+AK33+AM33)</f>
        <v>16625</v>
      </c>
      <c r="AQ33" s="223">
        <f t="shared" si="40"/>
        <v>0.76815986426422667</v>
      </c>
      <c r="AR33" s="38">
        <f t="shared" si="41"/>
        <v>71415.822580645152</v>
      </c>
      <c r="AS33" s="197">
        <f>SUM(AR33-AR32-AT33)</f>
        <v>0</v>
      </c>
      <c r="AT33" s="340"/>
      <c r="AU33" s="548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44710</v>
      </c>
      <c r="B34">
        <f>'B5'!B33</f>
        <v>231.5</v>
      </c>
      <c r="C34" s="203">
        <f t="shared" ref="C34:C36" si="48">B34*$B$4</f>
        <v>4980.9838709677415</v>
      </c>
      <c r="D34">
        <f t="shared" ref="D34:D36" si="49">SUM(B34)</f>
        <v>231.5</v>
      </c>
      <c r="E34" s="203">
        <f t="shared" ref="E34:E36" si="50">D34*$B$4</f>
        <v>4980.9838709677415</v>
      </c>
      <c r="F34">
        <f t="shared" ref="F34:F36" si="51">SUM(D34)</f>
        <v>231.5</v>
      </c>
      <c r="G34" s="203">
        <f t="shared" ref="G34:G36" si="52">F34*$B$4</f>
        <v>4980.9838709677415</v>
      </c>
      <c r="H34" s="203">
        <f t="shared" ref="H34:H36" si="53">SUM(F34)</f>
        <v>231.5</v>
      </c>
      <c r="I34" s="203">
        <f t="shared" ref="I34:I36" si="54">H34*$B$4</f>
        <v>4980.9838709677415</v>
      </c>
      <c r="J34" s="203">
        <f t="shared" ref="J34:J36" si="55">SUM(H34)</f>
        <v>231.5</v>
      </c>
      <c r="K34" s="203">
        <f t="shared" ref="K34:K36" si="56">J34*$B$4</f>
        <v>4980.9838709677415</v>
      </c>
      <c r="L34" s="203">
        <f t="shared" ref="L34:L36" si="57">SUM(J34)</f>
        <v>231.5</v>
      </c>
      <c r="M34" s="203">
        <f t="shared" ref="M34:M36" si="58">L34*$B$4</f>
        <v>4980.9838709677415</v>
      </c>
      <c r="N34" s="203">
        <f t="shared" ref="N34:N36" si="59">SUM(L34)</f>
        <v>231.5</v>
      </c>
      <c r="O34" s="203">
        <f t="shared" ref="O34:O36" si="60">N34*$B$4</f>
        <v>4980.9838709677415</v>
      </c>
      <c r="P34" s="203">
        <f t="shared" ref="P34:P36" si="61">SUM(N34)</f>
        <v>231.5</v>
      </c>
      <c r="Q34" s="203">
        <f t="shared" ref="Q34:Q36" si="62">P34*$B$4</f>
        <v>4980.9838709677415</v>
      </c>
      <c r="R34" s="203">
        <f t="shared" ref="R34:R36" si="63">SUM(P34)</f>
        <v>231.5</v>
      </c>
      <c r="S34" s="203">
        <f t="shared" ref="S34:S36" si="64">R34*$B$4</f>
        <v>4980.9838709677415</v>
      </c>
      <c r="T34" s="203">
        <f t="shared" ref="T34:T36" si="65">SUM(R34)</f>
        <v>231.5</v>
      </c>
      <c r="U34" s="203">
        <f t="shared" ref="U34:U36" si="66">T34*$B$4</f>
        <v>4980.9838709677415</v>
      </c>
      <c r="V34" s="203">
        <f t="shared" ref="V34:V36" si="67">SUM(T34)</f>
        <v>231.5</v>
      </c>
      <c r="W34" s="203">
        <f t="shared" ref="W34:W36" si="68">V34*$B$4</f>
        <v>4980.9838709677415</v>
      </c>
      <c r="X34" s="35">
        <f t="shared" ref="X34:X36" si="69">SUM(Y34/73370)</f>
        <v>0.74677419354838703</v>
      </c>
      <c r="Y34" s="36">
        <f t="shared" ref="Y34:Y36" si="70">SUM(C34+E34+G34+I34+K34+M34+O34+Q34+S34+U34+W34)</f>
        <v>54790.822580645159</v>
      </c>
      <c r="Z34" s="203">
        <f>'B5'!C33</f>
        <v>237.5</v>
      </c>
      <c r="AA34" s="203">
        <f t="shared" ref="AA34:AA36" si="71">SUM(Z34*$Z$4)</f>
        <v>2375</v>
      </c>
      <c r="AB34" s="203">
        <f t="shared" ref="AB34:AB36" si="72">SUM(Z34)</f>
        <v>237.5</v>
      </c>
      <c r="AC34" s="203">
        <f t="shared" ref="AC34:AC36" si="73">SUM(AB34*$Z$4)</f>
        <v>2375</v>
      </c>
      <c r="AD34" s="203">
        <f t="shared" ref="AD34:AD36" si="74">SUM(AB34)</f>
        <v>237.5</v>
      </c>
      <c r="AE34" s="203">
        <f t="shared" ref="AE34:AE36" si="75">SUM(AD34*$Z$4)</f>
        <v>2375</v>
      </c>
      <c r="AF34" s="203">
        <f t="shared" ref="AF34:AF36" si="76">SUM(AD34)</f>
        <v>237.5</v>
      </c>
      <c r="AG34" s="203">
        <f t="shared" ref="AG34:AG36" si="77">SUM(AF34*$Z$4)</f>
        <v>2375</v>
      </c>
      <c r="AH34" s="203">
        <f t="shared" ref="AH34:AH36" si="78">SUM(AF34)</f>
        <v>237.5</v>
      </c>
      <c r="AI34" s="203">
        <f t="shared" ref="AI34:AI36" si="79">SUM(AH34*$Z$4)</f>
        <v>2375</v>
      </c>
      <c r="AJ34" s="203">
        <f t="shared" ref="AJ34:AJ36" si="80">SUM(AH34)</f>
        <v>237.5</v>
      </c>
      <c r="AK34" s="203">
        <f t="shared" ref="AK34:AK36" si="81">SUM(AJ34*$Z$4)</f>
        <v>2375</v>
      </c>
      <c r="AL34" s="203">
        <f t="shared" ref="AL34:AL36" si="82">SUM(AJ34)</f>
        <v>237.5</v>
      </c>
      <c r="AM34" s="203">
        <f t="shared" ref="AM34:AM36" si="83">SUM(AL34*$Z$4)</f>
        <v>2375</v>
      </c>
      <c r="AN34" s="35">
        <f t="shared" ref="AN34:AN36" si="84">SUM(AO34/19600)</f>
        <v>0.8482142857142857</v>
      </c>
      <c r="AO34" s="36">
        <f t="shared" ref="AO34:AO36" si="85">SUM(AA34+AC34+AE34+AG34+AI34+AK34+AM34)</f>
        <v>16625</v>
      </c>
      <c r="AQ34" s="223">
        <f t="shared" ref="AQ34:AQ36" si="86">SUM(AR34/92970)</f>
        <v>0.76815986426422667</v>
      </c>
      <c r="AR34" s="38">
        <f t="shared" ref="AR34:AR36" si="87">Y34+AO34</f>
        <v>71415.822580645152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0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44711</v>
      </c>
      <c r="B35">
        <f>'B5'!B34</f>
        <v>231.5</v>
      </c>
      <c r="C35" s="203">
        <f t="shared" si="48"/>
        <v>4980.9838709677415</v>
      </c>
      <c r="D35">
        <f t="shared" si="49"/>
        <v>231.5</v>
      </c>
      <c r="E35" s="203">
        <f t="shared" si="50"/>
        <v>4980.9838709677415</v>
      </c>
      <c r="F35">
        <f t="shared" si="51"/>
        <v>231.5</v>
      </c>
      <c r="G35" s="203">
        <f t="shared" si="52"/>
        <v>4980.9838709677415</v>
      </c>
      <c r="H35" s="203">
        <f t="shared" si="53"/>
        <v>231.5</v>
      </c>
      <c r="I35" s="203">
        <f t="shared" si="54"/>
        <v>4980.9838709677415</v>
      </c>
      <c r="J35" s="203">
        <f t="shared" si="55"/>
        <v>231.5</v>
      </c>
      <c r="K35" s="203">
        <f t="shared" si="56"/>
        <v>4980.9838709677415</v>
      </c>
      <c r="L35" s="203">
        <f t="shared" si="57"/>
        <v>231.5</v>
      </c>
      <c r="M35" s="203">
        <f t="shared" si="58"/>
        <v>4980.9838709677415</v>
      </c>
      <c r="N35" s="203">
        <f t="shared" si="59"/>
        <v>231.5</v>
      </c>
      <c r="O35" s="203">
        <f t="shared" si="60"/>
        <v>4980.9838709677415</v>
      </c>
      <c r="P35" s="203">
        <f t="shared" si="61"/>
        <v>231.5</v>
      </c>
      <c r="Q35" s="203">
        <f t="shared" si="62"/>
        <v>4980.9838709677415</v>
      </c>
      <c r="R35" s="203">
        <f t="shared" si="63"/>
        <v>231.5</v>
      </c>
      <c r="S35" s="203">
        <f t="shared" si="64"/>
        <v>4980.9838709677415</v>
      </c>
      <c r="T35" s="203">
        <f t="shared" si="65"/>
        <v>231.5</v>
      </c>
      <c r="U35" s="203">
        <f t="shared" si="66"/>
        <v>4980.9838709677415</v>
      </c>
      <c r="V35" s="203">
        <f t="shared" si="67"/>
        <v>231.5</v>
      </c>
      <c r="W35" s="203">
        <f t="shared" si="68"/>
        <v>4980.9838709677415</v>
      </c>
      <c r="X35" s="35">
        <f t="shared" si="69"/>
        <v>0.74677419354838703</v>
      </c>
      <c r="Y35" s="36">
        <f t="shared" si="70"/>
        <v>54790.822580645159</v>
      </c>
      <c r="Z35" s="203">
        <f>'B5'!C34</f>
        <v>237.5</v>
      </c>
      <c r="AA35" s="203">
        <f t="shared" si="71"/>
        <v>2375</v>
      </c>
      <c r="AB35" s="203">
        <f t="shared" si="72"/>
        <v>237.5</v>
      </c>
      <c r="AC35" s="203">
        <f t="shared" si="73"/>
        <v>2375</v>
      </c>
      <c r="AD35" s="203">
        <f t="shared" si="74"/>
        <v>237.5</v>
      </c>
      <c r="AE35" s="203">
        <f t="shared" si="75"/>
        <v>2375</v>
      </c>
      <c r="AF35" s="203">
        <f t="shared" si="76"/>
        <v>237.5</v>
      </c>
      <c r="AG35" s="203">
        <f t="shared" si="77"/>
        <v>2375</v>
      </c>
      <c r="AH35" s="203">
        <f t="shared" si="78"/>
        <v>237.5</v>
      </c>
      <c r="AI35" s="203">
        <f t="shared" si="79"/>
        <v>2375</v>
      </c>
      <c r="AJ35" s="203">
        <f t="shared" si="80"/>
        <v>237.5</v>
      </c>
      <c r="AK35" s="203">
        <f t="shared" si="81"/>
        <v>2375</v>
      </c>
      <c r="AL35" s="203">
        <f t="shared" si="82"/>
        <v>237.5</v>
      </c>
      <c r="AM35" s="203">
        <f t="shared" si="83"/>
        <v>2375</v>
      </c>
      <c r="AN35" s="35">
        <f t="shared" si="84"/>
        <v>0.8482142857142857</v>
      </c>
      <c r="AO35" s="36">
        <f t="shared" si="85"/>
        <v>16625</v>
      </c>
      <c r="AQ35" s="223">
        <f t="shared" si="86"/>
        <v>0.76815986426422667</v>
      </c>
      <c r="AR35" s="38">
        <f t="shared" si="87"/>
        <v>71415.822580645152</v>
      </c>
      <c r="AS35" s="197">
        <f t="shared" si="88"/>
        <v>0</v>
      </c>
      <c r="AT35" s="340"/>
      <c r="AU35" s="548"/>
      <c r="AV35" s="485">
        <f t="shared" si="89"/>
        <v>0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44712</v>
      </c>
      <c r="B36">
        <f>'B5'!B35</f>
        <v>231.5</v>
      </c>
      <c r="C36" s="203">
        <f t="shared" si="48"/>
        <v>4980.9838709677415</v>
      </c>
      <c r="D36">
        <f t="shared" si="49"/>
        <v>231.5</v>
      </c>
      <c r="E36" s="203">
        <f t="shared" si="50"/>
        <v>4980.9838709677415</v>
      </c>
      <c r="F36">
        <f t="shared" si="51"/>
        <v>231.5</v>
      </c>
      <c r="G36" s="203">
        <f t="shared" si="52"/>
        <v>4980.9838709677415</v>
      </c>
      <c r="H36" s="203">
        <f t="shared" si="53"/>
        <v>231.5</v>
      </c>
      <c r="I36" s="203">
        <f t="shared" si="54"/>
        <v>4980.9838709677415</v>
      </c>
      <c r="J36" s="203">
        <f t="shared" si="55"/>
        <v>231.5</v>
      </c>
      <c r="K36" s="203">
        <f t="shared" si="56"/>
        <v>4980.9838709677415</v>
      </c>
      <c r="L36" s="203">
        <f t="shared" si="57"/>
        <v>231.5</v>
      </c>
      <c r="M36" s="203">
        <f t="shared" si="58"/>
        <v>4980.9838709677415</v>
      </c>
      <c r="N36" s="203">
        <f t="shared" si="59"/>
        <v>231.5</v>
      </c>
      <c r="O36" s="203">
        <f t="shared" si="60"/>
        <v>4980.9838709677415</v>
      </c>
      <c r="P36" s="203">
        <f t="shared" si="61"/>
        <v>231.5</v>
      </c>
      <c r="Q36" s="203">
        <f t="shared" si="62"/>
        <v>4980.9838709677415</v>
      </c>
      <c r="R36" s="203">
        <f t="shared" si="63"/>
        <v>231.5</v>
      </c>
      <c r="S36" s="203">
        <f t="shared" si="64"/>
        <v>4980.9838709677415</v>
      </c>
      <c r="T36" s="203">
        <f t="shared" si="65"/>
        <v>231.5</v>
      </c>
      <c r="U36" s="203">
        <f t="shared" si="66"/>
        <v>4980.9838709677415</v>
      </c>
      <c r="V36" s="203">
        <f t="shared" si="67"/>
        <v>231.5</v>
      </c>
      <c r="W36" s="203">
        <f t="shared" si="68"/>
        <v>4980.9838709677415</v>
      </c>
      <c r="X36" s="35">
        <f t="shared" si="69"/>
        <v>0.74677419354838703</v>
      </c>
      <c r="Y36" s="36">
        <f t="shared" si="70"/>
        <v>54790.822580645159</v>
      </c>
      <c r="Z36" s="203">
        <f>'B5'!C35</f>
        <v>237.5</v>
      </c>
      <c r="AA36" s="203">
        <f t="shared" si="71"/>
        <v>2375</v>
      </c>
      <c r="AB36" s="203">
        <f t="shared" si="72"/>
        <v>237.5</v>
      </c>
      <c r="AC36" s="203">
        <f t="shared" si="73"/>
        <v>2375</v>
      </c>
      <c r="AD36" s="203">
        <f t="shared" si="74"/>
        <v>237.5</v>
      </c>
      <c r="AE36" s="203">
        <f t="shared" si="75"/>
        <v>2375</v>
      </c>
      <c r="AF36" s="203">
        <f t="shared" si="76"/>
        <v>237.5</v>
      </c>
      <c r="AG36" s="203">
        <f t="shared" si="77"/>
        <v>2375</v>
      </c>
      <c r="AH36" s="203">
        <f t="shared" si="78"/>
        <v>237.5</v>
      </c>
      <c r="AI36" s="203">
        <f t="shared" si="79"/>
        <v>2375</v>
      </c>
      <c r="AJ36" s="203">
        <f t="shared" si="80"/>
        <v>237.5</v>
      </c>
      <c r="AK36" s="203">
        <f t="shared" si="81"/>
        <v>2375</v>
      </c>
      <c r="AL36" s="203">
        <f t="shared" si="82"/>
        <v>237.5</v>
      </c>
      <c r="AM36" s="203">
        <f t="shared" si="83"/>
        <v>2375</v>
      </c>
      <c r="AN36" s="35">
        <f t="shared" si="84"/>
        <v>0.8482142857142857</v>
      </c>
      <c r="AO36" s="36">
        <f t="shared" si="85"/>
        <v>16625</v>
      </c>
      <c r="AQ36" s="223">
        <f t="shared" si="86"/>
        <v>0.76815986426422667</v>
      </c>
      <c r="AR36" s="38">
        <f t="shared" si="87"/>
        <v>71415.822580645152</v>
      </c>
      <c r="AS36" s="197">
        <f t="shared" si="88"/>
        <v>0</v>
      </c>
      <c r="AT36" s="340"/>
      <c r="AU36" s="548"/>
      <c r="AV36" s="485">
        <f t="shared" si="89"/>
        <v>0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15090</v>
      </c>
      <c r="AU37" s="544">
        <f>SUM(AU6:AU36)/AS37</f>
        <v>1.0775000000000001</v>
      </c>
      <c r="AX37" s="203">
        <f>SUM(AX6:AX36)</f>
        <v>-13378.016129032272</v>
      </c>
      <c r="AY37" s="203">
        <f>SUM(AY6:AY36)</f>
        <v>-15550.016129032272</v>
      </c>
    </row>
    <row r="38" spans="1:63">
      <c r="AS38" s="206"/>
      <c r="AT38" s="82">
        <f>+AT37*AU37</f>
        <v>16259.475000000002</v>
      </c>
    </row>
    <row r="40" spans="1:63">
      <c r="AS40" s="165">
        <f>SUM(AS6:AS36)/'EDl log'!A35</f>
        <v>-1727.7795698924747</v>
      </c>
      <c r="AT40" s="203"/>
    </row>
    <row r="41" spans="1:63">
      <c r="AX41">
        <v>43309</v>
      </c>
    </row>
    <row r="42" spans="1:63">
      <c r="AR42" s="203">
        <f>AR36-22000</f>
        <v>49415.822580645152</v>
      </c>
      <c r="AU42" s="203"/>
      <c r="AX42">
        <f>AX37/AX41</f>
        <v>-0.30889690662523428</v>
      </c>
    </row>
    <row r="43" spans="1:63">
      <c r="AR43">
        <f>AR42/5500</f>
        <v>8.9846950146627549</v>
      </c>
    </row>
    <row r="44" spans="1:63">
      <c r="AR44">
        <f>AR43*2</f>
        <v>17.96939002932551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4" priority="8" stopIfTrue="1" operator="greaterThan">
      <formula>0</formula>
    </cfRule>
  </conditionalFormatting>
  <conditionalFormatting sqref="AT6:AU16 AT18:AU36">
    <cfRule type="cellIs" dxfId="3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A9" zoomScale="70" zoomScaleNormal="70" workbookViewId="0">
      <selection activeCell="P46" sqref="M46:P5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44681</v>
      </c>
      <c r="B3" s="254">
        <f>'[2]EDl log'!B33</f>
        <v>1117981</v>
      </c>
      <c r="C3" s="254">
        <f>'[2]EDl log'!C33</f>
        <v>0</v>
      </c>
      <c r="D3" s="254">
        <f>'[2]EDl log'!D33</f>
        <v>0</v>
      </c>
      <c r="E3" s="254">
        <f>'[2]EDl log'!E33</f>
        <v>1117981</v>
      </c>
      <c r="F3" s="254">
        <f>'[2]EDl log'!F33</f>
        <v>161410</v>
      </c>
      <c r="G3" s="254">
        <f>'[2]EDl log'!G33</f>
        <v>0</v>
      </c>
      <c r="H3" s="254">
        <f>'[2]EDl log'!H33</f>
        <v>555135</v>
      </c>
      <c r="I3" s="254">
        <f>'[2]EDl log'!I33</f>
        <v>0</v>
      </c>
      <c r="J3" s="254">
        <f>'[2]EDl log'!J33</f>
        <v>401437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0</v>
      </c>
      <c r="R3" s="254">
        <f>'[2]EDl log'!R33</f>
        <v>159.96313985627418</v>
      </c>
      <c r="S3" s="254">
        <f>'[2]EDl log'!S33</f>
        <v>0</v>
      </c>
      <c r="T3" s="254">
        <f>'[2]EDl log'!T33</f>
        <v>0</v>
      </c>
      <c r="Z3" t="s">
        <v>213</v>
      </c>
      <c r="AA3">
        <v>0.1</v>
      </c>
    </row>
    <row r="4" spans="1:32" ht="20.100000000000001" customHeight="1">
      <c r="A4" s="163">
        <f>ELEC!C4</f>
        <v>44682</v>
      </c>
      <c r="B4" s="536">
        <f>B3</f>
        <v>1117981</v>
      </c>
      <c r="C4" s="254">
        <f t="shared" ref="C4:C30" si="0">SUM(B4-B3)</f>
        <v>0</v>
      </c>
      <c r="D4" s="295">
        <f>SUM(G4+I4+K4)</f>
        <v>0</v>
      </c>
      <c r="E4" s="295">
        <f>B3+D4</f>
        <v>1117981</v>
      </c>
      <c r="F4" s="539">
        <f>F3</f>
        <v>161410</v>
      </c>
      <c r="G4" s="160">
        <f t="shared" ref="G4:G30" si="1">F4-F3</f>
        <v>0</v>
      </c>
      <c r="H4" s="539">
        <f>H3</f>
        <v>555135</v>
      </c>
      <c r="I4" s="161">
        <f t="shared" ref="I4:I30" si="2">H4-H3</f>
        <v>0</v>
      </c>
      <c r="J4" s="586">
        <f>J3</f>
        <v>401437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f>'[2]EDl log'!$W$21</f>
        <v>44673</v>
      </c>
      <c r="X4" s="168"/>
      <c r="Y4" s="168"/>
      <c r="Z4" s="169" t="s">
        <v>201</v>
      </c>
      <c r="AA4" s="168"/>
      <c r="AB4" s="665"/>
      <c r="AC4" s="666"/>
    </row>
    <row r="5" spans="1:32" ht="20.100000000000001" customHeight="1">
      <c r="A5" s="163">
        <f>ELEC!C5</f>
        <v>44683</v>
      </c>
      <c r="B5" s="624">
        <f t="shared" ref="B5:B33" si="7">B4</f>
        <v>1117981</v>
      </c>
      <c r="C5" s="254">
        <f t="shared" si="0"/>
        <v>0</v>
      </c>
      <c r="D5" s="295">
        <f>SUM(G5+I5+K5)</f>
        <v>0</v>
      </c>
      <c r="E5" s="295">
        <f>B4+D5</f>
        <v>1117981</v>
      </c>
      <c r="F5" s="622">
        <f t="shared" ref="F5:F34" si="8">F4</f>
        <v>161410</v>
      </c>
      <c r="G5" s="160">
        <f t="shared" si="1"/>
        <v>0</v>
      </c>
      <c r="H5" s="624">
        <f t="shared" ref="H5:H34" si="9">H4</f>
        <v>555135</v>
      </c>
      <c r="I5" s="161">
        <f t="shared" si="2"/>
        <v>0</v>
      </c>
      <c r="J5" s="622">
        <f t="shared" ref="J5:J34" si="10">J4</f>
        <v>401437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0</v>
      </c>
      <c r="T5" s="321">
        <f>IF(S5&gt;0,R5/S5,0)</f>
        <v>0</v>
      </c>
      <c r="U5" s="245"/>
      <c r="V5" s="659"/>
      <c r="W5" s="660"/>
      <c r="X5" s="660"/>
      <c r="Y5" s="661"/>
      <c r="Z5" s="26" t="s">
        <v>202</v>
      </c>
      <c r="AA5" s="26">
        <v>5000</v>
      </c>
      <c r="AB5" s="667"/>
      <c r="AC5" s="668"/>
    </row>
    <row r="6" spans="1:32" ht="20.100000000000001" customHeight="1">
      <c r="A6" s="163">
        <f>ELEC!C6</f>
        <v>44684</v>
      </c>
      <c r="B6" s="624">
        <f t="shared" si="7"/>
        <v>1117981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1117981</v>
      </c>
      <c r="F6" s="622">
        <f t="shared" si="8"/>
        <v>161410</v>
      </c>
      <c r="G6" s="160">
        <f t="shared" si="1"/>
        <v>0</v>
      </c>
      <c r="H6" s="624">
        <f t="shared" si="9"/>
        <v>555135</v>
      </c>
      <c r="I6" s="161">
        <f t="shared" si="2"/>
        <v>0</v>
      </c>
      <c r="J6" s="622">
        <f t="shared" si="10"/>
        <v>401437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2587.1817741935615</v>
      </c>
      <c r="R6" s="285">
        <f t="shared" si="13"/>
        <v>2741.9848127641494</v>
      </c>
      <c r="S6" s="287">
        <f>SUM(ELEC!N6)</f>
        <v>6202</v>
      </c>
      <c r="T6" s="321">
        <f t="shared" ref="T6:T30" si="16">IF(S6&gt;0,R6/S6,0)</f>
        <v>0.44211299786587382</v>
      </c>
      <c r="V6" s="662"/>
      <c r="W6" s="663"/>
      <c r="X6" s="663"/>
      <c r="Y6" s="664"/>
      <c r="Z6" s="671"/>
      <c r="AA6" s="672"/>
      <c r="AB6" s="667"/>
      <c r="AC6" s="668"/>
    </row>
    <row r="7" spans="1:32" ht="20.100000000000001" customHeight="1">
      <c r="A7" s="163">
        <f>ELEC!C7</f>
        <v>44685</v>
      </c>
      <c r="B7" s="624">
        <v>1118429</v>
      </c>
      <c r="C7" s="254">
        <f>SUM(B7-B6)</f>
        <v>448</v>
      </c>
      <c r="D7" s="295">
        <f>SUM(G7+I7+K7)</f>
        <v>447</v>
      </c>
      <c r="E7" s="295">
        <f t="shared" si="15"/>
        <v>1118428</v>
      </c>
      <c r="F7" s="625">
        <f t="shared" si="8"/>
        <v>161410</v>
      </c>
      <c r="G7" s="160">
        <f t="shared" si="1"/>
        <v>0</v>
      </c>
      <c r="H7" s="624">
        <v>555582</v>
      </c>
      <c r="I7" s="161">
        <f t="shared" si="2"/>
        <v>447</v>
      </c>
      <c r="J7" s="622">
        <f t="shared" si="10"/>
        <v>401437</v>
      </c>
      <c r="K7" s="162">
        <f t="shared" si="11"/>
        <v>0</v>
      </c>
      <c r="L7" s="284">
        <f t="shared" si="3"/>
        <v>0</v>
      </c>
      <c r="M7" s="284">
        <f t="shared" si="4"/>
        <v>33.209950248756222</v>
      </c>
      <c r="N7" s="284">
        <f t="shared" si="5"/>
        <v>0</v>
      </c>
      <c r="O7" s="284">
        <f t="shared" si="6"/>
        <v>154.80303857058792</v>
      </c>
      <c r="P7" s="285">
        <f t="shared" si="12"/>
        <v>188.01298881934414</v>
      </c>
      <c r="Q7" s="285">
        <f>SUM(-tanks!AX9*tanks!$AU$37)</f>
        <v>1654.0320161290304</v>
      </c>
      <c r="R7" s="285">
        <f t="shared" si="13"/>
        <v>1842.0450049483745</v>
      </c>
      <c r="S7" s="287">
        <f>SUM(ELEC!N7)</f>
        <v>4288</v>
      </c>
      <c r="T7" s="321">
        <f t="shared" si="16"/>
        <v>0.42958139107937837</v>
      </c>
      <c r="V7" s="654" t="s">
        <v>203</v>
      </c>
      <c r="W7" s="655"/>
      <c r="X7" s="656" t="s">
        <v>204</v>
      </c>
      <c r="Y7" s="657"/>
      <c r="Z7" s="658"/>
      <c r="AA7" s="170"/>
      <c r="AB7" s="669"/>
      <c r="AC7" s="670"/>
    </row>
    <row r="8" spans="1:32" ht="20.100000000000001" customHeight="1">
      <c r="A8" s="163">
        <f>ELEC!C8</f>
        <v>44686</v>
      </c>
      <c r="B8" s="624">
        <f t="shared" si="7"/>
        <v>1118429</v>
      </c>
      <c r="C8" s="254">
        <f t="shared" si="0"/>
        <v>0</v>
      </c>
      <c r="D8" s="295">
        <f t="shared" si="14"/>
        <v>0</v>
      </c>
      <c r="E8" s="295">
        <f t="shared" si="15"/>
        <v>1118429</v>
      </c>
      <c r="F8" s="625">
        <f t="shared" si="8"/>
        <v>161410</v>
      </c>
      <c r="G8" s="160">
        <f t="shared" si="1"/>
        <v>0</v>
      </c>
      <c r="H8" s="624">
        <f t="shared" si="9"/>
        <v>555582</v>
      </c>
      <c r="I8" s="161">
        <f t="shared" si="2"/>
        <v>0</v>
      </c>
      <c r="J8" s="622">
        <f t="shared" si="10"/>
        <v>401437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943.92475806449954</v>
      </c>
      <c r="R8" s="285">
        <f t="shared" si="13"/>
        <v>1098.7277966350875</v>
      </c>
      <c r="S8" s="287">
        <f>SUM(ELEC!N8)</f>
        <v>3111</v>
      </c>
      <c r="T8" s="321">
        <f>IF(S8&gt;0,R8/S8,0)</f>
        <v>0.35317511945840163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44687</v>
      </c>
      <c r="B9" s="624">
        <f t="shared" si="7"/>
        <v>1118429</v>
      </c>
      <c r="C9" s="254">
        <f t="shared" si="0"/>
        <v>0</v>
      </c>
      <c r="D9" s="295">
        <f t="shared" si="14"/>
        <v>0</v>
      </c>
      <c r="E9" s="295">
        <f t="shared" si="15"/>
        <v>1118429</v>
      </c>
      <c r="F9" s="625">
        <f t="shared" si="8"/>
        <v>161410</v>
      </c>
      <c r="G9" s="160">
        <f t="shared" si="1"/>
        <v>0</v>
      </c>
      <c r="H9" s="624">
        <f t="shared" si="9"/>
        <v>555582</v>
      </c>
      <c r="I9" s="161">
        <f t="shared" si="2"/>
        <v>0</v>
      </c>
      <c r="J9" s="622">
        <v>401437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0</v>
      </c>
      <c r="T9" s="321">
        <f t="shared" si="16"/>
        <v>0</v>
      </c>
      <c r="V9" s="246">
        <f>'[2]EDl log'!V26</f>
        <v>401347</v>
      </c>
      <c r="W9" s="246">
        <f>'[2]EDl log'!W26</f>
        <v>401437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90</v>
      </c>
      <c r="AB9" s="623">
        <f>'[2]EDl log'!AB26</f>
        <v>7200</v>
      </c>
      <c r="AC9" s="623">
        <f>'[2]EDl log'!AC26</f>
        <v>1033333</v>
      </c>
      <c r="AD9" s="607">
        <f>'[2]EDl log'!AD26</f>
        <v>5.1487414187643021E-2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44688</v>
      </c>
      <c r="B10" s="624">
        <f t="shared" si="7"/>
        <v>1118429</v>
      </c>
      <c r="C10" s="254">
        <f t="shared" si="0"/>
        <v>0</v>
      </c>
      <c r="D10" s="295">
        <f t="shared" si="14"/>
        <v>0</v>
      </c>
      <c r="E10" s="295">
        <f t="shared" si="15"/>
        <v>1118429</v>
      </c>
      <c r="F10" s="625">
        <f t="shared" si="8"/>
        <v>161410</v>
      </c>
      <c r="G10" s="160">
        <f t="shared" si="1"/>
        <v>0</v>
      </c>
      <c r="H10" s="624">
        <f t="shared" si="9"/>
        <v>555582</v>
      </c>
      <c r="I10" s="161">
        <f t="shared" si="2"/>
        <v>0</v>
      </c>
      <c r="J10" s="622">
        <f t="shared" si="10"/>
        <v>401437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553475</v>
      </c>
      <c r="W10" s="246">
        <f>'[2]EDl log'!W27</f>
        <v>555135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23">
        <f>'[2]EDl log'!AA27</f>
        <v>1660</v>
      </c>
      <c r="AB10" s="623">
        <f>'[2]EDl log'!AB27</f>
        <v>185920</v>
      </c>
      <c r="AC10" s="623">
        <f>'[2]EDl log'!AC27</f>
        <v>6200000</v>
      </c>
      <c r="AD10" s="607">
        <f>'[2]EDl log'!AD27</f>
        <v>0.94965675057208254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44689</v>
      </c>
      <c r="B11" s="624">
        <v>1118855</v>
      </c>
      <c r="C11" s="254">
        <f>SUM(B11-B10)</f>
        <v>426</v>
      </c>
      <c r="D11" s="295">
        <f>SUM(G11+I11+K11)</f>
        <v>425</v>
      </c>
      <c r="E11" s="295">
        <f t="shared" si="15"/>
        <v>1118854</v>
      </c>
      <c r="F11" s="625">
        <f t="shared" si="8"/>
        <v>161410</v>
      </c>
      <c r="G11" s="160">
        <f t="shared" si="1"/>
        <v>0</v>
      </c>
      <c r="H11" s="624">
        <v>556006</v>
      </c>
      <c r="I11" s="161">
        <f t="shared" si="2"/>
        <v>424</v>
      </c>
      <c r="J11" s="622">
        <v>401438</v>
      </c>
      <c r="K11" s="162">
        <f t="shared" si="11"/>
        <v>1</v>
      </c>
      <c r="L11" s="284">
        <f t="shared" si="3"/>
        <v>0</v>
      </c>
      <c r="M11" s="284">
        <f t="shared" si="4"/>
        <v>31.501160862354894</v>
      </c>
      <c r="N11" s="284">
        <f t="shared" si="5"/>
        <v>5.306799336650083E-2</v>
      </c>
      <c r="O11" s="284">
        <f t="shared" si="6"/>
        <v>154.80303857058792</v>
      </c>
      <c r="P11" s="285">
        <f t="shared" si="12"/>
        <v>186.35726742630931</v>
      </c>
      <c r="Q11" s="285">
        <f>SUM(-tanks!AX13*tanks!$AU$37)</f>
        <v>-663.77475806449957</v>
      </c>
      <c r="R11" s="285">
        <f t="shared" si="13"/>
        <v>-477.41749063819026</v>
      </c>
      <c r="S11" s="287">
        <f>SUM(ELEC!N11)</f>
        <v>3135</v>
      </c>
      <c r="T11" s="321">
        <f t="shared" si="16"/>
        <v>-0.15228628090532384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0</v>
      </c>
      <c r="AB11" s="623">
        <f>'[2]EDl log'!AB28</f>
        <v>0</v>
      </c>
      <c r="AC11" s="623">
        <f>'[2]EDl log'!AC28</f>
        <v>1000</v>
      </c>
      <c r="AD11" s="607">
        <f>'[2]EDl log'!AD28</f>
        <v>0</v>
      </c>
      <c r="AE11" s="246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44690</v>
      </c>
      <c r="B12" s="624">
        <v>1119151</v>
      </c>
      <c r="C12" s="254">
        <f t="shared" si="0"/>
        <v>296</v>
      </c>
      <c r="D12" s="295">
        <f t="shared" si="14"/>
        <v>297</v>
      </c>
      <c r="E12" s="295">
        <f t="shared" si="15"/>
        <v>1119152</v>
      </c>
      <c r="F12" s="625">
        <f t="shared" si="8"/>
        <v>161410</v>
      </c>
      <c r="G12" s="160">
        <f t="shared" si="1"/>
        <v>0</v>
      </c>
      <c r="H12" s="624">
        <v>556210</v>
      </c>
      <c r="I12" s="161">
        <f t="shared" si="2"/>
        <v>204</v>
      </c>
      <c r="J12" s="622">
        <v>401531</v>
      </c>
      <c r="K12" s="162">
        <f t="shared" si="11"/>
        <v>93</v>
      </c>
      <c r="L12" s="284">
        <f t="shared" si="3"/>
        <v>0</v>
      </c>
      <c r="M12" s="284">
        <f t="shared" si="4"/>
        <v>15.156218905472636</v>
      </c>
      <c r="N12" s="284">
        <f t="shared" si="5"/>
        <v>4.9353233830845769</v>
      </c>
      <c r="O12" s="284">
        <f t="shared" si="6"/>
        <v>154.80303857058792</v>
      </c>
      <c r="P12" s="285">
        <f t="shared" si="12"/>
        <v>174.89458085914512</v>
      </c>
      <c r="Q12" s="285">
        <f>SUM(-tanks!AX14*tanks!$AU$37)</f>
        <v>1212.9521774193483</v>
      </c>
      <c r="R12" s="285">
        <f t="shared" si="13"/>
        <v>1387.8467582784936</v>
      </c>
      <c r="S12" s="287">
        <f>SUM(ELEC!N12)</f>
        <v>3445</v>
      </c>
      <c r="T12" s="321">
        <f t="shared" si="16"/>
        <v>0.40285827526226226</v>
      </c>
      <c r="V12" s="213"/>
      <c r="W12" s="217"/>
      <c r="X12" s="214"/>
      <c r="Y12" s="215"/>
      <c r="Z12" s="3"/>
      <c r="AA12" s="246">
        <f>'[2]EDl log'!AA29</f>
        <v>1750</v>
      </c>
      <c r="AB12" s="623">
        <f>'[2]EDl log'!AB29</f>
        <v>193120</v>
      </c>
      <c r="AC12" s="623">
        <f>'[2]EDl log'!AC29</f>
        <v>7234333</v>
      </c>
    </row>
    <row r="13" spans="1:32" ht="20.100000000000001" customHeight="1">
      <c r="A13" s="163">
        <f>ELEC!C13</f>
        <v>44691</v>
      </c>
      <c r="B13" s="624">
        <v>1119189</v>
      </c>
      <c r="C13" s="254">
        <f t="shared" si="0"/>
        <v>38</v>
      </c>
      <c r="D13" s="295">
        <f t="shared" si="14"/>
        <v>37</v>
      </c>
      <c r="E13" s="295">
        <f t="shared" si="15"/>
        <v>1119188</v>
      </c>
      <c r="F13" s="625">
        <f t="shared" si="8"/>
        <v>161410</v>
      </c>
      <c r="G13" s="160">
        <f t="shared" si="1"/>
        <v>0</v>
      </c>
      <c r="H13" s="624">
        <v>556246</v>
      </c>
      <c r="I13" s="161">
        <f t="shared" si="2"/>
        <v>36</v>
      </c>
      <c r="J13" s="622">
        <v>401532</v>
      </c>
      <c r="K13" s="162">
        <f t="shared" si="11"/>
        <v>1</v>
      </c>
      <c r="L13" s="284">
        <f t="shared" si="3"/>
        <v>0</v>
      </c>
      <c r="M13" s="284">
        <f t="shared" si="4"/>
        <v>2.6746268656716419</v>
      </c>
      <c r="N13" s="284">
        <f t="shared" si="5"/>
        <v>5.306799336650083E-2</v>
      </c>
      <c r="O13" s="284">
        <f t="shared" si="6"/>
        <v>154.80303857058792</v>
      </c>
      <c r="P13" s="285">
        <f t="shared" si="12"/>
        <v>157.53073342962605</v>
      </c>
      <c r="Q13" s="285">
        <f>SUM(-tanks!AX15*tanks!$AU$37)</f>
        <v>942.84725806451524</v>
      </c>
      <c r="R13" s="285">
        <f t="shared" si="13"/>
        <v>1100.3779914941413</v>
      </c>
      <c r="S13" s="287">
        <f>SUM(ELEC!N13)</f>
        <v>3157</v>
      </c>
      <c r="T13" s="321">
        <f>IF(S13&gt;0,R13/S13,0)</f>
        <v>0.3485517869794556</v>
      </c>
      <c r="V13" s="216" t="s">
        <v>314</v>
      </c>
      <c r="W13" s="607">
        <f>'[2]EDl log'!W30</f>
        <v>0</v>
      </c>
      <c r="X13" s="217"/>
      <c r="Y13" s="218" t="s">
        <v>327</v>
      </c>
      <c r="Z13" s="3"/>
      <c r="AA13" s="246"/>
      <c r="AB13" s="623">
        <f>'[2]EDl log'!AB30</f>
        <v>7427453</v>
      </c>
      <c r="AC13" s="623">
        <f>'[2]EDl log'!AC30</f>
        <v>0</v>
      </c>
    </row>
    <row r="14" spans="1:32" ht="20.100000000000001" customHeight="1">
      <c r="A14" s="163">
        <f>ELEC!C14</f>
        <v>44692</v>
      </c>
      <c r="B14" s="624">
        <v>1119492</v>
      </c>
      <c r="C14" s="254">
        <f t="shared" si="0"/>
        <v>303</v>
      </c>
      <c r="D14" s="295">
        <f t="shared" si="14"/>
        <v>304</v>
      </c>
      <c r="E14" s="295">
        <f t="shared" si="15"/>
        <v>1119493</v>
      </c>
      <c r="F14" s="625">
        <f t="shared" si="8"/>
        <v>161410</v>
      </c>
      <c r="G14" s="160">
        <f t="shared" si="1"/>
        <v>0</v>
      </c>
      <c r="H14" s="624">
        <v>556460</v>
      </c>
      <c r="I14" s="161">
        <f t="shared" si="2"/>
        <v>214</v>
      </c>
      <c r="J14" s="625">
        <v>401622</v>
      </c>
      <c r="K14" s="162">
        <f>J14-J13</f>
        <v>90</v>
      </c>
      <c r="L14" s="284">
        <f>SUM(G14*$Y$28)/1507.5</f>
        <v>0</v>
      </c>
      <c r="M14" s="284">
        <f>SUM(I14*$Y$27)/1507.5</f>
        <v>15.899170812603648</v>
      </c>
      <c r="N14" s="284">
        <f>SUM(K14*$Y$26)/1507.5</f>
        <v>4.7761194029850742</v>
      </c>
      <c r="O14" s="284">
        <f t="shared" si="6"/>
        <v>154.80303857058792</v>
      </c>
      <c r="P14" s="285">
        <f>SUM(L14:O14)</f>
        <v>175.47832878617663</v>
      </c>
      <c r="Q14" s="285">
        <f>SUM(-tanks!AX16*tanks!$AU$37)</f>
        <v>1114.899677419364</v>
      </c>
      <c r="R14" s="285">
        <f>SUM(P14:Q14)</f>
        <v>1290.3780062055407</v>
      </c>
      <c r="S14" s="287">
        <f>SUM(ELEC!N14)</f>
        <v>3105</v>
      </c>
      <c r="T14" s="321">
        <f>IF(S14&gt;0,R14/S14,0)</f>
        <v>0.41558067832706624</v>
      </c>
      <c r="V14" s="216"/>
      <c r="W14" s="217"/>
      <c r="X14" s="217"/>
      <c r="Y14" s="218"/>
      <c r="Z14" s="3"/>
      <c r="AA14" s="246"/>
      <c r="AB14" s="623">
        <f>'[2]EDl log'!AB31</f>
        <v>0</v>
      </c>
      <c r="AC14" s="623">
        <f>'[2]EDl log'!AC31</f>
        <v>0</v>
      </c>
    </row>
    <row r="15" spans="1:32" ht="20.100000000000001" customHeight="1">
      <c r="A15" s="163">
        <f>ELEC!C15</f>
        <v>44693</v>
      </c>
      <c r="B15" s="624">
        <v>1119539</v>
      </c>
      <c r="C15" s="254">
        <f t="shared" si="0"/>
        <v>47</v>
      </c>
      <c r="D15" s="295">
        <f t="shared" si="14"/>
        <v>46</v>
      </c>
      <c r="E15" s="295">
        <f t="shared" si="15"/>
        <v>1119538</v>
      </c>
      <c r="F15" s="625">
        <f t="shared" si="8"/>
        <v>161410</v>
      </c>
      <c r="G15" s="160">
        <f t="shared" si="1"/>
        <v>0</v>
      </c>
      <c r="H15" s="624">
        <v>556506</v>
      </c>
      <c r="I15" s="161">
        <f t="shared" si="2"/>
        <v>46</v>
      </c>
      <c r="J15" s="625">
        <v>401622</v>
      </c>
      <c r="K15" s="162">
        <f>J15-J14</f>
        <v>0</v>
      </c>
      <c r="L15" s="284">
        <f>SUM(G15*$Y$28)/1507.5</f>
        <v>0</v>
      </c>
      <c r="M15" s="284">
        <f>SUM(I15*$Y$27)/1507.5</f>
        <v>3.4175787728026532</v>
      </c>
      <c r="N15" s="284">
        <f>SUM(K15*$Y$26)/1507.5</f>
        <v>0</v>
      </c>
      <c r="O15" s="284">
        <f t="shared" si="6"/>
        <v>154.80303857058792</v>
      </c>
      <c r="P15" s="285">
        <f>SUM(L15:O15)</f>
        <v>158.22061734339056</v>
      </c>
      <c r="Q15" s="285">
        <f>SUM(-tanks!AX17*tanks!$AU$37)</f>
        <v>1180.6271774193483</v>
      </c>
      <c r="R15" s="285">
        <f>SUM(P15:Q15)</f>
        <v>1338.8477947627389</v>
      </c>
      <c r="S15" s="287">
        <f>SUM(ELEC!N15)</f>
        <v>2743</v>
      </c>
      <c r="T15" s="321">
        <f>IF(S15&gt;0,R15/S15,0)</f>
        <v>0.48809617016505247</v>
      </c>
      <c r="V15" s="216" t="s">
        <v>315</v>
      </c>
      <c r="W15" s="246">
        <f>'[2]EDl log'!W32</f>
        <v>175</v>
      </c>
      <c r="X15" s="246">
        <f>'[2]EDl log'!X32</f>
        <v>29.166666666666668</v>
      </c>
      <c r="Y15" s="246">
        <f>'[2]EDl log'!Y32</f>
        <v>29.166666666666668</v>
      </c>
      <c r="Z15" s="3"/>
      <c r="AA15" s="246"/>
      <c r="AB15" s="623">
        <f>'[2]EDl log'!AB32</f>
        <v>0</v>
      </c>
      <c r="AC15" s="623">
        <f>'[2]EDl log'!AC32</f>
        <v>0</v>
      </c>
    </row>
    <row r="16" spans="1:32" ht="20.100000000000001" customHeight="1">
      <c r="A16" s="163">
        <f>ELEC!C16</f>
        <v>44694</v>
      </c>
      <c r="B16" s="624">
        <f t="shared" si="7"/>
        <v>1119539</v>
      </c>
      <c r="C16" s="254">
        <f t="shared" si="0"/>
        <v>0</v>
      </c>
      <c r="D16" s="295">
        <f t="shared" si="14"/>
        <v>0</v>
      </c>
      <c r="E16" s="295">
        <f t="shared" si="15"/>
        <v>1119539</v>
      </c>
      <c r="F16" s="625">
        <f t="shared" si="8"/>
        <v>161410</v>
      </c>
      <c r="G16" s="160">
        <f t="shared" si="1"/>
        <v>0</v>
      </c>
      <c r="H16" s="624">
        <f t="shared" si="9"/>
        <v>556506</v>
      </c>
      <c r="I16" s="161">
        <f t="shared" si="2"/>
        <v>0</v>
      </c>
      <c r="J16" s="625">
        <f t="shared" si="10"/>
        <v>401622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217"/>
      <c r="X16" s="222"/>
      <c r="Y16" s="250"/>
      <c r="Z16" s="3" t="s">
        <v>415</v>
      </c>
      <c r="AA16" s="246">
        <f>'[6]EDl log'!AA33</f>
        <v>0.11</v>
      </c>
      <c r="AB16" s="623">
        <f>'[2]EDl log'!AB33</f>
        <v>817019.83</v>
      </c>
      <c r="AC16" s="623">
        <f>'[2]EDl log'!AC33</f>
        <v>7234333</v>
      </c>
    </row>
    <row r="17" spans="1:32" ht="20.100000000000001" customHeight="1">
      <c r="A17" s="163">
        <f>ELEC!C17</f>
        <v>44695</v>
      </c>
      <c r="B17" s="624">
        <f t="shared" si="7"/>
        <v>1119539</v>
      </c>
      <c r="C17" s="254">
        <f t="shared" si="0"/>
        <v>0</v>
      </c>
      <c r="D17" s="295">
        <f t="shared" si="14"/>
        <v>0</v>
      </c>
      <c r="E17" s="295">
        <f t="shared" si="15"/>
        <v>1119539</v>
      </c>
      <c r="F17" s="625">
        <f t="shared" si="8"/>
        <v>161410</v>
      </c>
      <c r="G17" s="160">
        <f>F17-F16</f>
        <v>0</v>
      </c>
      <c r="H17" s="624">
        <f t="shared" si="9"/>
        <v>556506</v>
      </c>
      <c r="I17" s="161">
        <f t="shared" si="2"/>
        <v>0</v>
      </c>
      <c r="J17" s="625">
        <f t="shared" si="10"/>
        <v>401622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W17" s="217"/>
      <c r="Z17" s="3"/>
      <c r="AA17" s="246">
        <f>'[6]EDl log'!AA34</f>
        <v>0</v>
      </c>
      <c r="AB17" s="623">
        <f>'[2]EDl log'!AB34</f>
        <v>8244472.8300000001</v>
      </c>
      <c r="AC17" s="623">
        <f>'[2]EDl log'!AC34</f>
        <v>0</v>
      </c>
    </row>
    <row r="18" spans="1:32" ht="20.100000000000001" customHeight="1" thickBot="1">
      <c r="A18" s="163">
        <f>ELEC!C18</f>
        <v>44696</v>
      </c>
      <c r="B18" s="626">
        <v>1119679</v>
      </c>
      <c r="C18" s="254">
        <f>SUM(B18-B17)</f>
        <v>140</v>
      </c>
      <c r="D18" s="295">
        <f>SUM(G18+I18+K18)</f>
        <v>140</v>
      </c>
      <c r="E18" s="295">
        <f t="shared" si="15"/>
        <v>1119679</v>
      </c>
      <c r="F18" s="625">
        <v>161410</v>
      </c>
      <c r="G18" s="160">
        <f t="shared" si="1"/>
        <v>0</v>
      </c>
      <c r="H18" s="624">
        <v>556646</v>
      </c>
      <c r="I18" s="161">
        <f t="shared" si="2"/>
        <v>140</v>
      </c>
      <c r="J18" s="625">
        <v>401622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10.401326699834163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165.20436527042207</v>
      </c>
      <c r="Q18" s="285">
        <f>SUM(-tanks!AX20*tanks!$AU$37)</f>
        <v>822.16725806451518</v>
      </c>
      <c r="R18" s="285">
        <f t="shared" si="13"/>
        <v>987.37162333493723</v>
      </c>
      <c r="S18" s="287">
        <f>SUM(ELEC!N18)</f>
        <v>2817</v>
      </c>
      <c r="T18" s="321">
        <f t="shared" si="16"/>
        <v>0.35050465862085101</v>
      </c>
      <c r="V18" s="226"/>
      <c r="W18" s="227"/>
      <c r="X18" s="227"/>
      <c r="Y18" s="227"/>
      <c r="Z18" s="3"/>
      <c r="AA18" s="246">
        <f>'[6]EDl log'!AA35</f>
        <v>0</v>
      </c>
      <c r="AB18" s="623">
        <f>'[2]EDl log'!AB35</f>
        <v>0</v>
      </c>
      <c r="AC18" s="623">
        <f>'[2]EDl log'!AC35</f>
        <v>0</v>
      </c>
    </row>
    <row r="19" spans="1:32" ht="20.100000000000001" customHeight="1" thickBot="1">
      <c r="A19" s="163">
        <f>ELEC!C19</f>
        <v>44697</v>
      </c>
      <c r="B19" s="624">
        <v>1119902</v>
      </c>
      <c r="C19" s="254">
        <f t="shared" si="0"/>
        <v>223</v>
      </c>
      <c r="D19" s="295">
        <f t="shared" si="14"/>
        <v>222</v>
      </c>
      <c r="E19" s="295">
        <f t="shared" si="15"/>
        <v>1119901</v>
      </c>
      <c r="F19" s="625">
        <f t="shared" si="8"/>
        <v>161410</v>
      </c>
      <c r="G19" s="160">
        <f t="shared" si="1"/>
        <v>0</v>
      </c>
      <c r="H19" s="624">
        <v>556768</v>
      </c>
      <c r="I19" s="161">
        <f t="shared" si="2"/>
        <v>122</v>
      </c>
      <c r="J19" s="625">
        <v>401722</v>
      </c>
      <c r="K19" s="162">
        <f t="shared" si="11"/>
        <v>100</v>
      </c>
      <c r="L19" s="284">
        <f>SUM(G19*$Y$28)/1507.5</f>
        <v>0</v>
      </c>
      <c r="M19" s="284">
        <f>SUM(I19*$Y$27)/1507.5</f>
        <v>9.0640132669983409</v>
      </c>
      <c r="N19" s="284">
        <f>SUM(K19*$Y$26)/1507.5</f>
        <v>5.3067993366500827</v>
      </c>
      <c r="O19" s="284">
        <f>($AC$29/$A$37)/1507.5</f>
        <v>154.80303857058792</v>
      </c>
      <c r="P19" s="285">
        <f>SUM(L19:O19)</f>
        <v>169.17385117423635</v>
      </c>
      <c r="Q19" s="285">
        <f>SUM(-tanks!AX21*tanks!$AU$37)</f>
        <v>945.00225806449953</v>
      </c>
      <c r="R19" s="285">
        <f>SUM(P19:Q19)</f>
        <v>1114.176109238736</v>
      </c>
      <c r="S19" s="287">
        <f>SUM(ELEC!N19)</f>
        <v>2812</v>
      </c>
      <c r="T19" s="321">
        <f>IF(S19&gt;0,R19/S19,0)</f>
        <v>0.3962219449639886</v>
      </c>
      <c r="V19" s="226"/>
      <c r="W19" s="227"/>
      <c r="X19" s="227"/>
      <c r="Y19" s="227"/>
      <c r="Z19" s="227"/>
      <c r="AA19" s="246" t="str">
        <f>'[6]EDl log'!AA36</f>
        <v>$ without VAT</v>
      </c>
      <c r="AB19" s="623">
        <f>'[2]EDl log'!AB36</f>
        <v>4927.0003316749589</v>
      </c>
      <c r="AC19" s="623">
        <f>'[2]EDl log'!AC36</f>
        <v>0</v>
      </c>
    </row>
    <row r="20" spans="1:32" ht="20.100000000000001" customHeight="1" thickBot="1">
      <c r="A20" s="163">
        <f>ELEC!C20</f>
        <v>44698</v>
      </c>
      <c r="B20" s="624">
        <f t="shared" si="7"/>
        <v>1119902</v>
      </c>
      <c r="C20" s="254">
        <f t="shared" si="0"/>
        <v>0</v>
      </c>
      <c r="D20" s="295">
        <f t="shared" si="14"/>
        <v>0</v>
      </c>
      <c r="E20" s="295">
        <v>160188</v>
      </c>
      <c r="F20" s="625">
        <f t="shared" si="8"/>
        <v>161410</v>
      </c>
      <c r="G20" s="160">
        <f t="shared" si="1"/>
        <v>0</v>
      </c>
      <c r="H20" s="624">
        <f t="shared" si="9"/>
        <v>556768</v>
      </c>
      <c r="I20" s="161">
        <f t="shared" si="2"/>
        <v>0</v>
      </c>
      <c r="J20" s="625">
        <f t="shared" si="10"/>
        <v>401722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780.14475806454652</v>
      </c>
      <c r="R20" s="285">
        <f t="shared" si="13"/>
        <v>934.94779663513441</v>
      </c>
      <c r="S20" s="287">
        <f>SUM(ELEC!N20)</f>
        <v>3010</v>
      </c>
      <c r="T20" s="321">
        <f t="shared" si="16"/>
        <v>0.31061388592529382</v>
      </c>
      <c r="AB20" s="527"/>
    </row>
    <row r="21" spans="1:32" ht="20.100000000000001" customHeight="1">
      <c r="A21" s="163">
        <f>ELEC!C21</f>
        <v>44699</v>
      </c>
      <c r="B21" s="624">
        <f t="shared" si="7"/>
        <v>1119902</v>
      </c>
      <c r="C21" s="254">
        <f t="shared" si="0"/>
        <v>0</v>
      </c>
      <c r="D21" s="295">
        <f t="shared" si="14"/>
        <v>0</v>
      </c>
      <c r="E21" s="295">
        <f t="shared" si="15"/>
        <v>1119902</v>
      </c>
      <c r="F21" s="625">
        <f t="shared" si="8"/>
        <v>161410</v>
      </c>
      <c r="G21" s="160">
        <f t="shared" si="1"/>
        <v>0</v>
      </c>
      <c r="H21" s="624">
        <f t="shared" si="9"/>
        <v>556768</v>
      </c>
      <c r="I21" s="161">
        <f t="shared" si="2"/>
        <v>0</v>
      </c>
      <c r="J21" s="625">
        <f t="shared" si="10"/>
        <v>401722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1347.2920967741816</v>
      </c>
      <c r="R21" s="285">
        <f t="shared" si="13"/>
        <v>1502.0951353447695</v>
      </c>
      <c r="S21" s="287">
        <f>SUM(ELEC!N21)</f>
        <v>3148</v>
      </c>
      <c r="T21" s="321">
        <f t="shared" si="16"/>
        <v>0.47715855633569548</v>
      </c>
      <c r="V21" s="166" t="s">
        <v>200</v>
      </c>
      <c r="W21" s="167">
        <v>44703</v>
      </c>
      <c r="X21" s="168"/>
      <c r="Y21" s="168"/>
      <c r="Z21" s="169" t="s">
        <v>201</v>
      </c>
      <c r="AA21" s="168"/>
      <c r="AB21" s="665"/>
      <c r="AC21" s="666"/>
    </row>
    <row r="22" spans="1:32" ht="20.100000000000001" customHeight="1">
      <c r="A22" s="163">
        <f>ELEC!C22</f>
        <v>44700</v>
      </c>
      <c r="B22" s="624">
        <v>1120341</v>
      </c>
      <c r="C22" s="254">
        <f t="shared" si="0"/>
        <v>439</v>
      </c>
      <c r="D22" s="295">
        <f t="shared" si="14"/>
        <v>440</v>
      </c>
      <c r="E22" s="295">
        <f t="shared" si="15"/>
        <v>1120342</v>
      </c>
      <c r="F22" s="625">
        <f t="shared" si="8"/>
        <v>161410</v>
      </c>
      <c r="G22" s="160">
        <f t="shared" si="1"/>
        <v>0</v>
      </c>
      <c r="H22" s="624">
        <v>557200</v>
      </c>
      <c r="I22" s="161">
        <f t="shared" si="2"/>
        <v>432</v>
      </c>
      <c r="J22" s="625">
        <v>401730</v>
      </c>
      <c r="K22" s="162">
        <f t="shared" si="11"/>
        <v>8</v>
      </c>
      <c r="L22" s="284">
        <f t="shared" si="17"/>
        <v>0</v>
      </c>
      <c r="M22" s="284">
        <f t="shared" si="18"/>
        <v>32.095522388059699</v>
      </c>
      <c r="N22" s="284">
        <f t="shared" si="19"/>
        <v>0.42454394693200664</v>
      </c>
      <c r="O22" s="284">
        <f t="shared" si="6"/>
        <v>154.80303857058792</v>
      </c>
      <c r="P22" s="285">
        <f t="shared" si="12"/>
        <v>187.32310490557961</v>
      </c>
      <c r="Q22" s="285">
        <f>SUM(-tanks!AX24*tanks!$AU$37)</f>
        <v>925.60725806451524</v>
      </c>
      <c r="R22" s="285">
        <f t="shared" si="13"/>
        <v>1112.9303629700948</v>
      </c>
      <c r="S22" s="287">
        <f>SUM(ELEC!N22)</f>
        <v>3248</v>
      </c>
      <c r="T22" s="321">
        <f t="shared" si="16"/>
        <v>0.34265097382084203</v>
      </c>
      <c r="V22" s="659"/>
      <c r="W22" s="660"/>
      <c r="X22" s="660"/>
      <c r="Y22" s="661"/>
      <c r="Z22" s="26" t="s">
        <v>202</v>
      </c>
      <c r="AA22" s="26">
        <v>5000</v>
      </c>
      <c r="AB22" s="667"/>
      <c r="AC22" s="668"/>
    </row>
    <row r="23" spans="1:32" ht="20.100000000000001" customHeight="1">
      <c r="A23" s="163">
        <f>ELEC!C23</f>
        <v>44701</v>
      </c>
      <c r="B23" s="624">
        <f t="shared" si="7"/>
        <v>1120341</v>
      </c>
      <c r="C23" s="254">
        <f t="shared" si="0"/>
        <v>0</v>
      </c>
      <c r="D23" s="295">
        <f t="shared" si="14"/>
        <v>0</v>
      </c>
      <c r="E23" s="295">
        <f t="shared" si="15"/>
        <v>1120341</v>
      </c>
      <c r="F23" s="625">
        <f t="shared" si="8"/>
        <v>161410</v>
      </c>
      <c r="G23" s="160">
        <f t="shared" si="1"/>
        <v>0</v>
      </c>
      <c r="H23" s="624">
        <f t="shared" si="9"/>
        <v>557200</v>
      </c>
      <c r="I23" s="161">
        <f t="shared" si="2"/>
        <v>0</v>
      </c>
      <c r="J23" s="625">
        <f t="shared" si="10"/>
        <v>401730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62"/>
      <c r="W23" s="663"/>
      <c r="X23" s="663"/>
      <c r="Y23" s="664"/>
      <c r="Z23" s="671"/>
      <c r="AA23" s="672"/>
      <c r="AB23" s="667"/>
      <c r="AC23" s="668"/>
    </row>
    <row r="24" spans="1:32" ht="20.100000000000001" customHeight="1">
      <c r="A24" s="163">
        <f>ELEC!C24</f>
        <v>44702</v>
      </c>
      <c r="B24" s="624">
        <f t="shared" si="7"/>
        <v>1120341</v>
      </c>
      <c r="C24" s="254">
        <f t="shared" si="0"/>
        <v>0</v>
      </c>
      <c r="D24" s="295">
        <f t="shared" si="14"/>
        <v>0</v>
      </c>
      <c r="E24" s="295">
        <f t="shared" si="15"/>
        <v>1120341</v>
      </c>
      <c r="F24" s="625">
        <f t="shared" si="8"/>
        <v>161410</v>
      </c>
      <c r="G24" s="160">
        <f t="shared" si="1"/>
        <v>0</v>
      </c>
      <c r="H24" s="624">
        <f t="shared" si="9"/>
        <v>557200</v>
      </c>
      <c r="I24" s="161">
        <f t="shared" si="2"/>
        <v>0</v>
      </c>
      <c r="J24" s="625">
        <f t="shared" si="10"/>
        <v>401730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-4716.0263306451516</v>
      </c>
      <c r="R24" s="285">
        <f t="shared" si="13"/>
        <v>-4561.2232920745637</v>
      </c>
      <c r="S24" s="287">
        <f>SUM(ELEC!N24)</f>
        <v>0</v>
      </c>
      <c r="T24" s="321">
        <f t="shared" si="16"/>
        <v>0</v>
      </c>
      <c r="V24" s="654" t="s">
        <v>203</v>
      </c>
      <c r="W24" s="655"/>
      <c r="X24" s="656" t="s">
        <v>204</v>
      </c>
      <c r="Y24" s="657"/>
      <c r="Z24" s="658"/>
      <c r="AA24" s="170"/>
      <c r="AB24" s="669"/>
      <c r="AC24" s="670"/>
    </row>
    <row r="25" spans="1:32" ht="20.100000000000001" customHeight="1">
      <c r="A25" s="163">
        <f>ELEC!C25</f>
        <v>44703</v>
      </c>
      <c r="B25" s="624">
        <f t="shared" si="7"/>
        <v>1120341</v>
      </c>
      <c r="C25" s="254">
        <f t="shared" si="0"/>
        <v>0</v>
      </c>
      <c r="D25" s="295">
        <f t="shared" si="14"/>
        <v>0</v>
      </c>
      <c r="E25" s="295">
        <f t="shared" si="15"/>
        <v>1120341</v>
      </c>
      <c r="F25" s="625">
        <f t="shared" si="8"/>
        <v>161410</v>
      </c>
      <c r="G25" s="160">
        <f t="shared" si="1"/>
        <v>0</v>
      </c>
      <c r="H25" s="624">
        <f t="shared" si="9"/>
        <v>557200</v>
      </c>
      <c r="I25" s="161">
        <f t="shared" si="2"/>
        <v>0</v>
      </c>
      <c r="J25" s="625">
        <f t="shared" si="10"/>
        <v>401730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5337.9350000000004</v>
      </c>
      <c r="R25" s="285">
        <f t="shared" si="13"/>
        <v>5492.7380385705883</v>
      </c>
      <c r="S25" s="287">
        <f>SUM(ELEC!N25)</f>
        <v>3609</v>
      </c>
      <c r="T25" s="321">
        <f t="shared" si="16"/>
        <v>1.5219556770769156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44704</v>
      </c>
      <c r="B26" s="624">
        <f t="shared" si="7"/>
        <v>1120341</v>
      </c>
      <c r="C26" s="254">
        <f t="shared" si="0"/>
        <v>0</v>
      </c>
      <c r="D26" s="295">
        <f t="shared" si="14"/>
        <v>0</v>
      </c>
      <c r="E26" s="295">
        <f t="shared" si="15"/>
        <v>1120341</v>
      </c>
      <c r="F26" s="625">
        <f t="shared" si="8"/>
        <v>161410</v>
      </c>
      <c r="G26" s="160">
        <f t="shared" si="1"/>
        <v>0</v>
      </c>
      <c r="H26" s="624">
        <f t="shared" si="9"/>
        <v>557200</v>
      </c>
      <c r="I26" s="161">
        <f t="shared" si="2"/>
        <v>0</v>
      </c>
      <c r="J26" s="625">
        <f t="shared" si="10"/>
        <v>401730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401437</v>
      </c>
      <c r="W26" s="170">
        <f>J34</f>
        <v>401730</v>
      </c>
      <c r="X26" s="172" t="s">
        <v>199</v>
      </c>
      <c r="Y26" s="172">
        <v>80</v>
      </c>
      <c r="Z26" s="172">
        <v>1</v>
      </c>
      <c r="AA26" s="323">
        <f>(W26-V26)*Z26</f>
        <v>293</v>
      </c>
      <c r="AB26" s="323">
        <f>AA26*Y26</f>
        <v>23440</v>
      </c>
      <c r="AC26" s="244">
        <f>AC9</f>
        <v>1033333</v>
      </c>
      <c r="AD26" s="476">
        <f>SUM(K36)</f>
        <v>0.12415254237288136</v>
      </c>
    </row>
    <row r="27" spans="1:32" ht="20.100000000000001" customHeight="1">
      <c r="A27" s="163">
        <f>ELEC!C27</f>
        <v>44705</v>
      </c>
      <c r="B27" s="624">
        <f t="shared" si="7"/>
        <v>1120341</v>
      </c>
      <c r="C27" s="254">
        <f t="shared" si="0"/>
        <v>0</v>
      </c>
      <c r="D27" s="295">
        <f t="shared" si="14"/>
        <v>0</v>
      </c>
      <c r="E27" s="295">
        <f t="shared" si="15"/>
        <v>1120341</v>
      </c>
      <c r="F27" s="625">
        <f t="shared" si="8"/>
        <v>161410</v>
      </c>
      <c r="G27" s="160">
        <f t="shared" si="1"/>
        <v>0</v>
      </c>
      <c r="H27" s="624">
        <f t="shared" si="9"/>
        <v>557200</v>
      </c>
      <c r="I27" s="161">
        <f t="shared" si="2"/>
        <v>0</v>
      </c>
      <c r="J27" s="625">
        <f t="shared" si="10"/>
        <v>401730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555135</v>
      </c>
      <c r="W27" s="170">
        <f>H34</f>
        <v>557200</v>
      </c>
      <c r="X27" s="172" t="s">
        <v>212</v>
      </c>
      <c r="Y27" s="172">
        <v>112</v>
      </c>
      <c r="Z27" s="172">
        <v>1</v>
      </c>
      <c r="AA27" s="323">
        <f>(W27-V27)*Z27</f>
        <v>2065</v>
      </c>
      <c r="AB27" s="323">
        <f>SUM(AA27*Y27)</f>
        <v>231280</v>
      </c>
      <c r="AC27" s="244">
        <f>AC10</f>
        <v>6200000</v>
      </c>
      <c r="AD27" s="476">
        <f>SUM(I36)</f>
        <v>0.875</v>
      </c>
    </row>
    <row r="28" spans="1:32" ht="20.100000000000001" customHeight="1">
      <c r="A28" s="163">
        <f>ELEC!C28</f>
        <v>44706</v>
      </c>
      <c r="B28" s="624">
        <f t="shared" si="7"/>
        <v>1120341</v>
      </c>
      <c r="C28" s="254">
        <f t="shared" si="0"/>
        <v>0</v>
      </c>
      <c r="D28" s="295">
        <f t="shared" si="14"/>
        <v>0</v>
      </c>
      <c r="E28" s="295">
        <f>B27+D28</f>
        <v>1120341</v>
      </c>
      <c r="F28" s="625">
        <f t="shared" si="8"/>
        <v>161410</v>
      </c>
      <c r="G28" s="160">
        <f t="shared" si="1"/>
        <v>0</v>
      </c>
      <c r="H28" s="624">
        <f t="shared" si="9"/>
        <v>557200</v>
      </c>
      <c r="I28" s="161">
        <f t="shared" si="2"/>
        <v>0</v>
      </c>
      <c r="J28" s="625">
        <f t="shared" si="10"/>
        <v>401730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44707</v>
      </c>
      <c r="B29" s="624">
        <f t="shared" si="7"/>
        <v>1120341</v>
      </c>
      <c r="C29" s="254">
        <f t="shared" si="0"/>
        <v>0</v>
      </c>
      <c r="D29" s="295">
        <f t="shared" si="14"/>
        <v>0</v>
      </c>
      <c r="E29" s="295">
        <f>B28+D29</f>
        <v>1120341</v>
      </c>
      <c r="F29" s="625">
        <f t="shared" si="8"/>
        <v>161410</v>
      </c>
      <c r="G29" s="160">
        <f t="shared" si="1"/>
        <v>0</v>
      </c>
      <c r="H29" s="624">
        <f t="shared" si="9"/>
        <v>557200</v>
      </c>
      <c r="I29" s="161">
        <f t="shared" si="2"/>
        <v>0</v>
      </c>
      <c r="J29" s="625">
        <f t="shared" si="10"/>
        <v>401730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2358</v>
      </c>
      <c r="AB29" s="323">
        <f>SUM(AB26:AB28)</f>
        <v>254720</v>
      </c>
      <c r="AC29" s="244">
        <f>SUM(AC26:AC28)</f>
        <v>7234333</v>
      </c>
    </row>
    <row r="30" spans="1:32" ht="20.100000000000001" customHeight="1">
      <c r="A30" s="163">
        <f>ELEC!C30</f>
        <v>44708</v>
      </c>
      <c r="B30" s="624">
        <f t="shared" si="7"/>
        <v>1120341</v>
      </c>
      <c r="C30" s="254">
        <f t="shared" si="0"/>
        <v>0</v>
      </c>
      <c r="D30" s="295">
        <f t="shared" si="14"/>
        <v>0</v>
      </c>
      <c r="E30" s="295">
        <f t="shared" si="15"/>
        <v>1120341</v>
      </c>
      <c r="F30" s="625">
        <f t="shared" si="8"/>
        <v>161410</v>
      </c>
      <c r="G30" s="160">
        <f t="shared" si="1"/>
        <v>0</v>
      </c>
      <c r="H30" s="624">
        <f t="shared" si="9"/>
        <v>557200</v>
      </c>
      <c r="I30" s="161">
        <f t="shared" si="2"/>
        <v>0</v>
      </c>
      <c r="J30" s="625">
        <f t="shared" si="10"/>
        <v>401730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7489053</v>
      </c>
      <c r="AC30" s="244"/>
    </row>
    <row r="31" spans="1:32" ht="20.100000000000001" customHeight="1">
      <c r="A31" s="163">
        <f>ELEC!C31</f>
        <v>44709</v>
      </c>
      <c r="B31" s="624">
        <f t="shared" si="7"/>
        <v>1120341</v>
      </c>
      <c r="C31" s="254">
        <f>SUM(B31-B30)</f>
        <v>0</v>
      </c>
      <c r="D31" s="295">
        <f t="shared" si="14"/>
        <v>0</v>
      </c>
      <c r="E31" s="295">
        <f>B30+D31</f>
        <v>1120341</v>
      </c>
      <c r="F31" s="625">
        <f t="shared" si="8"/>
        <v>161410</v>
      </c>
      <c r="G31" s="160">
        <f>F31-F30</f>
        <v>0</v>
      </c>
      <c r="H31" s="624">
        <f t="shared" si="9"/>
        <v>557200</v>
      </c>
      <c r="I31" s="161">
        <f>H31-H30</f>
        <v>0</v>
      </c>
      <c r="J31" s="625">
        <f t="shared" si="10"/>
        <v>401730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44710</v>
      </c>
      <c r="B32" s="624">
        <f t="shared" si="7"/>
        <v>1120341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1120341</v>
      </c>
      <c r="F32" s="625">
        <f t="shared" si="8"/>
        <v>161410</v>
      </c>
      <c r="G32" s="160">
        <f t="shared" ref="G32:G34" si="23">F32-F31</f>
        <v>0</v>
      </c>
      <c r="H32" s="624">
        <f t="shared" si="9"/>
        <v>557200</v>
      </c>
      <c r="I32" s="161">
        <f t="shared" ref="I32:I34" si="24">H32-H31</f>
        <v>0</v>
      </c>
      <c r="J32" s="625">
        <f t="shared" si="10"/>
        <v>401730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154.80303857058792</v>
      </c>
      <c r="P32" s="285">
        <f t="shared" ref="P32:P34" si="29">SUM(L32:O32)</f>
        <v>154.80303857058792</v>
      </c>
      <c r="Q32" s="285">
        <f>SUM(-tanks!AX34*tanks!$AU$37)</f>
        <v>0</v>
      </c>
      <c r="R32" s="285">
        <f t="shared" ref="R32:R34" si="30">SUM(P32:Q32)</f>
        <v>154.80303857058792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148</v>
      </c>
      <c r="X32" s="222">
        <f>SUM(W32/A35)</f>
        <v>16.444444444444443</v>
      </c>
      <c r="Y32" s="250">
        <f>SUM(X32/1)</f>
        <v>16.444444444444443</v>
      </c>
      <c r="Z32" s="3"/>
      <c r="AA32" s="323"/>
      <c r="AB32" s="323"/>
      <c r="AC32" s="244"/>
    </row>
    <row r="33" spans="1:32" ht="20.100000000000001" customHeight="1">
      <c r="A33" s="163">
        <f>ELEC!C33</f>
        <v>44711</v>
      </c>
      <c r="B33" s="624">
        <f t="shared" si="7"/>
        <v>1120341</v>
      </c>
      <c r="C33" s="254">
        <f t="shared" si="20"/>
        <v>0</v>
      </c>
      <c r="D33" s="295">
        <f t="shared" si="21"/>
        <v>0</v>
      </c>
      <c r="E33" s="295">
        <f t="shared" si="22"/>
        <v>1120341</v>
      </c>
      <c r="F33" s="625">
        <f t="shared" si="8"/>
        <v>161410</v>
      </c>
      <c r="G33" s="160">
        <f t="shared" si="23"/>
        <v>0</v>
      </c>
      <c r="H33" s="624">
        <f t="shared" si="9"/>
        <v>557200</v>
      </c>
      <c r="I33" s="161">
        <f t="shared" si="24"/>
        <v>0</v>
      </c>
      <c r="J33" s="625">
        <f t="shared" si="10"/>
        <v>401730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154.80303857058792</v>
      </c>
      <c r="P33" s="285">
        <f t="shared" si="29"/>
        <v>154.80303857058792</v>
      </c>
      <c r="Q33" s="285">
        <f>SUM(-tanks!AX35*tanks!$AU$37)</f>
        <v>0</v>
      </c>
      <c r="R33" s="285">
        <f t="shared" si="30"/>
        <v>154.80303857058792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823795.83</v>
      </c>
      <c r="AC33" s="244">
        <f>SUM(AC29)</f>
        <v>7234333</v>
      </c>
    </row>
    <row r="34" spans="1:32" ht="20.100000000000001" customHeight="1">
      <c r="A34" s="163">
        <f>ELEC!C34</f>
        <v>44712</v>
      </c>
      <c r="B34" s="624">
        <f>B33</f>
        <v>1120341</v>
      </c>
      <c r="C34" s="254">
        <f t="shared" si="20"/>
        <v>0</v>
      </c>
      <c r="D34" s="295">
        <f t="shared" si="21"/>
        <v>0</v>
      </c>
      <c r="E34" s="295">
        <f t="shared" si="22"/>
        <v>1120341</v>
      </c>
      <c r="F34" s="625">
        <f t="shared" si="8"/>
        <v>161410</v>
      </c>
      <c r="G34" s="160">
        <f t="shared" si="23"/>
        <v>0</v>
      </c>
      <c r="H34" s="624">
        <f t="shared" si="9"/>
        <v>557200</v>
      </c>
      <c r="I34" s="161">
        <f t="shared" si="24"/>
        <v>0</v>
      </c>
      <c r="J34" s="625">
        <f t="shared" si="10"/>
        <v>401730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154.80303857058792</v>
      </c>
      <c r="P34" s="285">
        <f t="shared" si="29"/>
        <v>154.80303857058792</v>
      </c>
      <c r="Q34" s="285">
        <f>SUM(-tanks!AX36*tanks!$AU$37)</f>
        <v>0</v>
      </c>
      <c r="R34" s="285">
        <f t="shared" si="30"/>
        <v>154.80303857058792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8312848.8300000001</v>
      </c>
      <c r="AC34" s="244">
        <f>SUM(AC30)</f>
        <v>0</v>
      </c>
    </row>
    <row r="35" spans="1:32" ht="15.75" thickBot="1">
      <c r="A35" s="501">
        <f>A37-COUNTIF(C4:C34,0)</f>
        <v>9</v>
      </c>
      <c r="C35" s="173">
        <f>SUM(C4:C34)/A35</f>
        <v>262.22222222222223</v>
      </c>
      <c r="D35" s="173"/>
      <c r="E35" s="173"/>
      <c r="F35" s="564"/>
      <c r="G35" s="564">
        <f>SUM(G4:G34)/A35</f>
        <v>0</v>
      </c>
      <c r="H35" s="173"/>
      <c r="I35" s="173">
        <f>SUM(I4:I34)/A35</f>
        <v>229.44444444444446</v>
      </c>
      <c r="K35" s="173">
        <f>SUM(K4:K34)/A35</f>
        <v>32.555555555555557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0.99915254237288131</v>
      </c>
      <c r="G36" s="225">
        <f>IF(C35&gt;0,G35/C35,0)</f>
        <v>0</v>
      </c>
      <c r="H36" s="212"/>
      <c r="I36" s="225">
        <f>SUM(I35/C35)</f>
        <v>0.875</v>
      </c>
      <c r="J36" s="212"/>
      <c r="K36" s="225">
        <f>SUM(K35/C35)</f>
        <v>0.12415254237288136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4967.862686567164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4967.862686567164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51"/>
      <c r="AC45" s="651"/>
      <c r="AD45" s="542"/>
      <c r="AE45" s="17"/>
      <c r="AF45" s="17"/>
    </row>
    <row r="46" spans="1:32">
      <c r="V46" s="651"/>
      <c r="W46" s="651"/>
      <c r="X46" s="651"/>
      <c r="Y46" s="651"/>
      <c r="Z46" s="508"/>
      <c r="AA46" s="508"/>
      <c r="AB46" s="651"/>
      <c r="AC46" s="651"/>
      <c r="AD46" s="542"/>
      <c r="AE46" s="17"/>
      <c r="AF46" s="17"/>
    </row>
    <row r="47" spans="1:32">
      <c r="V47" s="651"/>
      <c r="W47" s="651"/>
      <c r="X47" s="651"/>
      <c r="Y47" s="651"/>
      <c r="Z47" s="651"/>
      <c r="AA47" s="651"/>
      <c r="AB47" s="651"/>
      <c r="AC47" s="651"/>
      <c r="AD47" s="542"/>
      <c r="AE47" s="17"/>
      <c r="AF47" s="17"/>
    </row>
    <row r="48" spans="1:32">
      <c r="V48" s="652"/>
      <c r="W48" s="652"/>
      <c r="X48" s="653"/>
      <c r="Y48" s="653"/>
      <c r="Z48" s="653"/>
      <c r="AA48" s="509"/>
      <c r="AB48" s="651"/>
      <c r="AC48" s="651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8" activePane="bottomLeft" state="frozen"/>
      <selection pane="bottomLeft" activeCell="F26" sqref="F26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3" t="s">
        <v>193</v>
      </c>
      <c r="B1" s="674"/>
      <c r="C1" s="674"/>
      <c r="D1" s="674"/>
      <c r="E1" s="674"/>
      <c r="F1" s="674"/>
      <c r="G1" s="674"/>
      <c r="H1" s="674"/>
      <c r="I1" s="674"/>
      <c r="J1" s="674"/>
      <c r="K1" s="674"/>
      <c r="L1" s="674"/>
      <c r="M1" s="674"/>
      <c r="N1" s="674"/>
      <c r="O1" s="675"/>
    </row>
    <row r="2" spans="1:15" ht="15.75" customHeight="1" thickBot="1">
      <c r="A2" s="676"/>
      <c r="B2" s="677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77"/>
      <c r="O2" s="678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44682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44683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44684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44685</v>
      </c>
      <c r="B8" s="37">
        <v>23</v>
      </c>
      <c r="C8" s="37">
        <v>19</v>
      </c>
      <c r="D8" s="26">
        <f>(C8+B8)/2</f>
        <v>21</v>
      </c>
      <c r="E8" s="378">
        <v>0.77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44686</v>
      </c>
      <c r="B9" s="37">
        <v>22</v>
      </c>
      <c r="C9" s="37">
        <v>18</v>
      </c>
      <c r="D9" s="26">
        <f t="shared" si="0"/>
        <v>20</v>
      </c>
      <c r="E9" s="339">
        <v>0.65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44687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44688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44689</v>
      </c>
      <c r="B12" s="37">
        <v>22</v>
      </c>
      <c r="C12" s="37">
        <v>17</v>
      </c>
      <c r="D12" s="26">
        <f>(C12+B12)/2</f>
        <v>19.5</v>
      </c>
      <c r="E12" s="339">
        <v>0.61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44690</v>
      </c>
      <c r="B13" s="37">
        <v>23</v>
      </c>
      <c r="C13" s="37">
        <v>18</v>
      </c>
      <c r="D13" s="26">
        <f t="shared" ref="D13:D32" si="3">(C13+B13)/2</f>
        <v>20.5</v>
      </c>
      <c r="E13" s="378">
        <v>0.56999999999999995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44691</v>
      </c>
      <c r="B14" s="37">
        <v>23</v>
      </c>
      <c r="C14" s="37">
        <v>17</v>
      </c>
      <c r="D14" s="26">
        <f t="shared" si="3"/>
        <v>20</v>
      </c>
      <c r="E14" s="325">
        <v>0.64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44692</v>
      </c>
      <c r="B15" s="37">
        <v>23</v>
      </c>
      <c r="C15" s="37">
        <v>17</v>
      </c>
      <c r="D15" s="26">
        <f>(C15+B15)/2</f>
        <v>20</v>
      </c>
      <c r="E15" s="378">
        <v>0.75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44693</v>
      </c>
      <c r="B16" s="37">
        <v>22</v>
      </c>
      <c r="C16" s="37">
        <v>17</v>
      </c>
      <c r="D16" s="26">
        <f t="shared" si="3"/>
        <v>19.5</v>
      </c>
      <c r="E16" s="325">
        <v>0.72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44694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44695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44696</v>
      </c>
      <c r="B19" s="37">
        <v>22</v>
      </c>
      <c r="C19" s="37">
        <v>18</v>
      </c>
      <c r="D19" s="26">
        <f t="shared" si="3"/>
        <v>20</v>
      </c>
      <c r="E19" s="325">
        <v>0.77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44697</v>
      </c>
      <c r="B20" s="37">
        <v>22</v>
      </c>
      <c r="C20" s="37">
        <v>18</v>
      </c>
      <c r="D20" s="26">
        <f>(C20+B20)/2</f>
        <v>20</v>
      </c>
      <c r="E20" s="325">
        <v>0.7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44698</v>
      </c>
      <c r="B21" s="37">
        <v>23</v>
      </c>
      <c r="C21" s="37">
        <v>18</v>
      </c>
      <c r="D21" s="26">
        <f t="shared" si="3"/>
        <v>20.5</v>
      </c>
      <c r="E21" s="325">
        <v>0.81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44699</v>
      </c>
      <c r="B22" s="37">
        <v>23</v>
      </c>
      <c r="C22" s="37">
        <v>17</v>
      </c>
      <c r="D22" s="26">
        <f>(C22+B22)/2</f>
        <v>20</v>
      </c>
      <c r="E22" s="325">
        <v>0.8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44700</v>
      </c>
      <c r="B23" s="37">
        <v>24</v>
      </c>
      <c r="C23" s="37">
        <v>19</v>
      </c>
      <c r="D23" s="26">
        <f>(C23+B23)/2</f>
        <v>21.5</v>
      </c>
      <c r="E23" s="378">
        <v>0.83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44701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44702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44703</v>
      </c>
      <c r="B26" s="37">
        <v>24</v>
      </c>
      <c r="C26" s="37">
        <v>21</v>
      </c>
      <c r="D26" s="26">
        <f t="shared" si="3"/>
        <v>22.5</v>
      </c>
      <c r="E26" s="378">
        <v>0.7</v>
      </c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44704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44705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44706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44707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44708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44709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44710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44711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44712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29.444444444444443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0</v>
      </c>
      <c r="G2" s="3">
        <f>WATER!C5+WATER!H5</f>
        <v>0</v>
      </c>
      <c r="H2" s="3">
        <f>WATER!L5</f>
        <v>0</v>
      </c>
      <c r="I2" s="15">
        <f>WATER!BC5+WATER!BD5+WATER!BE6-Sheet1!G2</f>
        <v>0</v>
      </c>
      <c r="J2" s="9">
        <f>'B5'!A4</f>
        <v>44681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44682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6202</v>
      </c>
      <c r="D4" s="3">
        <f t="shared" si="0"/>
        <v>183.9999999999709</v>
      </c>
      <c r="E4" s="3">
        <f>ELEC!Q6</f>
        <v>6018.0000000000291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44683</v>
      </c>
    </row>
    <row r="5" spans="1:10">
      <c r="A5" s="3">
        <f>ELEC!T7+ELEC!X7+ELEC!AB7</f>
        <v>0</v>
      </c>
      <c r="B5" s="3">
        <f>ELEC!AF7</f>
        <v>11</v>
      </c>
      <c r="C5" s="3">
        <f>ELEC!N7</f>
        <v>4288</v>
      </c>
      <c r="D5" s="3">
        <f t="shared" si="0"/>
        <v>314.00000000165892</v>
      </c>
      <c r="E5" s="3">
        <f>ELEC!Q7</f>
        <v>3973.9999999983411</v>
      </c>
      <c r="F5" s="3">
        <f>GEN!Z5</f>
        <v>15</v>
      </c>
      <c r="G5" s="3">
        <f>WATER!C8+WATER!H8</f>
        <v>0</v>
      </c>
      <c r="H5" s="3">
        <f>WATER!L8</f>
        <v>0</v>
      </c>
      <c r="I5" s="15">
        <f>WATER!BC8+WATER!BD8+WATER!BE9-Sheet1!G5</f>
        <v>44.899999999999949</v>
      </c>
      <c r="J5" s="9">
        <f>'B5'!A7</f>
        <v>44684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3111</v>
      </c>
      <c r="D6" s="3">
        <f t="shared" si="0"/>
        <v>-584.00000000334694</v>
      </c>
      <c r="E6" s="3">
        <f>ELEC!Q25</f>
        <v>3695.0000000033469</v>
      </c>
      <c r="F6" s="3">
        <f>GEN!Z6</f>
        <v>11</v>
      </c>
      <c r="G6" s="3">
        <f>WATER!C9+WATER!H9</f>
        <v>0</v>
      </c>
      <c r="H6" s="3">
        <f>WATER!L9</f>
        <v>9</v>
      </c>
      <c r="I6" s="15">
        <f>WATER!BC9+WATER!BD9+WATER!BE10-Sheet1!G6</f>
        <v>-40.600000000000037</v>
      </c>
      <c r="J6" s="9">
        <f>'B5'!A8</f>
        <v>44685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10</v>
      </c>
      <c r="G7" s="3">
        <f>WATER!C10+WATER!H10</f>
        <v>103</v>
      </c>
      <c r="H7" s="3">
        <f>WATER!L10</f>
        <v>0</v>
      </c>
      <c r="I7" s="15">
        <f>WATER!BC10+WATER!BD10+WATER!BE11-Sheet1!G7</f>
        <v>-112</v>
      </c>
      <c r="J7" s="9">
        <f>'B5'!A9</f>
        <v>44686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44687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3135</v>
      </c>
      <c r="D9" s="3">
        <f t="shared" si="0"/>
        <v>155.00000000043656</v>
      </c>
      <c r="E9" s="3">
        <f>ELEC!Q11</f>
        <v>2979.9999999995634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-9.7999999999999829</v>
      </c>
      <c r="J9" s="9">
        <f>'B5'!A11</f>
        <v>44688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3445</v>
      </c>
      <c r="D10" s="3">
        <f t="shared" si="0"/>
        <v>311.00000000180444</v>
      </c>
      <c r="E10" s="3">
        <f>ELEC!Q12</f>
        <v>3133.9999999981956</v>
      </c>
      <c r="F10" s="3">
        <f>GEN!Z10</f>
        <v>9</v>
      </c>
      <c r="G10" s="3">
        <f>WATER!C13+WATER!H13</f>
        <v>0</v>
      </c>
      <c r="H10" s="3">
        <f>WATER!L13</f>
        <v>0</v>
      </c>
      <c r="I10" s="15">
        <f>WATER!BC13+WATER!BD13+WATER!BE14-Sheet1!G10</f>
        <v>36.499999999999986</v>
      </c>
      <c r="J10" s="9">
        <f>'B5'!A12</f>
        <v>44689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3157</v>
      </c>
      <c r="D11" s="3">
        <f t="shared" si="0"/>
        <v>288.99999999778811</v>
      </c>
      <c r="E11" s="3">
        <f>ELEC!Q13</f>
        <v>2868.0000000022119</v>
      </c>
      <c r="F11" s="3">
        <f>GEN!Z11</f>
        <v>11</v>
      </c>
      <c r="G11" s="3">
        <f>WATER!C14+WATER!H14</f>
        <v>0</v>
      </c>
      <c r="H11" s="3">
        <f>WATER!L14</f>
        <v>6</v>
      </c>
      <c r="I11" s="15">
        <f>WATER!BC14+WATER!BD14+WATER!BE15-Sheet1!G11</f>
        <v>66.900000000000048</v>
      </c>
      <c r="J11" s="9">
        <f>'B5'!A13</f>
        <v>44690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3105</v>
      </c>
      <c r="D12" s="3">
        <f t="shared" si="0"/>
        <v>103.99999999979627</v>
      </c>
      <c r="E12" s="3">
        <f>ELEC!Q14</f>
        <v>3001.0000000002037</v>
      </c>
      <c r="F12" s="3">
        <f>GEN!Z12</f>
        <v>11</v>
      </c>
      <c r="G12" s="3">
        <f>WATER!C15+WATER!H15</f>
        <v>127</v>
      </c>
      <c r="H12" s="3">
        <f>WATER!L15</f>
        <v>0</v>
      </c>
      <c r="I12" s="15">
        <f>WATER!BC15+WATER!BD15+WATER!BE16-Sheet1!G12</f>
        <v>-107.89999999999996</v>
      </c>
      <c r="J12" s="9">
        <f>'B5'!A14</f>
        <v>44691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2743</v>
      </c>
      <c r="D13" s="3">
        <f t="shared" si="0"/>
        <v>137.00000000023283</v>
      </c>
      <c r="E13" s="3">
        <f>ELEC!Q15</f>
        <v>2605.9999999997672</v>
      </c>
      <c r="F13" s="3">
        <f>GEN!Z13</f>
        <v>11</v>
      </c>
      <c r="G13" s="3">
        <f>WATER!C16+WATER!H16</f>
        <v>68</v>
      </c>
      <c r="H13" s="3">
        <f>WATER!L16</f>
        <v>1</v>
      </c>
      <c r="I13" s="15">
        <f>WATER!BC16+WATER!BD16+WATER!BE17-Sheet1!G13</f>
        <v>-81.800000000000026</v>
      </c>
      <c r="J13" s="9">
        <f>'B5'!A15</f>
        <v>44692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9</v>
      </c>
      <c r="G14" s="3">
        <f>WATER!C17+WATER!H17</f>
        <v>0</v>
      </c>
      <c r="H14" s="3">
        <f>WATER!L17</f>
        <v>0</v>
      </c>
      <c r="I14" s="15">
        <f>WATER!BC17+WATER!BD17+WATER!BE18-Sheet1!G14</f>
        <v>-6.9000000000000057</v>
      </c>
      <c r="J14" s="9">
        <f>'B5'!A16</f>
        <v>44693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44694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2817</v>
      </c>
      <c r="D16" s="3">
        <f t="shared" si="0"/>
        <v>233.00000000107684</v>
      </c>
      <c r="E16" s="3">
        <f>ELEC!Q18</f>
        <v>2583.9999999989232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5.4000000000000057</v>
      </c>
      <c r="J16" s="9">
        <f>'B5'!A18</f>
        <v>44695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2812</v>
      </c>
      <c r="D17" s="3">
        <f t="shared" si="0"/>
        <v>353.00000000107684</v>
      </c>
      <c r="E17" s="3">
        <f>ELEC!Q19</f>
        <v>2458.9999999989232</v>
      </c>
      <c r="F17" s="3">
        <f>GEN!Z17</f>
        <v>10</v>
      </c>
      <c r="G17" s="3">
        <f>WATER!C20+WATER!H20</f>
        <v>89</v>
      </c>
      <c r="H17" s="3">
        <f>WATER!L20</f>
        <v>0</v>
      </c>
      <c r="I17" s="15">
        <f>WATER!BC20+WATER!BD20+WATER!BE21-Sheet1!G17</f>
        <v>-107.20000000000003</v>
      </c>
      <c r="J17" s="9">
        <f>'B5'!A19</f>
        <v>44696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3010</v>
      </c>
      <c r="D18" s="3">
        <f t="shared" si="0"/>
        <v>337.9999999977008</v>
      </c>
      <c r="E18" s="3">
        <f>ELEC!Q20</f>
        <v>2672.0000000022992</v>
      </c>
      <c r="F18" s="3">
        <f>GEN!Z18</f>
        <v>8</v>
      </c>
      <c r="G18" s="3">
        <f>WATER!C21+WATER!H21</f>
        <v>0</v>
      </c>
      <c r="H18" s="3">
        <f>WATER!L21</f>
        <v>0</v>
      </c>
      <c r="I18" s="15">
        <f>WATER!BC21+WATER!BD21+WATER!BE22-Sheet1!G18</f>
        <v>-11.700000000000003</v>
      </c>
      <c r="J18" s="9">
        <f>'B5'!A20</f>
        <v>44697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3148</v>
      </c>
      <c r="D19" s="3">
        <f t="shared" si="0"/>
        <v>153.00000000101863</v>
      </c>
      <c r="E19" s="3">
        <f>ELEC!Q21</f>
        <v>2994.9999999989814</v>
      </c>
      <c r="F19" s="3">
        <f>GEN!Z19</f>
        <v>10</v>
      </c>
      <c r="G19" s="3">
        <f>WATER!C22+WATER!H22</f>
        <v>0</v>
      </c>
      <c r="H19" s="3">
        <f>WATER!L22</f>
        <v>0</v>
      </c>
      <c r="I19" s="15">
        <f>WATER!BC22+WATER!BD22+WATER!BE23-Sheet1!G19</f>
        <v>-45.899999999999977</v>
      </c>
      <c r="J19" s="9">
        <f>'B5'!A21</f>
        <v>44698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3248</v>
      </c>
      <c r="D20" s="3">
        <f t="shared" si="0"/>
        <v>222.00000000197906</v>
      </c>
      <c r="E20" s="3">
        <f>ELEC!Q22</f>
        <v>3025.9999999980209</v>
      </c>
      <c r="F20" s="3">
        <f>GEN!Z20</f>
        <v>10</v>
      </c>
      <c r="G20" s="3">
        <f>WATER!C23+WATER!H23</f>
        <v>0</v>
      </c>
      <c r="H20" s="3">
        <f>WATER!L23</f>
        <v>0</v>
      </c>
      <c r="I20" s="15">
        <f>WATER!BC23+WATER!BD23+WATER!BE24-Sheet1!G20</f>
        <v>218.40000000000003</v>
      </c>
      <c r="J20" s="9">
        <f>'B5'!A22</f>
        <v>44699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11</v>
      </c>
      <c r="G21" s="3">
        <f>WATER!C24+WATER!H24</f>
        <v>0</v>
      </c>
      <c r="H21" s="3">
        <f>WATER!L24</f>
        <v>0</v>
      </c>
      <c r="I21" s="15">
        <f>WATER!BC24+WATER!BD24+WATER!BE25-Sheet1!G21</f>
        <v>-10.899999999999991</v>
      </c>
      <c r="J21" s="9">
        <f>'B5'!A23</f>
        <v>44700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44701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3609</v>
      </c>
      <c r="D23" s="3">
        <f t="shared" si="0"/>
        <v>-86.000000003346941</v>
      </c>
      <c r="E23" s="3">
        <f>ELEC!Q25</f>
        <v>3695.0000000033469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44.899999999999991</v>
      </c>
      <c r="J23" s="9">
        <f>'B5'!A25</f>
        <v>44702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12</v>
      </c>
      <c r="G24" s="3">
        <f>WATER!C27+WATER!H27</f>
        <v>244</v>
      </c>
      <c r="H24" s="3">
        <f>WATER!L27</f>
        <v>0</v>
      </c>
      <c r="I24" s="15">
        <f>WATER!BC27+WATER!BD27+WATER!BE28-Sheet1!G24</f>
        <v>-239.60000000000002</v>
      </c>
      <c r="J24" s="9">
        <f>'B5'!A26</f>
        <v>44703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44704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44705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44706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44707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44708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44709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2"/>
      <c r="B1" s="679" t="s">
        <v>119</v>
      </c>
      <c r="C1" s="679" t="s">
        <v>118</v>
      </c>
      <c r="D1" s="684" t="s">
        <v>113</v>
      </c>
      <c r="E1" s="684" t="s">
        <v>114</v>
      </c>
      <c r="F1" s="685" t="s">
        <v>120</v>
      </c>
      <c r="G1" s="686" t="s">
        <v>75</v>
      </c>
      <c r="H1" s="687" t="s">
        <v>115</v>
      </c>
      <c r="I1" s="688" t="s">
        <v>116</v>
      </c>
      <c r="J1" s="687" t="s">
        <v>117</v>
      </c>
      <c r="K1" s="681" t="s">
        <v>121</v>
      </c>
      <c r="L1" s="681" t="s">
        <v>122</v>
      </c>
      <c r="M1" s="681" t="s">
        <v>123</v>
      </c>
      <c r="N1" s="681" t="s">
        <v>124</v>
      </c>
    </row>
    <row r="2" spans="1:14">
      <c r="A2" s="683"/>
      <c r="B2" s="680"/>
      <c r="C2" s="680"/>
      <c r="D2" s="684"/>
      <c r="E2" s="684"/>
      <c r="F2" s="685"/>
      <c r="G2" s="686"/>
      <c r="H2" s="687"/>
      <c r="I2" s="689"/>
      <c r="J2" s="687"/>
      <c r="K2" s="681"/>
      <c r="L2" s="681"/>
      <c r="M2" s="681"/>
      <c r="N2" s="681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44682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0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44683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44684</v>
      </c>
      <c r="B7" s="76">
        <f>'B5'!V7</f>
        <v>289</v>
      </c>
      <c r="C7" s="76">
        <f>'B5'!AH7</f>
        <v>0</v>
      </c>
      <c r="D7" s="76">
        <f>GEN!AI5</f>
        <v>1548.9367088607671</v>
      </c>
      <c r="E7" s="239">
        <f t="shared" si="0"/>
        <v>1837.9367088607671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6018.0000000000291</v>
      </c>
      <c r="J7" s="79">
        <f>ELEC!R6</f>
        <v>183.9999999999709</v>
      </c>
      <c r="K7" s="3"/>
      <c r="L7" s="3"/>
      <c r="M7" s="3"/>
      <c r="N7" s="3"/>
    </row>
    <row r="8" spans="1:14">
      <c r="A8" s="63">
        <f>'B5'!A8</f>
        <v>44685</v>
      </c>
      <c r="B8" s="76">
        <f>'B5'!V8</f>
        <v>305</v>
      </c>
      <c r="C8" s="76">
        <f>'B5'!AH8</f>
        <v>0</v>
      </c>
      <c r="D8" s="76">
        <f>GEN!AI6</f>
        <v>1022.8438818561132</v>
      </c>
      <c r="E8" s="239">
        <f t="shared" si="0"/>
        <v>1327.8438818561131</v>
      </c>
      <c r="F8" s="75">
        <f>WATER!L8</f>
        <v>0</v>
      </c>
      <c r="G8" s="78">
        <f>WATER!BG8</f>
        <v>0</v>
      </c>
      <c r="H8" s="79">
        <f>ELEC!AF7</f>
        <v>11</v>
      </c>
      <c r="I8" s="79">
        <f>ELEC!Q7</f>
        <v>3973.9999999983411</v>
      </c>
      <c r="J8" s="79">
        <f>ELEC!R7</f>
        <v>314.00000000165892</v>
      </c>
      <c r="K8" s="3"/>
      <c r="L8" s="3"/>
      <c r="M8" s="3"/>
      <c r="N8" s="3"/>
    </row>
    <row r="9" spans="1:14">
      <c r="A9" s="63">
        <f>'B5'!A9</f>
        <v>44686</v>
      </c>
      <c r="B9" s="76">
        <f>'B5'!V9</f>
        <v>44</v>
      </c>
      <c r="C9" s="76">
        <f>'B5'!AH9</f>
        <v>0</v>
      </c>
      <c r="D9" s="76">
        <f>GEN!AI7</f>
        <v>746.41350211007921</v>
      </c>
      <c r="E9" s="239">
        <f t="shared" si="0"/>
        <v>790.41350211007921</v>
      </c>
      <c r="F9" s="75">
        <f>WATER!L9</f>
        <v>9</v>
      </c>
      <c r="G9" s="78">
        <f>WATER!BG9</f>
        <v>44.899999999999949</v>
      </c>
      <c r="H9" s="79">
        <f>ELEC!AF8</f>
        <v>0</v>
      </c>
      <c r="I9" s="79">
        <f>ELEC!Q8</f>
        <v>2900.0000000014552</v>
      </c>
      <c r="J9" s="79">
        <f>ELEC!R8</f>
        <v>210.99999999854481</v>
      </c>
      <c r="K9" s="3"/>
      <c r="L9" s="3"/>
      <c r="M9" s="3"/>
      <c r="N9" s="3"/>
    </row>
    <row r="10" spans="1:14">
      <c r="A10" s="63">
        <f>'B5'!A10</f>
        <v>44687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-19.799999999999983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44688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44689</v>
      </c>
      <c r="B12" s="76">
        <f>'B5'!V12</f>
        <v>186</v>
      </c>
      <c r="C12" s="76">
        <f>'B5'!AH12</f>
        <v>73</v>
      </c>
      <c r="D12" s="76">
        <f>GEN!AI10</f>
        <v>767.00421940917045</v>
      </c>
      <c r="E12" s="239">
        <f t="shared" si="0"/>
        <v>1026.0042194091704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2979.9999999995634</v>
      </c>
      <c r="J12" s="79">
        <f>ELEC!R11</f>
        <v>155.00000000043656</v>
      </c>
      <c r="K12" s="3"/>
      <c r="L12" s="3"/>
      <c r="M12" s="3"/>
      <c r="N12" s="3"/>
    </row>
    <row r="13" spans="1:14">
      <c r="A13" s="63">
        <f>'B5'!A13</f>
        <v>44690</v>
      </c>
      <c r="B13" s="76">
        <f>'B5'!V13</f>
        <v>101</v>
      </c>
      <c r="C13" s="76">
        <f>'B5'!AH13</f>
        <v>0</v>
      </c>
      <c r="D13" s="76">
        <f>GEN!AI11</f>
        <v>806.64135021050606</v>
      </c>
      <c r="E13" s="239">
        <f t="shared" si="0"/>
        <v>907.64135021050606</v>
      </c>
      <c r="F13" s="75">
        <f>WATER!L13</f>
        <v>0</v>
      </c>
      <c r="G13" s="78">
        <f>WATER!BG13</f>
        <v>-9.7999999999999829</v>
      </c>
      <c r="H13" s="79">
        <f>ELEC!AF12</f>
        <v>0</v>
      </c>
      <c r="I13" s="79">
        <f>ELEC!Q12</f>
        <v>3133.9999999981956</v>
      </c>
      <c r="J13" s="79">
        <f>ELEC!R12</f>
        <v>311.00000000180444</v>
      </c>
      <c r="K13" s="3"/>
      <c r="L13" s="3"/>
      <c r="M13" s="3"/>
      <c r="N13" s="3"/>
    </row>
    <row r="14" spans="1:14">
      <c r="A14" s="63">
        <f>'B5'!A14</f>
        <v>44691</v>
      </c>
      <c r="B14" s="76">
        <f>'B5'!V14</f>
        <v>45</v>
      </c>
      <c r="C14" s="76">
        <f>'B5'!AH14</f>
        <v>0</v>
      </c>
      <c r="D14" s="76">
        <f>GEN!AI12</f>
        <v>738.17721519044278</v>
      </c>
      <c r="E14" s="239">
        <f t="shared" si="0"/>
        <v>783.17721519044278</v>
      </c>
      <c r="F14" s="75">
        <f>WATER!L14</f>
        <v>6</v>
      </c>
      <c r="G14" s="78">
        <f>WATER!BG14</f>
        <v>46.299999999999969</v>
      </c>
      <c r="H14" s="79">
        <f>ELEC!AF13</f>
        <v>0</v>
      </c>
      <c r="I14" s="79">
        <f>ELEC!Q13</f>
        <v>2868.0000000022119</v>
      </c>
      <c r="J14" s="79">
        <f>ELEC!R13</f>
        <v>288.99999999778811</v>
      </c>
      <c r="K14" s="3"/>
      <c r="L14" s="3"/>
      <c r="M14" s="3"/>
      <c r="N14" s="3"/>
    </row>
    <row r="15" spans="1:14">
      <c r="A15" s="63">
        <f>'B5'!A15</f>
        <v>44692</v>
      </c>
      <c r="B15" s="76">
        <f>'B5'!V15</f>
        <v>192</v>
      </c>
      <c r="C15" s="76">
        <f>'B5'!AH15</f>
        <v>0</v>
      </c>
      <c r="D15" s="76">
        <f>GEN!AI13</f>
        <v>772.40928270047448</v>
      </c>
      <c r="E15" s="239">
        <f t="shared" si="0"/>
        <v>964.40928270047448</v>
      </c>
      <c r="F15" s="75">
        <f>WATER!L15</f>
        <v>0</v>
      </c>
      <c r="G15" s="78">
        <f>WATER!BG15</f>
        <v>-16.299999999999955</v>
      </c>
      <c r="H15" s="79">
        <f>ELEC!AF14</f>
        <v>0</v>
      </c>
      <c r="I15" s="79">
        <f>ELEC!Q14</f>
        <v>3001.0000000002037</v>
      </c>
      <c r="J15" s="79">
        <f>ELEC!R14</f>
        <v>103.99999999979627</v>
      </c>
      <c r="K15" s="3"/>
      <c r="L15" s="3"/>
      <c r="M15" s="3"/>
      <c r="N15" s="3"/>
    </row>
    <row r="16" spans="1:14">
      <c r="A16" s="63">
        <f>'B5'!A16</f>
        <v>44693</v>
      </c>
      <c r="B16" s="76">
        <f>'B5'!V16</f>
        <v>41</v>
      </c>
      <c r="C16" s="76">
        <f>'B5'!AH16</f>
        <v>90</v>
      </c>
      <c r="D16" s="76">
        <f>GEN!AI14</f>
        <v>670.74261603369541</v>
      </c>
      <c r="E16" s="239">
        <f t="shared" si="0"/>
        <v>801.74261603369541</v>
      </c>
      <c r="F16" s="75">
        <f>WATER!L16</f>
        <v>1</v>
      </c>
      <c r="G16" s="78">
        <f>WATER!BG16</f>
        <v>28.199999999999989</v>
      </c>
      <c r="H16" s="79">
        <f>ELEC!AF15</f>
        <v>0</v>
      </c>
      <c r="I16" s="79">
        <f>ELEC!Q15</f>
        <v>2605.9999999997672</v>
      </c>
      <c r="J16" s="79">
        <f>ELEC!R15</f>
        <v>137.00000000023283</v>
      </c>
      <c r="K16" s="3"/>
      <c r="L16" s="3"/>
      <c r="M16" s="3"/>
      <c r="N16" s="3"/>
    </row>
    <row r="17" spans="1:14">
      <c r="A17" s="63">
        <f>'B5'!A17</f>
        <v>44694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-6.9000000000000057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44695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44696</v>
      </c>
      <c r="B19" s="76">
        <f>'B5'!V19</f>
        <v>157</v>
      </c>
      <c r="C19" s="76">
        <f>'B5'!AH19</f>
        <v>0</v>
      </c>
      <c r="D19" s="76">
        <f>GEN!AI17</f>
        <v>665.08016877609418</v>
      </c>
      <c r="E19" s="239">
        <f t="shared" si="0"/>
        <v>822.08016877609418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2583.9999999989232</v>
      </c>
      <c r="J19" s="79">
        <f>ELEC!R18</f>
        <v>233.00000000107684</v>
      </c>
      <c r="K19" s="3"/>
      <c r="L19" s="3"/>
      <c r="M19" s="3"/>
      <c r="N19" s="3"/>
    </row>
    <row r="20" spans="1:14">
      <c r="A20" s="63">
        <f>'B5'!A20</f>
        <v>44697</v>
      </c>
      <c r="B20" s="76">
        <f>'B5'!V20</f>
        <v>113</v>
      </c>
      <c r="C20" s="76">
        <f>'B5'!AH20</f>
        <v>0</v>
      </c>
      <c r="D20" s="76">
        <f>GEN!AI18</f>
        <v>632.90717299550352</v>
      </c>
      <c r="E20" s="239">
        <f t="shared" si="0"/>
        <v>745.90717299550352</v>
      </c>
      <c r="F20" s="75">
        <f>WATER!L20</f>
        <v>0</v>
      </c>
      <c r="G20" s="78">
        <f>WATER!BG20</f>
        <v>5.4000000000000057</v>
      </c>
      <c r="H20" s="79">
        <f>ELEC!AF19</f>
        <v>0</v>
      </c>
      <c r="I20" s="79">
        <f>ELEC!Q19</f>
        <v>2458.9999999989232</v>
      </c>
      <c r="J20" s="79">
        <f>ELEC!R19</f>
        <v>353.00000000107684</v>
      </c>
      <c r="K20" s="3"/>
      <c r="L20" s="3"/>
      <c r="M20" s="3"/>
      <c r="N20" s="3"/>
    </row>
    <row r="21" spans="1:14">
      <c r="A21" s="63">
        <f>'B5'!A21</f>
        <v>44698</v>
      </c>
      <c r="B21" s="76">
        <f>'B5'!V21</f>
        <v>102</v>
      </c>
      <c r="C21" s="76">
        <f>'B5'!AH21</f>
        <v>24</v>
      </c>
      <c r="D21" s="76">
        <f>GEN!AI19</f>
        <v>687.72995780649899</v>
      </c>
      <c r="E21" s="239">
        <f t="shared" si="0"/>
        <v>813.72995780649899</v>
      </c>
      <c r="F21" s="75">
        <f>WATER!L21</f>
        <v>0</v>
      </c>
      <c r="G21" s="78">
        <f>WATER!BG21</f>
        <v>24.999999999999957</v>
      </c>
      <c r="H21" s="79">
        <f>ELEC!AF20</f>
        <v>0</v>
      </c>
      <c r="I21" s="79">
        <f>ELEC!Q20</f>
        <v>2672.0000000022992</v>
      </c>
      <c r="J21" s="79">
        <f>ELEC!R20</f>
        <v>337.9999999977008</v>
      </c>
      <c r="K21" s="3"/>
      <c r="L21" s="3"/>
      <c r="M21" s="3"/>
      <c r="N21" s="3"/>
    </row>
    <row r="22" spans="1:14">
      <c r="A22" s="63">
        <f>'B5'!A22</f>
        <v>44699</v>
      </c>
      <c r="B22" s="76">
        <f>'B5'!V22</f>
        <v>110</v>
      </c>
      <c r="C22" s="76">
        <f>'B5'!AH22</f>
        <v>103</v>
      </c>
      <c r="D22" s="76">
        <f>GEN!AI20</f>
        <v>770.86497890269152</v>
      </c>
      <c r="E22" s="239">
        <f t="shared" si="0"/>
        <v>983.86497890269152</v>
      </c>
      <c r="F22" s="75">
        <f>WATER!L22</f>
        <v>0</v>
      </c>
      <c r="G22" s="78">
        <f>WATER!BG22</f>
        <v>-36.69999999999996</v>
      </c>
      <c r="H22" s="79">
        <f>ELEC!AF21</f>
        <v>0</v>
      </c>
      <c r="I22" s="79">
        <f>ELEC!Q21</f>
        <v>2994.9999999989814</v>
      </c>
      <c r="J22" s="79">
        <f>ELEC!R21</f>
        <v>153.00000000101863</v>
      </c>
      <c r="K22" s="3"/>
      <c r="L22" s="3"/>
      <c r="M22" s="3"/>
      <c r="N22" s="3"/>
    </row>
    <row r="23" spans="1:14">
      <c r="A23" s="63">
        <f>'B5'!A23</f>
        <v>44700</v>
      </c>
      <c r="B23" s="76">
        <f>'B5'!V23</f>
        <v>61</v>
      </c>
      <c r="C23" s="76">
        <f>'B5'!AH23</f>
        <v>0</v>
      </c>
      <c r="D23" s="76">
        <f>GEN!AI21</f>
        <v>778.84388185603075</v>
      </c>
      <c r="E23" s="239">
        <f t="shared" si="0"/>
        <v>839.84388185603075</v>
      </c>
      <c r="F23" s="75">
        <f>WATER!L23</f>
        <v>0</v>
      </c>
      <c r="G23" s="78">
        <f>WATER!BG23</f>
        <v>-35.300000000000011</v>
      </c>
      <c r="H23" s="79">
        <f>ELEC!AF22</f>
        <v>0</v>
      </c>
      <c r="I23" s="79">
        <f>ELEC!Q22</f>
        <v>3025.9999999980209</v>
      </c>
      <c r="J23" s="79">
        <f>ELEC!R22</f>
        <v>222.00000000197906</v>
      </c>
      <c r="K23" s="3"/>
      <c r="L23" s="3"/>
      <c r="M23" s="3"/>
      <c r="N23" s="3"/>
    </row>
    <row r="24" spans="1:14">
      <c r="A24" s="63">
        <f>'B5'!A24</f>
        <v>44701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104.30000000000001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44702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44703</v>
      </c>
      <c r="B26" s="76">
        <f>'B5'!V26</f>
        <v>136</v>
      </c>
      <c r="C26" s="76">
        <f>'B5'!AH26</f>
        <v>0</v>
      </c>
      <c r="D26" s="76">
        <f>GEN!AI24</f>
        <v>951.0337552751231</v>
      </c>
      <c r="E26" s="239">
        <f t="shared" si="0"/>
        <v>1087.033755275123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3695.0000000033469</v>
      </c>
      <c r="J26" s="79">
        <f>ELEC!R25</f>
        <v>-86.000000003346941</v>
      </c>
      <c r="K26" s="3"/>
      <c r="L26" s="3"/>
      <c r="M26" s="3"/>
      <c r="N26" s="3"/>
    </row>
    <row r="27" spans="1:14">
      <c r="A27" s="63">
        <f>'B5'!A27</f>
        <v>44704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44.899999999999977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44705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44706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44707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44708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44709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90" t="s">
        <v>151</v>
      </c>
      <c r="U3" s="690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1</v>
      </c>
      <c r="G17">
        <f t="shared" si="1"/>
        <v>107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2</v>
      </c>
      <c r="G23">
        <f t="shared" si="1"/>
        <v>214</v>
      </c>
    </row>
    <row r="24" spans="3:7">
      <c r="C24" s="99">
        <v>42448</v>
      </c>
      <c r="D24">
        <f>'B5'!AL23</f>
        <v>1</v>
      </c>
      <c r="E24">
        <f t="shared" si="0"/>
        <v>90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1</v>
      </c>
      <c r="E27">
        <f t="shared" si="0"/>
        <v>90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L52" sqref="L52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1" t="s">
        <v>51</v>
      </c>
      <c r="B1" s="703" t="s">
        <v>316</v>
      </c>
      <c r="C1" s="704"/>
      <c r="D1" s="706"/>
      <c r="E1" s="703" t="s">
        <v>317</v>
      </c>
      <c r="F1" s="704"/>
      <c r="G1" s="705"/>
      <c r="H1" s="700" t="s">
        <v>321</v>
      </c>
      <c r="I1" s="697" t="s">
        <v>322</v>
      </c>
      <c r="J1" s="694" t="s">
        <v>43</v>
      </c>
    </row>
    <row r="2" spans="1:18" ht="38.25" thickBot="1">
      <c r="A2" s="692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1"/>
      <c r="I2" s="698"/>
      <c r="J2" s="695"/>
    </row>
    <row r="3" spans="1:18" ht="24" customHeight="1" thickBot="1">
      <c r="A3" s="693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2"/>
      <c r="I3" s="699"/>
      <c r="J3" s="696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9">
        <f>'[2]Swimming Pool quality check '!$A$35</f>
        <v>44681</v>
      </c>
      <c r="B5" s="620">
        <f>'[2]Swimming Pool quality check '!B35</f>
        <v>0</v>
      </c>
      <c r="C5" s="620">
        <f>'[2]Swimming Pool quality check '!C35</f>
        <v>0</v>
      </c>
      <c r="D5" s="620">
        <f>'[2]Swimming Pool quality check '!D35</f>
        <v>0</v>
      </c>
      <c r="E5" s="620">
        <f>'[2]Swimming Pool quality check '!E35</f>
        <v>0</v>
      </c>
      <c r="F5" s="620">
        <f>'[2]Swimming Pool quality check '!F35</f>
        <v>0</v>
      </c>
      <c r="G5" s="620">
        <f>'[2]Swimming Pool quality check '!G35</f>
        <v>0</v>
      </c>
      <c r="H5" s="620">
        <f>'[2]Swimming Pool quality check '!H35</f>
        <v>7073</v>
      </c>
      <c r="I5" s="621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44681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1">
        <f>ELEC!C4</f>
        <v>44682</v>
      </c>
      <c r="B6" s="609"/>
      <c r="C6" s="461"/>
      <c r="D6" s="610"/>
      <c r="E6" s="610"/>
      <c r="F6" s="610"/>
      <c r="G6" s="605"/>
      <c r="H6" s="609">
        <f>H5</f>
        <v>7073</v>
      </c>
      <c r="I6" s="618">
        <f>H6-H5</f>
        <v>0</v>
      </c>
      <c r="J6" s="597">
        <v>0.29166666666666669</v>
      </c>
      <c r="L6" s="99">
        <f t="shared" ref="L6:L33" si="0">A6</f>
        <v>44682</v>
      </c>
      <c r="M6" s="3">
        <f>M5</f>
        <v>6541</v>
      </c>
      <c r="N6" s="477"/>
      <c r="O6" s="477">
        <f>M6+N6</f>
        <v>6541</v>
      </c>
    </row>
    <row r="7" spans="1:18">
      <c r="A7" s="612">
        <f>ELEC!C5</f>
        <v>44683</v>
      </c>
      <c r="B7" s="246"/>
      <c r="C7" s="603"/>
      <c r="D7" s="170"/>
      <c r="E7" s="170"/>
      <c r="F7" s="170"/>
      <c r="G7" s="606"/>
      <c r="H7" s="609">
        <f t="shared" ref="H7:H36" si="1">H6</f>
        <v>7073</v>
      </c>
      <c r="I7" s="477">
        <f>H7-H6</f>
        <v>0</v>
      </c>
      <c r="J7" s="462">
        <v>0.29166666666666669</v>
      </c>
      <c r="L7" s="99">
        <f t="shared" si="0"/>
        <v>44683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2">
        <f>ELEC!C6</f>
        <v>44684</v>
      </c>
      <c r="B8" s="608"/>
      <c r="C8" s="461"/>
      <c r="D8" s="461"/>
      <c r="E8" s="461"/>
      <c r="F8" s="461"/>
      <c r="G8" s="614"/>
      <c r="H8" s="609">
        <f t="shared" si="1"/>
        <v>7073</v>
      </c>
      <c r="I8" s="477">
        <f t="shared" ref="I8:I33" si="4">H8-H7</f>
        <v>0</v>
      </c>
      <c r="J8" s="462">
        <v>0.29166666666666669</v>
      </c>
      <c r="L8" s="99">
        <f t="shared" si="0"/>
        <v>44684</v>
      </c>
      <c r="M8" s="3">
        <f t="shared" si="2"/>
        <v>6541</v>
      </c>
      <c r="N8" s="477"/>
      <c r="O8" s="477">
        <f t="shared" si="3"/>
        <v>6541</v>
      </c>
    </row>
    <row r="9" spans="1:18">
      <c r="A9" s="612">
        <f>ELEC!C7</f>
        <v>44685</v>
      </c>
      <c r="B9" s="593">
        <v>0.4</v>
      </c>
      <c r="C9" s="603">
        <v>8</v>
      </c>
      <c r="D9" s="603"/>
      <c r="E9" s="603"/>
      <c r="F9" s="603"/>
      <c r="G9" s="604"/>
      <c r="H9" s="609">
        <v>7082</v>
      </c>
      <c r="I9" s="477">
        <f t="shared" si="4"/>
        <v>9</v>
      </c>
      <c r="J9" s="462">
        <v>0.25</v>
      </c>
      <c r="L9" s="99">
        <f t="shared" si="0"/>
        <v>44685</v>
      </c>
      <c r="M9" s="3">
        <f t="shared" si="2"/>
        <v>6541</v>
      </c>
      <c r="N9" s="477"/>
      <c r="O9" s="477">
        <f t="shared" si="3"/>
        <v>6541</v>
      </c>
    </row>
    <row r="10" spans="1:18">
      <c r="A10" s="612">
        <f>ELEC!C8</f>
        <v>44686</v>
      </c>
      <c r="B10" s="593"/>
      <c r="C10" s="603"/>
      <c r="D10" s="603"/>
      <c r="E10" s="603"/>
      <c r="F10" s="603"/>
      <c r="G10" s="604"/>
      <c r="H10" s="609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44686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2">
        <f>ELEC!C9</f>
        <v>44687</v>
      </c>
      <c r="B11" s="593"/>
      <c r="C11" s="603"/>
      <c r="D11" s="603"/>
      <c r="E11" s="603"/>
      <c r="F11" s="603"/>
      <c r="G11" s="604"/>
      <c r="H11" s="609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44687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2">
        <f>ELEC!C10</f>
        <v>44688</v>
      </c>
      <c r="B12" s="593"/>
      <c r="C12" s="603"/>
      <c r="D12" s="603"/>
      <c r="E12" s="603"/>
      <c r="F12" s="603"/>
      <c r="G12" s="604"/>
      <c r="H12" s="609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44688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2">
        <f>ELEC!C11</f>
        <v>44689</v>
      </c>
      <c r="B13" s="593"/>
      <c r="C13" s="603"/>
      <c r="D13" s="603"/>
      <c r="E13" s="603"/>
      <c r="F13" s="603"/>
      <c r="G13" s="604"/>
      <c r="H13" s="609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44689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2">
        <f>ELEC!C12</f>
        <v>44690</v>
      </c>
      <c r="B14" s="593">
        <v>1.5</v>
      </c>
      <c r="C14" s="603">
        <v>10</v>
      </c>
      <c r="D14" s="603"/>
      <c r="E14" s="603"/>
      <c r="F14" s="603"/>
      <c r="G14" s="604"/>
      <c r="H14" s="609">
        <v>7088</v>
      </c>
      <c r="I14" s="477">
        <f t="shared" si="4"/>
        <v>6</v>
      </c>
      <c r="J14" s="462">
        <v>0.29166666666666669</v>
      </c>
      <c r="L14" s="99">
        <f t="shared" si="0"/>
        <v>44690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2">
        <f>ELEC!C13</f>
        <v>44691</v>
      </c>
      <c r="B15" s="593">
        <v>1.2</v>
      </c>
      <c r="C15" s="603">
        <v>8</v>
      </c>
      <c r="D15" s="603"/>
      <c r="E15" s="603"/>
      <c r="F15" s="603"/>
      <c r="G15" s="604"/>
      <c r="H15" s="609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44691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2">
        <f>ELEC!C14</f>
        <v>44692</v>
      </c>
      <c r="B16" s="593">
        <v>2.5</v>
      </c>
      <c r="C16" s="603">
        <v>8</v>
      </c>
      <c r="D16" s="603"/>
      <c r="E16" s="603"/>
      <c r="F16" s="603"/>
      <c r="G16" s="604"/>
      <c r="H16" s="609">
        <v>7089</v>
      </c>
      <c r="I16" s="477">
        <f t="shared" si="4"/>
        <v>1</v>
      </c>
      <c r="J16" s="462">
        <v>0.29166666666666669</v>
      </c>
      <c r="L16" s="99">
        <f t="shared" si="0"/>
        <v>44692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2">
        <f>ELEC!C15</f>
        <v>44693</v>
      </c>
      <c r="B17" s="593"/>
      <c r="C17" s="603"/>
      <c r="D17" s="603"/>
      <c r="E17" s="603"/>
      <c r="F17" s="603"/>
      <c r="G17" s="604"/>
      <c r="H17" s="609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44693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2">
        <f>ELEC!C16</f>
        <v>44694</v>
      </c>
      <c r="B18" s="593"/>
      <c r="C18" s="603"/>
      <c r="D18" s="603"/>
      <c r="E18" s="603"/>
      <c r="F18" s="603"/>
      <c r="G18" s="604"/>
      <c r="H18" s="609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44694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2">
        <f>ELEC!C17</f>
        <v>44695</v>
      </c>
      <c r="B19" s="593"/>
      <c r="C19" s="603"/>
      <c r="D19" s="603"/>
      <c r="E19" s="603"/>
      <c r="F19" s="603"/>
      <c r="G19" s="604"/>
      <c r="H19" s="609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44695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2">
        <f>ELEC!C18</f>
        <v>44696</v>
      </c>
      <c r="B20" s="593">
        <v>2.1</v>
      </c>
      <c r="C20" s="603">
        <v>7</v>
      </c>
      <c r="D20" s="603"/>
      <c r="E20" s="603"/>
      <c r="F20" s="603"/>
      <c r="G20" s="604"/>
      <c r="H20" s="609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44696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2">
        <f>ELEC!C19</f>
        <v>44697</v>
      </c>
      <c r="B21" s="593"/>
      <c r="C21" s="603"/>
      <c r="D21" s="603"/>
      <c r="E21" s="603"/>
      <c r="F21" s="603"/>
      <c r="G21" s="604"/>
      <c r="H21" s="609">
        <f t="shared" si="1"/>
        <v>7089</v>
      </c>
      <c r="I21" s="477">
        <f t="shared" si="4"/>
        <v>0</v>
      </c>
      <c r="J21" s="535" t="s">
        <v>409</v>
      </c>
      <c r="L21" s="99">
        <f t="shared" si="0"/>
        <v>44697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2">
        <f>ELEC!C20</f>
        <v>44698</v>
      </c>
      <c r="B22" s="593"/>
      <c r="C22" s="603"/>
      <c r="D22" s="603"/>
      <c r="E22" s="603"/>
      <c r="F22" s="603"/>
      <c r="G22" s="604"/>
      <c r="H22" s="609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44698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2">
        <f>ELEC!C21</f>
        <v>44699</v>
      </c>
      <c r="B23" s="593"/>
      <c r="C23" s="603"/>
      <c r="D23" s="603"/>
      <c r="E23" s="603"/>
      <c r="F23" s="603"/>
      <c r="G23" s="604"/>
      <c r="H23" s="609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44699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2">
        <f>ELEC!C22</f>
        <v>44700</v>
      </c>
      <c r="B24" s="593"/>
      <c r="C24" s="603"/>
      <c r="D24" s="603"/>
      <c r="E24" s="603"/>
      <c r="F24" s="603"/>
      <c r="G24" s="604"/>
      <c r="H24" s="609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44700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2">
        <f>ELEC!C23</f>
        <v>44701</v>
      </c>
      <c r="B25" s="593"/>
      <c r="C25" s="603"/>
      <c r="D25" s="603"/>
      <c r="E25" s="603"/>
      <c r="F25" s="603"/>
      <c r="G25" s="604"/>
      <c r="H25" s="609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44701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2">
        <f>ELEC!C24</f>
        <v>44702</v>
      </c>
      <c r="B26" s="593"/>
      <c r="C26" s="603"/>
      <c r="D26" s="603"/>
      <c r="E26" s="603"/>
      <c r="F26" s="603"/>
      <c r="G26" s="604"/>
      <c r="H26" s="609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44702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2">
        <f>ELEC!C25</f>
        <v>44703</v>
      </c>
      <c r="B27" s="593"/>
      <c r="C27" s="603"/>
      <c r="D27" s="603"/>
      <c r="E27" s="603"/>
      <c r="F27" s="603"/>
      <c r="G27" s="604"/>
      <c r="H27" s="609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44703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2">
        <f>ELEC!C26</f>
        <v>44704</v>
      </c>
      <c r="B28" s="593"/>
      <c r="C28" s="603"/>
      <c r="D28" s="603"/>
      <c r="E28" s="603"/>
      <c r="F28" s="603"/>
      <c r="G28" s="604"/>
      <c r="H28" s="609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44704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2">
        <f>ELEC!C27</f>
        <v>44705</v>
      </c>
      <c r="B29" s="593"/>
      <c r="C29" s="603"/>
      <c r="D29" s="603"/>
      <c r="E29" s="603"/>
      <c r="F29" s="603"/>
      <c r="G29" s="604"/>
      <c r="H29" s="609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44705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2">
        <f>ELEC!C28</f>
        <v>44706</v>
      </c>
      <c r="B30" s="593"/>
      <c r="C30" s="603"/>
      <c r="D30" s="603"/>
      <c r="E30" s="603"/>
      <c r="F30" s="603"/>
      <c r="G30" s="604"/>
      <c r="H30" s="609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44706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2">
        <f>ELEC!C29</f>
        <v>44707</v>
      </c>
      <c r="B31" s="593"/>
      <c r="C31" s="603"/>
      <c r="D31" s="603"/>
      <c r="E31" s="603"/>
      <c r="F31" s="603"/>
      <c r="G31" s="604"/>
      <c r="H31" s="609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44707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2">
        <f>ELEC!C30</f>
        <v>44708</v>
      </c>
      <c r="B32" s="593"/>
      <c r="C32" s="603"/>
      <c r="D32" s="603"/>
      <c r="E32" s="603"/>
      <c r="F32" s="603"/>
      <c r="G32" s="604"/>
      <c r="H32" s="609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44708</v>
      </c>
      <c r="M32" s="3">
        <f t="shared" si="2"/>
        <v>6541</v>
      </c>
      <c r="N32" s="477"/>
      <c r="O32" s="477">
        <v>6879</v>
      </c>
    </row>
    <row r="33" spans="1:15">
      <c r="A33" s="612">
        <f>ELEC!C31</f>
        <v>44709</v>
      </c>
      <c r="B33" s="593"/>
      <c r="C33" s="603"/>
      <c r="D33" s="603"/>
      <c r="E33" s="603"/>
      <c r="F33" s="603"/>
      <c r="G33" s="604"/>
      <c r="H33" s="609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44709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2">
        <f>ELEC!C32</f>
        <v>44710</v>
      </c>
      <c r="B34" s="593"/>
      <c r="C34" s="603"/>
      <c r="D34" s="603"/>
      <c r="E34" s="603"/>
      <c r="F34" s="603"/>
      <c r="G34" s="604"/>
      <c r="H34" s="609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44710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2">
        <f>ELEC!C33</f>
        <v>44711</v>
      </c>
      <c r="B35" s="593"/>
      <c r="C35" s="603"/>
      <c r="D35" s="603"/>
      <c r="E35" s="603"/>
      <c r="F35" s="603"/>
      <c r="G35" s="604"/>
      <c r="H35" s="609">
        <f t="shared" si="1"/>
        <v>7089</v>
      </c>
      <c r="I35" s="477">
        <f t="shared" si="5"/>
        <v>0</v>
      </c>
      <c r="J35" s="462">
        <v>0.375</v>
      </c>
      <c r="L35" s="99">
        <f t="shared" si="6"/>
        <v>44711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3">
        <f>ELEC!C34</f>
        <v>44712</v>
      </c>
      <c r="B36" s="595"/>
      <c r="C36" s="596"/>
      <c r="D36" s="596"/>
      <c r="E36" s="596"/>
      <c r="F36" s="596"/>
      <c r="G36" s="615"/>
      <c r="H36" s="609">
        <f t="shared" si="1"/>
        <v>7089</v>
      </c>
      <c r="I36" s="616">
        <f t="shared" si="5"/>
        <v>0</v>
      </c>
      <c r="J36" s="617">
        <v>0.41666666666666702</v>
      </c>
      <c r="L36" s="99">
        <f t="shared" si="6"/>
        <v>44712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I8" zoomScale="80" zoomScaleNormal="80" workbookViewId="0">
      <selection activeCell="R10" sqref="R10:S4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7" t="s">
        <v>161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</row>
    <row r="2" spans="1:28" ht="19.5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8"/>
      <c r="R2" s="708"/>
      <c r="S2" s="708"/>
      <c r="T2" s="708"/>
      <c r="U2" s="708"/>
      <c r="V2" s="708"/>
      <c r="W2" s="708"/>
      <c r="X2" s="708"/>
    </row>
    <row r="3" spans="1:28" ht="19.5">
      <c r="A3" s="708" t="s">
        <v>162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8" t="s">
        <v>404</v>
      </c>
      <c r="B5" s="708"/>
      <c r="C5" s="708"/>
      <c r="D5" s="708"/>
      <c r="E5" s="708"/>
      <c r="F5" s="708"/>
      <c r="G5" s="708"/>
      <c r="H5" s="708"/>
      <c r="I5" s="708"/>
      <c r="J5" s="708"/>
      <c r="K5" s="708"/>
      <c r="L5" s="708"/>
      <c r="M5" s="708"/>
      <c r="N5" s="708"/>
      <c r="O5" s="708"/>
      <c r="P5" s="708"/>
      <c r="Q5" s="708"/>
      <c r="R5" s="708"/>
      <c r="S5" s="708"/>
      <c r="T5" s="708"/>
      <c r="U5" s="708"/>
      <c r="V5" s="708"/>
      <c r="W5" s="708"/>
      <c r="X5" s="708"/>
    </row>
    <row r="6" spans="1:28" ht="15.75" thickBot="1">
      <c r="A6" s="709"/>
      <c r="B6" s="709"/>
      <c r="C6" s="709"/>
      <c r="D6" s="709"/>
      <c r="E6" s="709"/>
      <c r="F6" s="709"/>
      <c r="G6" s="709"/>
      <c r="H6" s="709"/>
      <c r="I6" s="709"/>
      <c r="J6" s="70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</row>
    <row r="7" spans="1:28" ht="15.75" thickBot="1">
      <c r="A7" s="711" t="s">
        <v>163</v>
      </c>
      <c r="B7" s="712"/>
      <c r="C7" s="713" t="s">
        <v>164</v>
      </c>
      <c r="D7" s="714"/>
      <c r="E7" s="714"/>
      <c r="F7" s="714"/>
      <c r="G7" s="714"/>
      <c r="H7" s="714"/>
      <c r="I7" s="714"/>
      <c r="J7" s="714"/>
      <c r="K7" s="71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'[10]Degree Days 2020'!D10</f>
        <v>-0.80000000000000071</v>
      </c>
      <c r="E10" s="498">
        <v>1</v>
      </c>
      <c r="F10" s="261">
        <f>'[11]Degree Days 2022'!F10</f>
        <v>17</v>
      </c>
      <c r="G10" s="261">
        <f>'[11]Degree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'[6]Degree Days 2022'!J10</f>
        <v>17</v>
      </c>
      <c r="K10" s="261">
        <f>'[6]Degree Days 2022'!K10</f>
        <v>14</v>
      </c>
      <c r="L10" s="261">
        <f>'[10]Degree Days 2020'!L10</f>
        <v>-2.3000000000000007</v>
      </c>
      <c r="M10" s="498">
        <f>'[12]Degree Days 2020'!M10</f>
        <v>1</v>
      </c>
      <c r="N10" s="261">
        <f>'[2]Degree Days 2022'!N10</f>
        <v>0</v>
      </c>
      <c r="O10" s="261">
        <f>'[2]Degree Days 2022'!O10</f>
        <v>0</v>
      </c>
      <c r="P10" s="261">
        <f>(N10+O10)/2-18.3</f>
        <v>-18.3</v>
      </c>
      <c r="Q10" s="498">
        <v>1</v>
      </c>
      <c r="R10" s="261">
        <f>'General information '!B5</f>
        <v>0</v>
      </c>
      <c r="S10" s="261">
        <f>'General information '!C5</f>
        <v>0</v>
      </c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'[10]Degree Days 2020'!D11</f>
        <v>-0.30000000000000071</v>
      </c>
      <c r="E11" s="498">
        <v>2</v>
      </c>
      <c r="F11" s="261">
        <f>'[11]Degree Days 2022'!F11</f>
        <v>19</v>
      </c>
      <c r="G11" s="261">
        <f>'[11]Degree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'[6]Degree Days 2022'!J11</f>
        <v>24</v>
      </c>
      <c r="K11" s="261">
        <f>'[6]Degree Days 2022'!K11</f>
        <v>15</v>
      </c>
      <c r="L11" s="261">
        <f>'[10]Degree Days 2020'!L11</f>
        <v>-2.8000000000000007</v>
      </c>
      <c r="M11" s="498">
        <f>'[12]Degree Days 2020'!M11</f>
        <v>2</v>
      </c>
      <c r="N11" s="261">
        <f>'[2]Degree Days 2022'!N11</f>
        <v>0</v>
      </c>
      <c r="O11" s="261">
        <f>'[2]Degree Days 2022'!O11</f>
        <v>0</v>
      </c>
      <c r="P11" s="261">
        <f t="shared" ref="P11:P39" si="0">(N11+O11)/2-18.3</f>
        <v>-18.3</v>
      </c>
      <c r="Q11" s="498">
        <v>2</v>
      </c>
      <c r="R11" s="261">
        <f>'General information '!B6</f>
        <v>0</v>
      </c>
      <c r="S11" s="261">
        <f>'General information '!C6</f>
        <v>0</v>
      </c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0</v>
      </c>
      <c r="D12" s="261">
        <f>'[10]Degree Days 2020'!D12</f>
        <v>0.19999999999999929</v>
      </c>
      <c r="E12" s="498">
        <v>3</v>
      </c>
      <c r="F12" s="261">
        <f>'[11]Degree Days 2022'!F12</f>
        <v>19</v>
      </c>
      <c r="G12" s="261">
        <f>'[11]Degree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'[6]Degree Days 2022'!J12</f>
        <v>20</v>
      </c>
      <c r="K12" s="261">
        <f>'[6]Degree Days 2022'!K12</f>
        <v>13</v>
      </c>
      <c r="L12" s="261">
        <f>'[10]Degree Days 2020'!L12</f>
        <v>-2.8000000000000007</v>
      </c>
      <c r="M12" s="498">
        <f>'[12]Degree Days 2020'!M12</f>
        <v>3</v>
      </c>
      <c r="N12" s="261">
        <f>'[2]Degree Days 2022'!N12</f>
        <v>24</v>
      </c>
      <c r="O12" s="261">
        <f>'[2]Degree Days 2022'!O12</f>
        <v>17</v>
      </c>
      <c r="P12" s="261">
        <f t="shared" si="0"/>
        <v>2.1999999999999993</v>
      </c>
      <c r="Q12" s="498">
        <v>3</v>
      </c>
      <c r="R12" s="261">
        <f>'General information '!B7</f>
        <v>0</v>
      </c>
      <c r="S12" s="261">
        <f>'General information '!C7</f>
        <v>0</v>
      </c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19</v>
      </c>
      <c r="D13" s="261">
        <f>'[10]Degree Days 2020'!D13</f>
        <v>0.19999999999999929</v>
      </c>
      <c r="E13" s="498">
        <f>'[10]Degree Days 2020'!E13</f>
        <v>4</v>
      </c>
      <c r="F13" s="261">
        <f>'[11]Degree Days 2022'!F13</f>
        <v>0</v>
      </c>
      <c r="G13" s="261">
        <f>'[11]Degree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'[6]Degree Days 2022'!J13</f>
        <v>0</v>
      </c>
      <c r="K13" s="261">
        <f>'[6]Degree Days 2022'!K13</f>
        <v>0</v>
      </c>
      <c r="L13" s="261">
        <f>'[10]Degree Days 2020'!L13</f>
        <v>-2.8000000000000007</v>
      </c>
      <c r="M13" s="498">
        <f>'[12]Degree Days 2020'!M13</f>
        <v>4</v>
      </c>
      <c r="N13" s="261">
        <f>'[2]Degree Days 2022'!N13</f>
        <v>24</v>
      </c>
      <c r="O13" s="261">
        <f>'[2]Degree Days 2022'!O13</f>
        <v>16</v>
      </c>
      <c r="P13" s="261">
        <f t="shared" si="0"/>
        <v>1.6999999999999993</v>
      </c>
      <c r="Q13" s="498">
        <v>4</v>
      </c>
      <c r="R13" s="261">
        <f>'General information '!B8</f>
        <v>23</v>
      </c>
      <c r="S13" s="261">
        <f>'General information '!C8</f>
        <v>19</v>
      </c>
      <c r="T13" s="261">
        <f t="shared" si="1"/>
        <v>2.6999999999999993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18</v>
      </c>
      <c r="D14" s="261">
        <f>'[10]Degree Days 2020'!D14</f>
        <v>0.69999999999999929</v>
      </c>
      <c r="E14" s="498">
        <f>'[10]Degree Days 2020'!E14</f>
        <v>5</v>
      </c>
      <c r="F14" s="261">
        <f>'[11]Degree Days 2022'!F14</f>
        <v>0</v>
      </c>
      <c r="G14" s="261">
        <f>'[11]Degree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'[6]Degree Days 2022'!J14</f>
        <v>0</v>
      </c>
      <c r="K14" s="261">
        <f>'[6]Degree Days 2022'!K14</f>
        <v>0</v>
      </c>
      <c r="L14" s="261">
        <f>'[10]Degree Days 2020'!L14</f>
        <v>-2.8000000000000007</v>
      </c>
      <c r="M14" s="498">
        <f>'[12]Degree Days 2020'!M14</f>
        <v>5</v>
      </c>
      <c r="N14" s="261">
        <f>'[2]Degree Days 2022'!N14</f>
        <v>30</v>
      </c>
      <c r="O14" s="261">
        <f>'[2]Degree Days 2022'!O14</f>
        <v>16</v>
      </c>
      <c r="P14" s="261">
        <f t="shared" si="0"/>
        <v>4.6999999999999993</v>
      </c>
      <c r="Q14" s="498">
        <v>5</v>
      </c>
      <c r="R14" s="261">
        <f>'General information '!B9</f>
        <v>22</v>
      </c>
      <c r="S14" s="261">
        <f>'General information '!C9</f>
        <v>18</v>
      </c>
      <c r="T14" s="261">
        <f t="shared" si="1"/>
        <v>1.6999999999999993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-274.50000000000006</v>
      </c>
      <c r="AB14" s="261">
        <f>S43</f>
        <v>27.099999999999991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0</v>
      </c>
      <c r="D15" s="261">
        <f>'[10]Degree Days 2020'!D15</f>
        <v>0.19999999999999929</v>
      </c>
      <c r="E15" s="498">
        <f>'[10]Degree Days 2020'!E15</f>
        <v>6</v>
      </c>
      <c r="F15" s="261">
        <f>'[11]Degree Days 2022'!F15</f>
        <v>17</v>
      </c>
      <c r="G15" s="261">
        <f>'[11]Degree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'[6]Degree Days 2022'!J15</f>
        <v>22</v>
      </c>
      <c r="K15" s="261">
        <f>'[6]Degree Days 2022'!K15</f>
        <v>13</v>
      </c>
      <c r="L15" s="261">
        <f>'[10]Degree Days 2020'!L15</f>
        <v>-2.3000000000000007</v>
      </c>
      <c r="M15" s="498">
        <f>'[12]Degree Days 2020'!M15</f>
        <v>6</v>
      </c>
      <c r="N15" s="261">
        <f>'[2]Degree Days 2022'!N15</f>
        <v>34</v>
      </c>
      <c r="O15" s="261">
        <f>'[2]Degree Days 2022'!O15</f>
        <v>18</v>
      </c>
      <c r="P15" s="261">
        <f t="shared" si="0"/>
        <v>7.6999999999999993</v>
      </c>
      <c r="Q15" s="498">
        <v>6</v>
      </c>
      <c r="R15" s="261">
        <f>'General information '!B10</f>
        <v>0</v>
      </c>
      <c r="S15" s="261">
        <f>'General information '!C10</f>
        <v>0</v>
      </c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0</v>
      </c>
      <c r="D16" s="261">
        <f>'[10]Degree Days 2020'!D16</f>
        <v>-1.3000000000000007</v>
      </c>
      <c r="E16" s="498">
        <f>'[10]Degree Days 2020'!E16</f>
        <v>7</v>
      </c>
      <c r="F16" s="261">
        <f>'[11]Degree Days 2022'!F16</f>
        <v>17</v>
      </c>
      <c r="G16" s="261">
        <f>'[11]Degree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'[6]Degree Days 2022'!J16</f>
        <v>17</v>
      </c>
      <c r="K16" s="261">
        <f>'[6]Degree Days 2022'!K16</f>
        <v>13</v>
      </c>
      <c r="L16" s="261">
        <f>'[10]Degree Days 2020'!L16</f>
        <v>-1.8000000000000007</v>
      </c>
      <c r="M16" s="498">
        <f>'[12]Degree Days 2020'!M16</f>
        <v>7</v>
      </c>
      <c r="N16" s="261">
        <f>'[2]Degree Days 2022'!N16</f>
        <v>21</v>
      </c>
      <c r="O16" s="261">
        <f>'[2]Degree Days 2022'!O16</f>
        <v>16</v>
      </c>
      <c r="P16" s="261">
        <f t="shared" si="0"/>
        <v>0.19999999999999929</v>
      </c>
      <c r="Q16" s="498">
        <v>7</v>
      </c>
      <c r="R16" s="261">
        <f>'General information '!B11</f>
        <v>0</v>
      </c>
      <c r="S16" s="261">
        <f>'General information '!C11</f>
        <v>0</v>
      </c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17</v>
      </c>
      <c r="D17" s="261">
        <f>'[10]Degree Days 2020'!D17</f>
        <v>-0.80000000000000071</v>
      </c>
      <c r="E17" s="498">
        <f>'[10]Degree Days 2020'!E17</f>
        <v>8</v>
      </c>
      <c r="F17" s="261">
        <f>'[11]Degree Days 2022'!F17</f>
        <v>0</v>
      </c>
      <c r="G17" s="261">
        <f>'[11]Degree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'[6]Degree Days 2022'!J17</f>
        <v>8</v>
      </c>
      <c r="K17" s="261">
        <f>'[6]Degree Days 2022'!K17</f>
        <v>13</v>
      </c>
      <c r="L17" s="261">
        <f>'[10]Degree Days 2020'!L17</f>
        <v>-0.30000000000000071</v>
      </c>
      <c r="M17" s="498">
        <f>'[12]Degree Days 2020'!M17</f>
        <v>8</v>
      </c>
      <c r="N17" s="261">
        <f>'[2]Degree Days 2022'!N17</f>
        <v>0</v>
      </c>
      <c r="O17" s="261">
        <f>'[2]Degree Days 2022'!O17</f>
        <v>0</v>
      </c>
      <c r="P17" s="261">
        <f t="shared" si="0"/>
        <v>-18.3</v>
      </c>
      <c r="Q17" s="498">
        <v>8</v>
      </c>
      <c r="R17" s="261">
        <f>'General information '!B12</f>
        <v>22</v>
      </c>
      <c r="S17" s="261">
        <f>'General information '!C12</f>
        <v>17</v>
      </c>
      <c r="T17" s="261">
        <f t="shared" si="1"/>
        <v>1.1999999999999993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18</v>
      </c>
      <c r="D18" s="261">
        <f>'[10]Degree Days 2020'!D18</f>
        <v>0.19999999999999929</v>
      </c>
      <c r="E18" s="498">
        <f>'[10]Degree Days 2020'!E18</f>
        <v>9</v>
      </c>
      <c r="F18" s="261">
        <f>'[11]Degree Days 2022'!F18</f>
        <v>21</v>
      </c>
      <c r="G18" s="261">
        <f>'[11]Degree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'[6]Degree Days 2022'!J18</f>
        <v>16</v>
      </c>
      <c r="K18" s="261">
        <f>'[6]Degree Days 2022'!K18</f>
        <v>14</v>
      </c>
      <c r="L18" s="261">
        <f>'[10]Degree Days 2020'!L18</f>
        <v>1.6999999999999993</v>
      </c>
      <c r="M18" s="498">
        <f>'[12]Degree Days 2020'!M18</f>
        <v>9</v>
      </c>
      <c r="N18" s="261">
        <f>'[2]Degree Days 2022'!N18</f>
        <v>0</v>
      </c>
      <c r="O18" s="261">
        <f>'[2]Degree Days 2022'!O18</f>
        <v>0</v>
      </c>
      <c r="P18" s="261">
        <f t="shared" si="0"/>
        <v>-18.3</v>
      </c>
      <c r="Q18" s="498">
        <v>9</v>
      </c>
      <c r="R18" s="261">
        <f>'General information '!B13</f>
        <v>23</v>
      </c>
      <c r="S18" s="261">
        <f>'General information '!C13</f>
        <v>18</v>
      </c>
      <c r="T18" s="261">
        <f t="shared" si="1"/>
        <v>2.1999999999999993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17</v>
      </c>
      <c r="D19" s="261">
        <f>'[10]Degree Days 2020'!D19</f>
        <v>0.19999999999999929</v>
      </c>
      <c r="E19" s="498">
        <f>'[10]Degree Days 2020'!E19</f>
        <v>10</v>
      </c>
      <c r="F19" s="261">
        <f>'[11]Degree Days 2022'!F19</f>
        <v>0</v>
      </c>
      <c r="G19" s="261">
        <f>'[11]Degree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'[6]Degree Days 2022'!J19</f>
        <v>14</v>
      </c>
      <c r="K19" s="261">
        <f>'[6]Degree Days 2022'!K19</f>
        <v>11</v>
      </c>
      <c r="L19" s="261">
        <f>'[10]Degree Days 2020'!L19</f>
        <v>-2.3000000000000007</v>
      </c>
      <c r="M19" s="498">
        <f>'[12]Degree Days 2020'!M19</f>
        <v>10</v>
      </c>
      <c r="N19" s="261">
        <f>'[2]Degree Days 2022'!N19</f>
        <v>22</v>
      </c>
      <c r="O19" s="261">
        <f>'[2]Degree Days 2022'!O19</f>
        <v>15</v>
      </c>
      <c r="P19" s="261">
        <f t="shared" si="0"/>
        <v>0.19999999999999929</v>
      </c>
      <c r="Q19" s="498">
        <v>10</v>
      </c>
      <c r="R19" s="261">
        <f>'General information '!B14</f>
        <v>23</v>
      </c>
      <c r="S19" s="261">
        <f>'General information '!C14</f>
        <v>17</v>
      </c>
      <c r="T19" s="261">
        <f t="shared" si="1"/>
        <v>1.6999999999999993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17</v>
      </c>
      <c r="D20" s="261">
        <f>'[10]Degree Days 2020'!D20</f>
        <v>0.69999999999999929</v>
      </c>
      <c r="E20" s="498">
        <f>'[10]Degree Days 2020'!E20</f>
        <v>11</v>
      </c>
      <c r="F20" s="261">
        <f>'[11]Degree Days 2022'!F20</f>
        <v>0</v>
      </c>
      <c r="G20" s="261">
        <f>'[11]Degree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'[6]Degree Days 2022'!J20</f>
        <v>14</v>
      </c>
      <c r="K20" s="261">
        <f>'[6]Degree Days 2022'!K20</f>
        <v>9</v>
      </c>
      <c r="L20" s="261">
        <f>'[10]Degree Days 2020'!L20</f>
        <v>-3.8000000000000007</v>
      </c>
      <c r="M20" s="498">
        <f>'[12]Degree Days 2020'!M20</f>
        <v>11</v>
      </c>
      <c r="N20" s="261">
        <f>'[2]Degree Days 2022'!N20</f>
        <v>21</v>
      </c>
      <c r="O20" s="261">
        <f>'[2]Degree Days 2022'!O20</f>
        <v>16</v>
      </c>
      <c r="P20" s="261">
        <f t="shared" si="0"/>
        <v>0.19999999999999929</v>
      </c>
      <c r="Q20" s="498">
        <v>11</v>
      </c>
      <c r="R20" s="261">
        <f>'General information '!B15</f>
        <v>23</v>
      </c>
      <c r="S20" s="261">
        <f>'General information '!C15</f>
        <v>17</v>
      </c>
      <c r="T20" s="261">
        <f t="shared" si="1"/>
        <v>1.6999999999999993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17</v>
      </c>
      <c r="D21" s="261">
        <f>'[10]Degree Days 2020'!D21</f>
        <v>0.19999999999999929</v>
      </c>
      <c r="E21" s="498">
        <f>'[10]Degree Days 2020'!E21</f>
        <v>12</v>
      </c>
      <c r="F21" s="261">
        <f>'[11]Degree Days 2022'!F21</f>
        <v>0</v>
      </c>
      <c r="G21" s="261">
        <f>'[11]Degree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'[6]Degree Days 2022'!J21</f>
        <v>0</v>
      </c>
      <c r="K21" s="261">
        <f>'[6]Degree Days 2022'!K21</f>
        <v>0</v>
      </c>
      <c r="L21" s="261">
        <f>'[10]Degree Days 2020'!L21</f>
        <v>-2.8000000000000007</v>
      </c>
      <c r="M21" s="498">
        <f>'[12]Degree Days 2020'!M21</f>
        <v>12</v>
      </c>
      <c r="N21" s="261">
        <f>'[2]Degree Days 2022'!N21</f>
        <v>20</v>
      </c>
      <c r="O21" s="261">
        <f>'[2]Degree Days 2022'!O21</f>
        <v>16</v>
      </c>
      <c r="P21" s="261">
        <f t="shared" si="0"/>
        <v>-0.30000000000000071</v>
      </c>
      <c r="Q21" s="498">
        <v>12</v>
      </c>
      <c r="R21" s="261">
        <f>'General information '!B16</f>
        <v>22</v>
      </c>
      <c r="S21" s="261">
        <f>'General information '!C16</f>
        <v>17</v>
      </c>
      <c r="T21" s="261">
        <f t="shared" si="1"/>
        <v>1.1999999999999993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'[10]Degree Days 2020'!D22</f>
        <v>-3.3000000000000007</v>
      </c>
      <c r="E22" s="498">
        <f>'[10]Degree Days 2020'!E22</f>
        <v>13</v>
      </c>
      <c r="F22" s="261">
        <f>'[11]Degree Days 2022'!F22</f>
        <v>17</v>
      </c>
      <c r="G22" s="261">
        <f>'[11]Degree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'[6]Degree Days 2022'!J22</f>
        <v>13</v>
      </c>
      <c r="K22" s="261">
        <f>'[6]Degree Days 2022'!K22</f>
        <v>9</v>
      </c>
      <c r="L22" s="261">
        <f>'[10]Degree Days 2020'!L22</f>
        <v>-1.3000000000000007</v>
      </c>
      <c r="M22" s="498">
        <f>'[12]Degree Days 2020'!M22</f>
        <v>13</v>
      </c>
      <c r="N22" s="261">
        <f>'[2]Degree Days 2022'!N22</f>
        <v>20</v>
      </c>
      <c r="O22" s="261">
        <f>'[2]Degree Days 2022'!O22</f>
        <v>17</v>
      </c>
      <c r="P22" s="261">
        <f t="shared" si="0"/>
        <v>0.19999999999999929</v>
      </c>
      <c r="Q22" s="498">
        <v>13</v>
      </c>
      <c r="R22" s="261">
        <f>'General information '!B17</f>
        <v>0</v>
      </c>
      <c r="S22" s="261">
        <f>'General information '!C17</f>
        <v>0</v>
      </c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'[11]Degree Days 2022'!F23</f>
        <v>18</v>
      </c>
      <c r="G23" s="261">
        <f>'[11]Degree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'[6]Degree Days 2022'!J23</f>
        <v>12</v>
      </c>
      <c r="K23" s="261">
        <f>'[6]Degree Days 2022'!K23</f>
        <v>8</v>
      </c>
      <c r="L23" s="261">
        <f>'[10]Degree Days 2020'!L23</f>
        <v>-1.3000000000000007</v>
      </c>
      <c r="M23" s="498">
        <f>'[12]Degree Days 2020'!M23</f>
        <v>14</v>
      </c>
      <c r="N23" s="261">
        <f>'[2]Degree Days 2022'!N23</f>
        <v>0</v>
      </c>
      <c r="O23" s="261">
        <f>'[2]Degree Days 2022'!O23</f>
        <v>0</v>
      </c>
      <c r="P23" s="261">
        <f t="shared" si="0"/>
        <v>-18.3</v>
      </c>
      <c r="Q23" s="498">
        <v>14</v>
      </c>
      <c r="R23" s="261">
        <f>'General information '!B18</f>
        <v>0</v>
      </c>
      <c r="S23" s="261">
        <f>'General information '!C18</f>
        <v>0</v>
      </c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-720.10000000000014</v>
      </c>
      <c r="AB23" s="134">
        <f>SUM(AB10:AB22)</f>
        <v>82.199999999999974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18</v>
      </c>
      <c r="D24" s="261">
        <f>'[10]Degree Days 2020'!D24</f>
        <v>-2.3000000000000007</v>
      </c>
      <c r="E24" s="498">
        <f>'[10]Degree Days 2020'!E24</f>
        <v>15</v>
      </c>
      <c r="F24" s="261">
        <f>'[11]Degree Days 2022'!F24</f>
        <v>17</v>
      </c>
      <c r="G24" s="261">
        <f>'[11]Degree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'[6]Degree Days 2022'!J24</f>
        <v>10</v>
      </c>
      <c r="K24" s="261">
        <f>'[6]Degree Days 2022'!K24</f>
        <v>5</v>
      </c>
      <c r="L24" s="261">
        <f>'[10]Degree Days 2020'!L24</f>
        <v>-1.3000000000000007</v>
      </c>
      <c r="M24" s="498">
        <f>'[12]Degree Days 2020'!M24</f>
        <v>15</v>
      </c>
      <c r="N24" s="261">
        <f>'[2]Degree Days 2022'!N24</f>
        <v>0</v>
      </c>
      <c r="O24" s="261">
        <f>'[2]Degree Days 2022'!O24</f>
        <v>0</v>
      </c>
      <c r="P24" s="261">
        <f t="shared" si="0"/>
        <v>-18.3</v>
      </c>
      <c r="Q24" s="498">
        <v>15</v>
      </c>
      <c r="R24" s="261">
        <f>'General information '!B19</f>
        <v>22</v>
      </c>
      <c r="S24" s="261">
        <f>'General information '!C19</f>
        <v>18</v>
      </c>
      <c r="T24" s="261">
        <f t="shared" si="1"/>
        <v>1.6999999999999993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18</v>
      </c>
      <c r="D25" s="261">
        <f>'[10]Degree Days 2020'!D25</f>
        <v>-6.3000000000000007</v>
      </c>
      <c r="E25" s="498">
        <f>'[10]Degree Days 2020'!E25</f>
        <v>16</v>
      </c>
      <c r="F25" s="261">
        <f>'[11]Degree Days 2022'!F25</f>
        <v>17</v>
      </c>
      <c r="G25" s="261">
        <f>'[11]Degree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'[6]Degree Days 2022'!J25</f>
        <v>0</v>
      </c>
      <c r="K25" s="261">
        <f>'[6]Degree Days 2022'!K25</f>
        <v>0</v>
      </c>
      <c r="L25" s="261">
        <f>'[10]Degree Days 2020'!L25</f>
        <v>-1.8000000000000007</v>
      </c>
      <c r="M25" s="498">
        <f>'[12]Degree Days 2020'!M25</f>
        <v>16</v>
      </c>
      <c r="N25" s="261">
        <f>'[2]Degree Days 2022'!N25</f>
        <v>0</v>
      </c>
      <c r="O25" s="261">
        <f>'[2]Degree Days 2022'!O25</f>
        <v>0</v>
      </c>
      <c r="P25" s="261">
        <f t="shared" si="0"/>
        <v>-18.3</v>
      </c>
      <c r="Q25" s="498">
        <v>16</v>
      </c>
      <c r="R25" s="261">
        <f>'General information '!B20</f>
        <v>22</v>
      </c>
      <c r="S25" s="261">
        <f>'General information '!C20</f>
        <v>18</v>
      </c>
      <c r="T25" s="261">
        <f t="shared" si="1"/>
        <v>1.6999999999999993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18</v>
      </c>
      <c r="D26" s="261">
        <f>'[10]Degree Days 2020'!D26</f>
        <v>-4.8000000000000007</v>
      </c>
      <c r="E26" s="498">
        <f>'[10]Degree Days 2020'!E26</f>
        <v>17</v>
      </c>
      <c r="F26" s="261">
        <f>'[11]Degree Days 2022'!F26</f>
        <v>18</v>
      </c>
      <c r="G26" s="261">
        <f>'[11]Degree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'[6]Degree Days 2022'!J26</f>
        <v>16</v>
      </c>
      <c r="K26" s="261">
        <f>'[6]Degree Days 2022'!K26</f>
        <v>9</v>
      </c>
      <c r="L26" s="261">
        <f>'[10]Degree Days 2020'!L26</f>
        <v>-0.80000000000000071</v>
      </c>
      <c r="M26" s="498">
        <f>'[12]Degree Days 2020'!M26</f>
        <v>17</v>
      </c>
      <c r="N26" s="261">
        <f>'[2]Degree Days 2022'!N26</f>
        <v>0</v>
      </c>
      <c r="O26" s="261">
        <f>'[2]Degree Days 2022'!O26</f>
        <v>0</v>
      </c>
      <c r="P26" s="261">
        <f t="shared" si="0"/>
        <v>-18.3</v>
      </c>
      <c r="Q26" s="498">
        <v>17</v>
      </c>
      <c r="R26" s="261">
        <f>'General information '!B21</f>
        <v>23</v>
      </c>
      <c r="S26" s="261">
        <f>'General information '!C21</f>
        <v>18</v>
      </c>
      <c r="T26" s="261">
        <f t="shared" si="1"/>
        <v>2.1999999999999993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17</v>
      </c>
      <c r="D27" s="261">
        <f>'[10]Degree Days 2020'!D27</f>
        <v>-7.3000000000000007</v>
      </c>
      <c r="E27" s="498">
        <f>'[10]Degree Days 2020'!E27</f>
        <v>18</v>
      </c>
      <c r="F27" s="261">
        <f>'[11]Degree Days 2022'!F27</f>
        <v>0</v>
      </c>
      <c r="G27" s="261">
        <f>'[11]Degree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'[6]Degree Days 2022'!J27</f>
        <v>0</v>
      </c>
      <c r="K27" s="261">
        <f>'[6]Degree Days 2022'!K27</f>
        <v>0</v>
      </c>
      <c r="L27" s="261">
        <f>'[10]Degree Days 2020'!L27</f>
        <v>-0.80000000000000071</v>
      </c>
      <c r="M27" s="498">
        <f>'[12]Degree Days 2020'!M27</f>
        <v>18</v>
      </c>
      <c r="N27" s="261">
        <f>'[2]Degree Days 2022'!N27</f>
        <v>35</v>
      </c>
      <c r="O27" s="261">
        <f>'[2]Degree Days 2022'!O27</f>
        <v>19</v>
      </c>
      <c r="P27" s="261">
        <f t="shared" si="0"/>
        <v>8.6999999999999993</v>
      </c>
      <c r="Q27" s="498">
        <v>18</v>
      </c>
      <c r="R27" s="261">
        <f>'General information '!B22</f>
        <v>23</v>
      </c>
      <c r="S27" s="261">
        <f>'General information '!C22</f>
        <v>17</v>
      </c>
      <c r="T27" s="261">
        <f t="shared" si="1"/>
        <v>1.6999999999999993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19</v>
      </c>
      <c r="D28" s="261">
        <f>'[10]Degree Days 2020'!D28</f>
        <v>-4.8000000000000007</v>
      </c>
      <c r="E28" s="498">
        <f>'[10]Degree Days 2020'!E28</f>
        <v>19</v>
      </c>
      <c r="F28" s="261">
        <f>'[11]Degree Days 2022'!F28</f>
        <v>0</v>
      </c>
      <c r="G28" s="261">
        <f>'[11]Degree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'[6]Degree Days 2022'!J28</f>
        <v>0</v>
      </c>
      <c r="K28" s="261">
        <f>'[6]Degree Days 2022'!K28</f>
        <v>0</v>
      </c>
      <c r="L28" s="261">
        <f>'[10]Degree Days 2020'!L28</f>
        <v>-0.30000000000000071</v>
      </c>
      <c r="M28" s="498">
        <f>'[12]Degree Days 2020'!M28</f>
        <v>19</v>
      </c>
      <c r="N28" s="261">
        <f>'[2]Degree Days 2022'!N28</f>
        <v>21</v>
      </c>
      <c r="O28" s="261">
        <f>'[2]Degree Days 2022'!O28</f>
        <v>16</v>
      </c>
      <c r="P28" s="261">
        <f t="shared" si="0"/>
        <v>0.19999999999999929</v>
      </c>
      <c r="Q28" s="498">
        <v>19</v>
      </c>
      <c r="R28" s="261">
        <f>'General information '!B23</f>
        <v>24</v>
      </c>
      <c r="S28" s="261">
        <f>'General information '!C23</f>
        <v>19</v>
      </c>
      <c r="T28" s="261">
        <f t="shared" si="1"/>
        <v>3.1999999999999993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'[11]Degree Days 2022'!F29</f>
        <v>18</v>
      </c>
      <c r="G29" s="261">
        <f>'[11]Degree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'[6]Degree Days 2022'!J29</f>
        <v>11</v>
      </c>
      <c r="K29" s="261">
        <f>'[6]Degree Days 2022'!K29</f>
        <v>9</v>
      </c>
      <c r="L29" s="261">
        <f>'[10]Degree Days 2020'!L29</f>
        <v>1.1999999999999993</v>
      </c>
      <c r="M29" s="498">
        <f>'[12]Degree Days 2020'!M29</f>
        <v>20</v>
      </c>
      <c r="N29" s="261">
        <f>'[2]Degree Days 2022'!N29</f>
        <v>20</v>
      </c>
      <c r="O29" s="261">
        <f>'[2]Degree Days 2022'!O29</f>
        <v>16</v>
      </c>
      <c r="P29" s="261">
        <f t="shared" si="0"/>
        <v>-0.30000000000000071</v>
      </c>
      <c r="Q29" s="498">
        <v>20</v>
      </c>
      <c r="R29" s="261">
        <f>'General information '!B24</f>
        <v>0</v>
      </c>
      <c r="S29" s="261">
        <f>'General information '!C24</f>
        <v>0</v>
      </c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'[11]Degree Days 2022'!F30</f>
        <v>19</v>
      </c>
      <c r="G30" s="261">
        <f>'[11]Degree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'[6]Degree Days 2022'!J30</f>
        <v>14</v>
      </c>
      <c r="K30" s="261">
        <f>'[6]Degree Days 2022'!K30</f>
        <v>8</v>
      </c>
      <c r="L30" s="261">
        <f>'[10]Degree Days 2020'!L30</f>
        <v>0.19999999999999929</v>
      </c>
      <c r="M30" s="498">
        <f>'[12]Degree Days 2020'!M30</f>
        <v>21</v>
      </c>
      <c r="N30" s="261">
        <f>'[2]Degree Days 2022'!N30</f>
        <v>0</v>
      </c>
      <c r="O30" s="261">
        <f>'[2]Degree Days 2022'!O30</f>
        <v>0</v>
      </c>
      <c r="P30" s="261">
        <f t="shared" si="0"/>
        <v>-18.3</v>
      </c>
      <c r="Q30" s="498">
        <v>21</v>
      </c>
      <c r="R30" s="261">
        <f>'General information '!B25</f>
        <v>0</v>
      </c>
      <c r="S30" s="261">
        <f>'General information '!C25</f>
        <v>0</v>
      </c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21</v>
      </c>
      <c r="D31" s="261">
        <f>'[10]Degree Days 2020'!D31</f>
        <v>-4.8000000000000007</v>
      </c>
      <c r="E31" s="498">
        <f>'[10]Degree Days 2020'!E31</f>
        <v>22</v>
      </c>
      <c r="F31" s="261">
        <f>'[11]Degree Days 2022'!F31</f>
        <v>23</v>
      </c>
      <c r="G31" s="261">
        <f>'[11]Degree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'[6]Degree Days 2022'!J31</f>
        <v>15</v>
      </c>
      <c r="K31" s="261">
        <f>'[6]Degree Days 2022'!K31</f>
        <v>11</v>
      </c>
      <c r="L31" s="261">
        <f>'[10]Degree Days 2020'!L31</f>
        <v>1.6999999999999993</v>
      </c>
      <c r="M31" s="498">
        <f>'[12]Degree Days 2020'!M31</f>
        <v>22</v>
      </c>
      <c r="N31" s="261">
        <f>'[2]Degree Days 2022'!N31</f>
        <v>0</v>
      </c>
      <c r="O31" s="261">
        <f>'[2]Degree Days 2022'!O31</f>
        <v>0</v>
      </c>
      <c r="P31" s="261">
        <f t="shared" si="0"/>
        <v>-18.3</v>
      </c>
      <c r="Q31" s="498">
        <v>22</v>
      </c>
      <c r="R31" s="261">
        <f>'General information '!B26</f>
        <v>24</v>
      </c>
      <c r="S31" s="261">
        <f>'General information '!C26</f>
        <v>21</v>
      </c>
      <c r="T31" s="261">
        <f t="shared" si="1"/>
        <v>4.1999999999999993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'[11]Degree Days 2022'!F32</f>
        <v>25</v>
      </c>
      <c r="G32" s="261">
        <f>'[11]Degree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'[6]Degree Days 2022'!J32</f>
        <v>15</v>
      </c>
      <c r="K32" s="261">
        <f>'[6]Degree Days 2022'!K32</f>
        <v>9</v>
      </c>
      <c r="L32" s="261">
        <f>'[10]Degree Days 2020'!L32</f>
        <v>6.6999999999999993</v>
      </c>
      <c r="M32" s="498">
        <f>'[12]Degree Days 2020'!M32</f>
        <v>23</v>
      </c>
      <c r="N32" s="261">
        <f>'[2]Degree Days 2022'!N32</f>
        <v>0</v>
      </c>
      <c r="O32" s="261">
        <f>'[2]Degree Days 2022'!O32</f>
        <v>0</v>
      </c>
      <c r="P32" s="261">
        <f t="shared" si="0"/>
        <v>-18.3</v>
      </c>
      <c r="Q32" s="498">
        <v>23</v>
      </c>
      <c r="R32" s="261">
        <f>'General information '!B27</f>
        <v>0</v>
      </c>
      <c r="S32" s="261">
        <f>'General information '!C27</f>
        <v>0</v>
      </c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'[11]Degree Days 2022'!F33</f>
        <v>26</v>
      </c>
      <c r="G33" s="261">
        <f>'[11]Degree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'[6]Degree Days 2022'!J33</f>
        <v>13</v>
      </c>
      <c r="K33" s="261">
        <f>'[6]Degree Days 2022'!K33</f>
        <v>9</v>
      </c>
      <c r="L33" s="261">
        <f>'[10]Degree Days 2020'!L33</f>
        <v>-4.8000000000000007</v>
      </c>
      <c r="M33" s="498">
        <f>'[12]Degree Days 2020'!M33</f>
        <v>24</v>
      </c>
      <c r="N33" s="261">
        <f>'[2]Degree Days 2022'!N33</f>
        <v>0</v>
      </c>
      <c r="O33" s="261">
        <f>'[2]Degree Days 2022'!O33</f>
        <v>0</v>
      </c>
      <c r="P33" s="261">
        <f t="shared" si="0"/>
        <v>-18.3</v>
      </c>
      <c r="Q33" s="498">
        <v>24</v>
      </c>
      <c r="R33" s="261">
        <f>'General information '!B28</f>
        <v>0</v>
      </c>
      <c r="S33" s="261">
        <f>'General information '!C28</f>
        <v>0</v>
      </c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'[11]Degree Days 2022'!F34</f>
        <v>0</v>
      </c>
      <c r="G34" s="261">
        <f>'[11]Degree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'[6]Degree Days 2022'!J34</f>
        <v>0</v>
      </c>
      <c r="K34" s="261">
        <f>'[6]Degree Days 2022'!K34</f>
        <v>0</v>
      </c>
      <c r="L34" s="261">
        <f>'[10]Degree Days 2020'!L34</f>
        <v>-4.8000000000000007</v>
      </c>
      <c r="M34" s="498">
        <f>'[12]Degree Days 2020'!M34</f>
        <v>25</v>
      </c>
      <c r="N34" s="261">
        <f>'[2]Degree Days 2022'!N34</f>
        <v>23</v>
      </c>
      <c r="O34" s="261">
        <f>'[2]Degree Days 2022'!O34</f>
        <v>18</v>
      </c>
      <c r="P34" s="261">
        <f t="shared" si="0"/>
        <v>2.1999999999999993</v>
      </c>
      <c r="Q34" s="498">
        <v>25</v>
      </c>
      <c r="R34" s="261">
        <f>'General information '!B29</f>
        <v>0</v>
      </c>
      <c r="S34" s="261">
        <f>'General information '!C29</f>
        <v>0</v>
      </c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'[11]Degree Days 2022'!F35</f>
        <v>0</v>
      </c>
      <c r="G35" s="261">
        <f>'[11]Degree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'[6]Degree Days 2022'!J35</f>
        <v>0</v>
      </c>
      <c r="K35" s="261">
        <f>'[6]Degree Days 2022'!K35</f>
        <v>0</v>
      </c>
      <c r="L35" s="261">
        <f>'[10]Degree Days 2020'!L35</f>
        <v>-5.3000000000000007</v>
      </c>
      <c r="M35" s="498">
        <f>'[12]Degree Days 2020'!M35</f>
        <v>26</v>
      </c>
      <c r="N35" s="261">
        <f>'[2]Degree Days 2022'!N35</f>
        <v>25</v>
      </c>
      <c r="O35" s="261">
        <f>'[2]Degree Days 2022'!O35</f>
        <v>16</v>
      </c>
      <c r="P35" s="261">
        <f t="shared" si="0"/>
        <v>2.1999999999999993</v>
      </c>
      <c r="Q35" s="498">
        <v>26</v>
      </c>
      <c r="R35" s="261">
        <f>'General information '!B30</f>
        <v>0</v>
      </c>
      <c r="S35" s="261">
        <f>'General information '!C30</f>
        <v>0</v>
      </c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'[11]Degree Days 2022'!F36</f>
        <v>18</v>
      </c>
      <c r="G36" s="261">
        <f>'[11]Degree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'[6]Degree Days 2022'!J36</f>
        <v>18</v>
      </c>
      <c r="K36" s="261">
        <f>'[6]Degree Days 2022'!K36</f>
        <v>11</v>
      </c>
      <c r="L36" s="261">
        <f>'[10]Degree Days 2020'!L36</f>
        <v>-4.3000000000000007</v>
      </c>
      <c r="M36" s="498">
        <f>'[12]Degree Days 2020'!M36</f>
        <v>27</v>
      </c>
      <c r="N36" s="261">
        <f>'[2]Degree Days 2022'!N36</f>
        <v>23</v>
      </c>
      <c r="O36" s="261">
        <f>'[2]Degree Days 2022'!O36</f>
        <v>17</v>
      </c>
      <c r="P36" s="261">
        <f t="shared" si="0"/>
        <v>1.6999999999999993</v>
      </c>
      <c r="Q36" s="498">
        <v>27</v>
      </c>
      <c r="R36" s="261">
        <f>'General information '!B31</f>
        <v>0</v>
      </c>
      <c r="S36" s="261">
        <f>'General information '!C31</f>
        <v>0</v>
      </c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'[11]Degree Days 2022'!F37</f>
        <v>17</v>
      </c>
      <c r="G37" s="261">
        <f>'[11]Degree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'[6]Degree Days 2022'!J37</f>
        <v>18</v>
      </c>
      <c r="K37" s="261">
        <f>'[6]Degree Days 2022'!K37</f>
        <v>11</v>
      </c>
      <c r="L37" s="261">
        <f>'[10]Degree Days 2020'!L37</f>
        <v>-3.3000000000000007</v>
      </c>
      <c r="M37" s="498">
        <f>'[12]Degree Days 2020'!M37</f>
        <v>28</v>
      </c>
      <c r="N37" s="261">
        <f>'[2]Degree Days 2022'!N37</f>
        <v>22</v>
      </c>
      <c r="O37" s="261">
        <f>'[2]Degree Days 2022'!O37</f>
        <v>19</v>
      </c>
      <c r="P37" s="261">
        <f t="shared" si="0"/>
        <v>2.1999999999999993</v>
      </c>
      <c r="Q37" s="498">
        <v>28</v>
      </c>
      <c r="R37" s="261">
        <f>'General information '!B32</f>
        <v>0</v>
      </c>
      <c r="S37" s="261">
        <f>'General information '!C32</f>
        <v>0</v>
      </c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'[6]Degree Days 2022'!J38</f>
        <v>22</v>
      </c>
      <c r="K38" s="261">
        <f>'[6]Degree Days 2022'!K38</f>
        <v>12</v>
      </c>
      <c r="L38" s="261">
        <f>'[10]Degree Days 2020'!L38</f>
        <v>-2.8000000000000007</v>
      </c>
      <c r="M38" s="498">
        <f>'[12]Degree Days 2020'!M38</f>
        <v>29</v>
      </c>
      <c r="N38" s="261">
        <f>'[2]Degree Days 2022'!N38</f>
        <v>0</v>
      </c>
      <c r="O38" s="261">
        <f>'[2]Degree Days 2022'!O38</f>
        <v>0</v>
      </c>
      <c r="P38" s="261">
        <f t="shared" si="0"/>
        <v>-18.3</v>
      </c>
      <c r="Q38" s="498">
        <v>29</v>
      </c>
      <c r="R38" s="261">
        <f>'General information '!B33</f>
        <v>0</v>
      </c>
      <c r="S38" s="261">
        <f>'General information '!C33</f>
        <v>0</v>
      </c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'[6]Degree Days 2022'!J39</f>
        <v>19</v>
      </c>
      <c r="K39" s="261">
        <f>'[6]Degree Days 2022'!K39</f>
        <v>15</v>
      </c>
      <c r="L39" s="261">
        <f>'[10]Degree Days 2020'!L39</f>
        <v>-2.3000000000000007</v>
      </c>
      <c r="M39" s="498">
        <f>'[12]Degree Days 2020'!M39</f>
        <v>30</v>
      </c>
      <c r="N39" s="261">
        <f>'[2]Degree Days 2022'!N39</f>
        <v>0</v>
      </c>
      <c r="O39" s="261">
        <f>'[2]Degree Days 2022'!O39</f>
        <v>0</v>
      </c>
      <c r="P39" s="261">
        <f t="shared" si="0"/>
        <v>-18.3</v>
      </c>
      <c r="Q39" s="498">
        <v>30</v>
      </c>
      <c r="R39" s="261">
        <f>'General information '!B34</f>
        <v>0</v>
      </c>
      <c r="S39" s="261">
        <f>'General information '!C34</f>
        <v>0</v>
      </c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'[6]Degree Days 2022'!J40</f>
        <v>21</v>
      </c>
      <c r="K40" s="261">
        <f>'[6]Degree Days 2022'!K40</f>
        <v>13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>
        <f>'General information '!B35</f>
        <v>0</v>
      </c>
      <c r="S40" s="261">
        <f>'General information '!C35</f>
        <v>0</v>
      </c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-274.50000000000006</v>
      </c>
      <c r="S43" s="119">
        <f>SUMIF(T10:T37,"&gt;0")</f>
        <v>27.099999999999991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6" t="s">
        <v>174</v>
      </c>
      <c r="O84" s="716" t="s">
        <v>175</v>
      </c>
      <c r="P84" s="134"/>
      <c r="T84" s="134"/>
      <c r="X84" s="134"/>
    </row>
    <row r="85" spans="1:24" ht="20.25" thickBot="1">
      <c r="D85" s="134"/>
      <c r="I85" s="718" t="s">
        <v>182</v>
      </c>
      <c r="J85" s="719"/>
      <c r="K85" s="719"/>
      <c r="L85" s="719"/>
      <c r="N85" s="717"/>
      <c r="O85" s="717"/>
      <c r="P85" s="134"/>
      <c r="R85" s="17"/>
      <c r="S85" s="17"/>
      <c r="T85" s="140"/>
      <c r="U85" s="141"/>
      <c r="X85" s="134"/>
    </row>
    <row r="86" spans="1:24" ht="18.75" thickBot="1">
      <c r="D86" s="134"/>
      <c r="I86" s="720" t="s">
        <v>183</v>
      </c>
      <c r="J86" s="720"/>
      <c r="K86" s="720"/>
      <c r="L86" s="720"/>
      <c r="N86" s="142">
        <f>B43+F43+J43+N43+R43+V43+B81+F81+J81+N81+R81+V81</f>
        <v>-4584.1000000000004</v>
      </c>
      <c r="O86" s="142">
        <f>C43+G43+K43+O43+S43+W43+C81+G81+K81+O81+S81+W81</f>
        <v>81.999999999999972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0"/>
      <c r="C88" s="710"/>
      <c r="D88" s="710"/>
      <c r="E88" s="710"/>
      <c r="F88" s="710"/>
      <c r="G88" s="710"/>
      <c r="H88" s="710"/>
      <c r="I88" s="710"/>
      <c r="J88" s="710"/>
      <c r="K88" s="710"/>
      <c r="L88" s="710"/>
      <c r="M88" s="710"/>
      <c r="N88" s="710"/>
      <c r="O88" s="710"/>
      <c r="P88" s="710"/>
      <c r="Q88" s="710"/>
      <c r="R88" s="710"/>
      <c r="S88" s="710"/>
      <c r="T88" s="710"/>
      <c r="U88" s="710"/>
      <c r="V88" s="710"/>
      <c r="W88" s="71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1" t="s">
        <v>214</v>
      </c>
      <c r="B2" s="721"/>
      <c r="C2" s="721"/>
      <c r="D2" s="721"/>
      <c r="E2" s="721"/>
      <c r="F2" s="721"/>
      <c r="G2" s="721"/>
      <c r="H2" s="721"/>
      <c r="I2" s="721"/>
    </row>
    <row r="3" spans="1:11">
      <c r="A3" s="193">
        <v>44703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22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631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15090</v>
      </c>
      <c r="C8" s="466">
        <f>SUM(tanks!AU37)</f>
        <v>1.0775000000000001</v>
      </c>
      <c r="D8" s="191">
        <f>SUM(B8*C8)*D4</f>
        <v>24511158.562500004</v>
      </c>
      <c r="E8" s="192">
        <f>SUM(D8/D4/F4)</f>
        <v>524.49919354838721</v>
      </c>
      <c r="F8" s="192">
        <f>SUM(E8*F4)</f>
        <v>16259.475000000004</v>
      </c>
      <c r="G8" s="570">
        <f>E8*$G$4</f>
        <v>11538.98225806452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2358</v>
      </c>
      <c r="C10" s="181"/>
      <c r="D10" s="183">
        <f>'EDl log'!AB30</f>
        <v>7489053</v>
      </c>
      <c r="E10" s="182">
        <f>SUM(D10/D4/F4)</f>
        <v>160.25363505055367</v>
      </c>
      <c r="F10" s="182">
        <f>SUM(E10*F4)</f>
        <v>4967.862686567164</v>
      </c>
      <c r="G10" s="478">
        <f>E10*$G$4</f>
        <v>3525.5799711121808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949.26895763119887</v>
      </c>
      <c r="F12" s="180">
        <f>SUM(F6:F10)</f>
        <v>29427.337686567171</v>
      </c>
      <c r="G12" s="179">
        <f>SUM(G6:G10)</f>
        <v>23264.562229176699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'!$D$14</f>
        <v>157.19999999999999</v>
      </c>
      <c r="D14" s="170"/>
      <c r="E14" s="416">
        <f>B14-C14</f>
        <v>-157.19999999999999</v>
      </c>
      <c r="F14" s="477">
        <v>0</v>
      </c>
      <c r="G14" s="405"/>
      <c r="H14" s="406">
        <f>SUM(G12-H12)</f>
        <v>-56864.337770823295</v>
      </c>
      <c r="I14" s="406">
        <f>SUM(G12-I12)</f>
        <v>-27979.35749125341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'!$D$15</f>
        <v>0</v>
      </c>
      <c r="D15" s="170"/>
      <c r="E15" s="416">
        <f>B15-C15</f>
        <v>-549.00000000000011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29.444444444444443</v>
      </c>
      <c r="C16" s="415">
        <f>'[14]Utility Cost '!$D$16</f>
        <v>20.951612903225808</v>
      </c>
      <c r="D16" s="415"/>
      <c r="E16" s="576">
        <f>B16-C16</f>
        <v>8.492831541218635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1">
        <f>'[14]Utility Cost '!$D$17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148</v>
      </c>
      <c r="C18" s="416">
        <f>'[14]Utility Cost '!$D$18</f>
        <v>172.73885330486587</v>
      </c>
      <c r="D18" s="413">
        <f>'[15]Other Fuel Calculation 2021'!$G$116</f>
        <v>202.66666666666666</v>
      </c>
      <c r="E18" s="492">
        <f>B18-C18</f>
        <v>-24.73885330486587</v>
      </c>
      <c r="F18" s="495">
        <f>B18-D18</f>
        <v>-54.666666666666657</v>
      </c>
    </row>
    <row r="19" spans="1:10">
      <c r="A19" s="489" t="s">
        <v>412</v>
      </c>
      <c r="B19" s="493">
        <f>GEN!AL34</f>
        <v>14</v>
      </c>
      <c r="C19" s="416"/>
      <c r="D19" s="413"/>
      <c r="E19" s="492"/>
      <c r="F19" s="495"/>
    </row>
    <row r="20" spans="1:10">
      <c r="A20" s="489" t="s">
        <v>406</v>
      </c>
      <c r="B20" s="487">
        <f>B18/B19</f>
        <v>10.571428571428571</v>
      </c>
      <c r="C20" s="602">
        <f>'[14]Utility Cost '!$E$19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2" priority="2" stopIfTrue="1" operator="lessThan">
      <formula>0</formula>
    </cfRule>
  </conditionalFormatting>
  <conditionalFormatting sqref="F14:F19">
    <cfRule type="cellIs" dxfId="1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2022-05-23T09:20:36Z</dcterms:modified>
</cp:coreProperties>
</file>