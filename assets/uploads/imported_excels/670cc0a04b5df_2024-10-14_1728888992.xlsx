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126" documentId="8_{94E09A37-EE3F-4C9E-A72D-0ED23F721CEB}" xr6:coauthVersionLast="47" xr6:coauthVersionMax="47" xr10:uidLastSave="{E171476C-1523-4FA1-8076-50C756FB2AF6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" i="1" l="1"/>
  <c r="AF9" i="1"/>
  <c r="AF10" i="1"/>
  <c r="AF11" i="1"/>
  <c r="AF12" i="1"/>
  <c r="AF13" i="1"/>
  <c r="AF14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C2" i="1"/>
  <c r="E2" i="1"/>
  <c r="G2" i="1"/>
  <c r="K2" i="1"/>
  <c r="M2" i="1"/>
  <c r="N32" i="2"/>
  <c r="M32" i="2"/>
  <c r="K32" i="2"/>
  <c r="I32" i="2"/>
  <c r="G32" i="2"/>
  <c r="AF4" i="1"/>
  <c r="AF5" i="1"/>
  <c r="AF6" i="1"/>
  <c r="AF7" i="1"/>
  <c r="AD4" i="1"/>
  <c r="AD5" i="1"/>
  <c r="AD6" i="1"/>
  <c r="AD7" i="1"/>
  <c r="AB4" i="1"/>
  <c r="AB5" i="1"/>
  <c r="AB6" i="1"/>
  <c r="AB7" i="1"/>
  <c r="U4" i="1"/>
  <c r="U5" i="1"/>
  <c r="U6" i="1"/>
  <c r="U7" i="1"/>
  <c r="Q4" i="1"/>
  <c r="Q5" i="1"/>
  <c r="Q6" i="1"/>
  <c r="Q7" i="1"/>
  <c r="O4" i="1"/>
  <c r="O5" i="1"/>
  <c r="O6" i="1"/>
  <c r="O7" i="1"/>
  <c r="K4" i="1"/>
  <c r="K5" i="1"/>
  <c r="K6" i="1"/>
  <c r="K7" i="1"/>
  <c r="M4" i="1"/>
  <c r="M5" i="1"/>
  <c r="M6" i="1"/>
  <c r="M7" i="1"/>
  <c r="H2" i="1" l="1"/>
  <c r="G4" i="1"/>
  <c r="G5" i="1"/>
  <c r="G6" i="1"/>
  <c r="G7" i="1"/>
  <c r="E4" i="1"/>
  <c r="E5" i="1"/>
  <c r="E6" i="1"/>
  <c r="E7" i="1"/>
  <c r="C4" i="1"/>
  <c r="C5" i="1"/>
  <c r="C6" i="1"/>
  <c r="C7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3" i="1" l="1"/>
  <c r="Z9" i="1"/>
  <c r="Z12" i="1"/>
  <c r="G12" i="2" s="1"/>
  <c r="Z8" i="1"/>
  <c r="G8" i="2" s="1"/>
  <c r="Z11" i="1"/>
  <c r="G11" i="2" s="1"/>
  <c r="Z14" i="1"/>
  <c r="G14" i="2" s="1"/>
  <c r="Z10" i="1"/>
  <c r="G25" i="2"/>
  <c r="G21" i="2"/>
  <c r="G20" i="2"/>
  <c r="G18" i="2"/>
  <c r="G16" i="2"/>
  <c r="G13" i="2"/>
  <c r="G9" i="2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4" i="2"/>
  <c r="G23" i="2"/>
  <c r="G22" i="2"/>
  <c r="G19" i="2"/>
  <c r="G17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<sst xmlns="http://schemas.openxmlformats.org/spreadsheetml/2006/main" count="82" uniqueCount="41">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</sst>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2" sqref="F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4" customWidth="1"/>
    <col min="6" max="6" width="12.5703125" style="126" customWidth="1"/>
    <col min="7" max="7" width="8.85546875" style="129"/>
    <col min="8" max="8" width="8.85546875" style="131"/>
    <col min="9" max="10" width="8.85546875" style="135"/>
    <col min="11" max="12" width="12.28515625" style="139" bestFit="1" customWidth="1"/>
    <col min="13" max="13" width="8.85546875" style="142"/>
    <col min="14" max="14" width="11.5703125" style="142" customWidth="1"/>
    <col min="15" max="16384" width="8.85546875" style="5"/>
  </cols>
  <sheetData>
    <row r="1" spans="1:14" ht="75.75" thickBot="1" x14ac:dyDescent="0.25">
      <c r="A1" s="121" t="s">
        <v>0</v>
      </c>
      <c r="B1" s="121" t="s">
        <v>1</v>
      </c>
      <c r="C1" s="143" t="s">
        <v>2</v>
      </c>
      <c r="D1" s="143" t="s">
        <v>3</v>
      </c>
      <c r="E1" s="122" t="s">
        <v>4</v>
      </c>
      <c r="F1" s="123" t="s">
        <v>5</v>
      </c>
      <c r="G1" s="127" t="s">
        <v>6</v>
      </c>
      <c r="H1" s="128" t="s">
        <v>40</v>
      </c>
      <c r="I1" s="132" t="s">
        <v>7</v>
      </c>
      <c r="J1" s="132" t="s">
        <v>8</v>
      </c>
      <c r="K1" s="136" t="s">
        <v>9</v>
      </c>
      <c r="L1" s="136" t="s">
        <v>10</v>
      </c>
      <c r="M1" s="140" t="s">
        <v>11</v>
      </c>
      <c r="N1" s="140" t="s">
        <v>12</v>
      </c>
    </row>
    <row r="2" spans="1:14" ht="15.75" thickTop="1" x14ac:dyDescent="0.25">
      <c r="A2" s="120" t="s">
        <v>13</v>
      </c>
      <c r="B2" s="5">
        <v>1</v>
      </c>
      <c r="C2" s="144">
        <v>10</v>
      </c>
      <c r="D2" s="145">
        <v>2024</v>
      </c>
      <c r="E2" s="124">
        <f>IF(ALMYRA!H2&lt;0,"0",ALMYRA!H2)</f>
        <v>7442</v>
      </c>
      <c r="F2" s="125">
        <f>(ALMYRA!C2*0.24)/E2</f>
        <v>0.17988712711636656</v>
      </c>
      <c r="G2" s="129">
        <f>ALMYRA!Z2</f>
        <v>200.00000000000045</v>
      </c>
      <c r="H2" s="130">
        <v>0.65800000000000003</v>
      </c>
      <c r="I2" s="133">
        <f>IF(ALMYRA!AB2&lt;0,"0",ALMYRA!AB2)</f>
        <v>99</v>
      </c>
      <c r="J2" s="134">
        <v>2.4</v>
      </c>
      <c r="K2" s="137">
        <f>ALMYRA!U2</f>
        <v>97</v>
      </c>
      <c r="L2" s="138">
        <v>0.88</v>
      </c>
      <c r="M2" s="141">
        <f>ALMYRA!AJ2</f>
        <v>157</v>
      </c>
      <c r="N2" s="141">
        <f>ALMYRA!AK2</f>
        <v>318</v>
      </c>
    </row>
    <row r="3" spans="1:14" ht="15" x14ac:dyDescent="0.25">
      <c r="A3" s="120" t="s">
        <v>13</v>
      </c>
      <c r="B3" s="5">
        <f>B2+1</f>
        <v>2</v>
      </c>
      <c r="C3" s="144">
        <v>10</v>
      </c>
      <c r="D3" s="145">
        <v>2024</v>
      </c>
      <c r="E3" s="124">
        <f>IF(ALMYRA!H3&lt;0,"0",ALMYRA!H3)</f>
        <v>7266</v>
      </c>
      <c r="F3" s="125">
        <f>(ALMYRA!C3*0.24)/E3</f>
        <v>0.17390586292320395</v>
      </c>
      <c r="G3" s="129">
        <f>ALMYRA!Z3</f>
        <v>200</v>
      </c>
      <c r="H3" s="130">
        <v>0.65800000000000003</v>
      </c>
      <c r="I3" s="133">
        <f>IF(ALMYRA!AB3&lt;0,"0",ALMYRA!AB3)</f>
        <v>104</v>
      </c>
      <c r="J3" s="134">
        <v>2.4</v>
      </c>
      <c r="K3" s="137">
        <f>ALMYRA!U3</f>
        <v>195</v>
      </c>
      <c r="L3" s="138">
        <v>0.88</v>
      </c>
      <c r="M3" s="141">
        <f>ALMYRA!AJ3</f>
        <v>172</v>
      </c>
      <c r="N3" s="141">
        <f>ALMYRA!AK3</f>
        <v>350</v>
      </c>
    </row>
    <row r="4" spans="1:14" ht="15" x14ac:dyDescent="0.25">
      <c r="A4" s="120" t="s">
        <v>13</v>
      </c>
      <c r="B4" s="5">
        <f t="shared" ref="B4:B32" si="0">B3+1</f>
        <v>3</v>
      </c>
      <c r="C4" s="144">
        <v>10</v>
      </c>
      <c r="D4" s="145">
        <v>2024</v>
      </c>
      <c r="E4" s="124">
        <f>IF(ALMYRA!H4&lt;0,"0",ALMYRA!H4)</f>
        <v>7274</v>
      </c>
      <c r="F4" s="125">
        <f>(ALMYRA!C4*0.24)/E4</f>
        <v>0.17467143249931261</v>
      </c>
      <c r="G4" s="129">
        <f>ALMYRA!Z4</f>
        <v>100</v>
      </c>
      <c r="H4" s="130">
        <v>0.65800000000000003</v>
      </c>
      <c r="I4" s="133">
        <f>IF(ALMYRA!AB4&lt;0,"0",ALMYRA!AB4)</f>
        <v>101</v>
      </c>
      <c r="J4" s="134">
        <v>2.4</v>
      </c>
      <c r="K4" s="137">
        <f>ALMYRA!U4</f>
        <v>98</v>
      </c>
      <c r="L4" s="138">
        <v>0.88</v>
      </c>
      <c r="M4" s="141">
        <f>ALMYRA!AJ4</f>
        <v>176</v>
      </c>
      <c r="N4" s="141">
        <f>ALMYRA!AK4</f>
        <v>355</v>
      </c>
    </row>
    <row r="5" spans="1:14" ht="15" x14ac:dyDescent="0.25">
      <c r="A5" s="120" t="s">
        <v>13</v>
      </c>
      <c r="B5" s="5">
        <f t="shared" si="0"/>
        <v>4</v>
      </c>
      <c r="C5" s="144">
        <v>10</v>
      </c>
      <c r="D5" s="145">
        <v>2024</v>
      </c>
      <c r="E5" s="124">
        <f>IF(ALMYRA!H5&lt;0,"0",ALMYRA!H5)</f>
        <v>7071</v>
      </c>
      <c r="F5" s="125">
        <f>(ALMYRA!C5*0.24)/E5</f>
        <v>0.17337293169282986</v>
      </c>
      <c r="G5" s="129">
        <f>ALMYRA!Z5</f>
        <v>225</v>
      </c>
      <c r="H5" s="130">
        <v>0.65800000000000003</v>
      </c>
      <c r="I5" s="133">
        <f>IF(ALMYRA!AB5&lt;0,"0",ALMYRA!AB5)</f>
        <v>93</v>
      </c>
      <c r="J5" s="134">
        <v>2.4</v>
      </c>
      <c r="K5" s="137">
        <f>ALMYRA!U5</f>
        <v>103</v>
      </c>
      <c r="L5" s="138">
        <v>0.88</v>
      </c>
      <c r="M5" s="141">
        <f>ALMYRA!AJ5</f>
        <v>169</v>
      </c>
      <c r="N5" s="141">
        <f>ALMYRA!AK5</f>
        <v>345</v>
      </c>
    </row>
    <row r="6" spans="1:14" ht="15" x14ac:dyDescent="0.25">
      <c r="A6" s="120" t="s">
        <v>13</v>
      </c>
      <c r="B6" s="5">
        <f t="shared" si="0"/>
        <v>5</v>
      </c>
      <c r="C6" s="144">
        <v>10</v>
      </c>
      <c r="D6" s="145">
        <v>2024</v>
      </c>
      <c r="E6" s="124">
        <f>IF(ALMYRA!H6&lt;0,"0",ALMYRA!H6)</f>
        <v>7183</v>
      </c>
      <c r="F6" s="125">
        <f>(ALMYRA!C6*0.24)/E6</f>
        <v>0.17511346234163996</v>
      </c>
      <c r="G6" s="129">
        <f>ALMYRA!Z6</f>
        <v>100</v>
      </c>
      <c r="H6" s="130">
        <v>0.65800000000000003</v>
      </c>
      <c r="I6" s="133">
        <f>IF(ALMYRA!AB6&lt;0,"0",ALMYRA!AB6)</f>
        <v>86</v>
      </c>
      <c r="J6" s="134">
        <v>2.4</v>
      </c>
      <c r="K6" s="137">
        <f>ALMYRA!U6</f>
        <v>94</v>
      </c>
      <c r="L6" s="138">
        <v>0.88</v>
      </c>
      <c r="M6" s="141">
        <f>ALMYRA!AJ6</f>
        <v>179</v>
      </c>
      <c r="N6" s="141">
        <f>ALMYRA!AK6</f>
        <v>357</v>
      </c>
    </row>
    <row r="7" spans="1:14" ht="15" x14ac:dyDescent="0.25">
      <c r="A7" s="120" t="s">
        <v>13</v>
      </c>
      <c r="B7" s="5">
        <f t="shared" si="0"/>
        <v>6</v>
      </c>
      <c r="C7" s="144">
        <v>10</v>
      </c>
      <c r="D7" s="145">
        <v>2024</v>
      </c>
      <c r="E7" s="124">
        <f>IF(ALMYRA!H7&lt;0,"0",ALMYRA!H7)</f>
        <v>7306</v>
      </c>
      <c r="F7" s="125">
        <f>(ALMYRA!C7*0.24)/E7</f>
        <v>0.17702710101286612</v>
      </c>
      <c r="G7" s="129">
        <f>ALMYRA!Z7</f>
        <v>150</v>
      </c>
      <c r="H7" s="130">
        <v>0.65800000000000003</v>
      </c>
      <c r="I7" s="133">
        <f>IF(ALMYRA!AB7&lt;0,"0",ALMYRA!AB7)</f>
        <v>89</v>
      </c>
      <c r="J7" s="134">
        <v>2.4</v>
      </c>
      <c r="K7" s="137">
        <f>ALMYRA!U7</f>
        <v>98</v>
      </c>
      <c r="L7" s="138">
        <v>0.88</v>
      </c>
      <c r="M7" s="141">
        <f>ALMYRA!AJ7</f>
        <v>161</v>
      </c>
      <c r="N7" s="141">
        <f>ALMYRA!AK7</f>
        <v>305</v>
      </c>
    </row>
    <row r="8" spans="1:14" ht="15" x14ac:dyDescent="0.25">
      <c r="A8" s="120" t="s">
        <v>13</v>
      </c>
      <c r="B8" s="5">
        <f t="shared" si="0"/>
        <v>7</v>
      </c>
      <c r="C8" s="144">
        <v>10</v>
      </c>
      <c r="D8" s="145">
        <v>2024</v>
      </c>
      <c r="E8" s="124">
        <f>IF(ALMYRA!H8&lt;0,"0",ALMYRA!H8)</f>
        <v>7071</v>
      </c>
      <c r="F8" s="125">
        <f>(ALMYRA!C8*0.24)/E8</f>
        <v>0.17669919389053884</v>
      </c>
      <c r="G8" s="129">
        <f>ALMYRA!Z8</f>
        <v>241.85000000000036</v>
      </c>
      <c r="H8" s="130">
        <v>0.65800000000000003</v>
      </c>
      <c r="I8" s="133">
        <f>IF(ALMYRA!AB8&lt;0,"0",ALMYRA!AB8)</f>
        <v>77</v>
      </c>
      <c r="J8" s="134">
        <v>2.4</v>
      </c>
      <c r="K8" s="137">
        <f>ALMYRA!U8</f>
        <v>99</v>
      </c>
      <c r="L8" s="138">
        <v>0.88</v>
      </c>
      <c r="M8" s="141">
        <f>ALMYRA!AJ8</f>
        <v>129</v>
      </c>
      <c r="N8" s="141">
        <f>ALMYRA!AK8</f>
        <v>250</v>
      </c>
    </row>
    <row r="9" spans="1:14" ht="15" x14ac:dyDescent="0.25">
      <c r="A9" s="120" t="s">
        <v>13</v>
      </c>
      <c r="B9" s="5">
        <f t="shared" si="0"/>
        <v>8</v>
      </c>
      <c r="C9" s="144">
        <v>10</v>
      </c>
      <c r="D9" s="145">
        <v>2024</v>
      </c>
      <c r="E9" s="124">
        <f>IF(ALMYRA!H9&lt;0,"0",ALMYRA!H9)</f>
        <v>6957</v>
      </c>
      <c r="F9" s="125">
        <f>(ALMYRA!C9*0.24)/E9</f>
        <v>0.17490297542043984</v>
      </c>
      <c r="G9" s="129">
        <f>ALMYRA!Z9</f>
        <v>275</v>
      </c>
      <c r="H9" s="130">
        <v>0.65800000000000003</v>
      </c>
      <c r="I9" s="133">
        <f>IF(ALMYRA!AB9&lt;0,"0",ALMYRA!AB9)</f>
        <v>76</v>
      </c>
      <c r="J9" s="134">
        <v>2.4</v>
      </c>
      <c r="K9" s="137">
        <f>ALMYRA!U9</f>
        <v>99</v>
      </c>
      <c r="L9" s="138">
        <v>0.88</v>
      </c>
      <c r="M9" s="141">
        <f>ALMYRA!AJ9</f>
        <v>123</v>
      </c>
      <c r="N9" s="141">
        <f>ALMYRA!AK9</f>
        <v>240</v>
      </c>
    </row>
    <row r="10" spans="1:14" ht="15" x14ac:dyDescent="0.25">
      <c r="A10" s="120" t="s">
        <v>13</v>
      </c>
      <c r="B10" s="5">
        <f t="shared" si="0"/>
        <v>9</v>
      </c>
      <c r="C10" s="144">
        <v>10</v>
      </c>
      <c r="D10" s="145">
        <v>2024</v>
      </c>
      <c r="E10" s="124">
        <f>IF(ALMYRA!H10&lt;0,"0",ALMYRA!H10)</f>
        <v>6799</v>
      </c>
      <c r="F10" s="125">
        <f>(ALMYRA!C10*0.24)/E10</f>
        <v>0.1740961906162671</v>
      </c>
      <c r="G10" s="129">
        <f>ALMYRA!Z10</f>
        <v>25</v>
      </c>
      <c r="H10" s="130">
        <v>0.65800000000000003</v>
      </c>
      <c r="I10" s="133">
        <f>IF(ALMYRA!AB10&lt;0,"0",ALMYRA!AB10)</f>
        <v>73</v>
      </c>
      <c r="J10" s="134">
        <v>2.4</v>
      </c>
      <c r="K10" s="137">
        <f>ALMYRA!U10</f>
        <v>100</v>
      </c>
      <c r="L10" s="138">
        <v>0.88</v>
      </c>
      <c r="M10" s="141">
        <f>ALMYRA!AJ10</f>
        <v>143</v>
      </c>
      <c r="N10" s="141">
        <f>ALMYRA!AK10</f>
        <v>275</v>
      </c>
    </row>
    <row r="11" spans="1:14" ht="15" x14ac:dyDescent="0.25">
      <c r="A11" s="120" t="s">
        <v>13</v>
      </c>
      <c r="B11" s="5">
        <f t="shared" si="0"/>
        <v>10</v>
      </c>
      <c r="C11" s="144">
        <v>10</v>
      </c>
      <c r="D11" s="145">
        <v>2024</v>
      </c>
      <c r="E11" s="124">
        <f>IF(ALMYRA!H11&lt;0,"0",ALMYRA!H11)</f>
        <v>6958</v>
      </c>
      <c r="F11" s="125">
        <f>(ALMYRA!C11*0.24)/E11</f>
        <v>0.17808565679793043</v>
      </c>
      <c r="G11" s="129">
        <f>ALMYRA!Z11</f>
        <v>150</v>
      </c>
      <c r="H11" s="130">
        <v>0.65800000000000003</v>
      </c>
      <c r="I11" s="133">
        <f>IF(ALMYRA!AB11&lt;0,"0",ALMYRA!AB11)</f>
        <v>77</v>
      </c>
      <c r="J11" s="134">
        <v>2.4</v>
      </c>
      <c r="K11" s="137">
        <f>ALMYRA!U11</f>
        <v>199</v>
      </c>
      <c r="L11" s="138">
        <v>0.88</v>
      </c>
      <c r="M11" s="141">
        <f>ALMYRA!AJ11</f>
        <v>145</v>
      </c>
      <c r="N11" s="141">
        <f>ALMYRA!AK11</f>
        <v>265</v>
      </c>
    </row>
    <row r="12" spans="1:14" ht="15" x14ac:dyDescent="0.25">
      <c r="A12" s="120" t="s">
        <v>13</v>
      </c>
      <c r="B12" s="5">
        <f t="shared" si="0"/>
        <v>11</v>
      </c>
      <c r="C12" s="144">
        <v>10</v>
      </c>
      <c r="D12" s="145">
        <v>2024</v>
      </c>
      <c r="E12" s="124">
        <f>IF(ALMYRA!H12&lt;0,"0",ALMYRA!H12)</f>
        <v>7013</v>
      </c>
      <c r="F12" s="125">
        <f>(ALMYRA!C12*0.24)/E12</f>
        <v>0.19226008840724368</v>
      </c>
      <c r="G12" s="129">
        <f>ALMYRA!Z12</f>
        <v>150</v>
      </c>
      <c r="H12" s="130">
        <v>0.65800000000000003</v>
      </c>
      <c r="I12" s="133">
        <f>IF(ALMYRA!AB12&lt;0,"0",ALMYRA!AB12)</f>
        <v>88</v>
      </c>
      <c r="J12" s="134">
        <v>2.4</v>
      </c>
      <c r="K12" s="137">
        <f>ALMYRA!U12</f>
        <v>100</v>
      </c>
      <c r="L12" s="138">
        <v>0.88</v>
      </c>
      <c r="M12" s="141">
        <f>ALMYRA!AJ12</f>
        <v>167</v>
      </c>
      <c r="N12" s="141">
        <f>ALMYRA!AK12</f>
        <v>322</v>
      </c>
    </row>
    <row r="13" spans="1:14" ht="15" x14ac:dyDescent="0.25">
      <c r="A13" s="120" t="s">
        <v>13</v>
      </c>
      <c r="B13" s="5">
        <f t="shared" si="0"/>
        <v>12</v>
      </c>
      <c r="C13" s="144">
        <v>10</v>
      </c>
      <c r="D13" s="145">
        <v>2024</v>
      </c>
      <c r="E13" s="124">
        <f>IF(ALMYRA!H13&lt;0,"0",ALMYRA!H13)</f>
        <v>7068</v>
      </c>
      <c r="F13" s="125">
        <f>(ALMYRA!C13*0.24)/E13</f>
        <v>0.18139219015280134</v>
      </c>
      <c r="G13" s="129">
        <f>ALMYRA!Z13</f>
        <v>150</v>
      </c>
      <c r="H13" s="130">
        <v>0.65800000000000003</v>
      </c>
      <c r="I13" s="133">
        <f>IF(ALMYRA!AB13&lt;0,"0",ALMYRA!AB13)</f>
        <v>86</v>
      </c>
      <c r="J13" s="134">
        <v>2.4</v>
      </c>
      <c r="K13" s="137">
        <f>ALMYRA!U13</f>
        <v>50</v>
      </c>
      <c r="L13" s="138">
        <v>0.88</v>
      </c>
      <c r="M13" s="141">
        <f>ALMYRA!AJ13</f>
        <v>171</v>
      </c>
      <c r="N13" s="141">
        <f>ALMYRA!AK13</f>
        <v>323</v>
      </c>
    </row>
    <row r="14" spans="1:14" ht="15" x14ac:dyDescent="0.25">
      <c r="A14" s="120" t="s">
        <v>13</v>
      </c>
      <c r="B14" s="5">
        <f t="shared" si="0"/>
        <v>13</v>
      </c>
      <c r="C14" s="144">
        <v>10</v>
      </c>
      <c r="D14" s="145">
        <v>2024</v>
      </c>
      <c r="E14" s="124">
        <f>IF(ALMYRA!H14&lt;0,"0",ALMYRA!H14)</f>
        <v>6903</v>
      </c>
      <c r="F14" s="125">
        <f>(ALMYRA!C14*0.24)/E14</f>
        <v>0.18419817470664929</v>
      </c>
      <c r="G14" s="129">
        <f>ALMYRA!Z14</f>
        <v>100</v>
      </c>
      <c r="H14" s="130">
        <v>0.65800000000000003</v>
      </c>
      <c r="I14" s="133">
        <f>IF(ALMYRA!AB14&lt;0,"0",ALMYRA!AB14)</f>
        <v>87</v>
      </c>
      <c r="J14" s="134">
        <v>2.4</v>
      </c>
      <c r="K14" s="137">
        <f>ALMYRA!U14</f>
        <v>150</v>
      </c>
      <c r="L14" s="138">
        <v>0.88</v>
      </c>
      <c r="M14" s="141">
        <f>ALMYRA!AJ14</f>
        <v>141</v>
      </c>
      <c r="N14" s="141">
        <f>ALMYRA!AK14</f>
        <v>263</v>
      </c>
    </row>
    <row r="15" spans="1:14" ht="15" x14ac:dyDescent="0.25">
      <c r="A15" s="120" t="s">
        <v>13</v>
      </c>
      <c r="B15" s="5">
        <f t="shared" si="0"/>
        <v>14</v>
      </c>
      <c r="C15" s="144">
        <v>10</v>
      </c>
      <c r="D15" s="145">
        <v>2024</v>
      </c>
      <c r="E15" s="124">
        <f>IF(ALMYRA!H15&lt;0,"0",ALMYRA!H15)</f>
        <v>0</v>
      </c>
      <c r="F15" s="125" t="e">
        <f>(ALMYRA!C15*0.24)/E15</f>
        <v>#DIV/0!</v>
      </c>
      <c r="G15" s="129">
        <f>ALMYRA!Z15</f>
        <v>0</v>
      </c>
      <c r="H15" s="130">
        <v>0.65800000000000003</v>
      </c>
      <c r="I15" s="133">
        <f>IF(ALMYRA!AB15&lt;0,"0",ALMYRA!AB15)</f>
        <v>0</v>
      </c>
      <c r="J15" s="134">
        <v>2.4</v>
      </c>
      <c r="K15" s="137">
        <f>ALMYRA!U15</f>
        <v>0</v>
      </c>
      <c r="L15" s="138">
        <v>0.88</v>
      </c>
      <c r="M15" s="141">
        <f>ALMYRA!AJ15</f>
        <v>0</v>
      </c>
      <c r="N15" s="141">
        <f>ALMYRA!AK15</f>
        <v>0</v>
      </c>
    </row>
    <row r="16" spans="1:14" ht="15" x14ac:dyDescent="0.25">
      <c r="A16" s="120" t="s">
        <v>13</v>
      </c>
      <c r="B16" s="5">
        <f t="shared" si="0"/>
        <v>15</v>
      </c>
      <c r="C16" s="144">
        <v>10</v>
      </c>
      <c r="D16" s="145">
        <v>2024</v>
      </c>
      <c r="E16" s="124">
        <f>IF(ALMYRA!H16&lt;0,"0",ALMYRA!H16)</f>
        <v>0</v>
      </c>
      <c r="F16" s="125" t="e">
        <f>(ALMYRA!C16*0.24)/E16</f>
        <v>#DIV/0!</v>
      </c>
      <c r="G16" s="129">
        <f>ALMYRA!Z16</f>
        <v>0</v>
      </c>
      <c r="H16" s="130">
        <v>0.65800000000000003</v>
      </c>
      <c r="I16" s="133">
        <f>IF(ALMYRA!AB16&lt;0,"0",ALMYRA!AB16)</f>
        <v>0</v>
      </c>
      <c r="J16" s="134">
        <v>2.4</v>
      </c>
      <c r="K16" s="137">
        <f>ALMYRA!U16</f>
        <v>0</v>
      </c>
      <c r="L16" s="138">
        <v>0.88</v>
      </c>
      <c r="M16" s="141">
        <f>ALMYRA!AJ16</f>
        <v>0</v>
      </c>
      <c r="N16" s="141">
        <f>ALMYRA!AK16</f>
        <v>0</v>
      </c>
    </row>
    <row r="17" spans="1:14" ht="15" x14ac:dyDescent="0.25">
      <c r="A17" s="120" t="s">
        <v>13</v>
      </c>
      <c r="B17" s="5">
        <f t="shared" si="0"/>
        <v>16</v>
      </c>
      <c r="C17" s="144">
        <v>10</v>
      </c>
      <c r="D17" s="145">
        <v>2024</v>
      </c>
      <c r="E17" s="124">
        <f>IF(ALMYRA!H17&lt;0,"0",ALMYRA!H17)</f>
        <v>0</v>
      </c>
      <c r="F17" s="125" t="e">
        <f>(ALMYRA!C17*0.24)/E17</f>
        <v>#DIV/0!</v>
      </c>
      <c r="G17" s="129">
        <f>ALMYRA!Z17</f>
        <v>0</v>
      </c>
      <c r="H17" s="130">
        <v>0.65800000000000003</v>
      </c>
      <c r="I17" s="133">
        <f>IF(ALMYRA!AB17&lt;0,"0",ALMYRA!AB17)</f>
        <v>0</v>
      </c>
      <c r="J17" s="134">
        <v>2.4</v>
      </c>
      <c r="K17" s="137">
        <f>ALMYRA!U17</f>
        <v>0</v>
      </c>
      <c r="L17" s="138">
        <v>0.88</v>
      </c>
      <c r="M17" s="141">
        <f>ALMYRA!AJ17</f>
        <v>0</v>
      </c>
      <c r="N17" s="141">
        <f>ALMYRA!AK17</f>
        <v>0</v>
      </c>
    </row>
    <row r="18" spans="1:14" ht="15" x14ac:dyDescent="0.25">
      <c r="A18" s="120" t="s">
        <v>13</v>
      </c>
      <c r="B18" s="5">
        <f t="shared" si="0"/>
        <v>17</v>
      </c>
      <c r="C18" s="144">
        <v>10</v>
      </c>
      <c r="D18" s="145">
        <v>2024</v>
      </c>
      <c r="E18" s="124">
        <f>IF(ALMYRA!H18&lt;0,"0",ALMYRA!H18)</f>
        <v>0</v>
      </c>
      <c r="F18" s="125" t="e">
        <f>(ALMYRA!C18*0.24)/E18</f>
        <v>#DIV/0!</v>
      </c>
      <c r="G18" s="129">
        <f>ALMYRA!Z18</f>
        <v>0</v>
      </c>
      <c r="H18" s="130">
        <v>0.65800000000000003</v>
      </c>
      <c r="I18" s="133">
        <f>IF(ALMYRA!AB18&lt;0,"0",ALMYRA!AB18)</f>
        <v>0</v>
      </c>
      <c r="J18" s="134">
        <v>2.4</v>
      </c>
      <c r="K18" s="137">
        <f>ALMYRA!U18</f>
        <v>0</v>
      </c>
      <c r="L18" s="138">
        <v>0.88</v>
      </c>
      <c r="M18" s="141">
        <f>ALMYRA!AJ18</f>
        <v>0</v>
      </c>
      <c r="N18" s="141">
        <f>ALMYRA!AK18</f>
        <v>0</v>
      </c>
    </row>
    <row r="19" spans="1:14" ht="15" x14ac:dyDescent="0.25">
      <c r="A19" s="120" t="s">
        <v>13</v>
      </c>
      <c r="B19" s="5">
        <f t="shared" si="0"/>
        <v>18</v>
      </c>
      <c r="C19" s="144">
        <v>10</v>
      </c>
      <c r="D19" s="145">
        <v>2024</v>
      </c>
      <c r="E19" s="124">
        <f>IF(ALMYRA!H19&lt;0,"0",ALMYRA!H19)</f>
        <v>0</v>
      </c>
      <c r="F19" s="125" t="e">
        <f>(ALMYRA!C19*0.24)/E19</f>
        <v>#DIV/0!</v>
      </c>
      <c r="G19" s="129">
        <f>ALMYRA!Z19</f>
        <v>0</v>
      </c>
      <c r="H19" s="130">
        <v>0.65800000000000003</v>
      </c>
      <c r="I19" s="133">
        <f>IF(ALMYRA!AB19&lt;0,"0",ALMYRA!AB19)</f>
        <v>0</v>
      </c>
      <c r="J19" s="134">
        <v>2.4</v>
      </c>
      <c r="K19" s="137">
        <f>ALMYRA!U19</f>
        <v>0</v>
      </c>
      <c r="L19" s="138">
        <v>0.88</v>
      </c>
      <c r="M19" s="141">
        <f>ALMYRA!AJ19</f>
        <v>0</v>
      </c>
      <c r="N19" s="141">
        <f>ALMYRA!AK19</f>
        <v>0</v>
      </c>
    </row>
    <row r="20" spans="1:14" ht="15" x14ac:dyDescent="0.25">
      <c r="A20" s="120" t="s">
        <v>13</v>
      </c>
      <c r="B20" s="5">
        <f t="shared" si="0"/>
        <v>19</v>
      </c>
      <c r="C20" s="144">
        <v>10</v>
      </c>
      <c r="D20" s="145">
        <v>2024</v>
      </c>
      <c r="E20" s="124">
        <f>IF(ALMYRA!H20&lt;0,"0",ALMYRA!H20)</f>
        <v>0</v>
      </c>
      <c r="F20" s="125" t="e">
        <f>(ALMYRA!C20*0.24)/E20</f>
        <v>#DIV/0!</v>
      </c>
      <c r="G20" s="129">
        <f>ALMYRA!Z20</f>
        <v>0</v>
      </c>
      <c r="H20" s="130">
        <v>0.65800000000000003</v>
      </c>
      <c r="I20" s="133">
        <f>IF(ALMYRA!AB20&lt;0,"0",ALMYRA!AB20)</f>
        <v>0</v>
      </c>
      <c r="J20" s="134">
        <v>2.4</v>
      </c>
      <c r="K20" s="137">
        <f>ALMYRA!U20</f>
        <v>0</v>
      </c>
      <c r="L20" s="138">
        <v>0.88</v>
      </c>
      <c r="M20" s="141">
        <f>ALMYRA!AJ20</f>
        <v>0</v>
      </c>
      <c r="N20" s="141">
        <f>ALMYRA!AK20</f>
        <v>0</v>
      </c>
    </row>
    <row r="21" spans="1:14" ht="15" x14ac:dyDescent="0.25">
      <c r="A21" s="120" t="s">
        <v>13</v>
      </c>
      <c r="B21" s="5">
        <f t="shared" si="0"/>
        <v>20</v>
      </c>
      <c r="C21" s="144">
        <v>10</v>
      </c>
      <c r="D21" s="145">
        <v>2024</v>
      </c>
      <c r="E21" s="124">
        <f>IF(ALMYRA!H21&lt;0,"0",ALMYRA!H21)</f>
        <v>0</v>
      </c>
      <c r="F21" s="125" t="e">
        <f>(ALMYRA!C21*0.24)/E21</f>
        <v>#DIV/0!</v>
      </c>
      <c r="G21" s="129">
        <f>ALMYRA!Z21</f>
        <v>0</v>
      </c>
      <c r="H21" s="130">
        <v>0.65800000000000003</v>
      </c>
      <c r="I21" s="133">
        <f>IF(ALMYRA!AB21&lt;0,"0",ALMYRA!AB21)</f>
        <v>0</v>
      </c>
      <c r="J21" s="134">
        <v>2.4</v>
      </c>
      <c r="K21" s="137">
        <f>ALMYRA!U21</f>
        <v>0</v>
      </c>
      <c r="L21" s="138">
        <v>0.88</v>
      </c>
      <c r="M21" s="141">
        <f>ALMYRA!AJ21</f>
        <v>0</v>
      </c>
      <c r="N21" s="141">
        <f>ALMYRA!AK21</f>
        <v>0</v>
      </c>
    </row>
    <row r="22" spans="1:14" ht="15" x14ac:dyDescent="0.25">
      <c r="A22" s="120" t="s">
        <v>13</v>
      </c>
      <c r="B22" s="5">
        <f t="shared" si="0"/>
        <v>21</v>
      </c>
      <c r="C22" s="144">
        <v>10</v>
      </c>
      <c r="D22" s="145">
        <v>2024</v>
      </c>
      <c r="E22" s="124">
        <f>IF(ALMYRA!H22&lt;0,"0",ALMYRA!H22)</f>
        <v>0</v>
      </c>
      <c r="F22" s="125" t="e">
        <f>(ALMYRA!C22*0.24)/E22</f>
        <v>#DIV/0!</v>
      </c>
      <c r="G22" s="129">
        <f>ALMYRA!Z22</f>
        <v>0</v>
      </c>
      <c r="H22" s="130">
        <v>0.65800000000000003</v>
      </c>
      <c r="I22" s="133">
        <f>IF(ALMYRA!AB22&lt;0,"0",ALMYRA!AB22)</f>
        <v>0</v>
      </c>
      <c r="J22" s="134">
        <v>2.4</v>
      </c>
      <c r="K22" s="137">
        <f>ALMYRA!U22</f>
        <v>0</v>
      </c>
      <c r="L22" s="138">
        <v>0.88</v>
      </c>
      <c r="M22" s="141">
        <f>ALMYRA!AJ22</f>
        <v>0</v>
      </c>
      <c r="N22" s="141">
        <f>ALMYRA!AK22</f>
        <v>0</v>
      </c>
    </row>
    <row r="23" spans="1:14" ht="15" x14ac:dyDescent="0.25">
      <c r="A23" s="120" t="s">
        <v>13</v>
      </c>
      <c r="B23" s="5">
        <f t="shared" si="0"/>
        <v>22</v>
      </c>
      <c r="C23" s="144">
        <v>10</v>
      </c>
      <c r="D23" s="145">
        <v>2024</v>
      </c>
      <c r="E23" s="124">
        <f>IF(ALMYRA!H23&lt;0,"0",ALMYRA!H23)</f>
        <v>0</v>
      </c>
      <c r="F23" s="125" t="e">
        <f>(ALMYRA!C23*0.24)/E23</f>
        <v>#DIV/0!</v>
      </c>
      <c r="G23" s="129">
        <f>ALMYRA!Z23</f>
        <v>0</v>
      </c>
      <c r="H23" s="130">
        <v>0.65800000000000003</v>
      </c>
      <c r="I23" s="133">
        <f>IF(ALMYRA!AB23&lt;0,"0",ALMYRA!AB23)</f>
        <v>0</v>
      </c>
      <c r="J23" s="134">
        <v>2.4</v>
      </c>
      <c r="K23" s="137">
        <f>ALMYRA!U23</f>
        <v>0</v>
      </c>
      <c r="L23" s="138">
        <v>0.88</v>
      </c>
      <c r="M23" s="141">
        <f>ALMYRA!AJ23</f>
        <v>0</v>
      </c>
      <c r="N23" s="141">
        <f>ALMYRA!AK23</f>
        <v>0</v>
      </c>
    </row>
    <row r="24" spans="1:14" ht="15" x14ac:dyDescent="0.25">
      <c r="A24" s="120" t="s">
        <v>13</v>
      </c>
      <c r="B24" s="5">
        <f t="shared" si="0"/>
        <v>23</v>
      </c>
      <c r="C24" s="144">
        <v>10</v>
      </c>
      <c r="D24" s="145">
        <v>2024</v>
      </c>
      <c r="E24" s="124">
        <f>IF(ALMYRA!H24&lt;0,"0",ALMYRA!H24)</f>
        <v>0</v>
      </c>
      <c r="F24" s="125" t="e">
        <f>(ALMYRA!C24*0.24)/E24</f>
        <v>#DIV/0!</v>
      </c>
      <c r="G24" s="129">
        <f>ALMYRA!Z24</f>
        <v>0</v>
      </c>
      <c r="H24" s="130">
        <v>0.65800000000000003</v>
      </c>
      <c r="I24" s="133">
        <f>IF(ALMYRA!AB24&lt;0,"0",ALMYRA!AB24)</f>
        <v>0</v>
      </c>
      <c r="J24" s="134">
        <v>2.4</v>
      </c>
      <c r="K24" s="137">
        <f>ALMYRA!U24</f>
        <v>0</v>
      </c>
      <c r="L24" s="138">
        <v>0.88</v>
      </c>
      <c r="M24" s="141">
        <f>ALMYRA!AJ24</f>
        <v>0</v>
      </c>
      <c r="N24" s="141">
        <f>ALMYRA!AK24</f>
        <v>0</v>
      </c>
    </row>
    <row r="25" spans="1:14" ht="15" x14ac:dyDescent="0.25">
      <c r="A25" s="120" t="s">
        <v>13</v>
      </c>
      <c r="B25" s="5">
        <f t="shared" si="0"/>
        <v>24</v>
      </c>
      <c r="C25" s="144">
        <v>10</v>
      </c>
      <c r="D25" s="145">
        <v>2024</v>
      </c>
      <c r="E25" s="124">
        <f>IF(ALMYRA!H25&lt;0,"0",ALMYRA!H25)</f>
        <v>0</v>
      </c>
      <c r="F25" s="125" t="e">
        <f>(ALMYRA!C25*0.24)/E25</f>
        <v>#DIV/0!</v>
      </c>
      <c r="G25" s="129">
        <f>ALMYRA!Z25</f>
        <v>0</v>
      </c>
      <c r="H25" s="130">
        <v>0.65800000000000003</v>
      </c>
      <c r="I25" s="133">
        <f>IF(ALMYRA!AB25&lt;0,"0",ALMYRA!AB25)</f>
        <v>0</v>
      </c>
      <c r="J25" s="134">
        <v>2.4</v>
      </c>
      <c r="K25" s="137">
        <f>ALMYRA!U25</f>
        <v>0</v>
      </c>
      <c r="L25" s="138">
        <v>0.88</v>
      </c>
      <c r="M25" s="141">
        <f>ALMYRA!AJ25</f>
        <v>0</v>
      </c>
      <c r="N25" s="141">
        <f>ALMYRA!AK25</f>
        <v>0</v>
      </c>
    </row>
    <row r="26" spans="1:14" ht="15" x14ac:dyDescent="0.25">
      <c r="A26" s="120" t="s">
        <v>13</v>
      </c>
      <c r="B26" s="5">
        <f>B25+1</f>
        <v>25</v>
      </c>
      <c r="C26" s="144">
        <v>10</v>
      </c>
      <c r="D26" s="145">
        <v>2024</v>
      </c>
      <c r="E26" s="124">
        <f>IF(ALMYRA!H26&lt;0,"0",ALMYRA!H26)</f>
        <v>0</v>
      </c>
      <c r="F26" s="125" t="e">
        <f>(ALMYRA!C26*0.24)/E26</f>
        <v>#DIV/0!</v>
      </c>
      <c r="G26" s="129">
        <f>ALMYRA!Z26</f>
        <v>0</v>
      </c>
      <c r="H26" s="130">
        <v>0.65800000000000003</v>
      </c>
      <c r="I26" s="133">
        <f>IF(ALMYRA!AB26&lt;0,"0",ALMYRA!AB26)</f>
        <v>0</v>
      </c>
      <c r="J26" s="134">
        <v>2.4</v>
      </c>
      <c r="K26" s="137">
        <f>ALMYRA!U26</f>
        <v>0</v>
      </c>
      <c r="L26" s="138">
        <v>0.88</v>
      </c>
      <c r="M26" s="141">
        <f>ALMYRA!AJ26</f>
        <v>0</v>
      </c>
      <c r="N26" s="141">
        <f>ALMYRA!AK26</f>
        <v>0</v>
      </c>
    </row>
    <row r="27" spans="1:14" ht="15" x14ac:dyDescent="0.25">
      <c r="A27" s="120" t="s">
        <v>13</v>
      </c>
      <c r="B27" s="5">
        <f t="shared" si="0"/>
        <v>26</v>
      </c>
      <c r="C27" s="144">
        <v>10</v>
      </c>
      <c r="D27" s="145">
        <v>2024</v>
      </c>
      <c r="E27" s="124">
        <f>IF(ALMYRA!H27&lt;0,"0",ALMYRA!H27)</f>
        <v>0</v>
      </c>
      <c r="F27" s="125" t="e">
        <f>(ALMYRA!C27*0.24)/E27</f>
        <v>#DIV/0!</v>
      </c>
      <c r="G27" s="129">
        <f>ALMYRA!Z27</f>
        <v>0</v>
      </c>
      <c r="H27" s="130">
        <v>0.65800000000000003</v>
      </c>
      <c r="I27" s="133">
        <f>IF(ALMYRA!AB27&lt;0,"0",ALMYRA!AB27)</f>
        <v>0</v>
      </c>
      <c r="J27" s="134">
        <v>2.4</v>
      </c>
      <c r="K27" s="137">
        <f>ALMYRA!U27</f>
        <v>0</v>
      </c>
      <c r="L27" s="138">
        <v>0.88</v>
      </c>
      <c r="M27" s="141">
        <f>ALMYRA!AJ27</f>
        <v>0</v>
      </c>
      <c r="N27" s="141">
        <f>ALMYRA!AK27</f>
        <v>0</v>
      </c>
    </row>
    <row r="28" spans="1:14" ht="15" x14ac:dyDescent="0.25">
      <c r="A28" s="120" t="s">
        <v>13</v>
      </c>
      <c r="B28" s="5">
        <f t="shared" si="0"/>
        <v>27</v>
      </c>
      <c r="C28" s="144">
        <v>10</v>
      </c>
      <c r="D28" s="145">
        <v>2024</v>
      </c>
      <c r="E28" s="124">
        <f>IF(ALMYRA!H28&lt;0,"0",ALMYRA!H28)</f>
        <v>0</v>
      </c>
      <c r="F28" s="125" t="e">
        <f>(ALMYRA!C28*0.24)/E28</f>
        <v>#DIV/0!</v>
      </c>
      <c r="G28" s="129">
        <f>ALMYRA!Z28</f>
        <v>0</v>
      </c>
      <c r="H28" s="130">
        <v>0.65800000000000003</v>
      </c>
      <c r="I28" s="133">
        <f>IF(ALMYRA!AB28&lt;0,"0",ALMYRA!AB28)</f>
        <v>0</v>
      </c>
      <c r="J28" s="134">
        <v>2.4</v>
      </c>
      <c r="K28" s="137">
        <f>ALMYRA!U28</f>
        <v>0</v>
      </c>
      <c r="L28" s="138">
        <v>0.88</v>
      </c>
      <c r="M28" s="141">
        <f>ALMYRA!AJ28</f>
        <v>0</v>
      </c>
      <c r="N28" s="141">
        <f>ALMYRA!AK28</f>
        <v>0</v>
      </c>
    </row>
    <row r="29" spans="1:14" ht="15" x14ac:dyDescent="0.25">
      <c r="A29" s="120" t="s">
        <v>13</v>
      </c>
      <c r="B29" s="5">
        <f t="shared" si="0"/>
        <v>28</v>
      </c>
      <c r="C29" s="144">
        <v>10</v>
      </c>
      <c r="D29" s="145">
        <v>2024</v>
      </c>
      <c r="E29" s="124">
        <f>IF(ALMYRA!H29&lt;0,"0",ALMYRA!H29)</f>
        <v>0</v>
      </c>
      <c r="F29" s="125" t="e">
        <f>(ALMYRA!C29*0.24)/E29</f>
        <v>#DIV/0!</v>
      </c>
      <c r="G29" s="129">
        <f>ALMYRA!Z29</f>
        <v>0</v>
      </c>
      <c r="H29" s="130">
        <v>0.65800000000000003</v>
      </c>
      <c r="I29" s="133">
        <f>IF(ALMYRA!AB29&lt;0,"0",ALMYRA!AB29)</f>
        <v>0</v>
      </c>
      <c r="J29" s="134">
        <v>2.4</v>
      </c>
      <c r="K29" s="137">
        <f>ALMYRA!U29</f>
        <v>0</v>
      </c>
      <c r="L29" s="138">
        <v>0.88</v>
      </c>
      <c r="M29" s="141">
        <f>ALMYRA!AJ29</f>
        <v>0</v>
      </c>
      <c r="N29" s="141">
        <f>ALMYRA!AK29</f>
        <v>0</v>
      </c>
    </row>
    <row r="30" spans="1:14" ht="15" x14ac:dyDescent="0.25">
      <c r="A30" s="120" t="s">
        <v>13</v>
      </c>
      <c r="B30" s="5">
        <f t="shared" si="0"/>
        <v>29</v>
      </c>
      <c r="C30" s="144">
        <v>10</v>
      </c>
      <c r="D30" s="145">
        <v>2024</v>
      </c>
      <c r="E30" s="124">
        <f>IF(ALMYRA!H30&lt;0,"0",ALMYRA!H30)</f>
        <v>0</v>
      </c>
      <c r="F30" s="125" t="e">
        <f>(ALMYRA!C30*0.24)/E30</f>
        <v>#DIV/0!</v>
      </c>
      <c r="G30" s="129">
        <f>ALMYRA!Z30</f>
        <v>0</v>
      </c>
      <c r="H30" s="130">
        <v>0.65800000000000003</v>
      </c>
      <c r="I30" s="133">
        <f>IF(ALMYRA!AB30&lt;0,"0",ALMYRA!AB30)</f>
        <v>0</v>
      </c>
      <c r="J30" s="134">
        <v>2.4</v>
      </c>
      <c r="K30" s="137">
        <f>ALMYRA!U30</f>
        <v>0</v>
      </c>
      <c r="L30" s="138">
        <v>0.88</v>
      </c>
      <c r="M30" s="141">
        <f>ALMYRA!AJ30</f>
        <v>0</v>
      </c>
      <c r="N30" s="141">
        <f>ALMYRA!AK30</f>
        <v>0</v>
      </c>
    </row>
    <row r="31" spans="1:14" ht="15" x14ac:dyDescent="0.25">
      <c r="A31" s="120" t="s">
        <v>13</v>
      </c>
      <c r="B31" s="5">
        <f t="shared" si="0"/>
        <v>30</v>
      </c>
      <c r="C31" s="144">
        <v>10</v>
      </c>
      <c r="D31" s="145">
        <v>2024</v>
      </c>
      <c r="E31" s="124">
        <f>IF(ALMYRA!H31&lt;0,"0",ALMYRA!H31)</f>
        <v>0</v>
      </c>
      <c r="F31" s="125" t="e">
        <f>(ALMYRA!C31*0.24)/E31</f>
        <v>#DIV/0!</v>
      </c>
      <c r="G31" s="129">
        <f>ALMYRA!Z31</f>
        <v>0</v>
      </c>
      <c r="H31" s="130">
        <v>0.65800000000000003</v>
      </c>
      <c r="I31" s="133">
        <f>IF(ALMYRA!AB31&lt;0,"0",ALMYRA!AB31)</f>
        <v>0</v>
      </c>
      <c r="J31" s="134">
        <v>2.4</v>
      </c>
      <c r="K31" s="137">
        <f>ALMYRA!U31</f>
        <v>0</v>
      </c>
      <c r="L31" s="138">
        <v>0.88</v>
      </c>
      <c r="M31" s="141">
        <f>ALMYRA!AJ31</f>
        <v>0</v>
      </c>
      <c r="N31" s="141">
        <f>ALMYRA!AK31</f>
        <v>0</v>
      </c>
    </row>
    <row r="32" spans="1:14" ht="15" x14ac:dyDescent="0.25">
      <c r="A32" s="120" t="s">
        <v>13</v>
      </c>
      <c r="B32" s="5">
        <f t="shared" si="0"/>
        <v>31</v>
      </c>
      <c r="C32" s="144">
        <v>10</v>
      </c>
      <c r="D32" s="145">
        <v>2024</v>
      </c>
      <c r="E32" s="124">
        <f>IF(ALMYRA!H32&lt;0,"0",ALMYRA!H32)</f>
        <v>0</v>
      </c>
      <c r="F32" s="125" t="e">
        <f>(ALMYRA!C32*0.24)/E32</f>
        <v>#DIV/0!</v>
      </c>
      <c r="G32" s="129">
        <f>ALMYRA!Z32</f>
        <v>0</v>
      </c>
      <c r="H32" s="130">
        <v>0.65800000000000003</v>
      </c>
      <c r="I32" s="133">
        <f>IF(ALMYRA!AB32&lt;0,"0",ALMYRA!AB32)</f>
        <v>0</v>
      </c>
      <c r="J32" s="134">
        <v>2.4</v>
      </c>
      <c r="K32" s="137">
        <f>ALMYRA!U32</f>
        <v>0</v>
      </c>
      <c r="L32" s="138">
        <v>0.88</v>
      </c>
      <c r="M32" s="141">
        <f>ALMYRA!AJ32</f>
        <v>0</v>
      </c>
      <c r="N32" s="141">
        <f>ALMYRA!AK32</f>
        <v>0</v>
      </c>
    </row>
    <row r="33" spans="4:14" x14ac:dyDescent="0.2">
      <c r="D33" s="146"/>
      <c r="E33" s="4"/>
      <c r="F33" s="146"/>
      <c r="G33" s="4"/>
      <c r="H33" s="147"/>
      <c r="I33" s="146"/>
      <c r="J33" s="146"/>
      <c r="K33"/>
      <c r="L33"/>
      <c r="M33" s="146"/>
      <c r="N33" s="146"/>
    </row>
    <row r="34" spans="4:14" x14ac:dyDescent="0.2">
      <c r="D34" s="146"/>
      <c r="E34" s="4"/>
      <c r="F34" s="146"/>
      <c r="G34" s="4"/>
      <c r="H34" s="147"/>
      <c r="I34" s="146"/>
      <c r="J34" s="146"/>
      <c r="K34"/>
      <c r="L34"/>
      <c r="M34" s="146"/>
      <c r="N34" s="146"/>
    </row>
    <row r="35" spans="4:14" x14ac:dyDescent="0.2">
      <c r="D35" s="146"/>
      <c r="E35" s="4"/>
      <c r="F35" s="146"/>
      <c r="G35" s="4"/>
      <c r="H35" s="147"/>
      <c r="I35" s="146"/>
      <c r="J35" s="146"/>
      <c r="K35"/>
      <c r="L35"/>
      <c r="M35" s="146"/>
      <c r="N35" s="146"/>
    </row>
    <row r="36" spans="4:14" x14ac:dyDescent="0.2">
      <c r="D36" s="146"/>
      <c r="E36" s="4"/>
      <c r="F36" s="146"/>
      <c r="G36" s="4"/>
      <c r="H36" s="147"/>
      <c r="I36" s="146"/>
      <c r="J36" s="146"/>
      <c r="K36"/>
      <c r="L36"/>
      <c r="M36" s="146"/>
      <c r="N36" s="146"/>
    </row>
    <row r="37" spans="4:14" x14ac:dyDescent="0.2">
      <c r="D37" s="146"/>
      <c r="E37" s="4"/>
      <c r="F37" s="146"/>
      <c r="G37" s="4"/>
      <c r="H37" s="147"/>
      <c r="I37" s="146"/>
      <c r="J37" s="146"/>
      <c r="K37"/>
      <c r="L37"/>
      <c r="M37" s="146"/>
      <c r="N37" s="146"/>
    </row>
    <row r="38" spans="4:14" x14ac:dyDescent="0.2">
      <c r="D38" s="146"/>
      <c r="E38" s="4"/>
      <c r="F38" s="146"/>
      <c r="G38" s="4"/>
      <c r="H38" s="147"/>
      <c r="I38" s="146"/>
      <c r="J38" s="146"/>
      <c r="K38"/>
      <c r="L38"/>
      <c r="M38" s="146"/>
      <c r="N38" s="146"/>
    </row>
    <row r="39" spans="4:14" x14ac:dyDescent="0.2">
      <c r="D39" s="146"/>
      <c r="E39" s="4"/>
      <c r="F39" s="146"/>
      <c r="G39" s="4"/>
      <c r="H39" s="147"/>
      <c r="I39" s="146"/>
      <c r="J39" s="146"/>
      <c r="K39"/>
      <c r="L39"/>
      <c r="M39" s="146"/>
      <c r="N39" s="146"/>
    </row>
    <row r="40" spans="4:14" x14ac:dyDescent="0.2">
      <c r="E40" s="4"/>
      <c r="F40" s="146"/>
      <c r="G40" s="4"/>
      <c r="H40" s="147"/>
      <c r="I40" s="5"/>
      <c r="J40" s="5"/>
      <c r="K40"/>
      <c r="L40"/>
      <c r="M40" s="5"/>
      <c r="N40" s="5"/>
    </row>
    <row r="41" spans="4:14" x14ac:dyDescent="0.2">
      <c r="E41" s="4"/>
      <c r="F41" s="146"/>
      <c r="G41" s="4"/>
      <c r="H41" s="147"/>
      <c r="I41" s="5"/>
      <c r="J41" s="5"/>
      <c r="K41"/>
      <c r="L41"/>
      <c r="M41" s="5"/>
      <c r="N41" s="5"/>
    </row>
    <row r="42" spans="4:14" x14ac:dyDescent="0.2">
      <c r="E42" s="4"/>
      <c r="F42" s="146"/>
      <c r="G42" s="4"/>
      <c r="H42" s="147"/>
      <c r="I42" s="5"/>
      <c r="J42" s="5"/>
      <c r="K42"/>
      <c r="L42"/>
      <c r="M42" s="5"/>
      <c r="N42" s="5"/>
    </row>
    <row r="43" spans="4:14" x14ac:dyDescent="0.2">
      <c r="E43" s="4"/>
      <c r="F43" s="146"/>
      <c r="G43" s="4"/>
      <c r="H43" s="147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7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7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7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7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7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7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7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7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7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7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7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7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7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7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7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7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7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7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7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7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7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7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7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7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7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7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7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7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7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7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7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7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7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7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7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7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7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7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7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7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7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7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7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7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7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7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7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7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7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7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7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7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7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7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7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7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7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7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7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7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7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7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7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7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7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7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7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7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7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7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7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7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7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7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7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7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7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7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7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7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7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7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7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7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7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7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7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7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7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7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7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7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7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7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7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7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7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7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7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7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7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7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7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7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7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7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7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7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7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7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7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7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7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7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7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7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7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7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7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7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7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7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7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7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7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7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7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7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7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7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7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7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7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7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7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7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7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7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7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7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7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7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7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7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7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7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7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7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7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7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7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7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7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7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7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7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7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7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7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7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7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7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7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7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7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7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7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7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7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7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7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7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7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7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7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7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7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7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7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7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7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7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7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7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7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7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7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7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7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7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7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7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7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7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7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7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7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7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7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7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7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7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7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7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7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7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7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7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7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7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7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7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7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7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7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7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7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7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7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7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7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7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7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7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7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7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7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7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7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7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7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7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7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7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7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7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7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7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7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7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7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7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7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7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7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7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7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7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7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7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7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7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7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7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7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7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7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7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7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7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7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7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7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7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7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7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7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7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7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7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7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7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7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7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7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7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7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7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7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7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7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7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7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7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7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7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7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7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7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7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7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7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7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7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7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7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7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7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7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7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7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7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7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7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7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7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7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7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7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7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7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7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7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7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7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7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7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7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7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7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7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7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7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7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7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7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7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7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7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7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7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7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7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7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7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7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7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7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7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7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7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7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7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7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7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7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7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7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7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7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7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7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7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7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7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7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7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7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7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7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7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7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7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7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7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7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7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7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7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7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7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7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7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7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7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7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7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7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7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7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7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7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7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7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7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7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7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7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7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7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7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7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7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7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7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7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7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7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7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7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7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7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7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7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7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7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7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7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7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7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7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7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7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7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7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7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7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7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7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7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7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7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7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7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7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7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7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7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7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7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7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7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7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7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7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7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7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7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7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7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7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7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7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7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7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7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7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7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7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7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7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7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7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7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7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7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7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7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7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7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7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7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7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7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7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7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7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7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7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7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7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7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7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7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7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7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7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7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7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7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7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7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7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7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7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7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7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7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7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7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7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7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7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7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7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7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7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7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7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7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7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7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7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7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7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7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7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7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7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7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7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7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7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7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7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7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7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7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7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7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7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7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7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7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7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7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7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7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7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7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7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7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7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7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7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7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7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7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7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7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7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7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7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7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7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7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7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7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7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7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7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7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7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7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7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7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7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7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7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7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7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7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7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7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7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7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7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7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7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7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7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7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7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7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7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7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7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7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7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7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7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7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7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7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7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7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7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7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7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7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7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7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7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7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7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7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7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7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7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7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7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7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7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7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7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7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7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7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7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7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7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7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7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7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7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7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7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7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7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7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7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7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7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7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7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7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7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7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7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7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7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7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7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7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7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7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7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7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7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7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7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7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7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7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7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7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7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7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7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7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7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7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7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7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7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7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7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7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7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7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7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7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7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7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7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7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7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7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7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7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7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7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7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7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7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7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7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7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7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7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7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7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7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7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7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7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7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7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7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7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7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7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7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7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7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7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7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7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7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7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7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7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7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7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7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7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7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7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7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7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7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7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7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7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7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7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7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7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7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7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7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7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7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7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7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7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7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7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7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7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7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7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7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7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7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7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7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7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7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7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7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7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7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7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7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7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7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7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7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7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7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7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7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7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7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7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7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7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7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7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7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7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7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7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7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7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7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7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7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7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7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7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7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7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7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7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7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7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7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7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7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7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7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7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7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7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7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7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7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7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7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7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7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7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7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7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7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7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7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7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7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7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7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7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7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7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7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7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7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7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7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7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7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7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7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7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7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7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7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7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7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7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7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7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7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7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7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7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7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7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7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7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7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7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7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7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7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7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7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7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7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7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7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7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7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7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7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7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7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7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7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7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7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7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7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7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7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7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7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7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7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7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7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7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7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7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7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7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7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7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7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7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7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7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7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7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7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7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7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7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7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7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7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7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7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7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7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7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7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7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7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7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7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7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7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7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7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7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7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7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7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7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7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7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7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7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7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7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7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7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7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7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7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7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7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7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7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7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7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7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7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7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7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7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7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7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7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7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7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7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7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7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7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7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7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7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7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7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7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7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7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7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7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7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7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7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7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7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7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7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7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7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7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7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7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7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7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7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7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7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7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7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7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7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7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7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7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7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7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7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7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7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7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7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7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7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7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7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7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7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7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7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7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7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7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7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7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7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7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7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7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7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7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7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7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7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7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7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7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7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7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7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7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7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7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7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7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7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7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7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7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7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7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7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7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7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7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7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7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7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7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7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7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7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7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7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7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7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7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7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7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7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7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7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7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7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7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7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7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7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7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7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7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7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7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7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7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7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7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7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7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7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7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7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7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7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7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7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7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7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7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7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7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7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7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7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7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7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7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7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7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7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7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7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7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7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7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7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7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7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7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7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7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7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7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7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7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7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7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7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7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7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7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7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7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7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7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7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7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7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7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7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7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7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7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7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7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7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7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7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7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7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7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7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7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7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7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7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7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7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7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7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7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7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7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7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7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7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7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7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7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7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7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7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7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7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7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7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7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7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7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7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7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7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7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7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7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7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7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7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7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7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7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7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7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7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7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7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7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7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7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7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7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7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7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7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7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7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7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7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7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7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7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7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7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7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7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7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7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7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7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7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7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7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7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7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7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7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7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7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7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7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7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7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7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7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7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7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7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7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7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7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7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7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7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7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7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7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7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7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7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7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7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7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7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7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7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7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7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7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7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7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7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7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7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7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7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7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7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7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7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7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7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7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7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7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7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7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7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7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7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7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7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7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7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7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7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7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7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7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7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7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7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7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7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7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7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7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7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7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7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7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7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7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7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7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7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7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7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7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7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7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7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7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7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7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7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7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7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7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7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7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7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7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7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7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7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7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7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7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7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7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7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7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7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7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7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7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7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7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7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7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7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7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7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7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7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7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7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7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7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7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7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7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7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7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7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7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7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7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7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7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7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7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7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7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7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7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7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7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7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7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7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7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7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7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7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7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7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7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7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7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7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7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7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7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7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7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7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7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7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7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7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7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7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7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7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7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7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7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7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7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7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7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7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7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7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7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7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7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7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7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7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7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7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7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7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7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7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7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7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7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7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7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7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7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7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7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7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7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7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7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7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7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7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7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7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7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7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7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7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7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7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7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7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7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7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7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7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7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7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7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7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7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7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7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7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7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7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7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7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7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7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7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7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7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7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7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7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7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7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7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7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7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7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7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7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7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7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7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7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7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7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7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7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7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7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7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7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7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7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7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7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7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7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7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7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7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7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7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7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7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7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7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7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7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7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7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7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7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7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7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7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7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7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7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7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7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7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7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7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7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7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7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7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7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7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7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7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7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7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7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7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7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7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7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7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7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7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7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7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7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7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7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7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7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7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7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7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7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7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7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7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7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7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7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7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7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7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7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7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7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7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7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7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7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7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7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7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7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7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7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7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7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7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7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7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7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7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7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7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7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7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7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7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7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7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7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7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7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7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7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7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7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7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7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7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7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7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7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7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7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7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7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7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7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7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7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7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7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7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7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7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7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7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7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7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7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7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7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7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7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7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7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7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7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7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7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7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7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7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7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7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7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7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7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7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7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7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7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7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7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7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7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7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7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7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7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7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7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7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7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7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7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7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7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7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7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7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7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7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7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7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7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7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7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7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7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7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7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7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7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7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7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7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7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7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7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7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7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7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7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7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7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7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7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7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7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7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7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7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7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7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7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7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7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7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7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7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7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7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7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7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7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7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7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7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7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7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7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7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7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7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7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7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7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7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7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7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7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7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7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7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47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16" sqref="B1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45566</v>
      </c>
      <c r="B2" s="8">
        <v>32115761</v>
      </c>
      <c r="C2" s="16">
        <f>B3-B2</f>
        <v>5578</v>
      </c>
      <c r="D2" s="9">
        <v>935631</v>
      </c>
      <c r="E2" s="16">
        <f>D3-D2</f>
        <v>1864</v>
      </c>
      <c r="F2" s="34">
        <v>110459</v>
      </c>
      <c r="G2" s="99">
        <f>F3-F2</f>
        <v>0</v>
      </c>
      <c r="H2" s="103">
        <f>C2+E2-G2</f>
        <v>7442</v>
      </c>
      <c r="I2" s="109">
        <f>H2-K2-M2-O2-Q2</f>
        <v>6358.7999999998137</v>
      </c>
      <c r="J2" s="96">
        <v>4677477.2</v>
      </c>
      <c r="K2" s="41">
        <f>J3-J2</f>
        <v>889.20000000018626</v>
      </c>
      <c r="L2" s="14">
        <v>466448</v>
      </c>
      <c r="M2" s="41">
        <f>L3-L2</f>
        <v>47</v>
      </c>
      <c r="N2" s="14">
        <v>123818.3</v>
      </c>
      <c r="O2" s="41">
        <f>N3-N2</f>
        <v>70</v>
      </c>
      <c r="P2" s="96">
        <v>175978.9</v>
      </c>
      <c r="Q2" s="65">
        <f>P3-P2</f>
        <v>77</v>
      </c>
      <c r="R2" s="24">
        <f>A2</f>
        <v>45566</v>
      </c>
      <c r="S2" s="39">
        <v>9863</v>
      </c>
      <c r="T2" s="40">
        <v>0</v>
      </c>
      <c r="U2" s="41">
        <f>S2+T2-S3</f>
        <v>97</v>
      </c>
      <c r="V2" s="19">
        <v>0.81</v>
      </c>
      <c r="W2" s="48">
        <v>0.81</v>
      </c>
      <c r="X2" s="50">
        <f t="shared" ref="X2:X33" si="0">(V2*2500)+(W2*2500)</f>
        <v>4050.0000000000005</v>
      </c>
      <c r="Y2" s="49"/>
      <c r="Z2" s="41">
        <f>X2+Y2-X3</f>
        <v>200.00000000000045</v>
      </c>
      <c r="AA2" s="56">
        <v>104932</v>
      </c>
      <c r="AB2" s="41">
        <f>AA3-AA2</f>
        <v>99</v>
      </c>
      <c r="AC2" s="56">
        <v>550.29999999999995</v>
      </c>
      <c r="AD2" s="41">
        <f>AC3-AC2</f>
        <v>8.6000000000000227</v>
      </c>
      <c r="AE2" s="59">
        <v>71264</v>
      </c>
      <c r="AF2" s="41">
        <f>AE3-AE2</f>
        <v>7</v>
      </c>
      <c r="AG2" s="62">
        <v>3100</v>
      </c>
      <c r="AH2" s="73">
        <v>0</v>
      </c>
      <c r="AI2" s="41">
        <f>AG3+AH2-AG2</f>
        <v>0</v>
      </c>
      <c r="AJ2" s="12">
        <v>157</v>
      </c>
      <c r="AK2" s="22">
        <v>318</v>
      </c>
    </row>
    <row r="3" spans="1:37" x14ac:dyDescent="0.2">
      <c r="A3" s="25">
        <v>45567</v>
      </c>
      <c r="B3" s="10">
        <v>32121339</v>
      </c>
      <c r="C3" s="67">
        <f>B4-B3</f>
        <v>5265</v>
      </c>
      <c r="D3" s="11">
        <v>937495</v>
      </c>
      <c r="E3" s="17">
        <f>D4-D3</f>
        <v>2001</v>
      </c>
      <c r="F3" s="35">
        <v>110459</v>
      </c>
      <c r="G3" s="100">
        <f>F4-F3</f>
        <v>0</v>
      </c>
      <c r="H3" s="104">
        <f t="shared" ref="H3:H32" si="1">C3+E3-G3</f>
        <v>7266</v>
      </c>
      <c r="I3" s="110">
        <f t="shared" ref="I3:I32" si="2">H3-K3-M3-O3-Q3</f>
        <v>6128</v>
      </c>
      <c r="J3" s="97">
        <v>4678366.4000000004</v>
      </c>
      <c r="K3" s="44">
        <f>J4-J3</f>
        <v>944</v>
      </c>
      <c r="L3" s="15">
        <v>466495</v>
      </c>
      <c r="M3" s="44">
        <f>L4-L3</f>
        <v>47</v>
      </c>
      <c r="N3" s="15">
        <v>123888.3</v>
      </c>
      <c r="O3" s="44">
        <f>N4-N3</f>
        <v>70</v>
      </c>
      <c r="P3" s="97">
        <v>176055.9</v>
      </c>
      <c r="Q3" s="66">
        <f>P4-P3</f>
        <v>77</v>
      </c>
      <c r="R3" s="25">
        <f>A3</f>
        <v>45567</v>
      </c>
      <c r="S3" s="42">
        <v>9766</v>
      </c>
      <c r="T3" s="43">
        <v>0</v>
      </c>
      <c r="U3" s="44">
        <f>S3+T3-S4</f>
        <v>195</v>
      </c>
      <c r="V3" s="20">
        <v>0.77</v>
      </c>
      <c r="W3" s="51">
        <v>0.77</v>
      </c>
      <c r="X3" s="52">
        <f t="shared" si="0"/>
        <v>3850</v>
      </c>
      <c r="Y3" s="49"/>
      <c r="Z3" s="53">
        <f t="shared" ref="Z3:Z14" si="3">X3+Y3-X4</f>
        <v>200</v>
      </c>
      <c r="AA3" s="57">
        <v>105031</v>
      </c>
      <c r="AB3" s="44">
        <f>AA4-AA3</f>
        <v>104</v>
      </c>
      <c r="AC3" s="57">
        <v>558.9</v>
      </c>
      <c r="AD3" s="44">
        <f>AC4-AC3</f>
        <v>8.3000000000000682</v>
      </c>
      <c r="AE3" s="60">
        <v>71271</v>
      </c>
      <c r="AF3" s="44">
        <f>AE4-AE3</f>
        <v>35</v>
      </c>
      <c r="AG3" s="63">
        <v>3100</v>
      </c>
      <c r="AH3" s="74">
        <v>0</v>
      </c>
      <c r="AI3" s="53">
        <f t="shared" ref="AI3:AI32" si="4">AG4+AH3-AG3</f>
        <v>0</v>
      </c>
      <c r="AJ3" s="13">
        <v>172</v>
      </c>
      <c r="AK3" s="23">
        <v>350</v>
      </c>
    </row>
    <row r="4" spans="1:37" x14ac:dyDescent="0.2">
      <c r="A4" s="25">
        <v>45568</v>
      </c>
      <c r="B4" s="10">
        <v>32126604</v>
      </c>
      <c r="C4" s="67">
        <f t="shared" ref="C4:C14" si="5">B5-B4</f>
        <v>5294</v>
      </c>
      <c r="D4" s="11">
        <v>939496</v>
      </c>
      <c r="E4" s="17">
        <f t="shared" ref="E4:E14" si="6">D5-D4</f>
        <v>1980</v>
      </c>
      <c r="F4" s="35">
        <v>110459</v>
      </c>
      <c r="G4" s="100">
        <f t="shared" ref="G4:G14" si="7">F5-F4</f>
        <v>0</v>
      </c>
      <c r="H4" s="104">
        <f t="shared" si="1"/>
        <v>7274</v>
      </c>
      <c r="I4" s="110">
        <f t="shared" si="2"/>
        <v>6186</v>
      </c>
      <c r="J4" s="97">
        <v>4679310.4000000004</v>
      </c>
      <c r="K4" s="44">
        <f t="shared" ref="K4:K14" si="8">J5-J4</f>
        <v>894</v>
      </c>
      <c r="L4" s="15">
        <v>466542</v>
      </c>
      <c r="M4" s="44">
        <f t="shared" ref="M4:M12" si="9">L5-L4</f>
        <v>47</v>
      </c>
      <c r="N4" s="15">
        <v>123958.3</v>
      </c>
      <c r="O4" s="44">
        <f t="shared" ref="O4:O14" si="10">N5-N4</f>
        <v>70</v>
      </c>
      <c r="P4" s="97">
        <v>176132.9</v>
      </c>
      <c r="Q4" s="66">
        <f t="shared" ref="Q4:Q14" si="11">P5-P4</f>
        <v>77</v>
      </c>
      <c r="R4" s="25">
        <f t="shared" ref="R4:R32" si="12">A4</f>
        <v>45568</v>
      </c>
      <c r="S4" s="42">
        <v>9571</v>
      </c>
      <c r="T4" s="43">
        <v>0</v>
      </c>
      <c r="U4" s="44">
        <f t="shared" ref="U4:U14" si="13">S4+T4-S5</f>
        <v>98</v>
      </c>
      <c r="V4" s="20">
        <v>0.74</v>
      </c>
      <c r="W4" s="51">
        <v>0.72</v>
      </c>
      <c r="X4" s="52">
        <f t="shared" si="0"/>
        <v>3650</v>
      </c>
      <c r="Y4" s="49"/>
      <c r="Z4" s="53">
        <f t="shared" si="3"/>
        <v>100</v>
      </c>
      <c r="AA4" s="57">
        <v>105135</v>
      </c>
      <c r="AB4" s="44">
        <f t="shared" ref="AB4:AB14" si="14">AA5-AA4</f>
        <v>101</v>
      </c>
      <c r="AC4" s="57">
        <v>567.20000000000005</v>
      </c>
      <c r="AD4" s="44">
        <f t="shared" ref="AD4:AD14" si="15">AC5-AC4</f>
        <v>5.5</v>
      </c>
      <c r="AE4" s="60">
        <v>71306</v>
      </c>
      <c r="AF4" s="44">
        <f t="shared" ref="AF4:AF14" si="16">AE5-AE4</f>
        <v>56</v>
      </c>
      <c r="AG4" s="63">
        <v>3100</v>
      </c>
      <c r="AH4" s="74">
        <v>0</v>
      </c>
      <c r="AI4" s="53">
        <f t="shared" si="4"/>
        <v>0</v>
      </c>
      <c r="AJ4" s="13">
        <v>176</v>
      </c>
      <c r="AK4" s="23">
        <v>355</v>
      </c>
    </row>
    <row r="5" spans="1:37" x14ac:dyDescent="0.2">
      <c r="A5" s="25">
        <v>45569</v>
      </c>
      <c r="B5" s="10">
        <v>32131898</v>
      </c>
      <c r="C5" s="67">
        <f t="shared" si="5"/>
        <v>5108</v>
      </c>
      <c r="D5" s="11">
        <v>941476</v>
      </c>
      <c r="E5" s="17">
        <f t="shared" si="6"/>
        <v>1964</v>
      </c>
      <c r="F5" s="35">
        <v>110459</v>
      </c>
      <c r="G5" s="100">
        <f t="shared" si="7"/>
        <v>1</v>
      </c>
      <c r="H5" s="104">
        <f t="shared" si="1"/>
        <v>7071</v>
      </c>
      <c r="I5" s="110">
        <f t="shared" si="2"/>
        <v>5939</v>
      </c>
      <c r="J5" s="97">
        <v>4680204.4000000004</v>
      </c>
      <c r="K5" s="44">
        <f t="shared" si="8"/>
        <v>938</v>
      </c>
      <c r="L5" s="15">
        <v>466589</v>
      </c>
      <c r="M5" s="44">
        <f t="shared" si="9"/>
        <v>47</v>
      </c>
      <c r="N5" s="15">
        <v>124028.3</v>
      </c>
      <c r="O5" s="44">
        <f t="shared" si="10"/>
        <v>70</v>
      </c>
      <c r="P5" s="97">
        <v>176209.9</v>
      </c>
      <c r="Q5" s="66">
        <f t="shared" si="11"/>
        <v>77</v>
      </c>
      <c r="R5" s="25">
        <f t="shared" si="12"/>
        <v>45569</v>
      </c>
      <c r="S5" s="42">
        <v>9473</v>
      </c>
      <c r="T5" s="43">
        <v>0</v>
      </c>
      <c r="U5" s="44">
        <f t="shared" si="13"/>
        <v>103</v>
      </c>
      <c r="V5" s="20">
        <v>0.7</v>
      </c>
      <c r="W5" s="51">
        <v>0.72</v>
      </c>
      <c r="X5" s="52">
        <f t="shared" si="0"/>
        <v>3550</v>
      </c>
      <c r="Y5" s="49"/>
      <c r="Z5" s="53">
        <f t="shared" si="3"/>
        <v>225</v>
      </c>
      <c r="AA5" s="57">
        <v>105236</v>
      </c>
      <c r="AB5" s="44">
        <f t="shared" si="14"/>
        <v>93</v>
      </c>
      <c r="AC5" s="57">
        <v>572.70000000000005</v>
      </c>
      <c r="AD5" s="44">
        <f t="shared" si="15"/>
        <v>9.6999999999999318</v>
      </c>
      <c r="AE5" s="60">
        <v>71362</v>
      </c>
      <c r="AF5" s="44">
        <f t="shared" si="16"/>
        <v>34</v>
      </c>
      <c r="AG5" s="63">
        <v>3100</v>
      </c>
      <c r="AH5" s="74">
        <v>0</v>
      </c>
      <c r="AI5" s="53">
        <f t="shared" si="4"/>
        <v>0</v>
      </c>
      <c r="AJ5" s="13">
        <v>169</v>
      </c>
      <c r="AK5" s="23">
        <v>345</v>
      </c>
    </row>
    <row r="6" spans="1:37" x14ac:dyDescent="0.2">
      <c r="A6" s="25">
        <v>45570</v>
      </c>
      <c r="B6" s="10">
        <v>32137006</v>
      </c>
      <c r="C6" s="67">
        <f t="shared" si="5"/>
        <v>5241</v>
      </c>
      <c r="D6" s="11">
        <v>943440</v>
      </c>
      <c r="E6" s="17">
        <f t="shared" si="6"/>
        <v>1942</v>
      </c>
      <c r="F6" s="35">
        <v>110460</v>
      </c>
      <c r="G6" s="100">
        <f t="shared" si="7"/>
        <v>0</v>
      </c>
      <c r="H6" s="104">
        <f t="shared" si="1"/>
        <v>7183</v>
      </c>
      <c r="I6" s="110">
        <f t="shared" si="2"/>
        <v>6027</v>
      </c>
      <c r="J6" s="97">
        <v>4681142.4000000004</v>
      </c>
      <c r="K6" s="44">
        <f t="shared" si="8"/>
        <v>962</v>
      </c>
      <c r="L6" s="15">
        <v>466636</v>
      </c>
      <c r="M6" s="44">
        <f>L7-L6</f>
        <v>47</v>
      </c>
      <c r="N6" s="15">
        <v>124098.3</v>
      </c>
      <c r="O6" s="44">
        <f t="shared" si="10"/>
        <v>70</v>
      </c>
      <c r="P6" s="97">
        <v>176286.9</v>
      </c>
      <c r="Q6" s="66">
        <f t="shared" si="11"/>
        <v>77</v>
      </c>
      <c r="R6" s="25">
        <f t="shared" si="12"/>
        <v>45570</v>
      </c>
      <c r="S6" s="42">
        <v>9370</v>
      </c>
      <c r="T6" s="43">
        <v>0</v>
      </c>
      <c r="U6" s="44">
        <f t="shared" si="13"/>
        <v>94</v>
      </c>
      <c r="V6" s="20">
        <v>0.66</v>
      </c>
      <c r="W6" s="51">
        <v>0.67</v>
      </c>
      <c r="X6" s="52">
        <f t="shared" si="0"/>
        <v>3325</v>
      </c>
      <c r="Y6" s="49"/>
      <c r="Z6" s="53">
        <f t="shared" si="3"/>
        <v>100</v>
      </c>
      <c r="AA6" s="57">
        <v>105329</v>
      </c>
      <c r="AB6" s="44">
        <f t="shared" si="14"/>
        <v>86</v>
      </c>
      <c r="AC6" s="57">
        <v>582.4</v>
      </c>
      <c r="AD6" s="44">
        <f t="shared" si="15"/>
        <v>10.399999999999977</v>
      </c>
      <c r="AE6" s="60">
        <v>71396</v>
      </c>
      <c r="AF6" s="44">
        <f t="shared" si="16"/>
        <v>0</v>
      </c>
      <c r="AG6" s="63">
        <v>3100</v>
      </c>
      <c r="AH6" s="74">
        <v>0</v>
      </c>
      <c r="AI6" s="53">
        <f t="shared" si="4"/>
        <v>0</v>
      </c>
      <c r="AJ6" s="13">
        <v>179</v>
      </c>
      <c r="AK6" s="23">
        <v>357</v>
      </c>
    </row>
    <row r="7" spans="1:37" x14ac:dyDescent="0.2">
      <c r="A7" s="25">
        <v>45571</v>
      </c>
      <c r="B7" s="10">
        <v>32142247</v>
      </c>
      <c r="C7" s="67">
        <f t="shared" si="5"/>
        <v>5389</v>
      </c>
      <c r="D7" s="11">
        <v>945382</v>
      </c>
      <c r="E7" s="17">
        <f t="shared" si="6"/>
        <v>1918</v>
      </c>
      <c r="F7" s="35">
        <v>110460</v>
      </c>
      <c r="G7" s="100">
        <f t="shared" si="7"/>
        <v>1</v>
      </c>
      <c r="H7" s="104">
        <f t="shared" si="1"/>
        <v>7306</v>
      </c>
      <c r="I7" s="110">
        <f t="shared" si="2"/>
        <v>6195.2000000001863</v>
      </c>
      <c r="J7" s="97">
        <v>4682104.4000000004</v>
      </c>
      <c r="K7" s="44">
        <f t="shared" si="8"/>
        <v>916.79999999981374</v>
      </c>
      <c r="L7" s="15">
        <v>466683</v>
      </c>
      <c r="M7" s="44">
        <f>L8-L7</f>
        <v>47</v>
      </c>
      <c r="N7" s="15">
        <v>124168.3</v>
      </c>
      <c r="O7" s="44">
        <f t="shared" si="10"/>
        <v>70</v>
      </c>
      <c r="P7" s="97">
        <v>176363.9</v>
      </c>
      <c r="Q7" s="66">
        <f t="shared" si="11"/>
        <v>77</v>
      </c>
      <c r="R7" s="25">
        <f t="shared" si="12"/>
        <v>45571</v>
      </c>
      <c r="S7" s="42">
        <v>9276</v>
      </c>
      <c r="T7" s="43">
        <v>0</v>
      </c>
      <c r="U7" s="44">
        <f t="shared" si="13"/>
        <v>98</v>
      </c>
      <c r="V7" s="20">
        <v>0.65</v>
      </c>
      <c r="W7" s="51">
        <v>0.64</v>
      </c>
      <c r="X7" s="52">
        <f t="shared" si="0"/>
        <v>3225</v>
      </c>
      <c r="Y7" s="49"/>
      <c r="Z7" s="53">
        <f t="shared" si="3"/>
        <v>150</v>
      </c>
      <c r="AA7" s="57">
        <v>105415</v>
      </c>
      <c r="AB7" s="44">
        <f t="shared" si="14"/>
        <v>89</v>
      </c>
      <c r="AC7" s="57">
        <v>592.79999999999995</v>
      </c>
      <c r="AD7" s="44">
        <f t="shared" si="15"/>
        <v>5.5</v>
      </c>
      <c r="AE7" s="60">
        <v>71396</v>
      </c>
      <c r="AF7" s="44">
        <f t="shared" si="16"/>
        <v>81</v>
      </c>
      <c r="AG7" s="63">
        <v>3100</v>
      </c>
      <c r="AH7" s="74">
        <v>0</v>
      </c>
      <c r="AI7" s="53">
        <f t="shared" si="4"/>
        <v>0</v>
      </c>
      <c r="AJ7" s="13">
        <v>161</v>
      </c>
      <c r="AK7" s="23">
        <v>305</v>
      </c>
    </row>
    <row r="8" spans="1:37" x14ac:dyDescent="0.2">
      <c r="A8" s="25">
        <v>45572</v>
      </c>
      <c r="B8" s="10">
        <v>32147636</v>
      </c>
      <c r="C8" s="67">
        <f t="shared" si="5"/>
        <v>5206</v>
      </c>
      <c r="D8" s="11">
        <v>947300</v>
      </c>
      <c r="E8" s="17">
        <f t="shared" si="6"/>
        <v>1865</v>
      </c>
      <c r="F8" s="35">
        <v>110461</v>
      </c>
      <c r="G8" s="100">
        <f t="shared" si="7"/>
        <v>0</v>
      </c>
      <c r="H8" s="104">
        <f t="shared" si="1"/>
        <v>7071</v>
      </c>
      <c r="I8" s="110">
        <f t="shared" si="2"/>
        <v>5945.7999999998137</v>
      </c>
      <c r="J8" s="97">
        <v>4683021.2</v>
      </c>
      <c r="K8" s="44">
        <f t="shared" si="8"/>
        <v>931.20000000018626</v>
      </c>
      <c r="L8" s="15">
        <v>466730</v>
      </c>
      <c r="M8" s="44">
        <f>L9-L8</f>
        <v>47</v>
      </c>
      <c r="N8" s="15">
        <v>124238.3</v>
      </c>
      <c r="O8" s="44">
        <f t="shared" si="10"/>
        <v>70</v>
      </c>
      <c r="P8" s="97">
        <v>176440.9</v>
      </c>
      <c r="Q8" s="66">
        <f t="shared" si="11"/>
        <v>77</v>
      </c>
      <c r="R8" s="25">
        <f t="shared" si="12"/>
        <v>45572</v>
      </c>
      <c r="S8" s="42">
        <v>9178</v>
      </c>
      <c r="T8" s="43">
        <v>0</v>
      </c>
      <c r="U8" s="44">
        <f t="shared" si="13"/>
        <v>99</v>
      </c>
      <c r="V8" s="20">
        <v>0.6</v>
      </c>
      <c r="W8" s="51">
        <v>0.63</v>
      </c>
      <c r="X8" s="52">
        <f t="shared" si="0"/>
        <v>3075</v>
      </c>
      <c r="Y8" s="49">
        <v>1141.8499999999999</v>
      </c>
      <c r="Z8" s="53">
        <f t="shared" si="3"/>
        <v>241.85000000000036</v>
      </c>
      <c r="AA8" s="57">
        <v>105504</v>
      </c>
      <c r="AB8" s="44">
        <f t="shared" si="14"/>
        <v>77</v>
      </c>
      <c r="AC8" s="57">
        <v>598.29999999999995</v>
      </c>
      <c r="AD8" s="44">
        <f t="shared" si="15"/>
        <v>9.3000000000000682</v>
      </c>
      <c r="AE8" s="60">
        <v>71477</v>
      </c>
      <c r="AF8" s="44">
        <f t="shared" si="16"/>
        <v>47</v>
      </c>
      <c r="AG8" s="63">
        <v>3100</v>
      </c>
      <c r="AH8" s="74">
        <v>0</v>
      </c>
      <c r="AI8" s="53">
        <f t="shared" si="4"/>
        <v>0</v>
      </c>
      <c r="AJ8" s="13">
        <v>129</v>
      </c>
      <c r="AK8" s="23">
        <v>250</v>
      </c>
    </row>
    <row r="9" spans="1:37" x14ac:dyDescent="0.2">
      <c r="A9" s="25">
        <v>45573</v>
      </c>
      <c r="B9" s="10">
        <v>32152842</v>
      </c>
      <c r="C9" s="67">
        <f t="shared" si="5"/>
        <v>5070</v>
      </c>
      <c r="D9" s="11">
        <v>949165</v>
      </c>
      <c r="E9" s="17">
        <f t="shared" si="6"/>
        <v>1887</v>
      </c>
      <c r="F9" s="35">
        <v>110461</v>
      </c>
      <c r="G9" s="100">
        <f t="shared" si="7"/>
        <v>0</v>
      </c>
      <c r="H9" s="104">
        <f t="shared" si="1"/>
        <v>6957</v>
      </c>
      <c r="I9" s="110">
        <f t="shared" si="2"/>
        <v>5890.2000000001863</v>
      </c>
      <c r="J9" s="97">
        <v>4683952.4000000004</v>
      </c>
      <c r="K9" s="44">
        <f t="shared" si="8"/>
        <v>872.79999999981374</v>
      </c>
      <c r="L9" s="15">
        <v>466777</v>
      </c>
      <c r="M9" s="44">
        <f t="shared" si="9"/>
        <v>47</v>
      </c>
      <c r="N9" s="15">
        <v>124308.3</v>
      </c>
      <c r="O9" s="44">
        <f t="shared" si="10"/>
        <v>70</v>
      </c>
      <c r="P9" s="97">
        <v>176517.9</v>
      </c>
      <c r="Q9" s="66">
        <f t="shared" si="11"/>
        <v>77</v>
      </c>
      <c r="R9" s="25">
        <f t="shared" si="12"/>
        <v>45573</v>
      </c>
      <c r="S9" s="42">
        <v>9079</v>
      </c>
      <c r="T9" s="43">
        <v>0</v>
      </c>
      <c r="U9" s="44">
        <f t="shared" si="13"/>
        <v>99</v>
      </c>
      <c r="V9" s="20">
        <v>0.79</v>
      </c>
      <c r="W9" s="51">
        <v>0.8</v>
      </c>
      <c r="X9" s="52">
        <f t="shared" si="0"/>
        <v>3975</v>
      </c>
      <c r="Y9" s="49"/>
      <c r="Z9" s="53">
        <f t="shared" si="3"/>
        <v>275</v>
      </c>
      <c r="AA9" s="57">
        <v>105581</v>
      </c>
      <c r="AB9" s="44">
        <f t="shared" si="14"/>
        <v>76</v>
      </c>
      <c r="AC9" s="57">
        <v>607.6</v>
      </c>
      <c r="AD9" s="44">
        <f t="shared" si="15"/>
        <v>7.5</v>
      </c>
      <c r="AE9" s="60">
        <v>71524</v>
      </c>
      <c r="AF9" s="44">
        <f t="shared" si="16"/>
        <v>38</v>
      </c>
      <c r="AG9" s="63">
        <v>3100</v>
      </c>
      <c r="AH9" s="74">
        <v>0</v>
      </c>
      <c r="AI9" s="53">
        <f t="shared" si="4"/>
        <v>0</v>
      </c>
      <c r="AJ9" s="13">
        <v>123</v>
      </c>
      <c r="AK9" s="23">
        <v>240</v>
      </c>
    </row>
    <row r="10" spans="1:37" x14ac:dyDescent="0.2">
      <c r="A10" s="25">
        <v>45574</v>
      </c>
      <c r="B10" s="10">
        <v>32157912</v>
      </c>
      <c r="C10" s="67">
        <f t="shared" si="5"/>
        <v>4932</v>
      </c>
      <c r="D10" s="11">
        <v>951052</v>
      </c>
      <c r="E10" s="17">
        <f t="shared" si="6"/>
        <v>1867</v>
      </c>
      <c r="F10" s="35">
        <v>110461</v>
      </c>
      <c r="G10" s="100">
        <f t="shared" si="7"/>
        <v>0</v>
      </c>
      <c r="H10" s="104">
        <f t="shared" si="1"/>
        <v>6799</v>
      </c>
      <c r="I10" s="110">
        <f t="shared" si="2"/>
        <v>5721.7999999998137</v>
      </c>
      <c r="J10" s="97">
        <v>4684825.2</v>
      </c>
      <c r="K10" s="44">
        <f t="shared" si="8"/>
        <v>883.20000000018626</v>
      </c>
      <c r="L10" s="15">
        <v>466824</v>
      </c>
      <c r="M10" s="44">
        <f t="shared" si="9"/>
        <v>47</v>
      </c>
      <c r="N10" s="15">
        <v>124378.3</v>
      </c>
      <c r="O10" s="44">
        <f t="shared" si="10"/>
        <v>70</v>
      </c>
      <c r="P10" s="97">
        <v>176594.9</v>
      </c>
      <c r="Q10" s="66">
        <f t="shared" si="11"/>
        <v>77</v>
      </c>
      <c r="R10" s="25">
        <f t="shared" si="12"/>
        <v>45574</v>
      </c>
      <c r="S10" s="42">
        <v>8980</v>
      </c>
      <c r="T10" s="43">
        <v>0</v>
      </c>
      <c r="U10" s="44">
        <f t="shared" si="13"/>
        <v>100</v>
      </c>
      <c r="V10" s="20">
        <v>0.73</v>
      </c>
      <c r="W10" s="51">
        <v>0.75</v>
      </c>
      <c r="X10" s="52">
        <f t="shared" si="0"/>
        <v>3700</v>
      </c>
      <c r="Y10" s="49"/>
      <c r="Z10" s="53">
        <f t="shared" si="3"/>
        <v>25</v>
      </c>
      <c r="AA10" s="57">
        <v>105657</v>
      </c>
      <c r="AB10" s="44">
        <f t="shared" si="14"/>
        <v>73</v>
      </c>
      <c r="AC10" s="57">
        <v>615.1</v>
      </c>
      <c r="AD10" s="44">
        <f t="shared" si="15"/>
        <v>8.1999999999999318</v>
      </c>
      <c r="AE10" s="60">
        <v>71562</v>
      </c>
      <c r="AF10" s="44">
        <f t="shared" si="16"/>
        <v>31</v>
      </c>
      <c r="AG10" s="63">
        <v>3100</v>
      </c>
      <c r="AH10" s="74">
        <v>0</v>
      </c>
      <c r="AI10" s="53">
        <f t="shared" si="4"/>
        <v>0</v>
      </c>
      <c r="AJ10" s="13">
        <v>143</v>
      </c>
      <c r="AK10" s="23">
        <v>275</v>
      </c>
    </row>
    <row r="11" spans="1:37" x14ac:dyDescent="0.2">
      <c r="A11" s="25">
        <v>45575</v>
      </c>
      <c r="B11" s="10">
        <v>32162844</v>
      </c>
      <c r="C11" s="67">
        <f t="shared" si="5"/>
        <v>5163</v>
      </c>
      <c r="D11" s="11">
        <v>952919</v>
      </c>
      <c r="E11" s="17">
        <f t="shared" si="6"/>
        <v>1795</v>
      </c>
      <c r="F11" s="35">
        <v>110461</v>
      </c>
      <c r="G11" s="100">
        <f t="shared" si="7"/>
        <v>0</v>
      </c>
      <c r="H11" s="104">
        <f t="shared" si="1"/>
        <v>6958</v>
      </c>
      <c r="I11" s="110">
        <f t="shared" si="2"/>
        <v>5856.8000000007451</v>
      </c>
      <c r="J11" s="97">
        <v>4685708.4000000004</v>
      </c>
      <c r="K11" s="44">
        <f t="shared" si="8"/>
        <v>907.19999999925494</v>
      </c>
      <c r="L11" s="15">
        <v>466871</v>
      </c>
      <c r="M11" s="44">
        <f t="shared" si="9"/>
        <v>47</v>
      </c>
      <c r="N11" s="15">
        <v>124448.3</v>
      </c>
      <c r="O11" s="44">
        <f t="shared" si="10"/>
        <v>70</v>
      </c>
      <c r="P11" s="97">
        <v>176671.9</v>
      </c>
      <c r="Q11" s="66">
        <f t="shared" si="11"/>
        <v>77</v>
      </c>
      <c r="R11" s="25">
        <f t="shared" si="12"/>
        <v>45575</v>
      </c>
      <c r="S11" s="42">
        <v>8880</v>
      </c>
      <c r="T11" s="43">
        <v>0</v>
      </c>
      <c r="U11" s="44">
        <f t="shared" si="13"/>
        <v>199</v>
      </c>
      <c r="V11" s="20">
        <v>0.72</v>
      </c>
      <c r="W11" s="51">
        <v>0.75</v>
      </c>
      <c r="X11" s="52">
        <f t="shared" si="0"/>
        <v>3675</v>
      </c>
      <c r="Y11" s="49"/>
      <c r="Z11" s="53">
        <f t="shared" si="3"/>
        <v>150</v>
      </c>
      <c r="AA11" s="57">
        <v>105730</v>
      </c>
      <c r="AB11" s="44">
        <f t="shared" si="14"/>
        <v>77</v>
      </c>
      <c r="AC11" s="57">
        <v>623.29999999999995</v>
      </c>
      <c r="AD11" s="44">
        <f t="shared" si="15"/>
        <v>9.2000000000000455</v>
      </c>
      <c r="AE11" s="60">
        <v>71593</v>
      </c>
      <c r="AF11" s="44">
        <f t="shared" si="16"/>
        <v>45</v>
      </c>
      <c r="AG11" s="63">
        <v>3100</v>
      </c>
      <c r="AH11" s="74">
        <v>0</v>
      </c>
      <c r="AI11" s="53">
        <f t="shared" si="4"/>
        <v>0</v>
      </c>
      <c r="AJ11" s="13">
        <v>145</v>
      </c>
      <c r="AK11" s="23">
        <v>265</v>
      </c>
    </row>
    <row r="12" spans="1:37" x14ac:dyDescent="0.2">
      <c r="A12" s="25">
        <v>45576</v>
      </c>
      <c r="B12" s="10">
        <v>32168007</v>
      </c>
      <c r="C12" s="67">
        <f t="shared" si="5"/>
        <v>5618</v>
      </c>
      <c r="D12" s="11">
        <v>954714</v>
      </c>
      <c r="E12" s="17">
        <f t="shared" si="6"/>
        <v>1395</v>
      </c>
      <c r="F12" s="35">
        <v>110461</v>
      </c>
      <c r="G12" s="100">
        <f t="shared" si="7"/>
        <v>0</v>
      </c>
      <c r="H12" s="104">
        <f t="shared" si="1"/>
        <v>7013</v>
      </c>
      <c r="I12" s="110">
        <f t="shared" si="2"/>
        <v>5967.7999999998137</v>
      </c>
      <c r="J12" s="97">
        <v>4686615.5999999996</v>
      </c>
      <c r="K12" s="44">
        <f t="shared" si="8"/>
        <v>851.20000000018626</v>
      </c>
      <c r="L12" s="15">
        <v>466918</v>
      </c>
      <c r="M12" s="44">
        <f t="shared" si="9"/>
        <v>47</v>
      </c>
      <c r="N12" s="15">
        <v>124518.3</v>
      </c>
      <c r="O12" s="44">
        <f t="shared" si="10"/>
        <v>70</v>
      </c>
      <c r="P12" s="97">
        <v>176748.9</v>
      </c>
      <c r="Q12" s="66">
        <f t="shared" si="11"/>
        <v>77</v>
      </c>
      <c r="R12" s="25">
        <f t="shared" si="12"/>
        <v>45576</v>
      </c>
      <c r="S12" s="42">
        <v>8681</v>
      </c>
      <c r="T12" s="43">
        <v>0</v>
      </c>
      <c r="U12" s="44">
        <f t="shared" si="13"/>
        <v>100</v>
      </c>
      <c r="V12" s="20">
        <v>0.71</v>
      </c>
      <c r="W12" s="51">
        <v>0.7</v>
      </c>
      <c r="X12" s="52">
        <f t="shared" si="0"/>
        <v>3525</v>
      </c>
      <c r="Y12" s="49"/>
      <c r="Z12" s="53">
        <f t="shared" si="3"/>
        <v>150</v>
      </c>
      <c r="AA12" s="57">
        <v>105807</v>
      </c>
      <c r="AB12" s="44">
        <f t="shared" si="14"/>
        <v>88</v>
      </c>
      <c r="AC12" s="57">
        <v>632.5</v>
      </c>
      <c r="AD12" s="44">
        <f t="shared" si="15"/>
        <v>10.700000000000045</v>
      </c>
      <c r="AE12" s="60">
        <v>71638</v>
      </c>
      <c r="AF12" s="44">
        <f t="shared" si="16"/>
        <v>25</v>
      </c>
      <c r="AG12" s="63">
        <v>3100</v>
      </c>
      <c r="AH12" s="74">
        <v>0</v>
      </c>
      <c r="AI12" s="53">
        <f t="shared" si="4"/>
        <v>0</v>
      </c>
      <c r="AJ12" s="13">
        <v>167</v>
      </c>
      <c r="AK12" s="23">
        <v>322</v>
      </c>
    </row>
    <row r="13" spans="1:37" x14ac:dyDescent="0.2">
      <c r="A13" s="25">
        <v>45577</v>
      </c>
      <c r="B13" s="10">
        <v>32173625</v>
      </c>
      <c r="C13" s="67">
        <f t="shared" si="5"/>
        <v>5342</v>
      </c>
      <c r="D13" s="11">
        <v>956109</v>
      </c>
      <c r="E13" s="17">
        <f t="shared" si="6"/>
        <v>1726</v>
      </c>
      <c r="F13" s="35">
        <v>110461</v>
      </c>
      <c r="G13" s="100">
        <f t="shared" si="7"/>
        <v>0</v>
      </c>
      <c r="H13" s="104">
        <f t="shared" si="1"/>
        <v>7068</v>
      </c>
      <c r="I13" s="110">
        <f t="shared" si="2"/>
        <v>6020.3999999994412</v>
      </c>
      <c r="J13" s="97">
        <v>4687466.8</v>
      </c>
      <c r="K13" s="44">
        <f t="shared" si="8"/>
        <v>853.60000000055879</v>
      </c>
      <c r="L13" s="15">
        <v>466965</v>
      </c>
      <c r="M13" s="44">
        <f>L14-L13</f>
        <v>47</v>
      </c>
      <c r="N13" s="15">
        <v>124588.3</v>
      </c>
      <c r="O13" s="44">
        <f t="shared" si="10"/>
        <v>70</v>
      </c>
      <c r="P13" s="97">
        <v>176825.9</v>
      </c>
      <c r="Q13" s="66">
        <f t="shared" si="11"/>
        <v>77</v>
      </c>
      <c r="R13" s="25">
        <f t="shared" si="12"/>
        <v>45577</v>
      </c>
      <c r="S13" s="42">
        <v>8581</v>
      </c>
      <c r="T13" s="43">
        <v>0</v>
      </c>
      <c r="U13" s="44">
        <f t="shared" si="13"/>
        <v>50</v>
      </c>
      <c r="V13" s="20">
        <v>0.66</v>
      </c>
      <c r="W13" s="51">
        <v>0.69</v>
      </c>
      <c r="X13" s="52">
        <f t="shared" si="0"/>
        <v>3375</v>
      </c>
      <c r="Y13" s="49"/>
      <c r="Z13" s="53">
        <f t="shared" si="3"/>
        <v>150</v>
      </c>
      <c r="AA13" s="57">
        <v>105895</v>
      </c>
      <c r="AB13" s="44">
        <f t="shared" si="14"/>
        <v>86</v>
      </c>
      <c r="AC13" s="57">
        <v>643.20000000000005</v>
      </c>
      <c r="AD13" s="44">
        <f t="shared" si="15"/>
        <v>5.3999999999999773</v>
      </c>
      <c r="AE13" s="60">
        <v>71663</v>
      </c>
      <c r="AF13" s="44">
        <f t="shared" si="16"/>
        <v>3</v>
      </c>
      <c r="AG13" s="63">
        <v>3100</v>
      </c>
      <c r="AH13" s="74">
        <v>0</v>
      </c>
      <c r="AI13" s="53">
        <f t="shared" si="4"/>
        <v>0</v>
      </c>
      <c r="AJ13" s="13">
        <v>171</v>
      </c>
      <c r="AK13" s="23">
        <v>323</v>
      </c>
    </row>
    <row r="14" spans="1:37" x14ac:dyDescent="0.2">
      <c r="A14" s="25">
        <v>45578</v>
      </c>
      <c r="B14" s="10">
        <v>32178967</v>
      </c>
      <c r="C14" s="67">
        <f t="shared" si="5"/>
        <v>5298</v>
      </c>
      <c r="D14" s="11">
        <v>957835</v>
      </c>
      <c r="E14" s="17">
        <f t="shared" si="6"/>
        <v>1605</v>
      </c>
      <c r="F14" s="35">
        <v>110461</v>
      </c>
      <c r="G14" s="100">
        <f t="shared" si="7"/>
        <v>0</v>
      </c>
      <c r="H14" s="104">
        <f t="shared" si="1"/>
        <v>6903</v>
      </c>
      <c r="I14" s="110">
        <f t="shared" si="2"/>
        <v>5767</v>
      </c>
      <c r="J14" s="97">
        <v>4688320.4000000004</v>
      </c>
      <c r="K14" s="44">
        <f t="shared" si="8"/>
        <v>942</v>
      </c>
      <c r="L14" s="15">
        <v>467012</v>
      </c>
      <c r="M14" s="44">
        <f>L15-L14</f>
        <v>47</v>
      </c>
      <c r="N14" s="15">
        <v>124658.3</v>
      </c>
      <c r="O14" s="44">
        <f t="shared" si="10"/>
        <v>70</v>
      </c>
      <c r="P14" s="97">
        <v>176902.9</v>
      </c>
      <c r="Q14" s="66">
        <f t="shared" si="11"/>
        <v>77</v>
      </c>
      <c r="R14" s="25">
        <f t="shared" si="12"/>
        <v>45578</v>
      </c>
      <c r="S14" s="42">
        <v>8531</v>
      </c>
      <c r="T14" s="43">
        <v>0</v>
      </c>
      <c r="U14" s="44">
        <f t="shared" si="13"/>
        <v>150</v>
      </c>
      <c r="V14" s="20">
        <v>0.64</v>
      </c>
      <c r="W14" s="51">
        <v>0.65</v>
      </c>
      <c r="X14" s="52">
        <f t="shared" si="0"/>
        <v>3225</v>
      </c>
      <c r="Y14" s="49"/>
      <c r="Z14" s="53">
        <f t="shared" si="3"/>
        <v>100</v>
      </c>
      <c r="AA14" s="57">
        <v>105981</v>
      </c>
      <c r="AB14" s="44">
        <f t="shared" si="14"/>
        <v>87</v>
      </c>
      <c r="AC14" s="57">
        <v>648.6</v>
      </c>
      <c r="AD14" s="44">
        <f t="shared" si="15"/>
        <v>9.6999999999999318</v>
      </c>
      <c r="AE14" s="60">
        <v>71666</v>
      </c>
      <c r="AF14" s="44">
        <f t="shared" si="16"/>
        <v>40</v>
      </c>
      <c r="AG14" s="63">
        <v>3100</v>
      </c>
      <c r="AH14" s="74">
        <v>0</v>
      </c>
      <c r="AI14" s="53">
        <f t="shared" si="4"/>
        <v>0</v>
      </c>
      <c r="AJ14" s="13">
        <v>141</v>
      </c>
      <c r="AK14" s="23">
        <v>263</v>
      </c>
    </row>
    <row r="15" spans="1:37" x14ac:dyDescent="0.2">
      <c r="A15" s="25">
        <v>45579</v>
      </c>
      <c r="B15" s="10">
        <v>32184265</v>
      </c>
      <c r="C15" s="67"/>
      <c r="D15" s="11">
        <v>959440</v>
      </c>
      <c r="E15" s="17"/>
      <c r="F15" s="35">
        <v>110461</v>
      </c>
      <c r="G15" s="100"/>
      <c r="H15" s="104">
        <f t="shared" si="1"/>
        <v>0</v>
      </c>
      <c r="I15" s="110">
        <f t="shared" si="2"/>
        <v>0</v>
      </c>
      <c r="J15" s="97">
        <v>4689262.4000000004</v>
      </c>
      <c r="K15" s="44"/>
      <c r="L15" s="15">
        <v>467059</v>
      </c>
      <c r="M15" s="44"/>
      <c r="N15" s="15">
        <v>124728.3</v>
      </c>
      <c r="O15" s="44"/>
      <c r="P15" s="97">
        <v>176979.9</v>
      </c>
      <c r="Q15" s="66"/>
      <c r="R15" s="25">
        <f t="shared" si="12"/>
        <v>45579</v>
      </c>
      <c r="S15" s="42">
        <v>8381</v>
      </c>
      <c r="T15" s="43">
        <v>0</v>
      </c>
      <c r="U15" s="44"/>
      <c r="V15" s="20">
        <v>0.6</v>
      </c>
      <c r="W15" s="51">
        <v>0.65</v>
      </c>
      <c r="X15" s="52">
        <f t="shared" si="0"/>
        <v>3125</v>
      </c>
      <c r="Y15" s="49"/>
      <c r="Z15" s="53"/>
      <c r="AA15" s="57">
        <v>106068</v>
      </c>
      <c r="AB15" s="44"/>
      <c r="AC15" s="57">
        <v>658.3</v>
      </c>
      <c r="AD15" s="44"/>
      <c r="AE15" s="60">
        <v>71706</v>
      </c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45580</v>
      </c>
      <c r="B16" s="10"/>
      <c r="C16" s="67"/>
      <c r="D16" s="11"/>
      <c r="E16" s="17"/>
      <c r="F16" s="35"/>
      <c r="G16" s="100"/>
      <c r="H16" s="104">
        <f t="shared" si="1"/>
        <v>0</v>
      </c>
      <c r="I16" s="110">
        <f t="shared" si="2"/>
        <v>0</v>
      </c>
      <c r="J16" s="97"/>
      <c r="K16" s="44"/>
      <c r="L16" s="15"/>
      <c r="M16" s="44"/>
      <c r="N16" s="15"/>
      <c r="O16" s="44"/>
      <c r="P16" s="97"/>
      <c r="Q16" s="66"/>
      <c r="R16" s="25">
        <f t="shared" si="12"/>
        <v>45580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45581</v>
      </c>
      <c r="B17" s="10"/>
      <c r="C17" s="67"/>
      <c r="D17" s="11"/>
      <c r="E17" s="17"/>
      <c r="F17" s="35"/>
      <c r="G17" s="100"/>
      <c r="H17" s="104">
        <f t="shared" si="1"/>
        <v>0</v>
      </c>
      <c r="I17" s="110">
        <f t="shared" si="2"/>
        <v>0</v>
      </c>
      <c r="J17" s="97"/>
      <c r="K17" s="44"/>
      <c r="L17" s="15"/>
      <c r="M17" s="44"/>
      <c r="N17" s="15"/>
      <c r="O17" s="44"/>
      <c r="P17" s="97"/>
      <c r="Q17" s="66"/>
      <c r="R17" s="25">
        <f t="shared" si="12"/>
        <v>45581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45582</v>
      </c>
      <c r="B18" s="10"/>
      <c r="C18" s="67"/>
      <c r="D18" s="11"/>
      <c r="E18" s="17"/>
      <c r="F18" s="35"/>
      <c r="G18" s="100"/>
      <c r="H18" s="104">
        <f t="shared" si="1"/>
        <v>0</v>
      </c>
      <c r="I18" s="110">
        <f t="shared" si="2"/>
        <v>0</v>
      </c>
      <c r="J18" s="97"/>
      <c r="K18" s="44"/>
      <c r="L18" s="15"/>
      <c r="M18" s="44"/>
      <c r="N18" s="15"/>
      <c r="O18" s="44"/>
      <c r="P18" s="97"/>
      <c r="Q18" s="66"/>
      <c r="R18" s="25">
        <f t="shared" si="12"/>
        <v>45582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45583</v>
      </c>
      <c r="B19" s="10"/>
      <c r="C19" s="67"/>
      <c r="D19" s="11"/>
      <c r="E19" s="17"/>
      <c r="F19" s="35"/>
      <c r="G19" s="100"/>
      <c r="H19" s="104">
        <f t="shared" si="1"/>
        <v>0</v>
      </c>
      <c r="I19" s="110">
        <f t="shared" si="2"/>
        <v>0</v>
      </c>
      <c r="J19" s="97"/>
      <c r="K19" s="44"/>
      <c r="L19" s="15"/>
      <c r="M19" s="44"/>
      <c r="N19" s="15"/>
      <c r="O19" s="44"/>
      <c r="P19" s="97"/>
      <c r="Q19" s="66"/>
      <c r="R19" s="25">
        <f t="shared" si="12"/>
        <v>45583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45584</v>
      </c>
      <c r="B20" s="10"/>
      <c r="C20" s="67"/>
      <c r="D20" s="11"/>
      <c r="E20" s="17"/>
      <c r="F20" s="35"/>
      <c r="G20" s="100"/>
      <c r="H20" s="104">
        <f t="shared" si="1"/>
        <v>0</v>
      </c>
      <c r="I20" s="110">
        <f t="shared" si="2"/>
        <v>0</v>
      </c>
      <c r="J20" s="97"/>
      <c r="K20" s="44"/>
      <c r="L20" s="15"/>
      <c r="M20" s="44"/>
      <c r="N20" s="15"/>
      <c r="O20" s="44"/>
      <c r="P20" s="97"/>
      <c r="Q20" s="66"/>
      <c r="R20" s="25">
        <f t="shared" si="12"/>
        <v>45584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45585</v>
      </c>
      <c r="B21" s="10"/>
      <c r="C21" s="67"/>
      <c r="D21" s="11"/>
      <c r="E21" s="17"/>
      <c r="F21" s="35"/>
      <c r="G21" s="100"/>
      <c r="H21" s="104">
        <f t="shared" si="1"/>
        <v>0</v>
      </c>
      <c r="I21" s="110">
        <f t="shared" si="2"/>
        <v>0</v>
      </c>
      <c r="J21" s="97"/>
      <c r="K21" s="44"/>
      <c r="L21" s="15"/>
      <c r="M21" s="44"/>
      <c r="N21" s="15"/>
      <c r="O21" s="44"/>
      <c r="P21" s="97"/>
      <c r="Q21" s="66"/>
      <c r="R21" s="25">
        <f t="shared" si="12"/>
        <v>45585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45586</v>
      </c>
      <c r="B22" s="10"/>
      <c r="C22" s="67"/>
      <c r="D22" s="11"/>
      <c r="E22" s="17"/>
      <c r="F22" s="35"/>
      <c r="G22" s="100"/>
      <c r="H22" s="104">
        <f t="shared" si="1"/>
        <v>0</v>
      </c>
      <c r="I22" s="110">
        <f t="shared" si="2"/>
        <v>0</v>
      </c>
      <c r="J22" s="97"/>
      <c r="K22" s="44"/>
      <c r="L22" s="15"/>
      <c r="M22" s="44"/>
      <c r="N22" s="15"/>
      <c r="O22" s="44"/>
      <c r="P22" s="97"/>
      <c r="Q22" s="66"/>
      <c r="R22" s="25">
        <f t="shared" si="12"/>
        <v>45586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45587</v>
      </c>
      <c r="B23" s="10"/>
      <c r="C23" s="6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45587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45588</v>
      </c>
      <c r="B24" s="10"/>
      <c r="C24" s="6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45588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45589</v>
      </c>
      <c r="B25" s="10"/>
      <c r="C25" s="6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45589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45590</v>
      </c>
      <c r="B26" s="10"/>
      <c r="C26" s="6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45590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45591</v>
      </c>
      <c r="B27" s="10"/>
      <c r="C27" s="6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45591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45592</v>
      </c>
      <c r="B28" s="10"/>
      <c r="C28" s="6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45592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45593</v>
      </c>
      <c r="B29" s="10"/>
      <c r="C29" s="6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45593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45594</v>
      </c>
      <c r="B30" s="10"/>
      <c r="C30" s="6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45594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45595</v>
      </c>
      <c r="B31" s="10"/>
      <c r="C31" s="6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45595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45596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45596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45597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45597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19" customFormat="1" ht="12" thickTop="1" x14ac:dyDescent="0.2">
      <c r="A34" s="115"/>
      <c r="B34" s="115"/>
      <c r="C34" s="149">
        <f>SUM(C2:C33)</f>
        <v>68504</v>
      </c>
      <c r="D34" s="117"/>
      <c r="E34" s="149">
        <f>SUM(E2:E33)</f>
        <v>23809</v>
      </c>
      <c r="F34" s="118"/>
      <c r="G34" s="149">
        <f>SUM(G2:G33)</f>
        <v>2</v>
      </c>
      <c r="H34" s="149">
        <f>SUM(H2:H33)</f>
        <v>92311</v>
      </c>
      <c r="I34" s="149">
        <f>SUM(I2:I32)</f>
        <v>78003.799999999814</v>
      </c>
      <c r="J34" s="118"/>
      <c r="K34" s="149">
        <f>SUM(K2:K33)</f>
        <v>11785.200000000186</v>
      </c>
      <c r="L34" s="118"/>
      <c r="M34" s="149">
        <f>SUM(M2:M33)</f>
        <v>611</v>
      </c>
      <c r="N34" s="118"/>
      <c r="O34" s="149">
        <f>SUM(O2:O33)</f>
        <v>910</v>
      </c>
      <c r="P34" s="118"/>
      <c r="Q34" s="149">
        <f>SUM(Q2:Q33)</f>
        <v>1001</v>
      </c>
      <c r="R34" s="115"/>
      <c r="S34" s="117"/>
      <c r="T34" s="117"/>
      <c r="U34" s="116">
        <f>SUM(U2:U33)</f>
        <v>1482</v>
      </c>
      <c r="V34" s="115"/>
      <c r="W34" s="115"/>
      <c r="X34" s="115"/>
      <c r="Y34" s="148">
        <f>SUM(Y2:Y33)</f>
        <v>1141.8499999999999</v>
      </c>
      <c r="Z34" s="149">
        <f>SUM(Z2:Z33)</f>
        <v>2066.8500000000008</v>
      </c>
      <c r="AA34" s="115"/>
      <c r="AB34" s="149">
        <f>SUM(AB2:AB33)</f>
        <v>1136</v>
      </c>
      <c r="AC34" s="118"/>
      <c r="AD34" s="149">
        <f>SUM(AD2:AD33)</f>
        <v>108</v>
      </c>
      <c r="AE34" s="115"/>
      <c r="AF34" s="116">
        <f>SUM(AF2:AF33)</f>
        <v>442</v>
      </c>
      <c r="AG34" s="115"/>
      <c r="AH34" s="148">
        <f>SUM(AH2:AH33)</f>
        <v>0</v>
      </c>
      <c r="AI34" s="149">
        <f>SUM(AI2:AI33)</f>
        <v>0</v>
      </c>
      <c r="AJ34" s="150">
        <f>SUM(AJ2:AJ33)</f>
        <v>2033</v>
      </c>
      <c r="AK34" s="149">
        <f>SUM(AK2:AK32)</f>
        <v>3968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2024-10-14T06:55:06Z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