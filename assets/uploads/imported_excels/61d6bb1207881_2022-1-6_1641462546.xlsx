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080" yWindow="75" windowWidth="12210" windowHeight="120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14" i="5"/>
  <c r="X15"/>
  <c r="X16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6" i="3" l="1"/>
  <c r="D3" i="2"/>
  <c r="W81" i="74"/>
  <c r="V81"/>
  <c r="S81"/>
  <c r="R81"/>
  <c r="O81"/>
  <c r="N81"/>
  <c r="J81"/>
  <c r="K81"/>
  <c r="G81"/>
  <c r="F81"/>
  <c r="C81"/>
  <c r="B81"/>
  <c r="W43"/>
  <c r="V43"/>
  <c r="S43"/>
  <c r="R43"/>
  <c r="O43"/>
  <c r="N43"/>
  <c r="K43"/>
  <c r="J43"/>
  <c r="C43"/>
  <c r="B43"/>
  <c r="G43"/>
  <c r="F43"/>
  <c r="C15" i="77"/>
  <c r="C16"/>
  <c r="C17"/>
  <c r="C18"/>
  <c r="C19"/>
  <c r="C20"/>
  <c r="C14"/>
  <c r="H7" i="79" l="1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6"/>
  <c r="H5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B4"/>
  <c r="B5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B3" i="3"/>
  <c r="B4" s="1"/>
  <c r="B5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T5" i="5"/>
  <c r="AT6" s="1"/>
  <c r="AT7" s="1"/>
  <c r="AT8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5" s="1"/>
  <c r="C6" s="1"/>
  <c r="C7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Y4" i="2"/>
  <c r="Y5" s="1"/>
  <c r="Y6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K3"/>
  <c r="L3"/>
  <c r="L4" s="1"/>
  <c r="L5" s="1"/>
  <c r="L6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Z3"/>
  <c r="AA3"/>
  <c r="AB3"/>
  <c r="AC3"/>
  <c r="AD3"/>
  <c r="AE3"/>
  <c r="AF3"/>
  <c r="AG3"/>
  <c r="J4"/>
  <c r="J5" s="1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F4"/>
  <c r="F5" s="1"/>
  <c r="F6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E3"/>
  <c r="F3"/>
  <c r="G3"/>
  <c r="H3"/>
  <c r="H4" s="1"/>
  <c r="H5" s="1"/>
  <c r="H6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D4"/>
  <c r="D5" s="1"/>
  <c r="D6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A12" i="76" l="1"/>
  <c r="D10" i="74" l="1"/>
  <c r="D4" i="8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"/>
  <c r="D19" i="73" l="1"/>
  <c r="E12" i="2" l="1"/>
  <c r="E9"/>
  <c r="E10"/>
  <c r="E11"/>
  <c r="V26" i="76"/>
  <c r="AF34" i="3" l="1"/>
  <c r="F37" i="5"/>
  <c r="AT37" i="7" l="1"/>
  <c r="BI5"/>
  <c r="X3" i="3"/>
  <c r="X4"/>
  <c r="X5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7" s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E26" i="2" l="1"/>
  <c r="V30" i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H28" i="82" l="1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AB14" i="74" l="1"/>
  <c r="AA14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B15" i="77"/>
  <c r="E15" s="1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B14" i="77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O30" s="1"/>
  <c r="P30" s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1" i="76" l="1"/>
  <c r="P31" s="1"/>
  <c r="O14"/>
  <c r="P14" s="1"/>
  <c r="O12"/>
  <c r="P12" s="1"/>
  <c r="O11"/>
  <c r="P11" s="1"/>
  <c r="O20"/>
  <c r="P20" s="1"/>
  <c r="O19"/>
  <c r="P19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AG9" i="2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F14" i="2" l="1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B12" i="63" l="1"/>
  <c r="AI16" i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6" i="5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BB6" i="5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G30" i="2" l="1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Q35"/>
  <c r="M31" i="81" s="1"/>
  <c r="Q36" i="5"/>
  <c r="AL37" l="1"/>
  <c r="AC20" i="3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<sst xmlns="http://schemas.openxmlformats.org/spreadsheetml/2006/main" count="669" uniqueCount="417">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</sst>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70133632"/>
        <c:axId val="70135168"/>
      </c:lineChart>
      <c:catAx>
        <c:axId val="7013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35168"/>
        <c:crosses val="autoZero"/>
        <c:auto val="1"/>
        <c:lblAlgn val="ctr"/>
        <c:lblOffset val="100"/>
      </c:catAx>
      <c:valAx>
        <c:axId val="7013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3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70151552"/>
        <c:axId val="70161536"/>
      </c:lineChart>
      <c:catAx>
        <c:axId val="7015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61536"/>
        <c:crosses val="autoZero"/>
        <c:auto val="1"/>
        <c:lblAlgn val="ctr"/>
        <c:lblOffset val="100"/>
      </c:catAx>
      <c:valAx>
        <c:axId val="7016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5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13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70337280"/>
        <c:axId val="70338816"/>
      </c:lineChart>
      <c:catAx>
        <c:axId val="7033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338816"/>
        <c:crosses val="autoZero"/>
        <c:auto val="1"/>
        <c:lblAlgn val="ctr"/>
        <c:lblOffset val="100"/>
      </c:catAx>
      <c:valAx>
        <c:axId val="703388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33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70347008"/>
        <c:axId val="70356992"/>
      </c:lineChart>
      <c:catAx>
        <c:axId val="7034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356992"/>
        <c:crosses val="autoZero"/>
        <c:auto val="1"/>
        <c:lblAlgn val="ctr"/>
        <c:lblOffset val="100"/>
      </c:catAx>
      <c:valAx>
        <c:axId val="70356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34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0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70406144"/>
        <c:axId val="70407680"/>
      </c:lineChart>
      <c:catAx>
        <c:axId val="704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7680"/>
        <c:crosses val="autoZero"/>
        <c:auto val="1"/>
        <c:lblAlgn val="ctr"/>
        <c:lblOffset val="100"/>
      </c:catAx>
      <c:valAx>
        <c:axId val="704076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0662016"/>
        <c:axId val="70663552"/>
      </c:lineChart>
      <c:catAx>
        <c:axId val="7066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63552"/>
        <c:crosses val="autoZero"/>
        <c:auto val="1"/>
        <c:lblAlgn val="ctr"/>
        <c:lblOffset val="100"/>
      </c:catAx>
      <c:valAx>
        <c:axId val="7066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6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0684032"/>
        <c:axId val="70521984"/>
      </c:lineChart>
      <c:catAx>
        <c:axId val="7068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21984"/>
        <c:crosses val="autoZero"/>
        <c:auto val="1"/>
        <c:lblAlgn val="ctr"/>
        <c:lblOffset val="100"/>
      </c:catAx>
      <c:valAx>
        <c:axId val="7052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8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0538368"/>
        <c:axId val="70539904"/>
      </c:lineChart>
      <c:catAx>
        <c:axId val="7053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39904"/>
        <c:crosses val="autoZero"/>
        <c:auto val="1"/>
        <c:lblAlgn val="ctr"/>
        <c:lblOffset val="100"/>
      </c:catAx>
      <c:valAx>
        <c:axId val="7053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3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70560384"/>
        <c:axId val="70574464"/>
      </c:lineChart>
      <c:catAx>
        <c:axId val="705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74464"/>
        <c:crosses val="autoZero"/>
        <c:auto val="1"/>
        <c:lblAlgn val="ctr"/>
        <c:lblOffset val="100"/>
      </c:catAx>
      <c:valAx>
        <c:axId val="70574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133"/>
          <c:w val="0.127240331517760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70738304"/>
        <c:axId val="70739840"/>
      </c:lineChart>
      <c:catAx>
        <c:axId val="707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39840"/>
        <c:crosses val="autoZero"/>
        <c:auto val="1"/>
        <c:lblAlgn val="ctr"/>
        <c:lblOffset val="100"/>
      </c:catAx>
      <c:valAx>
        <c:axId val="7073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0801280"/>
        <c:axId val="70802816"/>
      </c:lineChart>
      <c:catAx>
        <c:axId val="7080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02816"/>
        <c:crosses val="autoZero"/>
        <c:auto val="1"/>
        <c:lblAlgn val="ctr"/>
        <c:lblOffset val="100"/>
      </c:catAx>
      <c:valAx>
        <c:axId val="70802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0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70926336"/>
        <c:axId val="70927872"/>
      </c:lineChart>
      <c:catAx>
        <c:axId val="709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927872"/>
        <c:crosses val="autoZero"/>
        <c:auto val="1"/>
        <c:lblAlgn val="ctr"/>
        <c:lblOffset val="100"/>
      </c:catAx>
      <c:valAx>
        <c:axId val="7092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9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1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70973312"/>
        <c:axId val="70974848"/>
      </c:lineChart>
      <c:catAx>
        <c:axId val="7097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974848"/>
        <c:crosses val="autoZero"/>
        <c:auto val="1"/>
        <c:lblAlgn val="ctr"/>
        <c:lblOffset val="100"/>
      </c:catAx>
      <c:valAx>
        <c:axId val="7097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9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133"/>
          <c:w val="0.135416885389375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71183744"/>
        <c:axId val="71210112"/>
      </c:lineChart>
      <c:catAx>
        <c:axId val="7118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210112"/>
        <c:crosses val="autoZero"/>
        <c:auto val="1"/>
        <c:lblAlgn val="ctr"/>
        <c:lblOffset val="100"/>
      </c:catAx>
      <c:valAx>
        <c:axId val="71210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1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13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8236672"/>
        <c:axId val="118238208"/>
      </c:lineChart>
      <c:catAx>
        <c:axId val="1182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38208"/>
        <c:crosses val="autoZero"/>
        <c:auto val="1"/>
        <c:lblAlgn val="ctr"/>
        <c:lblOffset val="100"/>
      </c:catAx>
      <c:valAx>
        <c:axId val="118238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8270976"/>
        <c:axId val="118276864"/>
      </c:lineChart>
      <c:catAx>
        <c:axId val="11827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76864"/>
        <c:crosses val="autoZero"/>
        <c:auto val="1"/>
        <c:lblAlgn val="ctr"/>
        <c:lblOffset val="100"/>
      </c:catAx>
      <c:valAx>
        <c:axId val="11827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7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133"/>
          <c:w val="0.135416885389375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8293248"/>
        <c:axId val="118294784"/>
      </c:lineChart>
      <c:catAx>
        <c:axId val="11829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4784"/>
        <c:crosses val="autoZero"/>
        <c:auto val="1"/>
        <c:lblAlgn val="ctr"/>
        <c:lblOffset val="100"/>
      </c:catAx>
      <c:valAx>
        <c:axId val="1182947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17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8343936"/>
        <c:axId val="118345728"/>
      </c:lineChart>
      <c:catAx>
        <c:axId val="1183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45728"/>
        <c:crosses val="autoZero"/>
        <c:auto val="1"/>
        <c:lblAlgn val="ctr"/>
        <c:lblOffset val="100"/>
      </c:catAx>
      <c:valAx>
        <c:axId val="11834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8378880"/>
        <c:axId val="118380416"/>
      </c:lineChart>
      <c:catAx>
        <c:axId val="1183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0416"/>
        <c:crosses val="autoZero"/>
        <c:auto val="1"/>
        <c:lblAlgn val="ctr"/>
        <c:lblOffset val="100"/>
      </c:catAx>
      <c:valAx>
        <c:axId val="11838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2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409088"/>
        <c:axId val="118410624"/>
      </c:lineChart>
      <c:catAx>
        <c:axId val="1184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10624"/>
        <c:crosses val="autoZero"/>
        <c:auto val="1"/>
        <c:lblAlgn val="ctr"/>
        <c:lblOffset val="100"/>
      </c:catAx>
      <c:valAx>
        <c:axId val="118410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8439296"/>
        <c:axId val="118445184"/>
      </c:lineChart>
      <c:catAx>
        <c:axId val="118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5184"/>
        <c:crosses val="autoZero"/>
        <c:auto val="1"/>
        <c:lblAlgn val="ctr"/>
        <c:lblOffset val="100"/>
      </c:catAx>
      <c:valAx>
        <c:axId val="118445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8482048"/>
        <c:axId val="118483584"/>
      </c:lineChart>
      <c:catAx>
        <c:axId val="11848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3584"/>
        <c:crosses val="autoZero"/>
        <c:auto val="1"/>
        <c:lblAlgn val="ctr"/>
        <c:lblOffset val="100"/>
      </c:catAx>
      <c:valAx>
        <c:axId val="11848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7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8565504"/>
        <c:axId val="118575488"/>
      </c:lineChart>
      <c:catAx>
        <c:axId val="11856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5488"/>
        <c:crosses val="autoZero"/>
        <c:auto val="1"/>
        <c:lblAlgn val="ctr"/>
        <c:lblOffset val="100"/>
      </c:catAx>
      <c:valAx>
        <c:axId val="11857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13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8497664"/>
        <c:axId val="118499200"/>
      </c:lineChart>
      <c:catAx>
        <c:axId val="11849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9200"/>
        <c:crosses val="autoZero"/>
        <c:auto val="1"/>
        <c:lblAlgn val="ctr"/>
        <c:lblOffset val="100"/>
      </c:catAx>
      <c:valAx>
        <c:axId val="11849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043"/>
          <c:w val="0.1234311819809428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8516736"/>
        <c:axId val="118526720"/>
      </c:lineChart>
      <c:catAx>
        <c:axId val="118516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26720"/>
        <c:crosses val="autoZero"/>
        <c:auto val="1"/>
        <c:lblAlgn val="ctr"/>
        <c:lblOffset val="100"/>
      </c:catAx>
      <c:valAx>
        <c:axId val="118526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55"/>
          <c:w val="0.156903985328241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8710656"/>
        <c:axId val="118712192"/>
      </c:lineChart>
      <c:catAx>
        <c:axId val="1187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12192"/>
        <c:crosses val="autoZero"/>
        <c:auto val="1"/>
        <c:lblAlgn val="ctr"/>
        <c:lblOffset val="100"/>
      </c:catAx>
      <c:valAx>
        <c:axId val="118712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8655232"/>
        <c:axId val="118681600"/>
      </c:lineChart>
      <c:catAx>
        <c:axId val="1186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81600"/>
        <c:crosses val="autoZero"/>
        <c:auto val="1"/>
        <c:lblAlgn val="ctr"/>
        <c:lblOffset val="100"/>
      </c:catAx>
      <c:valAx>
        <c:axId val="11868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70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9207424"/>
        <c:axId val="119208960"/>
      </c:lineChart>
      <c:catAx>
        <c:axId val="1192074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08960"/>
        <c:crosses val="autoZero"/>
        <c:auto val="1"/>
        <c:lblAlgn val="ctr"/>
        <c:lblOffset val="100"/>
      </c:catAx>
      <c:valAx>
        <c:axId val="1192089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0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5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W35">
            <v>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O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G33">
            <v>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W33">
            <v>0</v>
          </cell>
          <cell r="X33">
            <v>13429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T36">
            <v>0</v>
          </cell>
          <cell r="AU36">
            <v>0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B36">
            <v>1.2</v>
          </cell>
          <cell r="I36">
            <v>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2.9880805903916161E-2</v>
      </c>
      <c r="G5" s="203">
        <f>-tanks!AW9</f>
        <v>0</v>
      </c>
      <c r="H5" s="315">
        <f>SUM(tanks!AV9)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2.6973869763127361E-2</v>
      </c>
      <c r="G6" s="203">
        <f>-tanks!AW10</f>
        <v>49</v>
      </c>
      <c r="H6" s="315">
        <f>SUM(tanks!AV10)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SUM(tanks!AV11)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SUM(tanks!AV14)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R8" sqref="A8:XFD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600">
        <f>[2]ELEC!D34</f>
        <v>118750</v>
      </c>
      <c r="E3" s="600">
        <f>[2]ELEC!E34</f>
        <v>1910</v>
      </c>
      <c r="F3" s="600">
        <f>[2]ELEC!F34</f>
        <v>4110097</v>
      </c>
      <c r="G3" s="600">
        <f>[2]ELEC!G34</f>
        <v>206</v>
      </c>
      <c r="H3" s="600">
        <f>[2]ELEC!H34</f>
        <v>18001838</v>
      </c>
      <c r="I3" s="600">
        <f>[2]ELEC!I34</f>
        <v>408</v>
      </c>
      <c r="J3" s="600">
        <f>[2]ELEC!J34</f>
        <v>29657486</v>
      </c>
      <c r="K3" s="600">
        <f>[2]ELEC!K34</f>
        <v>550</v>
      </c>
      <c r="L3" s="600">
        <f>[2]ELEC!L34</f>
        <v>24498960</v>
      </c>
      <c r="M3" s="600">
        <f>[2]ELEC!M34</f>
        <v>880</v>
      </c>
      <c r="N3" s="600">
        <f>[2]ELEC!N34</f>
        <v>3954</v>
      </c>
      <c r="O3" s="600">
        <f>[2]ELEC!O34</f>
        <v>0</v>
      </c>
      <c r="P3" s="600">
        <f>[2]ELEC!P34</f>
        <v>18783.96</v>
      </c>
      <c r="Q3" s="600">
        <f>[2]ELEC!Q34</f>
        <v>8172.999999998865</v>
      </c>
      <c r="R3" s="600">
        <f>[2]ELEC!R34</f>
        <v>-4218.999999998865</v>
      </c>
      <c r="S3" s="600">
        <f>[2]ELEC!S34</f>
        <v>10175</v>
      </c>
      <c r="T3" s="600">
        <f>[2]ELEC!T34</f>
        <v>0</v>
      </c>
      <c r="U3" s="600">
        <f>[2]ELEC!U34</f>
        <v>429166</v>
      </c>
      <c r="V3" s="600">
        <f>[2]ELEC!V34</f>
        <v>0</v>
      </c>
      <c r="W3" s="600">
        <f>[2]ELEC!W34</f>
        <v>33479</v>
      </c>
      <c r="X3" s="600">
        <f>[2]ELEC!X34</f>
        <v>0</v>
      </c>
      <c r="Y3" s="600">
        <f>[2]ELEC!Y34</f>
        <v>995654</v>
      </c>
      <c r="Z3" s="600">
        <f>[2]ELEC!Z34</f>
        <v>0</v>
      </c>
      <c r="AA3" s="600">
        <f>[2]ELEC!AA34</f>
        <v>36796</v>
      </c>
      <c r="AB3" s="600">
        <f>[2]ELEC!AB34</f>
        <v>0</v>
      </c>
      <c r="AC3" s="600">
        <f>[2]ELEC!AC34</f>
        <v>1170505</v>
      </c>
      <c r="AD3" s="600">
        <f>[2]ELEC!AD34</f>
        <v>0</v>
      </c>
      <c r="AE3" s="600">
        <f>[2]ELEC!AE34</f>
        <v>0</v>
      </c>
      <c r="AF3" s="600">
        <f>[2]ELEC!AF34</f>
        <v>0</v>
      </c>
      <c r="AG3" s="600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1">
        <f>D3</f>
        <v>118750</v>
      </c>
      <c r="E4" s="585">
        <f>D4-D3</f>
        <v>0</v>
      </c>
      <c r="F4" s="573">
        <f>F3</f>
        <v>4110097</v>
      </c>
      <c r="G4" s="586">
        <f>F4-F3</f>
        <v>0</v>
      </c>
      <c r="H4" s="426">
        <f>H3</f>
        <v>18001838</v>
      </c>
      <c r="I4" s="586">
        <f>H4-H3</f>
        <v>0</v>
      </c>
      <c r="J4" s="426">
        <f>J3</f>
        <v>29657486</v>
      </c>
      <c r="K4" s="586">
        <f>J4-J3</f>
        <v>0</v>
      </c>
      <c r="L4" s="426">
        <f>L3</f>
        <v>24498960</v>
      </c>
      <c r="M4" s="586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1">
        <f t="shared" ref="D5:D34" si="7">D4</f>
        <v>118750</v>
      </c>
      <c r="E5" s="585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1">
        <f t="shared" si="7"/>
        <v>118750</v>
      </c>
      <c r="E6" s="585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1">
        <v>121330</v>
      </c>
      <c r="E7" s="585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1">
        <v>123510</v>
      </c>
      <c r="E8" s="585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1">
        <f t="shared" si="7"/>
        <v>123510</v>
      </c>
      <c r="E9" s="585">
        <f t="shared" si="8"/>
        <v>0</v>
      </c>
      <c r="F9" s="573">
        <f t="shared" si="9"/>
        <v>4110664</v>
      </c>
      <c r="G9" s="449">
        <f t="shared" si="20"/>
        <v>0</v>
      </c>
      <c r="H9" s="426">
        <f t="shared" si="10"/>
        <v>18002900</v>
      </c>
      <c r="I9" s="449">
        <f t="shared" si="21"/>
        <v>0</v>
      </c>
      <c r="J9" s="426">
        <f t="shared" si="11"/>
        <v>29660674</v>
      </c>
      <c r="K9" s="449">
        <f t="shared" si="22"/>
        <v>0</v>
      </c>
      <c r="L9" s="426">
        <f t="shared" si="12"/>
        <v>24501380</v>
      </c>
      <c r="M9" s="449">
        <f t="shared" si="23"/>
        <v>0</v>
      </c>
      <c r="N9" s="297">
        <f t="shared" si="24"/>
        <v>0</v>
      </c>
      <c r="O9" s="445">
        <f t="shared" si="0"/>
        <v>0</v>
      </c>
      <c r="P9" s="564">
        <f t="shared" si="13"/>
        <v>18795.649000000001</v>
      </c>
      <c r="Q9" s="446">
        <f t="shared" si="1"/>
        <v>0</v>
      </c>
      <c r="R9" s="428">
        <f t="shared" si="29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f t="shared" si="17"/>
        <v>996104</v>
      </c>
      <c r="Z9" s="428">
        <f t="shared" si="30"/>
        <v>0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0</v>
      </c>
      <c r="AG9" s="443">
        <f t="shared" si="5"/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1">
        <f t="shared" si="7"/>
        <v>123510</v>
      </c>
      <c r="E10" s="585">
        <f t="shared" si="8"/>
        <v>0</v>
      </c>
      <c r="F10" s="573">
        <f t="shared" si="9"/>
        <v>4110664</v>
      </c>
      <c r="G10" s="449">
        <f t="shared" si="20"/>
        <v>0</v>
      </c>
      <c r="H10" s="426">
        <f t="shared" si="10"/>
        <v>18002900</v>
      </c>
      <c r="I10" s="449">
        <f t="shared" si="21"/>
        <v>0</v>
      </c>
      <c r="J10" s="426">
        <f t="shared" si="11"/>
        <v>29660674</v>
      </c>
      <c r="K10" s="449">
        <f t="shared" si="22"/>
        <v>0</v>
      </c>
      <c r="L10" s="426">
        <f t="shared" si="12"/>
        <v>24501380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18795.649000000001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996104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1">
        <f t="shared" si="7"/>
        <v>123510</v>
      </c>
      <c r="E11" s="585">
        <f t="shared" si="8"/>
        <v>0</v>
      </c>
      <c r="F11" s="573">
        <f t="shared" si="9"/>
        <v>4110664</v>
      </c>
      <c r="G11" s="449">
        <f t="shared" si="20"/>
        <v>0</v>
      </c>
      <c r="H11" s="426">
        <f t="shared" si="10"/>
        <v>18002900</v>
      </c>
      <c r="I11" s="449">
        <f t="shared" si="21"/>
        <v>0</v>
      </c>
      <c r="J11" s="426">
        <f t="shared" si="11"/>
        <v>29660674</v>
      </c>
      <c r="K11" s="449">
        <f t="shared" si="22"/>
        <v>0</v>
      </c>
      <c r="L11" s="426">
        <f t="shared" si="12"/>
        <v>24501380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18795.649000000001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996104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1">
        <f t="shared" si="7"/>
        <v>123510</v>
      </c>
      <c r="E12" s="585">
        <f>D12-D11</f>
        <v>0</v>
      </c>
      <c r="F12" s="573">
        <f t="shared" si="9"/>
        <v>4110664</v>
      </c>
      <c r="G12" s="449">
        <f t="shared" si="20"/>
        <v>0</v>
      </c>
      <c r="H12" s="426">
        <f t="shared" si="10"/>
        <v>18002900</v>
      </c>
      <c r="I12" s="449">
        <f t="shared" si="21"/>
        <v>0</v>
      </c>
      <c r="J12" s="426">
        <f t="shared" si="11"/>
        <v>29660674</v>
      </c>
      <c r="K12" s="449">
        <f t="shared" si="22"/>
        <v>0</v>
      </c>
      <c r="L12" s="426">
        <f t="shared" si="12"/>
        <v>24501380</v>
      </c>
      <c r="M12" s="449">
        <f t="shared" si="23"/>
        <v>0</v>
      </c>
      <c r="N12" s="297">
        <f>M12+K12+I12+G12+E12</f>
        <v>0</v>
      </c>
      <c r="O12" s="445">
        <f t="shared" si="32"/>
        <v>0</v>
      </c>
      <c r="P12" s="564">
        <f t="shared" si="13"/>
        <v>18795.649000000001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f t="shared" si="16"/>
        <v>33481</v>
      </c>
      <c r="X12" s="428">
        <f t="shared" si="31"/>
        <v>0</v>
      </c>
      <c r="Y12" s="426">
        <f t="shared" si="17"/>
        <v>996104</v>
      </c>
      <c r="Z12" s="428">
        <f t="shared" si="30"/>
        <v>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1">
        <f t="shared" si="7"/>
        <v>123510</v>
      </c>
      <c r="E13" s="585">
        <f t="shared" si="8"/>
        <v>0</v>
      </c>
      <c r="F13" s="573">
        <f t="shared" si="9"/>
        <v>4110664</v>
      </c>
      <c r="G13" s="449">
        <f t="shared" si="20"/>
        <v>0</v>
      </c>
      <c r="H13" s="426">
        <f t="shared" si="10"/>
        <v>18002900</v>
      </c>
      <c r="I13" s="449">
        <f t="shared" si="21"/>
        <v>0</v>
      </c>
      <c r="J13" s="426">
        <f t="shared" si="11"/>
        <v>29660674</v>
      </c>
      <c r="K13" s="449">
        <f t="shared" si="22"/>
        <v>0</v>
      </c>
      <c r="L13" s="426">
        <f t="shared" si="12"/>
        <v>24501380</v>
      </c>
      <c r="M13" s="449">
        <f t="shared" si="23"/>
        <v>0</v>
      </c>
      <c r="N13" s="297">
        <f>M13+K13+I13+G13+E13</f>
        <v>0</v>
      </c>
      <c r="O13" s="445">
        <f t="shared" si="32"/>
        <v>0</v>
      </c>
      <c r="P13" s="564">
        <f t="shared" si="13"/>
        <v>18795.649000000001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f t="shared" si="16"/>
        <v>33481</v>
      </c>
      <c r="X13" s="428">
        <f t="shared" si="31"/>
        <v>0</v>
      </c>
      <c r="Y13" s="426">
        <f t="shared" si="17"/>
        <v>996104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1">
        <f t="shared" si="7"/>
        <v>123510</v>
      </c>
      <c r="E14" s="585">
        <f t="shared" si="8"/>
        <v>0</v>
      </c>
      <c r="F14" s="573">
        <f t="shared" si="9"/>
        <v>4110664</v>
      </c>
      <c r="G14" s="449">
        <f t="shared" si="20"/>
        <v>0</v>
      </c>
      <c r="H14" s="426">
        <f t="shared" si="10"/>
        <v>18002900</v>
      </c>
      <c r="I14" s="449">
        <f t="shared" si="21"/>
        <v>0</v>
      </c>
      <c r="J14" s="426">
        <f t="shared" si="11"/>
        <v>29660674</v>
      </c>
      <c r="K14" s="449">
        <f t="shared" si="22"/>
        <v>0</v>
      </c>
      <c r="L14" s="426">
        <f t="shared" si="12"/>
        <v>24501380</v>
      </c>
      <c r="M14" s="449">
        <f t="shared" si="23"/>
        <v>0</v>
      </c>
      <c r="N14" s="297">
        <f t="shared" si="24"/>
        <v>0</v>
      </c>
      <c r="O14" s="445">
        <f t="shared" si="32"/>
        <v>0</v>
      </c>
      <c r="P14" s="564">
        <f t="shared" si="13"/>
        <v>18795.649000000001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33481</v>
      </c>
      <c r="X14" s="428">
        <f t="shared" si="31"/>
        <v>0</v>
      </c>
      <c r="Y14" s="426">
        <f t="shared" si="17"/>
        <v>996104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1">
        <f t="shared" si="7"/>
        <v>123510</v>
      </c>
      <c r="E15" s="585">
        <f t="shared" si="8"/>
        <v>0</v>
      </c>
      <c r="F15" s="573">
        <f t="shared" si="9"/>
        <v>4110664</v>
      </c>
      <c r="G15" s="449">
        <f t="shared" si="20"/>
        <v>0</v>
      </c>
      <c r="H15" s="426">
        <f t="shared" si="10"/>
        <v>18002900</v>
      </c>
      <c r="I15" s="449">
        <f t="shared" si="21"/>
        <v>0</v>
      </c>
      <c r="J15" s="426">
        <f t="shared" si="11"/>
        <v>29660674</v>
      </c>
      <c r="K15" s="449">
        <f t="shared" si="22"/>
        <v>0</v>
      </c>
      <c r="L15" s="426">
        <f t="shared" si="12"/>
        <v>24501380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18795.649000000001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33481</v>
      </c>
      <c r="X15" s="428">
        <f t="shared" si="31"/>
        <v>0</v>
      </c>
      <c r="Y15" s="426">
        <f t="shared" si="17"/>
        <v>996104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1">
        <f t="shared" si="7"/>
        <v>123510</v>
      </c>
      <c r="E16" s="585">
        <f t="shared" si="8"/>
        <v>0</v>
      </c>
      <c r="F16" s="573">
        <f t="shared" si="9"/>
        <v>4110664</v>
      </c>
      <c r="G16" s="449">
        <f t="shared" si="20"/>
        <v>0</v>
      </c>
      <c r="H16" s="426">
        <f t="shared" si="10"/>
        <v>18002900</v>
      </c>
      <c r="I16" s="449">
        <f t="shared" si="21"/>
        <v>0</v>
      </c>
      <c r="J16" s="426">
        <f t="shared" si="11"/>
        <v>29660674</v>
      </c>
      <c r="K16" s="449">
        <f t="shared" si="22"/>
        <v>0</v>
      </c>
      <c r="L16" s="426">
        <f t="shared" si="12"/>
        <v>24501380</v>
      </c>
      <c r="M16" s="449">
        <f t="shared" si="23"/>
        <v>0</v>
      </c>
      <c r="N16" s="297">
        <f t="shared" si="24"/>
        <v>0</v>
      </c>
      <c r="O16" s="445">
        <f t="shared" si="32"/>
        <v>0</v>
      </c>
      <c r="P16" s="564">
        <f t="shared" si="13"/>
        <v>18795.649000000001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33481</v>
      </c>
      <c r="X16" s="428">
        <f t="shared" si="31"/>
        <v>0</v>
      </c>
      <c r="Y16" s="426">
        <f t="shared" si="17"/>
        <v>996104</v>
      </c>
      <c r="Z16" s="428">
        <f t="shared" si="30"/>
        <v>0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1">
        <f t="shared" si="7"/>
        <v>123510</v>
      </c>
      <c r="E17" s="585">
        <f t="shared" si="8"/>
        <v>0</v>
      </c>
      <c r="F17" s="573">
        <f t="shared" si="9"/>
        <v>4110664</v>
      </c>
      <c r="G17" s="449">
        <f t="shared" si="20"/>
        <v>0</v>
      </c>
      <c r="H17" s="426">
        <f t="shared" si="10"/>
        <v>18002900</v>
      </c>
      <c r="I17" s="449">
        <f t="shared" si="21"/>
        <v>0</v>
      </c>
      <c r="J17" s="426">
        <f t="shared" si="11"/>
        <v>29660674</v>
      </c>
      <c r="K17" s="449">
        <f t="shared" si="22"/>
        <v>0</v>
      </c>
      <c r="L17" s="426">
        <f t="shared" si="12"/>
        <v>24501380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18795.649000000001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33481</v>
      </c>
      <c r="X17" s="428">
        <f>W17-W16</f>
        <v>0</v>
      </c>
      <c r="Y17" s="426">
        <f t="shared" si="17"/>
        <v>996104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1">
        <f t="shared" si="7"/>
        <v>123510</v>
      </c>
      <c r="E18" s="585">
        <f t="shared" si="8"/>
        <v>0</v>
      </c>
      <c r="F18" s="573">
        <f t="shared" si="9"/>
        <v>4110664</v>
      </c>
      <c r="G18" s="449">
        <f t="shared" si="20"/>
        <v>0</v>
      </c>
      <c r="H18" s="426">
        <f t="shared" si="10"/>
        <v>18002900</v>
      </c>
      <c r="I18" s="449">
        <f t="shared" si="21"/>
        <v>0</v>
      </c>
      <c r="J18" s="426">
        <f t="shared" si="11"/>
        <v>29660674</v>
      </c>
      <c r="K18" s="449">
        <f t="shared" si="22"/>
        <v>0</v>
      </c>
      <c r="L18" s="426">
        <f t="shared" si="12"/>
        <v>24501380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18795.649000000001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33481</v>
      </c>
      <c r="X18" s="428">
        <f t="shared" si="31"/>
        <v>0</v>
      </c>
      <c r="Y18" s="426">
        <f t="shared" si="17"/>
        <v>996104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1">
        <f t="shared" si="7"/>
        <v>123510</v>
      </c>
      <c r="E19" s="585">
        <f t="shared" si="8"/>
        <v>0</v>
      </c>
      <c r="F19" s="573">
        <f t="shared" si="9"/>
        <v>4110664</v>
      </c>
      <c r="G19" s="449">
        <f t="shared" si="20"/>
        <v>0</v>
      </c>
      <c r="H19" s="426">
        <f t="shared" si="10"/>
        <v>18002900</v>
      </c>
      <c r="I19" s="449">
        <f t="shared" si="21"/>
        <v>0</v>
      </c>
      <c r="J19" s="426">
        <f t="shared" si="11"/>
        <v>29660674</v>
      </c>
      <c r="K19" s="449">
        <f t="shared" si="22"/>
        <v>0</v>
      </c>
      <c r="L19" s="426">
        <f t="shared" si="12"/>
        <v>24501380</v>
      </c>
      <c r="M19" s="449">
        <f t="shared" si="23"/>
        <v>0</v>
      </c>
      <c r="N19" s="297">
        <f t="shared" si="24"/>
        <v>0</v>
      </c>
      <c r="O19" s="445">
        <f t="shared" si="32"/>
        <v>0</v>
      </c>
      <c r="P19" s="564">
        <f t="shared" si="13"/>
        <v>18795.649000000001</v>
      </c>
      <c r="Q19" s="446">
        <f>(P19-P18)*1000</f>
        <v>0</v>
      </c>
      <c r="R19" s="605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f t="shared" si="16"/>
        <v>33481</v>
      </c>
      <c r="X19" s="428">
        <f t="shared" si="31"/>
        <v>0</v>
      </c>
      <c r="Y19" s="426">
        <f t="shared" si="17"/>
        <v>996104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1">
        <f t="shared" si="7"/>
        <v>123510</v>
      </c>
      <c r="E20" s="585">
        <f t="shared" si="8"/>
        <v>0</v>
      </c>
      <c r="F20" s="573">
        <f t="shared" si="9"/>
        <v>4110664</v>
      </c>
      <c r="G20" s="449">
        <f t="shared" si="20"/>
        <v>0</v>
      </c>
      <c r="H20" s="426">
        <f t="shared" si="10"/>
        <v>18002900</v>
      </c>
      <c r="I20" s="449">
        <f t="shared" si="21"/>
        <v>0</v>
      </c>
      <c r="J20" s="426">
        <f t="shared" si="11"/>
        <v>29660674</v>
      </c>
      <c r="K20" s="449">
        <f t="shared" si="22"/>
        <v>0</v>
      </c>
      <c r="L20" s="426">
        <f t="shared" si="12"/>
        <v>24501380</v>
      </c>
      <c r="M20" s="449">
        <f t="shared" si="23"/>
        <v>0</v>
      </c>
      <c r="N20" s="297">
        <f t="shared" si="24"/>
        <v>0</v>
      </c>
      <c r="O20" s="445">
        <f t="shared" si="32"/>
        <v>0</v>
      </c>
      <c r="P20" s="564">
        <f t="shared" si="13"/>
        <v>18795.649000000001</v>
      </c>
      <c r="Q20" s="446">
        <f>(P20-P19)*1000</f>
        <v>0</v>
      </c>
      <c r="R20" s="605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33481</v>
      </c>
      <c r="X20" s="428">
        <f t="shared" si="31"/>
        <v>0</v>
      </c>
      <c r="Y20" s="426">
        <f t="shared" si="17"/>
        <v>996104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1">
        <f t="shared" si="7"/>
        <v>123510</v>
      </c>
      <c r="E21" s="585">
        <f t="shared" si="8"/>
        <v>0</v>
      </c>
      <c r="F21" s="573">
        <f t="shared" si="9"/>
        <v>4110664</v>
      </c>
      <c r="G21" s="449">
        <f t="shared" si="20"/>
        <v>0</v>
      </c>
      <c r="H21" s="426">
        <f t="shared" si="10"/>
        <v>18002900</v>
      </c>
      <c r="I21" s="449">
        <f t="shared" si="21"/>
        <v>0</v>
      </c>
      <c r="J21" s="426">
        <f t="shared" si="11"/>
        <v>29660674</v>
      </c>
      <c r="K21" s="449">
        <f t="shared" si="22"/>
        <v>0</v>
      </c>
      <c r="L21" s="426">
        <f t="shared" si="12"/>
        <v>24501380</v>
      </c>
      <c r="M21" s="449">
        <f t="shared" si="23"/>
        <v>0</v>
      </c>
      <c r="N21" s="297">
        <f t="shared" si="24"/>
        <v>0</v>
      </c>
      <c r="O21" s="445">
        <f t="shared" si="32"/>
        <v>0</v>
      </c>
      <c r="P21" s="564">
        <f t="shared" si="13"/>
        <v>18795.649000000001</v>
      </c>
      <c r="Q21" s="446">
        <f t="shared" si="1"/>
        <v>0</v>
      </c>
      <c r="R21" s="605">
        <f t="shared" ref="R21:R34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33481</v>
      </c>
      <c r="X21" s="428">
        <f t="shared" si="31"/>
        <v>0</v>
      </c>
      <c r="Y21" s="426">
        <f t="shared" si="17"/>
        <v>996104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1">
        <f t="shared" si="7"/>
        <v>123510</v>
      </c>
      <c r="E22" s="585">
        <f t="shared" si="8"/>
        <v>0</v>
      </c>
      <c r="F22" s="573">
        <f t="shared" si="9"/>
        <v>4110664</v>
      </c>
      <c r="G22" s="449">
        <f t="shared" si="20"/>
        <v>0</v>
      </c>
      <c r="H22" s="426">
        <f t="shared" si="10"/>
        <v>18002900</v>
      </c>
      <c r="I22" s="449">
        <f t="shared" si="21"/>
        <v>0</v>
      </c>
      <c r="J22" s="426">
        <f t="shared" si="11"/>
        <v>29660674</v>
      </c>
      <c r="K22" s="449">
        <f t="shared" si="22"/>
        <v>0</v>
      </c>
      <c r="L22" s="426">
        <f t="shared" si="12"/>
        <v>24501380</v>
      </c>
      <c r="M22" s="449">
        <f t="shared" si="23"/>
        <v>0</v>
      </c>
      <c r="N22" s="297">
        <f t="shared" si="24"/>
        <v>0</v>
      </c>
      <c r="O22" s="445">
        <f t="shared" si="32"/>
        <v>0</v>
      </c>
      <c r="P22" s="564">
        <f t="shared" si="13"/>
        <v>18795.649000000001</v>
      </c>
      <c r="Q22" s="446">
        <f t="shared" si="1"/>
        <v>0</v>
      </c>
      <c r="R22" s="605">
        <f t="shared" si="35"/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33481</v>
      </c>
      <c r="X22" s="428">
        <f t="shared" si="31"/>
        <v>0</v>
      </c>
      <c r="Y22" s="426">
        <f t="shared" si="17"/>
        <v>996104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1">
        <f t="shared" si="7"/>
        <v>123510</v>
      </c>
      <c r="E23" s="585">
        <f t="shared" si="8"/>
        <v>0</v>
      </c>
      <c r="F23" s="573">
        <f t="shared" si="9"/>
        <v>4110664</v>
      </c>
      <c r="G23" s="449">
        <f t="shared" si="20"/>
        <v>0</v>
      </c>
      <c r="H23" s="426">
        <f t="shared" si="10"/>
        <v>18002900</v>
      </c>
      <c r="I23" s="449">
        <f t="shared" si="21"/>
        <v>0</v>
      </c>
      <c r="J23" s="426">
        <f t="shared" si="11"/>
        <v>29660674</v>
      </c>
      <c r="K23" s="449">
        <f t="shared" si="22"/>
        <v>0</v>
      </c>
      <c r="L23" s="426">
        <f t="shared" si="12"/>
        <v>24501380</v>
      </c>
      <c r="M23" s="449">
        <f t="shared" si="23"/>
        <v>0</v>
      </c>
      <c r="N23" s="297">
        <f t="shared" si="24"/>
        <v>0</v>
      </c>
      <c r="O23" s="445">
        <f t="shared" si="32"/>
        <v>0</v>
      </c>
      <c r="P23" s="564">
        <f t="shared" si="13"/>
        <v>18795.649000000001</v>
      </c>
      <c r="Q23" s="446">
        <f t="shared" si="1"/>
        <v>0</v>
      </c>
      <c r="R23" s="605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33481</v>
      </c>
      <c r="X23" s="428">
        <f t="shared" si="31"/>
        <v>0</v>
      </c>
      <c r="Y23" s="426">
        <f t="shared" si="17"/>
        <v>996104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1">
        <f t="shared" si="7"/>
        <v>123510</v>
      </c>
      <c r="E24" s="585">
        <f t="shared" si="8"/>
        <v>0</v>
      </c>
      <c r="F24" s="573">
        <f t="shared" si="9"/>
        <v>4110664</v>
      </c>
      <c r="G24" s="449">
        <f t="shared" si="20"/>
        <v>0</v>
      </c>
      <c r="H24" s="426">
        <f t="shared" si="10"/>
        <v>18002900</v>
      </c>
      <c r="I24" s="619">
        <f t="shared" si="21"/>
        <v>0</v>
      </c>
      <c r="J24" s="426">
        <f t="shared" si="11"/>
        <v>29660674</v>
      </c>
      <c r="K24" s="449">
        <f t="shared" si="22"/>
        <v>0</v>
      </c>
      <c r="L24" s="426">
        <f t="shared" si="12"/>
        <v>24501380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18795.649000000001</v>
      </c>
      <c r="Q24" s="446">
        <f t="shared" si="1"/>
        <v>0</v>
      </c>
      <c r="R24" s="605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33481</v>
      </c>
      <c r="X24" s="428">
        <f t="shared" si="31"/>
        <v>0</v>
      </c>
      <c r="Y24" s="426">
        <f t="shared" si="17"/>
        <v>996104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1">
        <f t="shared" si="7"/>
        <v>123510</v>
      </c>
      <c r="E25" s="585">
        <f t="shared" si="8"/>
        <v>0</v>
      </c>
      <c r="F25" s="573">
        <f t="shared" si="9"/>
        <v>4110664</v>
      </c>
      <c r="G25" s="449">
        <f t="shared" si="20"/>
        <v>0</v>
      </c>
      <c r="H25" s="426">
        <f t="shared" si="10"/>
        <v>18002900</v>
      </c>
      <c r="I25" s="449">
        <f t="shared" si="21"/>
        <v>0</v>
      </c>
      <c r="J25" s="426">
        <f t="shared" si="11"/>
        <v>29660674</v>
      </c>
      <c r="K25" s="449">
        <f t="shared" si="22"/>
        <v>0</v>
      </c>
      <c r="L25" s="426">
        <f t="shared" si="12"/>
        <v>24501380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18795.649000000001</v>
      </c>
      <c r="Q25" s="446">
        <f t="shared" si="1"/>
        <v>0</v>
      </c>
      <c r="R25" s="605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33481</v>
      </c>
      <c r="X25" s="428">
        <f t="shared" si="31"/>
        <v>0</v>
      </c>
      <c r="Y25" s="426">
        <f t="shared" si="17"/>
        <v>996104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1">
        <f t="shared" si="7"/>
        <v>123510</v>
      </c>
      <c r="E26" s="585">
        <f t="shared" si="8"/>
        <v>0</v>
      </c>
      <c r="F26" s="573">
        <f t="shared" si="9"/>
        <v>4110664</v>
      </c>
      <c r="G26" s="449">
        <f t="shared" si="20"/>
        <v>0</v>
      </c>
      <c r="H26" s="426">
        <f t="shared" si="10"/>
        <v>18002900</v>
      </c>
      <c r="I26" s="449">
        <f t="shared" si="21"/>
        <v>0</v>
      </c>
      <c r="J26" s="426">
        <f t="shared" si="11"/>
        <v>29660674</v>
      </c>
      <c r="K26" s="449">
        <f t="shared" si="22"/>
        <v>0</v>
      </c>
      <c r="L26" s="426">
        <f t="shared" si="12"/>
        <v>24501380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18795.649000000001</v>
      </c>
      <c r="Q26" s="446">
        <f t="shared" si="1"/>
        <v>0</v>
      </c>
      <c r="R26" s="605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33481</v>
      </c>
      <c r="X26" s="428">
        <f t="shared" si="31"/>
        <v>0</v>
      </c>
      <c r="Y26" s="426">
        <f t="shared" si="17"/>
        <v>996104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1">
        <f t="shared" si="7"/>
        <v>123510</v>
      </c>
      <c r="E27" s="585">
        <f t="shared" si="8"/>
        <v>0</v>
      </c>
      <c r="F27" s="573">
        <f t="shared" si="9"/>
        <v>4110664</v>
      </c>
      <c r="G27" s="449">
        <f t="shared" si="20"/>
        <v>0</v>
      </c>
      <c r="H27" s="426">
        <f t="shared" si="10"/>
        <v>18002900</v>
      </c>
      <c r="I27" s="449">
        <f t="shared" si="21"/>
        <v>0</v>
      </c>
      <c r="J27" s="426">
        <f t="shared" si="11"/>
        <v>29660674</v>
      </c>
      <c r="K27" s="449">
        <f t="shared" si="22"/>
        <v>0</v>
      </c>
      <c r="L27" s="426">
        <f t="shared" si="12"/>
        <v>24501380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18795.649000000001</v>
      </c>
      <c r="Q27" s="446">
        <f t="shared" si="1"/>
        <v>0</v>
      </c>
      <c r="R27" s="605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33481</v>
      </c>
      <c r="X27" s="428">
        <f t="shared" si="31"/>
        <v>0</v>
      </c>
      <c r="Y27" s="426">
        <f t="shared" si="17"/>
        <v>996104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1">
        <f t="shared" si="7"/>
        <v>123510</v>
      </c>
      <c r="E28" s="585">
        <f t="shared" si="8"/>
        <v>0</v>
      </c>
      <c r="F28" s="573">
        <f t="shared" si="9"/>
        <v>4110664</v>
      </c>
      <c r="G28" s="449">
        <f>F28-F27</f>
        <v>0</v>
      </c>
      <c r="H28" s="426">
        <f t="shared" si="10"/>
        <v>18002900</v>
      </c>
      <c r="I28" s="449">
        <f t="shared" si="21"/>
        <v>0</v>
      </c>
      <c r="J28" s="426">
        <f t="shared" si="11"/>
        <v>29660674</v>
      </c>
      <c r="K28" s="449">
        <f t="shared" si="22"/>
        <v>0</v>
      </c>
      <c r="L28" s="426">
        <f t="shared" si="12"/>
        <v>24501380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18795.649000000001</v>
      </c>
      <c r="Q28" s="446">
        <f t="shared" si="1"/>
        <v>0</v>
      </c>
      <c r="R28" s="605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33481</v>
      </c>
      <c r="X28" s="428">
        <f t="shared" si="31"/>
        <v>0</v>
      </c>
      <c r="Y28" s="426">
        <f t="shared" si="17"/>
        <v>996104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1">
        <f t="shared" si="7"/>
        <v>123510</v>
      </c>
      <c r="E29" s="585">
        <f t="shared" si="8"/>
        <v>0</v>
      </c>
      <c r="F29" s="573">
        <f t="shared" si="9"/>
        <v>4110664</v>
      </c>
      <c r="G29" s="449">
        <f t="shared" ref="G29" si="36">F29-F28</f>
        <v>0</v>
      </c>
      <c r="H29" s="426">
        <f t="shared" si="10"/>
        <v>18002900</v>
      </c>
      <c r="I29" s="449">
        <f t="shared" ref="I29" si="37">H29-H28</f>
        <v>0</v>
      </c>
      <c r="J29" s="426">
        <f t="shared" si="11"/>
        <v>29660674</v>
      </c>
      <c r="K29" s="449">
        <f t="shared" ref="K29" si="38">J29-J28</f>
        <v>0</v>
      </c>
      <c r="L29" s="426">
        <f t="shared" si="12"/>
        <v>24501380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18795.649000000001</v>
      </c>
      <c r="Q29" s="446">
        <f t="shared" ref="Q29" si="42">(P29-P28)*1000</f>
        <v>0</v>
      </c>
      <c r="R29" s="605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33481</v>
      </c>
      <c r="X29" s="428">
        <f t="shared" ref="X29" si="45">W29-W28</f>
        <v>0</v>
      </c>
      <c r="Y29" s="426">
        <f t="shared" si="17"/>
        <v>996104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1">
        <f t="shared" si="7"/>
        <v>123510</v>
      </c>
      <c r="E30" s="585">
        <f t="shared" si="8"/>
        <v>0</v>
      </c>
      <c r="F30" s="573">
        <f t="shared" si="9"/>
        <v>4110664</v>
      </c>
      <c r="G30" s="449">
        <f t="shared" si="20"/>
        <v>0</v>
      </c>
      <c r="H30" s="426">
        <f t="shared" si="10"/>
        <v>18002900</v>
      </c>
      <c r="I30" s="449">
        <f t="shared" si="21"/>
        <v>0</v>
      </c>
      <c r="J30" s="426">
        <f t="shared" si="11"/>
        <v>29660674</v>
      </c>
      <c r="K30" s="449">
        <f t="shared" si="22"/>
        <v>0</v>
      </c>
      <c r="L30" s="426">
        <f t="shared" si="12"/>
        <v>24501380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18795.649000000001</v>
      </c>
      <c r="Q30" s="446">
        <f t="shared" si="1"/>
        <v>0</v>
      </c>
      <c r="R30" s="605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33481</v>
      </c>
      <c r="X30" s="428">
        <f t="shared" si="31"/>
        <v>0</v>
      </c>
      <c r="Y30" s="426">
        <f t="shared" si="17"/>
        <v>996104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1">
        <f t="shared" si="7"/>
        <v>123510</v>
      </c>
      <c r="E31" s="585">
        <f t="shared" si="8"/>
        <v>0</v>
      </c>
      <c r="F31" s="573">
        <f t="shared" si="9"/>
        <v>4110664</v>
      </c>
      <c r="G31" s="449">
        <f t="shared" si="20"/>
        <v>0</v>
      </c>
      <c r="H31" s="426">
        <f t="shared" si="10"/>
        <v>18002900</v>
      </c>
      <c r="I31" s="449">
        <f t="shared" si="21"/>
        <v>0</v>
      </c>
      <c r="J31" s="426">
        <f t="shared" si="11"/>
        <v>29660674</v>
      </c>
      <c r="K31" s="449">
        <f t="shared" si="22"/>
        <v>0</v>
      </c>
      <c r="L31" s="426">
        <f t="shared" si="12"/>
        <v>24501380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18795.649000000001</v>
      </c>
      <c r="Q31" s="446">
        <f t="shared" si="1"/>
        <v>0</v>
      </c>
      <c r="R31" s="605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33481</v>
      </c>
      <c r="X31" s="448">
        <f t="shared" si="31"/>
        <v>0</v>
      </c>
      <c r="Y31" s="426">
        <f t="shared" si="17"/>
        <v>996104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1">
        <f t="shared" si="7"/>
        <v>123510</v>
      </c>
      <c r="E32" s="585">
        <f t="shared" si="8"/>
        <v>0</v>
      </c>
      <c r="F32" s="573">
        <f t="shared" si="9"/>
        <v>4110664</v>
      </c>
      <c r="G32" s="449">
        <f t="shared" si="20"/>
        <v>0</v>
      </c>
      <c r="H32" s="426">
        <f t="shared" si="10"/>
        <v>18002900</v>
      </c>
      <c r="I32" s="449">
        <f t="shared" si="21"/>
        <v>0</v>
      </c>
      <c r="J32" s="426">
        <f t="shared" si="11"/>
        <v>29660674</v>
      </c>
      <c r="K32" s="449">
        <f t="shared" si="22"/>
        <v>0</v>
      </c>
      <c r="L32" s="426">
        <f t="shared" si="12"/>
        <v>24501380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18795.649000000001</v>
      </c>
      <c r="Q32" s="446">
        <f t="shared" si="1"/>
        <v>0</v>
      </c>
      <c r="R32" s="605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33481</v>
      </c>
      <c r="X32" s="448">
        <f>W32-W31</f>
        <v>0</v>
      </c>
      <c r="Y32" s="426">
        <f t="shared" si="17"/>
        <v>996104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1">
        <f t="shared" si="7"/>
        <v>123510</v>
      </c>
      <c r="E33" s="585">
        <f t="shared" si="8"/>
        <v>0</v>
      </c>
      <c r="F33" s="573">
        <f t="shared" si="9"/>
        <v>4110664</v>
      </c>
      <c r="G33" s="449">
        <f t="shared" si="20"/>
        <v>0</v>
      </c>
      <c r="H33" s="426">
        <f t="shared" si="10"/>
        <v>18002900</v>
      </c>
      <c r="I33" s="449">
        <f t="shared" si="21"/>
        <v>0</v>
      </c>
      <c r="J33" s="426">
        <f t="shared" si="11"/>
        <v>29660674</v>
      </c>
      <c r="K33" s="449">
        <f t="shared" si="22"/>
        <v>0</v>
      </c>
      <c r="L33" s="426">
        <f t="shared" si="12"/>
        <v>24501380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18795.649000000001</v>
      </c>
      <c r="Q33" s="446">
        <f t="shared" si="1"/>
        <v>0</v>
      </c>
      <c r="R33" s="605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33481</v>
      </c>
      <c r="X33" s="448">
        <f>W33-W32</f>
        <v>0</v>
      </c>
      <c r="Y33" s="426">
        <f t="shared" si="17"/>
        <v>996104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1">
        <f t="shared" si="7"/>
        <v>123510</v>
      </c>
      <c r="E34" s="585">
        <f t="shared" si="8"/>
        <v>0</v>
      </c>
      <c r="F34" s="573">
        <f t="shared" si="9"/>
        <v>4110664</v>
      </c>
      <c r="G34" s="449">
        <f t="shared" ref="G34" si="51">F34-F33</f>
        <v>0</v>
      </c>
      <c r="H34" s="426">
        <f t="shared" si="10"/>
        <v>18002900</v>
      </c>
      <c r="I34" s="449">
        <f t="shared" si="21"/>
        <v>0</v>
      </c>
      <c r="J34" s="426">
        <f t="shared" si="11"/>
        <v>29660674</v>
      </c>
      <c r="K34" s="449">
        <f t="shared" ref="K34" si="52">J34-J33</f>
        <v>0</v>
      </c>
      <c r="L34" s="426">
        <f t="shared" si="12"/>
        <v>24501380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18795.649000000001</v>
      </c>
      <c r="Q34" s="446">
        <f t="shared" si="1"/>
        <v>0</v>
      </c>
      <c r="R34" s="605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33481</v>
      </c>
      <c r="X34" s="448">
        <f>W34-W33</f>
        <v>0</v>
      </c>
      <c r="Y34" s="426">
        <f t="shared" si="17"/>
        <v>996104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R9" sqref="R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2" t="s">
        <v>2</v>
      </c>
      <c r="G1" s="633"/>
      <c r="H1" s="633"/>
      <c r="I1" s="634"/>
      <c r="J1" s="271">
        <f>J36</f>
        <v>36.333333333333336</v>
      </c>
      <c r="K1" s="635" t="s">
        <v>4</v>
      </c>
      <c r="L1" s="636"/>
      <c r="M1" s="636"/>
      <c r="N1" s="636"/>
      <c r="O1" s="637"/>
      <c r="P1" s="626" t="s">
        <v>6</v>
      </c>
      <c r="Q1" s="627"/>
      <c r="R1" s="627"/>
      <c r="S1" s="627"/>
      <c r="T1" s="628"/>
      <c r="U1" s="381"/>
      <c r="V1" s="27" t="s">
        <v>104</v>
      </c>
      <c r="W1" s="382"/>
      <c r="X1" s="626" t="s">
        <v>8</v>
      </c>
      <c r="Y1" s="627"/>
      <c r="Z1" s="627"/>
      <c r="AA1" s="627"/>
      <c r="AB1" s="627"/>
      <c r="AC1" s="629" t="s">
        <v>10</v>
      </c>
      <c r="AD1" s="630"/>
      <c r="AE1" s="630"/>
      <c r="AF1" s="631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4"/>
      <c r="R2" s="625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f t="shared" si="12"/>
        <v>180</v>
      </c>
      <c r="C10" s="537">
        <f t="shared" si="13"/>
        <v>187</v>
      </c>
      <c r="D10" s="45">
        <f t="shared" si="36"/>
        <v>0</v>
      </c>
      <c r="E10" s="45">
        <f t="shared" si="14"/>
        <v>0</v>
      </c>
      <c r="F10" s="537">
        <f t="shared" si="15"/>
        <v>1968</v>
      </c>
      <c r="G10" s="52">
        <f t="shared" si="0"/>
        <v>0</v>
      </c>
      <c r="H10" s="537">
        <f t="shared" si="16"/>
        <v>22938</v>
      </c>
      <c r="I10" s="380">
        <f t="shared" si="1"/>
        <v>0</v>
      </c>
      <c r="J10" s="66">
        <f t="shared" si="17"/>
        <v>0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f t="shared" si="3"/>
        <v>2139</v>
      </c>
      <c r="Q10" s="537">
        <f t="shared" si="3"/>
        <v>179459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180</v>
      </c>
      <c r="C11" s="537">
        <f t="shared" si="13"/>
        <v>187</v>
      </c>
      <c r="D11" s="45">
        <f t="shared" si="36"/>
        <v>0</v>
      </c>
      <c r="E11" s="45">
        <f t="shared" si="14"/>
        <v>0</v>
      </c>
      <c r="F11" s="537">
        <f t="shared" si="15"/>
        <v>1968</v>
      </c>
      <c r="G11" s="52">
        <f t="shared" si="0"/>
        <v>0</v>
      </c>
      <c r="H11" s="537">
        <f t="shared" si="16"/>
        <v>22938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2139</v>
      </c>
      <c r="Q11" s="537">
        <f t="shared" si="3"/>
        <v>179459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180</v>
      </c>
      <c r="C12" s="537">
        <f t="shared" si="13"/>
        <v>187</v>
      </c>
      <c r="D12" s="45">
        <f t="shared" si="36"/>
        <v>0</v>
      </c>
      <c r="E12" s="45">
        <f t="shared" si="14"/>
        <v>0</v>
      </c>
      <c r="F12" s="537">
        <f t="shared" si="15"/>
        <v>1968</v>
      </c>
      <c r="G12" s="52">
        <f t="shared" si="0"/>
        <v>0</v>
      </c>
      <c r="H12" s="537">
        <f t="shared" si="16"/>
        <v>22938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2139</v>
      </c>
      <c r="Q12" s="537">
        <f t="shared" si="3"/>
        <v>179459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f t="shared" si="12"/>
        <v>180</v>
      </c>
      <c r="C13" s="537">
        <f t="shared" si="13"/>
        <v>187</v>
      </c>
      <c r="D13" s="45">
        <f t="shared" si="36"/>
        <v>0</v>
      </c>
      <c r="E13" s="45">
        <f t="shared" si="14"/>
        <v>0</v>
      </c>
      <c r="F13" s="537">
        <f t="shared" si="15"/>
        <v>1968</v>
      </c>
      <c r="G13" s="52">
        <f t="shared" si="0"/>
        <v>0</v>
      </c>
      <c r="H13" s="537">
        <f t="shared" si="16"/>
        <v>22938</v>
      </c>
      <c r="I13" s="380">
        <f t="shared" si="1"/>
        <v>0</v>
      </c>
      <c r="J13" s="66">
        <f t="shared" si="17"/>
        <v>0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2139</v>
      </c>
      <c r="Q13" s="537">
        <f t="shared" si="3"/>
        <v>179459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v>0</v>
      </c>
      <c r="W13" s="384" t="e">
        <f t="shared" si="23"/>
        <v>#DIV/0!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f t="shared" si="12"/>
        <v>180</v>
      </c>
      <c r="C14" s="537">
        <f t="shared" si="13"/>
        <v>187</v>
      </c>
      <c r="D14" s="45">
        <f t="shared" si="36"/>
        <v>0</v>
      </c>
      <c r="E14" s="45">
        <f t="shared" si="14"/>
        <v>0</v>
      </c>
      <c r="F14" s="537">
        <f t="shared" si="15"/>
        <v>1968</v>
      </c>
      <c r="G14" s="52">
        <f t="shared" si="0"/>
        <v>0</v>
      </c>
      <c r="H14" s="537">
        <f t="shared" si="16"/>
        <v>22938</v>
      </c>
      <c r="I14" s="380">
        <f t="shared" si="1"/>
        <v>0</v>
      </c>
      <c r="J14" s="66">
        <f t="shared" si="17"/>
        <v>0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2139</v>
      </c>
      <c r="Q14" s="537">
        <f t="shared" si="3"/>
        <v>179459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f t="shared" si="12"/>
        <v>180</v>
      </c>
      <c r="C15" s="537">
        <f t="shared" si="13"/>
        <v>187</v>
      </c>
      <c r="D15" s="45">
        <f t="shared" si="36"/>
        <v>0</v>
      </c>
      <c r="E15" s="45">
        <f t="shared" si="14"/>
        <v>0</v>
      </c>
      <c r="F15" s="537">
        <f t="shared" si="15"/>
        <v>1968</v>
      </c>
      <c r="G15" s="52">
        <f t="shared" si="0"/>
        <v>0</v>
      </c>
      <c r="H15" s="537">
        <f t="shared" si="16"/>
        <v>22938</v>
      </c>
      <c r="I15" s="380">
        <f t="shared" si="1"/>
        <v>0</v>
      </c>
      <c r="J15" s="66">
        <f t="shared" si="17"/>
        <v>0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2139</v>
      </c>
      <c r="Q15" s="537">
        <f t="shared" si="3"/>
        <v>179459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180</v>
      </c>
      <c r="C16" s="537">
        <f t="shared" si="13"/>
        <v>187</v>
      </c>
      <c r="D16" s="45">
        <f t="shared" si="36"/>
        <v>0</v>
      </c>
      <c r="E16" s="45">
        <f t="shared" si="14"/>
        <v>0</v>
      </c>
      <c r="F16" s="537">
        <f t="shared" si="15"/>
        <v>1968</v>
      </c>
      <c r="G16" s="52">
        <f t="shared" si="0"/>
        <v>0</v>
      </c>
      <c r="H16" s="537">
        <f t="shared" si="16"/>
        <v>22938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2139</v>
      </c>
      <c r="Q16" s="537">
        <f t="shared" si="3"/>
        <v>179459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f t="shared" si="12"/>
        <v>180</v>
      </c>
      <c r="C17" s="537">
        <f t="shared" si="13"/>
        <v>187</v>
      </c>
      <c r="D17" s="45">
        <f t="shared" si="36"/>
        <v>0</v>
      </c>
      <c r="E17" s="45">
        <f t="shared" si="14"/>
        <v>0</v>
      </c>
      <c r="F17" s="537">
        <f t="shared" si="15"/>
        <v>1968</v>
      </c>
      <c r="G17" s="52">
        <f t="shared" si="0"/>
        <v>0</v>
      </c>
      <c r="H17" s="537">
        <f t="shared" si="16"/>
        <v>22938</v>
      </c>
      <c r="I17" s="380">
        <f t="shared" si="1"/>
        <v>0</v>
      </c>
      <c r="J17" s="66">
        <f t="shared" si="17"/>
        <v>0</v>
      </c>
      <c r="K17" s="537">
        <f t="shared" si="18"/>
        <v>2372</v>
      </c>
      <c r="L17" s="52">
        <f t="shared" si="19"/>
        <v>0</v>
      </c>
      <c r="M17" s="537">
        <f t="shared" si="20"/>
        <v>175199</v>
      </c>
      <c r="N17" s="380">
        <f t="shared" si="2"/>
        <v>0</v>
      </c>
      <c r="O17" s="64">
        <f t="shared" si="3"/>
        <v>1869</v>
      </c>
      <c r="P17" s="537">
        <f t="shared" si="3"/>
        <v>2139</v>
      </c>
      <c r="Q17" s="537">
        <f t="shared" si="3"/>
        <v>179459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180</v>
      </c>
      <c r="C18" s="537">
        <f t="shared" si="13"/>
        <v>187</v>
      </c>
      <c r="D18" s="45">
        <f t="shared" si="36"/>
        <v>0</v>
      </c>
      <c r="E18" s="45">
        <f t="shared" si="14"/>
        <v>0</v>
      </c>
      <c r="F18" s="537">
        <f t="shared" si="15"/>
        <v>1968</v>
      </c>
      <c r="G18" s="52">
        <f t="shared" si="0"/>
        <v>0</v>
      </c>
      <c r="H18" s="537">
        <f t="shared" si="16"/>
        <v>22938</v>
      </c>
      <c r="I18" s="380">
        <f t="shared" si="1"/>
        <v>0</v>
      </c>
      <c r="J18" s="66">
        <f t="shared" si="17"/>
        <v>0</v>
      </c>
      <c r="K18" s="537">
        <f t="shared" si="18"/>
        <v>2372</v>
      </c>
      <c r="L18" s="52">
        <f t="shared" si="19"/>
        <v>0</v>
      </c>
      <c r="M18" s="537">
        <f t="shared" si="20"/>
        <v>175199</v>
      </c>
      <c r="N18" s="380">
        <f t="shared" si="2"/>
        <v>0</v>
      </c>
      <c r="O18" s="64">
        <v>1869</v>
      </c>
      <c r="P18" s="537">
        <f t="shared" ref="P18:P35" si="45">P17</f>
        <v>2139</v>
      </c>
      <c r="Q18" s="537">
        <f t="shared" ref="Q18:Q35" si="46">Q17</f>
        <v>179459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180</v>
      </c>
      <c r="C19" s="537">
        <f t="shared" si="13"/>
        <v>187</v>
      </c>
      <c r="D19" s="45">
        <f t="shared" si="36"/>
        <v>0</v>
      </c>
      <c r="E19" s="45">
        <f t="shared" si="14"/>
        <v>0</v>
      </c>
      <c r="F19" s="537">
        <f t="shared" si="15"/>
        <v>1968</v>
      </c>
      <c r="G19" s="52">
        <f t="shared" si="0"/>
        <v>0</v>
      </c>
      <c r="H19" s="537">
        <f t="shared" si="16"/>
        <v>22938</v>
      </c>
      <c r="I19" s="380">
        <f t="shared" si="1"/>
        <v>0</v>
      </c>
      <c r="J19" s="66">
        <f t="shared" si="17"/>
        <v>0</v>
      </c>
      <c r="K19" s="537">
        <f t="shared" si="18"/>
        <v>2372</v>
      </c>
      <c r="L19" s="52">
        <f t="shared" si="19"/>
        <v>0</v>
      </c>
      <c r="M19" s="537">
        <f t="shared" si="20"/>
        <v>175199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2139</v>
      </c>
      <c r="Q19" s="537">
        <f t="shared" si="46"/>
        <v>179459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f t="shared" si="12"/>
        <v>180</v>
      </c>
      <c r="C20" s="537">
        <f t="shared" si="13"/>
        <v>187</v>
      </c>
      <c r="D20" s="45">
        <f>C19-C20</f>
        <v>0</v>
      </c>
      <c r="E20" s="45">
        <f t="shared" si="14"/>
        <v>0</v>
      </c>
      <c r="F20" s="537">
        <f t="shared" si="15"/>
        <v>1968</v>
      </c>
      <c r="G20" s="52">
        <f t="shared" si="0"/>
        <v>0</v>
      </c>
      <c r="H20" s="537">
        <f t="shared" si="16"/>
        <v>22938</v>
      </c>
      <c r="I20" s="380">
        <f t="shared" si="1"/>
        <v>0</v>
      </c>
      <c r="J20" s="66">
        <f t="shared" si="17"/>
        <v>0</v>
      </c>
      <c r="K20" s="537">
        <f t="shared" si="18"/>
        <v>2372</v>
      </c>
      <c r="L20" s="52">
        <f t="shared" si="19"/>
        <v>0</v>
      </c>
      <c r="M20" s="537">
        <f t="shared" si="20"/>
        <v>175199</v>
      </c>
      <c r="N20" s="380">
        <f t="shared" si="2"/>
        <v>0</v>
      </c>
      <c r="O20" s="64">
        <f t="shared" si="48"/>
        <v>1869</v>
      </c>
      <c r="P20" s="537">
        <f t="shared" si="45"/>
        <v>2139</v>
      </c>
      <c r="Q20" s="537">
        <f t="shared" si="46"/>
        <v>179459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f t="shared" si="12"/>
        <v>180</v>
      </c>
      <c r="C21" s="537">
        <f t="shared" si="13"/>
        <v>187</v>
      </c>
      <c r="D21" s="45">
        <f t="shared" ref="D21:D32" si="49">C20-C21</f>
        <v>0</v>
      </c>
      <c r="E21" s="45">
        <f t="shared" si="14"/>
        <v>0</v>
      </c>
      <c r="F21" s="537">
        <f t="shared" si="15"/>
        <v>1968</v>
      </c>
      <c r="G21" s="52">
        <f t="shared" si="0"/>
        <v>0</v>
      </c>
      <c r="H21" s="537">
        <f t="shared" si="16"/>
        <v>22938</v>
      </c>
      <c r="I21" s="380">
        <f t="shared" si="1"/>
        <v>0</v>
      </c>
      <c r="J21" s="66">
        <f t="shared" si="17"/>
        <v>0</v>
      </c>
      <c r="K21" s="537">
        <f t="shared" si="18"/>
        <v>2372</v>
      </c>
      <c r="L21" s="52">
        <f t="shared" si="19"/>
        <v>0</v>
      </c>
      <c r="M21" s="537">
        <f t="shared" si="20"/>
        <v>175199</v>
      </c>
      <c r="N21" s="380">
        <f t="shared" si="2"/>
        <v>0</v>
      </c>
      <c r="O21" s="64">
        <f t="shared" si="48"/>
        <v>1869</v>
      </c>
      <c r="P21" s="537">
        <f t="shared" si="45"/>
        <v>2139</v>
      </c>
      <c r="Q21" s="537">
        <f t="shared" si="46"/>
        <v>179459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f t="shared" si="12"/>
        <v>180</v>
      </c>
      <c r="C22" s="537">
        <f t="shared" si="13"/>
        <v>187</v>
      </c>
      <c r="D22" s="45">
        <f t="shared" si="49"/>
        <v>0</v>
      </c>
      <c r="E22" s="45">
        <f t="shared" si="14"/>
        <v>0</v>
      </c>
      <c r="F22" s="537">
        <f t="shared" si="15"/>
        <v>1968</v>
      </c>
      <c r="G22" s="52">
        <f t="shared" si="0"/>
        <v>0</v>
      </c>
      <c r="H22" s="537">
        <f t="shared" si="16"/>
        <v>22938</v>
      </c>
      <c r="I22" s="380">
        <f t="shared" si="1"/>
        <v>0</v>
      </c>
      <c r="J22" s="66">
        <f t="shared" si="17"/>
        <v>0</v>
      </c>
      <c r="K22" s="537">
        <f t="shared" si="18"/>
        <v>2372</v>
      </c>
      <c r="L22" s="52">
        <f t="shared" si="19"/>
        <v>0</v>
      </c>
      <c r="M22" s="537">
        <f t="shared" si="20"/>
        <v>175199</v>
      </c>
      <c r="N22" s="380">
        <f t="shared" si="2"/>
        <v>0</v>
      </c>
      <c r="O22" s="64">
        <f t="shared" si="48"/>
        <v>1869</v>
      </c>
      <c r="P22" s="537">
        <f t="shared" si="45"/>
        <v>2139</v>
      </c>
      <c r="Q22" s="537">
        <f t="shared" si="46"/>
        <v>179459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f t="shared" si="12"/>
        <v>180</v>
      </c>
      <c r="C23" s="537">
        <f t="shared" si="13"/>
        <v>187</v>
      </c>
      <c r="D23" s="45">
        <f t="shared" si="49"/>
        <v>0</v>
      </c>
      <c r="E23" s="45">
        <f t="shared" si="14"/>
        <v>0</v>
      </c>
      <c r="F23" s="537">
        <f t="shared" si="15"/>
        <v>1968</v>
      </c>
      <c r="G23" s="52">
        <f t="shared" si="0"/>
        <v>0</v>
      </c>
      <c r="H23" s="537">
        <f t="shared" si="16"/>
        <v>22938</v>
      </c>
      <c r="I23" s="380">
        <f t="shared" si="1"/>
        <v>0</v>
      </c>
      <c r="J23" s="66">
        <f t="shared" si="17"/>
        <v>0</v>
      </c>
      <c r="K23" s="537">
        <f t="shared" si="18"/>
        <v>2372</v>
      </c>
      <c r="L23" s="52">
        <f t="shared" si="19"/>
        <v>0</v>
      </c>
      <c r="M23" s="537">
        <f t="shared" si="20"/>
        <v>175199</v>
      </c>
      <c r="N23" s="380">
        <f t="shared" si="2"/>
        <v>0</v>
      </c>
      <c r="O23" s="64">
        <f t="shared" si="48"/>
        <v>1869</v>
      </c>
      <c r="P23" s="537">
        <f t="shared" si="45"/>
        <v>2139</v>
      </c>
      <c r="Q23" s="537">
        <f t="shared" si="46"/>
        <v>179459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f t="shared" si="12"/>
        <v>180</v>
      </c>
      <c r="C24" s="537">
        <f t="shared" si="13"/>
        <v>187</v>
      </c>
      <c r="D24" s="45">
        <f t="shared" si="49"/>
        <v>0</v>
      </c>
      <c r="E24" s="45">
        <f t="shared" si="14"/>
        <v>0</v>
      </c>
      <c r="F24" s="537">
        <f t="shared" si="15"/>
        <v>1968</v>
      </c>
      <c r="G24" s="52">
        <f t="shared" si="0"/>
        <v>0</v>
      </c>
      <c r="H24" s="537">
        <f t="shared" si="16"/>
        <v>22938</v>
      </c>
      <c r="I24" s="380">
        <f t="shared" si="1"/>
        <v>0</v>
      </c>
      <c r="J24" s="66">
        <f t="shared" si="17"/>
        <v>0</v>
      </c>
      <c r="K24" s="537">
        <f t="shared" si="18"/>
        <v>2372</v>
      </c>
      <c r="L24" s="52">
        <f t="shared" si="19"/>
        <v>0</v>
      </c>
      <c r="M24" s="537">
        <f t="shared" si="20"/>
        <v>175199</v>
      </c>
      <c r="N24" s="380">
        <f t="shared" si="2"/>
        <v>0</v>
      </c>
      <c r="O24" s="64">
        <f t="shared" si="48"/>
        <v>1869</v>
      </c>
      <c r="P24" s="537">
        <f t="shared" si="45"/>
        <v>2139</v>
      </c>
      <c r="Q24" s="537">
        <f t="shared" si="46"/>
        <v>179459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180</v>
      </c>
      <c r="C25" s="537">
        <f t="shared" si="13"/>
        <v>187</v>
      </c>
      <c r="D25" s="45">
        <f t="shared" si="49"/>
        <v>0</v>
      </c>
      <c r="E25" s="45">
        <f t="shared" si="14"/>
        <v>0</v>
      </c>
      <c r="F25" s="537">
        <f t="shared" si="15"/>
        <v>1968</v>
      </c>
      <c r="G25" s="52">
        <f t="shared" si="0"/>
        <v>0</v>
      </c>
      <c r="H25" s="537">
        <f t="shared" si="16"/>
        <v>22938</v>
      </c>
      <c r="I25" s="380">
        <f t="shared" si="1"/>
        <v>0</v>
      </c>
      <c r="J25" s="66">
        <f t="shared" si="17"/>
        <v>0</v>
      </c>
      <c r="K25" s="537">
        <f t="shared" si="18"/>
        <v>2372</v>
      </c>
      <c r="L25" s="52">
        <f t="shared" si="19"/>
        <v>0</v>
      </c>
      <c r="M25" s="537">
        <f t="shared" si="20"/>
        <v>175199</v>
      </c>
      <c r="N25" s="380">
        <f t="shared" si="2"/>
        <v>0</v>
      </c>
      <c r="O25" s="64">
        <f t="shared" si="48"/>
        <v>1869</v>
      </c>
      <c r="P25" s="537">
        <f t="shared" si="45"/>
        <v>2139</v>
      </c>
      <c r="Q25" s="537">
        <f t="shared" si="46"/>
        <v>179459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180</v>
      </c>
      <c r="C26" s="537">
        <f t="shared" si="13"/>
        <v>187</v>
      </c>
      <c r="D26" s="45">
        <f t="shared" si="49"/>
        <v>0</v>
      </c>
      <c r="E26" s="45">
        <f t="shared" si="14"/>
        <v>0</v>
      </c>
      <c r="F26" s="537">
        <f t="shared" si="15"/>
        <v>1968</v>
      </c>
      <c r="G26" s="52">
        <f t="shared" si="0"/>
        <v>0</v>
      </c>
      <c r="H26" s="537">
        <f t="shared" si="16"/>
        <v>22938</v>
      </c>
      <c r="I26" s="380">
        <f t="shared" si="1"/>
        <v>0</v>
      </c>
      <c r="J26" s="66">
        <f t="shared" si="17"/>
        <v>0</v>
      </c>
      <c r="K26" s="537">
        <f t="shared" si="18"/>
        <v>2372</v>
      </c>
      <c r="L26" s="52">
        <f t="shared" si="19"/>
        <v>0</v>
      </c>
      <c r="M26" s="537">
        <f t="shared" si="20"/>
        <v>175199</v>
      </c>
      <c r="N26" s="380">
        <f t="shared" si="2"/>
        <v>0</v>
      </c>
      <c r="O26" s="64">
        <f t="shared" si="48"/>
        <v>1869</v>
      </c>
      <c r="P26" s="537">
        <f t="shared" si="45"/>
        <v>2139</v>
      </c>
      <c r="Q26" s="537">
        <f t="shared" si="46"/>
        <v>179459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180</v>
      </c>
      <c r="C27" s="537">
        <f t="shared" si="13"/>
        <v>187</v>
      </c>
      <c r="D27" s="45">
        <f t="shared" si="49"/>
        <v>0</v>
      </c>
      <c r="E27" s="45">
        <f t="shared" si="14"/>
        <v>0</v>
      </c>
      <c r="F27" s="537">
        <f t="shared" si="15"/>
        <v>1968</v>
      </c>
      <c r="G27" s="52">
        <f t="shared" si="0"/>
        <v>0</v>
      </c>
      <c r="H27" s="537">
        <f t="shared" si="16"/>
        <v>22938</v>
      </c>
      <c r="I27" s="380">
        <f t="shared" si="1"/>
        <v>0</v>
      </c>
      <c r="J27" s="66">
        <f t="shared" si="17"/>
        <v>0</v>
      </c>
      <c r="K27" s="537">
        <f t="shared" si="18"/>
        <v>2372</v>
      </c>
      <c r="L27" s="52">
        <f t="shared" si="19"/>
        <v>0</v>
      </c>
      <c r="M27" s="537">
        <f t="shared" si="20"/>
        <v>175199</v>
      </c>
      <c r="N27" s="380">
        <f t="shared" si="2"/>
        <v>0</v>
      </c>
      <c r="O27" s="64">
        <f t="shared" si="48"/>
        <v>1869</v>
      </c>
      <c r="P27" s="537">
        <f t="shared" si="45"/>
        <v>2139</v>
      </c>
      <c r="Q27" s="537">
        <f t="shared" si="46"/>
        <v>179459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180</v>
      </c>
      <c r="C28" s="537">
        <f t="shared" si="13"/>
        <v>187</v>
      </c>
      <c r="D28" s="45">
        <f t="shared" si="49"/>
        <v>0</v>
      </c>
      <c r="E28" s="45">
        <f t="shared" si="14"/>
        <v>0</v>
      </c>
      <c r="F28" s="537">
        <f t="shared" si="15"/>
        <v>1968</v>
      </c>
      <c r="G28" s="52">
        <f t="shared" si="0"/>
        <v>0</v>
      </c>
      <c r="H28" s="537">
        <f t="shared" si="16"/>
        <v>22938</v>
      </c>
      <c r="I28" s="380">
        <f t="shared" si="1"/>
        <v>0</v>
      </c>
      <c r="J28" s="66">
        <f t="shared" si="17"/>
        <v>0</v>
      </c>
      <c r="K28" s="537">
        <f t="shared" si="18"/>
        <v>2372</v>
      </c>
      <c r="L28" s="52">
        <f t="shared" si="19"/>
        <v>0</v>
      </c>
      <c r="M28" s="537">
        <f t="shared" si="20"/>
        <v>175199</v>
      </c>
      <c r="N28" s="380">
        <f t="shared" si="2"/>
        <v>0</v>
      </c>
      <c r="O28" s="64">
        <f t="shared" si="48"/>
        <v>1869</v>
      </c>
      <c r="P28" s="537">
        <f t="shared" si="45"/>
        <v>2139</v>
      </c>
      <c r="Q28" s="537">
        <f t="shared" si="46"/>
        <v>179459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180</v>
      </c>
      <c r="C29" s="537">
        <f t="shared" si="13"/>
        <v>187</v>
      </c>
      <c r="D29" s="45">
        <f t="shared" si="49"/>
        <v>0</v>
      </c>
      <c r="E29" s="45">
        <f t="shared" si="14"/>
        <v>0</v>
      </c>
      <c r="F29" s="537">
        <f t="shared" si="15"/>
        <v>1968</v>
      </c>
      <c r="G29" s="52">
        <f t="shared" si="0"/>
        <v>0</v>
      </c>
      <c r="H29" s="537">
        <f t="shared" si="16"/>
        <v>22938</v>
      </c>
      <c r="I29" s="380">
        <f t="shared" si="1"/>
        <v>0</v>
      </c>
      <c r="J29" s="66">
        <f t="shared" si="17"/>
        <v>0</v>
      </c>
      <c r="K29" s="537">
        <f t="shared" si="18"/>
        <v>2372</v>
      </c>
      <c r="L29" s="52">
        <f t="shared" si="19"/>
        <v>0</v>
      </c>
      <c r="M29" s="537">
        <f t="shared" si="20"/>
        <v>175199</v>
      </c>
      <c r="N29" s="380">
        <f t="shared" si="2"/>
        <v>0</v>
      </c>
      <c r="O29" s="64">
        <f t="shared" si="48"/>
        <v>1869</v>
      </c>
      <c r="P29" s="537">
        <f t="shared" si="45"/>
        <v>2139</v>
      </c>
      <c r="Q29" s="537">
        <f t="shared" si="46"/>
        <v>179459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180</v>
      </c>
      <c r="C30" s="537">
        <f t="shared" si="13"/>
        <v>187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1968</v>
      </c>
      <c r="G30" s="52">
        <f t="shared" ref="G30" si="56">F30-F29</f>
        <v>0</v>
      </c>
      <c r="H30" s="537">
        <f t="shared" si="16"/>
        <v>22938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2372</v>
      </c>
      <c r="L30" s="52">
        <f t="shared" ref="L30" si="59">K30-K29</f>
        <v>0</v>
      </c>
      <c r="M30" s="537">
        <f t="shared" si="20"/>
        <v>175199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2139</v>
      </c>
      <c r="Q30" s="537">
        <f t="shared" si="46"/>
        <v>179459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180</v>
      </c>
      <c r="C31" s="537">
        <f t="shared" si="13"/>
        <v>187</v>
      </c>
      <c r="D31" s="45">
        <f t="shared" si="49"/>
        <v>0</v>
      </c>
      <c r="E31" s="45">
        <f t="shared" si="14"/>
        <v>0</v>
      </c>
      <c r="F31" s="537">
        <f t="shared" si="15"/>
        <v>1968</v>
      </c>
      <c r="G31" s="52">
        <f t="shared" si="0"/>
        <v>0</v>
      </c>
      <c r="H31" s="537">
        <f t="shared" si="16"/>
        <v>22938</v>
      </c>
      <c r="I31" s="380">
        <f t="shared" si="1"/>
        <v>0</v>
      </c>
      <c r="J31" s="66">
        <f t="shared" si="17"/>
        <v>0</v>
      </c>
      <c r="K31" s="537">
        <f t="shared" si="18"/>
        <v>2372</v>
      </c>
      <c r="L31" s="52">
        <f t="shared" si="19"/>
        <v>0</v>
      </c>
      <c r="M31" s="537">
        <f t="shared" si="20"/>
        <v>175199</v>
      </c>
      <c r="N31" s="380">
        <f t="shared" si="2"/>
        <v>0</v>
      </c>
      <c r="O31" s="64">
        <f t="shared" si="48"/>
        <v>1869</v>
      </c>
      <c r="P31" s="537">
        <f t="shared" si="45"/>
        <v>2139</v>
      </c>
      <c r="Q31" s="537">
        <f t="shared" si="46"/>
        <v>179459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180</v>
      </c>
      <c r="C32" s="537">
        <f t="shared" si="13"/>
        <v>187</v>
      </c>
      <c r="D32" s="45">
        <f t="shared" si="49"/>
        <v>0</v>
      </c>
      <c r="E32" s="45">
        <f t="shared" si="14"/>
        <v>0</v>
      </c>
      <c r="F32" s="537">
        <f t="shared" si="15"/>
        <v>1968</v>
      </c>
      <c r="G32" s="52">
        <f t="shared" si="0"/>
        <v>0</v>
      </c>
      <c r="H32" s="537">
        <f t="shared" si="16"/>
        <v>22938</v>
      </c>
      <c r="I32" s="380">
        <f t="shared" si="1"/>
        <v>0</v>
      </c>
      <c r="J32" s="66">
        <f t="shared" si="17"/>
        <v>0</v>
      </c>
      <c r="K32" s="537">
        <f t="shared" si="18"/>
        <v>2372</v>
      </c>
      <c r="L32" s="52">
        <f t="shared" si="19"/>
        <v>0</v>
      </c>
      <c r="M32" s="537">
        <f t="shared" si="20"/>
        <v>175199</v>
      </c>
      <c r="N32" s="380">
        <f t="shared" si="2"/>
        <v>0</v>
      </c>
      <c r="O32" s="64">
        <f t="shared" si="48"/>
        <v>1869</v>
      </c>
      <c r="P32" s="537">
        <f t="shared" si="45"/>
        <v>2139</v>
      </c>
      <c r="Q32" s="537">
        <f t="shared" si="46"/>
        <v>179459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180</v>
      </c>
      <c r="C33" s="537">
        <f t="shared" si="13"/>
        <v>187</v>
      </c>
      <c r="D33" s="45">
        <f>C32-C33</f>
        <v>0</v>
      </c>
      <c r="E33" s="45">
        <f>D33*8.38</f>
        <v>0</v>
      </c>
      <c r="F33" s="537">
        <f t="shared" si="15"/>
        <v>1968</v>
      </c>
      <c r="G33" s="52">
        <f>F33-F32</f>
        <v>0</v>
      </c>
      <c r="H33" s="537">
        <f t="shared" si="16"/>
        <v>22938</v>
      </c>
      <c r="I33" s="380">
        <f>SUM(H33-H32)</f>
        <v>0</v>
      </c>
      <c r="J33" s="66">
        <f>IF(G33&gt;0,I33/G33,0)</f>
        <v>0</v>
      </c>
      <c r="K33" s="537">
        <f t="shared" si="18"/>
        <v>2372</v>
      </c>
      <c r="L33" s="52">
        <f>K33-K32</f>
        <v>0</v>
      </c>
      <c r="M33" s="537">
        <f t="shared" si="20"/>
        <v>175199</v>
      </c>
      <c r="N33" s="380">
        <f>M33-M32</f>
        <v>0</v>
      </c>
      <c r="O33" s="64">
        <f t="shared" si="48"/>
        <v>1869</v>
      </c>
      <c r="P33" s="537">
        <f t="shared" si="45"/>
        <v>2139</v>
      </c>
      <c r="Q33" s="537">
        <f t="shared" si="46"/>
        <v>179459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180</v>
      </c>
      <c r="C34" s="537">
        <f t="shared" si="13"/>
        <v>187</v>
      </c>
      <c r="D34" s="45">
        <f>C33-C34</f>
        <v>0</v>
      </c>
      <c r="E34" s="45">
        <f>D34*8.38</f>
        <v>0</v>
      </c>
      <c r="F34" s="537">
        <f t="shared" si="15"/>
        <v>1968</v>
      </c>
      <c r="G34" s="52">
        <f>F34-F33</f>
        <v>0</v>
      </c>
      <c r="H34" s="537">
        <f t="shared" si="16"/>
        <v>22938</v>
      </c>
      <c r="I34" s="380">
        <f>SUM(H34-H33)</f>
        <v>0</v>
      </c>
      <c r="J34" s="66">
        <f>IF(G34&gt;0,I34/G34,0)</f>
        <v>0</v>
      </c>
      <c r="K34" s="537">
        <f t="shared" si="18"/>
        <v>2372</v>
      </c>
      <c r="L34" s="52">
        <f>K34-K33</f>
        <v>0</v>
      </c>
      <c r="M34" s="537">
        <f t="shared" si="20"/>
        <v>175199</v>
      </c>
      <c r="N34" s="380">
        <f>M34-M33</f>
        <v>0</v>
      </c>
      <c r="O34" s="64">
        <f t="shared" si="48"/>
        <v>1869</v>
      </c>
      <c r="P34" s="537">
        <f t="shared" si="45"/>
        <v>2139</v>
      </c>
      <c r="Q34" s="537">
        <f t="shared" si="46"/>
        <v>179459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180</v>
      </c>
      <c r="C35" s="537">
        <f t="shared" si="13"/>
        <v>187</v>
      </c>
      <c r="D35" s="45">
        <f>C34-C35</f>
        <v>0</v>
      </c>
      <c r="E35" s="45">
        <f>D35*8.38</f>
        <v>0</v>
      </c>
      <c r="F35" s="537">
        <f t="shared" si="15"/>
        <v>1968</v>
      </c>
      <c r="G35" s="52">
        <f>F35-F34</f>
        <v>0</v>
      </c>
      <c r="H35" s="537">
        <f t="shared" si="16"/>
        <v>22938</v>
      </c>
      <c r="I35" s="380">
        <f>SUM(H35-H34)</f>
        <v>0</v>
      </c>
      <c r="J35" s="66">
        <f>IF(G35&gt;0,I35/G35,0)</f>
        <v>0</v>
      </c>
      <c r="K35" s="537">
        <f t="shared" si="18"/>
        <v>2372</v>
      </c>
      <c r="L35" s="52">
        <f>K35-K34</f>
        <v>0</v>
      </c>
      <c r="M35" s="537">
        <f t="shared" si="20"/>
        <v>175199</v>
      </c>
      <c r="N35" s="380">
        <f>M35-M34</f>
        <v>0</v>
      </c>
      <c r="O35" s="64">
        <f t="shared" si="48"/>
        <v>1869</v>
      </c>
      <c r="P35" s="537">
        <f t="shared" si="45"/>
        <v>2139</v>
      </c>
      <c r="Q35" s="537">
        <f t="shared" si="46"/>
        <v>179459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36.333333333333336</v>
      </c>
      <c r="U36" s="70">
        <f>SUM(U5:U35)</f>
        <v>5</v>
      </c>
      <c r="V36" s="62">
        <f>SUM(V5:V35)</f>
        <v>49</v>
      </c>
      <c r="AE36" s="71" t="s">
        <v>379</v>
      </c>
      <c r="AG36" s="329"/>
      <c r="AH36" s="62">
        <f>SUM(AH5:AH35)</f>
        <v>0</v>
      </c>
      <c r="AL36" s="62">
        <f>SUM(AL5:AL35)</f>
        <v>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9.8000000000000007</v>
      </c>
      <c r="AH37" s="62">
        <f>AF37+AA37</f>
        <v>0</v>
      </c>
      <c r="AI37" s="306">
        <f>SUM(AI5:AI35)</f>
        <v>49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E1" zoomScale="90" zoomScaleNormal="90" workbookViewId="0">
      <pane ySplit="3" topLeftCell="A4" activePane="bottomLeft" state="frozen"/>
      <selection pane="bottomLeft" activeCell="T27" sqref="T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1" t="s">
        <v>95</v>
      </c>
      <c r="AS2" s="642"/>
      <c r="AT2" s="642"/>
      <c r="AU2" s="642"/>
      <c r="AV2" s="643"/>
      <c r="AW2" s="641" t="s">
        <v>96</v>
      </c>
      <c r="AX2" s="642"/>
      <c r="AY2" s="643"/>
      <c r="AZ2" s="641" t="s">
        <v>98</v>
      </c>
      <c r="BA2" s="642"/>
      <c r="BB2" s="643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8" t="s">
        <v>126</v>
      </c>
      <c r="AO3" s="639"/>
      <c r="AP3" s="640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6983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0</v>
      </c>
      <c r="AL11" s="312">
        <f t="shared" si="28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f t="shared" si="31"/>
        <v>119</v>
      </c>
      <c r="AW11" s="5">
        <v>2.9</v>
      </c>
      <c r="AX11" s="201">
        <f t="shared" si="32"/>
        <v>113</v>
      </c>
      <c r="AY11" s="409">
        <f t="shared" si="37"/>
        <v>129.6</v>
      </c>
      <c r="AZ11" s="409">
        <f t="shared" si="38"/>
        <v>130.9</v>
      </c>
      <c r="BA11" s="409">
        <f t="shared" si="39"/>
        <v>327.7</v>
      </c>
      <c r="BB11" s="21">
        <f t="shared" si="40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6983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119</v>
      </c>
      <c r="AW12" s="5">
        <v>2.9</v>
      </c>
      <c r="AX12" s="201">
        <f t="shared" si="32"/>
        <v>113</v>
      </c>
      <c r="AY12" s="409">
        <f t="shared" si="37"/>
        <v>129.6</v>
      </c>
      <c r="AZ12" s="409">
        <f t="shared" si="38"/>
        <v>130.9</v>
      </c>
      <c r="BA12" s="409">
        <f t="shared" si="39"/>
        <v>327.7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6983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119</v>
      </c>
      <c r="AW13" s="5">
        <v>2.9</v>
      </c>
      <c r="AX13" s="201">
        <f t="shared" si="32"/>
        <v>113</v>
      </c>
      <c r="AY13" s="409">
        <f t="shared" si="37"/>
        <v>129.6</v>
      </c>
      <c r="AZ13" s="409">
        <f t="shared" si="38"/>
        <v>130.9</v>
      </c>
      <c r="BA13" s="409">
        <f t="shared" si="39"/>
        <v>327.7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6983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f t="shared" si="30"/>
        <v>144</v>
      </c>
      <c r="AU14" s="408">
        <f t="shared" si="43"/>
        <v>1.1000000000000001</v>
      </c>
      <c r="AV14" s="201">
        <f t="shared" si="31"/>
        <v>119</v>
      </c>
      <c r="AW14" s="5">
        <v>2.9</v>
      </c>
      <c r="AX14" s="201">
        <f t="shared" si="32"/>
        <v>113</v>
      </c>
      <c r="AY14" s="409">
        <f t="shared" si="37"/>
        <v>129.6</v>
      </c>
      <c r="AZ14" s="409">
        <f t="shared" si="38"/>
        <v>130.9</v>
      </c>
      <c r="BA14" s="409">
        <f t="shared" si="39"/>
        <v>327.7</v>
      </c>
      <c r="BB14" s="21">
        <f t="shared" si="40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6983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f t="shared" si="30"/>
        <v>144</v>
      </c>
      <c r="AU15" s="408">
        <f t="shared" si="43"/>
        <v>1.1000000000000001</v>
      </c>
      <c r="AV15" s="201">
        <f t="shared" si="31"/>
        <v>119</v>
      </c>
      <c r="AW15" s="5">
        <v>2.9</v>
      </c>
      <c r="AX15" s="201">
        <f t="shared" si="32"/>
        <v>113</v>
      </c>
      <c r="AY15" s="409">
        <f t="shared" si="37"/>
        <v>129.6</v>
      </c>
      <c r="AZ15" s="409">
        <f t="shared" si="38"/>
        <v>130.9</v>
      </c>
      <c r="BA15" s="409">
        <f t="shared" si="39"/>
        <v>327.7</v>
      </c>
      <c r="BB15" s="21">
        <f t="shared" si="40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6983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144</v>
      </c>
      <c r="AU16" s="408">
        <f t="shared" si="43"/>
        <v>1.1000000000000001</v>
      </c>
      <c r="AV16" s="201">
        <f t="shared" si="31"/>
        <v>119</v>
      </c>
      <c r="AW16" s="5">
        <v>2.9</v>
      </c>
      <c r="AX16" s="201">
        <f t="shared" si="32"/>
        <v>113</v>
      </c>
      <c r="AY16" s="409">
        <f t="shared" si="37"/>
        <v>129.6</v>
      </c>
      <c r="AZ16" s="409">
        <f t="shared" si="38"/>
        <v>130.9</v>
      </c>
      <c r="BA16" s="409">
        <f t="shared" si="39"/>
        <v>327.7</v>
      </c>
      <c r="BB16" s="21">
        <f t="shared" si="40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6983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144</v>
      </c>
      <c r="AU17" s="408">
        <f t="shared" si="43"/>
        <v>1.1000000000000001</v>
      </c>
      <c r="AV17" s="201">
        <f t="shared" si="31"/>
        <v>119</v>
      </c>
      <c r="AW17" s="5">
        <v>2.9</v>
      </c>
      <c r="AX17" s="201">
        <f t="shared" si="32"/>
        <v>113</v>
      </c>
      <c r="AY17" s="409">
        <f t="shared" si="37"/>
        <v>129.6</v>
      </c>
      <c r="AZ17" s="409">
        <f t="shared" si="38"/>
        <v>130.9</v>
      </c>
      <c r="BA17" s="409">
        <f t="shared" si="39"/>
        <v>327.7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6983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144</v>
      </c>
      <c r="AU18" s="408">
        <f t="shared" si="43"/>
        <v>1.1000000000000001</v>
      </c>
      <c r="AV18" s="201">
        <f t="shared" si="31"/>
        <v>119</v>
      </c>
      <c r="AW18" s="5">
        <v>2.9</v>
      </c>
      <c r="AX18" s="201">
        <f t="shared" si="32"/>
        <v>113</v>
      </c>
      <c r="AY18" s="409">
        <f t="shared" si="37"/>
        <v>129.6</v>
      </c>
      <c r="AZ18" s="409">
        <f t="shared" si="38"/>
        <v>130.9</v>
      </c>
      <c r="BA18" s="409">
        <f t="shared" si="39"/>
        <v>327.7</v>
      </c>
      <c r="BB18" s="21">
        <f t="shared" si="40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6983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144</v>
      </c>
      <c r="AU19" s="408">
        <f t="shared" si="43"/>
        <v>1.1000000000000001</v>
      </c>
      <c r="AV19" s="201">
        <f t="shared" si="31"/>
        <v>119</v>
      </c>
      <c r="AW19" s="5">
        <v>2.9</v>
      </c>
      <c r="AX19" s="201">
        <f t="shared" si="32"/>
        <v>113</v>
      </c>
      <c r="AY19" s="409">
        <f>AS19*AT19</f>
        <v>129.6</v>
      </c>
      <c r="AZ19" s="409">
        <f>AU19*AV19</f>
        <v>130.9</v>
      </c>
      <c r="BA19" s="409">
        <f>AW19*AX19</f>
        <v>327.7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6983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144</v>
      </c>
      <c r="AU20" s="408">
        <f t="shared" si="43"/>
        <v>1.1000000000000001</v>
      </c>
      <c r="AV20" s="201">
        <f t="shared" si="31"/>
        <v>119</v>
      </c>
      <c r="AW20" s="5">
        <v>2.9</v>
      </c>
      <c r="AX20" s="201">
        <f t="shared" si="32"/>
        <v>113</v>
      </c>
      <c r="AY20" s="409">
        <f>AS20*AT20</f>
        <v>129.6</v>
      </c>
      <c r="AZ20" s="409">
        <f>AU20*AV20</f>
        <v>130.9</v>
      </c>
      <c r="BA20" s="409">
        <f>AW20*AX20</f>
        <v>327.7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6983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144</v>
      </c>
      <c r="AU21" s="408">
        <f t="shared" si="43"/>
        <v>1.1000000000000001</v>
      </c>
      <c r="AV21" s="201">
        <f t="shared" si="31"/>
        <v>119</v>
      </c>
      <c r="AW21" s="5">
        <v>2.9</v>
      </c>
      <c r="AX21" s="201">
        <f t="shared" si="32"/>
        <v>113</v>
      </c>
      <c r="AY21" s="409">
        <f>AS21*AT21</f>
        <v>129.6</v>
      </c>
      <c r="AZ21" s="409">
        <f>AU21*AV21</f>
        <v>130.9</v>
      </c>
      <c r="BA21" s="409">
        <f>AW21*AX21</f>
        <v>327.7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6983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144</v>
      </c>
      <c r="AU22" s="408">
        <f t="shared" si="43"/>
        <v>1.1000000000000001</v>
      </c>
      <c r="AV22" s="201">
        <f t="shared" si="31"/>
        <v>119</v>
      </c>
      <c r="AW22" s="5">
        <v>2.9</v>
      </c>
      <c r="AX22" s="201">
        <f t="shared" si="32"/>
        <v>113</v>
      </c>
      <c r="AY22" s="409">
        <f t="shared" si="37"/>
        <v>129.6</v>
      </c>
      <c r="AZ22" s="409">
        <f t="shared" si="38"/>
        <v>130.9</v>
      </c>
      <c r="BA22" s="409">
        <f t="shared" si="39"/>
        <v>327.7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4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6983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144</v>
      </c>
      <c r="AU23" s="408">
        <f t="shared" si="43"/>
        <v>1.1000000000000001</v>
      </c>
      <c r="AV23" s="201">
        <f t="shared" si="31"/>
        <v>119</v>
      </c>
      <c r="AW23" s="5">
        <v>2.9</v>
      </c>
      <c r="AX23" s="201">
        <f t="shared" si="32"/>
        <v>113</v>
      </c>
      <c r="AY23" s="409">
        <f t="shared" si="37"/>
        <v>129.6</v>
      </c>
      <c r="AZ23" s="409">
        <f t="shared" si="38"/>
        <v>130.9</v>
      </c>
      <c r="BA23" s="409">
        <f t="shared" si="39"/>
        <v>327.7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4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6983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144</v>
      </c>
      <c r="AU24" s="408">
        <f t="shared" si="43"/>
        <v>1.1000000000000001</v>
      </c>
      <c r="AV24" s="201">
        <f t="shared" si="31"/>
        <v>119</v>
      </c>
      <c r="AW24" s="5">
        <v>2.9</v>
      </c>
      <c r="AX24" s="201">
        <f t="shared" si="32"/>
        <v>113</v>
      </c>
      <c r="AY24" s="409">
        <f t="shared" si="37"/>
        <v>129.6</v>
      </c>
      <c r="AZ24" s="409">
        <f t="shared" si="38"/>
        <v>130.9</v>
      </c>
      <c r="BA24" s="409">
        <f t="shared" si="39"/>
        <v>327.7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4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6983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144</v>
      </c>
      <c r="AU25" s="408">
        <f t="shared" si="43"/>
        <v>1.1000000000000001</v>
      </c>
      <c r="AV25" s="201">
        <f t="shared" si="31"/>
        <v>119</v>
      </c>
      <c r="AW25" s="5">
        <v>2.9</v>
      </c>
      <c r="AX25" s="201">
        <f t="shared" si="32"/>
        <v>113</v>
      </c>
      <c r="AY25" s="409">
        <f t="shared" si="37"/>
        <v>129.6</v>
      </c>
      <c r="AZ25" s="409">
        <f t="shared" si="38"/>
        <v>130.9</v>
      </c>
      <c r="BA25" s="409">
        <f t="shared" si="39"/>
        <v>327.7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6983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144</v>
      </c>
      <c r="AU26" s="408">
        <f t="shared" si="43"/>
        <v>1.1000000000000001</v>
      </c>
      <c r="AV26" s="201">
        <f t="shared" si="31"/>
        <v>119</v>
      </c>
      <c r="AW26" s="5">
        <v>2.9</v>
      </c>
      <c r="AX26" s="201">
        <f t="shared" si="32"/>
        <v>113</v>
      </c>
      <c r="AY26" s="409">
        <f t="shared" si="37"/>
        <v>129.6</v>
      </c>
      <c r="AZ26" s="409">
        <f t="shared" si="38"/>
        <v>130.9</v>
      </c>
      <c r="BA26" s="409">
        <f t="shared" si="39"/>
        <v>327.7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6983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144</v>
      </c>
      <c r="AU27" s="408">
        <f t="shared" si="43"/>
        <v>1.1000000000000001</v>
      </c>
      <c r="AV27" s="201">
        <f t="shared" si="31"/>
        <v>119</v>
      </c>
      <c r="AW27" s="5">
        <v>2.9</v>
      </c>
      <c r="AX27" s="201">
        <f t="shared" si="32"/>
        <v>113</v>
      </c>
      <c r="AY27" s="409">
        <f t="shared" si="37"/>
        <v>129.6</v>
      </c>
      <c r="AZ27" s="409">
        <f t="shared" si="38"/>
        <v>130.9</v>
      </c>
      <c r="BA27" s="409">
        <f t="shared" si="39"/>
        <v>327.7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6983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144</v>
      </c>
      <c r="AU28" s="408">
        <f t="shared" si="43"/>
        <v>1.1000000000000001</v>
      </c>
      <c r="AV28" s="201">
        <f t="shared" si="31"/>
        <v>119</v>
      </c>
      <c r="AW28" s="5">
        <v>2.9</v>
      </c>
      <c r="AX28" s="201">
        <f t="shared" si="32"/>
        <v>113</v>
      </c>
      <c r="AY28" s="409">
        <f t="shared" si="37"/>
        <v>129.6</v>
      </c>
      <c r="AZ28" s="409">
        <f t="shared" si="38"/>
        <v>130.9</v>
      </c>
      <c r="BA28" s="409">
        <f t="shared" si="39"/>
        <v>327.7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6983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144</v>
      </c>
      <c r="AU29" s="408">
        <f t="shared" si="43"/>
        <v>1.1000000000000001</v>
      </c>
      <c r="AV29" s="201">
        <f t="shared" si="31"/>
        <v>119</v>
      </c>
      <c r="AW29" s="5">
        <v>2.9</v>
      </c>
      <c r="AX29" s="201">
        <f t="shared" si="32"/>
        <v>113</v>
      </c>
      <c r="AY29" s="409">
        <f t="shared" si="37"/>
        <v>129.6</v>
      </c>
      <c r="AZ29" s="409">
        <f t="shared" si="38"/>
        <v>130.9</v>
      </c>
      <c r="BA29" s="409">
        <f t="shared" si="39"/>
        <v>327.7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6983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144</v>
      </c>
      <c r="AU30" s="408">
        <f t="shared" si="43"/>
        <v>1.1000000000000001</v>
      </c>
      <c r="AV30" s="201">
        <f t="shared" si="31"/>
        <v>119</v>
      </c>
      <c r="AW30" s="5">
        <v>2.9</v>
      </c>
      <c r="AX30" s="201">
        <f t="shared" si="32"/>
        <v>113</v>
      </c>
      <c r="AY30" s="409">
        <f t="shared" si="37"/>
        <v>129.6</v>
      </c>
      <c r="AZ30" s="409">
        <f t="shared" si="38"/>
        <v>130.9</v>
      </c>
      <c r="BA30" s="409">
        <f t="shared" si="39"/>
        <v>327.7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6983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144</v>
      </c>
      <c r="AU31" s="408">
        <f t="shared" si="43"/>
        <v>1.1000000000000001</v>
      </c>
      <c r="AV31" s="201">
        <f t="shared" si="31"/>
        <v>119</v>
      </c>
      <c r="AW31" s="5">
        <v>2.9</v>
      </c>
      <c r="AX31" s="201">
        <f t="shared" si="32"/>
        <v>113</v>
      </c>
      <c r="AY31" s="409">
        <f t="shared" si="37"/>
        <v>129.6</v>
      </c>
      <c r="AZ31" s="409">
        <f>AU31*AV31</f>
        <v>130.9</v>
      </c>
      <c r="BA31" s="409">
        <f t="shared" si="39"/>
        <v>327.7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6983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144</v>
      </c>
      <c r="AU32" s="408">
        <f t="shared" si="43"/>
        <v>1.1000000000000001</v>
      </c>
      <c r="AV32" s="201">
        <f t="shared" si="31"/>
        <v>119</v>
      </c>
      <c r="AW32" s="5">
        <v>2.9</v>
      </c>
      <c r="AX32" s="201">
        <f t="shared" si="32"/>
        <v>113</v>
      </c>
      <c r="AY32" s="409">
        <f t="shared" si="37"/>
        <v>129.6</v>
      </c>
      <c r="AZ32" s="409">
        <f t="shared" si="38"/>
        <v>130.9</v>
      </c>
      <c r="BA32" s="409">
        <f t="shared" si="39"/>
        <v>327.7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6983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144</v>
      </c>
      <c r="AU33" s="408">
        <f t="shared" si="43"/>
        <v>1.1000000000000001</v>
      </c>
      <c r="AV33" s="201">
        <f t="shared" si="31"/>
        <v>119</v>
      </c>
      <c r="AW33" s="5">
        <v>2.9</v>
      </c>
      <c r="AX33" s="201">
        <f t="shared" si="32"/>
        <v>113</v>
      </c>
      <c r="AY33" s="409">
        <f t="shared" si="37"/>
        <v>129.6</v>
      </c>
      <c r="AZ33" s="409">
        <f t="shared" si="38"/>
        <v>130.9</v>
      </c>
      <c r="BA33" s="409">
        <f t="shared" si="39"/>
        <v>327.7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6983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144</v>
      </c>
      <c r="AU34" s="408">
        <f>AU33</f>
        <v>1.1000000000000001</v>
      </c>
      <c r="AV34" s="201">
        <f t="shared" si="31"/>
        <v>119</v>
      </c>
      <c r="AW34" s="5">
        <v>2.9</v>
      </c>
      <c r="AX34" s="201">
        <f t="shared" si="32"/>
        <v>113</v>
      </c>
      <c r="AY34" s="409">
        <f t="shared" si="37"/>
        <v>129.6</v>
      </c>
      <c r="AZ34" s="409">
        <f>AU34*AV34</f>
        <v>130.9</v>
      </c>
      <c r="BA34" s="409">
        <f>AW34*AX34</f>
        <v>327.7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6983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144</v>
      </c>
      <c r="AU35" s="408">
        <f>AU34</f>
        <v>1.1000000000000001</v>
      </c>
      <c r="AV35" s="201">
        <f t="shared" si="31"/>
        <v>119</v>
      </c>
      <c r="AW35" s="5">
        <v>2.9</v>
      </c>
      <c r="AX35" s="201">
        <f t="shared" si="32"/>
        <v>113</v>
      </c>
      <c r="AY35" s="409">
        <f t="shared" si="37"/>
        <v>129.6</v>
      </c>
      <c r="AZ35" s="409">
        <f>AU35*AV35</f>
        <v>130.9</v>
      </c>
      <c r="BA35" s="409">
        <f>AW35*AX35</f>
        <v>327.7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6983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144</v>
      </c>
      <c r="AU36" s="408">
        <f>AU35</f>
        <v>1.1000000000000001</v>
      </c>
      <c r="AV36" s="201">
        <f t="shared" si="31"/>
        <v>119</v>
      </c>
      <c r="AW36" s="5">
        <v>2.9</v>
      </c>
      <c r="AX36" s="201">
        <f t="shared" si="32"/>
        <v>113</v>
      </c>
      <c r="AY36" s="409">
        <f t="shared" ref="AY36" si="54">AS36*AT36</f>
        <v>129.6</v>
      </c>
      <c r="AZ36" s="409">
        <f>AU36*AV36</f>
        <v>130.9</v>
      </c>
      <c r="BA36" s="409">
        <f>AW36*AX36</f>
        <v>327.7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7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-7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7" sqref="S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f>[2]GEN!X33</f>
        <v>13429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6.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6.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584">
        <f t="shared" ref="X4:X33" si="22">13279+150</f>
        <v>13429</v>
      </c>
      <c r="Y4" s="276" t="str">
        <f t="shared" si="5"/>
        <v>ok</v>
      </c>
      <c r="Z4" s="276">
        <f t="shared" si="6"/>
        <v>0</v>
      </c>
      <c r="AA4" s="276">
        <f t="shared" ref="AA4:AA30" si="23">U4+M4+E4</f>
        <v>0</v>
      </c>
      <c r="AB4" s="276">
        <f t="shared" ref="AB4:AB30" si="24">V4+N4+F4</f>
        <v>250</v>
      </c>
      <c r="AC4" s="276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6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7">IF(Z4=0,0,1)</f>
        <v>0</v>
      </c>
    </row>
    <row r="5" spans="1:38" ht="16.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584">
        <f t="shared" si="22"/>
        <v>13429</v>
      </c>
      <c r="Y5" s="276" t="str">
        <f t="shared" si="5"/>
        <v>ok</v>
      </c>
      <c r="Z5" s="276">
        <f t="shared" si="6"/>
        <v>0</v>
      </c>
      <c r="AA5" s="276">
        <f t="shared" si="23"/>
        <v>0</v>
      </c>
      <c r="AB5" s="276">
        <f t="shared" si="24"/>
        <v>250</v>
      </c>
      <c r="AC5" s="276">
        <f t="shared" si="25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6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7"/>
        <v>0</v>
      </c>
    </row>
    <row r="6" spans="1:38" ht="16.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584">
        <v>13550</v>
      </c>
      <c r="Y6" s="276" t="str">
        <f t="shared" si="5"/>
        <v>ok</v>
      </c>
      <c r="Z6" s="276">
        <f t="shared" si="6"/>
        <v>11</v>
      </c>
      <c r="AA6" s="276">
        <f t="shared" si="23"/>
        <v>2750</v>
      </c>
      <c r="AB6" s="276">
        <f t="shared" si="24"/>
        <v>500</v>
      </c>
      <c r="AC6" s="276">
        <f t="shared" si="25"/>
        <v>250</v>
      </c>
      <c r="AD6" s="73">
        <f>ELEC!Q7</f>
        <v>0</v>
      </c>
      <c r="AE6" s="73">
        <f>SUM(AD6/Z6)</f>
        <v>0</v>
      </c>
      <c r="AF6" s="387">
        <f t="shared" si="29"/>
        <v>0</v>
      </c>
      <c r="AG6" s="388">
        <f>SUM(320*AF6)</f>
        <v>0</v>
      </c>
      <c r="AH6" s="388">
        <f t="shared" si="26"/>
        <v>250</v>
      </c>
      <c r="AI6" s="73">
        <f t="shared" si="31"/>
        <v>0</v>
      </c>
      <c r="AJ6" s="278">
        <f t="shared" si="7"/>
        <v>0.25738396624472576</v>
      </c>
      <c r="AK6" s="278">
        <f t="shared" si="8"/>
        <v>0</v>
      </c>
      <c r="AL6">
        <f t="shared" si="27"/>
        <v>1</v>
      </c>
    </row>
    <row r="7" spans="1:38" ht="16.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584">
        <f t="shared" si="22"/>
        <v>13429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4"/>
        <v>500</v>
      </c>
      <c r="AC7" s="276">
        <f t="shared" si="25"/>
        <v>250</v>
      </c>
      <c r="AD7" s="73">
        <f>ELEC!Q8</f>
        <v>11689.000000002125</v>
      </c>
      <c r="AE7" s="73">
        <f t="shared" si="28"/>
        <v>1062.6363636365568</v>
      </c>
      <c r="AF7" s="387">
        <f t="shared" si="29"/>
        <v>0.66414772727284799</v>
      </c>
      <c r="AG7" s="387">
        <f t="shared" si="29"/>
        <v>4.1509232954553001E-4</v>
      </c>
      <c r="AH7" s="388">
        <f t="shared" si="26"/>
        <v>249.99958490767045</v>
      </c>
      <c r="AI7" s="73">
        <f t="shared" si="31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7"/>
        <v>1</v>
      </c>
    </row>
    <row r="8" spans="1:38" ht="16.5" thickBot="1">
      <c r="A8" s="4">
        <f>ELEC!C9</f>
        <v>44567</v>
      </c>
      <c r="B8" s="502">
        <f t="shared" si="9"/>
        <v>11341</v>
      </c>
      <c r="C8" s="276">
        <f t="shared" si="10"/>
        <v>0</v>
      </c>
      <c r="D8" s="503">
        <f t="shared" si="11"/>
        <v>598266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584">
        <f t="shared" si="22"/>
        <v>13429</v>
      </c>
      <c r="Y8" s="276" t="str">
        <f t="shared" si="5"/>
        <v>ok</v>
      </c>
      <c r="Z8" s="276">
        <f t="shared" si="6"/>
        <v>0</v>
      </c>
      <c r="AA8" s="276">
        <f t="shared" si="23"/>
        <v>0</v>
      </c>
      <c r="AB8" s="276">
        <f t="shared" si="24"/>
        <v>250</v>
      </c>
      <c r="AC8" s="276">
        <f t="shared" si="25"/>
        <v>0</v>
      </c>
      <c r="AD8" s="73">
        <f>ELEC!Q9</f>
        <v>0</v>
      </c>
      <c r="AE8" s="73" t="e">
        <f>SUM(AD8/Z8)</f>
        <v>#DIV/0!</v>
      </c>
      <c r="AF8" s="387" t="e">
        <f t="shared" si="29"/>
        <v>#DIV/0!</v>
      </c>
      <c r="AG8" s="387" t="e">
        <f t="shared" si="29"/>
        <v>#DIV/0!</v>
      </c>
      <c r="AH8" s="388" t="e">
        <f t="shared" si="26"/>
        <v>#DIV/0!</v>
      </c>
      <c r="AI8" s="73">
        <f t="shared" si="31"/>
        <v>0</v>
      </c>
      <c r="AJ8" s="278">
        <f t="shared" si="7"/>
        <v>0.25738396624472576</v>
      </c>
      <c r="AK8" s="278" t="e">
        <f t="shared" si="8"/>
        <v>#DIV/0!</v>
      </c>
      <c r="AL8">
        <f t="shared" si="27"/>
        <v>0</v>
      </c>
    </row>
    <row r="9" spans="1:38" ht="16.5" thickBot="1">
      <c r="A9" s="4">
        <f>ELEC!C10</f>
        <v>44568</v>
      </c>
      <c r="B9" s="502">
        <f t="shared" si="9"/>
        <v>11341</v>
      </c>
      <c r="C9" s="276">
        <f t="shared" si="10"/>
        <v>0</v>
      </c>
      <c r="D9" s="503">
        <f t="shared" si="11"/>
        <v>598266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584">
        <f t="shared" si="22"/>
        <v>13429</v>
      </c>
      <c r="Y9" s="276" t="str">
        <f t="shared" si="5"/>
        <v>ok</v>
      </c>
      <c r="Z9" s="276">
        <f t="shared" si="6"/>
        <v>0</v>
      </c>
      <c r="AA9" s="276">
        <f t="shared" si="23"/>
        <v>0</v>
      </c>
      <c r="AB9" s="276">
        <f t="shared" si="24"/>
        <v>250</v>
      </c>
      <c r="AC9" s="276">
        <f t="shared" si="25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7" t="e">
        <f t="shared" si="29"/>
        <v>#DIV/0!</v>
      </c>
      <c r="AH9" s="388" t="e">
        <f t="shared" si="26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7"/>
        <v>0</v>
      </c>
    </row>
    <row r="10" spans="1:38" ht="16.5" thickBot="1">
      <c r="A10" s="4">
        <f>ELEC!C11</f>
        <v>44569</v>
      </c>
      <c r="B10" s="502">
        <f t="shared" si="9"/>
        <v>11341</v>
      </c>
      <c r="C10" s="276">
        <f t="shared" si="10"/>
        <v>0</v>
      </c>
      <c r="D10" s="503">
        <f t="shared" si="11"/>
        <v>598266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584">
        <f t="shared" si="22"/>
        <v>13429</v>
      </c>
      <c r="Y10" s="276" t="str">
        <f t="shared" si="5"/>
        <v>ok</v>
      </c>
      <c r="Z10" s="276">
        <f t="shared" si="6"/>
        <v>0</v>
      </c>
      <c r="AA10" s="276">
        <f t="shared" si="23"/>
        <v>0</v>
      </c>
      <c r="AB10" s="276">
        <f t="shared" si="24"/>
        <v>250</v>
      </c>
      <c r="AC10" s="276">
        <f t="shared" si="25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7" t="e">
        <f t="shared" si="29"/>
        <v>#DIV/0!</v>
      </c>
      <c r="AH10" s="388" t="e">
        <f t="shared" si="26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7"/>
        <v>0</v>
      </c>
    </row>
    <row r="11" spans="1:38" ht="16.5" thickBot="1">
      <c r="A11" s="4">
        <f>ELEC!C12</f>
        <v>44570</v>
      </c>
      <c r="B11" s="502">
        <f t="shared" si="9"/>
        <v>11341</v>
      </c>
      <c r="C11" s="276">
        <f t="shared" si="10"/>
        <v>0</v>
      </c>
      <c r="D11" s="503">
        <f t="shared" si="11"/>
        <v>598266</v>
      </c>
      <c r="E11" s="276">
        <f t="shared" si="12"/>
        <v>0</v>
      </c>
      <c r="F11" s="276">
        <f t="shared" si="0"/>
        <v>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f t="shared" si="19"/>
        <v>13429</v>
      </c>
      <c r="S11" s="276">
        <f t="shared" si="4"/>
        <v>0</v>
      </c>
      <c r="T11" s="503">
        <f t="shared" si="20"/>
        <v>296753</v>
      </c>
      <c r="U11" s="276">
        <f t="shared" si="21"/>
        <v>0</v>
      </c>
      <c r="V11" s="276">
        <v>250</v>
      </c>
      <c r="W11" s="323"/>
      <c r="X11" s="584">
        <f t="shared" si="22"/>
        <v>13429</v>
      </c>
      <c r="Y11" s="276" t="str">
        <f t="shared" si="5"/>
        <v>ok</v>
      </c>
      <c r="Z11" s="276">
        <f t="shared" si="6"/>
        <v>0</v>
      </c>
      <c r="AA11" s="276">
        <f t="shared" si="23"/>
        <v>0</v>
      </c>
      <c r="AB11" s="276">
        <f t="shared" si="24"/>
        <v>250</v>
      </c>
      <c r="AC11" s="276">
        <f t="shared" si="25"/>
        <v>0</v>
      </c>
      <c r="AD11" s="73">
        <f>ELEC!Q12</f>
        <v>0</v>
      </c>
      <c r="AE11" s="73" t="e">
        <f t="shared" si="28"/>
        <v>#DIV/0!</v>
      </c>
      <c r="AF11" s="387" t="e">
        <f t="shared" si="29"/>
        <v>#DIV/0!</v>
      </c>
      <c r="AG11" s="387" t="e">
        <f t="shared" si="29"/>
        <v>#DIV/0!</v>
      </c>
      <c r="AH11" s="388" t="e">
        <f t="shared" si="26"/>
        <v>#DIV/0!</v>
      </c>
      <c r="AI11" s="73">
        <f t="shared" si="31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7"/>
        <v>0</v>
      </c>
    </row>
    <row r="12" spans="1:38" ht="16.5" thickBot="1">
      <c r="A12" s="4">
        <f>ELEC!C13</f>
        <v>44571</v>
      </c>
      <c r="B12" s="502">
        <f t="shared" si="9"/>
        <v>11341</v>
      </c>
      <c r="C12" s="276">
        <f t="shared" si="10"/>
        <v>0</v>
      </c>
      <c r="D12" s="503">
        <f t="shared" si="11"/>
        <v>598266</v>
      </c>
      <c r="E12" s="276">
        <f t="shared" si="12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f t="shared" si="19"/>
        <v>13429</v>
      </c>
      <c r="S12" s="276">
        <f t="shared" si="4"/>
        <v>0</v>
      </c>
      <c r="T12" s="503">
        <f t="shared" si="20"/>
        <v>296753</v>
      </c>
      <c r="U12" s="276">
        <f t="shared" si="21"/>
        <v>0</v>
      </c>
      <c r="V12" s="276">
        <v>250</v>
      </c>
      <c r="W12" s="323"/>
      <c r="X12" s="584">
        <f t="shared" si="22"/>
        <v>13429</v>
      </c>
      <c r="Y12" s="276" t="str">
        <f t="shared" si="5"/>
        <v>ok</v>
      </c>
      <c r="Z12" s="276">
        <f t="shared" si="6"/>
        <v>0</v>
      </c>
      <c r="AA12" s="276">
        <f t="shared" si="23"/>
        <v>0</v>
      </c>
      <c r="AB12" s="276">
        <f t="shared" si="24"/>
        <v>250</v>
      </c>
      <c r="AC12" s="276">
        <f t="shared" si="25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6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7"/>
        <v>0</v>
      </c>
    </row>
    <row r="13" spans="1:38" ht="16.5" thickBot="1">
      <c r="A13" s="4">
        <f>ELEC!C14</f>
        <v>44572</v>
      </c>
      <c r="B13" s="502">
        <f t="shared" si="9"/>
        <v>11341</v>
      </c>
      <c r="C13" s="276">
        <f t="shared" si="10"/>
        <v>0</v>
      </c>
      <c r="D13" s="503">
        <f t="shared" si="11"/>
        <v>598266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f t="shared" si="19"/>
        <v>13429</v>
      </c>
      <c r="S13" s="276">
        <f t="shared" si="4"/>
        <v>0</v>
      </c>
      <c r="T13" s="503">
        <f t="shared" si="20"/>
        <v>296753</v>
      </c>
      <c r="U13" s="276">
        <f t="shared" si="21"/>
        <v>0</v>
      </c>
      <c r="V13" s="276">
        <v>250</v>
      </c>
      <c r="W13" s="323"/>
      <c r="X13" s="584">
        <f t="shared" si="22"/>
        <v>13429</v>
      </c>
      <c r="Y13" s="276" t="str">
        <f t="shared" si="5"/>
        <v>ok</v>
      </c>
      <c r="Z13" s="276">
        <f t="shared" si="6"/>
        <v>0</v>
      </c>
      <c r="AA13" s="276">
        <f t="shared" si="23"/>
        <v>0</v>
      </c>
      <c r="AB13" s="276">
        <f t="shared" si="24"/>
        <v>250</v>
      </c>
      <c r="AC13" s="276">
        <f t="shared" si="25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6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7"/>
        <v>0</v>
      </c>
    </row>
    <row r="14" spans="1:38" ht="16.5" thickBot="1">
      <c r="A14" s="4">
        <f>ELEC!C15</f>
        <v>44573</v>
      </c>
      <c r="B14" s="502">
        <f t="shared" si="9"/>
        <v>11341</v>
      </c>
      <c r="C14" s="276">
        <f t="shared" si="10"/>
        <v>0</v>
      </c>
      <c r="D14" s="503">
        <f t="shared" si="11"/>
        <v>598266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13429</v>
      </c>
      <c r="S14" s="276">
        <f t="shared" si="4"/>
        <v>0</v>
      </c>
      <c r="T14" s="503">
        <f t="shared" si="20"/>
        <v>296753</v>
      </c>
      <c r="U14" s="276">
        <f t="shared" si="21"/>
        <v>0</v>
      </c>
      <c r="V14" s="276">
        <v>250</v>
      </c>
      <c r="W14" s="323"/>
      <c r="X14" s="584">
        <f t="shared" si="22"/>
        <v>13429</v>
      </c>
      <c r="Y14" s="276" t="str">
        <f t="shared" si="5"/>
        <v>ok</v>
      </c>
      <c r="Z14" s="276">
        <f t="shared" si="6"/>
        <v>0</v>
      </c>
      <c r="AA14" s="276">
        <f t="shared" si="23"/>
        <v>0</v>
      </c>
      <c r="AB14" s="276">
        <f t="shared" si="24"/>
        <v>250</v>
      </c>
      <c r="AC14" s="276">
        <f t="shared" si="25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6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7"/>
        <v>0</v>
      </c>
    </row>
    <row r="15" spans="1:38" ht="16.5" thickBot="1">
      <c r="A15" s="4">
        <f>ELEC!C16</f>
        <v>44574</v>
      </c>
      <c r="B15" s="502">
        <f t="shared" si="9"/>
        <v>11341</v>
      </c>
      <c r="C15" s="276">
        <f t="shared" si="10"/>
        <v>0</v>
      </c>
      <c r="D15" s="503">
        <f t="shared" si="11"/>
        <v>598266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13429</v>
      </c>
      <c r="S15" s="276">
        <f t="shared" si="4"/>
        <v>0</v>
      </c>
      <c r="T15" s="503">
        <f t="shared" si="20"/>
        <v>296753</v>
      </c>
      <c r="U15" s="276">
        <f t="shared" si="21"/>
        <v>0</v>
      </c>
      <c r="V15" s="276">
        <v>250</v>
      </c>
      <c r="W15" s="323"/>
      <c r="X15" s="584">
        <f t="shared" si="22"/>
        <v>13429</v>
      </c>
      <c r="Y15" s="276" t="str">
        <f t="shared" si="5"/>
        <v>ok</v>
      </c>
      <c r="Z15" s="276">
        <f t="shared" si="6"/>
        <v>0</v>
      </c>
      <c r="AA15" s="276">
        <f t="shared" si="23"/>
        <v>0</v>
      </c>
      <c r="AB15" s="276">
        <f t="shared" si="24"/>
        <v>250</v>
      </c>
      <c r="AC15" s="276">
        <f t="shared" si="25"/>
        <v>0</v>
      </c>
      <c r="AD15" s="73">
        <f>ELEC!Q16</f>
        <v>0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6"/>
        <v>#DIV/0!</v>
      </c>
      <c r="AI15" s="73">
        <f t="shared" si="31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7"/>
        <v>0</v>
      </c>
    </row>
    <row r="16" spans="1:38" ht="16.5" thickBot="1">
      <c r="A16" s="4">
        <f>ELEC!C17</f>
        <v>44575</v>
      </c>
      <c r="B16" s="502">
        <f t="shared" si="9"/>
        <v>11341</v>
      </c>
      <c r="C16" s="276">
        <f t="shared" si="10"/>
        <v>0</v>
      </c>
      <c r="D16" s="503">
        <f t="shared" si="11"/>
        <v>598266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11374</v>
      </c>
      <c r="I16" s="276" t="str">
        <f t="shared" si="1"/>
        <v>ok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13429</v>
      </c>
      <c r="S16" s="276">
        <f t="shared" si="4"/>
        <v>0</v>
      </c>
      <c r="T16" s="503">
        <f t="shared" si="20"/>
        <v>296753</v>
      </c>
      <c r="U16" s="276">
        <f t="shared" si="21"/>
        <v>0</v>
      </c>
      <c r="V16" s="276">
        <v>250</v>
      </c>
      <c r="W16" s="323"/>
      <c r="X16" s="584">
        <f t="shared" si="22"/>
        <v>13429</v>
      </c>
      <c r="Y16" s="276" t="str">
        <f t="shared" si="5"/>
        <v>ok</v>
      </c>
      <c r="Z16" s="276">
        <f t="shared" si="6"/>
        <v>0</v>
      </c>
      <c r="AA16" s="276">
        <f t="shared" si="23"/>
        <v>0</v>
      </c>
      <c r="AB16" s="276">
        <f t="shared" si="24"/>
        <v>250</v>
      </c>
      <c r="AC16" s="276">
        <f t="shared" si="25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7" t="e">
        <f t="shared" si="29"/>
        <v>#DIV/0!</v>
      </c>
      <c r="AH16" s="388" t="e">
        <f t="shared" si="26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7"/>
        <v>0</v>
      </c>
    </row>
    <row r="17" spans="1:38" ht="16.5" thickBot="1">
      <c r="A17" s="4">
        <f>ELEC!C18</f>
        <v>44576</v>
      </c>
      <c r="B17" s="502">
        <f t="shared" si="9"/>
        <v>11341</v>
      </c>
      <c r="C17" s="276">
        <f t="shared" si="10"/>
        <v>0</v>
      </c>
      <c r="D17" s="503">
        <f t="shared" si="11"/>
        <v>598266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ok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13429</v>
      </c>
      <c r="S17" s="276">
        <f t="shared" si="4"/>
        <v>0</v>
      </c>
      <c r="T17" s="503">
        <f t="shared" si="20"/>
        <v>296753</v>
      </c>
      <c r="U17" s="276">
        <f t="shared" si="21"/>
        <v>0</v>
      </c>
      <c r="V17" s="276">
        <v>250</v>
      </c>
      <c r="W17" s="323"/>
      <c r="X17" s="584">
        <f t="shared" si="22"/>
        <v>13429</v>
      </c>
      <c r="Y17" s="276" t="str">
        <f t="shared" si="5"/>
        <v>ok</v>
      </c>
      <c r="Z17" s="276">
        <f t="shared" si="6"/>
        <v>0</v>
      </c>
      <c r="AA17" s="276">
        <f t="shared" si="23"/>
        <v>0</v>
      </c>
      <c r="AB17" s="276">
        <f t="shared" si="24"/>
        <v>250</v>
      </c>
      <c r="AC17" s="276">
        <f t="shared" si="25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6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7"/>
        <v>0</v>
      </c>
    </row>
    <row r="18" spans="1:38" ht="16.5" thickBot="1">
      <c r="A18" s="4">
        <f>ELEC!C19</f>
        <v>44577</v>
      </c>
      <c r="B18" s="502">
        <f t="shared" si="9"/>
        <v>11341</v>
      </c>
      <c r="C18" s="276">
        <f t="shared" si="10"/>
        <v>0</v>
      </c>
      <c r="D18" s="503">
        <f t="shared" si="11"/>
        <v>598266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ok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13429</v>
      </c>
      <c r="S18" s="276">
        <f t="shared" si="4"/>
        <v>0</v>
      </c>
      <c r="T18" s="503">
        <f t="shared" si="20"/>
        <v>296753</v>
      </c>
      <c r="U18" s="276">
        <f t="shared" si="21"/>
        <v>0</v>
      </c>
      <c r="V18" s="276">
        <v>250</v>
      </c>
      <c r="W18" s="323"/>
      <c r="X18" s="584">
        <f t="shared" si="22"/>
        <v>13429</v>
      </c>
      <c r="Y18" s="276" t="str">
        <f t="shared" si="5"/>
        <v>ok</v>
      </c>
      <c r="Z18" s="276">
        <f t="shared" si="6"/>
        <v>0</v>
      </c>
      <c r="AA18" s="276">
        <f t="shared" si="23"/>
        <v>0</v>
      </c>
      <c r="AB18" s="276">
        <f t="shared" si="24"/>
        <v>250</v>
      </c>
      <c r="AC18" s="276">
        <f t="shared" si="25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6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7"/>
        <v>0</v>
      </c>
    </row>
    <row r="19" spans="1:38" ht="16.5" thickBot="1">
      <c r="A19" s="4">
        <f>ELEC!C20</f>
        <v>44578</v>
      </c>
      <c r="B19" s="502">
        <f t="shared" si="9"/>
        <v>11341</v>
      </c>
      <c r="C19" s="276">
        <f t="shared" si="10"/>
        <v>0</v>
      </c>
      <c r="D19" s="503">
        <f t="shared" si="11"/>
        <v>598266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11374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2">IF(J19-P19&lt;=0,"ok","oil change")</f>
        <v>ok</v>
      </c>
      <c r="R19" s="502">
        <f t="shared" si="19"/>
        <v>13429</v>
      </c>
      <c r="S19" s="276">
        <f t="shared" si="4"/>
        <v>0</v>
      </c>
      <c r="T19" s="503">
        <f t="shared" si="20"/>
        <v>296753</v>
      </c>
      <c r="U19" s="276">
        <f t="shared" si="21"/>
        <v>0</v>
      </c>
      <c r="V19" s="276">
        <v>250</v>
      </c>
      <c r="W19" s="323"/>
      <c r="X19" s="584">
        <f t="shared" si="22"/>
        <v>13429</v>
      </c>
      <c r="Y19" s="276" t="str">
        <f t="shared" si="5"/>
        <v>ok</v>
      </c>
      <c r="Z19" s="276">
        <f t="shared" si="6"/>
        <v>0</v>
      </c>
      <c r="AA19" s="276">
        <f t="shared" si="23"/>
        <v>0</v>
      </c>
      <c r="AB19" s="276">
        <f t="shared" si="24"/>
        <v>250</v>
      </c>
      <c r="AC19" s="276">
        <f t="shared" si="25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6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7"/>
        <v>0</v>
      </c>
    </row>
    <row r="20" spans="1:38" ht="16.5" thickBot="1">
      <c r="A20" s="4">
        <f>ELEC!C21</f>
        <v>44579</v>
      </c>
      <c r="B20" s="502">
        <f t="shared" si="9"/>
        <v>11341</v>
      </c>
      <c r="C20" s="276">
        <f>B20-B19</f>
        <v>0</v>
      </c>
      <c r="D20" s="503">
        <f t="shared" si="11"/>
        <v>598266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11374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2"/>
        <v>ok</v>
      </c>
      <c r="R20" s="502">
        <f t="shared" si="19"/>
        <v>13429</v>
      </c>
      <c r="S20" s="276">
        <f t="shared" si="4"/>
        <v>0</v>
      </c>
      <c r="T20" s="503">
        <f t="shared" si="20"/>
        <v>296753</v>
      </c>
      <c r="U20" s="276">
        <f t="shared" si="21"/>
        <v>0</v>
      </c>
      <c r="V20" s="276">
        <v>250</v>
      </c>
      <c r="W20" s="323"/>
      <c r="X20" s="584">
        <f t="shared" si="22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3"/>
        <v>0</v>
      </c>
      <c r="AB20" s="276">
        <f t="shared" si="24"/>
        <v>250</v>
      </c>
      <c r="AC20" s="276">
        <f t="shared" si="25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6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7"/>
        <v>0</v>
      </c>
    </row>
    <row r="21" spans="1:38" ht="16.5" thickBot="1">
      <c r="A21" s="4">
        <f>ELEC!C22</f>
        <v>44580</v>
      </c>
      <c r="B21" s="502">
        <f t="shared" si="9"/>
        <v>11341</v>
      </c>
      <c r="C21" s="276">
        <f>B21-B20</f>
        <v>0</v>
      </c>
      <c r="D21" s="503">
        <f t="shared" si="11"/>
        <v>598266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11374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2"/>
        <v>ok</v>
      </c>
      <c r="R21" s="502">
        <f t="shared" si="19"/>
        <v>13429</v>
      </c>
      <c r="S21" s="276">
        <f t="shared" si="4"/>
        <v>0</v>
      </c>
      <c r="T21" s="503">
        <f t="shared" si="20"/>
        <v>296753</v>
      </c>
      <c r="U21" s="276">
        <f t="shared" si="21"/>
        <v>0</v>
      </c>
      <c r="V21" s="276">
        <v>250</v>
      </c>
      <c r="W21" s="196"/>
      <c r="X21" s="584">
        <f t="shared" si="22"/>
        <v>13429</v>
      </c>
      <c r="Y21" s="276" t="str">
        <f>Y20</f>
        <v>ok</v>
      </c>
      <c r="Z21" s="276">
        <f t="shared" si="6"/>
        <v>0</v>
      </c>
      <c r="AA21" s="276">
        <f t="shared" si="23"/>
        <v>0</v>
      </c>
      <c r="AB21" s="276">
        <f t="shared" si="24"/>
        <v>250</v>
      </c>
      <c r="AC21" s="276">
        <f t="shared" si="25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6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7"/>
        <v>0</v>
      </c>
    </row>
    <row r="22" spans="1:38" ht="16.5" thickBot="1">
      <c r="A22" s="4">
        <f>ELEC!C23</f>
        <v>44581</v>
      </c>
      <c r="B22" s="502">
        <f t="shared" si="9"/>
        <v>11341</v>
      </c>
      <c r="C22" s="276">
        <f t="shared" si="10"/>
        <v>0</v>
      </c>
      <c r="D22" s="503">
        <f t="shared" si="11"/>
        <v>598266</v>
      </c>
      <c r="E22" s="276">
        <f>150*C22</f>
        <v>0</v>
      </c>
      <c r="F22" s="276">
        <f t="shared" si="0"/>
        <v>0</v>
      </c>
      <c r="G22" s="196"/>
      <c r="H22" s="260">
        <f t="shared" si="13"/>
        <v>11374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2"/>
        <v>ok</v>
      </c>
      <c r="R22" s="502">
        <f t="shared" si="19"/>
        <v>13429</v>
      </c>
      <c r="S22" s="276">
        <f t="shared" si="4"/>
        <v>0</v>
      </c>
      <c r="T22" s="503">
        <f t="shared" si="20"/>
        <v>296753</v>
      </c>
      <c r="U22" s="276">
        <f t="shared" si="21"/>
        <v>0</v>
      </c>
      <c r="V22" s="276">
        <v>250</v>
      </c>
      <c r="W22" s="196"/>
      <c r="X22" s="584">
        <f t="shared" si="22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3"/>
        <v>0</v>
      </c>
      <c r="AB22" s="276">
        <f t="shared" si="24"/>
        <v>250</v>
      </c>
      <c r="AC22" s="276">
        <f t="shared" si="25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6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7"/>
        <v>0</v>
      </c>
    </row>
    <row r="23" spans="1:38" ht="16.5" thickBot="1">
      <c r="A23" s="4">
        <f>ELEC!C24</f>
        <v>44582</v>
      </c>
      <c r="B23" s="502">
        <f t="shared" si="9"/>
        <v>11341</v>
      </c>
      <c r="C23" s="276">
        <f t="shared" si="10"/>
        <v>0</v>
      </c>
      <c r="D23" s="503">
        <f t="shared" si="11"/>
        <v>598266</v>
      </c>
      <c r="E23" s="276">
        <f>150*C23</f>
        <v>0</v>
      </c>
      <c r="F23" s="276">
        <f t="shared" si="0"/>
        <v>0</v>
      </c>
      <c r="G23" s="196"/>
      <c r="H23" s="260">
        <f t="shared" si="13"/>
        <v>11374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2"/>
        <v>ok</v>
      </c>
      <c r="R23" s="502">
        <f t="shared" si="19"/>
        <v>13429</v>
      </c>
      <c r="S23" s="276">
        <f>R23-R22</f>
        <v>0</v>
      </c>
      <c r="T23" s="503">
        <f t="shared" si="20"/>
        <v>296753</v>
      </c>
      <c r="U23" s="276">
        <f>V23*S23</f>
        <v>0</v>
      </c>
      <c r="V23" s="276">
        <v>250</v>
      </c>
      <c r="W23" s="196"/>
      <c r="X23" s="584">
        <f t="shared" si="22"/>
        <v>13429</v>
      </c>
      <c r="Y23" s="276" t="str">
        <f t="shared" si="34"/>
        <v>ok</v>
      </c>
      <c r="Z23" s="276">
        <f t="shared" si="6"/>
        <v>0</v>
      </c>
      <c r="AA23" s="276">
        <f t="shared" si="23"/>
        <v>0</v>
      </c>
      <c r="AB23" s="276">
        <f t="shared" si="24"/>
        <v>250</v>
      </c>
      <c r="AC23" s="276">
        <f t="shared" si="25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6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7"/>
        <v>0</v>
      </c>
    </row>
    <row r="24" spans="1:38" ht="16.5" thickBot="1">
      <c r="A24" s="4">
        <f>ELEC!C25</f>
        <v>44583</v>
      </c>
      <c r="B24" s="502">
        <f t="shared" si="9"/>
        <v>11341</v>
      </c>
      <c r="C24" s="276">
        <f t="shared" si="10"/>
        <v>0</v>
      </c>
      <c r="D24" s="503">
        <f t="shared" si="11"/>
        <v>598266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11374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2"/>
        <v>ok</v>
      </c>
      <c r="R24" s="502">
        <f t="shared" si="19"/>
        <v>13429</v>
      </c>
      <c r="S24" s="276">
        <f t="shared" si="4"/>
        <v>0</v>
      </c>
      <c r="T24" s="503">
        <f t="shared" si="20"/>
        <v>296753</v>
      </c>
      <c r="U24" s="276">
        <f t="shared" si="21"/>
        <v>0</v>
      </c>
      <c r="V24" s="276">
        <v>250</v>
      </c>
      <c r="W24" s="196"/>
      <c r="X24" s="584">
        <f t="shared" si="22"/>
        <v>13429</v>
      </c>
      <c r="Y24" s="276" t="str">
        <f t="shared" si="34"/>
        <v>ok</v>
      </c>
      <c r="Z24" s="276">
        <f t="shared" si="6"/>
        <v>0</v>
      </c>
      <c r="AA24" s="276">
        <f t="shared" si="23"/>
        <v>0</v>
      </c>
      <c r="AB24" s="276">
        <f t="shared" si="24"/>
        <v>250</v>
      </c>
      <c r="AC24" s="276">
        <f t="shared" si="25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6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7"/>
        <v>0</v>
      </c>
    </row>
    <row r="25" spans="1:38" ht="16.5" thickBot="1">
      <c r="A25" s="4">
        <f>ELEC!C26</f>
        <v>44584</v>
      </c>
      <c r="B25" s="502">
        <f t="shared" si="9"/>
        <v>11341</v>
      </c>
      <c r="C25" s="276">
        <f t="shared" si="10"/>
        <v>0</v>
      </c>
      <c r="D25" s="503">
        <f t="shared" si="11"/>
        <v>598266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11374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2"/>
        <v>ok</v>
      </c>
      <c r="R25" s="502">
        <f t="shared" si="19"/>
        <v>13429</v>
      </c>
      <c r="S25" s="276">
        <f t="shared" si="4"/>
        <v>0</v>
      </c>
      <c r="T25" s="503">
        <f t="shared" si="20"/>
        <v>296753</v>
      </c>
      <c r="U25" s="276">
        <f t="shared" si="21"/>
        <v>0</v>
      </c>
      <c r="V25" s="276">
        <v>250</v>
      </c>
      <c r="W25" s="196"/>
      <c r="X25" s="584">
        <f t="shared" si="22"/>
        <v>13429</v>
      </c>
      <c r="Y25" s="276" t="str">
        <f t="shared" si="34"/>
        <v>ok</v>
      </c>
      <c r="Z25" s="276">
        <f t="shared" si="6"/>
        <v>0</v>
      </c>
      <c r="AA25" s="276">
        <f t="shared" si="23"/>
        <v>0</v>
      </c>
      <c r="AB25" s="276">
        <f t="shared" si="24"/>
        <v>250</v>
      </c>
      <c r="AC25" s="276">
        <f t="shared" si="25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6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7"/>
        <v>0</v>
      </c>
    </row>
    <row r="26" spans="1:38" ht="16.5" thickBot="1">
      <c r="A26" s="4">
        <f>ELEC!C27</f>
        <v>44585</v>
      </c>
      <c r="B26" s="502">
        <f t="shared" si="9"/>
        <v>11341</v>
      </c>
      <c r="C26" s="276">
        <f>B26-B25</f>
        <v>0</v>
      </c>
      <c r="D26" s="503">
        <f t="shared" si="11"/>
        <v>598266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11374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2"/>
        <v>ok</v>
      </c>
      <c r="R26" s="502">
        <f t="shared" si="19"/>
        <v>13429</v>
      </c>
      <c r="S26" s="276">
        <f t="shared" ref="S26" si="35">R26-R25</f>
        <v>0</v>
      </c>
      <c r="T26" s="503">
        <f t="shared" si="20"/>
        <v>296753</v>
      </c>
      <c r="U26" s="276">
        <f t="shared" si="21"/>
        <v>0</v>
      </c>
      <c r="V26" s="276">
        <v>250</v>
      </c>
      <c r="W26" s="196"/>
      <c r="X26" s="584">
        <f t="shared" si="22"/>
        <v>13429</v>
      </c>
      <c r="Y26" s="276" t="str">
        <f t="shared" si="34"/>
        <v>ok</v>
      </c>
      <c r="Z26" s="276">
        <f t="shared" si="6"/>
        <v>0</v>
      </c>
      <c r="AA26" s="276">
        <f t="shared" si="23"/>
        <v>0</v>
      </c>
      <c r="AB26" s="276">
        <f t="shared" si="24"/>
        <v>250</v>
      </c>
      <c r="AC26" s="276">
        <f t="shared" si="25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6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7"/>
        <v>0</v>
      </c>
    </row>
    <row r="27" spans="1:38" ht="16.5" thickBot="1">
      <c r="A27" s="4">
        <f>ELEC!C28</f>
        <v>44586</v>
      </c>
      <c r="B27" s="502">
        <f t="shared" si="9"/>
        <v>11341</v>
      </c>
      <c r="C27" s="276">
        <f>B27-B26</f>
        <v>0</v>
      </c>
      <c r="D27" s="503">
        <f t="shared" si="11"/>
        <v>598266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3"/>
        <v>11374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2"/>
        <v>ok</v>
      </c>
      <c r="R27" s="502">
        <f t="shared" si="19"/>
        <v>13429</v>
      </c>
      <c r="S27" s="276">
        <f t="shared" si="4"/>
        <v>0</v>
      </c>
      <c r="T27" s="503">
        <f t="shared" si="20"/>
        <v>296753</v>
      </c>
      <c r="U27" s="276">
        <f t="shared" si="21"/>
        <v>0</v>
      </c>
      <c r="V27" s="276">
        <v>250</v>
      </c>
      <c r="W27" s="196"/>
      <c r="X27" s="584">
        <f t="shared" si="22"/>
        <v>13429</v>
      </c>
      <c r="Y27" s="276" t="str">
        <f t="shared" si="34"/>
        <v>ok</v>
      </c>
      <c r="Z27" s="276">
        <f t="shared" si="6"/>
        <v>0</v>
      </c>
      <c r="AA27" s="276">
        <f t="shared" si="23"/>
        <v>0</v>
      </c>
      <c r="AB27" s="276">
        <f t="shared" si="24"/>
        <v>250</v>
      </c>
      <c r="AC27" s="276">
        <f t="shared" si="25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6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7"/>
        <v>0</v>
      </c>
    </row>
    <row r="28" spans="1:38" ht="16.5" thickBot="1">
      <c r="A28" s="4">
        <f>ELEC!C29</f>
        <v>44587</v>
      </c>
      <c r="B28" s="502">
        <f t="shared" si="9"/>
        <v>11341</v>
      </c>
      <c r="C28" s="276">
        <f t="shared" si="10"/>
        <v>0</v>
      </c>
      <c r="D28" s="503">
        <f t="shared" si="11"/>
        <v>598266</v>
      </c>
      <c r="E28" s="276">
        <f t="shared" si="36"/>
        <v>0</v>
      </c>
      <c r="F28" s="276">
        <f t="shared" si="0"/>
        <v>0</v>
      </c>
      <c r="G28" s="274"/>
      <c r="H28" s="260">
        <f t="shared" si="13"/>
        <v>11374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2"/>
        <v>ok</v>
      </c>
      <c r="R28" s="502">
        <f t="shared" si="19"/>
        <v>13429</v>
      </c>
      <c r="S28" s="276">
        <f t="shared" si="4"/>
        <v>0</v>
      </c>
      <c r="T28" s="503">
        <f t="shared" si="20"/>
        <v>296753</v>
      </c>
      <c r="U28" s="276">
        <f t="shared" si="21"/>
        <v>0</v>
      </c>
      <c r="V28" s="276">
        <v>250</v>
      </c>
      <c r="W28" s="196"/>
      <c r="X28" s="584">
        <f t="shared" si="22"/>
        <v>13429</v>
      </c>
      <c r="Y28" s="276" t="str">
        <f t="shared" si="34"/>
        <v>ok</v>
      </c>
      <c r="Z28" s="276">
        <f t="shared" si="6"/>
        <v>0</v>
      </c>
      <c r="AA28" s="276">
        <f t="shared" si="23"/>
        <v>0</v>
      </c>
      <c r="AB28" s="276">
        <f t="shared" si="24"/>
        <v>250</v>
      </c>
      <c r="AC28" s="276">
        <f t="shared" si="25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6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7"/>
        <v>0</v>
      </c>
    </row>
    <row r="29" spans="1:38" ht="16.5" thickBot="1">
      <c r="A29" s="4">
        <f>ELEC!C30</f>
        <v>44588</v>
      </c>
      <c r="B29" s="502">
        <f t="shared" si="9"/>
        <v>11341</v>
      </c>
      <c r="C29" s="276">
        <f t="shared" si="10"/>
        <v>0</v>
      </c>
      <c r="D29" s="503">
        <f t="shared" si="11"/>
        <v>598266</v>
      </c>
      <c r="E29" s="276">
        <f t="shared" si="36"/>
        <v>0</v>
      </c>
      <c r="F29" s="276">
        <f t="shared" si="0"/>
        <v>0</v>
      </c>
      <c r="G29" s="196"/>
      <c r="H29" s="260">
        <f t="shared" si="13"/>
        <v>11374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2"/>
        <v>ok</v>
      </c>
      <c r="R29" s="502">
        <f t="shared" si="19"/>
        <v>13429</v>
      </c>
      <c r="S29" s="276">
        <f t="shared" si="4"/>
        <v>0</v>
      </c>
      <c r="T29" s="503">
        <f>T28+U29</f>
        <v>296753</v>
      </c>
      <c r="U29" s="276">
        <f>V29*S29</f>
        <v>0</v>
      </c>
      <c r="V29" s="276">
        <v>250</v>
      </c>
      <c r="W29" s="196"/>
      <c r="X29" s="584">
        <f t="shared" si="22"/>
        <v>13429</v>
      </c>
      <c r="Y29" s="276" t="str">
        <f t="shared" si="34"/>
        <v>ok</v>
      </c>
      <c r="Z29" s="276">
        <f t="shared" si="6"/>
        <v>0</v>
      </c>
      <c r="AA29" s="276">
        <f t="shared" si="23"/>
        <v>0</v>
      </c>
      <c r="AB29" s="276">
        <f t="shared" si="24"/>
        <v>250</v>
      </c>
      <c r="AC29" s="276">
        <f t="shared" si="25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6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7"/>
        <v>0</v>
      </c>
    </row>
    <row r="30" spans="1:38" ht="16.5" thickBot="1">
      <c r="A30" s="4">
        <f>ELEC!C31</f>
        <v>44589</v>
      </c>
      <c r="B30" s="502">
        <f t="shared" si="9"/>
        <v>11341</v>
      </c>
      <c r="C30" s="276">
        <f t="shared" si="10"/>
        <v>0</v>
      </c>
      <c r="D30" s="503">
        <f t="shared" si="11"/>
        <v>598266</v>
      </c>
      <c r="E30" s="276">
        <f t="shared" si="36"/>
        <v>0</v>
      </c>
      <c r="F30" s="276">
        <f t="shared" si="0"/>
        <v>0</v>
      </c>
      <c r="G30" s="196"/>
      <c r="H30" s="260">
        <f t="shared" si="13"/>
        <v>11374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2"/>
        <v>ok</v>
      </c>
      <c r="R30" s="502">
        <f t="shared" si="19"/>
        <v>13429</v>
      </c>
      <c r="S30" s="276">
        <f t="shared" si="4"/>
        <v>0</v>
      </c>
      <c r="T30" s="503">
        <f t="shared" si="20"/>
        <v>296753</v>
      </c>
      <c r="U30" s="276">
        <f t="shared" si="21"/>
        <v>0</v>
      </c>
      <c r="V30" s="276">
        <v>250</v>
      </c>
      <c r="W30" s="274"/>
      <c r="X30" s="584">
        <f t="shared" si="22"/>
        <v>13429</v>
      </c>
      <c r="Y30" s="276" t="str">
        <f t="shared" si="34"/>
        <v>ok</v>
      </c>
      <c r="Z30" s="276">
        <f t="shared" si="6"/>
        <v>0</v>
      </c>
      <c r="AA30" s="276">
        <f t="shared" si="23"/>
        <v>0</v>
      </c>
      <c r="AB30" s="276">
        <f t="shared" si="24"/>
        <v>250</v>
      </c>
      <c r="AC30" s="276">
        <f t="shared" si="25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6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7"/>
        <v>0</v>
      </c>
    </row>
    <row r="31" spans="1:38" ht="16.5" thickBot="1">
      <c r="A31" s="4">
        <f>ELEC!C32</f>
        <v>44590</v>
      </c>
      <c r="B31" s="502">
        <f t="shared" si="9"/>
        <v>11341</v>
      </c>
      <c r="C31" s="276">
        <f>B31-B30</f>
        <v>0</v>
      </c>
      <c r="D31" s="503">
        <f t="shared" si="11"/>
        <v>598266</v>
      </c>
      <c r="E31" s="276">
        <f t="shared" si="36"/>
        <v>0</v>
      </c>
      <c r="F31" s="276">
        <f>IF(C31&gt;0,E31/C31,0)</f>
        <v>0</v>
      </c>
      <c r="G31" s="323"/>
      <c r="H31" s="260">
        <f t="shared" si="13"/>
        <v>11374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13429</v>
      </c>
      <c r="S31" s="276">
        <f>R31-R30</f>
        <v>0</v>
      </c>
      <c r="T31" s="503">
        <f t="shared" si="20"/>
        <v>296753</v>
      </c>
      <c r="U31" s="276">
        <f t="shared" si="21"/>
        <v>0</v>
      </c>
      <c r="V31" s="276">
        <v>250</v>
      </c>
      <c r="W31" s="323"/>
      <c r="X31" s="584">
        <f t="shared" si="22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7"/>
        <v>0</v>
      </c>
    </row>
    <row r="32" spans="1:38" ht="16.5" thickBot="1">
      <c r="A32" s="4">
        <f>ELEC!C33</f>
        <v>44591</v>
      </c>
      <c r="B32" s="502">
        <f t="shared" si="9"/>
        <v>11341</v>
      </c>
      <c r="C32" s="276">
        <f>B32-B31</f>
        <v>0</v>
      </c>
      <c r="D32" s="503">
        <f t="shared" si="11"/>
        <v>598266</v>
      </c>
      <c r="E32" s="276">
        <f t="shared" si="36"/>
        <v>0</v>
      </c>
      <c r="F32" s="276">
        <f>IF(C32&gt;0,E32/C32,0)</f>
        <v>0</v>
      </c>
      <c r="G32" s="323"/>
      <c r="H32" s="260">
        <f t="shared" si="13"/>
        <v>11374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13429</v>
      </c>
      <c r="S32" s="276">
        <f>R32-R31</f>
        <v>0</v>
      </c>
      <c r="T32" s="503">
        <f t="shared" si="20"/>
        <v>296753</v>
      </c>
      <c r="U32" s="276">
        <f t="shared" si="21"/>
        <v>0</v>
      </c>
      <c r="V32" s="276">
        <v>250</v>
      </c>
      <c r="W32" s="323"/>
      <c r="X32" s="584">
        <f t="shared" si="22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7"/>
        <v>0</v>
      </c>
    </row>
    <row r="33" spans="1:38" ht="15.75">
      <c r="A33" s="4">
        <f>ELEC!C34</f>
        <v>44592</v>
      </c>
      <c r="B33" s="502">
        <f t="shared" si="9"/>
        <v>11341</v>
      </c>
      <c r="C33" s="276">
        <f>B33-B32</f>
        <v>0</v>
      </c>
      <c r="D33" s="503">
        <f t="shared" si="11"/>
        <v>598266</v>
      </c>
      <c r="E33" s="276">
        <f t="shared" si="36"/>
        <v>0</v>
      </c>
      <c r="F33" s="276">
        <f>IF(C33&gt;0,E33/C33,0)</f>
        <v>0</v>
      </c>
      <c r="G33" s="323"/>
      <c r="H33" s="260">
        <f t="shared" si="13"/>
        <v>11374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13429</v>
      </c>
      <c r="S33" s="276">
        <f>R33-R32</f>
        <v>0</v>
      </c>
      <c r="T33" s="503">
        <f t="shared" si="20"/>
        <v>296753</v>
      </c>
      <c r="U33" s="276">
        <f t="shared" si="21"/>
        <v>0</v>
      </c>
      <c r="V33" s="276">
        <v>251</v>
      </c>
      <c r="W33" s="323"/>
      <c r="X33" s="584">
        <f t="shared" si="22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7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22</v>
      </c>
      <c r="V34" s="40"/>
      <c r="X34">
        <v>341</v>
      </c>
      <c r="Z34" s="404">
        <f>SUM(Z3:Z33)</f>
        <v>22</v>
      </c>
      <c r="AF34" s="387">
        <f t="shared" si="38"/>
        <v>0</v>
      </c>
      <c r="AL34">
        <f>SUM(AL3:AL33)</f>
        <v>2</v>
      </c>
    </row>
    <row r="35" spans="1:38">
      <c r="C35" s="40">
        <f>SUM(C3:C33)</f>
        <v>13</v>
      </c>
      <c r="K35" s="40">
        <f>SUM(K3:K33)</f>
        <v>0</v>
      </c>
      <c r="S35" s="40">
        <f>SUM(S3:S33)</f>
        <v>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T7" sqref="AT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231</v>
      </c>
      <c r="AT3" s="644" t="s">
        <v>299</v>
      </c>
      <c r="AU3" s="645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5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-1</v>
      </c>
      <c r="AT6" s="340">
        <v>1</v>
      </c>
      <c r="AU6" s="549"/>
      <c r="AV6" s="485">
        <f>IF(AT6&gt;0,AU6,AV5)</f>
        <v>0</v>
      </c>
      <c r="AW6" s="279">
        <f>-SUM('B5'!AI5)</f>
        <v>0</v>
      </c>
      <c r="AX6" s="279">
        <f t="shared" ref="AX6:AX35" si="17">-SUM(AW6-AS6)</f>
        <v>-1</v>
      </c>
      <c r="AY6" s="37">
        <f>SUM(AX6+AW6)</f>
        <v>-1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-8.3333333333333329E-2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41"/>
        <v>13090</v>
      </c>
      <c r="AP11" s="525"/>
      <c r="AQ11" s="223">
        <f t="shared" si="37"/>
        <v>0.5990312518432932</v>
      </c>
      <c r="AR11" s="38">
        <f t="shared" si="38"/>
        <v>55691.93548387097</v>
      </c>
      <c r="AS11" s="197">
        <f t="shared" si="42"/>
        <v>0</v>
      </c>
      <c r="AT11" s="340"/>
      <c r="AU11" s="549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38" t="e">
        <f>GEN!AF8</f>
        <v>#DIV/0!</v>
      </c>
    </row>
    <row r="12" spans="1:63">
      <c r="A12" s="425">
        <f>ELEC!C10</f>
        <v>44568</v>
      </c>
      <c r="B12">
        <f>'B5'!B11</f>
        <v>180</v>
      </c>
      <c r="C12" s="203">
        <f t="shared" si="18"/>
        <v>3872.9032258064517</v>
      </c>
      <c r="D12">
        <f t="shared" si="19"/>
        <v>180</v>
      </c>
      <c r="E12" s="203">
        <f t="shared" si="18"/>
        <v>3872.9032258064517</v>
      </c>
      <c r="F12">
        <f t="shared" si="20"/>
        <v>180</v>
      </c>
      <c r="G12" s="203">
        <f t="shared" si="1"/>
        <v>3872.9032258064517</v>
      </c>
      <c r="H12" s="203">
        <f t="shared" si="21"/>
        <v>180</v>
      </c>
      <c r="I12" s="203">
        <f t="shared" si="2"/>
        <v>3872.9032258064517</v>
      </c>
      <c r="J12" s="203">
        <f t="shared" si="22"/>
        <v>180</v>
      </c>
      <c r="K12" s="203">
        <f t="shared" si="3"/>
        <v>3872.9032258064517</v>
      </c>
      <c r="L12" s="203">
        <f t="shared" si="23"/>
        <v>180</v>
      </c>
      <c r="M12" s="203">
        <f t="shared" si="4"/>
        <v>3872.9032258064517</v>
      </c>
      <c r="N12" s="203">
        <f t="shared" si="24"/>
        <v>180</v>
      </c>
      <c r="O12" s="203">
        <f t="shared" si="5"/>
        <v>3872.9032258064517</v>
      </c>
      <c r="P12" s="203">
        <f t="shared" si="25"/>
        <v>180</v>
      </c>
      <c r="Q12" s="203">
        <f t="shared" si="6"/>
        <v>3872.9032258064517</v>
      </c>
      <c r="R12" s="203">
        <f t="shared" si="26"/>
        <v>180</v>
      </c>
      <c r="S12" s="203">
        <f t="shared" si="7"/>
        <v>3872.9032258064517</v>
      </c>
      <c r="T12" s="203">
        <f t="shared" si="27"/>
        <v>180</v>
      </c>
      <c r="U12" s="203">
        <f t="shared" si="8"/>
        <v>3872.9032258064517</v>
      </c>
      <c r="V12" s="203">
        <f t="shared" si="28"/>
        <v>180</v>
      </c>
      <c r="W12" s="203">
        <f t="shared" si="9"/>
        <v>3872.9032258064517</v>
      </c>
      <c r="X12" s="35">
        <f t="shared" si="10"/>
        <v>0.58064516129032262</v>
      </c>
      <c r="Y12" s="36">
        <f t="shared" si="29"/>
        <v>42601.93548387097</v>
      </c>
      <c r="Z12" s="203">
        <f>'B5'!C11</f>
        <v>187</v>
      </c>
      <c r="AA12" s="203">
        <f t="shared" si="30"/>
        <v>1870</v>
      </c>
      <c r="AB12" s="203">
        <f t="shared" si="31"/>
        <v>187</v>
      </c>
      <c r="AC12" s="203">
        <f t="shared" si="30"/>
        <v>1870</v>
      </c>
      <c r="AD12" s="203">
        <f t="shared" si="32"/>
        <v>187</v>
      </c>
      <c r="AE12" s="203">
        <f t="shared" si="11"/>
        <v>1870</v>
      </c>
      <c r="AF12" s="203">
        <f t="shared" si="33"/>
        <v>187</v>
      </c>
      <c r="AG12" s="203">
        <f t="shared" si="12"/>
        <v>1870</v>
      </c>
      <c r="AH12" s="203">
        <f t="shared" si="34"/>
        <v>187</v>
      </c>
      <c r="AI12" s="203">
        <f t="shared" si="13"/>
        <v>1870</v>
      </c>
      <c r="AJ12" s="203">
        <f t="shared" si="35"/>
        <v>187</v>
      </c>
      <c r="AK12" s="203">
        <f t="shared" si="14"/>
        <v>1870</v>
      </c>
      <c r="AL12" s="203">
        <f t="shared" si="36"/>
        <v>187</v>
      </c>
      <c r="AM12" s="203">
        <f t="shared" si="15"/>
        <v>1870</v>
      </c>
      <c r="AN12" s="35">
        <f t="shared" si="16"/>
        <v>0.66785714285714282</v>
      </c>
      <c r="AO12" s="36">
        <f t="shared" si="41"/>
        <v>13090</v>
      </c>
      <c r="AP12" s="525"/>
      <c r="AQ12" s="223">
        <f t="shared" si="37"/>
        <v>0.5990312518432932</v>
      </c>
      <c r="AR12" s="38">
        <f t="shared" si="38"/>
        <v>55691.93548387097</v>
      </c>
      <c r="AS12" s="197">
        <f t="shared" si="42"/>
        <v>0</v>
      </c>
      <c r="AT12" s="340"/>
      <c r="AU12" s="549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180</v>
      </c>
      <c r="C13" s="203">
        <f t="shared" si="18"/>
        <v>3872.9032258064517</v>
      </c>
      <c r="D13">
        <f t="shared" si="19"/>
        <v>180</v>
      </c>
      <c r="E13" s="203">
        <f t="shared" si="18"/>
        <v>3872.9032258064517</v>
      </c>
      <c r="F13">
        <f t="shared" si="20"/>
        <v>180</v>
      </c>
      <c r="G13" s="203">
        <f t="shared" si="1"/>
        <v>3872.9032258064517</v>
      </c>
      <c r="H13" s="203">
        <f t="shared" si="21"/>
        <v>180</v>
      </c>
      <c r="I13" s="203">
        <f t="shared" si="2"/>
        <v>3872.9032258064517</v>
      </c>
      <c r="J13" s="203">
        <f t="shared" si="22"/>
        <v>180</v>
      </c>
      <c r="K13" s="203">
        <f t="shared" si="3"/>
        <v>3872.9032258064517</v>
      </c>
      <c r="L13" s="203">
        <f t="shared" si="23"/>
        <v>180</v>
      </c>
      <c r="M13" s="203">
        <f t="shared" si="4"/>
        <v>3872.9032258064517</v>
      </c>
      <c r="N13" s="203">
        <f t="shared" si="24"/>
        <v>180</v>
      </c>
      <c r="O13" s="203">
        <f t="shared" si="5"/>
        <v>3872.9032258064517</v>
      </c>
      <c r="P13" s="203">
        <f t="shared" si="25"/>
        <v>180</v>
      </c>
      <c r="Q13" s="203">
        <f t="shared" si="6"/>
        <v>3872.9032258064517</v>
      </c>
      <c r="R13" s="203">
        <f t="shared" si="26"/>
        <v>180</v>
      </c>
      <c r="S13" s="203">
        <f t="shared" si="7"/>
        <v>3872.9032258064517</v>
      </c>
      <c r="T13" s="203">
        <f t="shared" si="27"/>
        <v>180</v>
      </c>
      <c r="U13" s="203">
        <f t="shared" si="8"/>
        <v>3872.9032258064517</v>
      </c>
      <c r="V13" s="203">
        <f t="shared" si="28"/>
        <v>180</v>
      </c>
      <c r="W13" s="203">
        <f t="shared" si="9"/>
        <v>3872.9032258064517</v>
      </c>
      <c r="X13" s="35">
        <f t="shared" si="10"/>
        <v>0.58064516129032262</v>
      </c>
      <c r="Y13" s="36">
        <f t="shared" si="29"/>
        <v>42601.93548387097</v>
      </c>
      <c r="Z13" s="203">
        <f>'B5'!C12</f>
        <v>187</v>
      </c>
      <c r="AA13" s="203">
        <f t="shared" si="30"/>
        <v>1870</v>
      </c>
      <c r="AB13" s="203">
        <f t="shared" si="31"/>
        <v>187</v>
      </c>
      <c r="AC13" s="203">
        <f t="shared" si="30"/>
        <v>1870</v>
      </c>
      <c r="AD13" s="203">
        <f t="shared" si="32"/>
        <v>187</v>
      </c>
      <c r="AE13" s="203">
        <f t="shared" si="11"/>
        <v>1870</v>
      </c>
      <c r="AF13" s="203">
        <f t="shared" si="33"/>
        <v>187</v>
      </c>
      <c r="AG13" s="203">
        <f t="shared" si="12"/>
        <v>1870</v>
      </c>
      <c r="AH13" s="203">
        <f t="shared" si="34"/>
        <v>187</v>
      </c>
      <c r="AI13" s="203">
        <f t="shared" si="13"/>
        <v>1870</v>
      </c>
      <c r="AJ13" s="203">
        <f t="shared" si="35"/>
        <v>187</v>
      </c>
      <c r="AK13" s="203">
        <f t="shared" si="14"/>
        <v>1870</v>
      </c>
      <c r="AL13" s="203">
        <f t="shared" si="36"/>
        <v>187</v>
      </c>
      <c r="AM13" s="203">
        <f t="shared" si="15"/>
        <v>1870</v>
      </c>
      <c r="AN13" s="35">
        <f t="shared" si="16"/>
        <v>0.66785714285714282</v>
      </c>
      <c r="AO13" s="36">
        <f t="shared" si="41"/>
        <v>13090</v>
      </c>
      <c r="AP13" s="525"/>
      <c r="AQ13" s="223">
        <f t="shared" si="37"/>
        <v>0.5990312518432932</v>
      </c>
      <c r="AR13" s="38">
        <f t="shared" si="38"/>
        <v>55691.93548387097</v>
      </c>
      <c r="AS13" s="197">
        <f t="shared" si="42"/>
        <v>0</v>
      </c>
      <c r="AT13" s="340"/>
      <c r="AU13" s="549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180</v>
      </c>
      <c r="C14" s="203">
        <f t="shared" si="18"/>
        <v>3872.9032258064517</v>
      </c>
      <c r="D14">
        <f t="shared" si="19"/>
        <v>180</v>
      </c>
      <c r="E14" s="203">
        <f t="shared" si="18"/>
        <v>3872.9032258064517</v>
      </c>
      <c r="F14">
        <f t="shared" si="20"/>
        <v>180</v>
      </c>
      <c r="G14" s="203">
        <f t="shared" si="1"/>
        <v>3872.9032258064517</v>
      </c>
      <c r="H14" s="203">
        <f t="shared" si="21"/>
        <v>180</v>
      </c>
      <c r="I14" s="203">
        <f t="shared" si="2"/>
        <v>3872.9032258064517</v>
      </c>
      <c r="J14" s="203">
        <f t="shared" si="22"/>
        <v>180</v>
      </c>
      <c r="K14" s="203">
        <f t="shared" si="3"/>
        <v>3872.9032258064517</v>
      </c>
      <c r="L14" s="203">
        <f t="shared" si="23"/>
        <v>180</v>
      </c>
      <c r="M14" s="203">
        <f t="shared" si="4"/>
        <v>3872.9032258064517</v>
      </c>
      <c r="N14" s="203">
        <f t="shared" si="24"/>
        <v>180</v>
      </c>
      <c r="O14" s="203">
        <f t="shared" si="5"/>
        <v>3872.9032258064517</v>
      </c>
      <c r="P14" s="203">
        <f t="shared" si="25"/>
        <v>180</v>
      </c>
      <c r="Q14" s="203">
        <f t="shared" si="6"/>
        <v>3872.9032258064517</v>
      </c>
      <c r="R14" s="203">
        <f t="shared" si="26"/>
        <v>180</v>
      </c>
      <c r="S14" s="203">
        <f t="shared" si="7"/>
        <v>3872.9032258064517</v>
      </c>
      <c r="T14" s="203">
        <f t="shared" si="27"/>
        <v>180</v>
      </c>
      <c r="U14" s="203">
        <f t="shared" si="8"/>
        <v>3872.9032258064517</v>
      </c>
      <c r="V14" s="203">
        <f t="shared" si="28"/>
        <v>180</v>
      </c>
      <c r="W14" s="203">
        <f t="shared" si="9"/>
        <v>3872.9032258064517</v>
      </c>
      <c r="X14" s="35">
        <f t="shared" si="10"/>
        <v>0.58064516129032262</v>
      </c>
      <c r="Y14" s="36">
        <f t="shared" si="29"/>
        <v>42601.93548387097</v>
      </c>
      <c r="Z14" s="203">
        <f>'B5'!C13</f>
        <v>187</v>
      </c>
      <c r="AA14" s="203">
        <f t="shared" si="30"/>
        <v>1870</v>
      </c>
      <c r="AB14" s="203">
        <f t="shared" si="31"/>
        <v>187</v>
      </c>
      <c r="AC14" s="203">
        <f t="shared" si="30"/>
        <v>1870</v>
      </c>
      <c r="AD14" s="203">
        <f t="shared" si="32"/>
        <v>187</v>
      </c>
      <c r="AE14" s="203">
        <f t="shared" si="11"/>
        <v>1870</v>
      </c>
      <c r="AF14" s="203">
        <f t="shared" si="33"/>
        <v>187</v>
      </c>
      <c r="AG14" s="203">
        <f t="shared" si="12"/>
        <v>1870</v>
      </c>
      <c r="AH14" s="203">
        <f t="shared" si="34"/>
        <v>187</v>
      </c>
      <c r="AI14" s="203">
        <f t="shared" si="13"/>
        <v>1870</v>
      </c>
      <c r="AJ14" s="203">
        <f t="shared" si="35"/>
        <v>187</v>
      </c>
      <c r="AK14" s="203">
        <f t="shared" si="14"/>
        <v>1870</v>
      </c>
      <c r="AL14" s="203">
        <f t="shared" si="36"/>
        <v>187</v>
      </c>
      <c r="AM14" s="203">
        <f t="shared" si="15"/>
        <v>1870</v>
      </c>
      <c r="AN14" s="35">
        <f t="shared" si="16"/>
        <v>0.66785714285714282</v>
      </c>
      <c r="AO14" s="36">
        <f t="shared" si="41"/>
        <v>13090</v>
      </c>
      <c r="AQ14" s="223">
        <f t="shared" si="37"/>
        <v>0.5990312518432932</v>
      </c>
      <c r="AR14" s="38">
        <f t="shared" si="38"/>
        <v>55691.93548387097</v>
      </c>
      <c r="AS14" s="197">
        <f t="shared" si="42"/>
        <v>0</v>
      </c>
      <c r="AT14" s="340"/>
      <c r="AU14" s="549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44571</v>
      </c>
      <c r="B15">
        <f>'B5'!B14</f>
        <v>180</v>
      </c>
      <c r="C15" s="203">
        <f>B15*$B$4</f>
        <v>3872.9032258064517</v>
      </c>
      <c r="D15">
        <f t="shared" si="19"/>
        <v>180</v>
      </c>
      <c r="E15" s="203">
        <f t="shared" si="18"/>
        <v>3872.9032258064517</v>
      </c>
      <c r="F15">
        <f t="shared" si="20"/>
        <v>180</v>
      </c>
      <c r="G15" s="203">
        <f t="shared" si="1"/>
        <v>3872.9032258064517</v>
      </c>
      <c r="H15" s="203">
        <f t="shared" si="21"/>
        <v>180</v>
      </c>
      <c r="I15" s="203">
        <f t="shared" si="2"/>
        <v>3872.9032258064517</v>
      </c>
      <c r="J15" s="203">
        <f t="shared" si="22"/>
        <v>180</v>
      </c>
      <c r="K15" s="203">
        <f t="shared" si="3"/>
        <v>3872.9032258064517</v>
      </c>
      <c r="L15" s="203">
        <f t="shared" si="23"/>
        <v>180</v>
      </c>
      <c r="M15" s="203">
        <f t="shared" si="4"/>
        <v>3872.9032258064517</v>
      </c>
      <c r="N15" s="203">
        <f t="shared" si="24"/>
        <v>180</v>
      </c>
      <c r="O15" s="203">
        <f t="shared" si="5"/>
        <v>3872.9032258064517</v>
      </c>
      <c r="P15" s="203">
        <f t="shared" si="25"/>
        <v>180</v>
      </c>
      <c r="Q15" s="203">
        <f t="shared" si="6"/>
        <v>3872.9032258064517</v>
      </c>
      <c r="R15" s="203">
        <f t="shared" si="26"/>
        <v>180</v>
      </c>
      <c r="S15" s="203">
        <f t="shared" si="7"/>
        <v>3872.9032258064517</v>
      </c>
      <c r="T15" s="203">
        <f t="shared" si="27"/>
        <v>180</v>
      </c>
      <c r="U15" s="203">
        <f t="shared" si="8"/>
        <v>3872.9032258064517</v>
      </c>
      <c r="V15" s="203">
        <f t="shared" si="28"/>
        <v>180</v>
      </c>
      <c r="W15" s="203">
        <f t="shared" si="9"/>
        <v>3872.9032258064517</v>
      </c>
      <c r="X15" s="35">
        <f t="shared" si="10"/>
        <v>0.58064516129032262</v>
      </c>
      <c r="Y15" s="36">
        <f t="shared" si="29"/>
        <v>42601.93548387097</v>
      </c>
      <c r="Z15" s="203">
        <f>'B5'!C14</f>
        <v>187</v>
      </c>
      <c r="AA15" s="203">
        <f t="shared" si="30"/>
        <v>1870</v>
      </c>
      <c r="AB15" s="203">
        <f t="shared" si="31"/>
        <v>187</v>
      </c>
      <c r="AC15" s="203">
        <f t="shared" si="30"/>
        <v>1870</v>
      </c>
      <c r="AD15" s="203">
        <f t="shared" si="32"/>
        <v>187</v>
      </c>
      <c r="AE15" s="203">
        <f t="shared" si="11"/>
        <v>1870</v>
      </c>
      <c r="AF15" s="203">
        <f t="shared" si="33"/>
        <v>187</v>
      </c>
      <c r="AG15" s="203">
        <f t="shared" si="12"/>
        <v>1870</v>
      </c>
      <c r="AH15" s="203">
        <f t="shared" si="34"/>
        <v>187</v>
      </c>
      <c r="AI15" s="203">
        <f t="shared" si="13"/>
        <v>1870</v>
      </c>
      <c r="AJ15" s="203">
        <f t="shared" si="35"/>
        <v>187</v>
      </c>
      <c r="AK15" s="203">
        <f t="shared" si="14"/>
        <v>1870</v>
      </c>
      <c r="AL15" s="203">
        <f t="shared" si="36"/>
        <v>187</v>
      </c>
      <c r="AM15" s="203">
        <f t="shared" si="15"/>
        <v>1870</v>
      </c>
      <c r="AN15" s="35">
        <f t="shared" si="16"/>
        <v>0.66785714285714282</v>
      </c>
      <c r="AO15" s="36">
        <f t="shared" si="41"/>
        <v>13090</v>
      </c>
      <c r="AQ15" s="223">
        <f t="shared" si="37"/>
        <v>0.5990312518432932</v>
      </c>
      <c r="AR15" s="38">
        <f t="shared" si="38"/>
        <v>55691.93548387097</v>
      </c>
      <c r="AS15" s="197">
        <f t="shared" si="42"/>
        <v>0</v>
      </c>
      <c r="AT15" s="340"/>
      <c r="AU15" s="549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44572</v>
      </c>
      <c r="B16">
        <f>'B5'!B15</f>
        <v>180</v>
      </c>
      <c r="C16" s="203">
        <f t="shared" si="18"/>
        <v>3872.9032258064517</v>
      </c>
      <c r="D16">
        <f t="shared" si="19"/>
        <v>180</v>
      </c>
      <c r="E16" s="203">
        <f t="shared" si="18"/>
        <v>3872.9032258064517</v>
      </c>
      <c r="F16">
        <f t="shared" si="20"/>
        <v>180</v>
      </c>
      <c r="G16" s="203">
        <f t="shared" si="1"/>
        <v>3872.9032258064517</v>
      </c>
      <c r="H16" s="203">
        <f t="shared" si="21"/>
        <v>180</v>
      </c>
      <c r="I16" s="203">
        <f t="shared" si="2"/>
        <v>3872.9032258064517</v>
      </c>
      <c r="J16" s="203">
        <f t="shared" si="22"/>
        <v>180</v>
      </c>
      <c r="K16" s="203">
        <f t="shared" si="3"/>
        <v>3872.9032258064517</v>
      </c>
      <c r="L16" s="203">
        <f t="shared" si="23"/>
        <v>180</v>
      </c>
      <c r="M16" s="203">
        <f t="shared" si="4"/>
        <v>3872.9032258064517</v>
      </c>
      <c r="N16" s="203">
        <f t="shared" si="24"/>
        <v>180</v>
      </c>
      <c r="O16" s="203">
        <f t="shared" si="5"/>
        <v>3872.9032258064517</v>
      </c>
      <c r="P16" s="203">
        <f t="shared" si="25"/>
        <v>180</v>
      </c>
      <c r="Q16" s="203">
        <f t="shared" si="6"/>
        <v>3872.9032258064517</v>
      </c>
      <c r="R16" s="203">
        <f t="shared" si="26"/>
        <v>180</v>
      </c>
      <c r="S16" s="203">
        <f t="shared" si="7"/>
        <v>3872.9032258064517</v>
      </c>
      <c r="T16" s="203">
        <f t="shared" si="27"/>
        <v>180</v>
      </c>
      <c r="U16" s="203">
        <f t="shared" si="8"/>
        <v>3872.9032258064517</v>
      </c>
      <c r="V16" s="203">
        <f t="shared" si="28"/>
        <v>180</v>
      </c>
      <c r="W16" s="203">
        <f t="shared" si="9"/>
        <v>3872.9032258064517</v>
      </c>
      <c r="X16" s="35">
        <f t="shared" si="10"/>
        <v>0.58064516129032262</v>
      </c>
      <c r="Y16" s="36">
        <f t="shared" si="29"/>
        <v>42601.93548387097</v>
      </c>
      <c r="Z16" s="203">
        <f>'B5'!C15</f>
        <v>187</v>
      </c>
      <c r="AA16" s="203">
        <f t="shared" si="30"/>
        <v>1870</v>
      </c>
      <c r="AB16" s="203">
        <f t="shared" si="31"/>
        <v>187</v>
      </c>
      <c r="AC16" s="203">
        <f t="shared" si="30"/>
        <v>1870</v>
      </c>
      <c r="AD16" s="203">
        <f t="shared" si="32"/>
        <v>187</v>
      </c>
      <c r="AE16" s="203">
        <f t="shared" si="11"/>
        <v>1870</v>
      </c>
      <c r="AF16" s="203">
        <f t="shared" si="33"/>
        <v>187</v>
      </c>
      <c r="AG16" s="203">
        <f t="shared" si="12"/>
        <v>1870</v>
      </c>
      <c r="AH16" s="203">
        <f t="shared" si="34"/>
        <v>187</v>
      </c>
      <c r="AI16" s="203">
        <f t="shared" si="13"/>
        <v>1870</v>
      </c>
      <c r="AJ16" s="203">
        <f t="shared" si="35"/>
        <v>187</v>
      </c>
      <c r="AK16" s="203">
        <f t="shared" si="14"/>
        <v>1870</v>
      </c>
      <c r="AL16" s="203">
        <f t="shared" si="36"/>
        <v>187</v>
      </c>
      <c r="AM16" s="203">
        <f t="shared" si="15"/>
        <v>1870</v>
      </c>
      <c r="AN16" s="35">
        <f t="shared" si="16"/>
        <v>0.66785714285714282</v>
      </c>
      <c r="AO16" s="36">
        <f t="shared" si="41"/>
        <v>13090</v>
      </c>
      <c r="AQ16" s="223">
        <f t="shared" si="37"/>
        <v>0.5990312518432932</v>
      </c>
      <c r="AR16" s="38">
        <f t="shared" si="38"/>
        <v>55691.93548387097</v>
      </c>
      <c r="AS16" s="197">
        <f t="shared" si="42"/>
        <v>0</v>
      </c>
      <c r="AT16" s="340"/>
      <c r="AU16" s="549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44573</v>
      </c>
      <c r="B17">
        <f>'B5'!B16</f>
        <v>180</v>
      </c>
      <c r="C17" s="203">
        <f t="shared" si="18"/>
        <v>3872.9032258064517</v>
      </c>
      <c r="D17">
        <f t="shared" si="19"/>
        <v>180</v>
      </c>
      <c r="E17" s="203">
        <f t="shared" si="18"/>
        <v>3872.9032258064517</v>
      </c>
      <c r="F17">
        <f t="shared" si="20"/>
        <v>180</v>
      </c>
      <c r="G17" s="203">
        <f t="shared" si="1"/>
        <v>3872.9032258064517</v>
      </c>
      <c r="H17" s="203">
        <f t="shared" si="21"/>
        <v>180</v>
      </c>
      <c r="I17" s="203">
        <f t="shared" si="2"/>
        <v>3872.9032258064517</v>
      </c>
      <c r="J17" s="203">
        <f t="shared" si="22"/>
        <v>180</v>
      </c>
      <c r="K17" s="203">
        <f t="shared" si="3"/>
        <v>3872.9032258064517</v>
      </c>
      <c r="L17" s="203">
        <f t="shared" si="23"/>
        <v>180</v>
      </c>
      <c r="M17" s="203">
        <f t="shared" si="4"/>
        <v>3872.9032258064517</v>
      </c>
      <c r="N17" s="203">
        <f t="shared" si="24"/>
        <v>180</v>
      </c>
      <c r="O17" s="203">
        <f t="shared" si="5"/>
        <v>3872.9032258064517</v>
      </c>
      <c r="P17" s="203">
        <f t="shared" si="25"/>
        <v>180</v>
      </c>
      <c r="Q17" s="203">
        <f t="shared" si="6"/>
        <v>3872.9032258064517</v>
      </c>
      <c r="R17" s="203">
        <f t="shared" si="26"/>
        <v>180</v>
      </c>
      <c r="S17" s="203">
        <f t="shared" si="7"/>
        <v>3872.9032258064517</v>
      </c>
      <c r="T17" s="203">
        <f t="shared" si="27"/>
        <v>180</v>
      </c>
      <c r="U17" s="203">
        <f t="shared" si="8"/>
        <v>3872.9032258064517</v>
      </c>
      <c r="V17" s="203">
        <f t="shared" si="28"/>
        <v>180</v>
      </c>
      <c r="W17" s="203">
        <f t="shared" si="9"/>
        <v>3872.9032258064517</v>
      </c>
      <c r="X17" s="35">
        <f t="shared" si="10"/>
        <v>0.58064516129032262</v>
      </c>
      <c r="Y17" s="36">
        <f t="shared" si="29"/>
        <v>42601.93548387097</v>
      </c>
      <c r="Z17" s="203">
        <f>'B5'!C16</f>
        <v>187</v>
      </c>
      <c r="AA17" s="203">
        <f t="shared" si="30"/>
        <v>1870</v>
      </c>
      <c r="AB17" s="203">
        <f t="shared" si="31"/>
        <v>187</v>
      </c>
      <c r="AC17" s="203">
        <f t="shared" si="30"/>
        <v>1870</v>
      </c>
      <c r="AD17" s="203">
        <f t="shared" si="32"/>
        <v>187</v>
      </c>
      <c r="AE17" s="203">
        <f t="shared" si="11"/>
        <v>1870</v>
      </c>
      <c r="AF17" s="203">
        <f t="shared" si="33"/>
        <v>187</v>
      </c>
      <c r="AG17" s="203">
        <f t="shared" si="12"/>
        <v>1870</v>
      </c>
      <c r="AH17" s="203">
        <f t="shared" si="34"/>
        <v>187</v>
      </c>
      <c r="AI17" s="203">
        <f t="shared" si="13"/>
        <v>1870</v>
      </c>
      <c r="AJ17" s="203">
        <f t="shared" si="35"/>
        <v>187</v>
      </c>
      <c r="AK17" s="203">
        <f t="shared" si="14"/>
        <v>1870</v>
      </c>
      <c r="AL17" s="203">
        <f t="shared" si="36"/>
        <v>187</v>
      </c>
      <c r="AM17" s="203">
        <f t="shared" si="15"/>
        <v>1870</v>
      </c>
      <c r="AN17" s="35">
        <f t="shared" si="16"/>
        <v>0.66785714285714282</v>
      </c>
      <c r="AO17" s="36">
        <f>SUM(AA17+AC17+AE17+AG17+AI17+AK17+AM17)</f>
        <v>13090</v>
      </c>
      <c r="AQ17" s="223">
        <f t="shared" si="37"/>
        <v>0.5990312518432932</v>
      </c>
      <c r="AR17" s="38">
        <f t="shared" si="38"/>
        <v>55691.93548387097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180</v>
      </c>
      <c r="C18" s="203">
        <f t="shared" si="18"/>
        <v>3872.9032258064517</v>
      </c>
      <c r="D18">
        <f t="shared" si="19"/>
        <v>180</v>
      </c>
      <c r="E18" s="203">
        <f t="shared" si="18"/>
        <v>3872.9032258064517</v>
      </c>
      <c r="F18">
        <f t="shared" si="20"/>
        <v>180</v>
      </c>
      <c r="G18" s="203">
        <f t="shared" si="1"/>
        <v>3872.9032258064517</v>
      </c>
      <c r="H18" s="203">
        <f t="shared" si="21"/>
        <v>180</v>
      </c>
      <c r="I18" s="203">
        <f t="shared" si="2"/>
        <v>3872.9032258064517</v>
      </c>
      <c r="J18" s="203">
        <f t="shared" si="22"/>
        <v>180</v>
      </c>
      <c r="K18" s="203">
        <f t="shared" si="3"/>
        <v>3872.9032258064517</v>
      </c>
      <c r="L18" s="203">
        <f t="shared" si="23"/>
        <v>180</v>
      </c>
      <c r="M18" s="203">
        <f t="shared" si="4"/>
        <v>3872.9032258064517</v>
      </c>
      <c r="N18" s="203">
        <f t="shared" si="24"/>
        <v>180</v>
      </c>
      <c r="O18" s="203">
        <f t="shared" si="5"/>
        <v>3872.9032258064517</v>
      </c>
      <c r="P18" s="203">
        <f t="shared" si="25"/>
        <v>180</v>
      </c>
      <c r="Q18" s="203">
        <f t="shared" si="6"/>
        <v>3872.9032258064517</v>
      </c>
      <c r="R18" s="203">
        <f t="shared" si="26"/>
        <v>180</v>
      </c>
      <c r="S18" s="203">
        <f t="shared" si="7"/>
        <v>3872.9032258064517</v>
      </c>
      <c r="T18" s="203">
        <f t="shared" si="27"/>
        <v>180</v>
      </c>
      <c r="U18" s="203">
        <f t="shared" si="8"/>
        <v>3872.9032258064517</v>
      </c>
      <c r="V18" s="203">
        <f t="shared" si="28"/>
        <v>180</v>
      </c>
      <c r="W18" s="203">
        <f t="shared" si="9"/>
        <v>3872.9032258064517</v>
      </c>
      <c r="X18" s="35">
        <f t="shared" si="10"/>
        <v>0.58064516129032262</v>
      </c>
      <c r="Y18" s="36">
        <f t="shared" si="29"/>
        <v>42601.93548387097</v>
      </c>
      <c r="Z18" s="203">
        <f>'B5'!C17</f>
        <v>187</v>
      </c>
      <c r="AA18" s="203">
        <f t="shared" si="30"/>
        <v>1870</v>
      </c>
      <c r="AB18" s="203">
        <f t="shared" si="31"/>
        <v>187</v>
      </c>
      <c r="AC18" s="203">
        <f t="shared" si="30"/>
        <v>1870</v>
      </c>
      <c r="AD18" s="203">
        <f t="shared" si="32"/>
        <v>187</v>
      </c>
      <c r="AE18" s="203">
        <f t="shared" si="11"/>
        <v>1870</v>
      </c>
      <c r="AF18" s="203">
        <f t="shared" si="33"/>
        <v>187</v>
      </c>
      <c r="AG18" s="203">
        <f t="shared" si="12"/>
        <v>1870</v>
      </c>
      <c r="AH18" s="203">
        <f t="shared" si="34"/>
        <v>187</v>
      </c>
      <c r="AI18" s="203">
        <f t="shared" si="13"/>
        <v>1870</v>
      </c>
      <c r="AJ18" s="203">
        <f t="shared" si="35"/>
        <v>187</v>
      </c>
      <c r="AK18" s="203">
        <f t="shared" si="14"/>
        <v>1870</v>
      </c>
      <c r="AL18" s="203">
        <f t="shared" si="36"/>
        <v>187</v>
      </c>
      <c r="AM18" s="203">
        <f t="shared" si="15"/>
        <v>1870</v>
      </c>
      <c r="AN18" s="35">
        <f t="shared" si="16"/>
        <v>0.66785714285714282</v>
      </c>
      <c r="AO18" s="36">
        <f t="shared" si="41"/>
        <v>13090</v>
      </c>
      <c r="AQ18" s="223">
        <f t="shared" si="37"/>
        <v>0.5990312518432932</v>
      </c>
      <c r="AR18" s="38">
        <f t="shared" si="38"/>
        <v>55691.93548387097</v>
      </c>
      <c r="AS18" s="197">
        <f>SUM(AR18-AR17-AT18)</f>
        <v>0</v>
      </c>
      <c r="AT18" s="340"/>
      <c r="AU18" s="549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180</v>
      </c>
      <c r="C19" s="203">
        <f t="shared" si="18"/>
        <v>3872.9032258064517</v>
      </c>
      <c r="D19">
        <f t="shared" si="19"/>
        <v>180</v>
      </c>
      <c r="E19" s="203">
        <f t="shared" si="18"/>
        <v>3872.9032258064517</v>
      </c>
      <c r="F19">
        <f t="shared" si="20"/>
        <v>180</v>
      </c>
      <c r="G19" s="203">
        <f t="shared" si="1"/>
        <v>3872.9032258064517</v>
      </c>
      <c r="H19" s="203">
        <f t="shared" si="21"/>
        <v>180</v>
      </c>
      <c r="I19" s="203">
        <f t="shared" si="2"/>
        <v>3872.9032258064517</v>
      </c>
      <c r="J19" s="203">
        <f t="shared" si="22"/>
        <v>180</v>
      </c>
      <c r="K19" s="203">
        <f t="shared" si="3"/>
        <v>3872.9032258064517</v>
      </c>
      <c r="L19" s="203">
        <f t="shared" si="23"/>
        <v>180</v>
      </c>
      <c r="M19" s="203">
        <f t="shared" si="4"/>
        <v>3872.9032258064517</v>
      </c>
      <c r="N19" s="203">
        <f t="shared" si="24"/>
        <v>180</v>
      </c>
      <c r="O19" s="203">
        <f t="shared" si="5"/>
        <v>3872.9032258064517</v>
      </c>
      <c r="P19" s="203">
        <f t="shared" si="25"/>
        <v>180</v>
      </c>
      <c r="Q19" s="203">
        <f t="shared" si="6"/>
        <v>3872.9032258064517</v>
      </c>
      <c r="R19" s="203">
        <f t="shared" si="26"/>
        <v>180</v>
      </c>
      <c r="S19" s="203">
        <f t="shared" si="7"/>
        <v>3872.9032258064517</v>
      </c>
      <c r="T19" s="203">
        <f t="shared" si="27"/>
        <v>180</v>
      </c>
      <c r="U19" s="203">
        <f t="shared" si="8"/>
        <v>3872.9032258064517</v>
      </c>
      <c r="V19" s="203">
        <f t="shared" si="28"/>
        <v>180</v>
      </c>
      <c r="W19" s="203">
        <f t="shared" si="9"/>
        <v>3872.9032258064517</v>
      </c>
      <c r="X19" s="35">
        <f t="shared" si="10"/>
        <v>0.58064516129032262</v>
      </c>
      <c r="Y19" s="36">
        <f t="shared" si="29"/>
        <v>42601.93548387097</v>
      </c>
      <c r="Z19" s="203">
        <f>'B5'!C18</f>
        <v>187</v>
      </c>
      <c r="AA19" s="203">
        <f t="shared" si="30"/>
        <v>1870</v>
      </c>
      <c r="AB19" s="203">
        <f t="shared" si="31"/>
        <v>187</v>
      </c>
      <c r="AC19" s="203">
        <f t="shared" si="30"/>
        <v>1870</v>
      </c>
      <c r="AD19" s="203">
        <f t="shared" si="32"/>
        <v>187</v>
      </c>
      <c r="AE19" s="203">
        <f t="shared" si="11"/>
        <v>1870</v>
      </c>
      <c r="AF19" s="203">
        <f t="shared" si="33"/>
        <v>187</v>
      </c>
      <c r="AG19" s="203">
        <f t="shared" si="12"/>
        <v>1870</v>
      </c>
      <c r="AH19" s="203">
        <f t="shared" si="34"/>
        <v>187</v>
      </c>
      <c r="AI19" s="203">
        <f t="shared" si="13"/>
        <v>1870</v>
      </c>
      <c r="AJ19" s="203">
        <f t="shared" si="35"/>
        <v>187</v>
      </c>
      <c r="AK19" s="203">
        <f t="shared" si="14"/>
        <v>1870</v>
      </c>
      <c r="AL19" s="203">
        <f t="shared" si="36"/>
        <v>187</v>
      </c>
      <c r="AM19" s="203">
        <f t="shared" si="15"/>
        <v>1870</v>
      </c>
      <c r="AN19" s="35">
        <f t="shared" si="16"/>
        <v>0.66785714285714282</v>
      </c>
      <c r="AO19" s="36">
        <f t="shared" si="41"/>
        <v>13090</v>
      </c>
      <c r="AQ19" s="223">
        <f t="shared" si="37"/>
        <v>0.5990312518432932</v>
      </c>
      <c r="AR19" s="38">
        <f t="shared" si="38"/>
        <v>55691.93548387097</v>
      </c>
      <c r="AS19" s="197">
        <f t="shared" ref="AS19:AS36" si="47">SUM(AR19-AR18-AT19)</f>
        <v>0</v>
      </c>
      <c r="AT19" s="340"/>
      <c r="AU19" s="549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44576</v>
      </c>
      <c r="B20">
        <f>'B5'!B19</f>
        <v>180</v>
      </c>
      <c r="C20" s="203">
        <f t="shared" si="18"/>
        <v>3872.9032258064517</v>
      </c>
      <c r="D20">
        <f t="shared" si="19"/>
        <v>180</v>
      </c>
      <c r="E20" s="203">
        <f t="shared" si="18"/>
        <v>3872.9032258064517</v>
      </c>
      <c r="F20">
        <f t="shared" si="20"/>
        <v>180</v>
      </c>
      <c r="G20" s="203">
        <f t="shared" si="1"/>
        <v>3872.9032258064517</v>
      </c>
      <c r="H20" s="203">
        <f t="shared" si="21"/>
        <v>180</v>
      </c>
      <c r="I20" s="203">
        <f t="shared" si="2"/>
        <v>3872.9032258064517</v>
      </c>
      <c r="J20" s="203">
        <f t="shared" si="22"/>
        <v>180</v>
      </c>
      <c r="K20" s="203">
        <f t="shared" si="3"/>
        <v>3872.9032258064517</v>
      </c>
      <c r="L20" s="203">
        <f t="shared" si="23"/>
        <v>180</v>
      </c>
      <c r="M20" s="203">
        <f t="shared" si="4"/>
        <v>3872.9032258064517</v>
      </c>
      <c r="N20" s="203">
        <f t="shared" si="24"/>
        <v>180</v>
      </c>
      <c r="O20" s="203">
        <f t="shared" si="5"/>
        <v>3872.9032258064517</v>
      </c>
      <c r="P20" s="203">
        <f t="shared" si="25"/>
        <v>180</v>
      </c>
      <c r="Q20" s="203">
        <f t="shared" si="6"/>
        <v>3872.9032258064517</v>
      </c>
      <c r="R20" s="203">
        <f t="shared" si="26"/>
        <v>180</v>
      </c>
      <c r="S20" s="203">
        <f t="shared" si="7"/>
        <v>3872.9032258064517</v>
      </c>
      <c r="T20" s="203">
        <f t="shared" si="27"/>
        <v>180</v>
      </c>
      <c r="U20" s="203">
        <f t="shared" si="8"/>
        <v>3872.9032258064517</v>
      </c>
      <c r="V20" s="203">
        <f t="shared" si="28"/>
        <v>180</v>
      </c>
      <c r="W20" s="203">
        <f t="shared" si="9"/>
        <v>3872.9032258064517</v>
      </c>
      <c r="X20" s="35">
        <f t="shared" si="10"/>
        <v>0.58064516129032262</v>
      </c>
      <c r="Y20" s="36">
        <f t="shared" si="29"/>
        <v>42601.93548387097</v>
      </c>
      <c r="Z20" s="203">
        <f>'B5'!C19</f>
        <v>187</v>
      </c>
      <c r="AA20" s="203">
        <f t="shared" si="30"/>
        <v>1870</v>
      </c>
      <c r="AB20" s="203">
        <f t="shared" si="31"/>
        <v>187</v>
      </c>
      <c r="AC20" s="203">
        <f t="shared" si="30"/>
        <v>1870</v>
      </c>
      <c r="AD20" s="203">
        <f t="shared" si="32"/>
        <v>187</v>
      </c>
      <c r="AE20" s="203">
        <f t="shared" si="11"/>
        <v>1870</v>
      </c>
      <c r="AF20" s="203">
        <f t="shared" si="33"/>
        <v>187</v>
      </c>
      <c r="AG20" s="203">
        <f t="shared" si="12"/>
        <v>1870</v>
      </c>
      <c r="AH20" s="203">
        <f t="shared" si="34"/>
        <v>187</v>
      </c>
      <c r="AI20" s="203">
        <f t="shared" si="13"/>
        <v>1870</v>
      </c>
      <c r="AJ20" s="203">
        <f t="shared" si="35"/>
        <v>187</v>
      </c>
      <c r="AK20" s="203">
        <f t="shared" si="14"/>
        <v>1870</v>
      </c>
      <c r="AL20" s="203">
        <f t="shared" si="36"/>
        <v>187</v>
      </c>
      <c r="AM20" s="203">
        <f t="shared" si="15"/>
        <v>1870</v>
      </c>
      <c r="AN20" s="35">
        <f t="shared" si="16"/>
        <v>0.66785714285714282</v>
      </c>
      <c r="AO20" s="36">
        <f t="shared" si="41"/>
        <v>13090</v>
      </c>
      <c r="AQ20" s="223">
        <f t="shared" si="37"/>
        <v>0.5990312518432932</v>
      </c>
      <c r="AR20" s="38">
        <f t="shared" si="38"/>
        <v>55691.93548387097</v>
      </c>
      <c r="AS20" s="197">
        <f t="shared" si="47"/>
        <v>0</v>
      </c>
      <c r="AT20" s="340"/>
      <c r="AU20" s="549"/>
      <c r="AV20" s="485">
        <f t="shared" si="45"/>
        <v>0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180</v>
      </c>
      <c r="C21" s="203">
        <f t="shared" si="18"/>
        <v>3872.9032258064517</v>
      </c>
      <c r="D21">
        <f t="shared" si="19"/>
        <v>180</v>
      </c>
      <c r="E21" s="203">
        <f t="shared" si="18"/>
        <v>3872.9032258064517</v>
      </c>
      <c r="F21">
        <f t="shared" si="20"/>
        <v>180</v>
      </c>
      <c r="G21" s="203">
        <f t="shared" si="1"/>
        <v>3872.9032258064517</v>
      </c>
      <c r="H21" s="203">
        <f t="shared" si="21"/>
        <v>180</v>
      </c>
      <c r="I21" s="203">
        <f t="shared" si="2"/>
        <v>3872.9032258064517</v>
      </c>
      <c r="J21" s="203">
        <f t="shared" si="22"/>
        <v>180</v>
      </c>
      <c r="K21" s="203">
        <f t="shared" si="3"/>
        <v>3872.9032258064517</v>
      </c>
      <c r="L21" s="203">
        <f t="shared" si="23"/>
        <v>180</v>
      </c>
      <c r="M21" s="203">
        <f t="shared" si="4"/>
        <v>3872.9032258064517</v>
      </c>
      <c r="N21" s="203">
        <f t="shared" si="24"/>
        <v>180</v>
      </c>
      <c r="O21" s="203">
        <f t="shared" si="5"/>
        <v>3872.9032258064517</v>
      </c>
      <c r="P21" s="203">
        <f t="shared" si="25"/>
        <v>180</v>
      </c>
      <c r="Q21" s="203">
        <f t="shared" si="6"/>
        <v>3872.9032258064517</v>
      </c>
      <c r="R21" s="203">
        <f t="shared" si="26"/>
        <v>180</v>
      </c>
      <c r="S21" s="203">
        <f t="shared" si="7"/>
        <v>3872.9032258064517</v>
      </c>
      <c r="T21" s="203">
        <f t="shared" si="27"/>
        <v>180</v>
      </c>
      <c r="U21" s="203">
        <f t="shared" si="8"/>
        <v>3872.9032258064517</v>
      </c>
      <c r="V21" s="203">
        <f t="shared" si="28"/>
        <v>180</v>
      </c>
      <c r="W21" s="203">
        <f t="shared" si="9"/>
        <v>3872.9032258064517</v>
      </c>
      <c r="X21" s="35">
        <f t="shared" si="10"/>
        <v>0.58064516129032262</v>
      </c>
      <c r="Y21" s="36">
        <f t="shared" si="29"/>
        <v>42601.93548387097</v>
      </c>
      <c r="Z21" s="203">
        <f>'B5'!C20</f>
        <v>187</v>
      </c>
      <c r="AA21" s="203">
        <f t="shared" si="30"/>
        <v>1870</v>
      </c>
      <c r="AB21" s="203">
        <f t="shared" si="31"/>
        <v>187</v>
      </c>
      <c r="AC21" s="203">
        <f t="shared" si="30"/>
        <v>1870</v>
      </c>
      <c r="AD21" s="203">
        <f t="shared" si="32"/>
        <v>187</v>
      </c>
      <c r="AE21" s="203">
        <f t="shared" si="11"/>
        <v>1870</v>
      </c>
      <c r="AF21" s="203">
        <f t="shared" si="33"/>
        <v>187</v>
      </c>
      <c r="AG21" s="203">
        <f t="shared" si="12"/>
        <v>1870</v>
      </c>
      <c r="AH21" s="203">
        <f t="shared" si="34"/>
        <v>187</v>
      </c>
      <c r="AI21" s="203">
        <f t="shared" si="13"/>
        <v>1870</v>
      </c>
      <c r="AJ21" s="203">
        <f t="shared" si="35"/>
        <v>187</v>
      </c>
      <c r="AK21" s="203">
        <f t="shared" si="14"/>
        <v>1870</v>
      </c>
      <c r="AL21" s="203">
        <f t="shared" si="36"/>
        <v>187</v>
      </c>
      <c r="AM21" s="203">
        <f t="shared" si="15"/>
        <v>1870</v>
      </c>
      <c r="AN21" s="35">
        <f t="shared" si="16"/>
        <v>0.66785714285714282</v>
      </c>
      <c r="AO21" s="36">
        <f t="shared" si="41"/>
        <v>13090</v>
      </c>
      <c r="AQ21" s="223">
        <f t="shared" si="37"/>
        <v>0.5990312518432932</v>
      </c>
      <c r="AR21" s="38">
        <f t="shared" si="38"/>
        <v>55691.93548387097</v>
      </c>
      <c r="AS21" s="197">
        <f t="shared" si="47"/>
        <v>0</v>
      </c>
      <c r="AT21" s="340"/>
      <c r="AU21" s="549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44578</v>
      </c>
      <c r="B22">
        <f>'B5'!B21</f>
        <v>180</v>
      </c>
      <c r="C22" s="203">
        <f t="shared" si="18"/>
        <v>3872.9032258064517</v>
      </c>
      <c r="D22">
        <f t="shared" si="19"/>
        <v>180</v>
      </c>
      <c r="E22" s="203">
        <f t="shared" si="18"/>
        <v>3872.9032258064517</v>
      </c>
      <c r="F22">
        <f t="shared" si="20"/>
        <v>180</v>
      </c>
      <c r="G22" s="203">
        <f t="shared" si="1"/>
        <v>3872.9032258064517</v>
      </c>
      <c r="H22" s="203">
        <f t="shared" si="21"/>
        <v>180</v>
      </c>
      <c r="I22" s="203">
        <f t="shared" si="2"/>
        <v>3872.9032258064517</v>
      </c>
      <c r="J22" s="203">
        <f t="shared" si="22"/>
        <v>180</v>
      </c>
      <c r="K22" s="203">
        <f t="shared" si="3"/>
        <v>3872.9032258064517</v>
      </c>
      <c r="L22" s="203">
        <f t="shared" si="23"/>
        <v>180</v>
      </c>
      <c r="M22" s="203">
        <f t="shared" si="4"/>
        <v>3872.9032258064517</v>
      </c>
      <c r="N22" s="203">
        <f t="shared" si="24"/>
        <v>180</v>
      </c>
      <c r="O22" s="203">
        <f t="shared" si="5"/>
        <v>3872.9032258064517</v>
      </c>
      <c r="P22" s="203">
        <f t="shared" si="25"/>
        <v>180</v>
      </c>
      <c r="Q22" s="203">
        <f t="shared" si="6"/>
        <v>3872.9032258064517</v>
      </c>
      <c r="R22" s="203">
        <f t="shared" si="26"/>
        <v>180</v>
      </c>
      <c r="S22" s="203">
        <f t="shared" si="7"/>
        <v>3872.9032258064517</v>
      </c>
      <c r="T22" s="203">
        <f t="shared" si="27"/>
        <v>180</v>
      </c>
      <c r="U22" s="203">
        <f t="shared" si="8"/>
        <v>3872.9032258064517</v>
      </c>
      <c r="V22" s="203">
        <f t="shared" si="28"/>
        <v>180</v>
      </c>
      <c r="W22" s="203">
        <f t="shared" si="9"/>
        <v>3872.9032258064517</v>
      </c>
      <c r="X22" s="35">
        <f t="shared" si="10"/>
        <v>0.58064516129032262</v>
      </c>
      <c r="Y22" s="36">
        <f t="shared" si="29"/>
        <v>42601.93548387097</v>
      </c>
      <c r="Z22" s="203">
        <f>'B5'!C21</f>
        <v>187</v>
      </c>
      <c r="AA22" s="203">
        <f t="shared" si="30"/>
        <v>1870</v>
      </c>
      <c r="AB22" s="203">
        <f t="shared" si="31"/>
        <v>187</v>
      </c>
      <c r="AC22" s="203">
        <f t="shared" si="30"/>
        <v>1870</v>
      </c>
      <c r="AD22" s="203">
        <f t="shared" si="32"/>
        <v>187</v>
      </c>
      <c r="AE22" s="203">
        <f t="shared" si="11"/>
        <v>1870</v>
      </c>
      <c r="AF22" s="203">
        <f t="shared" si="33"/>
        <v>187</v>
      </c>
      <c r="AG22" s="203">
        <f t="shared" si="12"/>
        <v>1870</v>
      </c>
      <c r="AH22" s="203">
        <f t="shared" si="34"/>
        <v>187</v>
      </c>
      <c r="AI22" s="203">
        <f t="shared" si="13"/>
        <v>1870</v>
      </c>
      <c r="AJ22" s="203">
        <f t="shared" si="35"/>
        <v>187</v>
      </c>
      <c r="AK22" s="203">
        <f t="shared" si="14"/>
        <v>1870</v>
      </c>
      <c r="AL22" s="203">
        <f t="shared" si="36"/>
        <v>187</v>
      </c>
      <c r="AM22" s="203">
        <f t="shared" si="15"/>
        <v>1870</v>
      </c>
      <c r="AN22" s="35">
        <f t="shared" si="16"/>
        <v>0.66785714285714282</v>
      </c>
      <c r="AO22" s="36">
        <f t="shared" si="41"/>
        <v>13090</v>
      </c>
      <c r="AQ22" s="223">
        <f t="shared" si="37"/>
        <v>0.5990312518432932</v>
      </c>
      <c r="AR22" s="38">
        <f t="shared" si="38"/>
        <v>55691.93548387097</v>
      </c>
      <c r="AS22" s="197">
        <f t="shared" si="47"/>
        <v>0</v>
      </c>
      <c r="AT22" s="340"/>
      <c r="AU22" s="549"/>
      <c r="AV22" s="485">
        <f t="shared" si="43"/>
        <v>0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44579</v>
      </c>
      <c r="B23">
        <f>'B5'!B22</f>
        <v>180</v>
      </c>
      <c r="C23" s="203">
        <f t="shared" si="18"/>
        <v>3872.9032258064517</v>
      </c>
      <c r="D23">
        <f t="shared" si="19"/>
        <v>180</v>
      </c>
      <c r="E23" s="203">
        <f t="shared" si="18"/>
        <v>3872.9032258064517</v>
      </c>
      <c r="F23">
        <f t="shared" si="20"/>
        <v>180</v>
      </c>
      <c r="G23" s="203">
        <f t="shared" si="1"/>
        <v>3872.9032258064517</v>
      </c>
      <c r="H23" s="203">
        <f t="shared" si="21"/>
        <v>180</v>
      </c>
      <c r="I23" s="203">
        <f t="shared" si="2"/>
        <v>3872.9032258064517</v>
      </c>
      <c r="J23" s="203">
        <f t="shared" si="22"/>
        <v>180</v>
      </c>
      <c r="K23" s="203">
        <f t="shared" si="3"/>
        <v>3872.9032258064517</v>
      </c>
      <c r="L23" s="203">
        <f t="shared" si="23"/>
        <v>180</v>
      </c>
      <c r="M23" s="203">
        <f t="shared" si="4"/>
        <v>3872.9032258064517</v>
      </c>
      <c r="N23" s="203">
        <f t="shared" si="24"/>
        <v>180</v>
      </c>
      <c r="O23" s="203">
        <f t="shared" si="5"/>
        <v>3872.9032258064517</v>
      </c>
      <c r="P23" s="203">
        <f t="shared" si="25"/>
        <v>180</v>
      </c>
      <c r="Q23" s="203">
        <f t="shared" si="6"/>
        <v>3872.9032258064517</v>
      </c>
      <c r="R23" s="203">
        <f t="shared" si="26"/>
        <v>180</v>
      </c>
      <c r="S23" s="203">
        <f t="shared" si="7"/>
        <v>3872.9032258064517</v>
      </c>
      <c r="T23" s="203">
        <f t="shared" si="27"/>
        <v>180</v>
      </c>
      <c r="U23" s="203">
        <f t="shared" si="8"/>
        <v>3872.9032258064517</v>
      </c>
      <c r="V23" s="203">
        <f t="shared" si="28"/>
        <v>180</v>
      </c>
      <c r="W23" s="203">
        <f t="shared" si="9"/>
        <v>3872.9032258064517</v>
      </c>
      <c r="X23" s="35">
        <f t="shared" si="10"/>
        <v>0.58064516129032262</v>
      </c>
      <c r="Y23" s="36">
        <f t="shared" si="29"/>
        <v>42601.93548387097</v>
      </c>
      <c r="Z23" s="203">
        <f>'B5'!C22</f>
        <v>187</v>
      </c>
      <c r="AA23" s="203">
        <f t="shared" si="30"/>
        <v>1870</v>
      </c>
      <c r="AB23" s="203">
        <f t="shared" si="31"/>
        <v>187</v>
      </c>
      <c r="AC23" s="203">
        <f t="shared" si="30"/>
        <v>1870</v>
      </c>
      <c r="AD23" s="203">
        <f t="shared" si="32"/>
        <v>187</v>
      </c>
      <c r="AE23" s="203">
        <f t="shared" si="11"/>
        <v>1870</v>
      </c>
      <c r="AF23" s="203">
        <f t="shared" si="33"/>
        <v>187</v>
      </c>
      <c r="AG23" s="203">
        <f t="shared" si="12"/>
        <v>1870</v>
      </c>
      <c r="AH23" s="203">
        <f t="shared" si="34"/>
        <v>187</v>
      </c>
      <c r="AI23" s="203">
        <f t="shared" si="13"/>
        <v>1870</v>
      </c>
      <c r="AJ23" s="203">
        <f t="shared" si="35"/>
        <v>187</v>
      </c>
      <c r="AK23" s="203">
        <f t="shared" si="14"/>
        <v>1870</v>
      </c>
      <c r="AL23" s="203">
        <f t="shared" si="36"/>
        <v>187</v>
      </c>
      <c r="AM23" s="203">
        <f t="shared" si="15"/>
        <v>1870</v>
      </c>
      <c r="AN23" s="35">
        <f t="shared" si="16"/>
        <v>0.66785714285714282</v>
      </c>
      <c r="AO23" s="36">
        <f t="shared" si="41"/>
        <v>13090</v>
      </c>
      <c r="AQ23" s="223">
        <f t="shared" si="37"/>
        <v>0.5990312518432932</v>
      </c>
      <c r="AR23" s="38">
        <f t="shared" si="38"/>
        <v>55691.93548387097</v>
      </c>
      <c r="AS23" s="197">
        <f t="shared" si="47"/>
        <v>0</v>
      </c>
      <c r="AT23" s="340"/>
      <c r="AU23" s="549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44580</v>
      </c>
      <c r="B24">
        <f>'B5'!B23</f>
        <v>180</v>
      </c>
      <c r="C24" s="203">
        <f t="shared" si="18"/>
        <v>3872.9032258064517</v>
      </c>
      <c r="D24">
        <f t="shared" si="19"/>
        <v>180</v>
      </c>
      <c r="E24" s="203">
        <f t="shared" si="18"/>
        <v>3872.9032258064517</v>
      </c>
      <c r="F24">
        <f t="shared" si="20"/>
        <v>180</v>
      </c>
      <c r="G24" s="203">
        <f t="shared" si="1"/>
        <v>3872.9032258064517</v>
      </c>
      <c r="H24" s="203">
        <f t="shared" si="21"/>
        <v>180</v>
      </c>
      <c r="I24" s="203">
        <f t="shared" si="2"/>
        <v>3872.9032258064517</v>
      </c>
      <c r="J24" s="203">
        <f t="shared" si="22"/>
        <v>180</v>
      </c>
      <c r="K24" s="203">
        <f t="shared" si="3"/>
        <v>3872.9032258064517</v>
      </c>
      <c r="L24" s="203">
        <f t="shared" si="23"/>
        <v>180</v>
      </c>
      <c r="M24" s="203">
        <f t="shared" si="4"/>
        <v>3872.9032258064517</v>
      </c>
      <c r="N24" s="203">
        <f t="shared" si="24"/>
        <v>180</v>
      </c>
      <c r="O24" s="203">
        <f t="shared" si="5"/>
        <v>3872.9032258064517</v>
      </c>
      <c r="P24" s="203">
        <f t="shared" si="25"/>
        <v>180</v>
      </c>
      <c r="Q24" s="203">
        <f t="shared" si="6"/>
        <v>3872.9032258064517</v>
      </c>
      <c r="R24" s="203">
        <f t="shared" si="26"/>
        <v>180</v>
      </c>
      <c r="S24" s="203">
        <f t="shared" si="7"/>
        <v>3872.9032258064517</v>
      </c>
      <c r="T24" s="203">
        <f t="shared" si="27"/>
        <v>180</v>
      </c>
      <c r="U24" s="203">
        <f t="shared" si="8"/>
        <v>3872.9032258064517</v>
      </c>
      <c r="V24" s="203">
        <f t="shared" si="28"/>
        <v>180</v>
      </c>
      <c r="W24" s="203">
        <f t="shared" si="9"/>
        <v>3872.9032258064517</v>
      </c>
      <c r="X24" s="35">
        <f t="shared" si="10"/>
        <v>0.58064516129032262</v>
      </c>
      <c r="Y24" s="36">
        <f t="shared" si="29"/>
        <v>42601.93548387097</v>
      </c>
      <c r="Z24" s="203">
        <f>'B5'!C23</f>
        <v>187</v>
      </c>
      <c r="AA24" s="203">
        <f t="shared" si="30"/>
        <v>1870</v>
      </c>
      <c r="AB24" s="203">
        <f t="shared" si="31"/>
        <v>187</v>
      </c>
      <c r="AC24" s="203">
        <f t="shared" si="30"/>
        <v>1870</v>
      </c>
      <c r="AD24" s="203">
        <f t="shared" si="32"/>
        <v>187</v>
      </c>
      <c r="AE24" s="203">
        <f t="shared" si="11"/>
        <v>1870</v>
      </c>
      <c r="AF24" s="203">
        <f t="shared" si="33"/>
        <v>187</v>
      </c>
      <c r="AG24" s="203">
        <f t="shared" si="12"/>
        <v>1870</v>
      </c>
      <c r="AH24" s="203">
        <f t="shared" si="34"/>
        <v>187</v>
      </c>
      <c r="AI24" s="203">
        <f t="shared" si="13"/>
        <v>1870</v>
      </c>
      <c r="AJ24" s="203">
        <f t="shared" si="35"/>
        <v>187</v>
      </c>
      <c r="AK24" s="203">
        <f t="shared" si="14"/>
        <v>1870</v>
      </c>
      <c r="AL24" s="203">
        <f t="shared" si="36"/>
        <v>187</v>
      </c>
      <c r="AM24" s="203">
        <f t="shared" si="15"/>
        <v>1870</v>
      </c>
      <c r="AN24" s="35">
        <f t="shared" si="16"/>
        <v>0.66785714285714282</v>
      </c>
      <c r="AO24" s="36">
        <f t="shared" si="41"/>
        <v>13090</v>
      </c>
      <c r="AQ24" s="223">
        <f t="shared" si="37"/>
        <v>0.5990312518432932</v>
      </c>
      <c r="AR24" s="38">
        <f t="shared" si="38"/>
        <v>55691.93548387097</v>
      </c>
      <c r="AS24" s="197">
        <f t="shared" si="47"/>
        <v>0</v>
      </c>
      <c r="AT24" s="340"/>
      <c r="AU24" s="549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44581</v>
      </c>
      <c r="B25">
        <f>'B5'!B24</f>
        <v>180</v>
      </c>
      <c r="C25" s="203">
        <f t="shared" si="18"/>
        <v>3872.9032258064517</v>
      </c>
      <c r="D25">
        <f t="shared" si="19"/>
        <v>180</v>
      </c>
      <c r="E25" s="203">
        <f t="shared" si="18"/>
        <v>3872.9032258064517</v>
      </c>
      <c r="F25">
        <f t="shared" si="20"/>
        <v>180</v>
      </c>
      <c r="G25" s="203">
        <f t="shared" si="1"/>
        <v>3872.9032258064517</v>
      </c>
      <c r="H25" s="203">
        <f t="shared" si="21"/>
        <v>180</v>
      </c>
      <c r="I25" s="203">
        <f t="shared" si="2"/>
        <v>3872.9032258064517</v>
      </c>
      <c r="J25" s="203">
        <f t="shared" si="22"/>
        <v>180</v>
      </c>
      <c r="K25" s="203">
        <f t="shared" si="3"/>
        <v>3872.9032258064517</v>
      </c>
      <c r="L25" s="203">
        <f t="shared" si="23"/>
        <v>180</v>
      </c>
      <c r="M25" s="203">
        <f t="shared" si="4"/>
        <v>3872.9032258064517</v>
      </c>
      <c r="N25" s="203">
        <f t="shared" si="24"/>
        <v>180</v>
      </c>
      <c r="O25" s="203">
        <f t="shared" si="5"/>
        <v>3872.9032258064517</v>
      </c>
      <c r="P25" s="203">
        <f t="shared" si="25"/>
        <v>180</v>
      </c>
      <c r="Q25" s="203">
        <f t="shared" si="6"/>
        <v>3872.9032258064517</v>
      </c>
      <c r="R25" s="203">
        <f t="shared" si="26"/>
        <v>180</v>
      </c>
      <c r="S25" s="203">
        <f t="shared" si="7"/>
        <v>3872.9032258064517</v>
      </c>
      <c r="T25" s="203">
        <f t="shared" si="27"/>
        <v>180</v>
      </c>
      <c r="U25" s="203">
        <f t="shared" si="8"/>
        <v>3872.9032258064517</v>
      </c>
      <c r="V25" s="203">
        <f t="shared" si="28"/>
        <v>180</v>
      </c>
      <c r="W25" s="203">
        <f t="shared" si="9"/>
        <v>3872.9032258064517</v>
      </c>
      <c r="X25" s="35">
        <f t="shared" si="10"/>
        <v>0.58064516129032262</v>
      </c>
      <c r="Y25" s="36">
        <f t="shared" si="29"/>
        <v>42601.93548387097</v>
      </c>
      <c r="Z25" s="203">
        <f>'B5'!C24</f>
        <v>187</v>
      </c>
      <c r="AA25" s="203">
        <f t="shared" si="30"/>
        <v>1870</v>
      </c>
      <c r="AB25" s="203">
        <f t="shared" si="31"/>
        <v>187</v>
      </c>
      <c r="AC25" s="203">
        <f t="shared" si="30"/>
        <v>1870</v>
      </c>
      <c r="AD25" s="203">
        <f t="shared" si="32"/>
        <v>187</v>
      </c>
      <c r="AE25" s="203">
        <f t="shared" si="11"/>
        <v>1870</v>
      </c>
      <c r="AF25" s="203">
        <f t="shared" si="33"/>
        <v>187</v>
      </c>
      <c r="AG25" s="203">
        <f t="shared" si="12"/>
        <v>1870</v>
      </c>
      <c r="AH25" s="203">
        <f t="shared" si="34"/>
        <v>187</v>
      </c>
      <c r="AI25" s="203">
        <f t="shared" si="13"/>
        <v>1870</v>
      </c>
      <c r="AJ25" s="203">
        <f t="shared" si="35"/>
        <v>187</v>
      </c>
      <c r="AK25" s="203">
        <f t="shared" si="14"/>
        <v>1870</v>
      </c>
      <c r="AL25" s="203">
        <f t="shared" si="36"/>
        <v>187</v>
      </c>
      <c r="AM25" s="203">
        <f t="shared" si="15"/>
        <v>1870</v>
      </c>
      <c r="AN25" s="35">
        <f t="shared" si="16"/>
        <v>0.66785714285714282</v>
      </c>
      <c r="AO25" s="36">
        <f t="shared" si="41"/>
        <v>13090</v>
      </c>
      <c r="AQ25" s="223">
        <f t="shared" si="37"/>
        <v>0.5990312518432932</v>
      </c>
      <c r="AR25" s="38">
        <f>Y25+AO25</f>
        <v>55691.93548387097</v>
      </c>
      <c r="AS25" s="197">
        <f t="shared" si="47"/>
        <v>0</v>
      </c>
      <c r="AT25" s="340"/>
      <c r="AU25" s="550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44582</v>
      </c>
      <c r="B26">
        <f>'B5'!B25</f>
        <v>180</v>
      </c>
      <c r="C26" s="203">
        <f t="shared" si="18"/>
        <v>3872.9032258064517</v>
      </c>
      <c r="D26">
        <f t="shared" si="19"/>
        <v>180</v>
      </c>
      <c r="E26" s="203">
        <f t="shared" si="18"/>
        <v>3872.9032258064517</v>
      </c>
      <c r="F26">
        <f t="shared" si="20"/>
        <v>180</v>
      </c>
      <c r="G26" s="203">
        <f t="shared" si="1"/>
        <v>3872.9032258064517</v>
      </c>
      <c r="H26" s="203">
        <f t="shared" si="21"/>
        <v>180</v>
      </c>
      <c r="I26" s="203">
        <f t="shared" si="2"/>
        <v>3872.9032258064517</v>
      </c>
      <c r="J26" s="203">
        <f t="shared" si="22"/>
        <v>180</v>
      </c>
      <c r="K26" s="203">
        <f t="shared" si="3"/>
        <v>3872.9032258064517</v>
      </c>
      <c r="L26" s="203">
        <f t="shared" si="23"/>
        <v>180</v>
      </c>
      <c r="M26" s="203">
        <f t="shared" si="4"/>
        <v>3872.9032258064517</v>
      </c>
      <c r="N26" s="203">
        <f t="shared" si="24"/>
        <v>180</v>
      </c>
      <c r="O26" s="203">
        <f t="shared" si="5"/>
        <v>3872.9032258064517</v>
      </c>
      <c r="P26" s="203">
        <f t="shared" si="25"/>
        <v>180</v>
      </c>
      <c r="Q26" s="203">
        <f t="shared" si="6"/>
        <v>3872.9032258064517</v>
      </c>
      <c r="R26" s="203">
        <f t="shared" si="26"/>
        <v>180</v>
      </c>
      <c r="S26" s="203">
        <f t="shared" si="7"/>
        <v>3872.9032258064517</v>
      </c>
      <c r="T26" s="203">
        <f t="shared" si="27"/>
        <v>180</v>
      </c>
      <c r="U26" s="203">
        <f t="shared" si="8"/>
        <v>3872.9032258064517</v>
      </c>
      <c r="V26" s="203">
        <f t="shared" si="28"/>
        <v>180</v>
      </c>
      <c r="W26" s="203">
        <f t="shared" si="9"/>
        <v>3872.9032258064517</v>
      </c>
      <c r="X26" s="35">
        <f t="shared" si="10"/>
        <v>0.58064516129032262</v>
      </c>
      <c r="Y26" s="36">
        <f t="shared" si="29"/>
        <v>42601.93548387097</v>
      </c>
      <c r="Z26" s="203">
        <f>'B5'!C25</f>
        <v>187</v>
      </c>
      <c r="AA26" s="203">
        <f t="shared" si="30"/>
        <v>1870</v>
      </c>
      <c r="AB26" s="203">
        <f t="shared" si="31"/>
        <v>187</v>
      </c>
      <c r="AC26" s="203">
        <f t="shared" si="30"/>
        <v>1870</v>
      </c>
      <c r="AD26" s="203">
        <f t="shared" si="32"/>
        <v>187</v>
      </c>
      <c r="AE26" s="203">
        <f t="shared" si="11"/>
        <v>1870</v>
      </c>
      <c r="AF26" s="203">
        <f t="shared" si="33"/>
        <v>187</v>
      </c>
      <c r="AG26" s="203">
        <f t="shared" si="12"/>
        <v>1870</v>
      </c>
      <c r="AH26" s="203">
        <f t="shared" si="34"/>
        <v>187</v>
      </c>
      <c r="AI26" s="203">
        <f t="shared" si="13"/>
        <v>1870</v>
      </c>
      <c r="AJ26" s="203">
        <f t="shared" si="35"/>
        <v>187</v>
      </c>
      <c r="AK26" s="203">
        <f t="shared" si="14"/>
        <v>1870</v>
      </c>
      <c r="AL26" s="203">
        <f t="shared" si="36"/>
        <v>187</v>
      </c>
      <c r="AM26" s="203">
        <f t="shared" si="15"/>
        <v>1870</v>
      </c>
      <c r="AN26" s="35">
        <f t="shared" si="16"/>
        <v>0.66785714285714282</v>
      </c>
      <c r="AO26" s="36">
        <f t="shared" si="41"/>
        <v>13090</v>
      </c>
      <c r="AQ26" s="223">
        <f t="shared" si="37"/>
        <v>0.5990312518432932</v>
      </c>
      <c r="AR26" s="38">
        <f t="shared" si="38"/>
        <v>55691.93548387097</v>
      </c>
      <c r="AS26" s="197">
        <f t="shared" si="47"/>
        <v>0</v>
      </c>
      <c r="AT26" s="340"/>
      <c r="AU26" s="549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180</v>
      </c>
      <c r="C27" s="203">
        <f t="shared" si="18"/>
        <v>3872.9032258064517</v>
      </c>
      <c r="D27">
        <f t="shared" si="19"/>
        <v>180</v>
      </c>
      <c r="E27" s="203">
        <f t="shared" si="18"/>
        <v>3872.9032258064517</v>
      </c>
      <c r="F27">
        <f t="shared" si="20"/>
        <v>180</v>
      </c>
      <c r="G27" s="203">
        <f t="shared" si="1"/>
        <v>3872.9032258064517</v>
      </c>
      <c r="H27" s="203">
        <f t="shared" si="21"/>
        <v>180</v>
      </c>
      <c r="I27" s="203">
        <f t="shared" si="2"/>
        <v>3872.9032258064517</v>
      </c>
      <c r="J27" s="203">
        <f t="shared" si="22"/>
        <v>180</v>
      </c>
      <c r="K27" s="203">
        <f t="shared" si="3"/>
        <v>3872.9032258064517</v>
      </c>
      <c r="L27" s="203">
        <f t="shared" si="23"/>
        <v>180</v>
      </c>
      <c r="M27" s="203">
        <f t="shared" si="4"/>
        <v>3872.9032258064517</v>
      </c>
      <c r="N27" s="203">
        <f t="shared" si="24"/>
        <v>180</v>
      </c>
      <c r="O27" s="203">
        <f t="shared" si="5"/>
        <v>3872.9032258064517</v>
      </c>
      <c r="P27" s="203">
        <f t="shared" si="25"/>
        <v>180</v>
      </c>
      <c r="Q27" s="203">
        <f t="shared" si="6"/>
        <v>3872.9032258064517</v>
      </c>
      <c r="R27" s="203">
        <f t="shared" si="26"/>
        <v>180</v>
      </c>
      <c r="S27" s="203">
        <f t="shared" si="7"/>
        <v>3872.9032258064517</v>
      </c>
      <c r="T27" s="203">
        <f t="shared" si="27"/>
        <v>180</v>
      </c>
      <c r="U27" s="203">
        <f t="shared" si="8"/>
        <v>3872.9032258064517</v>
      </c>
      <c r="V27" s="203">
        <f t="shared" si="28"/>
        <v>180</v>
      </c>
      <c r="W27" s="203">
        <f t="shared" si="9"/>
        <v>3872.9032258064517</v>
      </c>
      <c r="X27" s="35">
        <f t="shared" si="10"/>
        <v>0.58064516129032262</v>
      </c>
      <c r="Y27" s="36">
        <f t="shared" si="29"/>
        <v>42601.93548387097</v>
      </c>
      <c r="Z27" s="203">
        <f>'B5'!C26</f>
        <v>187</v>
      </c>
      <c r="AA27" s="203">
        <f t="shared" si="30"/>
        <v>1870</v>
      </c>
      <c r="AB27" s="203">
        <f t="shared" si="31"/>
        <v>187</v>
      </c>
      <c r="AC27" s="203">
        <f t="shared" si="30"/>
        <v>1870</v>
      </c>
      <c r="AD27" s="203">
        <f t="shared" si="32"/>
        <v>187</v>
      </c>
      <c r="AE27" s="203">
        <f t="shared" si="11"/>
        <v>1870</v>
      </c>
      <c r="AF27" s="203">
        <f t="shared" si="33"/>
        <v>187</v>
      </c>
      <c r="AG27" s="203">
        <f t="shared" si="12"/>
        <v>1870</v>
      </c>
      <c r="AH27" s="203">
        <f t="shared" si="34"/>
        <v>187</v>
      </c>
      <c r="AI27" s="203">
        <f t="shared" si="13"/>
        <v>1870</v>
      </c>
      <c r="AJ27" s="203">
        <f t="shared" si="35"/>
        <v>187</v>
      </c>
      <c r="AK27" s="203">
        <f t="shared" si="14"/>
        <v>1870</v>
      </c>
      <c r="AL27" s="203">
        <f t="shared" si="36"/>
        <v>187</v>
      </c>
      <c r="AM27" s="203">
        <f t="shared" si="15"/>
        <v>1870</v>
      </c>
      <c r="AN27" s="35">
        <f t="shared" si="16"/>
        <v>0.66785714285714282</v>
      </c>
      <c r="AO27" s="36">
        <f t="shared" si="41"/>
        <v>13090</v>
      </c>
      <c r="AQ27" s="223">
        <f t="shared" si="37"/>
        <v>0.5990312518432932</v>
      </c>
      <c r="AR27" s="38">
        <f t="shared" si="38"/>
        <v>55691.93548387097</v>
      </c>
      <c r="AS27" s="197">
        <f t="shared" si="47"/>
        <v>0</v>
      </c>
      <c r="AT27" s="340"/>
      <c r="AU27" s="549"/>
      <c r="AV27" s="485">
        <f t="shared" si="43"/>
        <v>0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180</v>
      </c>
      <c r="C28" s="203">
        <f t="shared" si="18"/>
        <v>3872.9032258064517</v>
      </c>
      <c r="D28">
        <f t="shared" si="19"/>
        <v>180</v>
      </c>
      <c r="E28" s="203">
        <f t="shared" si="18"/>
        <v>3872.9032258064517</v>
      </c>
      <c r="F28">
        <f t="shared" si="20"/>
        <v>180</v>
      </c>
      <c r="G28" s="203">
        <f t="shared" si="1"/>
        <v>3872.9032258064517</v>
      </c>
      <c r="H28" s="203">
        <f t="shared" si="21"/>
        <v>180</v>
      </c>
      <c r="I28" s="203">
        <f t="shared" si="2"/>
        <v>3872.9032258064517</v>
      </c>
      <c r="J28" s="203">
        <f t="shared" si="22"/>
        <v>180</v>
      </c>
      <c r="K28" s="203">
        <f t="shared" si="3"/>
        <v>3872.9032258064517</v>
      </c>
      <c r="L28" s="203">
        <f t="shared" si="23"/>
        <v>180</v>
      </c>
      <c r="M28" s="203">
        <f t="shared" si="4"/>
        <v>3872.9032258064517</v>
      </c>
      <c r="N28" s="203">
        <f t="shared" si="24"/>
        <v>180</v>
      </c>
      <c r="O28" s="203">
        <f t="shared" si="5"/>
        <v>3872.9032258064517</v>
      </c>
      <c r="P28" s="203">
        <f t="shared" si="25"/>
        <v>180</v>
      </c>
      <c r="Q28" s="203">
        <f t="shared" si="6"/>
        <v>3872.9032258064517</v>
      </c>
      <c r="R28" s="203">
        <f t="shared" si="26"/>
        <v>180</v>
      </c>
      <c r="S28" s="203">
        <f t="shared" si="7"/>
        <v>3872.9032258064517</v>
      </c>
      <c r="T28" s="203">
        <f t="shared" si="27"/>
        <v>180</v>
      </c>
      <c r="U28" s="203">
        <f t="shared" si="8"/>
        <v>3872.9032258064517</v>
      </c>
      <c r="V28" s="203">
        <f t="shared" si="28"/>
        <v>180</v>
      </c>
      <c r="W28" s="203">
        <f t="shared" si="9"/>
        <v>3872.9032258064517</v>
      </c>
      <c r="X28" s="35">
        <f t="shared" si="10"/>
        <v>0.58064516129032262</v>
      </c>
      <c r="Y28" s="36">
        <f t="shared" si="29"/>
        <v>42601.93548387097</v>
      </c>
      <c r="Z28" s="203">
        <f>'B5'!C27</f>
        <v>187</v>
      </c>
      <c r="AA28" s="203">
        <f t="shared" si="30"/>
        <v>1870</v>
      </c>
      <c r="AB28" s="203">
        <f t="shared" si="31"/>
        <v>187</v>
      </c>
      <c r="AC28" s="203">
        <f t="shared" si="30"/>
        <v>1870</v>
      </c>
      <c r="AD28" s="203">
        <f t="shared" si="32"/>
        <v>187</v>
      </c>
      <c r="AE28" s="203">
        <f t="shared" si="11"/>
        <v>1870</v>
      </c>
      <c r="AF28" s="203">
        <f t="shared" si="33"/>
        <v>187</v>
      </c>
      <c r="AG28" s="203">
        <f t="shared" si="12"/>
        <v>1870</v>
      </c>
      <c r="AH28" s="203">
        <f t="shared" si="34"/>
        <v>187</v>
      </c>
      <c r="AI28" s="203">
        <f t="shared" si="13"/>
        <v>1870</v>
      </c>
      <c r="AJ28" s="203">
        <f t="shared" si="35"/>
        <v>187</v>
      </c>
      <c r="AK28" s="203">
        <f t="shared" si="14"/>
        <v>1870</v>
      </c>
      <c r="AL28" s="203">
        <f t="shared" si="36"/>
        <v>187</v>
      </c>
      <c r="AM28" s="203">
        <f t="shared" si="15"/>
        <v>1870</v>
      </c>
      <c r="AN28" s="35">
        <f t="shared" si="16"/>
        <v>0.66785714285714282</v>
      </c>
      <c r="AO28" s="36">
        <f t="shared" si="41"/>
        <v>13090</v>
      </c>
      <c r="AQ28" s="223">
        <f t="shared" si="37"/>
        <v>0.5990312518432932</v>
      </c>
      <c r="AR28" s="38">
        <f t="shared" si="38"/>
        <v>55691.93548387097</v>
      </c>
      <c r="AS28" s="197">
        <f t="shared" si="47"/>
        <v>0</v>
      </c>
      <c r="AT28" s="340"/>
      <c r="AU28" s="550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180</v>
      </c>
      <c r="C29" s="203">
        <f t="shared" si="18"/>
        <v>3872.9032258064517</v>
      </c>
      <c r="D29">
        <f t="shared" si="19"/>
        <v>180</v>
      </c>
      <c r="E29" s="203">
        <f t="shared" si="18"/>
        <v>3872.9032258064517</v>
      </c>
      <c r="F29">
        <f t="shared" si="20"/>
        <v>180</v>
      </c>
      <c r="G29" s="203">
        <f t="shared" si="1"/>
        <v>3872.9032258064517</v>
      </c>
      <c r="H29" s="203">
        <f t="shared" si="21"/>
        <v>180</v>
      </c>
      <c r="I29" s="203">
        <f t="shared" si="2"/>
        <v>3872.9032258064517</v>
      </c>
      <c r="J29" s="203">
        <f t="shared" si="22"/>
        <v>180</v>
      </c>
      <c r="K29" s="203">
        <f t="shared" si="3"/>
        <v>3872.9032258064517</v>
      </c>
      <c r="L29" s="203">
        <f t="shared" si="23"/>
        <v>180</v>
      </c>
      <c r="M29" s="203">
        <f t="shared" si="4"/>
        <v>3872.9032258064517</v>
      </c>
      <c r="N29" s="203">
        <f t="shared" si="24"/>
        <v>180</v>
      </c>
      <c r="O29" s="203">
        <f t="shared" si="5"/>
        <v>3872.9032258064517</v>
      </c>
      <c r="P29" s="203">
        <f t="shared" si="25"/>
        <v>180</v>
      </c>
      <c r="Q29" s="203">
        <f t="shared" si="6"/>
        <v>3872.9032258064517</v>
      </c>
      <c r="R29" s="203">
        <f t="shared" si="26"/>
        <v>180</v>
      </c>
      <c r="S29" s="203">
        <f t="shared" si="7"/>
        <v>3872.9032258064517</v>
      </c>
      <c r="T29" s="203">
        <f t="shared" si="27"/>
        <v>180</v>
      </c>
      <c r="U29" s="203">
        <f t="shared" si="8"/>
        <v>3872.9032258064517</v>
      </c>
      <c r="V29" s="203">
        <f t="shared" si="28"/>
        <v>180</v>
      </c>
      <c r="W29" s="203">
        <f t="shared" si="9"/>
        <v>3872.9032258064517</v>
      </c>
      <c r="X29" s="35">
        <f t="shared" si="10"/>
        <v>0.58064516129032262</v>
      </c>
      <c r="Y29" s="36">
        <f t="shared" si="29"/>
        <v>42601.93548387097</v>
      </c>
      <c r="Z29" s="203">
        <f>'B5'!C28</f>
        <v>187</v>
      </c>
      <c r="AA29" s="203">
        <f t="shared" si="30"/>
        <v>1870</v>
      </c>
      <c r="AB29" s="203">
        <f t="shared" si="31"/>
        <v>187</v>
      </c>
      <c r="AC29" s="203">
        <f t="shared" si="30"/>
        <v>1870</v>
      </c>
      <c r="AD29" s="203">
        <f t="shared" si="32"/>
        <v>187</v>
      </c>
      <c r="AE29" s="203">
        <f t="shared" si="11"/>
        <v>1870</v>
      </c>
      <c r="AF29" s="203">
        <f t="shared" si="33"/>
        <v>187</v>
      </c>
      <c r="AG29" s="203">
        <f t="shared" si="12"/>
        <v>1870</v>
      </c>
      <c r="AH29" s="203">
        <f t="shared" si="34"/>
        <v>187</v>
      </c>
      <c r="AI29" s="203">
        <f t="shared" si="13"/>
        <v>1870</v>
      </c>
      <c r="AJ29" s="203">
        <f t="shared" si="35"/>
        <v>187</v>
      </c>
      <c r="AK29" s="203">
        <f t="shared" si="14"/>
        <v>1870</v>
      </c>
      <c r="AL29" s="203">
        <f t="shared" si="36"/>
        <v>187</v>
      </c>
      <c r="AM29" s="203">
        <f t="shared" si="15"/>
        <v>1870</v>
      </c>
      <c r="AN29" s="35">
        <f t="shared" si="16"/>
        <v>0.66785714285714282</v>
      </c>
      <c r="AO29" s="36">
        <f t="shared" si="41"/>
        <v>13090</v>
      </c>
      <c r="AQ29" s="223">
        <f t="shared" si="37"/>
        <v>0.5990312518432932</v>
      </c>
      <c r="AR29" s="38">
        <f t="shared" si="38"/>
        <v>55691.93548387097</v>
      </c>
      <c r="AS29" s="197">
        <f>SUM(AR29-AR28-AT29)</f>
        <v>0</v>
      </c>
      <c r="AT29" s="340"/>
      <c r="AU29" s="550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180</v>
      </c>
      <c r="C30" s="203">
        <f t="shared" si="18"/>
        <v>3872.9032258064517</v>
      </c>
      <c r="D30">
        <f t="shared" ref="D30:D35" si="48">SUM(B30)</f>
        <v>180</v>
      </c>
      <c r="E30" s="203">
        <f t="shared" si="18"/>
        <v>3872.9032258064517</v>
      </c>
      <c r="F30">
        <f t="shared" ref="F30:F35" si="49">SUM(D30)</f>
        <v>180</v>
      </c>
      <c r="G30" s="203">
        <f t="shared" si="1"/>
        <v>3872.9032258064517</v>
      </c>
      <c r="H30" s="203">
        <f t="shared" ref="H30:H35" si="50">SUM(F30)</f>
        <v>180</v>
      </c>
      <c r="I30" s="203">
        <f t="shared" si="2"/>
        <v>3872.9032258064517</v>
      </c>
      <c r="J30" s="203">
        <f t="shared" ref="J30:J35" si="51">SUM(H30)</f>
        <v>180</v>
      </c>
      <c r="K30" s="203">
        <f t="shared" si="3"/>
        <v>3872.9032258064517</v>
      </c>
      <c r="L30" s="203">
        <f t="shared" ref="L30:L35" si="52">SUM(J30)</f>
        <v>180</v>
      </c>
      <c r="M30" s="203">
        <f t="shared" si="4"/>
        <v>3872.9032258064517</v>
      </c>
      <c r="N30" s="203">
        <f t="shared" ref="N30:N35" si="53">SUM(L30)</f>
        <v>180</v>
      </c>
      <c r="O30" s="203">
        <f t="shared" si="5"/>
        <v>3872.9032258064517</v>
      </c>
      <c r="P30" s="203">
        <f t="shared" ref="P30:P35" si="54">SUM(N30)</f>
        <v>180</v>
      </c>
      <c r="Q30" s="203">
        <f t="shared" si="6"/>
        <v>3872.9032258064517</v>
      </c>
      <c r="R30" s="203">
        <f t="shared" ref="R30:R35" si="55">SUM(P30)</f>
        <v>180</v>
      </c>
      <c r="S30" s="203">
        <f t="shared" si="7"/>
        <v>3872.9032258064517</v>
      </c>
      <c r="T30" s="203">
        <f t="shared" ref="T30:T35" si="56">SUM(R30)</f>
        <v>180</v>
      </c>
      <c r="U30" s="203">
        <f t="shared" si="8"/>
        <v>3872.9032258064517</v>
      </c>
      <c r="V30" s="203">
        <f t="shared" ref="V30:V35" si="57">SUM(T30)</f>
        <v>180</v>
      </c>
      <c r="W30" s="203">
        <f t="shared" si="9"/>
        <v>3872.9032258064517</v>
      </c>
      <c r="X30" s="35">
        <f t="shared" ref="X30:X35" si="58">SUM(Y30/73370)</f>
        <v>0.58064516129032262</v>
      </c>
      <c r="Y30" s="36">
        <f t="shared" ref="Y30:Y35" si="59">SUM(C30+E30+G30+I30+K30+M30+O30+Q30+S30+U30+W30)</f>
        <v>42601.93548387097</v>
      </c>
      <c r="Z30" s="203">
        <f>'B5'!C29</f>
        <v>187</v>
      </c>
      <c r="AA30" s="203">
        <f t="shared" si="30"/>
        <v>1870</v>
      </c>
      <c r="AB30" s="203">
        <f t="shared" ref="AB30:AB35" si="60">SUM(Z30)</f>
        <v>187</v>
      </c>
      <c r="AC30" s="203">
        <f t="shared" si="30"/>
        <v>1870</v>
      </c>
      <c r="AD30" s="203">
        <f t="shared" ref="AD30:AD35" si="61">SUM(AB30)</f>
        <v>187</v>
      </c>
      <c r="AE30" s="203">
        <f t="shared" si="11"/>
        <v>1870</v>
      </c>
      <c r="AF30" s="203">
        <f t="shared" ref="AF30:AF35" si="62">SUM(AD30)</f>
        <v>187</v>
      </c>
      <c r="AG30" s="203">
        <f t="shared" si="12"/>
        <v>1870</v>
      </c>
      <c r="AH30" s="203">
        <f t="shared" ref="AH30:AH35" si="63">SUM(AF30)</f>
        <v>187</v>
      </c>
      <c r="AI30" s="203">
        <f t="shared" si="13"/>
        <v>1870</v>
      </c>
      <c r="AJ30" s="203">
        <f t="shared" ref="AJ30:AJ35" si="64">SUM(AH30)</f>
        <v>187</v>
      </c>
      <c r="AK30" s="203">
        <f t="shared" si="14"/>
        <v>1870</v>
      </c>
      <c r="AL30" s="203">
        <f t="shared" ref="AL30:AL35" si="65">SUM(AJ30)</f>
        <v>187</v>
      </c>
      <c r="AM30" s="203">
        <f t="shared" si="15"/>
        <v>1870</v>
      </c>
      <c r="AN30" s="35">
        <f t="shared" ref="AN30:AN35" si="66">SUM(AO30/19600)</f>
        <v>0.66785714285714282</v>
      </c>
      <c r="AO30" s="36">
        <f t="shared" ref="AO30:AO35" si="67">SUM(AA30+AC30+AE30+AG30+AI30+AK30+AM30)</f>
        <v>13090</v>
      </c>
      <c r="AQ30" s="223">
        <f t="shared" si="37"/>
        <v>0.5990312518432932</v>
      </c>
      <c r="AR30" s="38">
        <f t="shared" si="38"/>
        <v>55691.93548387097</v>
      </c>
      <c r="AS30" s="197">
        <f>SUM(AR30-AR29-AT30)</f>
        <v>0</v>
      </c>
      <c r="AT30" s="340"/>
      <c r="AU30" s="550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180</v>
      </c>
      <c r="C31" s="203">
        <f t="shared" si="18"/>
        <v>3872.9032258064517</v>
      </c>
      <c r="D31">
        <f t="shared" si="48"/>
        <v>180</v>
      </c>
      <c r="E31" s="203">
        <f t="shared" si="18"/>
        <v>3872.9032258064517</v>
      </c>
      <c r="F31">
        <f t="shared" si="49"/>
        <v>180</v>
      </c>
      <c r="G31" s="203">
        <f t="shared" si="1"/>
        <v>3872.9032258064517</v>
      </c>
      <c r="H31" s="203">
        <f t="shared" si="50"/>
        <v>180</v>
      </c>
      <c r="I31" s="203">
        <f t="shared" si="2"/>
        <v>3872.9032258064517</v>
      </c>
      <c r="J31" s="203">
        <f t="shared" si="51"/>
        <v>180</v>
      </c>
      <c r="K31" s="203">
        <f t="shared" si="3"/>
        <v>3872.9032258064517</v>
      </c>
      <c r="L31" s="203">
        <f t="shared" si="52"/>
        <v>180</v>
      </c>
      <c r="M31" s="203">
        <f t="shared" si="4"/>
        <v>3872.9032258064517</v>
      </c>
      <c r="N31" s="203">
        <f t="shared" si="53"/>
        <v>180</v>
      </c>
      <c r="O31" s="203">
        <f t="shared" si="5"/>
        <v>3872.9032258064517</v>
      </c>
      <c r="P31" s="203">
        <f t="shared" si="54"/>
        <v>180</v>
      </c>
      <c r="Q31" s="203">
        <f t="shared" si="6"/>
        <v>3872.9032258064517</v>
      </c>
      <c r="R31" s="203">
        <f t="shared" si="55"/>
        <v>180</v>
      </c>
      <c r="S31" s="203">
        <f t="shared" si="7"/>
        <v>3872.9032258064517</v>
      </c>
      <c r="T31" s="203">
        <f t="shared" si="56"/>
        <v>180</v>
      </c>
      <c r="U31" s="203">
        <f t="shared" si="8"/>
        <v>3872.9032258064517</v>
      </c>
      <c r="V31" s="203">
        <f t="shared" si="57"/>
        <v>180</v>
      </c>
      <c r="W31" s="203">
        <f t="shared" si="9"/>
        <v>3872.9032258064517</v>
      </c>
      <c r="X31" s="35">
        <f t="shared" si="58"/>
        <v>0.58064516129032262</v>
      </c>
      <c r="Y31" s="36">
        <f t="shared" si="59"/>
        <v>42601.93548387097</v>
      </c>
      <c r="Z31" s="203">
        <f>'B5'!C30</f>
        <v>187</v>
      </c>
      <c r="AA31" s="203">
        <f t="shared" si="30"/>
        <v>1870</v>
      </c>
      <c r="AB31" s="203">
        <f t="shared" si="60"/>
        <v>187</v>
      </c>
      <c r="AC31" s="203">
        <f t="shared" si="30"/>
        <v>1870</v>
      </c>
      <c r="AD31" s="203">
        <f t="shared" si="61"/>
        <v>187</v>
      </c>
      <c r="AE31" s="203">
        <f t="shared" si="11"/>
        <v>1870</v>
      </c>
      <c r="AF31" s="203">
        <f t="shared" si="62"/>
        <v>187</v>
      </c>
      <c r="AG31" s="203">
        <f t="shared" si="12"/>
        <v>1870</v>
      </c>
      <c r="AH31" s="203">
        <f t="shared" si="63"/>
        <v>187</v>
      </c>
      <c r="AI31" s="203">
        <f t="shared" si="13"/>
        <v>1870</v>
      </c>
      <c r="AJ31" s="203">
        <f t="shared" si="64"/>
        <v>187</v>
      </c>
      <c r="AK31" s="203">
        <f t="shared" si="14"/>
        <v>1870</v>
      </c>
      <c r="AL31" s="203">
        <f t="shared" si="65"/>
        <v>187</v>
      </c>
      <c r="AM31" s="203">
        <f t="shared" si="15"/>
        <v>1870</v>
      </c>
      <c r="AN31" s="35">
        <f t="shared" si="66"/>
        <v>0.66785714285714282</v>
      </c>
      <c r="AO31" s="36">
        <f t="shared" si="67"/>
        <v>13090</v>
      </c>
      <c r="AQ31" s="223">
        <f t="shared" si="37"/>
        <v>0.5990312518432932</v>
      </c>
      <c r="AR31" s="38">
        <f t="shared" si="38"/>
        <v>55691.93548387097</v>
      </c>
      <c r="AS31" s="197">
        <f t="shared" si="47"/>
        <v>0</v>
      </c>
      <c r="AT31" s="340"/>
      <c r="AU31" s="575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180</v>
      </c>
      <c r="C32" s="203">
        <f t="shared" si="18"/>
        <v>3872.9032258064517</v>
      </c>
      <c r="D32">
        <f t="shared" si="48"/>
        <v>180</v>
      </c>
      <c r="E32" s="203">
        <f t="shared" si="18"/>
        <v>3872.9032258064517</v>
      </c>
      <c r="F32">
        <f t="shared" si="49"/>
        <v>180</v>
      </c>
      <c r="G32" s="203">
        <f t="shared" si="1"/>
        <v>3872.9032258064517</v>
      </c>
      <c r="H32" s="203">
        <f t="shared" si="50"/>
        <v>180</v>
      </c>
      <c r="I32" s="203">
        <f t="shared" si="2"/>
        <v>3872.9032258064517</v>
      </c>
      <c r="J32" s="203">
        <f t="shared" si="51"/>
        <v>180</v>
      </c>
      <c r="K32" s="203">
        <f t="shared" si="3"/>
        <v>3872.9032258064517</v>
      </c>
      <c r="L32" s="203">
        <f t="shared" si="52"/>
        <v>180</v>
      </c>
      <c r="M32" s="203">
        <f t="shared" si="4"/>
        <v>3872.9032258064517</v>
      </c>
      <c r="N32" s="203">
        <f t="shared" si="53"/>
        <v>180</v>
      </c>
      <c r="O32" s="203">
        <f t="shared" si="5"/>
        <v>3872.9032258064517</v>
      </c>
      <c r="P32" s="203">
        <f t="shared" si="54"/>
        <v>180</v>
      </c>
      <c r="Q32" s="203">
        <f t="shared" si="6"/>
        <v>3872.9032258064517</v>
      </c>
      <c r="R32" s="203">
        <f t="shared" si="55"/>
        <v>180</v>
      </c>
      <c r="S32" s="203">
        <f t="shared" si="7"/>
        <v>3872.9032258064517</v>
      </c>
      <c r="T32" s="203">
        <f t="shared" si="56"/>
        <v>180</v>
      </c>
      <c r="U32" s="203">
        <f t="shared" si="8"/>
        <v>3872.9032258064517</v>
      </c>
      <c r="V32" s="203">
        <f t="shared" si="57"/>
        <v>180</v>
      </c>
      <c r="W32" s="203">
        <f t="shared" si="9"/>
        <v>3872.9032258064517</v>
      </c>
      <c r="X32" s="35">
        <f t="shared" si="58"/>
        <v>0.58064516129032262</v>
      </c>
      <c r="Y32" s="36">
        <f t="shared" si="59"/>
        <v>42601.93548387097</v>
      </c>
      <c r="Z32" s="203">
        <f>'B5'!C31</f>
        <v>187</v>
      </c>
      <c r="AA32" s="203">
        <f t="shared" si="30"/>
        <v>1870</v>
      </c>
      <c r="AB32" s="203">
        <f t="shared" si="60"/>
        <v>187</v>
      </c>
      <c r="AC32" s="203">
        <f t="shared" si="30"/>
        <v>1870</v>
      </c>
      <c r="AD32" s="203">
        <f t="shared" si="61"/>
        <v>187</v>
      </c>
      <c r="AE32" s="203">
        <f t="shared" si="11"/>
        <v>1870</v>
      </c>
      <c r="AF32" s="203">
        <f t="shared" si="62"/>
        <v>187</v>
      </c>
      <c r="AG32" s="203">
        <f t="shared" si="12"/>
        <v>1870</v>
      </c>
      <c r="AH32" s="203">
        <f t="shared" si="63"/>
        <v>187</v>
      </c>
      <c r="AI32" s="203">
        <f t="shared" si="13"/>
        <v>1870</v>
      </c>
      <c r="AJ32" s="203">
        <f t="shared" si="64"/>
        <v>187</v>
      </c>
      <c r="AK32" s="203">
        <f t="shared" si="14"/>
        <v>1870</v>
      </c>
      <c r="AL32" s="203">
        <f t="shared" si="65"/>
        <v>187</v>
      </c>
      <c r="AM32" s="203">
        <f t="shared" si="15"/>
        <v>1870</v>
      </c>
      <c r="AN32" s="35">
        <f t="shared" si="66"/>
        <v>0.66785714285714282</v>
      </c>
      <c r="AO32" s="36">
        <f t="shared" si="67"/>
        <v>13090</v>
      </c>
      <c r="AQ32" s="223">
        <f t="shared" si="37"/>
        <v>0.5990312518432932</v>
      </c>
      <c r="AR32" s="38">
        <f t="shared" si="38"/>
        <v>55691.93548387097</v>
      </c>
      <c r="AS32" s="197">
        <f t="shared" si="47"/>
        <v>0</v>
      </c>
      <c r="AT32" s="340"/>
      <c r="AU32" s="549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180</v>
      </c>
      <c r="C33" s="203">
        <f t="shared" si="18"/>
        <v>3872.9032258064517</v>
      </c>
      <c r="D33">
        <f t="shared" si="48"/>
        <v>180</v>
      </c>
      <c r="E33" s="203">
        <f t="shared" si="18"/>
        <v>3872.9032258064517</v>
      </c>
      <c r="F33">
        <f t="shared" si="49"/>
        <v>180</v>
      </c>
      <c r="G33" s="203">
        <f t="shared" si="1"/>
        <v>3872.9032258064517</v>
      </c>
      <c r="H33" s="203">
        <f t="shared" si="50"/>
        <v>180</v>
      </c>
      <c r="I33" s="203">
        <f t="shared" si="2"/>
        <v>3872.9032258064517</v>
      </c>
      <c r="J33" s="203">
        <f t="shared" si="51"/>
        <v>180</v>
      </c>
      <c r="K33" s="203">
        <f t="shared" si="3"/>
        <v>3872.9032258064517</v>
      </c>
      <c r="L33" s="203">
        <f t="shared" si="52"/>
        <v>180</v>
      </c>
      <c r="M33" s="203">
        <f t="shared" si="4"/>
        <v>3872.9032258064517</v>
      </c>
      <c r="N33" s="203">
        <f t="shared" si="53"/>
        <v>180</v>
      </c>
      <c r="O33" s="203">
        <f t="shared" si="5"/>
        <v>3872.9032258064517</v>
      </c>
      <c r="P33" s="203">
        <f t="shared" si="54"/>
        <v>180</v>
      </c>
      <c r="Q33" s="203">
        <f t="shared" si="6"/>
        <v>3872.9032258064517</v>
      </c>
      <c r="R33" s="203">
        <f t="shared" si="55"/>
        <v>180</v>
      </c>
      <c r="S33" s="203">
        <f t="shared" si="7"/>
        <v>3872.9032258064517</v>
      </c>
      <c r="T33" s="203">
        <f t="shared" si="56"/>
        <v>180</v>
      </c>
      <c r="U33" s="203">
        <f t="shared" si="8"/>
        <v>3872.9032258064517</v>
      </c>
      <c r="V33" s="203">
        <f t="shared" si="57"/>
        <v>180</v>
      </c>
      <c r="W33" s="203">
        <f t="shared" si="9"/>
        <v>3872.9032258064517</v>
      </c>
      <c r="X33" s="35">
        <f t="shared" si="58"/>
        <v>0.58064516129032262</v>
      </c>
      <c r="Y33" s="36">
        <f t="shared" si="59"/>
        <v>42601.93548387097</v>
      </c>
      <c r="Z33" s="203">
        <f>'B5'!C32</f>
        <v>187</v>
      </c>
      <c r="AA33" s="203">
        <f t="shared" si="30"/>
        <v>1870</v>
      </c>
      <c r="AB33" s="203">
        <f t="shared" si="60"/>
        <v>187</v>
      </c>
      <c r="AC33" s="203">
        <f t="shared" si="30"/>
        <v>1870</v>
      </c>
      <c r="AD33" s="203">
        <f t="shared" si="61"/>
        <v>187</v>
      </c>
      <c r="AE33" s="203">
        <f t="shared" si="11"/>
        <v>1870</v>
      </c>
      <c r="AF33" s="203">
        <f t="shared" si="62"/>
        <v>187</v>
      </c>
      <c r="AG33" s="203">
        <f t="shared" si="12"/>
        <v>1870</v>
      </c>
      <c r="AH33" s="203">
        <f t="shared" si="63"/>
        <v>187</v>
      </c>
      <c r="AI33" s="203">
        <f t="shared" si="13"/>
        <v>1870</v>
      </c>
      <c r="AJ33" s="203">
        <f t="shared" si="64"/>
        <v>187</v>
      </c>
      <c r="AK33" s="203">
        <f t="shared" si="14"/>
        <v>1870</v>
      </c>
      <c r="AL33" s="203">
        <f t="shared" si="65"/>
        <v>187</v>
      </c>
      <c r="AM33" s="203">
        <f t="shared" si="15"/>
        <v>1870</v>
      </c>
      <c r="AN33" s="35">
        <f t="shared" si="66"/>
        <v>0.66785714285714282</v>
      </c>
      <c r="AO33" s="36">
        <f t="shared" si="67"/>
        <v>13090</v>
      </c>
      <c r="AQ33" s="223">
        <f t="shared" si="37"/>
        <v>0.5990312518432932</v>
      </c>
      <c r="AR33" s="38">
        <f t="shared" si="38"/>
        <v>55691.93548387097</v>
      </c>
      <c r="AS33" s="197">
        <f>SUM(AR33-AR32-AT33)</f>
        <v>0</v>
      </c>
      <c r="AT33" s="340"/>
      <c r="AU33" s="549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180</v>
      </c>
      <c r="C34" s="203">
        <f>B34*$B$4</f>
        <v>3872.9032258064517</v>
      </c>
      <c r="D34">
        <f t="shared" si="48"/>
        <v>180</v>
      </c>
      <c r="E34" s="203">
        <f>D34*$B$4</f>
        <v>3872.9032258064517</v>
      </c>
      <c r="F34">
        <f t="shared" si="49"/>
        <v>180</v>
      </c>
      <c r="G34" s="203">
        <f>F34*$B$4</f>
        <v>3872.9032258064517</v>
      </c>
      <c r="H34" s="203">
        <f t="shared" si="50"/>
        <v>180</v>
      </c>
      <c r="I34" s="203">
        <f>H34*$B$4</f>
        <v>3872.9032258064517</v>
      </c>
      <c r="J34" s="203">
        <f t="shared" si="51"/>
        <v>180</v>
      </c>
      <c r="K34" s="203">
        <f>J34*$B$4</f>
        <v>3872.9032258064517</v>
      </c>
      <c r="L34" s="203">
        <f t="shared" si="52"/>
        <v>180</v>
      </c>
      <c r="M34" s="203">
        <f>L34*$B$4</f>
        <v>3872.9032258064517</v>
      </c>
      <c r="N34" s="203">
        <f t="shared" si="53"/>
        <v>180</v>
      </c>
      <c r="O34" s="203">
        <f>N34*$B$4</f>
        <v>3872.9032258064517</v>
      </c>
      <c r="P34" s="203">
        <f t="shared" si="54"/>
        <v>180</v>
      </c>
      <c r="Q34" s="203">
        <f>P34*$B$4</f>
        <v>3872.9032258064517</v>
      </c>
      <c r="R34" s="203">
        <f t="shared" si="55"/>
        <v>180</v>
      </c>
      <c r="S34" s="203">
        <f>R34*$B$4</f>
        <v>3872.9032258064517</v>
      </c>
      <c r="T34" s="203">
        <f t="shared" si="56"/>
        <v>180</v>
      </c>
      <c r="U34" s="203">
        <f>T34*$B$4</f>
        <v>3872.9032258064517</v>
      </c>
      <c r="V34" s="203">
        <f t="shared" si="57"/>
        <v>180</v>
      </c>
      <c r="W34" s="203">
        <f>V34*$B$4</f>
        <v>3872.9032258064517</v>
      </c>
      <c r="X34" s="35">
        <f t="shared" si="58"/>
        <v>0.58064516129032262</v>
      </c>
      <c r="Y34" s="36">
        <f t="shared" si="59"/>
        <v>42601.93548387097</v>
      </c>
      <c r="Z34" s="203">
        <f>'B5'!C33</f>
        <v>187</v>
      </c>
      <c r="AA34" s="203">
        <f>SUM(Z34*$Z$4)</f>
        <v>1870</v>
      </c>
      <c r="AB34" s="203">
        <f t="shared" si="60"/>
        <v>187</v>
      </c>
      <c r="AC34" s="203">
        <f>SUM(AB34*$Z$4)</f>
        <v>1870</v>
      </c>
      <c r="AD34" s="203">
        <f t="shared" si="61"/>
        <v>187</v>
      </c>
      <c r="AE34" s="203">
        <f>SUM(AD34*$Z$4)</f>
        <v>1870</v>
      </c>
      <c r="AF34" s="203">
        <f t="shared" si="62"/>
        <v>187</v>
      </c>
      <c r="AG34" s="203">
        <f>SUM(AF34*$Z$4)</f>
        <v>1870</v>
      </c>
      <c r="AH34" s="203">
        <f t="shared" si="63"/>
        <v>187</v>
      </c>
      <c r="AI34" s="203">
        <f>SUM(AH34*$Z$4)</f>
        <v>1870</v>
      </c>
      <c r="AJ34" s="203">
        <f t="shared" si="64"/>
        <v>187</v>
      </c>
      <c r="AK34" s="203">
        <f>SUM(AJ34*$Z$4)</f>
        <v>1870</v>
      </c>
      <c r="AL34" s="203">
        <f t="shared" si="65"/>
        <v>187</v>
      </c>
      <c r="AM34" s="203">
        <f>SUM(AL34*$Z$4)</f>
        <v>1870</v>
      </c>
      <c r="AN34" s="35">
        <f t="shared" si="66"/>
        <v>0.66785714285714282</v>
      </c>
      <c r="AO34" s="36">
        <f t="shared" si="67"/>
        <v>13090</v>
      </c>
      <c r="AQ34" s="223">
        <f>SUM(AR34/92970)</f>
        <v>0.5990312518432932</v>
      </c>
      <c r="AR34" s="38">
        <f t="shared" si="38"/>
        <v>55691.93548387097</v>
      </c>
      <c r="AS34" s="197">
        <f t="shared" si="47"/>
        <v>0</v>
      </c>
      <c r="AT34" s="340"/>
      <c r="AU34" s="549"/>
      <c r="AV34" s="485">
        <f>IF(AT34&gt;0,AU34,AV33)</f>
        <v>0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180</v>
      </c>
      <c r="C35" s="203">
        <f>B35*$B$4</f>
        <v>3872.9032258064517</v>
      </c>
      <c r="D35">
        <f t="shared" si="48"/>
        <v>180</v>
      </c>
      <c r="E35" s="203">
        <f>D35*$B$4</f>
        <v>3872.9032258064517</v>
      </c>
      <c r="F35">
        <f t="shared" si="49"/>
        <v>180</v>
      </c>
      <c r="G35" s="203">
        <f>F35*$B$4</f>
        <v>3872.9032258064517</v>
      </c>
      <c r="H35" s="203">
        <f t="shared" si="50"/>
        <v>180</v>
      </c>
      <c r="I35" s="203">
        <f>H35*$B$4</f>
        <v>3872.9032258064517</v>
      </c>
      <c r="J35" s="203">
        <f t="shared" si="51"/>
        <v>180</v>
      </c>
      <c r="K35" s="203">
        <f>J35*$B$4</f>
        <v>3872.9032258064517</v>
      </c>
      <c r="L35" s="203">
        <f t="shared" si="52"/>
        <v>180</v>
      </c>
      <c r="M35" s="203">
        <f>L35*$B$4</f>
        <v>3872.9032258064517</v>
      </c>
      <c r="N35" s="203">
        <f t="shared" si="53"/>
        <v>180</v>
      </c>
      <c r="O35" s="203">
        <f>N35*$B$4</f>
        <v>3872.9032258064517</v>
      </c>
      <c r="P35" s="203">
        <f t="shared" si="54"/>
        <v>180</v>
      </c>
      <c r="Q35" s="203">
        <f>P35*$B$4</f>
        <v>3872.9032258064517</v>
      </c>
      <c r="R35" s="203">
        <f t="shared" si="55"/>
        <v>180</v>
      </c>
      <c r="S35" s="203">
        <f>R35*$B$4</f>
        <v>3872.9032258064517</v>
      </c>
      <c r="T35" s="203">
        <f t="shared" si="56"/>
        <v>180</v>
      </c>
      <c r="U35" s="203">
        <f>T35*$B$4</f>
        <v>3872.9032258064517</v>
      </c>
      <c r="V35" s="203">
        <f t="shared" si="57"/>
        <v>180</v>
      </c>
      <c r="W35" s="203">
        <f>V35*$B$4</f>
        <v>3872.9032258064517</v>
      </c>
      <c r="X35" s="35">
        <f t="shared" si="58"/>
        <v>0.58064516129032262</v>
      </c>
      <c r="Y35" s="36">
        <f t="shared" si="59"/>
        <v>42601.93548387097</v>
      </c>
      <c r="Z35" s="203">
        <f>'B5'!C34</f>
        <v>187</v>
      </c>
      <c r="AA35" s="203">
        <f>SUM(Z35*$Z$4)</f>
        <v>1870</v>
      </c>
      <c r="AB35" s="203">
        <f t="shared" si="60"/>
        <v>187</v>
      </c>
      <c r="AC35" s="203">
        <f>SUM(AB35*$Z$4)</f>
        <v>1870</v>
      </c>
      <c r="AD35" s="203">
        <f t="shared" si="61"/>
        <v>187</v>
      </c>
      <c r="AE35" s="203">
        <f>SUM(AD35*$Z$4)</f>
        <v>1870</v>
      </c>
      <c r="AF35" s="203">
        <f t="shared" si="62"/>
        <v>187</v>
      </c>
      <c r="AG35" s="203">
        <f>SUM(AF35*$Z$4)</f>
        <v>1870</v>
      </c>
      <c r="AH35" s="203">
        <f t="shared" si="63"/>
        <v>187</v>
      </c>
      <c r="AI35" s="203">
        <f>SUM(AH35*$Z$4)</f>
        <v>1870</v>
      </c>
      <c r="AJ35" s="203">
        <f t="shared" si="64"/>
        <v>187</v>
      </c>
      <c r="AK35" s="203">
        <f>SUM(AJ35*$Z$4)</f>
        <v>1870</v>
      </c>
      <c r="AL35" s="203">
        <f t="shared" si="65"/>
        <v>187</v>
      </c>
      <c r="AM35" s="203">
        <f>SUM(AL35*$Z$4)</f>
        <v>1870</v>
      </c>
      <c r="AN35" s="35">
        <f t="shared" si="66"/>
        <v>0.66785714285714282</v>
      </c>
      <c r="AO35" s="36">
        <f t="shared" si="67"/>
        <v>13090</v>
      </c>
      <c r="AQ35" s="223">
        <f>SUM(AR35/92970)</f>
        <v>0.5990312518432932</v>
      </c>
      <c r="AR35" s="38">
        <f t="shared" si="38"/>
        <v>55691.93548387097</v>
      </c>
      <c r="AS35" s="197">
        <f t="shared" si="47"/>
        <v>0</v>
      </c>
      <c r="AT35" s="340"/>
      <c r="AU35" s="549"/>
      <c r="AV35" s="539">
        <f>IF(AT35&gt;0,AU35,AV34)</f>
        <v>0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180</v>
      </c>
      <c r="C36" s="203">
        <f>B36*$B$4</f>
        <v>3872.9032258064517</v>
      </c>
      <c r="D36">
        <f t="shared" ref="D36" si="68">SUM(B36)</f>
        <v>180</v>
      </c>
      <c r="E36" s="203">
        <f>D36*$B$4</f>
        <v>3872.9032258064517</v>
      </c>
      <c r="F36">
        <f t="shared" ref="F36" si="69">SUM(D36)</f>
        <v>180</v>
      </c>
      <c r="G36" s="203">
        <f>F36*$B$4</f>
        <v>3872.9032258064517</v>
      </c>
      <c r="H36" s="203">
        <f t="shared" ref="H36" si="70">SUM(F36)</f>
        <v>180</v>
      </c>
      <c r="I36" s="203">
        <f>H36*$B$4</f>
        <v>3872.9032258064517</v>
      </c>
      <c r="J36" s="203">
        <f t="shared" ref="J36" si="71">SUM(H36)</f>
        <v>180</v>
      </c>
      <c r="K36" s="203">
        <f>J36*$B$4</f>
        <v>3872.9032258064517</v>
      </c>
      <c r="L36" s="203">
        <f t="shared" ref="L36" si="72">SUM(J36)</f>
        <v>180</v>
      </c>
      <c r="M36" s="203">
        <f>L36*$B$4</f>
        <v>3872.9032258064517</v>
      </c>
      <c r="N36" s="203">
        <f t="shared" ref="N36" si="73">SUM(L36)</f>
        <v>180</v>
      </c>
      <c r="O36" s="203">
        <f>N36*$B$4</f>
        <v>3872.9032258064517</v>
      </c>
      <c r="P36" s="203">
        <f t="shared" ref="P36" si="74">SUM(N36)</f>
        <v>180</v>
      </c>
      <c r="Q36" s="203">
        <f>P36*$B$4</f>
        <v>3872.9032258064517</v>
      </c>
      <c r="R36" s="203">
        <f t="shared" ref="R36" si="75">SUM(P36)</f>
        <v>180</v>
      </c>
      <c r="S36" s="203">
        <f>R36*$B$4</f>
        <v>3872.9032258064517</v>
      </c>
      <c r="T36" s="203">
        <f t="shared" ref="T36" si="76">SUM(R36)</f>
        <v>180</v>
      </c>
      <c r="U36" s="203">
        <f>T36*$B$4</f>
        <v>3872.9032258064517</v>
      </c>
      <c r="V36" s="203">
        <f t="shared" ref="V36" si="77">SUM(T36)</f>
        <v>180</v>
      </c>
      <c r="W36" s="203">
        <f>V36*$B$4</f>
        <v>3872.9032258064517</v>
      </c>
      <c r="X36" s="35">
        <f t="shared" ref="X36" si="78">SUM(Y36/73370)</f>
        <v>0.58064516129032262</v>
      </c>
      <c r="Y36" s="36">
        <f t="shared" ref="Y36" si="79">SUM(C36+E36+G36+I36+K36+M36+O36+Q36+S36+U36+W36)</f>
        <v>42601.93548387097</v>
      </c>
      <c r="Z36" s="203">
        <f>'B5'!C35</f>
        <v>187</v>
      </c>
      <c r="AA36" s="203">
        <f>SUM(Z36*$Z$4)</f>
        <v>1870</v>
      </c>
      <c r="AB36" s="203">
        <f t="shared" ref="AB36" si="80">SUM(Z36)</f>
        <v>187</v>
      </c>
      <c r="AC36" s="203">
        <f>SUM(AB36*$Z$4)</f>
        <v>1870</v>
      </c>
      <c r="AD36" s="203">
        <f t="shared" ref="AD36" si="81">SUM(AB36)</f>
        <v>187</v>
      </c>
      <c r="AE36" s="203">
        <f>SUM(AD36*$Z$4)</f>
        <v>1870</v>
      </c>
      <c r="AF36" s="203">
        <f t="shared" ref="AF36" si="82">SUM(AD36)</f>
        <v>187</v>
      </c>
      <c r="AG36" s="203">
        <f>SUM(AF36*$Z$4)</f>
        <v>1870</v>
      </c>
      <c r="AH36" s="203">
        <f t="shared" ref="AH36" si="83">SUM(AF36)</f>
        <v>187</v>
      </c>
      <c r="AI36" s="203">
        <f>SUM(AH36*$Z$4)</f>
        <v>1870</v>
      </c>
      <c r="AJ36" s="203">
        <f t="shared" ref="AJ36" si="84">SUM(AH36)</f>
        <v>187</v>
      </c>
      <c r="AK36" s="203">
        <f>SUM(AJ36*$Z$4)</f>
        <v>1870</v>
      </c>
      <c r="AL36" s="203">
        <f t="shared" ref="AL36" si="85">SUM(AJ36)</f>
        <v>187</v>
      </c>
      <c r="AM36" s="203">
        <f>SUM(AL36*$Z$4)</f>
        <v>1870</v>
      </c>
      <c r="AN36" s="35">
        <f t="shared" ref="AN36" si="86">SUM(AO36/19600)</f>
        <v>0.66785714285714282</v>
      </c>
      <c r="AO36" s="36">
        <f t="shared" ref="AO36" si="87">SUM(AA36+AC36+AE36+AG36+AI36+AK36+AM36)</f>
        <v>13090</v>
      </c>
      <c r="AQ36" s="223">
        <f>SUM(AR36/92970)</f>
        <v>0.5990312518432932</v>
      </c>
      <c r="AR36" s="38">
        <f t="shared" si="38"/>
        <v>55691.93548387097</v>
      </c>
      <c r="AS36" s="197">
        <f t="shared" si="47"/>
        <v>0</v>
      </c>
      <c r="AT36" s="340"/>
      <c r="AU36" s="549"/>
      <c r="AV36" s="539">
        <f>IF(AT36&gt;0,AU36,AV35)</f>
        <v>0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5">
        <f>SUM(AU6:AU36)/AS37</f>
        <v>0</v>
      </c>
      <c r="AX37" s="203">
        <f>SUM(AX6:AX36)</f>
        <v>-5095.5161290322721</v>
      </c>
      <c r="AY37" s="203">
        <f>SUM(AY6:AY36)</f>
        <v>-5144.5161290322721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-2572.2580645161361</v>
      </c>
      <c r="AT40" s="203"/>
    </row>
    <row r="41" spans="1:63">
      <c r="AX41">
        <v>43309</v>
      </c>
    </row>
    <row r="42" spans="1:63">
      <c r="AR42" s="203">
        <f>AR36-22000</f>
        <v>33691.93548387097</v>
      </c>
      <c r="AU42" s="203"/>
      <c r="AX42">
        <f>AX37/AX41</f>
        <v>-0.11765490149927896</v>
      </c>
    </row>
    <row r="43" spans="1:63">
      <c r="AR43">
        <f>AR42/5500</f>
        <v>6.1258064516129034</v>
      </c>
    </row>
    <row r="44" spans="1:63">
      <c r="AR44">
        <f>AR43*2</f>
        <v>12.251612903225807</v>
      </c>
    </row>
    <row r="45" spans="1:63">
      <c r="AR45" s="203"/>
    </row>
    <row r="46" spans="1:63">
      <c r="AT46" s="62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B9" sqref="B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4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59"/>
      <c r="AC4" s="660"/>
    </row>
    <row r="5" spans="1:32" ht="20.100000000000001" customHeight="1">
      <c r="A5" s="163">
        <f>ELEC!C5</f>
        <v>44563</v>
      </c>
      <c r="B5" s="622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22">
        <f t="shared" ref="F5:F34" si="8">F4</f>
        <v>160089</v>
      </c>
      <c r="G5" s="160">
        <f t="shared" si="1"/>
        <v>0</v>
      </c>
      <c r="H5" s="622">
        <f t="shared" ref="H5:H34" si="9">H4</f>
        <v>546590</v>
      </c>
      <c r="I5" s="161">
        <f t="shared" si="2"/>
        <v>0</v>
      </c>
      <c r="J5" s="622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3"/>
      <c r="W5" s="654"/>
      <c r="X5" s="654"/>
      <c r="Y5" s="655"/>
      <c r="Z5" s="26" t="s">
        <v>202</v>
      </c>
      <c r="AA5" s="26">
        <v>5000</v>
      </c>
      <c r="AB5" s="661"/>
      <c r="AC5" s="662"/>
    </row>
    <row r="6" spans="1:32" ht="20.100000000000001" customHeight="1">
      <c r="A6" s="163">
        <f>ELEC!C6</f>
        <v>44564</v>
      </c>
      <c r="B6" s="622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22">
        <f t="shared" si="8"/>
        <v>160089</v>
      </c>
      <c r="G6" s="160">
        <f t="shared" si="1"/>
        <v>0</v>
      </c>
      <c r="H6" s="622">
        <f t="shared" si="9"/>
        <v>546590</v>
      </c>
      <c r="I6" s="161">
        <f t="shared" si="2"/>
        <v>0</v>
      </c>
      <c r="J6" s="622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6"/>
      <c r="W6" s="657"/>
      <c r="X6" s="657"/>
      <c r="Y6" s="658"/>
      <c r="Z6" s="665"/>
      <c r="AA6" s="666"/>
      <c r="AB6" s="661"/>
      <c r="AC6" s="662"/>
    </row>
    <row r="7" spans="1:32" ht="20.100000000000001" customHeight="1">
      <c r="A7" s="163">
        <f>ELEC!C7</f>
        <v>44565</v>
      </c>
      <c r="B7" s="622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22">
        <v>160135</v>
      </c>
      <c r="G7" s="160">
        <f t="shared" si="1"/>
        <v>46</v>
      </c>
      <c r="H7" s="622">
        <v>546834</v>
      </c>
      <c r="I7" s="161">
        <f t="shared" si="2"/>
        <v>244</v>
      </c>
      <c r="J7" s="622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0</v>
      </c>
      <c r="R7" s="285">
        <f t="shared" si="13"/>
        <v>186.99408334670733</v>
      </c>
      <c r="S7" s="287">
        <f>SUM(ELEC!N7)</f>
        <v>6258</v>
      </c>
      <c r="T7" s="321">
        <f t="shared" si="16"/>
        <v>2.9880805903916161E-2</v>
      </c>
      <c r="V7" s="648" t="s">
        <v>203</v>
      </c>
      <c r="W7" s="649"/>
      <c r="X7" s="650" t="s">
        <v>204</v>
      </c>
      <c r="Y7" s="651"/>
      <c r="Z7" s="652"/>
      <c r="AA7" s="170"/>
      <c r="AB7" s="663"/>
      <c r="AC7" s="664"/>
    </row>
    <row r="8" spans="1:32" ht="20.100000000000001" customHeight="1">
      <c r="A8" s="163">
        <f>ELEC!C8</f>
        <v>44566</v>
      </c>
      <c r="B8" s="622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22">
        <f t="shared" si="8"/>
        <v>160135</v>
      </c>
      <c r="G8" s="160">
        <f t="shared" si="1"/>
        <v>0</v>
      </c>
      <c r="H8" s="622">
        <f t="shared" si="9"/>
        <v>546834</v>
      </c>
      <c r="I8" s="161">
        <f t="shared" si="2"/>
        <v>0</v>
      </c>
      <c r="J8" s="622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5739</v>
      </c>
      <c r="T8" s="321">
        <f>IF(S8&gt;0,R8/S8,0)</f>
        <v>2.6973869763127361E-2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22">
        <f t="shared" si="7"/>
        <v>1107276</v>
      </c>
      <c r="C9" s="254">
        <f t="shared" si="0"/>
        <v>0</v>
      </c>
      <c r="D9" s="295">
        <f t="shared" si="14"/>
        <v>0</v>
      </c>
      <c r="E9" s="295">
        <f t="shared" si="15"/>
        <v>1107276</v>
      </c>
      <c r="F9" s="622">
        <f t="shared" si="8"/>
        <v>160135</v>
      </c>
      <c r="G9" s="160">
        <f t="shared" si="1"/>
        <v>0</v>
      </c>
      <c r="H9" s="622">
        <f t="shared" si="9"/>
        <v>546834</v>
      </c>
      <c r="I9" s="161">
        <f t="shared" si="2"/>
        <v>0</v>
      </c>
      <c r="J9" s="622">
        <f t="shared" si="10"/>
        <v>400306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22">
        <f t="shared" si="7"/>
        <v>1107276</v>
      </c>
      <c r="C10" s="254">
        <f t="shared" si="0"/>
        <v>0</v>
      </c>
      <c r="D10" s="295">
        <f t="shared" si="14"/>
        <v>0</v>
      </c>
      <c r="E10" s="295">
        <f t="shared" si="15"/>
        <v>1107276</v>
      </c>
      <c r="F10" s="622">
        <f t="shared" si="8"/>
        <v>160135</v>
      </c>
      <c r="G10" s="160">
        <f t="shared" si="1"/>
        <v>0</v>
      </c>
      <c r="H10" s="622">
        <f t="shared" si="9"/>
        <v>546834</v>
      </c>
      <c r="I10" s="161">
        <f t="shared" si="2"/>
        <v>0</v>
      </c>
      <c r="J10" s="622">
        <f t="shared" si="10"/>
        <v>400306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22">
        <f t="shared" si="7"/>
        <v>1107276</v>
      </c>
      <c r="C11" s="254">
        <f t="shared" si="0"/>
        <v>0</v>
      </c>
      <c r="D11" s="295">
        <f t="shared" si="14"/>
        <v>0</v>
      </c>
      <c r="E11" s="295">
        <f t="shared" si="15"/>
        <v>1107276</v>
      </c>
      <c r="F11" s="622">
        <f t="shared" si="8"/>
        <v>160135</v>
      </c>
      <c r="G11" s="160">
        <f t="shared" si="1"/>
        <v>0</v>
      </c>
      <c r="H11" s="622">
        <f t="shared" si="9"/>
        <v>546834</v>
      </c>
      <c r="I11" s="161">
        <f t="shared" si="2"/>
        <v>0</v>
      </c>
      <c r="J11" s="622">
        <f t="shared" si="10"/>
        <v>400306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22">
        <f t="shared" si="7"/>
        <v>1107276</v>
      </c>
      <c r="C12" s="254">
        <f t="shared" si="0"/>
        <v>0</v>
      </c>
      <c r="D12" s="295">
        <f t="shared" si="14"/>
        <v>0</v>
      </c>
      <c r="E12" s="295">
        <f t="shared" si="15"/>
        <v>1107276</v>
      </c>
      <c r="F12" s="622">
        <f t="shared" si="8"/>
        <v>160135</v>
      </c>
      <c r="G12" s="160">
        <f t="shared" si="1"/>
        <v>0</v>
      </c>
      <c r="H12" s="622">
        <f t="shared" si="9"/>
        <v>546834</v>
      </c>
      <c r="I12" s="161">
        <f t="shared" si="2"/>
        <v>0</v>
      </c>
      <c r="J12" s="622">
        <f t="shared" si="10"/>
        <v>400306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22">
        <f t="shared" si="7"/>
        <v>1107276</v>
      </c>
      <c r="C13" s="254">
        <f t="shared" si="0"/>
        <v>0</v>
      </c>
      <c r="D13" s="295">
        <f t="shared" si="14"/>
        <v>0</v>
      </c>
      <c r="E13" s="295">
        <f t="shared" si="15"/>
        <v>1107276</v>
      </c>
      <c r="F13" s="622">
        <f t="shared" si="8"/>
        <v>160135</v>
      </c>
      <c r="G13" s="160">
        <f t="shared" si="1"/>
        <v>0</v>
      </c>
      <c r="H13" s="622">
        <f t="shared" si="9"/>
        <v>546834</v>
      </c>
      <c r="I13" s="161">
        <f t="shared" si="2"/>
        <v>0</v>
      </c>
      <c r="J13" s="622">
        <f t="shared" si="10"/>
        <v>400306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22">
        <f t="shared" si="7"/>
        <v>1107276</v>
      </c>
      <c r="C14" s="254">
        <f t="shared" si="0"/>
        <v>0</v>
      </c>
      <c r="D14" s="295">
        <f t="shared" si="14"/>
        <v>0</v>
      </c>
      <c r="E14" s="295">
        <f t="shared" si="15"/>
        <v>1107276</v>
      </c>
      <c r="F14" s="622">
        <f t="shared" si="8"/>
        <v>160135</v>
      </c>
      <c r="G14" s="160">
        <f t="shared" si="1"/>
        <v>0</v>
      </c>
      <c r="H14" s="622">
        <f t="shared" si="9"/>
        <v>546834</v>
      </c>
      <c r="I14" s="161">
        <f t="shared" si="2"/>
        <v>0</v>
      </c>
      <c r="J14" s="622">
        <f t="shared" si="10"/>
        <v>400306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22">
        <f t="shared" si="7"/>
        <v>1107276</v>
      </c>
      <c r="C15" s="254">
        <f t="shared" si="0"/>
        <v>0</v>
      </c>
      <c r="D15" s="295">
        <f t="shared" si="14"/>
        <v>0</v>
      </c>
      <c r="E15" s="295">
        <f t="shared" si="15"/>
        <v>1107276</v>
      </c>
      <c r="F15" s="622">
        <f t="shared" si="8"/>
        <v>160135</v>
      </c>
      <c r="G15" s="160">
        <f t="shared" si="1"/>
        <v>0</v>
      </c>
      <c r="H15" s="622">
        <f t="shared" si="9"/>
        <v>546834</v>
      </c>
      <c r="I15" s="161">
        <f t="shared" si="2"/>
        <v>0</v>
      </c>
      <c r="J15" s="622">
        <f t="shared" si="10"/>
        <v>400306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2">
        <f t="shared" si="7"/>
        <v>1107276</v>
      </c>
      <c r="C16" s="254">
        <f t="shared" si="0"/>
        <v>0</v>
      </c>
      <c r="D16" s="295">
        <f t="shared" si="14"/>
        <v>0</v>
      </c>
      <c r="E16" s="295">
        <f t="shared" si="15"/>
        <v>1107276</v>
      </c>
      <c r="F16" s="622">
        <f t="shared" si="8"/>
        <v>160135</v>
      </c>
      <c r="G16" s="160">
        <f t="shared" si="1"/>
        <v>0</v>
      </c>
      <c r="H16" s="622">
        <f t="shared" si="9"/>
        <v>546834</v>
      </c>
      <c r="I16" s="161">
        <f t="shared" si="2"/>
        <v>0</v>
      </c>
      <c r="J16" s="622">
        <f t="shared" si="10"/>
        <v>400306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592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22">
        <f t="shared" si="7"/>
        <v>1107276</v>
      </c>
      <c r="C17" s="254">
        <f t="shared" si="0"/>
        <v>0</v>
      </c>
      <c r="D17" s="295">
        <f t="shared" si="14"/>
        <v>0</v>
      </c>
      <c r="E17" s="295">
        <f t="shared" si="15"/>
        <v>1107276</v>
      </c>
      <c r="F17" s="622">
        <f t="shared" si="8"/>
        <v>160135</v>
      </c>
      <c r="G17" s="160">
        <f>F17-F16</f>
        <v>0</v>
      </c>
      <c r="H17" s="622">
        <f t="shared" si="9"/>
        <v>546834</v>
      </c>
      <c r="I17" s="161">
        <f t="shared" si="2"/>
        <v>0</v>
      </c>
      <c r="J17" s="622">
        <f t="shared" si="10"/>
        <v>400306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22">
        <f t="shared" si="7"/>
        <v>1107276</v>
      </c>
      <c r="C18" s="254">
        <f>SUM(B18-B17)</f>
        <v>0</v>
      </c>
      <c r="D18" s="295">
        <f>SUM(G18+I18+K18)</f>
        <v>0</v>
      </c>
      <c r="E18" s="295">
        <f t="shared" si="15"/>
        <v>1107276</v>
      </c>
      <c r="F18" s="622">
        <f t="shared" si="8"/>
        <v>160135</v>
      </c>
      <c r="G18" s="160">
        <f t="shared" si="1"/>
        <v>0</v>
      </c>
      <c r="H18" s="622">
        <f t="shared" si="9"/>
        <v>546834</v>
      </c>
      <c r="I18" s="161">
        <f t="shared" si="2"/>
        <v>0</v>
      </c>
      <c r="J18" s="622">
        <f t="shared" si="10"/>
        <v>400306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22">
        <f t="shared" si="7"/>
        <v>1107276</v>
      </c>
      <c r="C19" s="254">
        <f t="shared" si="0"/>
        <v>0</v>
      </c>
      <c r="D19" s="295">
        <f t="shared" si="14"/>
        <v>0</v>
      </c>
      <c r="E19" s="295">
        <f t="shared" si="15"/>
        <v>1107276</v>
      </c>
      <c r="F19" s="622">
        <f t="shared" si="8"/>
        <v>160135</v>
      </c>
      <c r="G19" s="160">
        <f t="shared" si="1"/>
        <v>0</v>
      </c>
      <c r="H19" s="622">
        <f t="shared" si="9"/>
        <v>546834</v>
      </c>
      <c r="I19" s="161">
        <f t="shared" si="2"/>
        <v>0</v>
      </c>
      <c r="J19" s="622">
        <f t="shared" si="10"/>
        <v>400306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22">
        <f t="shared" si="7"/>
        <v>1107276</v>
      </c>
      <c r="C20" s="254">
        <f t="shared" si="0"/>
        <v>0</v>
      </c>
      <c r="D20" s="295">
        <f t="shared" si="14"/>
        <v>0</v>
      </c>
      <c r="E20" s="295">
        <f t="shared" si="15"/>
        <v>1107276</v>
      </c>
      <c r="F20" s="622">
        <f t="shared" si="8"/>
        <v>160135</v>
      </c>
      <c r="G20" s="160">
        <f t="shared" si="1"/>
        <v>0</v>
      </c>
      <c r="H20" s="622">
        <f t="shared" si="9"/>
        <v>546834</v>
      </c>
      <c r="I20" s="161">
        <f t="shared" si="2"/>
        <v>0</v>
      </c>
      <c r="J20" s="622">
        <f t="shared" si="10"/>
        <v>400306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44579</v>
      </c>
      <c r="B21" s="622">
        <f t="shared" si="7"/>
        <v>1107276</v>
      </c>
      <c r="C21" s="254">
        <f t="shared" si="0"/>
        <v>0</v>
      </c>
      <c r="D21" s="295">
        <f t="shared" si="14"/>
        <v>0</v>
      </c>
      <c r="E21" s="295">
        <f t="shared" si="15"/>
        <v>1107276</v>
      </c>
      <c r="F21" s="622">
        <f t="shared" si="8"/>
        <v>160135</v>
      </c>
      <c r="G21" s="160">
        <f t="shared" si="1"/>
        <v>0</v>
      </c>
      <c r="H21" s="622">
        <f t="shared" si="9"/>
        <v>546834</v>
      </c>
      <c r="I21" s="161">
        <f t="shared" si="2"/>
        <v>0</v>
      </c>
      <c r="J21" s="622">
        <f t="shared" si="10"/>
        <v>400306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59"/>
      <c r="AC21" s="660"/>
    </row>
    <row r="22" spans="1:32" ht="20.100000000000001" customHeight="1">
      <c r="A22" s="163">
        <f>ELEC!C22</f>
        <v>44580</v>
      </c>
      <c r="B22" s="622">
        <f t="shared" si="7"/>
        <v>1107276</v>
      </c>
      <c r="C22" s="254">
        <f t="shared" si="0"/>
        <v>0</v>
      </c>
      <c r="D22" s="295">
        <f t="shared" si="14"/>
        <v>0</v>
      </c>
      <c r="E22" s="295">
        <f t="shared" si="15"/>
        <v>1107276</v>
      </c>
      <c r="F22" s="622">
        <f t="shared" si="8"/>
        <v>160135</v>
      </c>
      <c r="G22" s="160">
        <f t="shared" si="1"/>
        <v>0</v>
      </c>
      <c r="H22" s="622">
        <f t="shared" si="9"/>
        <v>546834</v>
      </c>
      <c r="I22" s="161">
        <f t="shared" si="2"/>
        <v>0</v>
      </c>
      <c r="J22" s="622">
        <f t="shared" si="10"/>
        <v>400306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3"/>
      <c r="W22" s="654"/>
      <c r="X22" s="654"/>
      <c r="Y22" s="655"/>
      <c r="Z22" s="26" t="s">
        <v>202</v>
      </c>
      <c r="AA22" s="26">
        <v>5000</v>
      </c>
      <c r="AB22" s="661"/>
      <c r="AC22" s="662"/>
    </row>
    <row r="23" spans="1:32" ht="20.100000000000001" customHeight="1">
      <c r="A23" s="163">
        <f>ELEC!C23</f>
        <v>44581</v>
      </c>
      <c r="B23" s="622">
        <f t="shared" si="7"/>
        <v>1107276</v>
      </c>
      <c r="C23" s="254">
        <f t="shared" si="0"/>
        <v>0</v>
      </c>
      <c r="D23" s="295">
        <f t="shared" si="14"/>
        <v>0</v>
      </c>
      <c r="E23" s="295">
        <f t="shared" si="15"/>
        <v>1107276</v>
      </c>
      <c r="F23" s="622">
        <f t="shared" si="8"/>
        <v>160135</v>
      </c>
      <c r="G23" s="160">
        <f t="shared" si="1"/>
        <v>0</v>
      </c>
      <c r="H23" s="622">
        <f t="shared" si="9"/>
        <v>546834</v>
      </c>
      <c r="I23" s="161">
        <f t="shared" si="2"/>
        <v>0</v>
      </c>
      <c r="J23" s="622">
        <f t="shared" si="10"/>
        <v>400306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6"/>
      <c r="W23" s="657"/>
      <c r="X23" s="657"/>
      <c r="Y23" s="658"/>
      <c r="Z23" s="665"/>
      <c r="AA23" s="666"/>
      <c r="AB23" s="661"/>
      <c r="AC23" s="662"/>
    </row>
    <row r="24" spans="1:32" ht="20.100000000000001" customHeight="1">
      <c r="A24" s="163">
        <f>ELEC!C24</f>
        <v>44582</v>
      </c>
      <c r="B24" s="622">
        <f t="shared" si="7"/>
        <v>1107276</v>
      </c>
      <c r="C24" s="254">
        <f t="shared" si="0"/>
        <v>0</v>
      </c>
      <c r="D24" s="295">
        <f t="shared" si="14"/>
        <v>0</v>
      </c>
      <c r="E24" s="295">
        <f t="shared" si="15"/>
        <v>1107276</v>
      </c>
      <c r="F24" s="622">
        <f t="shared" si="8"/>
        <v>160135</v>
      </c>
      <c r="G24" s="160">
        <f t="shared" si="1"/>
        <v>0</v>
      </c>
      <c r="H24" s="622">
        <f t="shared" si="9"/>
        <v>546834</v>
      </c>
      <c r="I24" s="161">
        <f t="shared" si="2"/>
        <v>0</v>
      </c>
      <c r="J24" s="622">
        <f t="shared" si="10"/>
        <v>400306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48" t="s">
        <v>203</v>
      </c>
      <c r="W24" s="649"/>
      <c r="X24" s="650" t="s">
        <v>204</v>
      </c>
      <c r="Y24" s="651"/>
      <c r="Z24" s="652"/>
      <c r="AA24" s="170"/>
      <c r="AB24" s="663"/>
      <c r="AC24" s="664"/>
    </row>
    <row r="25" spans="1:32" ht="20.100000000000001" customHeight="1">
      <c r="A25" s="163">
        <f>ELEC!C25</f>
        <v>44583</v>
      </c>
      <c r="B25" s="622">
        <f t="shared" si="7"/>
        <v>1107276</v>
      </c>
      <c r="C25" s="254">
        <f t="shared" si="0"/>
        <v>0</v>
      </c>
      <c r="D25" s="295">
        <f t="shared" si="14"/>
        <v>0</v>
      </c>
      <c r="E25" s="295">
        <f t="shared" si="15"/>
        <v>1107276</v>
      </c>
      <c r="F25" s="622">
        <f t="shared" si="8"/>
        <v>160135</v>
      </c>
      <c r="G25" s="160">
        <f t="shared" si="1"/>
        <v>0</v>
      </c>
      <c r="H25" s="622">
        <f t="shared" si="9"/>
        <v>546834</v>
      </c>
      <c r="I25" s="161">
        <f t="shared" si="2"/>
        <v>0</v>
      </c>
      <c r="J25" s="622">
        <f t="shared" si="10"/>
        <v>400306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22">
        <f t="shared" si="7"/>
        <v>1107276</v>
      </c>
      <c r="C26" s="254">
        <f t="shared" si="0"/>
        <v>0</v>
      </c>
      <c r="D26" s="295">
        <f t="shared" si="14"/>
        <v>0</v>
      </c>
      <c r="E26" s="295">
        <f t="shared" si="15"/>
        <v>1107276</v>
      </c>
      <c r="F26" s="622">
        <f t="shared" si="8"/>
        <v>160135</v>
      </c>
      <c r="G26" s="160">
        <f t="shared" si="1"/>
        <v>0</v>
      </c>
      <c r="H26" s="622">
        <f t="shared" si="9"/>
        <v>546834</v>
      </c>
      <c r="I26" s="161">
        <f t="shared" si="2"/>
        <v>0</v>
      </c>
      <c r="J26" s="622">
        <f t="shared" si="10"/>
        <v>400306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400225</v>
      </c>
      <c r="W26" s="170">
        <f>J34</f>
        <v>400306</v>
      </c>
      <c r="X26" s="172" t="s">
        <v>199</v>
      </c>
      <c r="Y26" s="172">
        <v>80</v>
      </c>
      <c r="Z26" s="172">
        <v>1</v>
      </c>
      <c r="AA26" s="323">
        <f>(W26-V26)*Z26</f>
        <v>81</v>
      </c>
      <c r="AB26" s="323">
        <f>AA26*Y26</f>
        <v>6480</v>
      </c>
      <c r="AC26" s="244">
        <f>AC9</f>
        <v>1033333</v>
      </c>
      <c r="AD26" s="476">
        <f>SUM(K36)</f>
        <v>0.21832884097035041</v>
      </c>
    </row>
    <row r="27" spans="1:32" ht="20.100000000000001" customHeight="1">
      <c r="A27" s="163">
        <f>ELEC!C27</f>
        <v>44585</v>
      </c>
      <c r="B27" s="622">
        <f t="shared" si="7"/>
        <v>1107276</v>
      </c>
      <c r="C27" s="254">
        <f t="shared" si="0"/>
        <v>0</v>
      </c>
      <c r="D27" s="295">
        <f t="shared" si="14"/>
        <v>0</v>
      </c>
      <c r="E27" s="295">
        <f t="shared" si="15"/>
        <v>1107276</v>
      </c>
      <c r="F27" s="622">
        <f t="shared" si="8"/>
        <v>160135</v>
      </c>
      <c r="G27" s="160">
        <f t="shared" si="1"/>
        <v>0</v>
      </c>
      <c r="H27" s="622">
        <f t="shared" si="9"/>
        <v>546834</v>
      </c>
      <c r="I27" s="161">
        <f t="shared" si="2"/>
        <v>0</v>
      </c>
      <c r="J27" s="622">
        <f t="shared" si="10"/>
        <v>400306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546590</v>
      </c>
      <c r="W27" s="170">
        <f>H34</f>
        <v>546834</v>
      </c>
      <c r="X27" s="172" t="s">
        <v>212</v>
      </c>
      <c r="Y27" s="172">
        <v>112</v>
      </c>
      <c r="Z27" s="172">
        <v>1</v>
      </c>
      <c r="AA27" s="323">
        <f>(W27-V27)*Z27</f>
        <v>244</v>
      </c>
      <c r="AB27" s="323">
        <f>SUM(AA27*Y27)</f>
        <v>27328</v>
      </c>
      <c r="AC27" s="244">
        <f>AC10</f>
        <v>6200000</v>
      </c>
      <c r="AD27" s="476">
        <f>SUM(I36)</f>
        <v>0.65768194070080865</v>
      </c>
    </row>
    <row r="28" spans="1:32" ht="20.100000000000001" customHeight="1">
      <c r="A28" s="163">
        <f>ELEC!C28</f>
        <v>44586</v>
      </c>
      <c r="B28" s="622">
        <f t="shared" si="7"/>
        <v>1107276</v>
      </c>
      <c r="C28" s="254">
        <f t="shared" si="0"/>
        <v>0</v>
      </c>
      <c r="D28" s="295">
        <f t="shared" si="14"/>
        <v>0</v>
      </c>
      <c r="E28" s="295">
        <f>B27+D28</f>
        <v>1107276</v>
      </c>
      <c r="F28" s="622">
        <f t="shared" si="8"/>
        <v>160135</v>
      </c>
      <c r="G28" s="160">
        <f t="shared" si="1"/>
        <v>0</v>
      </c>
      <c r="H28" s="622">
        <f t="shared" si="9"/>
        <v>546834</v>
      </c>
      <c r="I28" s="161">
        <f t="shared" si="2"/>
        <v>0</v>
      </c>
      <c r="J28" s="622">
        <f t="shared" si="10"/>
        <v>400306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160135</v>
      </c>
      <c r="X28" s="172" t="s">
        <v>197</v>
      </c>
      <c r="Y28" s="172">
        <v>320</v>
      </c>
      <c r="Z28" s="172">
        <v>1</v>
      </c>
      <c r="AA28" s="323">
        <f>(W28-V28)*Z28</f>
        <v>46</v>
      </c>
      <c r="AB28" s="323">
        <f>SUM(AA28*Y28)</f>
        <v>14720</v>
      </c>
      <c r="AC28" s="244">
        <f>AC11</f>
        <v>1000</v>
      </c>
      <c r="AD28" s="476">
        <f>SUM(G36)</f>
        <v>0.12398921832884097</v>
      </c>
      <c r="AE28" s="40">
        <f>SUM(AB28*5%)</f>
        <v>736</v>
      </c>
      <c r="AF28" s="82">
        <f>SUM(AE28/7)*31</f>
        <v>3259.4285714285711</v>
      </c>
    </row>
    <row r="29" spans="1:32" ht="20.100000000000001" customHeight="1">
      <c r="A29" s="163">
        <f>ELEC!C29</f>
        <v>44587</v>
      </c>
      <c r="B29" s="622">
        <f t="shared" si="7"/>
        <v>1107276</v>
      </c>
      <c r="C29" s="254">
        <f t="shared" si="0"/>
        <v>0</v>
      </c>
      <c r="D29" s="295">
        <f t="shared" si="14"/>
        <v>0</v>
      </c>
      <c r="E29" s="295">
        <f>B28+D29</f>
        <v>1107276</v>
      </c>
      <c r="F29" s="622">
        <f t="shared" si="8"/>
        <v>160135</v>
      </c>
      <c r="G29" s="160">
        <f t="shared" si="1"/>
        <v>0</v>
      </c>
      <c r="H29" s="622">
        <f t="shared" si="9"/>
        <v>546834</v>
      </c>
      <c r="I29" s="161">
        <f t="shared" si="2"/>
        <v>0</v>
      </c>
      <c r="J29" s="622">
        <f t="shared" si="10"/>
        <v>400306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371</v>
      </c>
      <c r="AB29" s="323">
        <f>SUM(AB26:AB28)</f>
        <v>48528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22">
        <f t="shared" si="7"/>
        <v>1107276</v>
      </c>
      <c r="C30" s="254">
        <f t="shared" si="0"/>
        <v>0</v>
      </c>
      <c r="D30" s="295">
        <f t="shared" si="14"/>
        <v>0</v>
      </c>
      <c r="E30" s="295">
        <f t="shared" si="15"/>
        <v>1107276</v>
      </c>
      <c r="F30" s="622">
        <f t="shared" si="8"/>
        <v>160135</v>
      </c>
      <c r="G30" s="160">
        <f t="shared" si="1"/>
        <v>0</v>
      </c>
      <c r="H30" s="622">
        <f t="shared" si="9"/>
        <v>546834</v>
      </c>
      <c r="I30" s="161">
        <f t="shared" si="2"/>
        <v>0</v>
      </c>
      <c r="J30" s="622">
        <f t="shared" si="10"/>
        <v>400306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7282861</v>
      </c>
      <c r="AC30" s="244"/>
    </row>
    <row r="31" spans="1:32" ht="20.100000000000001" customHeight="1">
      <c r="A31" s="163">
        <f>ELEC!C31</f>
        <v>44589</v>
      </c>
      <c r="B31" s="622">
        <f t="shared" si="7"/>
        <v>1107276</v>
      </c>
      <c r="C31" s="254">
        <f>SUM(B31-B30)</f>
        <v>0</v>
      </c>
      <c r="D31" s="295">
        <f t="shared" si="14"/>
        <v>0</v>
      </c>
      <c r="E31" s="295">
        <f>B30+D31</f>
        <v>1107276</v>
      </c>
      <c r="F31" s="622">
        <f t="shared" si="8"/>
        <v>160135</v>
      </c>
      <c r="G31" s="160">
        <f>F31-F30</f>
        <v>0</v>
      </c>
      <c r="H31" s="622">
        <f t="shared" si="9"/>
        <v>546834</v>
      </c>
      <c r="I31" s="161">
        <f>H31-H30</f>
        <v>0</v>
      </c>
      <c r="J31" s="622">
        <f t="shared" si="10"/>
        <v>400306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22">
        <f t="shared" si="7"/>
        <v>1107276</v>
      </c>
      <c r="C32" s="254">
        <f>SUM(B32-B31)</f>
        <v>0</v>
      </c>
      <c r="D32" s="295">
        <f t="shared" si="14"/>
        <v>0</v>
      </c>
      <c r="E32" s="295">
        <f>B31+D32</f>
        <v>1107276</v>
      </c>
      <c r="F32" s="622">
        <f t="shared" si="8"/>
        <v>160135</v>
      </c>
      <c r="G32" s="160">
        <f>F32-F31</f>
        <v>0</v>
      </c>
      <c r="H32" s="622">
        <f t="shared" si="9"/>
        <v>546834</v>
      </c>
      <c r="I32" s="161">
        <f>H32-H31</f>
        <v>0</v>
      </c>
      <c r="J32" s="622">
        <f t="shared" si="10"/>
        <v>400306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22</v>
      </c>
      <c r="X32" s="222">
        <f>SUM(W32/A35)</f>
        <v>11</v>
      </c>
      <c r="Y32" s="250">
        <f>SUM(X32/1)</f>
        <v>11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22">
        <f t="shared" si="7"/>
        <v>1107276</v>
      </c>
      <c r="C33" s="254">
        <f>SUM(B33-B32)</f>
        <v>0</v>
      </c>
      <c r="D33" s="295">
        <f t="shared" si="14"/>
        <v>0</v>
      </c>
      <c r="E33" s="295">
        <f>B32+D33</f>
        <v>1107276</v>
      </c>
      <c r="F33" s="622">
        <f t="shared" si="8"/>
        <v>160135</v>
      </c>
      <c r="G33" s="160">
        <f>F33-F32</f>
        <v>0</v>
      </c>
      <c r="H33" s="622">
        <f t="shared" si="9"/>
        <v>546834</v>
      </c>
      <c r="I33" s="161">
        <f>H33-H32</f>
        <v>0</v>
      </c>
      <c r="J33" s="622">
        <f t="shared" si="10"/>
        <v>400306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801114.71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22">
        <f t="shared" si="7"/>
        <v>1107276</v>
      </c>
      <c r="C34" s="254">
        <f>SUM(B34-B33)</f>
        <v>0</v>
      </c>
      <c r="D34" s="295">
        <f t="shared" ref="D34" si="20">SUM(G34+I34+K34)</f>
        <v>0</v>
      </c>
      <c r="E34" s="295">
        <f>B33+D34</f>
        <v>1107276</v>
      </c>
      <c r="F34" s="622">
        <f t="shared" si="8"/>
        <v>160135</v>
      </c>
      <c r="G34" s="160">
        <f>F34-F33</f>
        <v>0</v>
      </c>
      <c r="H34" s="622">
        <f t="shared" si="9"/>
        <v>546834</v>
      </c>
      <c r="I34" s="161">
        <f>H34-H33</f>
        <v>0</v>
      </c>
      <c r="J34" s="622">
        <f t="shared" si="10"/>
        <v>400306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8083975.71</v>
      </c>
      <c r="AC34" s="244">
        <f>SUM(AC30)</f>
        <v>0</v>
      </c>
    </row>
    <row r="35" spans="1:32" ht="15.75" thickBot="1">
      <c r="A35" s="501">
        <f>A37-COUNTIF(C4:C33,0)</f>
        <v>2</v>
      </c>
      <c r="C35" s="173">
        <f>SUM(C4:C34)/A35</f>
        <v>185.5</v>
      </c>
      <c r="D35" s="173"/>
      <c r="E35" s="173"/>
      <c r="F35" s="568"/>
      <c r="G35" s="568">
        <f>SUM(G4:G34)/A35</f>
        <v>23</v>
      </c>
      <c r="H35" s="173"/>
      <c r="I35" s="173">
        <f>SUM(I4:I34)/A35</f>
        <v>122</v>
      </c>
      <c r="K35" s="173">
        <f>SUM(K4:K34)/A35</f>
        <v>40.5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0.12398921832884097</v>
      </c>
      <c r="H36" s="212"/>
      <c r="I36" s="225">
        <f>SUM(I35/C35)</f>
        <v>0.65768194070080865</v>
      </c>
      <c r="J36" s="212"/>
      <c r="K36" s="225">
        <f>SUM(K35/C35)</f>
        <v>0.21832884097035041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4831.0852404643447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4831.0852404643447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7"/>
      <c r="AC45" s="667"/>
      <c r="AD45" s="543"/>
      <c r="AE45" s="17"/>
      <c r="AF45" s="17"/>
    </row>
    <row r="46" spans="1:32">
      <c r="V46" s="667"/>
      <c r="W46" s="667"/>
      <c r="X46" s="667"/>
      <c r="Y46" s="667"/>
      <c r="Z46" s="508"/>
      <c r="AA46" s="508"/>
      <c r="AB46" s="667"/>
      <c r="AC46" s="667"/>
      <c r="AD46" s="543"/>
      <c r="AE46" s="17"/>
      <c r="AF46" s="17"/>
    </row>
    <row r="47" spans="1:32">
      <c r="V47" s="667"/>
      <c r="W47" s="667"/>
      <c r="X47" s="667"/>
      <c r="Y47" s="667"/>
      <c r="Z47" s="667"/>
      <c r="AA47" s="667"/>
      <c r="AB47" s="667"/>
      <c r="AC47" s="667"/>
      <c r="AD47" s="543"/>
      <c r="AE47" s="17"/>
      <c r="AF47" s="17"/>
    </row>
    <row r="48" spans="1:32">
      <c r="V48" s="668"/>
      <c r="W48" s="668"/>
      <c r="X48" s="669"/>
      <c r="Y48" s="669"/>
      <c r="Z48" s="669"/>
      <c r="AA48" s="509"/>
      <c r="AB48" s="667"/>
      <c r="AC48" s="66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9" sqref="F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0" t="s">
        <v>193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2"/>
    </row>
    <row r="2" spans="1:15" ht="15.75" customHeight="1" thickBot="1">
      <c r="A2" s="673"/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5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16.75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-5.0999999999999943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44569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80" t="s">
        <v>119</v>
      </c>
      <c r="C1" s="680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77" t="s">
        <v>115</v>
      </c>
      <c r="I1" s="678" t="s">
        <v>116</v>
      </c>
      <c r="J1" s="677" t="s">
        <v>117</v>
      </c>
      <c r="K1" s="676" t="s">
        <v>121</v>
      </c>
      <c r="L1" s="676" t="s">
        <v>122</v>
      </c>
      <c r="M1" s="676" t="s">
        <v>123</v>
      </c>
      <c r="N1" s="676" t="s">
        <v>124</v>
      </c>
    </row>
    <row r="2" spans="1:14">
      <c r="A2" s="683"/>
      <c r="B2" s="681"/>
      <c r="C2" s="681"/>
      <c r="D2" s="684"/>
      <c r="E2" s="684"/>
      <c r="F2" s="685"/>
      <c r="G2" s="686"/>
      <c r="H2" s="677"/>
      <c r="I2" s="679"/>
      <c r="J2" s="677"/>
      <c r="K2" s="676"/>
      <c r="L2" s="676"/>
      <c r="M2" s="676"/>
      <c r="N2" s="67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7</v>
      </c>
      <c r="G10" s="78">
        <f>WATER!BG10</f>
        <v>-5.0999999999999943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7" t="s">
        <v>151</v>
      </c>
      <c r="U3" s="68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316</v>
      </c>
      <c r="C1" s="701"/>
      <c r="D1" s="703"/>
      <c r="E1" s="700" t="s">
        <v>317</v>
      </c>
      <c r="F1" s="701"/>
      <c r="G1" s="702"/>
      <c r="H1" s="697" t="s">
        <v>321</v>
      </c>
      <c r="I1" s="694" t="s">
        <v>322</v>
      </c>
      <c r="J1" s="691" t="s">
        <v>43</v>
      </c>
    </row>
    <row r="2" spans="1:18" ht="38.25" thickBot="1">
      <c r="A2" s="689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8"/>
      <c r="I2" s="695"/>
      <c r="J2" s="692"/>
    </row>
    <row r="3" spans="1:18" ht="24" customHeight="1" thickBot="1">
      <c r="A3" s="690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9"/>
      <c r="I3" s="696"/>
      <c r="J3" s="693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4">
        <f>'[2]Swimming Pool quality check '!$A$36</f>
        <v>44561</v>
      </c>
      <c r="B5" s="615">
        <f>'[2]Swimming Pool quality check '!B36</f>
        <v>2.2000000000000002</v>
      </c>
      <c r="C5" s="615">
        <f>'[2]Swimming Pool quality check '!C36</f>
        <v>7.8</v>
      </c>
      <c r="D5" s="615">
        <f>'[2]Swimming Pool quality check '!D36</f>
        <v>0</v>
      </c>
      <c r="E5" s="615">
        <f>'[5]Swimming Pool quality check '!E35</f>
        <v>0</v>
      </c>
      <c r="F5" s="615">
        <f>'[5]Swimming Pool quality check '!F35</f>
        <v>0</v>
      </c>
      <c r="G5" s="615">
        <f>'[5]Swimming Pool quality check '!G35</f>
        <v>0</v>
      </c>
      <c r="H5" s="616">
        <f>'[2]Swimming Pool quality check '!$H$36</f>
        <v>6976</v>
      </c>
      <c r="I5" s="617">
        <f>'[6]Swimming Pool quality check '!I36</f>
        <v>0</v>
      </c>
      <c r="J5" s="618">
        <f>'[7]Swimming Pool quality check '!J36</f>
        <v>0.33333333333333398</v>
      </c>
      <c r="K5" s="588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9">
        <f>ELEC!C4</f>
        <v>44562</v>
      </c>
      <c r="B6" s="610"/>
      <c r="C6" s="461"/>
      <c r="D6" s="461">
        <v>0</v>
      </c>
      <c r="E6" s="461">
        <v>0</v>
      </c>
      <c r="F6" s="461">
        <v>0</v>
      </c>
      <c r="G6" s="461">
        <v>0</v>
      </c>
      <c r="H6" s="611">
        <f>H5</f>
        <v>6976</v>
      </c>
      <c r="I6" s="612">
        <f>H6-H5</f>
        <v>0</v>
      </c>
      <c r="J6" s="613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44563</v>
      </c>
      <c r="B7" s="604"/>
      <c r="C7" s="606"/>
      <c r="D7" s="606">
        <v>0</v>
      </c>
      <c r="E7" s="606">
        <v>0</v>
      </c>
      <c r="F7" s="606">
        <v>0</v>
      </c>
      <c r="G7" s="606">
        <v>0</v>
      </c>
      <c r="H7" s="611">
        <f t="shared" ref="H7:H36" si="1">H6</f>
        <v>6976</v>
      </c>
      <c r="I7" s="602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44564</v>
      </c>
      <c r="B8" s="604"/>
      <c r="C8" s="606"/>
      <c r="D8" s="606">
        <v>0</v>
      </c>
      <c r="E8" s="606">
        <v>0</v>
      </c>
      <c r="F8" s="606">
        <v>0</v>
      </c>
      <c r="G8" s="606">
        <v>0</v>
      </c>
      <c r="H8" s="611">
        <f t="shared" si="1"/>
        <v>6976</v>
      </c>
      <c r="I8" s="602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44565</v>
      </c>
      <c r="B9" s="604">
        <v>2.2000000000000002</v>
      </c>
      <c r="C9" s="606">
        <v>7.8</v>
      </c>
      <c r="D9" s="606">
        <v>0</v>
      </c>
      <c r="E9" s="606">
        <v>0</v>
      </c>
      <c r="F9" s="606">
        <v>0</v>
      </c>
      <c r="G9" s="606">
        <v>0</v>
      </c>
      <c r="H9" s="611">
        <f t="shared" si="1"/>
        <v>6976</v>
      </c>
      <c r="I9" s="602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44566</v>
      </c>
      <c r="B10" s="604">
        <v>1.5</v>
      </c>
      <c r="C10" s="606">
        <v>8</v>
      </c>
      <c r="D10" s="606">
        <v>0</v>
      </c>
      <c r="E10" s="606">
        <v>0</v>
      </c>
      <c r="F10" s="606">
        <v>0</v>
      </c>
      <c r="G10" s="606">
        <v>0</v>
      </c>
      <c r="H10" s="611">
        <v>6983</v>
      </c>
      <c r="I10" s="602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44567</v>
      </c>
      <c r="B11" s="604"/>
      <c r="C11" s="606"/>
      <c r="D11" s="606">
        <v>0</v>
      </c>
      <c r="E11" s="606">
        <v>0</v>
      </c>
      <c r="F11" s="606">
        <v>0</v>
      </c>
      <c r="G11" s="606">
        <v>0</v>
      </c>
      <c r="H11" s="611">
        <f t="shared" si="1"/>
        <v>6983</v>
      </c>
      <c r="I11" s="602">
        <f t="shared" si="4"/>
        <v>0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44568</v>
      </c>
      <c r="B12" s="604"/>
      <c r="C12" s="606"/>
      <c r="D12" s="606">
        <v>0</v>
      </c>
      <c r="E12" s="606">
        <v>0</v>
      </c>
      <c r="F12" s="606">
        <v>0</v>
      </c>
      <c r="G12" s="606">
        <v>0</v>
      </c>
      <c r="H12" s="611">
        <f t="shared" si="1"/>
        <v>6983</v>
      </c>
      <c r="I12" s="602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44569</v>
      </c>
      <c r="B13" s="604"/>
      <c r="C13" s="606"/>
      <c r="D13" s="606">
        <v>0</v>
      </c>
      <c r="E13" s="606">
        <v>0</v>
      </c>
      <c r="F13" s="606">
        <v>0</v>
      </c>
      <c r="G13" s="606">
        <v>0</v>
      </c>
      <c r="H13" s="611">
        <f t="shared" si="1"/>
        <v>6983</v>
      </c>
      <c r="I13" s="602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44570</v>
      </c>
      <c r="B14" s="604"/>
      <c r="C14" s="606"/>
      <c r="D14" s="606">
        <v>0</v>
      </c>
      <c r="E14" s="606">
        <v>0</v>
      </c>
      <c r="F14" s="606">
        <v>0</v>
      </c>
      <c r="G14" s="606">
        <v>0</v>
      </c>
      <c r="H14" s="611">
        <f t="shared" si="1"/>
        <v>6983</v>
      </c>
      <c r="I14" s="602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44571</v>
      </c>
      <c r="B15" s="604"/>
      <c r="C15" s="606"/>
      <c r="D15" s="606">
        <v>0</v>
      </c>
      <c r="E15" s="606">
        <v>0</v>
      </c>
      <c r="F15" s="606">
        <v>0</v>
      </c>
      <c r="G15" s="606">
        <v>0</v>
      </c>
      <c r="H15" s="611">
        <f t="shared" si="1"/>
        <v>6983</v>
      </c>
      <c r="I15" s="602">
        <f t="shared" si="4"/>
        <v>0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44572</v>
      </c>
      <c r="B16" s="604"/>
      <c r="C16" s="606"/>
      <c r="D16" s="606">
        <v>0</v>
      </c>
      <c r="E16" s="606">
        <v>0</v>
      </c>
      <c r="F16" s="606">
        <v>0</v>
      </c>
      <c r="G16" s="606">
        <v>0</v>
      </c>
      <c r="H16" s="611">
        <f t="shared" si="1"/>
        <v>6983</v>
      </c>
      <c r="I16" s="602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44573</v>
      </c>
      <c r="B17" s="604"/>
      <c r="C17" s="606"/>
      <c r="D17" s="606">
        <v>0</v>
      </c>
      <c r="E17" s="606">
        <v>0</v>
      </c>
      <c r="F17" s="606">
        <v>0</v>
      </c>
      <c r="G17" s="606">
        <v>0</v>
      </c>
      <c r="H17" s="611">
        <f t="shared" si="1"/>
        <v>6983</v>
      </c>
      <c r="I17" s="602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44574</v>
      </c>
      <c r="B18" s="604"/>
      <c r="C18" s="606"/>
      <c r="D18" s="606">
        <v>0</v>
      </c>
      <c r="E18" s="606">
        <v>0</v>
      </c>
      <c r="F18" s="606">
        <v>0</v>
      </c>
      <c r="G18" s="606">
        <v>0</v>
      </c>
      <c r="H18" s="611">
        <f t="shared" si="1"/>
        <v>6983</v>
      </c>
      <c r="I18" s="602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44575</v>
      </c>
      <c r="B19" s="604"/>
      <c r="C19" s="606"/>
      <c r="D19" s="606">
        <v>0</v>
      </c>
      <c r="E19" s="606">
        <v>0</v>
      </c>
      <c r="F19" s="606">
        <v>0</v>
      </c>
      <c r="G19" s="606">
        <v>0</v>
      </c>
      <c r="H19" s="611">
        <f t="shared" si="1"/>
        <v>6983</v>
      </c>
      <c r="I19" s="602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44576</v>
      </c>
      <c r="B20" s="604"/>
      <c r="C20" s="606"/>
      <c r="D20" s="606">
        <v>0</v>
      </c>
      <c r="E20" s="606">
        <v>0</v>
      </c>
      <c r="F20" s="606">
        <v>0</v>
      </c>
      <c r="G20" s="606">
        <v>0</v>
      </c>
      <c r="H20" s="611">
        <f t="shared" si="1"/>
        <v>6983</v>
      </c>
      <c r="I20" s="602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44577</v>
      </c>
      <c r="B21" s="604"/>
      <c r="C21" s="606"/>
      <c r="D21" s="606">
        <v>0</v>
      </c>
      <c r="E21" s="606">
        <v>0</v>
      </c>
      <c r="F21" s="606">
        <v>0</v>
      </c>
      <c r="G21" s="606">
        <v>0</v>
      </c>
      <c r="H21" s="611">
        <f t="shared" si="1"/>
        <v>6983</v>
      </c>
      <c r="I21" s="602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44578</v>
      </c>
      <c r="B22" s="604"/>
      <c r="C22" s="606"/>
      <c r="D22" s="606">
        <v>0</v>
      </c>
      <c r="E22" s="606">
        <v>0</v>
      </c>
      <c r="F22" s="606">
        <v>0</v>
      </c>
      <c r="G22" s="606">
        <v>0</v>
      </c>
      <c r="H22" s="611">
        <f t="shared" si="1"/>
        <v>6983</v>
      </c>
      <c r="I22" s="602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44579</v>
      </c>
      <c r="B23" s="604"/>
      <c r="C23" s="606"/>
      <c r="D23" s="606">
        <v>0</v>
      </c>
      <c r="E23" s="606">
        <v>0</v>
      </c>
      <c r="F23" s="606">
        <v>0</v>
      </c>
      <c r="G23" s="606">
        <v>0</v>
      </c>
      <c r="H23" s="611">
        <f t="shared" si="1"/>
        <v>6983</v>
      </c>
      <c r="I23" s="602">
        <f t="shared" si="4"/>
        <v>0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44580</v>
      </c>
      <c r="B24" s="604"/>
      <c r="C24" s="606"/>
      <c r="D24" s="606">
        <v>0</v>
      </c>
      <c r="E24" s="606">
        <v>0</v>
      </c>
      <c r="F24" s="606">
        <v>0</v>
      </c>
      <c r="G24" s="606">
        <v>0</v>
      </c>
      <c r="H24" s="611">
        <f t="shared" si="1"/>
        <v>6983</v>
      </c>
      <c r="I24" s="602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44581</v>
      </c>
      <c r="B25" s="604"/>
      <c r="C25" s="606"/>
      <c r="D25" s="606">
        <v>0</v>
      </c>
      <c r="E25" s="606">
        <v>0</v>
      </c>
      <c r="F25" s="606">
        <v>0</v>
      </c>
      <c r="G25" s="606">
        <v>0</v>
      </c>
      <c r="H25" s="611">
        <f t="shared" si="1"/>
        <v>6983</v>
      </c>
      <c r="I25" s="602">
        <f t="shared" si="4"/>
        <v>0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44582</v>
      </c>
      <c r="B26" s="604"/>
      <c r="C26" s="606"/>
      <c r="D26" s="606">
        <v>0</v>
      </c>
      <c r="E26" s="606">
        <v>0</v>
      </c>
      <c r="F26" s="606">
        <v>0</v>
      </c>
      <c r="G26" s="606">
        <v>0</v>
      </c>
      <c r="H26" s="611">
        <f t="shared" si="1"/>
        <v>6983</v>
      </c>
      <c r="I26" s="602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44583</v>
      </c>
      <c r="B27" s="604"/>
      <c r="C27" s="606"/>
      <c r="D27" s="606">
        <v>0</v>
      </c>
      <c r="E27" s="606">
        <v>0</v>
      </c>
      <c r="F27" s="606">
        <v>0</v>
      </c>
      <c r="G27" s="606">
        <v>0</v>
      </c>
      <c r="H27" s="611">
        <f t="shared" si="1"/>
        <v>6983</v>
      </c>
      <c r="I27" s="602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44584</v>
      </c>
      <c r="B28" s="604"/>
      <c r="C28" s="621"/>
      <c r="D28" s="606">
        <v>0</v>
      </c>
      <c r="E28" s="606">
        <v>0</v>
      </c>
      <c r="F28" s="606">
        <v>0</v>
      </c>
      <c r="G28" s="606">
        <v>0</v>
      </c>
      <c r="H28" s="611">
        <f t="shared" si="1"/>
        <v>6983</v>
      </c>
      <c r="I28" s="602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44585</v>
      </c>
      <c r="B29" s="604"/>
      <c r="C29" s="606"/>
      <c r="D29" s="606">
        <v>0</v>
      </c>
      <c r="E29" s="606">
        <v>0</v>
      </c>
      <c r="F29" s="606">
        <v>0</v>
      </c>
      <c r="G29" s="606">
        <v>0</v>
      </c>
      <c r="H29" s="611">
        <f t="shared" si="1"/>
        <v>6983</v>
      </c>
      <c r="I29" s="602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44586</v>
      </c>
      <c r="B30" s="604"/>
      <c r="C30" s="606"/>
      <c r="D30" s="606">
        <v>0</v>
      </c>
      <c r="E30" s="606">
        <v>0</v>
      </c>
      <c r="F30" s="606">
        <v>0</v>
      </c>
      <c r="G30" s="606">
        <v>0</v>
      </c>
      <c r="H30" s="611">
        <f t="shared" si="1"/>
        <v>6983</v>
      </c>
      <c r="I30" s="602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44587</v>
      </c>
      <c r="B31" s="604"/>
      <c r="C31" s="606"/>
      <c r="D31" s="606">
        <v>0</v>
      </c>
      <c r="E31" s="606">
        <v>0</v>
      </c>
      <c r="F31" s="606">
        <v>0</v>
      </c>
      <c r="G31" s="606">
        <v>0</v>
      </c>
      <c r="H31" s="611">
        <f t="shared" si="1"/>
        <v>6983</v>
      </c>
      <c r="I31" s="602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44588</v>
      </c>
      <c r="B32" s="604"/>
      <c r="C32" s="606"/>
      <c r="D32" s="606">
        <v>0</v>
      </c>
      <c r="E32" s="606">
        <v>0</v>
      </c>
      <c r="F32" s="606">
        <v>0</v>
      </c>
      <c r="G32" s="606">
        <v>0</v>
      </c>
      <c r="H32" s="611">
        <f t="shared" si="1"/>
        <v>6983</v>
      </c>
      <c r="I32" s="602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44589</v>
      </c>
      <c r="B33" s="604"/>
      <c r="C33" s="606"/>
      <c r="D33" s="606">
        <v>0</v>
      </c>
      <c r="E33" s="606">
        <v>0</v>
      </c>
      <c r="F33" s="606">
        <v>0</v>
      </c>
      <c r="G33" s="606">
        <v>0</v>
      </c>
      <c r="H33" s="611">
        <f t="shared" si="1"/>
        <v>6983</v>
      </c>
      <c r="I33" s="602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44590</v>
      </c>
      <c r="B34" s="604"/>
      <c r="C34" s="606"/>
      <c r="D34" s="606">
        <v>0</v>
      </c>
      <c r="E34" s="606">
        <v>0</v>
      </c>
      <c r="F34" s="606">
        <v>0</v>
      </c>
      <c r="G34" s="606">
        <v>0</v>
      </c>
      <c r="H34" s="611">
        <f t="shared" si="1"/>
        <v>6983</v>
      </c>
      <c r="I34" s="602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44591</v>
      </c>
      <c r="B35" s="604"/>
      <c r="C35" s="606"/>
      <c r="D35" s="606">
        <v>0</v>
      </c>
      <c r="E35" s="606">
        <v>0</v>
      </c>
      <c r="F35" s="606">
        <v>0</v>
      </c>
      <c r="G35" s="606">
        <v>0</v>
      </c>
      <c r="H35" s="611">
        <f t="shared" si="1"/>
        <v>6983</v>
      </c>
      <c r="I35" s="602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44592</v>
      </c>
      <c r="B36" s="607"/>
      <c r="C36" s="608"/>
      <c r="D36" s="608">
        <v>0</v>
      </c>
      <c r="E36" s="608">
        <v>0</v>
      </c>
      <c r="F36" s="608">
        <v>0</v>
      </c>
      <c r="G36" s="608">
        <v>0</v>
      </c>
      <c r="H36" s="611">
        <f t="shared" si="1"/>
        <v>6983</v>
      </c>
      <c r="I36" s="603">
        <f>H36-H35</f>
        <v>0</v>
      </c>
      <c r="J36" s="589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5" t="s">
        <v>161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</row>
    <row r="2" spans="1:28" ht="19.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</row>
    <row r="3" spans="1:28" ht="19.5">
      <c r="A3" s="716" t="s">
        <v>162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6" t="s">
        <v>404</v>
      </c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</row>
    <row r="6" spans="1:28" ht="15.75" thickBot="1">
      <c r="A6" s="717"/>
      <c r="B6" s="717"/>
      <c r="C6" s="717"/>
      <c r="D6" s="717"/>
      <c r="E6" s="717"/>
      <c r="F6" s="717"/>
      <c r="G6" s="717"/>
      <c r="H6" s="717"/>
      <c r="I6" s="717"/>
      <c r="J6" s="717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0</v>
      </c>
      <c r="C15" s="261">
        <f>'General information '!C10</f>
        <v>0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0</v>
      </c>
      <c r="C18" s="261">
        <f>'General information '!C13</f>
        <v>0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0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0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0</v>
      </c>
      <c r="C22" s="261">
        <f>'General information '!C17</f>
        <v>0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0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0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0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0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0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0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K42" sqref="K42:K43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214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5</v>
      </c>
      <c r="G4" s="195"/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 t="e">
        <f>SUM(I7/G4)</f>
        <v>#DIV/0!</v>
      </c>
      <c r="F7" s="185" t="e">
        <f>SUM(E7*F4)</f>
        <v>#DIV/0!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4">
        <f>E8*$G$4</f>
        <v>0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371</v>
      </c>
      <c r="C10" s="181"/>
      <c r="D10" s="183">
        <f>'EDl log'!AB30</f>
        <v>7282861</v>
      </c>
      <c r="E10" s="182">
        <f>SUM(D10/D4/F4)</f>
        <v>966.21704809286894</v>
      </c>
      <c r="F10" s="182">
        <f>SUM(E10*F4)</f>
        <v>4831.0852404643447</v>
      </c>
      <c r="G10" s="478">
        <f>E10*$G$4</f>
        <v>0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 t="e">
        <f>SUM(E6:E11)</f>
        <v>#DIV/0!</v>
      </c>
      <c r="F12" s="180" t="e">
        <f>SUM(F6:F10)</f>
        <v>#DIV/0!</v>
      </c>
      <c r="G12" s="179">
        <f>SUM(G6:G10)</f>
        <v>8200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-71928.899999999994</v>
      </c>
      <c r="I14" s="406">
        <f>SUM(G12-I12)</f>
        <v>-43043.919720430109</v>
      </c>
    </row>
    <row r="15" spans="1:11">
      <c r="A15" s="428" t="s">
        <v>301</v>
      </c>
      <c r="B15" s="97">
        <f>'Degree Days 2020'!J81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16.75</v>
      </c>
      <c r="C16" s="623">
        <f>'[12]Utility Cost '!B16</f>
        <v>14.806451612903226</v>
      </c>
      <c r="D16" s="415"/>
      <c r="E16" s="580">
        <f>B16-C16</f>
        <v>1.943548387096774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22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-87</v>
      </c>
      <c r="F18" s="495">
        <f>B18-D18</f>
        <v>-180.66666666666666</v>
      </c>
    </row>
    <row r="19" spans="1:10">
      <c r="A19" s="489" t="s">
        <v>412</v>
      </c>
      <c r="B19" s="493">
        <f>GEN!AL34</f>
        <v>2</v>
      </c>
      <c r="C19" s="623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2022-01-06T08:35:36Z</dcterms:modified>
</cp:coreProperties>
</file>