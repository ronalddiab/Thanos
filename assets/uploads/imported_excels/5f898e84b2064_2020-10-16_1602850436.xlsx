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<sst xmlns="http://schemas.openxmlformats.org/spreadsheetml/2006/main" count="313" uniqueCount="148">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</sst>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 t="e">
        <f>Submetering!E17+Submetering!F17+Submetering!G17+Submetering!H17+Submetering!J17-Submetering!AV17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 t="e">
        <f>'FS Desroches Daily'!CM19</f>
        <v>#VALUE!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17300.000000000091</v>
      </c>
      <c r="F33" s="17">
        <f t="shared" ref="F33:BC33" si="1">SUM(F2:F32)</f>
        <v>9300.0000000000855</v>
      </c>
      <c r="G33" s="17">
        <f t="shared" si="1"/>
        <v>21599.999999999844</v>
      </c>
      <c r="H33" s="17">
        <f t="shared" si="1"/>
        <v>12799.999999999924</v>
      </c>
      <c r="I33" s="17">
        <f t="shared" si="1"/>
        <v>24799.999999999942</v>
      </c>
      <c r="J33" s="17">
        <f t="shared" si="1"/>
        <v>8199.9999999999854</v>
      </c>
      <c r="K33" s="17">
        <f t="shared" si="1"/>
        <v>9</v>
      </c>
      <c r="L33" s="17">
        <f t="shared" si="1"/>
        <v>64</v>
      </c>
      <c r="M33" s="17">
        <f t="shared" si="1"/>
        <v>2126.8000000000466</v>
      </c>
      <c r="N33" s="17">
        <f t="shared" si="1"/>
        <v>1321.4000000000233</v>
      </c>
      <c r="O33" s="17">
        <f t="shared" si="1"/>
        <v>1339.999999999975</v>
      </c>
      <c r="P33" s="17">
        <f t="shared" si="1"/>
        <v>6599.9999999997181</v>
      </c>
      <c r="Q33" s="17">
        <f t="shared" si="1"/>
        <v>1310.0000000000023</v>
      </c>
      <c r="R33" s="17">
        <f t="shared" si="1"/>
        <v>2139.9999999999864</v>
      </c>
      <c r="S33" s="17">
        <f t="shared" si="1"/>
        <v>3150.0000000000341</v>
      </c>
      <c r="T33" s="17">
        <f t="shared" si="1"/>
        <v>18</v>
      </c>
      <c r="U33" s="35">
        <f t="shared" si="1"/>
        <v>3569.9999999999932</v>
      </c>
      <c r="V33" s="35">
        <f t="shared" si="1"/>
        <v>2250</v>
      </c>
      <c r="W33" s="35">
        <f t="shared" si="1"/>
        <v>2167.2000000000194</v>
      </c>
      <c r="X33" s="35">
        <f t="shared" si="1"/>
        <v>2340.0000000000032</v>
      </c>
      <c r="Y33" s="35">
        <f t="shared" si="1"/>
        <v>550.00000000001137</v>
      </c>
      <c r="Z33" s="35">
        <f t="shared" si="1"/>
        <v>539.99999999996362</v>
      </c>
      <c r="AA33" s="35">
        <f t="shared" si="1"/>
        <v>539.99999999996362</v>
      </c>
      <c r="AB33" s="35">
        <f t="shared" si="1"/>
        <v>449.99999999998863</v>
      </c>
      <c r="AC33" s="35">
        <f t="shared" si="1"/>
        <v>420.00000000001592</v>
      </c>
      <c r="AD33" s="35">
        <f t="shared" si="1"/>
        <v>389.99999999998636</v>
      </c>
      <c r="AE33" s="35">
        <f t="shared" si="1"/>
        <v>319.99999999999318</v>
      </c>
      <c r="AF33" s="17">
        <f t="shared" si="1"/>
        <v>409</v>
      </c>
      <c r="AG33" s="32">
        <f t="shared" si="1"/>
        <v>180.00000000000682</v>
      </c>
      <c r="AH33" s="32">
        <f t="shared" si="1"/>
        <v>169.99999999995907</v>
      </c>
      <c r="AI33" s="32">
        <f t="shared" si="1"/>
        <v>69.999999999993179</v>
      </c>
      <c r="AJ33" s="32">
        <f t="shared" si="1"/>
        <v>469.99999999999886</v>
      </c>
      <c r="AK33" s="32">
        <f t="shared" si="1"/>
        <v>339.99999999997499</v>
      </c>
      <c r="AL33" s="32">
        <f t="shared" si="1"/>
        <v>146</v>
      </c>
      <c r="AM33" s="32">
        <f t="shared" si="1"/>
        <v>250</v>
      </c>
      <c r="AN33" s="32">
        <f t="shared" si="1"/>
        <v>487</v>
      </c>
      <c r="AO33" s="32">
        <f t="shared" si="1"/>
        <v>359.99999999998522</v>
      </c>
      <c r="AP33" s="32">
        <f t="shared" si="1"/>
        <v>339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293.30000000000291</v>
      </c>
      <c r="AU33" s="17">
        <f t="shared" si="1"/>
        <v>3024</v>
      </c>
      <c r="AV33" s="17">
        <f t="shared" si="1"/>
        <v>5409.9999999999682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75.091499999999982</v>
      </c>
      <c r="BC33" s="17">
        <f t="shared" si="1"/>
        <v>0</v>
      </c>
    </row>
    <row r="35" spans="5:55" x14ac:dyDescent="0.25">
      <c r="E35" s="38">
        <f>E33/E37</f>
        <v>0.28671815439689935</v>
      </c>
      <c r="G35" s="29">
        <f>G33-M36</f>
        <v>18151.799999999774</v>
      </c>
      <c r="AE35" s="35">
        <f>SUM(U33:AE33)</f>
        <v>13537.199999999939</v>
      </c>
      <c r="AG35" s="32">
        <f>SUM(AG33:AP33)</f>
        <v>2811.9999999999181</v>
      </c>
    </row>
    <row r="36" spans="5:55" x14ac:dyDescent="0.25">
      <c r="G36" s="29">
        <f>G35-633*14</f>
        <v>9289.7999999997737</v>
      </c>
      <c r="M36" s="29">
        <f>M33+N33</f>
        <v>3448.2000000000698</v>
      </c>
    </row>
    <row r="37" spans="5:55" x14ac:dyDescent="0.25">
      <c r="E37" s="17">
        <f>E33+F33+G33+H33+J33-633*14</f>
        <v>60337.999999999927</v>
      </c>
      <c r="G37" s="37">
        <f>M36/E37</f>
        <v>5.7148065895456825E-2</v>
      </c>
      <c r="M37" s="35">
        <f>AE35</f>
        <v>13537.199999999939</v>
      </c>
    </row>
    <row r="38" spans="5:55" x14ac:dyDescent="0.25">
      <c r="L38" s="27">
        <f>M38/E37</f>
        <v>4.6604130067286316E-2</v>
      </c>
      <c r="M38" s="29">
        <f>AG35</f>
        <v>2811.9999999999181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8" activePane="bottomLeft" state="frozen"/>
      <selection pane="bottomLeft" activeCell="BH22" sqref="BH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/>
      <c r="D19" s="64" t="str">
        <f t="shared" si="0"/>
        <v>0</v>
      </c>
      <c r="E19" s="58"/>
      <c r="F19" s="64" t="str">
        <f t="shared" si="1"/>
        <v>0</v>
      </c>
      <c r="G19" s="58"/>
      <c r="H19" s="64" t="str">
        <f t="shared" si="2"/>
        <v>0</v>
      </c>
      <c r="I19" s="58"/>
      <c r="J19" s="64" t="str">
        <f t="shared" si="3"/>
        <v>0</v>
      </c>
      <c r="K19" s="58"/>
      <c r="L19" s="64" t="str">
        <f t="shared" si="4"/>
        <v>0</v>
      </c>
      <c r="M19" s="58"/>
      <c r="N19" s="64" t="str">
        <f t="shared" si="5"/>
        <v/>
      </c>
      <c r="O19" s="58"/>
      <c r="P19" s="67" t="str">
        <f t="shared" si="44"/>
        <v/>
      </c>
      <c r="Q19" s="58"/>
      <c r="R19" s="67" t="str">
        <f t="shared" si="6"/>
        <v/>
      </c>
      <c r="S19" s="58"/>
      <c r="T19" s="67" t="str">
        <f t="shared" si="7"/>
        <v/>
      </c>
      <c r="U19" s="58"/>
      <c r="V19" s="67" t="str">
        <f t="shared" si="8"/>
        <v/>
      </c>
      <c r="W19" s="58"/>
      <c r="X19" s="65" t="str">
        <f t="shared" si="9"/>
        <v/>
      </c>
      <c r="Y19" s="58"/>
      <c r="Z19" s="65" t="str">
        <f t="shared" si="10"/>
        <v/>
      </c>
      <c r="AA19" s="58"/>
      <c r="AB19" s="65" t="str">
        <f t="shared" si="11"/>
        <v/>
      </c>
      <c r="AC19" s="58"/>
      <c r="AD19" s="65" t="str">
        <f t="shared" si="12"/>
        <v/>
      </c>
      <c r="AE19" s="58"/>
      <c r="AF19" s="65" t="str">
        <f t="shared" si="13"/>
        <v/>
      </c>
      <c r="AG19" s="58"/>
      <c r="AH19" s="67" t="str">
        <f t="shared" si="14"/>
        <v/>
      </c>
      <c r="AI19" s="58"/>
      <c r="AJ19" s="65" t="str">
        <f t="shared" si="15"/>
        <v/>
      </c>
      <c r="AK19" s="58"/>
      <c r="AL19" s="65" t="str">
        <f t="shared" si="15"/>
        <v/>
      </c>
      <c r="AM19" s="58"/>
      <c r="AN19" s="65" t="str">
        <f t="shared" si="15"/>
        <v/>
      </c>
      <c r="AO19" s="58"/>
      <c r="AP19" s="65" t="str">
        <f t="shared" si="15"/>
        <v/>
      </c>
      <c r="AQ19" s="58"/>
      <c r="AR19" s="65" t="str">
        <f t="shared" si="16"/>
        <v/>
      </c>
      <c r="AS19" s="58"/>
      <c r="AT19" s="65" t="str">
        <f t="shared" si="17"/>
        <v/>
      </c>
      <c r="AU19" s="58"/>
      <c r="AV19" s="65" t="str">
        <f t="shared" si="18"/>
        <v/>
      </c>
      <c r="AW19" s="58"/>
      <c r="AX19" s="65" t="str">
        <f t="shared" si="19"/>
        <v/>
      </c>
      <c r="AY19" s="58"/>
      <c r="AZ19" s="65" t="str">
        <f t="shared" si="20"/>
        <v/>
      </c>
      <c r="BA19" s="58"/>
      <c r="BB19" s="65" t="str">
        <f t="shared" si="21"/>
        <v/>
      </c>
      <c r="BC19" s="58"/>
      <c r="BD19" s="65" t="str">
        <f t="shared" si="22"/>
        <v/>
      </c>
      <c r="BE19" s="59"/>
      <c r="BF19" s="67" t="str">
        <f t="shared" si="39"/>
        <v/>
      </c>
      <c r="BG19" s="60"/>
      <c r="BH19" s="65" t="str">
        <f t="shared" si="23"/>
        <v/>
      </c>
      <c r="BI19" s="60"/>
      <c r="BJ19" s="65" t="str">
        <f t="shared" si="40"/>
        <v/>
      </c>
      <c r="BK19" s="60"/>
      <c r="BL19" s="65" t="str">
        <f t="shared" si="24"/>
        <v/>
      </c>
      <c r="BM19" s="60"/>
      <c r="BN19" s="65" t="str">
        <f t="shared" si="25"/>
        <v/>
      </c>
      <c r="BO19" s="60"/>
      <c r="BP19" s="65" t="str">
        <f t="shared" si="26"/>
        <v/>
      </c>
      <c r="BQ19" s="60"/>
      <c r="BR19" s="65" t="str">
        <f t="shared" si="27"/>
        <v/>
      </c>
      <c r="BS19" s="60"/>
      <c r="BT19" s="65" t="str">
        <f t="shared" si="42"/>
        <v/>
      </c>
      <c r="BU19" s="60"/>
      <c r="BV19" s="65" t="str">
        <f t="shared" si="29"/>
        <v/>
      </c>
      <c r="BW19" s="60"/>
      <c r="BX19" s="65" t="str">
        <f t="shared" si="30"/>
        <v/>
      </c>
      <c r="BY19" s="60"/>
      <c r="BZ19" s="67" t="str">
        <f t="shared" si="31"/>
        <v/>
      </c>
      <c r="CA19" s="60"/>
      <c r="CB19" s="67" t="str">
        <f t="shared" si="32"/>
        <v/>
      </c>
      <c r="CC19" s="60"/>
      <c r="CD19" s="67" t="str">
        <f t="shared" si="33"/>
        <v/>
      </c>
      <c r="CE19" s="60"/>
      <c r="CF19" s="67" t="str">
        <f t="shared" si="34"/>
        <v/>
      </c>
      <c r="CG19" s="60"/>
      <c r="CH19" s="67" t="str">
        <f t="shared" si="35"/>
        <v/>
      </c>
      <c r="CI19" s="60"/>
      <c r="CJ19" s="67" t="str">
        <f t="shared" si="36"/>
        <v/>
      </c>
      <c r="CK19" s="60"/>
      <c r="CL19" s="64" t="str">
        <f t="shared" si="37"/>
        <v/>
      </c>
      <c r="CM19" s="65" t="e">
        <f t="shared" si="41"/>
        <v>#VALUE!</v>
      </c>
      <c r="CN19" s="62">
        <v>0</v>
      </c>
      <c r="CO19" s="62">
        <v>0</v>
      </c>
      <c r="CP19" s="68"/>
      <c r="CQ19" s="67" t="str">
        <f t="shared" si="38"/>
        <v/>
      </c>
      <c r="CR19" s="68"/>
      <c r="CS19" s="67" t="str">
        <f t="shared" si="38"/>
        <v/>
      </c>
      <c r="CT19" s="75"/>
      <c r="CU19" s="67" t="str">
        <f t="shared" si="38"/>
        <v/>
      </c>
      <c r="CV19" s="68"/>
      <c r="CW19" s="67" t="str">
        <f t="shared" si="38"/>
        <v/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AB26" sqref="AB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-196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2020-10-16T12:12:42Z</dcterms:modified>
</cp:coreProperties>
</file>