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2" i="4" l="1"/>
  <c r="J203" i="4"/>
  <c r="J204" i="4"/>
  <c r="K204" i="4" s="1"/>
  <c r="J205" i="4"/>
  <c r="J206" i="4"/>
  <c r="J207" i="4"/>
  <c r="J208" i="4"/>
  <c r="J209" i="4"/>
  <c r="K202" i="4"/>
  <c r="K203" i="4"/>
  <c r="I202" i="4"/>
  <c r="I203" i="4"/>
  <c r="I204" i="4"/>
  <c r="I205" i="4"/>
  <c r="I206" i="4"/>
  <c r="I207" i="4"/>
  <c r="I208" i="4"/>
  <c r="J200" i="4" l="1"/>
  <c r="K200" i="4" s="1"/>
  <c r="J201" i="4"/>
  <c r="K201" i="4" s="1"/>
  <c r="I199" i="4"/>
  <c r="I200" i="4"/>
  <c r="I201" i="4"/>
  <c r="I197" i="4" l="1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K185" i="4" s="1"/>
  <c r="J186" i="4"/>
  <c r="J187" i="4"/>
  <c r="K184" i="4"/>
  <c r="K186" i="4"/>
  <c r="K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218" i="4" l="1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K209" i="4"/>
  <c r="I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188" i="4" l="1"/>
  <c r="E181" i="1"/>
  <c r="E203" i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<sst xmlns="http://schemas.openxmlformats.org/spreadsheetml/2006/main" count="607" uniqueCount="77">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</sst>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87" workbookViewId="0">
      <selection activeCell="N198" sqref="N19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3">
        <v>0.75</v>
      </c>
      <c r="G208" s="4" t="str">
        <f>'Gas Water'!M210</f>
        <v/>
      </c>
      <c r="H208" s="153">
        <v>1.85</v>
      </c>
      <c r="I208" s="2" t="str">
        <f>'Gas Water'!L210</f>
        <v/>
      </c>
      <c r="J208" s="153">
        <v>12.93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3">
        <v>0.75</v>
      </c>
      <c r="G209" s="4" t="str">
        <f>'Gas Water'!M211</f>
        <v/>
      </c>
      <c r="H209" s="153">
        <v>1.85</v>
      </c>
      <c r="I209" s="2" t="str">
        <f>'Gas Water'!L211</f>
        <v/>
      </c>
      <c r="J209" s="153">
        <v>12.93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3">
        <v>0.75</v>
      </c>
      <c r="G210" s="4" t="str">
        <f>'Gas Water'!M212</f>
        <v/>
      </c>
      <c r="H210" s="153">
        <v>1.85</v>
      </c>
      <c r="I210" s="2" t="str">
        <f>'Gas Water'!L212</f>
        <v/>
      </c>
      <c r="J210" s="153">
        <v>12.93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3">
        <v>0.75</v>
      </c>
      <c r="G211" s="4" t="str">
        <f>'Gas Water'!M213</f>
        <v/>
      </c>
      <c r="H211" s="153">
        <v>1.85</v>
      </c>
      <c r="I211" s="2" t="str">
        <f>'Gas Water'!L213</f>
        <v/>
      </c>
      <c r="J211" s="153">
        <v>12.93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3">
        <v>0.75</v>
      </c>
      <c r="G212" s="4" t="str">
        <f>'Gas Water'!M214</f>
        <v/>
      </c>
      <c r="H212" s="153">
        <v>1.85</v>
      </c>
      <c r="I212" s="2" t="str">
        <f>'Gas Water'!L214</f>
        <v/>
      </c>
      <c r="J212" s="153">
        <v>12.93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3">
        <v>0.75</v>
      </c>
      <c r="G213" s="4" t="str">
        <f>'Gas Water'!M215</f>
        <v/>
      </c>
      <c r="H213" s="153">
        <v>1.85</v>
      </c>
      <c r="I213" s="2" t="str">
        <f>'Gas Water'!L215</f>
        <v/>
      </c>
      <c r="J213" s="153">
        <v>12.93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3" t="e">
        <f>('Electricity '!I215*0.55+'Gas Water'!H216*1.88)/(Total!E214)</f>
        <v>#VALUE!</v>
      </c>
      <c r="G214" s="4" t="str">
        <f>'Gas Water'!M216</f>
        <v/>
      </c>
      <c r="H214" s="153">
        <v>1.88</v>
      </c>
      <c r="I214" s="2" t="str">
        <f>'Gas Water'!L216</f>
        <v/>
      </c>
      <c r="J214" s="153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3" t="e">
        <f>('Electricity '!I216*0.55+'Gas Water'!H217*1.88)/(Total!E215)</f>
        <v>#VALUE!</v>
      </c>
      <c r="G215" s="4" t="str">
        <f>'Gas Water'!M217</f>
        <v/>
      </c>
      <c r="H215" s="153">
        <v>1.88</v>
      </c>
      <c r="I215" s="2" t="str">
        <f>'Gas Water'!L217</f>
        <v/>
      </c>
      <c r="J215" s="153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3" t="e">
        <f>('Electricity '!I217*0.55+'Gas Water'!H218*1.88)/(Total!E216)</f>
        <v>#VALUE!</v>
      </c>
      <c r="G216" s="4" t="str">
        <f>'Gas Water'!M218</f>
        <v/>
      </c>
      <c r="H216" s="153">
        <v>1.88</v>
      </c>
      <c r="I216" s="2" t="str">
        <f>'Gas Water'!L218</f>
        <v/>
      </c>
      <c r="J216" s="153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3" t="e">
        <f>('Electricity '!I218*0.55+'Gas Water'!H219*1.88)/(Total!E217)</f>
        <v>#VALUE!</v>
      </c>
      <c r="G217" s="4" t="str">
        <f>'Gas Water'!M219</f>
        <v/>
      </c>
      <c r="H217" s="153">
        <v>1.88</v>
      </c>
      <c r="I217" s="2" t="str">
        <f>'Gas Water'!L219</f>
        <v/>
      </c>
      <c r="J217" s="153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3" t="e">
        <f>('Electricity '!I219*0.55+'Gas Water'!H220*1.88)/(Total!E218)</f>
        <v>#VALUE!</v>
      </c>
      <c r="G218" s="4" t="str">
        <f>'Gas Water'!M220</f>
        <v/>
      </c>
      <c r="H218" s="153">
        <v>1.88</v>
      </c>
      <c r="I218" s="2" t="str">
        <f>'Gas Water'!L220</f>
        <v/>
      </c>
      <c r="J218" s="153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3" t="e">
        <f>('Electricity '!I220*0.55+'Gas Water'!H221*1.88)/(Total!E219)</f>
        <v>#VALUE!</v>
      </c>
      <c r="G219" s="4" t="str">
        <f>'Gas Water'!M221</f>
        <v/>
      </c>
      <c r="H219" s="153">
        <v>1.88</v>
      </c>
      <c r="I219" s="2" t="str">
        <f>'Gas Water'!L221</f>
        <v/>
      </c>
      <c r="J219" s="153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3" t="e">
        <f>('Electricity '!I221*0.55+'Gas Water'!H222*1.88)/(Total!E220)</f>
        <v>#VALUE!</v>
      </c>
      <c r="G220" s="4" t="str">
        <f>'Gas Water'!M222</f>
        <v/>
      </c>
      <c r="H220" s="153">
        <v>1.88</v>
      </c>
      <c r="I220" s="2" t="str">
        <f>'Gas Water'!L222</f>
        <v/>
      </c>
      <c r="J220" s="153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3" t="e">
        <f>('Electricity '!I222*0.55+'Gas Water'!H223*1.88)/(Total!E221)</f>
        <v>#VALUE!</v>
      </c>
      <c r="G221" s="4" t="str">
        <f>'Gas Water'!M223</f>
        <v/>
      </c>
      <c r="H221" s="153">
        <v>1.88</v>
      </c>
      <c r="I221" s="2" t="str">
        <f>'Gas Water'!L223</f>
        <v/>
      </c>
      <c r="J221" s="153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 t="e">
        <f>('Electricity '!I223*0.55+'Gas Water'!H224*1.88)/(Total!E222)</f>
        <v>#VALUE!</v>
      </c>
      <c r="G222" s="4" t="str">
        <f>'Gas Water'!M224</f>
        <v/>
      </c>
      <c r="H222" s="153">
        <v>1.88</v>
      </c>
      <c r="I222" s="2" t="str">
        <f>'Gas Water'!L224</f>
        <v/>
      </c>
      <c r="J222" s="153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 t="e">
        <f>('Electricity '!I224*0.55+'Gas Water'!H225*1.88)/(Total!E223)</f>
        <v>#VALUE!</v>
      </c>
      <c r="G223" s="4" t="str">
        <f>'Gas Water'!M225</f>
        <v/>
      </c>
      <c r="H223" s="153">
        <v>1.88</v>
      </c>
      <c r="I223" s="2" t="str">
        <f>'Gas Water'!L225</f>
        <v/>
      </c>
      <c r="J223" s="153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 t="e">
        <f>('Electricity '!I225*0.55+'Gas Water'!H226*1.88)/(Total!E224)</f>
        <v>#VALUE!</v>
      </c>
      <c r="G224" s="4" t="str">
        <f>'Gas Water'!M226</f>
        <v/>
      </c>
      <c r="H224" s="153">
        <v>1.88</v>
      </c>
      <c r="I224" s="2" t="str">
        <f>'Gas Water'!L226</f>
        <v/>
      </c>
      <c r="J224" s="153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 t="e">
        <f>('Electricity '!I226*0.55+'Gas Water'!H227*1.88)/(Total!E225)</f>
        <v>#VALUE!</v>
      </c>
      <c r="G225" s="4" t="str">
        <f>'Gas Water'!M227</f>
        <v/>
      </c>
      <c r="H225" s="153">
        <v>1.88</v>
      </c>
      <c r="I225" s="2" t="str">
        <f>'Gas Water'!L227</f>
        <v/>
      </c>
      <c r="J225" s="153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 t="e">
        <f>('Electricity '!I227*0.55+'Gas Water'!H228*1.88)/(Total!E226)</f>
        <v>#VALUE!</v>
      </c>
      <c r="G226" s="4" t="str">
        <f>'Gas Water'!M228</f>
        <v/>
      </c>
      <c r="H226" s="153">
        <v>1.88</v>
      </c>
      <c r="I226" s="2" t="str">
        <f>'Gas Water'!L228</f>
        <v/>
      </c>
      <c r="J226" s="153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 t="e">
        <f>('Electricity '!I228*0.55+'Gas Water'!H229*1.88)/(Total!E227)</f>
        <v>#VALUE!</v>
      </c>
      <c r="G227" s="4" t="str">
        <f>'Gas Water'!M229</f>
        <v/>
      </c>
      <c r="H227" s="153">
        <v>1.88</v>
      </c>
      <c r="I227" s="2" t="str">
        <f>'Gas Water'!L229</f>
        <v/>
      </c>
      <c r="J227" s="153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78" workbookViewId="0">
      <selection activeCell="G210" sqref="G21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6657</v>
      </c>
      <c r="O209" s="32">
        <f>SUM(M186:M216)</f>
        <v>31355</v>
      </c>
      <c r="Q209" s="20">
        <f t="shared" si="18"/>
        <v>0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8" t="s">
        <v>23</v>
      </c>
      <c r="O210" s="198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200"/>
      <c r="O211" s="200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>
        <f>AVERAGE(L186:L216)</f>
        <v>277.375</v>
      </c>
      <c r="O212" s="32">
        <f>AVERAGE(M186:M216)</f>
        <v>1306.4583333333333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432743</v>
      </c>
      <c r="J371" s="40">
        <f t="shared" si="30"/>
        <v>32613</v>
      </c>
      <c r="K371" s="40">
        <f t="shared" si="30"/>
        <v>30590</v>
      </c>
      <c r="L371" s="40">
        <f t="shared" si="30"/>
        <v>33479</v>
      </c>
      <c r="M371" s="40">
        <f t="shared" si="30"/>
        <v>495946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78" workbookViewId="0">
      <selection activeCell="A202" sqref="A202:XFD202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08" si="23">IF(D160="","",+(E160-E159)*4140)</f>
        <v>24955.920000000082</v>
      </c>
      <c r="J160" s="59">
        <f t="shared" ref="J160:J209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3.7285093200669743E-2</v>
      </c>
      <c r="Q206" s="70">
        <f>IF(L185="",0,+SUM(L185:L215)/SUM(I185:I215))</f>
        <v>3.7285093200669743E-2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/>
      <c r="E209" s="57"/>
      <c r="F209" s="58"/>
      <c r="G209" s="59"/>
      <c r="H209" s="59">
        <v>4140</v>
      </c>
      <c r="I209" s="59" t="str">
        <f t="shared" ref="I202:J259" si="31">IF(D209="","",+(D209-D208)*4140)</f>
        <v/>
      </c>
      <c r="J209" s="59" t="str">
        <f t="shared" si="24"/>
        <v/>
      </c>
      <c r="K209" s="60" t="str">
        <f t="shared" si="28"/>
        <v/>
      </c>
      <c r="L209" s="59" t="str">
        <f t="shared" si="29"/>
        <v/>
      </c>
      <c r="M209" s="60" t="str">
        <f t="shared" si="30"/>
        <v/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/>
      <c r="E210" s="57"/>
      <c r="F210" s="58"/>
      <c r="G210" s="59"/>
      <c r="H210" s="59">
        <v>4140</v>
      </c>
      <c r="I210" s="59" t="str">
        <f t="shared" si="31"/>
        <v/>
      </c>
      <c r="J210" s="59" t="str">
        <f t="shared" si="31"/>
        <v/>
      </c>
      <c r="K210" s="60" t="str">
        <f t="shared" si="28"/>
        <v/>
      </c>
      <c r="L210" s="59" t="str">
        <f t="shared" si="29"/>
        <v/>
      </c>
      <c r="M210" s="60" t="str">
        <f t="shared" si="30"/>
        <v/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/>
      <c r="E211" s="57"/>
      <c r="F211" s="58"/>
      <c r="G211" s="59"/>
      <c r="H211" s="59">
        <v>4140</v>
      </c>
      <c r="I211" s="59" t="str">
        <f t="shared" si="31"/>
        <v/>
      </c>
      <c r="J211" s="59" t="str">
        <f t="shared" si="31"/>
        <v/>
      </c>
      <c r="K211" s="60" t="str">
        <f t="shared" si="28"/>
        <v/>
      </c>
      <c r="L211" s="59" t="str">
        <f t="shared" si="29"/>
        <v/>
      </c>
      <c r="M211" s="60" t="str">
        <f t="shared" si="30"/>
        <v/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/>
      <c r="E212" s="57"/>
      <c r="F212" s="58"/>
      <c r="G212" s="59"/>
      <c r="H212" s="59">
        <v>4140</v>
      </c>
      <c r="I212" s="59" t="str">
        <f t="shared" si="31"/>
        <v/>
      </c>
      <c r="J212" s="59" t="str">
        <f t="shared" si="31"/>
        <v/>
      </c>
      <c r="K212" s="60" t="str">
        <f t="shared" si="28"/>
        <v/>
      </c>
      <c r="L212" s="59" t="str">
        <f t="shared" si="29"/>
        <v/>
      </c>
      <c r="M212" s="60" t="str">
        <f t="shared" si="30"/>
        <v/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/>
      <c r="E213" s="57"/>
      <c r="F213" s="58"/>
      <c r="G213" s="59"/>
      <c r="H213" s="59">
        <v>4140</v>
      </c>
      <c r="I213" s="59" t="str">
        <f t="shared" si="31"/>
        <v/>
      </c>
      <c r="J213" s="59" t="str">
        <f t="shared" si="31"/>
        <v/>
      </c>
      <c r="K213" s="60" t="str">
        <f t="shared" si="28"/>
        <v/>
      </c>
      <c r="L213" s="59" t="str">
        <f t="shared" si="29"/>
        <v/>
      </c>
      <c r="M213" s="60" t="str">
        <f t="shared" si="30"/>
        <v/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/>
      <c r="E214" s="57"/>
      <c r="F214" s="58"/>
      <c r="G214" s="59"/>
      <c r="H214" s="59">
        <v>4140</v>
      </c>
      <c r="I214" s="59" t="str">
        <f t="shared" si="31"/>
        <v/>
      </c>
      <c r="J214" s="59" t="str">
        <f t="shared" si="31"/>
        <v/>
      </c>
      <c r="K214" s="60" t="str">
        <f t="shared" si="28"/>
        <v/>
      </c>
      <c r="L214" s="59" t="str">
        <f t="shared" si="29"/>
        <v/>
      </c>
      <c r="M214" s="60" t="str">
        <f t="shared" si="30"/>
        <v/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89"/>
      <c r="E215" s="89"/>
      <c r="F215" s="89"/>
      <c r="G215" s="90"/>
      <c r="H215" s="59">
        <v>4140</v>
      </c>
      <c r="I215" s="90" t="str">
        <f t="shared" si="31"/>
        <v/>
      </c>
      <c r="J215" s="90" t="str">
        <f t="shared" si="31"/>
        <v/>
      </c>
      <c r="K215" s="60" t="str">
        <f t="shared" si="28"/>
        <v/>
      </c>
      <c r="L215" s="59" t="str">
        <f t="shared" si="29"/>
        <v/>
      </c>
      <c r="M215" s="60" t="str">
        <f t="shared" si="30"/>
        <v/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/>
      <c r="E216" s="57"/>
      <c r="F216" s="58"/>
      <c r="G216" s="59"/>
      <c r="H216" s="59">
        <v>4140</v>
      </c>
      <c r="I216" s="59" t="str">
        <f t="shared" si="31"/>
        <v/>
      </c>
      <c r="J216" s="59" t="str">
        <f t="shared" si="31"/>
        <v/>
      </c>
      <c r="K216" s="60" t="str">
        <f t="shared" si="28"/>
        <v/>
      </c>
      <c r="L216" s="59" t="str">
        <f t="shared" si="29"/>
        <v/>
      </c>
      <c r="M216" s="60" t="str">
        <f t="shared" si="30"/>
        <v/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/>
      <c r="E217" s="57"/>
      <c r="F217" s="58"/>
      <c r="G217" s="59"/>
      <c r="H217" s="59">
        <v>4140</v>
      </c>
      <c r="I217" s="59" t="str">
        <f t="shared" si="31"/>
        <v/>
      </c>
      <c r="J217" s="59" t="str">
        <f t="shared" si="31"/>
        <v/>
      </c>
      <c r="K217" s="60" t="str">
        <f t="shared" si="28"/>
        <v/>
      </c>
      <c r="L217" s="59" t="str">
        <f t="shared" si="29"/>
        <v/>
      </c>
      <c r="M217" s="60" t="str">
        <f t="shared" si="30"/>
        <v/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/>
      <c r="E218" s="57"/>
      <c r="F218" s="58"/>
      <c r="G218" s="59"/>
      <c r="H218" s="59">
        <v>4140</v>
      </c>
      <c r="I218" s="59" t="str">
        <f t="shared" si="31"/>
        <v/>
      </c>
      <c r="J218" s="59" t="str">
        <f t="shared" si="31"/>
        <v/>
      </c>
      <c r="K218" s="60" t="str">
        <f t="shared" si="28"/>
        <v/>
      </c>
      <c r="L218" s="59" t="str">
        <f t="shared" si="29"/>
        <v/>
      </c>
      <c r="M218" s="60" t="str">
        <f t="shared" si="30"/>
        <v/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/>
      <c r="E219" s="57"/>
      <c r="F219" s="58"/>
      <c r="G219" s="59"/>
      <c r="H219" s="59">
        <v>4140</v>
      </c>
      <c r="I219" s="59" t="str">
        <f t="shared" si="31"/>
        <v/>
      </c>
      <c r="J219" s="59" t="str">
        <f t="shared" si="31"/>
        <v/>
      </c>
      <c r="K219" s="60" t="str">
        <f t="shared" si="28"/>
        <v/>
      </c>
      <c r="L219" s="59" t="str">
        <f t="shared" si="29"/>
        <v/>
      </c>
      <c r="M219" s="60" t="str">
        <f t="shared" si="30"/>
        <v/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/>
      <c r="E220" s="57"/>
      <c r="F220" s="58"/>
      <c r="G220" s="59"/>
      <c r="H220" s="59">
        <v>4140</v>
      </c>
      <c r="I220" s="59" t="str">
        <f t="shared" si="31"/>
        <v/>
      </c>
      <c r="J220" s="59" t="str">
        <f t="shared" si="31"/>
        <v/>
      </c>
      <c r="K220" s="60" t="str">
        <f t="shared" si="28"/>
        <v/>
      </c>
      <c r="L220" s="59" t="str">
        <f t="shared" si="29"/>
        <v/>
      </c>
      <c r="M220" s="60" t="str">
        <f t="shared" si="30"/>
        <v/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/>
      <c r="E221" s="57"/>
      <c r="F221" s="58"/>
      <c r="G221" s="59"/>
      <c r="H221" s="59">
        <v>4140</v>
      </c>
      <c r="I221" s="59" t="str">
        <f t="shared" si="31"/>
        <v/>
      </c>
      <c r="J221" s="59" t="str">
        <f t="shared" si="31"/>
        <v/>
      </c>
      <c r="K221" s="60" t="str">
        <f t="shared" si="28"/>
        <v/>
      </c>
      <c r="L221" s="59" t="str">
        <f t="shared" si="29"/>
        <v/>
      </c>
      <c r="M221" s="60" t="str">
        <f t="shared" si="30"/>
        <v/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/>
      <c r="E222" s="57"/>
      <c r="F222" s="58"/>
      <c r="G222" s="59"/>
      <c r="H222" s="59">
        <v>4140</v>
      </c>
      <c r="I222" s="59" t="str">
        <f>IF(D222="","",+(D222-D221)*4140)</f>
        <v/>
      </c>
      <c r="J222" s="59" t="str">
        <f t="shared" si="31"/>
        <v/>
      </c>
      <c r="K222" s="60" t="str">
        <f t="shared" si="28"/>
        <v/>
      </c>
      <c r="L222" s="59" t="str">
        <f t="shared" si="29"/>
        <v/>
      </c>
      <c r="M222" s="60" t="str">
        <f t="shared" si="30"/>
        <v/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si="31"/>
        <v/>
      </c>
      <c r="J223" s="59" t="str">
        <f t="shared" si="31"/>
        <v/>
      </c>
      <c r="K223" s="60" t="str">
        <f t="shared" si="28"/>
        <v/>
      </c>
      <c r="L223" s="59" t="str">
        <f t="shared" si="29"/>
        <v/>
      </c>
      <c r="M223" s="60" t="str">
        <f t="shared" si="30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31"/>
        <v/>
      </c>
      <c r="J224" s="59" t="str">
        <f t="shared" si="31"/>
        <v/>
      </c>
      <c r="K224" s="60" t="str">
        <f t="shared" si="28"/>
        <v/>
      </c>
      <c r="L224" s="59" t="str">
        <f t="shared" ref="L224:L260" si="32">IF(F224="","",+(F224-F223)*4140)</f>
        <v/>
      </c>
      <c r="M224" s="60" t="str">
        <f t="shared" si="30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31"/>
        <v/>
      </c>
      <c r="J225" s="59" t="str">
        <f t="shared" si="31"/>
        <v/>
      </c>
      <c r="K225" s="60" t="str">
        <f t="shared" si="28"/>
        <v/>
      </c>
      <c r="L225" s="59" t="str">
        <f t="shared" si="32"/>
        <v/>
      </c>
      <c r="M225" s="60" t="str">
        <f t="shared" si="30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31"/>
        <v/>
      </c>
      <c r="J226" s="59" t="str">
        <f t="shared" si="31"/>
        <v/>
      </c>
      <c r="K226" s="60" t="str">
        <f t="shared" si="28"/>
        <v/>
      </c>
      <c r="L226" s="59" t="str">
        <f t="shared" si="32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1"/>
        <v/>
      </c>
      <c r="J227" s="59" t="str">
        <f t="shared" si="31"/>
        <v/>
      </c>
      <c r="K227" s="60" t="str">
        <f t="shared" si="28"/>
        <v/>
      </c>
      <c r="L227" s="59" t="str">
        <f t="shared" si="32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1"/>
        <v/>
      </c>
      <c r="K228" s="60" t="str">
        <f t="shared" si="28"/>
        <v/>
      </c>
      <c r="L228" s="59" t="str">
        <f t="shared" si="32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1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2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1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2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1"/>
        <v/>
      </c>
      <c r="J231" s="59" t="str">
        <f t="shared" si="31"/>
        <v/>
      </c>
      <c r="K231" s="60" t="str">
        <f t="shared" si="28"/>
        <v/>
      </c>
      <c r="L231" s="59" t="str">
        <f t="shared" si="32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1"/>
        <v/>
      </c>
      <c r="J232" s="59" t="str">
        <f t="shared" si="31"/>
        <v/>
      </c>
      <c r="K232" s="60" t="str">
        <f t="shared" si="28"/>
        <v/>
      </c>
      <c r="L232" s="59" t="str">
        <f t="shared" si="32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1"/>
        <v/>
      </c>
      <c r="J233" s="59" t="str">
        <f t="shared" si="31"/>
        <v/>
      </c>
      <c r="K233" s="60" t="str">
        <f t="shared" si="28"/>
        <v/>
      </c>
      <c r="L233" s="59" t="str">
        <f t="shared" si="32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1"/>
        <v/>
      </c>
      <c r="J234" s="59" t="str">
        <f t="shared" si="31"/>
        <v/>
      </c>
      <c r="K234" s="60" t="str">
        <f t="shared" si="28"/>
        <v/>
      </c>
      <c r="L234" s="59" t="str">
        <f t="shared" si="32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1"/>
        <v/>
      </c>
      <c r="J235" s="59" t="str">
        <f t="shared" si="31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1"/>
        <v/>
      </c>
      <c r="J236" s="59" t="str">
        <f t="shared" si="31"/>
        <v/>
      </c>
      <c r="K236" s="60" t="str">
        <f t="shared" si="28"/>
        <v/>
      </c>
      <c r="L236" s="59" t="str">
        <f t="shared" si="32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1"/>
        <v/>
      </c>
      <c r="J237" s="59" t="str">
        <f t="shared" si="31"/>
        <v/>
      </c>
      <c r="K237" s="60" t="str">
        <f t="shared" si="28"/>
        <v/>
      </c>
      <c r="L237" s="59" t="str">
        <f t="shared" si="32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0</v>
      </c>
      <c r="Q237" s="70">
        <f>IF(L216="",0,+SUM(L216:L246)/SUM(I216:I246))</f>
        <v>0</v>
      </c>
      <c r="R237" s="20">
        <f t="shared" si="33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1"/>
        <v/>
      </c>
      <c r="J238" s="59" t="str">
        <f t="shared" si="31"/>
        <v/>
      </c>
      <c r="K238" s="60" t="str">
        <f t="shared" si="28"/>
        <v/>
      </c>
      <c r="L238" s="59" t="str">
        <f t="shared" si="32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>
        <f>IF(J216="",0,+(+(LOOKUP(9.99999999999999E+307,E216:E246)-E215))/(+(LOOKUP(9.99999999999999E+307,D216:D246)-D215)))</f>
        <v>0</v>
      </c>
      <c r="Q238" s="71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1"/>
        <v/>
      </c>
      <c r="J239" s="59" t="str">
        <f t="shared" si="31"/>
        <v/>
      </c>
      <c r="K239" s="60" t="str">
        <f t="shared" si="28"/>
        <v/>
      </c>
      <c r="L239" s="59" t="str">
        <f t="shared" si="32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1"/>
        <v/>
      </c>
      <c r="J240" s="59" t="str">
        <f t="shared" si="31"/>
        <v/>
      </c>
      <c r="K240" s="60" t="str">
        <f t="shared" si="28"/>
        <v/>
      </c>
      <c r="L240" s="59" t="str">
        <f t="shared" si="32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1"/>
        <v/>
      </c>
      <c r="J241" s="59" t="str">
        <f t="shared" si="31"/>
        <v/>
      </c>
      <c r="K241" s="60" t="str">
        <f t="shared" si="28"/>
        <v/>
      </c>
      <c r="L241" s="59" t="str">
        <f t="shared" si="32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1"/>
        <v/>
      </c>
      <c r="J242" s="59" t="str">
        <f t="shared" si="31"/>
        <v/>
      </c>
      <c r="K242" s="60" t="str">
        <f t="shared" si="28"/>
        <v/>
      </c>
      <c r="L242" s="59" t="str">
        <f t="shared" si="32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1"/>
        <v/>
      </c>
      <c r="J243" s="59" t="str">
        <f t="shared" si="31"/>
        <v/>
      </c>
      <c r="K243" s="60" t="str">
        <f t="shared" si="28"/>
        <v/>
      </c>
      <c r="L243" s="59" t="str">
        <f t="shared" si="32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1"/>
        <v/>
      </c>
      <c r="J244" s="59" t="str">
        <f t="shared" si="31"/>
        <v/>
      </c>
      <c r="K244" s="60" t="str">
        <f t="shared" si="28"/>
        <v/>
      </c>
      <c r="L244" s="59" t="str">
        <f t="shared" si="32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1"/>
        <v/>
      </c>
      <c r="J245" s="59" t="str">
        <f t="shared" si="31"/>
        <v/>
      </c>
      <c r="K245" s="60" t="str">
        <f t="shared" si="28"/>
        <v/>
      </c>
      <c r="L245" s="59" t="str">
        <f t="shared" si="32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1"/>
        <v/>
      </c>
      <c r="J246" s="90" t="str">
        <f t="shared" si="31"/>
        <v/>
      </c>
      <c r="K246" s="60" t="str">
        <f t="shared" si="28"/>
        <v/>
      </c>
      <c r="L246" s="90" t="str">
        <f t="shared" si="32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2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1"/>
        <v/>
      </c>
      <c r="J248" s="59" t="str">
        <f t="shared" si="31"/>
        <v/>
      </c>
      <c r="K248" s="60" t="str">
        <f t="shared" si="28"/>
        <v/>
      </c>
      <c r="L248" s="59" t="str">
        <f t="shared" si="32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1"/>
        <v/>
      </c>
      <c r="J249" s="59" t="str">
        <f t="shared" si="31"/>
        <v/>
      </c>
      <c r="K249" s="60" t="str">
        <f t="shared" si="28"/>
        <v/>
      </c>
      <c r="L249" s="59" t="str">
        <f t="shared" si="32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1"/>
        <v/>
      </c>
      <c r="J250" s="59" t="str">
        <f t="shared" si="31"/>
        <v/>
      </c>
      <c r="K250" s="60" t="str">
        <f t="shared" si="28"/>
        <v/>
      </c>
      <c r="L250" s="59" t="str">
        <f t="shared" si="32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1"/>
        <v/>
      </c>
      <c r="J251" s="59" t="str">
        <f t="shared" si="31"/>
        <v/>
      </c>
      <c r="K251" s="60" t="str">
        <f t="shared" si="28"/>
        <v/>
      </c>
      <c r="L251" s="59" t="str">
        <f t="shared" si="32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1"/>
        <v/>
      </c>
      <c r="J252" s="59" t="str">
        <f t="shared" si="31"/>
        <v/>
      </c>
      <c r="K252" s="60" t="str">
        <f t="shared" si="28"/>
        <v/>
      </c>
      <c r="L252" s="59" t="str">
        <f t="shared" si="32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1"/>
        <v/>
      </c>
      <c r="J253" s="59" t="str">
        <f t="shared" si="31"/>
        <v/>
      </c>
      <c r="K253" s="60" t="str">
        <f t="shared" si="28"/>
        <v/>
      </c>
      <c r="L253" s="59" t="str">
        <f t="shared" si="32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1"/>
        <v/>
      </c>
      <c r="J254" s="59" t="str">
        <f t="shared" si="31"/>
        <v/>
      </c>
      <c r="K254" s="60" t="str">
        <f t="shared" si="28"/>
        <v/>
      </c>
      <c r="L254" s="59" t="str">
        <f t="shared" si="32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1"/>
        <v/>
      </c>
      <c r="J255" s="59" t="str">
        <f t="shared" si="31"/>
        <v/>
      </c>
      <c r="K255" s="60" t="str">
        <f t="shared" si="28"/>
        <v/>
      </c>
      <c r="L255" s="59" t="str">
        <f t="shared" si="32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1"/>
        <v/>
      </c>
      <c r="J256" s="59" t="str">
        <f t="shared" si="31"/>
        <v/>
      </c>
      <c r="K256" s="60" t="str">
        <f t="shared" si="28"/>
        <v/>
      </c>
      <c r="L256" s="59" t="str">
        <f t="shared" si="32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1"/>
        <v/>
      </c>
      <c r="J257" s="59" t="str">
        <f t="shared" si="31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1"/>
        <v/>
      </c>
      <c r="J258" s="59" t="str">
        <f t="shared" si="31"/>
        <v/>
      </c>
      <c r="K258" s="60" t="str">
        <f t="shared" si="28"/>
        <v/>
      </c>
      <c r="L258" s="59" t="str">
        <f t="shared" si="32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1"/>
        <v/>
      </c>
      <c r="J259" s="59" t="str">
        <f t="shared" si="31"/>
        <v/>
      </c>
      <c r="K259" s="60" t="str">
        <f t="shared" si="28"/>
        <v/>
      </c>
      <c r="L259" s="59" t="str">
        <f t="shared" si="32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2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4962104.1599999964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2021-07-26T07:07:42Z</dcterms:modified>
  <cp:category/>
  <cp:contentStatus/>
</cp:coreProperties>
</file>