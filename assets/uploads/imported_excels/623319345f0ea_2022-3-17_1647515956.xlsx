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<sst xmlns="http://schemas.openxmlformats.org/spreadsheetml/2006/main" count="128" uniqueCount="49">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</sst>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59910</v>
      </c>
      <c r="F16" s="11">
        <v>5.0000000000000001E-3</v>
      </c>
      <c r="G16" s="12">
        <f>Submetering!R16</f>
        <v>909.63402299999996</v>
      </c>
      <c r="H16" s="11">
        <v>0.52800000000000002</v>
      </c>
      <c r="I16" s="12">
        <f>Hotel!B21</f>
        <v>199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60610</v>
      </c>
      <c r="F17" s="11">
        <v>5.0000000000000001E-3</v>
      </c>
      <c r="G17" s="12">
        <f>Submetering!R17</f>
        <v>681.37379999999996</v>
      </c>
      <c r="H17" s="11">
        <v>0.52800000000000002</v>
      </c>
      <c r="I17" s="12">
        <f>Hotel!B22</f>
        <v>195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9040</v>
      </c>
      <c r="F16" s="4">
        <f>Hotel!R21</f>
        <v>1870</v>
      </c>
      <c r="G16" s="4">
        <f>Hotel!S21</f>
        <v>0</v>
      </c>
      <c r="H16" s="4">
        <f>Hotel!T21</f>
        <v>1490</v>
      </c>
      <c r="I16" s="4">
        <f>Hotel!U21</f>
        <v>5420</v>
      </c>
      <c r="J16" s="4">
        <f>Hotel!V21</f>
        <v>4550</v>
      </c>
      <c r="K16" s="4">
        <f>Hotel!W21</f>
        <v>2900</v>
      </c>
      <c r="L16" s="4">
        <f>Hotel!X21</f>
        <v>4520</v>
      </c>
      <c r="M16" s="4">
        <f>Hotel!Y21</f>
        <v>5420</v>
      </c>
      <c r="N16" s="4">
        <f>Hotel!Z21</f>
        <v>2740</v>
      </c>
      <c r="O16" s="4">
        <f>Hotel!AA21</f>
        <v>3370</v>
      </c>
      <c r="P16" s="4">
        <f>Hotel!AB21</f>
        <v>7060</v>
      </c>
      <c r="Q16" s="4">
        <f>Hotel!AC21</f>
        <v>11530</v>
      </c>
      <c r="R16" s="4">
        <f>Hotel!AV21*0.00378541*100</f>
        <v>909.63402299999996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8110</v>
      </c>
      <c r="F17" s="4">
        <f>Hotel!R22</f>
        <v>1880</v>
      </c>
      <c r="G17" s="4">
        <f>Hotel!S22</f>
        <v>0</v>
      </c>
      <c r="H17" s="4">
        <f>Hotel!T22</f>
        <v>1460</v>
      </c>
      <c r="I17" s="4">
        <f>Hotel!U22</f>
        <v>5450</v>
      </c>
      <c r="J17" s="4">
        <f>Hotel!V22</f>
        <v>4560</v>
      </c>
      <c r="K17" s="4">
        <f>Hotel!W22</f>
        <v>3050</v>
      </c>
      <c r="L17" s="4">
        <f>Hotel!X22</f>
        <v>4880</v>
      </c>
      <c r="M17" s="4">
        <f>Hotel!Y22</f>
        <v>5580</v>
      </c>
      <c r="N17" s="4">
        <f>Hotel!Z22</f>
        <v>2650</v>
      </c>
      <c r="O17" s="4">
        <f>Hotel!AA22</f>
        <v>3500</v>
      </c>
      <c r="P17" s="4">
        <f>Hotel!AB22</f>
        <v>7020</v>
      </c>
      <c r="Q17" s="4">
        <f>Hotel!AC22</f>
        <v>12470</v>
      </c>
      <c r="R17" s="4">
        <f>Hotel!AV22*0.00378541*100</f>
        <v>681.37379999999996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>
        <v>199</v>
      </c>
      <c r="C21" s="24">
        <v>7774300</v>
      </c>
      <c r="D21" s="24">
        <v>18159910</v>
      </c>
      <c r="E21" s="24">
        <v>3200810</v>
      </c>
      <c r="F21" s="24">
        <v>3937350</v>
      </c>
      <c r="G21" s="24">
        <v>11689750</v>
      </c>
      <c r="H21" s="24">
        <v>6604330</v>
      </c>
      <c r="I21" s="24">
        <v>5769100</v>
      </c>
      <c r="J21" s="24">
        <v>7150310</v>
      </c>
      <c r="K21" s="24">
        <v>10685060</v>
      </c>
      <c r="L21" s="24">
        <v>4559810</v>
      </c>
      <c r="M21" s="24">
        <v>8777500</v>
      </c>
      <c r="N21" s="24">
        <v>14046600</v>
      </c>
      <c r="O21" s="24">
        <v>19583960</v>
      </c>
      <c r="Q21" s="37">
        <f t="shared" si="17"/>
        <v>9040</v>
      </c>
      <c r="R21" s="37">
        <f t="shared" si="18"/>
        <v>1870</v>
      </c>
      <c r="S21" s="37">
        <f t="shared" si="16"/>
        <v>0</v>
      </c>
      <c r="T21" s="37">
        <f t="shared" si="19"/>
        <v>1490</v>
      </c>
      <c r="U21" s="37">
        <f t="shared" si="20"/>
        <v>5420</v>
      </c>
      <c r="V21" s="37">
        <f t="shared" si="21"/>
        <v>4550</v>
      </c>
      <c r="W21" s="37">
        <f t="shared" si="22"/>
        <v>2900</v>
      </c>
      <c r="X21" s="37">
        <f t="shared" si="23"/>
        <v>4520</v>
      </c>
      <c r="Y21" s="37">
        <f t="shared" si="24"/>
        <v>5420</v>
      </c>
      <c r="Z21" s="37">
        <f t="shared" si="25"/>
        <v>2740</v>
      </c>
      <c r="AA21" s="37">
        <f t="shared" si="26"/>
        <v>3370</v>
      </c>
      <c r="AB21" s="37">
        <f t="shared" si="27"/>
        <v>7060</v>
      </c>
      <c r="AC21" s="37">
        <f t="shared" si="28"/>
        <v>11530</v>
      </c>
      <c r="AD21" s="35">
        <f t="shared" si="29"/>
        <v>59910</v>
      </c>
      <c r="AF21" s="20">
        <f t="shared" si="1"/>
        <v>45.2</v>
      </c>
      <c r="AG21" s="20">
        <f t="shared" si="2"/>
        <v>9.35</v>
      </c>
      <c r="AH21" s="20">
        <f t="shared" si="3"/>
        <v>0</v>
      </c>
      <c r="AI21" s="20">
        <f t="shared" si="4"/>
        <v>7.45</v>
      </c>
      <c r="AJ21" s="20">
        <f t="shared" si="5"/>
        <v>27.1</v>
      </c>
      <c r="AK21" s="20">
        <f t="shared" si="6"/>
        <v>22.75</v>
      </c>
      <c r="AL21" s="20">
        <f t="shared" si="7"/>
        <v>14.5</v>
      </c>
      <c r="AM21" s="20">
        <f t="shared" si="8"/>
        <v>22.6</v>
      </c>
      <c r="AN21" s="20">
        <f t="shared" si="9"/>
        <v>27.1</v>
      </c>
      <c r="AO21" s="20">
        <f t="shared" si="10"/>
        <v>13.700000000000001</v>
      </c>
      <c r="AP21" s="20">
        <f t="shared" si="11"/>
        <v>16.850000000000001</v>
      </c>
      <c r="AQ21" s="20">
        <f t="shared" si="12"/>
        <v>35.300000000000004</v>
      </c>
      <c r="AR21" s="20">
        <f t="shared" si="13"/>
        <v>57.65</v>
      </c>
      <c r="AS21" s="35">
        <f t="shared" si="30"/>
        <v>299.55</v>
      </c>
      <c r="AU21" s="47">
        <v>589201</v>
      </c>
      <c r="AV21" s="37">
        <f t="shared" si="31"/>
        <v>2403</v>
      </c>
      <c r="AW21" s="35">
        <f t="shared" si="14"/>
        <v>4.806</v>
      </c>
    </row>
    <row r="22" spans="1:49" x14ac:dyDescent="0.25">
      <c r="A22" s="23">
        <v>44636</v>
      </c>
      <c r="B22" s="40">
        <v>195</v>
      </c>
      <c r="C22" s="24">
        <v>7782410</v>
      </c>
      <c r="D22" s="24">
        <v>18161790</v>
      </c>
      <c r="E22" s="24">
        <v>3200810</v>
      </c>
      <c r="F22" s="24">
        <v>3938810</v>
      </c>
      <c r="G22" s="24">
        <v>11695200</v>
      </c>
      <c r="H22" s="24">
        <v>6608890</v>
      </c>
      <c r="I22" s="24">
        <v>5772150</v>
      </c>
      <c r="J22" s="44">
        <v>7155190</v>
      </c>
      <c r="K22" s="24">
        <v>10690640</v>
      </c>
      <c r="L22" s="24">
        <v>4562460</v>
      </c>
      <c r="M22" s="24">
        <v>8781000</v>
      </c>
      <c r="N22" s="24">
        <v>14053620</v>
      </c>
      <c r="O22" s="44">
        <v>19596430</v>
      </c>
      <c r="Q22" s="37">
        <f t="shared" si="17"/>
        <v>8110</v>
      </c>
      <c r="R22" s="37">
        <f t="shared" si="18"/>
        <v>1880</v>
      </c>
      <c r="S22" s="37">
        <f t="shared" si="16"/>
        <v>0</v>
      </c>
      <c r="T22" s="37">
        <f t="shared" si="19"/>
        <v>1460</v>
      </c>
      <c r="U22" s="37">
        <f t="shared" si="20"/>
        <v>5450</v>
      </c>
      <c r="V22" s="37">
        <f t="shared" si="21"/>
        <v>4560</v>
      </c>
      <c r="W22" s="37">
        <f t="shared" si="22"/>
        <v>3050</v>
      </c>
      <c r="X22" s="37">
        <f t="shared" si="23"/>
        <v>4880</v>
      </c>
      <c r="Y22" s="37">
        <f t="shared" si="24"/>
        <v>5580</v>
      </c>
      <c r="Z22" s="37">
        <f t="shared" si="25"/>
        <v>2650</v>
      </c>
      <c r="AA22" s="37">
        <f t="shared" si="26"/>
        <v>3500</v>
      </c>
      <c r="AB22" s="37">
        <f t="shared" si="27"/>
        <v>7020</v>
      </c>
      <c r="AC22" s="37">
        <f t="shared" si="28"/>
        <v>12470</v>
      </c>
      <c r="AD22" s="35">
        <f t="shared" si="29"/>
        <v>60610</v>
      </c>
      <c r="AF22" s="20">
        <f t="shared" si="1"/>
        <v>40.550000000000004</v>
      </c>
      <c r="AG22" s="20">
        <f t="shared" si="2"/>
        <v>9.4</v>
      </c>
      <c r="AH22" s="20">
        <f t="shared" si="3"/>
        <v>0</v>
      </c>
      <c r="AI22" s="20">
        <f t="shared" si="4"/>
        <v>7.3</v>
      </c>
      <c r="AJ22" s="20">
        <f t="shared" si="5"/>
        <v>27.25</v>
      </c>
      <c r="AK22" s="20">
        <f t="shared" si="6"/>
        <v>22.8</v>
      </c>
      <c r="AL22" s="20">
        <f t="shared" si="7"/>
        <v>15.25</v>
      </c>
      <c r="AM22" s="20">
        <f t="shared" si="8"/>
        <v>24.400000000000002</v>
      </c>
      <c r="AN22" s="20">
        <f t="shared" si="9"/>
        <v>27.900000000000002</v>
      </c>
      <c r="AO22" s="20">
        <f t="shared" si="10"/>
        <v>13.25</v>
      </c>
      <c r="AP22" s="20">
        <f t="shared" si="11"/>
        <v>17.5</v>
      </c>
      <c r="AQ22" s="20">
        <f t="shared" si="12"/>
        <v>35.1</v>
      </c>
      <c r="AR22" s="20">
        <f t="shared" si="13"/>
        <v>62.35</v>
      </c>
      <c r="AS22" s="35">
        <f t="shared" si="30"/>
        <v>303.05</v>
      </c>
      <c r="AU22" s="47">
        <v>591001</v>
      </c>
      <c r="AV22" s="37">
        <f t="shared" si="31"/>
        <v>1800</v>
      </c>
      <c r="AW22" s="35">
        <f t="shared" si="14"/>
        <v>3.6</v>
      </c>
    </row>
    <row r="23" spans="1:49" x14ac:dyDescent="0.25">
      <c r="A23" s="23">
        <v>44637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 t="str">
        <f t="shared" si="31"/>
        <v>0</v>
      </c>
      <c r="AW23" s="35">
        <f t="shared" si="14"/>
        <v>0</v>
      </c>
    </row>
    <row r="24" spans="1:49" x14ac:dyDescent="0.25">
      <c r="A24" s="23">
        <v>44638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44639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44640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44641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44642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44643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44644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44645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44646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44647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44648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44649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148490</v>
      </c>
      <c r="R38" s="38">
        <f t="shared" ref="R38:AD38" si="61">SUM(R7:R37)</f>
        <v>29900</v>
      </c>
      <c r="S38" s="38">
        <f t="shared" si="61"/>
        <v>0</v>
      </c>
      <c r="T38" s="38">
        <f t="shared" si="61"/>
        <v>23590</v>
      </c>
      <c r="U38" s="38">
        <f t="shared" si="61"/>
        <v>85730</v>
      </c>
      <c r="V38" s="38">
        <f t="shared" si="61"/>
        <v>72650</v>
      </c>
      <c r="W38" s="38">
        <f t="shared" si="61"/>
        <v>47760</v>
      </c>
      <c r="X38" s="38">
        <f t="shared" si="61"/>
        <v>64790</v>
      </c>
      <c r="Y38" s="38">
        <f t="shared" si="61"/>
        <v>87400</v>
      </c>
      <c r="Z38" s="38">
        <f t="shared" si="61"/>
        <v>43490</v>
      </c>
      <c r="AA38" s="38">
        <f t="shared" si="61"/>
        <v>52710</v>
      </c>
      <c r="AB38" s="38">
        <f t="shared" si="61"/>
        <v>114490</v>
      </c>
      <c r="AC38" s="38">
        <f t="shared" si="61"/>
        <v>175170</v>
      </c>
      <c r="AD38" s="38">
        <f t="shared" si="61"/>
        <v>946170</v>
      </c>
      <c r="AF38" s="35">
        <f>SUM(AF7:AF37)</f>
        <v>742.45</v>
      </c>
      <c r="AG38" s="35">
        <f t="shared" ref="AG38:AS38" si="62">SUM(AG7:AG37)</f>
        <v>149.5</v>
      </c>
      <c r="AH38" s="35">
        <f t="shared" si="62"/>
        <v>0</v>
      </c>
      <c r="AI38" s="35">
        <f t="shared" si="62"/>
        <v>117.94999999999999</v>
      </c>
      <c r="AJ38" s="35">
        <f t="shared" si="62"/>
        <v>428.65000000000009</v>
      </c>
      <c r="AK38" s="35">
        <f t="shared" si="62"/>
        <v>363.25</v>
      </c>
      <c r="AL38" s="35">
        <f t="shared" si="62"/>
        <v>238.8</v>
      </c>
      <c r="AM38" s="35">
        <f t="shared" si="62"/>
        <v>323.94999999999993</v>
      </c>
      <c r="AN38" s="35">
        <f t="shared" si="62"/>
        <v>437</v>
      </c>
      <c r="AO38" s="35">
        <f t="shared" si="62"/>
        <v>217.45</v>
      </c>
      <c r="AP38" s="35">
        <f t="shared" si="62"/>
        <v>263.54999999999995</v>
      </c>
      <c r="AQ38" s="35">
        <f t="shared" si="62"/>
        <v>572.44999999999993</v>
      </c>
      <c r="AR38" s="35">
        <f t="shared" si="62"/>
        <v>875.84999999999991</v>
      </c>
      <c r="AS38" s="35">
        <f t="shared" si="62"/>
        <v>4730.8500000000004</v>
      </c>
      <c r="AU38" s="48"/>
      <c r="AV38" s="35">
        <f>SUM(AV7:AV34)</f>
        <v>30354</v>
      </c>
      <c r="AW38" s="35">
        <f>SUM(AW7:AW34)</f>
        <v>60.707999999999991</v>
      </c>
    </row>
    <row r="39" spans="1:49" x14ac:dyDescent="0.25">
      <c r="D39">
        <v>5.0000000000000001E-3</v>
      </c>
      <c r="AV39" s="36">
        <f>AV38*0.00378541*1000</f>
        <v>114902.33514</v>
      </c>
    </row>
    <row r="40" spans="1:49" x14ac:dyDescent="0.25">
      <c r="D40">
        <v>2E-3</v>
      </c>
      <c r="AV40">
        <f>AV39/31</f>
        <v>3706.5269399999997</v>
      </c>
    </row>
    <row r="41" spans="1:49" x14ac:dyDescent="0.25">
      <c r="AV41">
        <f>AV38*0.00378541</f>
        <v>114.90233513999999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2022-03-17T11:09:03Z</dcterms:modified>
</cp:coreProperties>
</file>