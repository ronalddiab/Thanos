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A24" i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 l="1"/>
  <c r="I25" i="2"/>
  <c r="H25" i="2"/>
  <c r="F25" i="2"/>
  <c r="E25" i="2"/>
  <c r="L25" i="3"/>
  <c r="K25" i="3"/>
  <c r="I25" i="3"/>
  <c r="G25" i="3"/>
  <c r="E25" i="3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1" i="3" l="1"/>
  <c r="K21" i="3"/>
  <c r="I21" i="3"/>
  <c r="G21" i="3"/>
  <c r="E21" i="3"/>
  <c r="J21" i="2"/>
  <c r="I21" i="2"/>
  <c r="H21" i="2"/>
  <c r="F21" i="2"/>
  <c r="E21" i="2"/>
  <c r="L17" i="3" l="1"/>
  <c r="K17" i="3"/>
  <c r="I17" i="3"/>
  <c r="G17" i="3"/>
  <c r="E17" i="3"/>
  <c r="J17" i="2"/>
  <c r="I17" i="2"/>
  <c r="H17" i="2"/>
  <c r="F17" i="2"/>
  <c r="E17" i="2"/>
  <c r="L10" i="3" l="1"/>
  <c r="K10" i="3"/>
  <c r="I10" i="3"/>
  <c r="G10" i="3"/>
  <c r="E10" i="3"/>
  <c r="J10" i="2" l="1"/>
  <c r="I10" i="2"/>
  <c r="H10" i="2"/>
  <c r="F10" i="2"/>
  <c r="E10" i="2"/>
  <c r="L20" i="3" l="1"/>
  <c r="K20" i="3"/>
  <c r="I20" i="3"/>
  <c r="G20" i="3"/>
  <c r="E20" i="3"/>
  <c r="J20" i="2"/>
  <c r="I20" i="2"/>
  <c r="H20" i="2"/>
  <c r="F20" i="2"/>
  <c r="E20" i="2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<sst xmlns="http://schemas.openxmlformats.org/spreadsheetml/2006/main" count="108" uniqueCount="39">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</sst>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9" sqref="P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'1 - 2020'!B12-'1 - 2020'!B11+'1 - 2020'!C12-'1 - 2020'!C11</f>
        <v>8817.3999999999069</v>
      </c>
      <c r="F6" s="22">
        <v>0.11799999999999999</v>
      </c>
      <c r="G6" s="24">
        <f>(('1 - 2020'!E12-'1 - 2020'!E11)+('1 - 2020'!F12-'1 - 2020'!F11)+('1 - 2020'!G12-'1 - 2020'!G11))*1.81</f>
        <v>89.432099999999735</v>
      </c>
      <c r="H6" s="22">
        <v>0.99</v>
      </c>
      <c r="I6" s="24">
        <f>'1 - 2020'!J12-'1 - 2020'!J11</f>
        <v>10648</v>
      </c>
      <c r="J6" s="22">
        <v>8.1000000000000003E-2</v>
      </c>
      <c r="K6" s="50">
        <f>'1 - 2020'!H12-'1 - 2020'!H11</f>
        <v>0</v>
      </c>
      <c r="L6" s="24">
        <f>'1 - 2020'!I12-'1 - 2020'!I11</f>
        <v>124</v>
      </c>
      <c r="M6" s="23">
        <v>4.393629424766913</v>
      </c>
      <c r="N6" s="43">
        <v>96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8693.6000000000931</v>
      </c>
      <c r="F7" s="22">
        <v>0.11799999999999999</v>
      </c>
      <c r="G7" s="24">
        <f>(('1 - 2020'!E13-'1 - 2020'!E12)+('1 - 2020'!F13-'1 - 2020'!F12)+('1 - 2020'!G13-'1 - 2020'!G12))*1.81</f>
        <v>82.517900000000267</v>
      </c>
      <c r="H7" s="22">
        <v>0.99</v>
      </c>
      <c r="I7" s="24">
        <f>'1 - 2020'!J13-'1 - 2020'!J12</f>
        <v>10148</v>
      </c>
      <c r="J7" s="22">
        <v>8.1000000000000003E-2</v>
      </c>
      <c r="K7" s="50">
        <f>'1 - 2020'!H13-'1 - 2020'!H12</f>
        <v>0</v>
      </c>
      <c r="L7" s="24">
        <f>'1 - 2020'!I13-'1 - 2020'!I12</f>
        <v>82</v>
      </c>
      <c r="M7" s="23">
        <v>4.393629424766913</v>
      </c>
      <c r="N7" s="43">
        <v>100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8444</v>
      </c>
      <c r="F8" s="22">
        <v>0.11799999999999999</v>
      </c>
      <c r="G8" s="24">
        <f>(('1 - 2020'!E14-'1 - 2020'!E13)+('1 - 2020'!F14-'1 - 2020'!F13)+('1 - 2020'!G14-'1 - 2020'!G13))*1.81</f>
        <v>90.5</v>
      </c>
      <c r="H8" s="22">
        <v>0.99</v>
      </c>
      <c r="I8" s="24">
        <f>'1 - 2020'!J14-'1 - 2020'!J13</f>
        <v>9879</v>
      </c>
      <c r="J8" s="22">
        <v>8.1000000000000003E-2</v>
      </c>
      <c r="K8" s="50">
        <f>'1 - 2020'!H14-'1 - 2020'!H13</f>
        <v>0</v>
      </c>
      <c r="L8" s="24">
        <f>'1 - 2020'!I14-'1 - 2020'!I13</f>
        <v>103</v>
      </c>
      <c r="M8" s="23">
        <v>4.393629424766913</v>
      </c>
      <c r="N8" s="45">
        <v>104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'1 - 2020'!B15-'1 - 2020'!B14+'1 - 2020'!C15-'1 - 2020'!C14</f>
        <v>8896</v>
      </c>
      <c r="F9" s="22">
        <v>0.11799999999999999</v>
      </c>
      <c r="G9" s="24">
        <f>(('1 - 2020'!E15-'1 - 2020'!E14)+('1 - 2020'!F15-'1 - 2020'!F14)+('1 - 2020'!G15-'1 - 2020'!G14))*1.81</f>
        <v>90.5</v>
      </c>
      <c r="H9" s="22">
        <v>0.99</v>
      </c>
      <c r="I9" s="24">
        <f>'1 - 2020'!J15-'1 - 2020'!J14</f>
        <v>9891</v>
      </c>
      <c r="J9" s="22">
        <v>8.1000000000000003E-2</v>
      </c>
      <c r="K9" s="50">
        <f>'1 - 2020'!H15-'1 - 2020'!H14</f>
        <v>0</v>
      </c>
      <c r="L9" s="24">
        <f>'1 - 2020'!I15-'1 - 2020'!I14</f>
        <v>113</v>
      </c>
      <c r="M9" s="23">
        <v>4.393629424766913</v>
      </c>
      <c r="N9" s="43">
        <v>105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8820</v>
      </c>
      <c r="F10" s="22">
        <v>0.11799999999999999</v>
      </c>
      <c r="G10" s="24">
        <f>(('1 - 2020'!E16-'1 - 2020'!E15)+('1 - 2020'!F16-'1 - 2020'!F15)+('1 - 2020'!G16-'1 - 2020'!G15))*1.81</f>
        <v>90.5</v>
      </c>
      <c r="H10" s="22">
        <v>0.99</v>
      </c>
      <c r="I10" s="24">
        <f>'1 - 2020'!J16-'1 - 2020'!J15</f>
        <v>9678</v>
      </c>
      <c r="J10" s="22">
        <v>8.1000000000000003E-2</v>
      </c>
      <c r="K10" s="50">
        <f>'1 - 2020'!H16-'1 - 2020'!H15</f>
        <v>0</v>
      </c>
      <c r="L10" s="24">
        <f>'1 - 2020'!I16-'1 - 2020'!I15</f>
        <v>108</v>
      </c>
      <c r="M10" s="23">
        <v>4.393629424766913</v>
      </c>
      <c r="N10" s="43">
        <v>104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'1 - 2020'!B17-'1 - 2020'!B16+'1 - 2020'!C17-'1 - 2020'!C16</f>
        <v>8621</v>
      </c>
      <c r="F11" s="22">
        <v>0.11799999999999999</v>
      </c>
      <c r="G11" s="24">
        <f>(('1 - 2020'!E17-'1 - 2020'!E16)+('1 - 2020'!F17-'1 - 2020'!F16)+('1 - 2020'!G17-'1 - 2020'!G16))*1.81</f>
        <v>83.26</v>
      </c>
      <c r="H11" s="22">
        <v>0.99</v>
      </c>
      <c r="I11" s="24">
        <f>'1 - 2020'!J17-'1 - 2020'!J16</f>
        <v>9392</v>
      </c>
      <c r="J11" s="22">
        <v>8.1000000000000003E-2</v>
      </c>
      <c r="K11" s="50">
        <f>'1 - 2020'!H17-'1 - 2020'!H16</f>
        <v>0</v>
      </c>
      <c r="L11" s="24">
        <f>'1 - 2020'!I17-'1 - 2020'!I16</f>
        <v>113</v>
      </c>
      <c r="M11" s="23">
        <v>4.393629424766913</v>
      </c>
      <c r="N11" s="43">
        <v>97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8963</v>
      </c>
      <c r="F12" s="22">
        <v>0.11799999999999999</v>
      </c>
      <c r="G12" s="24">
        <f>(('1 - 2020'!E18-'1 - 2020'!E17)+('1 - 2020'!F18-'1 - 2020'!F17)+('1 - 2020'!G18-'1 - 2020'!G17))*1.81</f>
        <v>86.88</v>
      </c>
      <c r="H12" s="22">
        <v>0.99</v>
      </c>
      <c r="I12" s="24">
        <f>'1 - 2020'!J18-'1 - 2020'!J17</f>
        <v>10095</v>
      </c>
      <c r="J12" s="22">
        <v>8.1000000000000003E-2</v>
      </c>
      <c r="K12" s="50">
        <f>'1 - 2020'!H18-'1 - 2020'!H17</f>
        <v>0</v>
      </c>
      <c r="L12" s="24">
        <f>'1 - 2020'!I18-'1 - 2020'!I17</f>
        <v>105</v>
      </c>
      <c r="M12" s="23">
        <v>4.393629424766913</v>
      </c>
      <c r="N12" s="24">
        <v>86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10495.699999999953</v>
      </c>
      <c r="F13" s="22">
        <v>0.11799999999999999</v>
      </c>
      <c r="G13" s="24">
        <f>(('1 - 2020'!E19-'1 - 2020'!E18)+('1 - 2020'!F19-'1 - 2020'!F18)+('1 - 2020'!G19-'1 - 2020'!G18))*1.81</f>
        <v>84.708000000000325</v>
      </c>
      <c r="H13" s="22">
        <v>0.99</v>
      </c>
      <c r="I13" s="24">
        <f>'1 - 2020'!J19-'1 - 2020'!J18</f>
        <v>10511</v>
      </c>
      <c r="J13" s="22">
        <v>8.1000000000000003E-2</v>
      </c>
      <c r="K13" s="50">
        <f>'1 - 2020'!H19-'1 - 2020'!H18</f>
        <v>0</v>
      </c>
      <c r="L13" s="24">
        <f>'1 - 2020'!I19-'1 - 2020'!I18</f>
        <v>113</v>
      </c>
      <c r="M13" s="23">
        <v>4.393629424766913</v>
      </c>
      <c r="N13" s="24">
        <v>76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'1 - 2020'!B20-'1 - 2020'!B19+'1 - 2020'!C20-'1 - 2020'!C19</f>
        <v>6878.3000000000466</v>
      </c>
      <c r="F14" s="22">
        <v>0.11799999999999999</v>
      </c>
      <c r="G14" s="24">
        <f>(('1 - 2020'!E20-'1 - 2020'!E19)+('1 - 2020'!F20-'1 - 2020'!F19)+('1 - 2020'!G20-'1 - 2020'!G19))*1.81</f>
        <v>76.381999999999678</v>
      </c>
      <c r="H14" s="22">
        <v>0.99</v>
      </c>
      <c r="I14" s="24">
        <f>'1 - 2020'!J20-'1 - 2020'!J19</f>
        <v>7831</v>
      </c>
      <c r="J14" s="22">
        <v>8.1000000000000003E-2</v>
      </c>
      <c r="K14" s="50">
        <f>'1 - 2020'!H20-'1 - 2020'!H19</f>
        <v>0</v>
      </c>
      <c r="L14" s="24">
        <f>'1 - 2020'!I20-'1 - 2020'!I19</f>
        <v>78</v>
      </c>
      <c r="M14" s="23">
        <v>4.393629424766913</v>
      </c>
      <c r="N14" s="24">
        <v>81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8275</v>
      </c>
      <c r="F15" s="22">
        <v>0.11799999999999999</v>
      </c>
      <c r="G15" s="24">
        <f>(('1 - 2020'!E21-'1 - 2020'!E20)+('1 - 2020'!F21-'1 - 2020'!F20)+('1 - 2020'!G21-'1 - 2020'!G20))*1.81</f>
        <v>74.210000000000008</v>
      </c>
      <c r="H15" s="22">
        <v>0.99</v>
      </c>
      <c r="I15" s="24">
        <f>'1 - 2020'!J21-'1 - 2020'!J20</f>
        <v>8885</v>
      </c>
      <c r="J15" s="22">
        <v>8.1000000000000003E-2</v>
      </c>
      <c r="K15" s="50">
        <f>'1 - 2020'!H21-'1 - 2020'!H20</f>
        <v>0</v>
      </c>
      <c r="L15" s="24">
        <f>'1 - 2020'!I21-'1 - 2020'!I20</f>
        <v>99</v>
      </c>
      <c r="M15" s="23">
        <v>4.393629424766913</v>
      </c>
      <c r="N15" s="24">
        <v>79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8309</v>
      </c>
      <c r="F16" s="22">
        <v>0.11799999999999999</v>
      </c>
      <c r="G16" s="24">
        <f>(('1 - 2020'!E22-'1 - 2020'!E21)+('1 - 2020'!F22-'1 - 2020'!F21)+('1 - 2020'!G22-'1 - 2020'!G21))*1.81</f>
        <v>85.070000000000007</v>
      </c>
      <c r="H16" s="22">
        <v>0.99</v>
      </c>
      <c r="I16" s="24">
        <f>'1 - 2020'!J22-'1 - 2020'!J21</f>
        <v>9823</v>
      </c>
      <c r="J16" s="22">
        <v>8.1000000000000003E-2</v>
      </c>
      <c r="K16" s="50">
        <f>'1 - 2020'!H22-'1 - 2020'!H21</f>
        <v>0</v>
      </c>
      <c r="L16" s="24">
        <f>'1 - 2020'!I22-'1 - 2020'!I21</f>
        <v>103</v>
      </c>
      <c r="M16" s="23">
        <v>4.393629424766913</v>
      </c>
      <c r="N16" s="24">
        <v>87</v>
      </c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8362</v>
      </c>
      <c r="F17" s="22">
        <v>0.11799999999999999</v>
      </c>
      <c r="G17" s="24">
        <f>(('1 - 2020'!E23-'1 - 2020'!E22)+('1 - 2020'!F23-'1 - 2020'!F22)+('1 - 2020'!G23-'1 - 2020'!G22))*1.81</f>
        <v>79.64</v>
      </c>
      <c r="H17" s="22">
        <v>0.99</v>
      </c>
      <c r="I17" s="24">
        <f>'1 - 2020'!J23-'1 - 2020'!J22</f>
        <v>10290</v>
      </c>
      <c r="J17" s="22">
        <v>8.1000000000000003E-2</v>
      </c>
      <c r="K17" s="50">
        <f>'1 - 2020'!H23-'1 - 2020'!H22</f>
        <v>0</v>
      </c>
      <c r="L17" s="24">
        <f>'1 - 2020'!I23-'1 - 2020'!I22</f>
        <v>101</v>
      </c>
      <c r="M17" s="23">
        <v>4.393629424766913</v>
      </c>
      <c r="N17" s="24">
        <v>94</v>
      </c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'1 - 2020'!B24-'1 - 2020'!B23+'1 - 2020'!C24-'1 - 2020'!C23</f>
        <v>8274</v>
      </c>
      <c r="F18" s="22">
        <v>0.11799999999999999</v>
      </c>
      <c r="G18" s="24">
        <f>(('1 - 2020'!E24-'1 - 2020'!E23)+('1 - 2020'!F24-'1 - 2020'!F23)+('1 - 2020'!G24-'1 - 2020'!G23))*1.81</f>
        <v>86.88</v>
      </c>
      <c r="H18" s="22">
        <v>0.99</v>
      </c>
      <c r="I18" s="24">
        <f>'1 - 2020'!J24-'1 - 2020'!J23</f>
        <v>10298</v>
      </c>
      <c r="J18" s="22">
        <v>8.1000000000000003E-2</v>
      </c>
      <c r="K18" s="50">
        <f>'1 - 2020'!H24-'1 - 2020'!H23</f>
        <v>0</v>
      </c>
      <c r="L18" s="24">
        <f>'1 - 2020'!I24-'1 - 2020'!I23</f>
        <v>104</v>
      </c>
      <c r="M18" s="23">
        <v>4.393629424766913</v>
      </c>
      <c r="N18" s="24">
        <v>95</v>
      </c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v>0</v>
      </c>
      <c r="F19" s="22">
        <v>0.11799999999999999</v>
      </c>
      <c r="G19" s="24">
        <v>0</v>
      </c>
      <c r="H19" s="22">
        <v>0.99</v>
      </c>
      <c r="I19" s="24">
        <v>0</v>
      </c>
      <c r="J19" s="22">
        <v>8.1000000000000003E-2</v>
      </c>
      <c r="K19" s="50">
        <v>0</v>
      </c>
      <c r="L19" s="24">
        <v>0</v>
      </c>
      <c r="M19" s="23">
        <v>4.393629424766913</v>
      </c>
      <c r="N19" s="44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0</v>
      </c>
      <c r="F20" s="22">
        <v>0.11799999999999999</v>
      </c>
      <c r="G20" s="24">
        <f>(('1 - 2020'!E26-'1 - 2020'!E25)+('1 - 2020'!F26-'1 - 2020'!F25)+('1 - 2020'!G26-'1 - 2020'!G25))*1.81</f>
        <v>0</v>
      </c>
      <c r="H20" s="22">
        <v>0.99</v>
      </c>
      <c r="I20" s="24">
        <f>'1 - 2020'!J26-'1 - 2020'!J25</f>
        <v>0</v>
      </c>
      <c r="J20" s="22">
        <v>8.1000000000000003E-2</v>
      </c>
      <c r="K20" s="50">
        <f>'1 - 2020'!H26-'1 - 2020'!H25</f>
        <v>0</v>
      </c>
      <c r="L20" s="24">
        <f>'1 - 2020'!I26-'1 - 2020'!I25</f>
        <v>0</v>
      </c>
      <c r="M20" s="23">
        <v>4.393629424766913</v>
      </c>
      <c r="N20" s="44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'1 - 2020'!B27-'1 - 2020'!B26+'1 - 2020'!C27-'1 - 2020'!C26</f>
        <v>0</v>
      </c>
      <c r="F21" s="22">
        <v>0.11799999999999999</v>
      </c>
      <c r="G21" s="24">
        <f>(('1 - 2020'!E27-'1 - 2020'!E26)+('1 - 2020'!F27-'1 - 2020'!F26)+('1 - 2020'!G27-'1 - 2020'!G26))*1.81</f>
        <v>0</v>
      </c>
      <c r="H21" s="22">
        <v>0.99</v>
      </c>
      <c r="I21" s="24">
        <f>'1 - 2020'!J27-'1 - 2020'!J26</f>
        <v>0</v>
      </c>
      <c r="J21" s="22">
        <v>8.1000000000000003E-2</v>
      </c>
      <c r="K21" s="50">
        <f>'1 - 2020'!H27-'1 - 2020'!H26</f>
        <v>0</v>
      </c>
      <c r="L21" s="24">
        <f>'1 - 2020'!I27-'1 - 2020'!I26</f>
        <v>0</v>
      </c>
      <c r="M21" s="23">
        <v>4.393629424766913</v>
      </c>
      <c r="N21" s="44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0</v>
      </c>
      <c r="F22" s="22">
        <v>0.11799999999999999</v>
      </c>
      <c r="G22" s="24">
        <f>(('1 - 2020'!E28-'1 - 2020'!E27)+('1 - 2020'!F28-'1 - 2020'!F27)+('1 - 2020'!G28-'1 - 2020'!G27))*1.81</f>
        <v>0</v>
      </c>
      <c r="H22" s="22">
        <v>0.99</v>
      </c>
      <c r="I22" s="24">
        <f>'1 - 2020'!J28-'1 - 2020'!J27</f>
        <v>0</v>
      </c>
      <c r="J22" s="22">
        <v>8.1000000000000003E-2</v>
      </c>
      <c r="K22" s="50">
        <f>'1 - 2020'!H28-'1 - 2020'!H27</f>
        <v>0</v>
      </c>
      <c r="L22" s="24">
        <f>'1 - 2020'!I28-'1 - 2020'!I27</f>
        <v>0</v>
      </c>
      <c r="M22" s="23">
        <v>4.393629424766913</v>
      </c>
      <c r="N22" s="44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0</v>
      </c>
      <c r="F23" s="22">
        <v>0.11799999999999999</v>
      </c>
      <c r="G23" s="24">
        <f>(('1 - 2020'!E29-'1 - 2020'!E28)+('1 - 2020'!F29-'1 - 2020'!F28)+('1 - 2020'!G29-'1 - 2020'!G28))*1.81</f>
        <v>0</v>
      </c>
      <c r="H23" s="22">
        <v>0.99</v>
      </c>
      <c r="I23" s="24">
        <f>'1 - 2020'!J29-'1 - 2020'!J28</f>
        <v>0</v>
      </c>
      <c r="J23" s="22">
        <v>8.1000000000000003E-2</v>
      </c>
      <c r="K23" s="50">
        <f>'1 - 2020'!H29-'1 - 2020'!H28</f>
        <v>0</v>
      </c>
      <c r="L23" s="24">
        <f>'1 - 2020'!I29-'1 - 2020'!I28</f>
        <v>0</v>
      </c>
      <c r="M23" s="23">
        <v>4.393629424766913</v>
      </c>
      <c r="N23" s="44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0</v>
      </c>
      <c r="F24" s="22">
        <v>0.11799999999999999</v>
      </c>
      <c r="G24" s="24">
        <f>(('1 - 2020'!E30-'1 - 2020'!E29)+('1 - 2020'!F30-'1 - 2020'!F29)+('1 - 2020'!G30-'1 - 2020'!G29))*1.81</f>
        <v>0</v>
      </c>
      <c r="H24" s="22">
        <v>0.99</v>
      </c>
      <c r="I24" s="24">
        <f>'1 - 2020'!J30-'1 - 2020'!J29</f>
        <v>0</v>
      </c>
      <c r="J24" s="22">
        <v>8.1000000000000003E-2</v>
      </c>
      <c r="K24" s="50">
        <f>'1 - 2020'!H30-'1 - 2020'!H29</f>
        <v>0</v>
      </c>
      <c r="L24" s="24">
        <f>'1 - 2020'!I30-'1 - 2020'!I29</f>
        <v>0</v>
      </c>
      <c r="M24" s="23">
        <v>4.393629424766913</v>
      </c>
      <c r="N24" s="44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0</v>
      </c>
      <c r="F25" s="22">
        <v>0.11799999999999999</v>
      </c>
      <c r="G25" s="24">
        <f>(('1 - 2020'!E31-'1 - 2020'!E30)+('1 - 2020'!F31-'1 - 2020'!F30)+('1 - 2020'!G31-'1 - 2020'!G30))*1.81</f>
        <v>0</v>
      </c>
      <c r="H25" s="22">
        <v>0.99</v>
      </c>
      <c r="I25" s="24">
        <f>'1 - 2020'!J31-'1 - 2020'!J30</f>
        <v>0</v>
      </c>
      <c r="J25" s="22">
        <v>8.1000000000000003E-2</v>
      </c>
      <c r="K25" s="50">
        <f>'1 - 2020'!H31-'1 - 2020'!H30</f>
        <v>0</v>
      </c>
      <c r="L25" s="24">
        <f>'1 - 2020'!I31-'1 - 2020'!I30</f>
        <v>0</v>
      </c>
      <c r="M25" s="23">
        <v>4.393629424766913</v>
      </c>
      <c r="N25" s="44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0</v>
      </c>
      <c r="F26" s="22">
        <v>0.11799999999999999</v>
      </c>
      <c r="G26" s="24">
        <f>(('1 - 2020'!E32-'1 - 2020'!E31)+('1 - 2020'!F32-'1 - 2020'!F31)+('1 - 2020'!G32-'1 - 2020'!G31))*1.81</f>
        <v>0</v>
      </c>
      <c r="H26" s="22">
        <v>0.99</v>
      </c>
      <c r="I26" s="24">
        <f>'1 - 2020'!J32-'1 - 2020'!J31</f>
        <v>0</v>
      </c>
      <c r="J26" s="22">
        <v>8.1000000000000003E-2</v>
      </c>
      <c r="K26" s="50">
        <f>'1 - 2020'!H32-'1 - 2020'!H31</f>
        <v>0</v>
      </c>
      <c r="L26" s="24">
        <f>'1 - 2020'!I32-'1 - 2020'!I31</f>
        <v>0</v>
      </c>
      <c r="M26" s="23">
        <v>4.393629424766913</v>
      </c>
      <c r="N26" s="44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'1 - 2020'!B33-'1 - 2020'!B32+'1 - 2020'!C33-'1 - 2020'!C32</f>
        <v>0</v>
      </c>
      <c r="F27" s="22">
        <v>0.11799999999999999</v>
      </c>
      <c r="G27" s="24">
        <f>(('1 - 2020'!E33-'1 - 2020'!E32)+('1 - 2020'!F33-'1 - 2020'!F32)+('1 - 2020'!G33-'1 - 2020'!G32))*1.81</f>
        <v>0</v>
      </c>
      <c r="H27" s="22">
        <v>0.99</v>
      </c>
      <c r="I27" s="24">
        <f>'1 - 2020'!J33-'1 - 2020'!J32</f>
        <v>0</v>
      </c>
      <c r="J27" s="22">
        <v>8.1000000000000003E-2</v>
      </c>
      <c r="K27" s="50">
        <f>'1 - 2020'!H33-'1 - 2020'!H32</f>
        <v>0</v>
      </c>
      <c r="L27" s="24">
        <f>'1 - 2020'!I33-'1 - 2020'!I32</f>
        <v>0</v>
      </c>
      <c r="M27" s="23">
        <v>4.393629424766913</v>
      </c>
      <c r="N27" s="44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'1 - 2020'!B34-'1 - 2020'!B33+'1 - 2020'!C34-'1 - 2020'!C33</f>
        <v>0</v>
      </c>
      <c r="F28" s="22">
        <v>0.11799999999999999</v>
      </c>
      <c r="G28" s="24">
        <f>(('1 - 2020'!E34-'1 - 2020'!E33)+('1 - 2020'!F34-'1 - 2020'!F33)+('1 - 2020'!G34-'1 - 2020'!G33))*1.81</f>
        <v>0</v>
      </c>
      <c r="H28" s="22">
        <v>0.99</v>
      </c>
      <c r="I28" s="24">
        <f>'1 - 2020'!J34-'1 - 2020'!J33</f>
        <v>0</v>
      </c>
      <c r="J28" s="22">
        <v>8.1000000000000003E-2</v>
      </c>
      <c r="K28" s="50">
        <f>'1 - 2020'!H34-'1 - 2020'!H33</f>
        <v>0</v>
      </c>
      <c r="L28" s="24">
        <f>'1 - 2020'!I34-'1 - 2020'!I33</f>
        <v>0</v>
      </c>
      <c r="M28" s="23">
        <v>4.393629424766913</v>
      </c>
      <c r="N28" s="44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'1 - 2020'!B35-'1 - 2020'!B34+'1 - 2020'!C35-'1 - 2020'!C34</f>
        <v>0</v>
      </c>
      <c r="F29" s="22">
        <v>0.11799999999999999</v>
      </c>
      <c r="G29" s="24">
        <f>(('1 - 2020'!E35-'1 - 2020'!E34)+('1 - 2020'!F35-'1 - 2020'!F34)+('1 - 2020'!G35-'1 - 2020'!G34))*1.81</f>
        <v>0</v>
      </c>
      <c r="H29" s="22">
        <v>0.99</v>
      </c>
      <c r="I29" s="24">
        <f>'1 - 2020'!J35-'1 - 2020'!J34</f>
        <v>0</v>
      </c>
      <c r="J29" s="22">
        <v>8.1000000000000003E-2</v>
      </c>
      <c r="K29" s="50">
        <f>'1 - 2020'!H35-'1 - 2020'!H34</f>
        <v>0</v>
      </c>
      <c r="L29" s="24">
        <f>'1 - 2020'!I35-'1 - 2020'!I34</f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18" sqref="N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</f>
        <v>3222</v>
      </c>
      <c r="F6" s="24">
        <f>'1 - 2020'!C12-'1 - 2020'!C11</f>
        <v>5595.3999999999069</v>
      </c>
      <c r="G6" s="22">
        <v>0.11799999999999999</v>
      </c>
      <c r="H6" s="24">
        <f>'1 - 2020'!E12-'1 - 2020'!E11</f>
        <v>3.8999999999996362</v>
      </c>
      <c r="I6" s="24">
        <f>'1 - 2020'!F12-'1 - 2020'!F11</f>
        <v>5.5100000000002183</v>
      </c>
      <c r="J6" s="24">
        <f>'1 - 2020'!G12-'1 - 2020'!G11</f>
        <v>40</v>
      </c>
      <c r="K6" s="22">
        <v>0.74</v>
      </c>
      <c r="L6" s="43">
        <v>96</v>
      </c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3152</v>
      </c>
      <c r="F7" s="24">
        <f>'1 - 2020'!C13-'1 - 2020'!C12</f>
        <v>5541.6000000000931</v>
      </c>
      <c r="G7" s="22">
        <v>0.11799999999999999</v>
      </c>
      <c r="H7" s="24">
        <f>'1 - 2020'!E13-'1 - 2020'!E12</f>
        <v>4.1000000000003638</v>
      </c>
      <c r="I7" s="24">
        <f>'1 - 2020'!F13-'1 - 2020'!F12</f>
        <v>3.4899999999997817</v>
      </c>
      <c r="J7" s="24">
        <f>'1 - 2020'!G13-'1 - 2020'!G12</f>
        <v>38</v>
      </c>
      <c r="K7" s="22">
        <v>0.74</v>
      </c>
      <c r="L7" s="43">
        <v>100</v>
      </c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2913</v>
      </c>
      <c r="F8" s="24">
        <f>'1 - 2020'!C14-'1 - 2020'!C13</f>
        <v>5531</v>
      </c>
      <c r="G8" s="22">
        <v>0.11799999999999999</v>
      </c>
      <c r="H8" s="24">
        <f>'1 - 2020'!E14-'1 - 2020'!E13</f>
        <v>7</v>
      </c>
      <c r="I8" s="24">
        <f>'1 - 2020'!F14-'1 - 2020'!F13</f>
        <v>5</v>
      </c>
      <c r="J8" s="24">
        <f>'1 - 2020'!G14-'1 - 2020'!G13</f>
        <v>38</v>
      </c>
      <c r="K8" s="22">
        <v>0.74</v>
      </c>
      <c r="L8" s="43">
        <v>104</v>
      </c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</f>
        <v>3257</v>
      </c>
      <c r="F9" s="24">
        <f>'1 - 2020'!C15-'1 - 2020'!C14</f>
        <v>5639</v>
      </c>
      <c r="G9" s="22">
        <v>0.11799999999999999</v>
      </c>
      <c r="H9" s="24">
        <f>'1 - 2020'!E15-'1 - 2020'!E14</f>
        <v>5</v>
      </c>
      <c r="I9" s="24">
        <f>'1 - 2020'!F15-'1 - 2020'!F14</f>
        <v>5</v>
      </c>
      <c r="J9" s="24">
        <f>'1 - 2020'!G15-'1 - 2020'!G14</f>
        <v>40</v>
      </c>
      <c r="K9" s="22">
        <v>0.74</v>
      </c>
      <c r="L9" s="43">
        <v>105</v>
      </c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3205</v>
      </c>
      <c r="F10" s="24">
        <f>'1 - 2020'!C16-'1 - 2020'!C15</f>
        <v>5615</v>
      </c>
      <c r="G10" s="22">
        <v>0.11799999999999999</v>
      </c>
      <c r="H10" s="24">
        <f>'1 - 2020'!E16-'1 - 2020'!E15</f>
        <v>4</v>
      </c>
      <c r="I10" s="24">
        <f>'1 - 2020'!F16-'1 - 2020'!F15</f>
        <v>5</v>
      </c>
      <c r="J10" s="24">
        <f>'1 - 2020'!G16-'1 - 2020'!G15</f>
        <v>41</v>
      </c>
      <c r="K10" s="22">
        <v>0.74</v>
      </c>
      <c r="L10" s="43">
        <v>104</v>
      </c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</f>
        <v>3216</v>
      </c>
      <c r="F11" s="24">
        <f>'1 - 2020'!C17-'1 - 2020'!C16</f>
        <v>5405</v>
      </c>
      <c r="G11" s="22">
        <v>0.11799999999999999</v>
      </c>
      <c r="H11" s="24">
        <f>'1 - 2020'!E17-'1 - 2020'!E16</f>
        <v>3</v>
      </c>
      <c r="I11" s="24">
        <f>'1 - 2020'!F17-'1 - 2020'!F16</f>
        <v>5</v>
      </c>
      <c r="J11" s="24">
        <f>'1 - 2020'!G17-'1 - 2020'!G16</f>
        <v>38</v>
      </c>
      <c r="K11" s="22">
        <v>0.74</v>
      </c>
      <c r="L11" s="43">
        <v>97</v>
      </c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3264</v>
      </c>
      <c r="F12" s="24">
        <f>'1 - 2020'!C18-'1 - 2020'!C17</f>
        <v>5699</v>
      </c>
      <c r="G12" s="22">
        <v>0.11799999999999999</v>
      </c>
      <c r="H12" s="24">
        <f>'1 - 2020'!E18-'1 - 2020'!E17</f>
        <v>3</v>
      </c>
      <c r="I12" s="24">
        <f>'1 - 2020'!F18-'1 - 2020'!F17</f>
        <v>5</v>
      </c>
      <c r="J12" s="24">
        <f>'1 - 2020'!G18-'1 - 2020'!G17</f>
        <v>40</v>
      </c>
      <c r="K12" s="22">
        <v>0.74</v>
      </c>
      <c r="L12" s="24">
        <v>86</v>
      </c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3834</v>
      </c>
      <c r="F13" s="24">
        <f>'1 - 2020'!C19-'1 - 2020'!C18</f>
        <v>6661.6999999999534</v>
      </c>
      <c r="G13" s="22">
        <v>0.11799999999999999</v>
      </c>
      <c r="H13" s="24">
        <f>'1 - 2020'!E19-'1 - 2020'!E18</f>
        <v>5</v>
      </c>
      <c r="I13" s="24">
        <f>'1 - 2020'!F19-'1 - 2020'!F18</f>
        <v>5.8000000000001819</v>
      </c>
      <c r="J13" s="24">
        <f>'1 - 2020'!G19-'1 - 2020'!G18</f>
        <v>36</v>
      </c>
      <c r="K13" s="22">
        <v>0.74</v>
      </c>
      <c r="L13" s="24">
        <v>76</v>
      </c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</f>
        <v>2621</v>
      </c>
      <c r="F14" s="24">
        <f>'1 - 2020'!C20-'1 - 2020'!C19</f>
        <v>4257.3000000000466</v>
      </c>
      <c r="G14" s="22">
        <v>0.11799999999999999</v>
      </c>
      <c r="H14" s="24">
        <f>'1 - 2020'!E20-'1 - 2020'!E19</f>
        <v>2</v>
      </c>
      <c r="I14" s="24">
        <f>'1 - 2020'!F20-'1 - 2020'!F19</f>
        <v>4.1999999999998181</v>
      </c>
      <c r="J14" s="24">
        <f>'1 - 2020'!G20-'1 - 2020'!G19</f>
        <v>36</v>
      </c>
      <c r="K14" s="22">
        <v>0.74</v>
      </c>
      <c r="L14" s="24">
        <v>81</v>
      </c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3215</v>
      </c>
      <c r="F15" s="24">
        <f>'1 - 2020'!C21-'1 - 2020'!C20</f>
        <v>5060</v>
      </c>
      <c r="G15" s="22">
        <v>0.11799999999999999</v>
      </c>
      <c r="H15" s="24">
        <f>'1 - 2020'!E21-'1 - 2020'!E20</f>
        <v>1</v>
      </c>
      <c r="I15" s="24">
        <f>'1 - 2020'!F21-'1 - 2020'!F20</f>
        <v>5</v>
      </c>
      <c r="J15" s="24">
        <f>'1 - 2020'!G21-'1 - 2020'!G20</f>
        <v>35</v>
      </c>
      <c r="K15" s="22">
        <v>0.74</v>
      </c>
      <c r="L15" s="24">
        <v>79</v>
      </c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3269</v>
      </c>
      <c r="F16" s="24">
        <f>'1 - 2020'!C22-'1 - 2020'!C21</f>
        <v>5040</v>
      </c>
      <c r="G16" s="22">
        <v>0.11799999999999999</v>
      </c>
      <c r="H16" s="24">
        <f>'1 - 2020'!E22-'1 - 2020'!E21</f>
        <v>3</v>
      </c>
      <c r="I16" s="24">
        <f>'1 - 2020'!F22-'1 - 2020'!F21</f>
        <v>5</v>
      </c>
      <c r="J16" s="24">
        <f>'1 - 2020'!G22-'1 - 2020'!G21</f>
        <v>39</v>
      </c>
      <c r="K16" s="22">
        <v>0.74</v>
      </c>
      <c r="L16" s="24">
        <v>87</v>
      </c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3288</v>
      </c>
      <c r="F17" s="24">
        <f>'1 - 2020'!C23-'1 - 2020'!C22</f>
        <v>5074</v>
      </c>
      <c r="G17" s="22">
        <v>0.11799999999999999</v>
      </c>
      <c r="H17" s="24">
        <f>'1 - 2020'!E23-'1 - 2020'!E22</f>
        <v>3</v>
      </c>
      <c r="I17" s="24">
        <f>'1 - 2020'!F23-'1 - 2020'!F22</f>
        <v>4</v>
      </c>
      <c r="J17" s="24">
        <f>'1 - 2020'!G23-'1 - 2020'!G22</f>
        <v>37</v>
      </c>
      <c r="K17" s="22">
        <v>0.74</v>
      </c>
      <c r="L17" s="24">
        <v>94</v>
      </c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</f>
        <v>3232</v>
      </c>
      <c r="F18" s="24">
        <f>'1 - 2020'!C24-'1 - 2020'!C23</f>
        <v>5042</v>
      </c>
      <c r="G18" s="22">
        <v>0.11799999999999999</v>
      </c>
      <c r="H18" s="24">
        <f>'1 - 2020'!E24-'1 - 2020'!E23</f>
        <v>4</v>
      </c>
      <c r="I18" s="24">
        <f>'1 - 2020'!F24-'1 - 2020'!F23</f>
        <v>5</v>
      </c>
      <c r="J18" s="24">
        <f>'1 - 2020'!G24-'1 - 2020'!G23</f>
        <v>39</v>
      </c>
      <c r="K18" s="22">
        <v>0.74</v>
      </c>
      <c r="L18" s="24">
        <v>95</v>
      </c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v>0</v>
      </c>
      <c r="F19" s="24">
        <v>0</v>
      </c>
      <c r="G19" s="22">
        <v>0.11799999999999999</v>
      </c>
      <c r="H19" s="24">
        <v>0</v>
      </c>
      <c r="I19" s="24">
        <v>0</v>
      </c>
      <c r="J19" s="24"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0</v>
      </c>
      <c r="F20" s="24">
        <f>'1 - 2020'!C26-'1 - 2020'!C25</f>
        <v>0</v>
      </c>
      <c r="G20" s="22">
        <v>0.11799999999999999</v>
      </c>
      <c r="H20" s="24">
        <f>'1 - 2020'!E26-'1 - 2020'!E25</f>
        <v>0</v>
      </c>
      <c r="I20" s="24">
        <f>'1 - 2020'!F26-'1 - 2020'!F25</f>
        <v>0</v>
      </c>
      <c r="J20" s="24">
        <f>'1 - 2020'!G26-'1 - 2020'!G25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</f>
        <v>0</v>
      </c>
      <c r="F21" s="24">
        <f>'1 - 2020'!C27-'1 - 2020'!C26</f>
        <v>0</v>
      </c>
      <c r="G21" s="22">
        <v>0.11799999999999999</v>
      </c>
      <c r="H21" s="24">
        <f>'1 - 2020'!E27-'1 - 2020'!E26</f>
        <v>0</v>
      </c>
      <c r="I21" s="24">
        <f>'1 - 2020'!F27-'1 - 2020'!F26</f>
        <v>0</v>
      </c>
      <c r="J21" s="24">
        <f>'1 - 2020'!G27-'1 - 2020'!G26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0</v>
      </c>
      <c r="F22" s="24">
        <f>'1 - 2020'!C28-'1 - 2020'!C27</f>
        <v>0</v>
      </c>
      <c r="G22" s="22">
        <v>0.11799999999999999</v>
      </c>
      <c r="H22" s="24">
        <f>'1 - 2020'!E28-'1 - 2020'!E27</f>
        <v>0</v>
      </c>
      <c r="I22" s="24">
        <f>'1 - 2020'!F28-'1 - 2020'!F27</f>
        <v>0</v>
      </c>
      <c r="J22" s="24">
        <f>'1 - 2020'!G28-'1 - 2020'!G27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0</v>
      </c>
      <c r="F23" s="24">
        <f>'1 - 2020'!C29-'1 - 2020'!C28</f>
        <v>0</v>
      </c>
      <c r="G23" s="22">
        <v>0.11799999999999999</v>
      </c>
      <c r="H23" s="24">
        <f>'1 - 2020'!E29-'1 - 2020'!E28</f>
        <v>0</v>
      </c>
      <c r="I23" s="24">
        <f>'1 - 2020'!F29-'1 - 2020'!F28</f>
        <v>0</v>
      </c>
      <c r="J23" s="24">
        <f>'1 - 2020'!G29-'1 - 2020'!G28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0</v>
      </c>
      <c r="F24" s="24">
        <f>'1 - 2020'!C30-'1 - 2020'!C29</f>
        <v>0</v>
      </c>
      <c r="G24" s="22">
        <v>0.11799999999999999</v>
      </c>
      <c r="H24" s="24">
        <f>'1 - 2020'!E30-'1 - 2020'!E29</f>
        <v>0</v>
      </c>
      <c r="I24" s="24">
        <f>'1 - 2020'!F30-'1 - 2020'!F29</f>
        <v>0</v>
      </c>
      <c r="J24" s="24">
        <f>'1 - 2020'!G30-'1 - 2020'!G29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0</v>
      </c>
      <c r="F25" s="24">
        <f>'1 - 2020'!C31-'1 - 2020'!C30</f>
        <v>0</v>
      </c>
      <c r="G25" s="22">
        <v>0.11799999999999999</v>
      </c>
      <c r="H25" s="24">
        <f>'1 - 2020'!E31-'1 - 2020'!E30</f>
        <v>0</v>
      </c>
      <c r="I25" s="24">
        <f>'1 - 2020'!F31-'1 - 2020'!F30</f>
        <v>0</v>
      </c>
      <c r="J25" s="24">
        <f>'1 - 2020'!G31-'1 - 2020'!G30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0</v>
      </c>
      <c r="F26" s="24">
        <f>'1 - 2020'!C32-'1 - 2020'!C31</f>
        <v>0</v>
      </c>
      <c r="G26" s="22">
        <v>0.11799999999999999</v>
      </c>
      <c r="H26" s="24">
        <f>'1 - 2020'!E32-'1 - 2020'!E31</f>
        <v>0</v>
      </c>
      <c r="I26" s="24">
        <f>'1 - 2020'!F32-'1 - 2020'!F31</f>
        <v>0</v>
      </c>
      <c r="J26" s="24">
        <f>'1 - 2020'!G32-'1 - 2020'!G31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</f>
        <v>0</v>
      </c>
      <c r="F27" s="24">
        <f>'1 - 2020'!C33-'1 - 2020'!C32</f>
        <v>0</v>
      </c>
      <c r="G27" s="22">
        <v>0.11799999999999999</v>
      </c>
      <c r="H27" s="24">
        <f>'1 - 2020'!E33-'1 - 2020'!E32</f>
        <v>0</v>
      </c>
      <c r="I27" s="24">
        <f>'1 - 2020'!F33-'1 - 2020'!F32</f>
        <v>0</v>
      </c>
      <c r="J27" s="24">
        <f>'1 - 2020'!G33-'1 - 2020'!G32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</f>
        <v>0</v>
      </c>
      <c r="F28" s="24">
        <f>'1 - 2020'!C34-'1 - 2020'!C33</f>
        <v>0</v>
      </c>
      <c r="G28" s="22">
        <v>0.11799999999999999</v>
      </c>
      <c r="H28" s="24">
        <f>'1 - 2020'!E34-'1 - 2020'!E33</f>
        <v>0</v>
      </c>
      <c r="I28" s="24">
        <f>'1 - 2020'!F34-'1 - 2020'!F33</f>
        <v>0</v>
      </c>
      <c r="J28" s="24">
        <f>'1 - 2020'!G34-'1 - 2020'!G33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</f>
        <v>0</v>
      </c>
      <c r="F29" s="24">
        <f>'1 - 2020'!C35-'1 - 2020'!C34</f>
        <v>0</v>
      </c>
      <c r="G29" s="22">
        <v>0.11799999999999999</v>
      </c>
      <c r="H29" s="24">
        <f>'1 - 2020'!E35-'1 - 2020'!E34</f>
        <v>0</v>
      </c>
      <c r="I29" s="24">
        <f>'1 - 2020'!F35-'1 - 2020'!F34</f>
        <v>0</v>
      </c>
      <c r="J29" s="24">
        <f>'1 - 2020'!G35-'1 - 2020'!G34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D31" sqref="D31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>
        <v>237028</v>
      </c>
      <c r="C12" s="57">
        <v>2001113.4</v>
      </c>
      <c r="D12" s="16">
        <v>0.45</v>
      </c>
      <c r="E12" s="57">
        <v>13455.9</v>
      </c>
      <c r="F12" s="57">
        <v>2882.51</v>
      </c>
      <c r="G12" s="57">
        <v>24709</v>
      </c>
      <c r="H12" s="57">
        <v>14528</v>
      </c>
      <c r="I12" s="57">
        <v>106600</v>
      </c>
      <c r="J12" s="57">
        <v>43901864</v>
      </c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>
        <v>240180</v>
      </c>
      <c r="C13" s="17">
        <v>2006655</v>
      </c>
      <c r="D13" s="16">
        <v>0.38</v>
      </c>
      <c r="E13" s="21">
        <v>13460</v>
      </c>
      <c r="F13" s="21">
        <v>2886</v>
      </c>
      <c r="G13" s="21">
        <v>24747</v>
      </c>
      <c r="H13" s="15">
        <v>14528</v>
      </c>
      <c r="I13" s="17">
        <v>106682</v>
      </c>
      <c r="J13" s="17">
        <v>43912012</v>
      </c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>
        <v>243093</v>
      </c>
      <c r="C14" s="15">
        <v>2012186</v>
      </c>
      <c r="D14" s="16">
        <v>0.3</v>
      </c>
      <c r="E14" s="21">
        <v>13467</v>
      </c>
      <c r="F14" s="21">
        <v>2891</v>
      </c>
      <c r="G14" s="17">
        <v>24785</v>
      </c>
      <c r="H14" s="15">
        <v>14528</v>
      </c>
      <c r="I14" s="15">
        <v>106785</v>
      </c>
      <c r="J14" s="15">
        <v>43921891</v>
      </c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>
        <v>246350</v>
      </c>
      <c r="C15" s="15">
        <v>2017825</v>
      </c>
      <c r="D15" s="16">
        <v>0.8</v>
      </c>
      <c r="E15" s="21">
        <v>13472</v>
      </c>
      <c r="F15" s="21">
        <v>2896</v>
      </c>
      <c r="G15" s="17">
        <v>24825</v>
      </c>
      <c r="H15" s="15">
        <v>14528</v>
      </c>
      <c r="I15" s="15">
        <v>106898</v>
      </c>
      <c r="J15" s="15">
        <v>43931782</v>
      </c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>
        <v>249555</v>
      </c>
      <c r="C16" s="15">
        <v>2023440</v>
      </c>
      <c r="D16" s="16">
        <v>0.73</v>
      </c>
      <c r="E16" s="21">
        <v>13476</v>
      </c>
      <c r="F16" s="21">
        <v>2901</v>
      </c>
      <c r="G16" s="17">
        <v>24866</v>
      </c>
      <c r="H16" s="15">
        <v>14528</v>
      </c>
      <c r="I16" s="15">
        <v>107006</v>
      </c>
      <c r="J16" s="15">
        <v>43941460</v>
      </c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>
        <v>252771</v>
      </c>
      <c r="C17" s="17">
        <v>2028845</v>
      </c>
      <c r="D17" s="26">
        <v>0.65</v>
      </c>
      <c r="E17" s="21">
        <v>13479</v>
      </c>
      <c r="F17" s="21">
        <v>2906</v>
      </c>
      <c r="G17" s="17">
        <v>24904</v>
      </c>
      <c r="H17" s="15">
        <v>14528</v>
      </c>
      <c r="I17" s="17">
        <v>107119</v>
      </c>
      <c r="J17" s="17">
        <v>43950852</v>
      </c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>
        <v>256035</v>
      </c>
      <c r="C18" s="15">
        <v>2034544</v>
      </c>
      <c r="D18" s="16">
        <v>0.57999999999999996</v>
      </c>
      <c r="E18" s="21">
        <v>13482</v>
      </c>
      <c r="F18" s="21">
        <v>2911</v>
      </c>
      <c r="G18" s="17">
        <v>24944</v>
      </c>
      <c r="H18" s="15">
        <v>14528</v>
      </c>
      <c r="I18" s="15">
        <v>107224</v>
      </c>
      <c r="J18" s="15">
        <v>43960947</v>
      </c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>
        <v>259869</v>
      </c>
      <c r="C19" s="51">
        <v>2041205.7</v>
      </c>
      <c r="D19" s="16">
        <v>0.52</v>
      </c>
      <c r="E19" s="52">
        <v>13487</v>
      </c>
      <c r="F19" s="21">
        <v>2916.8</v>
      </c>
      <c r="G19" s="52">
        <v>24980</v>
      </c>
      <c r="H19" s="15">
        <v>14528</v>
      </c>
      <c r="I19" s="51">
        <v>107337</v>
      </c>
      <c r="J19" s="51">
        <v>43971458</v>
      </c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>
        <v>262490</v>
      </c>
      <c r="C20" s="51">
        <v>2045463</v>
      </c>
      <c r="D20" s="16">
        <v>0.45</v>
      </c>
      <c r="E20" s="52">
        <v>13489</v>
      </c>
      <c r="F20" s="21">
        <v>2921</v>
      </c>
      <c r="G20" s="52">
        <v>25016</v>
      </c>
      <c r="H20" s="15">
        <v>14528</v>
      </c>
      <c r="I20" s="51">
        <v>107415</v>
      </c>
      <c r="J20" s="51">
        <v>43979289</v>
      </c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>
        <v>265705</v>
      </c>
      <c r="C21" s="51">
        <v>2050523</v>
      </c>
      <c r="D21" s="16">
        <v>0.37</v>
      </c>
      <c r="E21" s="52">
        <v>13490</v>
      </c>
      <c r="F21" s="21">
        <v>2926</v>
      </c>
      <c r="G21" s="52">
        <v>25051</v>
      </c>
      <c r="H21" s="15">
        <v>14528</v>
      </c>
      <c r="I21" s="51">
        <v>107514</v>
      </c>
      <c r="J21" s="51">
        <v>43988174</v>
      </c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>
        <v>268974</v>
      </c>
      <c r="C22" s="51">
        <v>2055563</v>
      </c>
      <c r="D22" s="16">
        <v>0.3</v>
      </c>
      <c r="E22" s="52">
        <v>13493</v>
      </c>
      <c r="F22" s="21">
        <v>2931</v>
      </c>
      <c r="G22" s="52">
        <v>25090</v>
      </c>
      <c r="H22" s="15">
        <v>14528</v>
      </c>
      <c r="I22" s="52">
        <v>107617</v>
      </c>
      <c r="J22" s="51">
        <v>43997997</v>
      </c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>
        <v>272262</v>
      </c>
      <c r="C23" s="51">
        <v>2060637</v>
      </c>
      <c r="D23" s="16">
        <v>0.8</v>
      </c>
      <c r="E23" s="52">
        <v>13496</v>
      </c>
      <c r="F23" s="21">
        <v>2935</v>
      </c>
      <c r="G23" s="52">
        <v>25127</v>
      </c>
      <c r="H23" s="15">
        <v>14528</v>
      </c>
      <c r="I23" s="51">
        <v>107718</v>
      </c>
      <c r="J23" s="51">
        <v>44008287</v>
      </c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>
        <v>275494</v>
      </c>
      <c r="C24" s="51">
        <v>2065679</v>
      </c>
      <c r="D24" s="16">
        <v>0.72</v>
      </c>
      <c r="E24" s="52">
        <v>13500</v>
      </c>
      <c r="F24" s="21">
        <v>2940</v>
      </c>
      <c r="G24" s="52">
        <v>25166</v>
      </c>
      <c r="H24" s="15">
        <v>14528</v>
      </c>
      <c r="I24" s="51">
        <v>107822</v>
      </c>
      <c r="J24" s="51">
        <v>44018585</v>
      </c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/>
      <c r="C25" s="52"/>
      <c r="D25" s="26"/>
      <c r="E25" s="52"/>
      <c r="F25" s="21"/>
      <c r="G25" s="52"/>
      <c r="H25" s="15"/>
      <c r="I25" s="51"/>
      <c r="J25" s="51"/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/>
      <c r="C26" s="52"/>
      <c r="D26" s="26"/>
      <c r="E26" s="52"/>
      <c r="F26" s="21"/>
      <c r="G26" s="52"/>
      <c r="H26" s="15"/>
      <c r="I26" s="51"/>
      <c r="J26" s="51"/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/>
      <c r="C27" s="51"/>
      <c r="D27" s="16"/>
      <c r="E27" s="52"/>
      <c r="F27" s="21"/>
      <c r="G27" s="52"/>
      <c r="H27" s="15"/>
      <c r="I27" s="51"/>
      <c r="J27" s="51"/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/>
      <c r="C28" s="51"/>
      <c r="D28" s="16"/>
      <c r="E28" s="52"/>
      <c r="F28" s="21"/>
      <c r="G28" s="52"/>
      <c r="H28" s="15"/>
      <c r="I28" s="51"/>
      <c r="J28" s="51"/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/>
      <c r="C29" s="51"/>
      <c r="D29" s="16"/>
      <c r="E29" s="52"/>
      <c r="F29" s="21"/>
      <c r="G29" s="52"/>
      <c r="H29" s="15"/>
      <c r="I29" s="51"/>
      <c r="J29" s="51"/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/>
      <c r="C30" s="51"/>
      <c r="D30" s="16"/>
      <c r="E30" s="52"/>
      <c r="F30" s="21"/>
      <c r="G30" s="52"/>
      <c r="H30" s="15"/>
      <c r="I30" s="51"/>
      <c r="J30" s="51"/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/>
      <c r="C31" s="51"/>
      <c r="D31" s="16"/>
      <c r="E31" s="52"/>
      <c r="F31" s="21"/>
      <c r="G31" s="52"/>
      <c r="H31" s="15"/>
      <c r="I31" s="51"/>
      <c r="J31" s="51"/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/>
      <c r="C32" s="51"/>
      <c r="D32" s="16"/>
      <c r="E32" s="52"/>
      <c r="F32" s="21"/>
      <c r="G32" s="52"/>
      <c r="H32" s="15"/>
      <c r="I32" s="51"/>
      <c r="J32" s="51"/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/>
      <c r="C33" s="51"/>
      <c r="D33" s="16"/>
      <c r="E33" s="52"/>
      <c r="F33" s="21"/>
      <c r="G33" s="52"/>
      <c r="H33" s="15"/>
      <c r="I33" s="51"/>
      <c r="J33" s="51"/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/>
      <c r="C34" s="54"/>
      <c r="D34" s="26"/>
      <c r="E34" s="52"/>
      <c r="F34" s="21"/>
      <c r="G34" s="52"/>
      <c r="H34" s="15"/>
      <c r="I34" s="52"/>
      <c r="J34" s="52"/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-230562</v>
      </c>
      <c r="C42" s="65">
        <f>C32-C10</f>
        <v>-1989825</v>
      </c>
      <c r="E42" s="65">
        <f t="shared" ref="E42:J42" si="3">E32-E10</f>
        <v>-13448</v>
      </c>
      <c r="F42" s="65">
        <f t="shared" si="3"/>
        <v>-2872</v>
      </c>
      <c r="G42" s="65">
        <f t="shared" si="3"/>
        <v>-24631</v>
      </c>
      <c r="H42" s="65">
        <f t="shared" si="3"/>
        <v>-14528</v>
      </c>
      <c r="I42" s="65">
        <f t="shared" si="3"/>
        <v>-106373</v>
      </c>
      <c r="J42" s="65">
        <f t="shared" si="3"/>
        <v>-43880125</v>
      </c>
    </row>
    <row r="43" spans="1:16" hidden="1" x14ac:dyDescent="0.25">
      <c r="I43" s="20">
        <f>I42*219.969</f>
        <v>-23398762.436999999</v>
      </c>
      <c r="J43" s="22">
        <v>768611</v>
      </c>
    </row>
    <row r="44" spans="1:16" hidden="1" x14ac:dyDescent="0.25">
      <c r="C44" s="24">
        <f>C42+B42</f>
        <v>-2220387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-1.0175161533837929</v>
      </c>
    </row>
    <row r="46" spans="1:16" hidden="1" x14ac:dyDescent="0.25">
      <c r="C46" s="67">
        <f>SUM(C45-C44)/C44</f>
        <v>-1.0804643514846737</v>
      </c>
      <c r="I46" s="66">
        <f>SUM(I44-I43)/I43</f>
        <v>-1.0192436050501539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2021-01-17T04:23:03Z</dcterms:modified>
</cp:coreProperties>
</file>