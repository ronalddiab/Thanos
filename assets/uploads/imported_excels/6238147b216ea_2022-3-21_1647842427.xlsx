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4" i="3" l="1"/>
  <c r="L85" i="3"/>
  <c r="L86" i="3"/>
  <c r="L87" i="3"/>
  <c r="L88" i="3"/>
  <c r="L89" i="3"/>
  <c r="L90" i="3"/>
  <c r="L91" i="3"/>
  <c r="L92" i="3"/>
  <c r="L93" i="3"/>
  <c r="I90" i="1" s="1"/>
  <c r="L94" i="3"/>
  <c r="J83" i="4" l="1"/>
  <c r="J84" i="4"/>
  <c r="J85" i="4"/>
  <c r="J86" i="4"/>
  <c r="J87" i="4"/>
  <c r="J88" i="4"/>
  <c r="J89" i="4"/>
  <c r="J90" i="4"/>
  <c r="J91" i="4"/>
  <c r="J92" i="4"/>
  <c r="I83" i="4"/>
  <c r="I84" i="4"/>
  <c r="I85" i="4"/>
  <c r="I86" i="4"/>
  <c r="I87" i="4"/>
  <c r="I88" i="4"/>
  <c r="I89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135" i="1"/>
  <c r="E3" i="1"/>
  <c r="M87" i="4"/>
  <c r="E85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7" i="4"/>
  <c r="Q87" i="4"/>
  <c r="P114" i="4"/>
  <c r="Q24" i="4"/>
  <c r="P31" i="4"/>
  <c r="Q29" i="4"/>
  <c r="Q33" i="4" s="1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<sst xmlns="http://schemas.openxmlformats.org/spreadsheetml/2006/main" count="606" uniqueCount="76">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</sst>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59" workbookViewId="0">
      <selection activeCell="P74" sqref="P7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>
        <v>1.75</v>
      </c>
      <c r="G81" s="4" t="str">
        <f>'Gas Water'!M84</f>
        <v/>
      </c>
      <c r="H81" s="133">
        <v>8.1999999999999993</v>
      </c>
      <c r="I81" s="2" t="str">
        <f>'Gas Water'!L84</f>
        <v/>
      </c>
      <c r="J81" s="133">
        <v>14.95</v>
      </c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>
        <v>1.75</v>
      </c>
      <c r="G82" s="4" t="str">
        <f>'Gas Water'!M85</f>
        <v/>
      </c>
      <c r="H82" s="133">
        <v>8.1999999999999993</v>
      </c>
      <c r="I82" s="2" t="str">
        <f>'Gas Water'!L85</f>
        <v/>
      </c>
      <c r="J82" s="133">
        <v>14.95</v>
      </c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>
        <v>1.75</v>
      </c>
      <c r="G83" s="4" t="str">
        <f>'Gas Water'!M86</f>
        <v/>
      </c>
      <c r="H83" s="133">
        <v>8.1999999999999993</v>
      </c>
      <c r="I83" s="2" t="str">
        <f>'Gas Water'!L86</f>
        <v/>
      </c>
      <c r="J83" s="133">
        <v>14.95</v>
      </c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>
        <v>1.75</v>
      </c>
      <c r="G84" s="4" t="str">
        <f>'Gas Water'!M87</f>
        <v/>
      </c>
      <c r="H84" s="133">
        <v>8.1999999999999993</v>
      </c>
      <c r="I84" s="2" t="str">
        <f>'Gas Water'!L87</f>
        <v/>
      </c>
      <c r="J84" s="133">
        <v>14.95</v>
      </c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>
        <v>1.75</v>
      </c>
      <c r="G85" s="4"/>
      <c r="H85" s="133">
        <v>8.1999999999999993</v>
      </c>
      <c r="I85" s="2"/>
      <c r="J85" s="133">
        <v>14.95</v>
      </c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>
        <v>1.75</v>
      </c>
      <c r="G86" s="4" t="str">
        <f>'Gas Water'!M89</f>
        <v/>
      </c>
      <c r="H86" s="133">
        <v>8.1999999999999993</v>
      </c>
      <c r="I86" s="2" t="str">
        <f>'Gas Water'!L89</f>
        <v/>
      </c>
      <c r="J86" s="133">
        <v>14.95</v>
      </c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>
        <v>1.75</v>
      </c>
      <c r="G87" s="4"/>
      <c r="H87" s="133">
        <v>8.1999999999999993</v>
      </c>
      <c r="I87" s="2"/>
      <c r="J87" s="133">
        <v>14.95</v>
      </c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>
        <v>1.75</v>
      </c>
      <c r="G88" s="4" t="str">
        <f>'Gas Water'!M91</f>
        <v/>
      </c>
      <c r="H88" s="133">
        <v>8.1999999999999993</v>
      </c>
      <c r="I88" s="2" t="str">
        <f>'Gas Water'!L91</f>
        <v/>
      </c>
      <c r="J88" s="133">
        <v>14.95</v>
      </c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>
        <v>1.75</v>
      </c>
      <c r="G89" s="4" t="str">
        <f>'Gas Water'!M92</f>
        <v/>
      </c>
      <c r="H89" s="133">
        <v>8.1999999999999993</v>
      </c>
      <c r="I89" s="2" t="str">
        <f>'Gas Water'!L92</f>
        <v/>
      </c>
      <c r="J89" s="133">
        <v>14.95</v>
      </c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>
        <v>1.75</v>
      </c>
      <c r="G90" s="4" t="str">
        <f>'Gas Water'!M93</f>
        <v/>
      </c>
      <c r="H90" s="133">
        <v>8.1999999999999993</v>
      </c>
      <c r="I90" s="2" t="str">
        <f>'Gas Water'!L93</f>
        <v/>
      </c>
      <c r="J90" s="133">
        <v>14.95</v>
      </c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>
        <v>1.75</v>
      </c>
      <c r="G91" s="4" t="str">
        <f>'Gas Water'!M94</f>
        <v/>
      </c>
      <c r="H91" s="133">
        <v>8.1999999999999993</v>
      </c>
      <c r="I91" s="2" t="str">
        <f>'Gas Water'!L94</f>
        <v/>
      </c>
      <c r="J91" s="133">
        <v>14.95</v>
      </c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40" workbookViewId="0">
      <selection activeCell="M84" sqref="M84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6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>IF(H78="","",+(H78+I78+J78+K78))</f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7">IF(C79="","",+(C79-C78))</f>
        <v>0</v>
      </c>
      <c r="I79" s="27">
        <f t="shared" ref="I79:L80" si="48">IF(D79="","",+(D79-D78))</f>
        <v>3359</v>
      </c>
      <c r="J79" s="27">
        <f t="shared" si="48"/>
        <v>164</v>
      </c>
      <c r="K79" s="27">
        <f t="shared" si="48"/>
        <v>181</v>
      </c>
      <c r="L79" s="28">
        <f t="shared" si="48"/>
        <v>238</v>
      </c>
      <c r="M79" s="29">
        <f>IF(H79="","",+(H79+I79+J79+K79))</f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49">IF(C80="","",+(C80-C79))</f>
        <v>0</v>
      </c>
      <c r="I80" s="27">
        <f t="shared" si="48"/>
        <v>3371</v>
      </c>
      <c r="J80" s="27">
        <f t="shared" si="48"/>
        <v>171</v>
      </c>
      <c r="K80" s="27">
        <f t="shared" si="48"/>
        <v>186</v>
      </c>
      <c r="L80" s="28">
        <f t="shared" si="48"/>
        <v>226</v>
      </c>
      <c r="M80" s="29">
        <f>IF(H80="","",+(H80+I80+J80+K80))</f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0">IF(C81="","",+(C81-C80))</f>
        <v>0</v>
      </c>
      <c r="I81" s="27">
        <f>IF(D81="","",+(D81-D80))</f>
        <v>4038</v>
      </c>
      <c r="J81" s="27">
        <f>IF(E81="","",+(E81-E80))</f>
        <v>168</v>
      </c>
      <c r="K81" s="27">
        <f>IF(F81="","",+(F81-F80))</f>
        <v>188</v>
      </c>
      <c r="L81" s="28">
        <f>IF(G81="","",+(G81-G80))</f>
        <v>224</v>
      </c>
      <c r="M81" s="29">
        <f>IF(H81="","",+(H81+I81+J81+K81))</f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1">IF(C82="","",+(C82-C81))</f>
        <v>0</v>
      </c>
      <c r="I82" s="27">
        <f>IF(D82="","",+(D82-D81))</f>
        <v>4289</v>
      </c>
      <c r="J82" s="27">
        <f>IF(E82="","",+(E82-E81))</f>
        <v>181</v>
      </c>
      <c r="K82" s="27">
        <f>IF(F82="","",+(F82-F81))</f>
        <v>190</v>
      </c>
      <c r="L82" s="28">
        <f>IF(G82="","",+(G82-G81))</f>
        <v>244</v>
      </c>
      <c r="M82" s="29">
        <f>IF(H82="","",+(H82+I82+J82+K82))</f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2">IF(C83="","",+(C83-C82))</f>
        <v>0</v>
      </c>
      <c r="I83" s="27">
        <f>IF(D83="","",+(D83-D82))</f>
        <v>3677</v>
      </c>
      <c r="J83" s="27">
        <f>IF(E83="","",+(E83-E82))</f>
        <v>176</v>
      </c>
      <c r="K83" s="27">
        <f>IF(F83="","",+(F83-F82))</f>
        <v>194</v>
      </c>
      <c r="L83" s="28">
        <f>IF(G83="","",+(G83-G82))</f>
        <v>237</v>
      </c>
      <c r="M83" s="29">
        <f>IF(H83="","",+(H83+I83+J83+K83))</f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ref="H81:K133" si="53">IF(D84="","",+(D84-D83))</f>
        <v/>
      </c>
      <c r="J84" s="27" t="str">
        <f t="shared" si="53"/>
        <v/>
      </c>
      <c r="K84" s="27" t="str">
        <f t="shared" si="53"/>
        <v/>
      </c>
      <c r="L84" s="28" t="str">
        <f t="shared" ref="L81:L144" si="54">IF(G84="","",+(G84-G83))</f>
        <v/>
      </c>
      <c r="M84" s="29" t="str">
        <f t="shared" ref="M81:M133" si="55">IF(H84="","",+(H84+I84+J84+K84))</f>
        <v/>
      </c>
      <c r="N84" s="165" t="s">
        <v>25</v>
      </c>
      <c r="O84" s="165" t="s">
        <v>26</v>
      </c>
      <c r="Q84" s="19">
        <f t="shared" si="35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53"/>
        <v/>
      </c>
      <c r="I85" s="27" t="str">
        <f t="shared" si="53"/>
        <v/>
      </c>
      <c r="J85" s="27" t="str">
        <f t="shared" si="53"/>
        <v/>
      </c>
      <c r="K85" s="27" t="str">
        <f t="shared" si="53"/>
        <v/>
      </c>
      <c r="L85" s="28" t="str">
        <f t="shared" si="54"/>
        <v/>
      </c>
      <c r="M85" s="29" t="str">
        <f t="shared" si="55"/>
        <v/>
      </c>
      <c r="N85" s="166"/>
      <c r="O85" s="166"/>
      <c r="Q85" s="19">
        <f t="shared" si="35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53"/>
        <v/>
      </c>
      <c r="I86" s="27" t="str">
        <f t="shared" si="53"/>
        <v/>
      </c>
      <c r="J86" s="27" t="str">
        <f t="shared" si="53"/>
        <v/>
      </c>
      <c r="K86" s="27" t="str">
        <f t="shared" si="53"/>
        <v/>
      </c>
      <c r="L86" s="28" t="str">
        <f t="shared" si="54"/>
        <v/>
      </c>
      <c r="M86" s="29" t="str">
        <f t="shared" si="55"/>
        <v/>
      </c>
      <c r="N86" s="167"/>
      <c r="O86" s="167"/>
      <c r="Q86" s="19">
        <f t="shared" si="35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53"/>
        <v/>
      </c>
      <c r="I87" s="27" t="str">
        <f t="shared" si="53"/>
        <v/>
      </c>
      <c r="J87" s="27" t="str">
        <f t="shared" si="53"/>
        <v/>
      </c>
      <c r="K87" s="27" t="str">
        <f t="shared" si="53"/>
        <v/>
      </c>
      <c r="L87" s="28" t="str">
        <f t="shared" si="54"/>
        <v/>
      </c>
      <c r="M87" s="29" t="str">
        <f t="shared" si="55"/>
        <v/>
      </c>
      <c r="N87" s="31">
        <f>SUM(L64:L94)</f>
        <v>3937</v>
      </c>
      <c r="O87" s="31">
        <f>SUM(M64:M94)</f>
        <v>76832</v>
      </c>
      <c r="Q87" s="19">
        <f t="shared" si="35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53"/>
        <v/>
      </c>
      <c r="I88" s="27" t="str">
        <f t="shared" si="53"/>
        <v/>
      </c>
      <c r="J88" s="27" t="str">
        <f t="shared" si="53"/>
        <v/>
      </c>
      <c r="K88" s="27" t="str">
        <f t="shared" si="53"/>
        <v/>
      </c>
      <c r="L88" s="28" t="str">
        <f t="shared" si="54"/>
        <v/>
      </c>
      <c r="M88" s="29" t="str">
        <f t="shared" si="55"/>
        <v/>
      </c>
      <c r="N88" s="165" t="s">
        <v>27</v>
      </c>
      <c r="O88" s="165" t="s">
        <v>28</v>
      </c>
      <c r="Q88" s="19">
        <f t="shared" si="35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53"/>
        <v/>
      </c>
      <c r="I89" s="27" t="str">
        <f t="shared" si="53"/>
        <v/>
      </c>
      <c r="J89" s="27" t="str">
        <f t="shared" si="53"/>
        <v/>
      </c>
      <c r="K89" s="27" t="str">
        <f t="shared" si="53"/>
        <v/>
      </c>
      <c r="L89" s="28" t="str">
        <f t="shared" si="54"/>
        <v/>
      </c>
      <c r="M89" s="29" t="str">
        <f t="shared" si="55"/>
        <v/>
      </c>
      <c r="N89" s="167"/>
      <c r="O89" s="167"/>
      <c r="Q89" s="19">
        <f t="shared" si="35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53"/>
        <v/>
      </c>
      <c r="I90" s="27" t="str">
        <f t="shared" si="53"/>
        <v/>
      </c>
      <c r="J90" s="27" t="str">
        <f t="shared" si="53"/>
        <v/>
      </c>
      <c r="K90" s="27" t="str">
        <f t="shared" si="53"/>
        <v/>
      </c>
      <c r="L90" s="28" t="str">
        <f t="shared" si="54"/>
        <v/>
      </c>
      <c r="M90" s="29" t="str">
        <f t="shared" si="55"/>
        <v/>
      </c>
      <c r="N90" s="31">
        <f>AVERAGE(L64:L94)</f>
        <v>196.85</v>
      </c>
      <c r="O90" s="31">
        <f>AVERAGE(M64:M94)</f>
        <v>3841.6</v>
      </c>
      <c r="Q90" s="19">
        <f t="shared" si="35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53"/>
        <v/>
      </c>
      <c r="I91" s="27" t="str">
        <f t="shared" si="53"/>
        <v/>
      </c>
      <c r="J91" s="27" t="str">
        <f t="shared" si="53"/>
        <v/>
      </c>
      <c r="K91" s="27" t="str">
        <f t="shared" si="53"/>
        <v/>
      </c>
      <c r="L91" s="28" t="str">
        <f t="shared" si="54"/>
        <v/>
      </c>
      <c r="M91" s="29" t="str">
        <f t="shared" si="55"/>
        <v/>
      </c>
      <c r="N91" s="165" t="s">
        <v>29</v>
      </c>
      <c r="O91" s="165" t="s">
        <v>30</v>
      </c>
      <c r="Q91" s="19">
        <f t="shared" si="35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53"/>
        <v/>
      </c>
      <c r="I92" s="27" t="str">
        <f t="shared" si="53"/>
        <v/>
      </c>
      <c r="J92" s="27" t="str">
        <f t="shared" si="53"/>
        <v/>
      </c>
      <c r="K92" s="27" t="str">
        <f t="shared" si="53"/>
        <v/>
      </c>
      <c r="L92" s="28" t="str">
        <f t="shared" si="54"/>
        <v/>
      </c>
      <c r="M92" s="29" t="str">
        <f t="shared" si="55"/>
        <v/>
      </c>
      <c r="N92" s="167"/>
      <c r="O92" s="167"/>
      <c r="Q92" s="19">
        <f t="shared" si="35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53"/>
        <v/>
      </c>
      <c r="J93" s="27" t="str">
        <f t="shared" si="53"/>
        <v/>
      </c>
      <c r="K93" s="27" t="str">
        <f t="shared" si="53"/>
        <v/>
      </c>
      <c r="L93" s="28" t="str">
        <f t="shared" si="54"/>
        <v/>
      </c>
      <c r="M93" s="29" t="str">
        <f t="shared" si="55"/>
        <v/>
      </c>
      <c r="N93" s="31">
        <f>N87+(N90*SUM(Q64:Q94))</f>
        <v>6102.35</v>
      </c>
      <c r="O93" s="31">
        <f>O87+(O90*SUM(Q64:Q94))</f>
        <v>119089.60000000001</v>
      </c>
      <c r="Q93" s="19">
        <f t="shared" si="35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53"/>
        <v/>
      </c>
      <c r="J94" s="34" t="str">
        <f t="shared" si="53"/>
        <v/>
      </c>
      <c r="K94" s="34" t="str">
        <f t="shared" si="53"/>
        <v/>
      </c>
      <c r="L94" s="28" t="str">
        <f t="shared" si="54"/>
        <v/>
      </c>
      <c r="M94" s="34" t="str">
        <f t="shared" si="55"/>
        <v/>
      </c>
      <c r="Q94" s="19">
        <f t="shared" si="35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53"/>
        <v/>
      </c>
      <c r="J95" s="27" t="str">
        <f t="shared" si="53"/>
        <v/>
      </c>
      <c r="K95" s="27" t="str">
        <f t="shared" si="53"/>
        <v/>
      </c>
      <c r="L95" s="28" t="str">
        <f t="shared" si="54"/>
        <v/>
      </c>
      <c r="M95" s="29" t="str">
        <f t="shared" si="55"/>
        <v/>
      </c>
      <c r="Q95" s="19">
        <f t="shared" si="35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53"/>
        <v/>
      </c>
      <c r="I96" s="27" t="str">
        <f t="shared" si="53"/>
        <v/>
      </c>
      <c r="J96" s="27" t="str">
        <f t="shared" si="53"/>
        <v/>
      </c>
      <c r="K96" s="27" t="str">
        <f t="shared" si="53"/>
        <v/>
      </c>
      <c r="L96" s="28" t="str">
        <f t="shared" si="54"/>
        <v/>
      </c>
      <c r="M96" s="29" t="str">
        <f t="shared" si="55"/>
        <v/>
      </c>
      <c r="Q96" s="19">
        <f t="shared" si="35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53"/>
        <v/>
      </c>
      <c r="I97" s="27" t="str">
        <f t="shared" si="53"/>
        <v/>
      </c>
      <c r="J97" s="27" t="str">
        <f t="shared" si="53"/>
        <v/>
      </c>
      <c r="K97" s="27" t="str">
        <f t="shared" si="53"/>
        <v/>
      </c>
      <c r="L97" s="28" t="str">
        <f t="shared" si="54"/>
        <v/>
      </c>
      <c r="M97" s="29" t="str">
        <f t="shared" si="55"/>
        <v/>
      </c>
      <c r="Q97" s="19">
        <f t="shared" si="35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53"/>
        <v/>
      </c>
      <c r="I98" s="27" t="str">
        <f t="shared" si="53"/>
        <v/>
      </c>
      <c r="J98" s="27" t="str">
        <f t="shared" si="53"/>
        <v/>
      </c>
      <c r="K98" s="27" t="str">
        <f t="shared" si="53"/>
        <v/>
      </c>
      <c r="L98" s="28" t="str">
        <f t="shared" si="54"/>
        <v/>
      </c>
      <c r="M98" s="29" t="str">
        <f t="shared" si="55"/>
        <v/>
      </c>
      <c r="Q98" s="19">
        <f t="shared" si="35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53"/>
        <v/>
      </c>
      <c r="I99" s="27" t="str">
        <f t="shared" si="53"/>
        <v/>
      </c>
      <c r="J99" s="27" t="str">
        <f t="shared" si="53"/>
        <v/>
      </c>
      <c r="K99" s="27" t="str">
        <f t="shared" si="53"/>
        <v/>
      </c>
      <c r="L99" s="28" t="str">
        <f t="shared" si="54"/>
        <v/>
      </c>
      <c r="M99" s="29" t="str">
        <f t="shared" si="55"/>
        <v/>
      </c>
      <c r="Q99" s="19">
        <f t="shared" si="35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53"/>
        <v/>
      </c>
      <c r="I100" s="27" t="str">
        <f t="shared" si="53"/>
        <v/>
      </c>
      <c r="J100" s="27" t="str">
        <f t="shared" si="53"/>
        <v/>
      </c>
      <c r="K100" s="27" t="str">
        <f t="shared" si="53"/>
        <v/>
      </c>
      <c r="L100" s="28" t="str">
        <f t="shared" si="54"/>
        <v/>
      </c>
      <c r="M100" s="29" t="str">
        <f t="shared" si="55"/>
        <v/>
      </c>
      <c r="Q100" s="19">
        <f t="shared" si="35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53"/>
        <v/>
      </c>
      <c r="I101" s="27" t="str">
        <f t="shared" si="53"/>
        <v/>
      </c>
      <c r="J101" s="27" t="str">
        <f t="shared" si="53"/>
        <v/>
      </c>
      <c r="K101" s="27" t="str">
        <f t="shared" si="53"/>
        <v/>
      </c>
      <c r="L101" s="28" t="str">
        <f t="shared" si="54"/>
        <v/>
      </c>
      <c r="M101" s="29" t="str">
        <f t="shared" si="55"/>
        <v/>
      </c>
      <c r="Q101" s="19">
        <f t="shared" si="35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53"/>
        <v/>
      </c>
      <c r="I102" s="27" t="str">
        <f t="shared" si="53"/>
        <v/>
      </c>
      <c r="J102" s="27" t="str">
        <f t="shared" si="53"/>
        <v/>
      </c>
      <c r="K102" s="27" t="str">
        <f t="shared" si="53"/>
        <v/>
      </c>
      <c r="L102" s="28" t="str">
        <f t="shared" si="54"/>
        <v/>
      </c>
      <c r="M102" s="29" t="str">
        <f t="shared" si="55"/>
        <v/>
      </c>
      <c r="Q102" s="19">
        <f t="shared" si="35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53"/>
        <v/>
      </c>
      <c r="I103" s="27" t="str">
        <f>IF(D103="","",+(D103-D102))</f>
        <v/>
      </c>
      <c r="J103" s="27" t="str">
        <f t="shared" si="53"/>
        <v/>
      </c>
      <c r="K103" s="27" t="str">
        <f t="shared" si="53"/>
        <v/>
      </c>
      <c r="L103" s="28" t="str">
        <f t="shared" si="54"/>
        <v/>
      </c>
      <c r="M103" s="29" t="str">
        <f t="shared" si="55"/>
        <v/>
      </c>
      <c r="Q103" s="19">
        <f t="shared" si="35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53"/>
        <v/>
      </c>
      <c r="I104" s="27" t="str">
        <f t="shared" si="53"/>
        <v/>
      </c>
      <c r="J104" s="27" t="str">
        <f t="shared" si="53"/>
        <v/>
      </c>
      <c r="K104" s="27" t="str">
        <f t="shared" si="53"/>
        <v/>
      </c>
      <c r="L104" s="28" t="str">
        <f t="shared" si="54"/>
        <v/>
      </c>
      <c r="M104" s="29" t="str">
        <f t="shared" si="55"/>
        <v/>
      </c>
      <c r="Q104" s="19">
        <f t="shared" si="35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53"/>
        <v/>
      </c>
      <c r="I105" s="27" t="str">
        <f t="shared" si="53"/>
        <v/>
      </c>
      <c r="J105" s="27" t="str">
        <f t="shared" si="53"/>
        <v/>
      </c>
      <c r="K105" s="27" t="str">
        <f t="shared" si="53"/>
        <v/>
      </c>
      <c r="L105" s="28" t="str">
        <f t="shared" si="54"/>
        <v/>
      </c>
      <c r="M105" s="29" t="str">
        <f t="shared" si="55"/>
        <v/>
      </c>
      <c r="Q105" s="19">
        <f t="shared" si="35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53"/>
        <v/>
      </c>
      <c r="J106" s="27" t="str">
        <f t="shared" si="53"/>
        <v/>
      </c>
      <c r="K106" s="27" t="str">
        <f t="shared" si="53"/>
        <v/>
      </c>
      <c r="L106" s="28" t="str">
        <f t="shared" si="54"/>
        <v/>
      </c>
      <c r="M106" s="29" t="str">
        <f t="shared" si="55"/>
        <v/>
      </c>
      <c r="Q106" s="19">
        <f t="shared" si="3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53"/>
        <v/>
      </c>
      <c r="J107" s="27" t="str">
        <f t="shared" si="53"/>
        <v/>
      </c>
      <c r="K107" s="27" t="str">
        <f t="shared" si="53"/>
        <v/>
      </c>
      <c r="L107" s="28" t="str">
        <f t="shared" si="54"/>
        <v/>
      </c>
      <c r="M107" s="29" t="str">
        <f t="shared" si="55"/>
        <v/>
      </c>
      <c r="Q107" s="19">
        <f t="shared" si="3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53"/>
        <v/>
      </c>
      <c r="J108" s="27" t="str">
        <f t="shared" si="53"/>
        <v/>
      </c>
      <c r="K108" s="27" t="str">
        <f t="shared" si="53"/>
        <v/>
      </c>
      <c r="L108" s="28" t="str">
        <f t="shared" si="54"/>
        <v/>
      </c>
      <c r="M108" s="29" t="str">
        <f t="shared" si="55"/>
        <v/>
      </c>
      <c r="Q108" s="19">
        <f t="shared" si="3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53"/>
        <v/>
      </c>
      <c r="I109" s="27" t="str">
        <f t="shared" si="53"/>
        <v/>
      </c>
      <c r="J109" s="27" t="str">
        <f t="shared" si="53"/>
        <v/>
      </c>
      <c r="K109" s="27" t="str">
        <f t="shared" si="53"/>
        <v/>
      </c>
      <c r="L109" s="28" t="str">
        <f t="shared" si="54"/>
        <v/>
      </c>
      <c r="M109" s="29" t="str">
        <f t="shared" si="55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53"/>
        <v/>
      </c>
      <c r="I110" s="27" t="str">
        <f t="shared" si="53"/>
        <v/>
      </c>
      <c r="J110" s="27" t="str">
        <f t="shared" si="53"/>
        <v/>
      </c>
      <c r="K110" s="27" t="str">
        <f t="shared" si="53"/>
        <v/>
      </c>
      <c r="L110" s="28" t="str">
        <f t="shared" si="54"/>
        <v/>
      </c>
      <c r="M110" s="29" t="str">
        <f t="shared" si="55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53"/>
        <v/>
      </c>
      <c r="I111" s="27" t="str">
        <f t="shared" si="53"/>
        <v/>
      </c>
      <c r="J111" s="27" t="str">
        <f t="shared" si="53"/>
        <v/>
      </c>
      <c r="K111" s="27" t="str">
        <f t="shared" si="53"/>
        <v/>
      </c>
      <c r="L111" s="28" t="str">
        <f t="shared" si="54"/>
        <v/>
      </c>
      <c r="M111" s="29" t="str">
        <f t="shared" si="55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53"/>
        <v/>
      </c>
      <c r="I112" s="27" t="str">
        <f t="shared" si="53"/>
        <v/>
      </c>
      <c r="J112" s="27" t="str">
        <f t="shared" si="53"/>
        <v/>
      </c>
      <c r="K112" s="27" t="str">
        <f t="shared" si="53"/>
        <v/>
      </c>
      <c r="L112" s="28" t="str">
        <f t="shared" si="54"/>
        <v/>
      </c>
      <c r="M112" s="29" t="str">
        <f t="shared" si="55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53"/>
        <v/>
      </c>
      <c r="I113" s="27" t="str">
        <f t="shared" si="53"/>
        <v/>
      </c>
      <c r="J113" s="27" t="str">
        <f t="shared" si="53"/>
        <v/>
      </c>
      <c r="K113" s="27" t="str">
        <f t="shared" si="53"/>
        <v/>
      </c>
      <c r="L113" s="28" t="str">
        <f t="shared" si="54"/>
        <v/>
      </c>
      <c r="M113" s="29" t="str">
        <f t="shared" si="55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53"/>
        <v/>
      </c>
      <c r="I114" s="27" t="str">
        <f t="shared" si="53"/>
        <v/>
      </c>
      <c r="J114" s="27" t="str">
        <f t="shared" si="53"/>
        <v/>
      </c>
      <c r="K114" s="27" t="str">
        <f t="shared" si="53"/>
        <v/>
      </c>
      <c r="L114" s="28" t="str">
        <f t="shared" si="54"/>
        <v/>
      </c>
      <c r="M114" s="29" t="str">
        <f t="shared" si="55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53"/>
        <v/>
      </c>
      <c r="I115" s="27" t="str">
        <f t="shared" si="53"/>
        <v/>
      </c>
      <c r="J115" s="27" t="str">
        <f t="shared" si="53"/>
        <v/>
      </c>
      <c r="K115" s="27" t="str">
        <f t="shared" si="53"/>
        <v/>
      </c>
      <c r="L115" s="28" t="str">
        <f t="shared" si="54"/>
        <v/>
      </c>
      <c r="M115" s="29" t="str">
        <f t="shared" si="55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53"/>
        <v/>
      </c>
      <c r="I116" s="27" t="str">
        <f t="shared" si="53"/>
        <v/>
      </c>
      <c r="J116" s="27" t="str">
        <f t="shared" si="53"/>
        <v/>
      </c>
      <c r="K116" s="27" t="str">
        <f t="shared" si="53"/>
        <v/>
      </c>
      <c r="L116" s="28" t="str">
        <f t="shared" si="54"/>
        <v/>
      </c>
      <c r="M116" s="29" t="str">
        <f t="shared" si="55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53"/>
        <v/>
      </c>
      <c r="I117" s="27" t="str">
        <f t="shared" si="53"/>
        <v/>
      </c>
      <c r="J117" s="27" t="str">
        <f t="shared" si="53"/>
        <v/>
      </c>
      <c r="K117" s="27" t="str">
        <f t="shared" si="53"/>
        <v/>
      </c>
      <c r="L117" s="28" t="str">
        <f t="shared" si="54"/>
        <v/>
      </c>
      <c r="M117" s="29" t="str">
        <f t="shared" si="55"/>
        <v/>
      </c>
      <c r="N117" s="31">
        <f>SUM(L95:L124)</f>
        <v>0</v>
      </c>
      <c r="O117" s="31">
        <f>SUM(M95:M124)</f>
        <v>0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53"/>
        <v/>
      </c>
      <c r="I118" s="27" t="str">
        <f t="shared" si="53"/>
        <v/>
      </c>
      <c r="J118" s="27" t="str">
        <f t="shared" si="53"/>
        <v/>
      </c>
      <c r="K118" s="27" t="str">
        <f t="shared" si="53"/>
        <v/>
      </c>
      <c r="L118" s="28" t="str">
        <f t="shared" si="54"/>
        <v/>
      </c>
      <c r="M118" s="29" t="str">
        <f t="shared" si="55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53"/>
        <v/>
      </c>
      <c r="I119" s="27" t="str">
        <f t="shared" si="53"/>
        <v/>
      </c>
      <c r="J119" s="27" t="str">
        <f t="shared" si="53"/>
        <v/>
      </c>
      <c r="K119" s="27" t="str">
        <f t="shared" si="53"/>
        <v/>
      </c>
      <c r="L119" s="28" t="str">
        <f t="shared" si="54"/>
        <v/>
      </c>
      <c r="M119" s="29" t="str">
        <f t="shared" si="55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53"/>
        <v/>
      </c>
      <c r="I120" s="27" t="str">
        <f t="shared" si="53"/>
        <v/>
      </c>
      <c r="J120" s="27" t="str">
        <f t="shared" si="53"/>
        <v/>
      </c>
      <c r="K120" s="27" t="str">
        <f t="shared" si="53"/>
        <v/>
      </c>
      <c r="L120" s="28" t="str">
        <f t="shared" si="54"/>
        <v/>
      </c>
      <c r="M120" s="29" t="str">
        <f t="shared" si="55"/>
        <v/>
      </c>
      <c r="N120" s="31" t="e">
        <f>AVERAGE(L95:L124)</f>
        <v>#DIV/0!</v>
      </c>
      <c r="O120" s="31" t="e">
        <f>AVERAGE(M95:M124)</f>
        <v>#DIV/0!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53"/>
        <v/>
      </c>
      <c r="I121" s="27" t="str">
        <f t="shared" si="53"/>
        <v/>
      </c>
      <c r="J121" s="27" t="str">
        <f t="shared" si="53"/>
        <v/>
      </c>
      <c r="K121" s="27" t="str">
        <f t="shared" si="53"/>
        <v/>
      </c>
      <c r="L121" s="28" t="str">
        <f t="shared" si="54"/>
        <v/>
      </c>
      <c r="M121" s="29" t="str">
        <f t="shared" si="55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53"/>
        <v/>
      </c>
      <c r="I122" s="27" t="str">
        <f t="shared" si="53"/>
        <v/>
      </c>
      <c r="J122" s="27" t="str">
        <f t="shared" si="53"/>
        <v/>
      </c>
      <c r="K122" s="27" t="str">
        <f>IF(F122="","",+(F122-F121))</f>
        <v/>
      </c>
      <c r="L122" s="28" t="str">
        <f t="shared" si="54"/>
        <v/>
      </c>
      <c r="M122" s="29" t="str">
        <f t="shared" si="55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53"/>
        <v/>
      </c>
      <c r="I123" s="27" t="str">
        <f>IF(D123="","",+(D123-D122))</f>
        <v/>
      </c>
      <c r="J123" s="27" t="str">
        <f t="shared" si="53"/>
        <v/>
      </c>
      <c r="K123" s="27" t="str">
        <f t="shared" si="53"/>
        <v/>
      </c>
      <c r="L123" s="28" t="str">
        <f t="shared" si="54"/>
        <v/>
      </c>
      <c r="M123" s="29" t="str">
        <f t="shared" si="55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53"/>
        <v/>
      </c>
      <c r="I124" s="34" t="str">
        <f>IF(D124="","",+(D124-D123))</f>
        <v/>
      </c>
      <c r="J124" s="34" t="str">
        <f t="shared" si="53"/>
        <v/>
      </c>
      <c r="K124" s="34" t="str">
        <f t="shared" si="53"/>
        <v/>
      </c>
      <c r="L124" s="28" t="str">
        <f t="shared" si="54"/>
        <v/>
      </c>
      <c r="M124" s="34" t="str">
        <f t="shared" si="55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53"/>
        <v/>
      </c>
      <c r="I125" s="27" t="str">
        <f>IF(D125="","",+(D125-D124))</f>
        <v/>
      </c>
      <c r="J125" s="27" t="str">
        <f t="shared" si="53"/>
        <v/>
      </c>
      <c r="K125" s="27" t="str">
        <f t="shared" si="53"/>
        <v/>
      </c>
      <c r="L125" s="28" t="str">
        <f t="shared" si="54"/>
        <v/>
      </c>
      <c r="M125" s="29" t="str">
        <f t="shared" si="55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53"/>
        <v/>
      </c>
      <c r="I126" s="27" t="str">
        <f t="shared" si="53"/>
        <v/>
      </c>
      <c r="J126" s="27" t="str">
        <f t="shared" si="53"/>
        <v/>
      </c>
      <c r="K126" s="27" t="str">
        <f t="shared" si="53"/>
        <v/>
      </c>
      <c r="L126" s="28" t="str">
        <f t="shared" si="54"/>
        <v/>
      </c>
      <c r="M126" s="29" t="str">
        <f t="shared" si="55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53"/>
        <v/>
      </c>
      <c r="I127" s="27" t="str">
        <f t="shared" si="53"/>
        <v/>
      </c>
      <c r="J127" s="27" t="str">
        <f t="shared" si="53"/>
        <v/>
      </c>
      <c r="K127" s="27" t="str">
        <f t="shared" si="53"/>
        <v/>
      </c>
      <c r="L127" s="28" t="str">
        <f t="shared" si="54"/>
        <v/>
      </c>
      <c r="M127" s="29" t="str">
        <f t="shared" si="55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53"/>
        <v/>
      </c>
      <c r="I128" s="27" t="str">
        <f t="shared" si="53"/>
        <v/>
      </c>
      <c r="J128" s="27" t="str">
        <f t="shared" si="53"/>
        <v/>
      </c>
      <c r="K128" s="27" t="str">
        <f t="shared" si="53"/>
        <v/>
      </c>
      <c r="L128" s="28" t="str">
        <f t="shared" si="54"/>
        <v/>
      </c>
      <c r="M128" s="29" t="str">
        <f t="shared" si="55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53"/>
        <v/>
      </c>
      <c r="I129" s="27" t="str">
        <f t="shared" si="53"/>
        <v/>
      </c>
      <c r="J129" s="27" t="str">
        <f t="shared" si="53"/>
        <v/>
      </c>
      <c r="K129" s="27" t="str">
        <f t="shared" si="53"/>
        <v/>
      </c>
      <c r="L129" s="28" t="str">
        <f t="shared" si="54"/>
        <v/>
      </c>
      <c r="M129" s="29" t="str">
        <f t="shared" si="55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53"/>
        <v/>
      </c>
      <c r="I130" s="27" t="str">
        <f t="shared" si="53"/>
        <v/>
      </c>
      <c r="J130" s="27" t="str">
        <f t="shared" si="53"/>
        <v/>
      </c>
      <c r="K130" s="27" t="str">
        <f t="shared" si="53"/>
        <v/>
      </c>
      <c r="L130" s="28" t="str">
        <f t="shared" si="54"/>
        <v/>
      </c>
      <c r="M130" s="29" t="str">
        <f t="shared" si="55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53"/>
        <v/>
      </c>
      <c r="I131" s="27" t="str">
        <f t="shared" si="53"/>
        <v/>
      </c>
      <c r="J131" s="27" t="str">
        <f t="shared" si="53"/>
        <v/>
      </c>
      <c r="K131" s="27" t="str">
        <f t="shared" si="53"/>
        <v/>
      </c>
      <c r="L131" s="28" t="str">
        <f t="shared" si="54"/>
        <v/>
      </c>
      <c r="M131" s="29" t="str">
        <f t="shared" si="55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53"/>
        <v/>
      </c>
      <c r="I132" s="27" t="str">
        <f t="shared" si="53"/>
        <v/>
      </c>
      <c r="J132" s="27" t="str">
        <f t="shared" si="53"/>
        <v/>
      </c>
      <c r="K132" s="27" t="str">
        <f t="shared" si="53"/>
        <v/>
      </c>
      <c r="L132" s="28" t="str">
        <f t="shared" si="54"/>
        <v/>
      </c>
      <c r="M132" s="29" t="str">
        <f t="shared" si="55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53"/>
        <v/>
      </c>
      <c r="I133" s="27" t="str">
        <f t="shared" si="53"/>
        <v/>
      </c>
      <c r="J133" s="27" t="str">
        <f t="shared" si="53"/>
        <v/>
      </c>
      <c r="K133" s="27" t="str">
        <f t="shared" si="53"/>
        <v/>
      </c>
      <c r="L133" s="28" t="str">
        <f t="shared" si="54"/>
        <v/>
      </c>
      <c r="M133" s="29" t="str">
        <f t="shared" si="55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56">IF(C134="","",+(C134-C133))</f>
        <v/>
      </c>
      <c r="I134" s="27" t="str">
        <f t="shared" si="56"/>
        <v/>
      </c>
      <c r="J134" s="27" t="str">
        <f t="shared" si="56"/>
        <v/>
      </c>
      <c r="K134" s="27" t="str">
        <f t="shared" si="56"/>
        <v/>
      </c>
      <c r="L134" s="28" t="str">
        <f t="shared" si="54"/>
        <v/>
      </c>
      <c r="M134" s="29" t="str">
        <f t="shared" ref="M134:M197" si="57">IF(H134="","",+(H134+I134+J134+K134))</f>
        <v/>
      </c>
      <c r="Q134" s="19">
        <f t="shared" ref="Q134:Q197" si="58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56"/>
        <v/>
      </c>
      <c r="I135" s="27" t="str">
        <f t="shared" si="56"/>
        <v/>
      </c>
      <c r="J135" s="27" t="str">
        <f t="shared" si="56"/>
        <v/>
      </c>
      <c r="K135" s="27" t="str">
        <f t="shared" si="56"/>
        <v/>
      </c>
      <c r="L135" s="28" t="str">
        <f t="shared" si="54"/>
        <v/>
      </c>
      <c r="M135" s="29" t="str">
        <f t="shared" si="57"/>
        <v/>
      </c>
      <c r="Q135" s="19">
        <f t="shared" si="58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56"/>
        <v/>
      </c>
      <c r="I136" s="27" t="str">
        <f t="shared" si="56"/>
        <v/>
      </c>
      <c r="J136" s="27" t="str">
        <f t="shared" si="56"/>
        <v/>
      </c>
      <c r="K136" s="27" t="str">
        <f t="shared" si="56"/>
        <v/>
      </c>
      <c r="L136" s="28" t="str">
        <f t="shared" si="54"/>
        <v/>
      </c>
      <c r="M136" s="29" t="str">
        <f t="shared" si="57"/>
        <v/>
      </c>
      <c r="Q136" s="19">
        <f t="shared" si="58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56"/>
        <v/>
      </c>
      <c r="I137" s="27" t="str">
        <f t="shared" si="56"/>
        <v/>
      </c>
      <c r="J137" s="27" t="str">
        <f t="shared" si="56"/>
        <v/>
      </c>
      <c r="K137" s="27" t="str">
        <f t="shared" si="56"/>
        <v/>
      </c>
      <c r="L137" s="28" t="str">
        <f t="shared" si="54"/>
        <v/>
      </c>
      <c r="M137" s="29" t="str">
        <f t="shared" si="57"/>
        <v/>
      </c>
      <c r="Q137" s="19">
        <f t="shared" si="58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56"/>
        <v/>
      </c>
      <c r="I138" s="27" t="str">
        <f t="shared" si="56"/>
        <v/>
      </c>
      <c r="J138" s="27" t="str">
        <f t="shared" si="56"/>
        <v/>
      </c>
      <c r="K138" s="27" t="str">
        <f t="shared" si="56"/>
        <v/>
      </c>
      <c r="L138" s="28" t="str">
        <f t="shared" si="54"/>
        <v/>
      </c>
      <c r="M138" s="29" t="str">
        <f t="shared" si="57"/>
        <v/>
      </c>
      <c r="Q138" s="19">
        <f t="shared" si="58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56"/>
        <v/>
      </c>
      <c r="I139" s="27" t="str">
        <f t="shared" si="56"/>
        <v/>
      </c>
      <c r="J139" s="27" t="str">
        <f t="shared" si="56"/>
        <v/>
      </c>
      <c r="K139" s="27" t="str">
        <f t="shared" si="56"/>
        <v/>
      </c>
      <c r="L139" s="28" t="str">
        <f t="shared" si="54"/>
        <v/>
      </c>
      <c r="M139" s="29" t="str">
        <f t="shared" si="57"/>
        <v/>
      </c>
      <c r="Q139" s="19">
        <f t="shared" si="58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56"/>
        <v/>
      </c>
      <c r="I140" s="27" t="str">
        <f t="shared" si="56"/>
        <v/>
      </c>
      <c r="J140" s="27" t="str">
        <f t="shared" si="56"/>
        <v/>
      </c>
      <c r="K140" s="27" t="str">
        <f t="shared" si="56"/>
        <v/>
      </c>
      <c r="L140" s="28" t="str">
        <f t="shared" si="54"/>
        <v/>
      </c>
      <c r="M140" s="29" t="str">
        <f t="shared" si="57"/>
        <v/>
      </c>
      <c r="Q140" s="19">
        <f t="shared" si="58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56"/>
        <v/>
      </c>
      <c r="I141" s="27" t="str">
        <f t="shared" si="56"/>
        <v/>
      </c>
      <c r="J141" s="27" t="str">
        <f t="shared" si="56"/>
        <v/>
      </c>
      <c r="K141" s="27" t="str">
        <f t="shared" si="56"/>
        <v/>
      </c>
      <c r="L141" s="28" t="str">
        <f t="shared" si="54"/>
        <v/>
      </c>
      <c r="M141" s="29" t="str">
        <f t="shared" si="57"/>
        <v/>
      </c>
      <c r="Q141" s="19">
        <f t="shared" si="58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56"/>
        <v/>
      </c>
      <c r="I142" s="27" t="str">
        <f t="shared" si="56"/>
        <v/>
      </c>
      <c r="J142" s="27" t="str">
        <f t="shared" si="56"/>
        <v/>
      </c>
      <c r="K142" s="27" t="str">
        <f t="shared" si="56"/>
        <v/>
      </c>
      <c r="L142" s="28" t="str">
        <f t="shared" si="54"/>
        <v/>
      </c>
      <c r="M142" s="29" t="str">
        <f t="shared" si="57"/>
        <v/>
      </c>
      <c r="Q142" s="19">
        <f t="shared" si="58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56"/>
        <v/>
      </c>
      <c r="I143" s="27" t="str">
        <f t="shared" si="56"/>
        <v/>
      </c>
      <c r="J143" s="27" t="str">
        <f t="shared" si="56"/>
        <v/>
      </c>
      <c r="K143" s="27" t="str">
        <f t="shared" si="56"/>
        <v/>
      </c>
      <c r="L143" s="28" t="str">
        <f t="shared" si="54"/>
        <v/>
      </c>
      <c r="M143" s="29" t="str">
        <f t="shared" si="57"/>
        <v/>
      </c>
      <c r="O143" s="8" t="s">
        <v>32</v>
      </c>
      <c r="Q143" s="19">
        <f t="shared" si="58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56"/>
        <v/>
      </c>
      <c r="I144" s="27" t="str">
        <f t="shared" si="56"/>
        <v/>
      </c>
      <c r="J144" s="27" t="str">
        <f t="shared" si="56"/>
        <v/>
      </c>
      <c r="K144" s="27" t="str">
        <f t="shared" si="56"/>
        <v/>
      </c>
      <c r="L144" s="28" t="str">
        <f t="shared" si="54"/>
        <v/>
      </c>
      <c r="M144" s="29" t="str">
        <f t="shared" si="57"/>
        <v/>
      </c>
      <c r="Q144" s="19">
        <f t="shared" si="58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56"/>
        <v/>
      </c>
      <c r="I145" s="27" t="str">
        <f t="shared" si="56"/>
        <v/>
      </c>
      <c r="J145" s="27" t="str">
        <f t="shared" si="56"/>
        <v/>
      </c>
      <c r="K145" s="27" t="str">
        <f>IF(F145="","",+(F145-F144))</f>
        <v/>
      </c>
      <c r="L145" s="28" t="str">
        <f t="shared" ref="L145:L154" si="59">IF(G145="","",+(G145-G144))</f>
        <v/>
      </c>
      <c r="M145" s="29" t="str">
        <f t="shared" si="57"/>
        <v/>
      </c>
      <c r="N145" s="165" t="s">
        <v>25</v>
      </c>
      <c r="O145" s="165" t="s">
        <v>26</v>
      </c>
      <c r="Q145" s="19">
        <f t="shared" si="58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56"/>
        <v/>
      </c>
      <c r="I146" s="27" t="str">
        <f t="shared" si="56"/>
        <v/>
      </c>
      <c r="J146" s="27" t="str">
        <f t="shared" si="56"/>
        <v/>
      </c>
      <c r="K146" s="27" t="str">
        <f>IF(F146="","",+(F146-F145))</f>
        <v/>
      </c>
      <c r="L146" s="28" t="str">
        <f t="shared" si="59"/>
        <v/>
      </c>
      <c r="M146" s="29" t="str">
        <f t="shared" si="57"/>
        <v/>
      </c>
      <c r="N146" s="166"/>
      <c r="O146" s="166"/>
      <c r="Q146" s="19">
        <f t="shared" si="58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56"/>
        <v/>
      </c>
      <c r="I147" s="27" t="str">
        <f t="shared" si="56"/>
        <v/>
      </c>
      <c r="J147" s="27" t="str">
        <f t="shared" si="56"/>
        <v/>
      </c>
      <c r="K147" s="27" t="str">
        <f t="shared" si="56"/>
        <v/>
      </c>
      <c r="L147" s="28" t="str">
        <f t="shared" si="59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56"/>
        <v/>
      </c>
      <c r="I148" s="27" t="str">
        <f t="shared" si="56"/>
        <v/>
      </c>
      <c r="J148" s="27" t="str">
        <f t="shared" si="56"/>
        <v/>
      </c>
      <c r="K148" s="27" t="str">
        <f t="shared" si="56"/>
        <v/>
      </c>
      <c r="L148" s="28" t="str">
        <f t="shared" si="59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253797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56"/>
        <v/>
      </c>
      <c r="I149" s="27" t="str">
        <f t="shared" si="56"/>
        <v/>
      </c>
      <c r="J149" s="27" t="str">
        <f t="shared" si="56"/>
        <v/>
      </c>
      <c r="K149" s="27" t="str">
        <f t="shared" si="56"/>
        <v/>
      </c>
      <c r="L149" s="28" t="str">
        <f t="shared" si="59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56"/>
        <v/>
      </c>
      <c r="I150" s="27" t="str">
        <f t="shared" si="56"/>
        <v/>
      </c>
      <c r="J150" s="27" t="str">
        <f t="shared" si="56"/>
        <v/>
      </c>
      <c r="K150" s="27" t="str">
        <f t="shared" si="56"/>
        <v/>
      </c>
      <c r="L150" s="28" t="str">
        <f t="shared" si="59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56"/>
        <v/>
      </c>
      <c r="I151" s="27" t="str">
        <f t="shared" si="56"/>
        <v/>
      </c>
      <c r="J151" s="27" t="str">
        <f t="shared" si="56"/>
        <v/>
      </c>
      <c r="K151" s="27" t="str">
        <f t="shared" si="56"/>
        <v/>
      </c>
      <c r="L151" s="28" t="str">
        <f t="shared" si="59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56"/>
        <v/>
      </c>
      <c r="I152" s="27" t="str">
        <f t="shared" si="56"/>
        <v/>
      </c>
      <c r="J152" s="27" t="str">
        <f t="shared" si="56"/>
        <v/>
      </c>
      <c r="K152" s="27" t="str">
        <f t="shared" si="56"/>
        <v/>
      </c>
      <c r="L152" s="28" t="str">
        <f t="shared" si="59"/>
        <v/>
      </c>
      <c r="M152" s="29" t="str">
        <f t="shared" si="57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56"/>
        <v/>
      </c>
      <c r="I153" s="27" t="str">
        <f t="shared" si="56"/>
        <v/>
      </c>
      <c r="J153" s="27" t="str">
        <f t="shared" si="56"/>
        <v/>
      </c>
      <c r="K153" s="27" t="str">
        <f t="shared" si="56"/>
        <v/>
      </c>
      <c r="L153" s="28" t="str">
        <f t="shared" si="59"/>
        <v/>
      </c>
      <c r="M153" s="29" t="str">
        <f t="shared" si="57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56"/>
        <v/>
      </c>
      <c r="I154" s="27" t="str">
        <f t="shared" si="56"/>
        <v/>
      </c>
      <c r="J154" s="27" t="str">
        <f t="shared" si="56"/>
        <v/>
      </c>
      <c r="K154" s="27" t="str">
        <f t="shared" si="56"/>
        <v/>
      </c>
      <c r="L154" s="28" t="str">
        <f t="shared" si="59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56"/>
        <v/>
      </c>
      <c r="I155" s="32" t="str">
        <f t="shared" si="56"/>
        <v/>
      </c>
      <c r="J155" s="32" t="str">
        <f t="shared" si="56"/>
        <v/>
      </c>
      <c r="K155" s="32" t="str">
        <f t="shared" si="56"/>
        <v/>
      </c>
      <c r="L155" s="41" t="str">
        <f>IF(G155="","",+(G155-G154))</f>
        <v/>
      </c>
      <c r="M155" s="32" t="str">
        <f t="shared" si="57"/>
        <v/>
      </c>
      <c r="Q155" s="19">
        <f t="shared" si="58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56"/>
        <v/>
      </c>
      <c r="I156" s="27" t="str">
        <f t="shared" si="56"/>
        <v/>
      </c>
      <c r="J156" s="27" t="str">
        <f t="shared" si="56"/>
        <v/>
      </c>
      <c r="K156" s="27" t="str">
        <f t="shared" si="56"/>
        <v/>
      </c>
      <c r="L156" s="28" t="str">
        <f>IF(G156="","",+(G156-G155))</f>
        <v/>
      </c>
      <c r="M156" s="29" t="str">
        <f t="shared" si="57"/>
        <v/>
      </c>
      <c r="Q156" s="19">
        <f t="shared" si="58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56"/>
        <v/>
      </c>
      <c r="I157" s="27" t="str">
        <f t="shared" si="56"/>
        <v/>
      </c>
      <c r="J157" s="27" t="str">
        <f t="shared" si="56"/>
        <v/>
      </c>
      <c r="K157" s="27" t="str">
        <f t="shared" si="56"/>
        <v/>
      </c>
      <c r="L157" s="28" t="str">
        <f t="shared" ref="L157:L195" si="60">IF(G157="","",+(G157-G156))</f>
        <v/>
      </c>
      <c r="M157" s="29" t="str">
        <f t="shared" si="57"/>
        <v/>
      </c>
      <c r="Q157" s="19">
        <f t="shared" si="58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56"/>
        <v/>
      </c>
      <c r="I158" s="27" t="str">
        <f t="shared" si="56"/>
        <v/>
      </c>
      <c r="J158" s="27" t="str">
        <f t="shared" si="56"/>
        <v/>
      </c>
      <c r="K158" s="27" t="str">
        <f t="shared" si="56"/>
        <v/>
      </c>
      <c r="L158" s="28" t="str">
        <f t="shared" si="60"/>
        <v/>
      </c>
      <c r="M158" s="29" t="str">
        <f t="shared" si="57"/>
        <v/>
      </c>
      <c r="Q158" s="19">
        <f t="shared" si="58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56"/>
        <v/>
      </c>
      <c r="I159" s="27" t="str">
        <f t="shared" si="56"/>
        <v/>
      </c>
      <c r="J159" s="27" t="str">
        <f t="shared" si="56"/>
        <v/>
      </c>
      <c r="K159" s="27" t="str">
        <f t="shared" si="56"/>
        <v/>
      </c>
      <c r="L159" s="28" t="str">
        <f t="shared" si="60"/>
        <v/>
      </c>
      <c r="M159" s="29" t="str">
        <f t="shared" si="57"/>
        <v/>
      </c>
      <c r="Q159" s="19">
        <f t="shared" si="58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56"/>
        <v/>
      </c>
      <c r="I160" s="27" t="str">
        <f t="shared" si="56"/>
        <v/>
      </c>
      <c r="J160" s="27" t="str">
        <f t="shared" si="56"/>
        <v/>
      </c>
      <c r="K160" s="27" t="str">
        <f t="shared" si="56"/>
        <v/>
      </c>
      <c r="L160" s="28" t="str">
        <f t="shared" si="60"/>
        <v/>
      </c>
      <c r="M160" s="29" t="str">
        <f t="shared" si="57"/>
        <v/>
      </c>
      <c r="Q160" s="19">
        <f t="shared" si="58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56"/>
        <v/>
      </c>
      <c r="I161" s="27" t="str">
        <f t="shared" si="56"/>
        <v/>
      </c>
      <c r="J161" s="27" t="str">
        <f t="shared" si="56"/>
        <v/>
      </c>
      <c r="K161" s="27" t="str">
        <f t="shared" si="56"/>
        <v/>
      </c>
      <c r="L161" s="28" t="str">
        <f t="shared" si="60"/>
        <v/>
      </c>
      <c r="M161" s="29" t="str">
        <f t="shared" si="57"/>
        <v/>
      </c>
      <c r="Q161" s="19">
        <f t="shared" si="58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56"/>
        <v/>
      </c>
      <c r="I162" s="27" t="str">
        <f t="shared" si="56"/>
        <v/>
      </c>
      <c r="J162" s="27" t="str">
        <f t="shared" si="56"/>
        <v/>
      </c>
      <c r="K162" s="27" t="str">
        <f t="shared" si="56"/>
        <v/>
      </c>
      <c r="L162" s="28" t="str">
        <f t="shared" si="60"/>
        <v/>
      </c>
      <c r="M162" s="29" t="str">
        <f t="shared" si="57"/>
        <v/>
      </c>
      <c r="Q162" s="19">
        <f t="shared" si="58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56"/>
        <v/>
      </c>
      <c r="I163" s="27" t="str">
        <f t="shared" si="56"/>
        <v/>
      </c>
      <c r="J163" s="27" t="str">
        <f t="shared" si="56"/>
        <v/>
      </c>
      <c r="K163" s="27" t="str">
        <f t="shared" si="56"/>
        <v/>
      </c>
      <c r="L163" s="28" t="str">
        <f t="shared" si="60"/>
        <v/>
      </c>
      <c r="M163" s="29" t="str">
        <f t="shared" si="57"/>
        <v/>
      </c>
      <c r="Q163" s="19">
        <f t="shared" si="58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56"/>
        <v/>
      </c>
      <c r="I164" s="27" t="str">
        <f t="shared" si="56"/>
        <v/>
      </c>
      <c r="J164" s="27" t="str">
        <f t="shared" si="56"/>
        <v/>
      </c>
      <c r="K164" s="27" t="str">
        <f t="shared" si="56"/>
        <v/>
      </c>
      <c r="L164" s="28" t="str">
        <f t="shared" si="60"/>
        <v/>
      </c>
      <c r="M164" s="29" t="str">
        <f t="shared" si="57"/>
        <v/>
      </c>
      <c r="Q164" s="19">
        <f t="shared" si="58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56"/>
        <v/>
      </c>
      <c r="I165" s="27" t="str">
        <f t="shared" si="56"/>
        <v/>
      </c>
      <c r="J165" s="27" t="str">
        <f t="shared" si="56"/>
        <v/>
      </c>
      <c r="K165" s="27" t="str">
        <f t="shared" si="56"/>
        <v/>
      </c>
      <c r="L165" s="28" t="str">
        <f t="shared" si="60"/>
        <v/>
      </c>
      <c r="M165" s="29" t="str">
        <f t="shared" si="57"/>
        <v/>
      </c>
      <c r="Q165" s="19">
        <f t="shared" si="58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56"/>
        <v/>
      </c>
      <c r="I166" s="27" t="str">
        <f t="shared" si="56"/>
        <v/>
      </c>
      <c r="J166" s="27" t="str">
        <f t="shared" si="56"/>
        <v/>
      </c>
      <c r="K166" s="27" t="str">
        <f t="shared" si="56"/>
        <v/>
      </c>
      <c r="L166" s="28" t="str">
        <f t="shared" si="60"/>
        <v/>
      </c>
      <c r="M166" s="29" t="str">
        <f t="shared" si="57"/>
        <v/>
      </c>
      <c r="Q166" s="19">
        <f t="shared" si="58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56"/>
        <v/>
      </c>
      <c r="I167" s="27" t="str">
        <f t="shared" si="56"/>
        <v/>
      </c>
      <c r="J167" s="27" t="str">
        <f t="shared" si="56"/>
        <v/>
      </c>
      <c r="K167" s="27" t="str">
        <f t="shared" si="56"/>
        <v/>
      </c>
      <c r="L167" s="28" t="str">
        <f t="shared" si="60"/>
        <v/>
      </c>
      <c r="M167" s="29" t="str">
        <f t="shared" si="57"/>
        <v/>
      </c>
      <c r="Q167" s="19">
        <f t="shared" si="58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56"/>
        <v/>
      </c>
      <c r="I168" s="27" t="str">
        <f t="shared" si="56"/>
        <v/>
      </c>
      <c r="J168" s="27" t="str">
        <f t="shared" si="56"/>
        <v/>
      </c>
      <c r="K168" s="27" t="str">
        <f t="shared" si="56"/>
        <v/>
      </c>
      <c r="L168" s="28" t="str">
        <f t="shared" si="60"/>
        <v/>
      </c>
      <c r="M168" s="29" t="str">
        <f t="shared" si="57"/>
        <v/>
      </c>
      <c r="Q168" s="19">
        <f t="shared" si="58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56"/>
        <v/>
      </c>
      <c r="I169" s="27" t="str">
        <f t="shared" si="56"/>
        <v/>
      </c>
      <c r="J169" s="27" t="str">
        <f t="shared" si="56"/>
        <v/>
      </c>
      <c r="K169" s="27" t="str">
        <f t="shared" si="56"/>
        <v/>
      </c>
      <c r="L169" s="28" t="str">
        <f t="shared" si="60"/>
        <v/>
      </c>
      <c r="M169" s="29" t="str">
        <f t="shared" si="57"/>
        <v/>
      </c>
      <c r="Q169" s="19">
        <f t="shared" si="58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56"/>
        <v/>
      </c>
      <c r="I170" s="27" t="str">
        <f t="shared" si="56"/>
        <v/>
      </c>
      <c r="J170" s="27" t="str">
        <f t="shared" si="56"/>
        <v/>
      </c>
      <c r="K170" s="27" t="str">
        <f t="shared" si="56"/>
        <v/>
      </c>
      <c r="L170" s="28" t="str">
        <f t="shared" si="60"/>
        <v/>
      </c>
      <c r="M170" s="29" t="str">
        <f t="shared" si="57"/>
        <v/>
      </c>
      <c r="Q170" s="19">
        <f t="shared" si="58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56"/>
        <v/>
      </c>
      <c r="I171" s="27" t="str">
        <f t="shared" si="56"/>
        <v/>
      </c>
      <c r="J171" s="27" t="str">
        <f t="shared" si="56"/>
        <v/>
      </c>
      <c r="K171" s="27" t="str">
        <f t="shared" si="56"/>
        <v/>
      </c>
      <c r="L171" s="28" t="str">
        <f t="shared" si="60"/>
        <v/>
      </c>
      <c r="M171" s="29" t="str">
        <f t="shared" si="57"/>
        <v/>
      </c>
      <c r="Q171" s="19">
        <f t="shared" si="58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56"/>
        <v/>
      </c>
      <c r="I172" s="27" t="str">
        <f t="shared" si="56"/>
        <v/>
      </c>
      <c r="J172" s="27" t="str">
        <f t="shared" si="56"/>
        <v/>
      </c>
      <c r="K172" s="27" t="str">
        <f t="shared" si="56"/>
        <v/>
      </c>
      <c r="L172" s="28" t="str">
        <f t="shared" si="60"/>
        <v/>
      </c>
      <c r="M172" s="29" t="str">
        <f t="shared" si="57"/>
        <v/>
      </c>
      <c r="Q172" s="19">
        <f t="shared" si="58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56"/>
        <v/>
      </c>
      <c r="I173" s="27" t="str">
        <f t="shared" si="56"/>
        <v/>
      </c>
      <c r="J173" s="27" t="str">
        <f t="shared" si="56"/>
        <v/>
      </c>
      <c r="K173" s="27" t="str">
        <f t="shared" si="56"/>
        <v/>
      </c>
      <c r="L173" s="28" t="str">
        <f t="shared" si="60"/>
        <v/>
      </c>
      <c r="M173" s="29" t="str">
        <f t="shared" si="57"/>
        <v/>
      </c>
      <c r="Q173" s="19">
        <f t="shared" si="58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56"/>
        <v/>
      </c>
      <c r="I174" s="27" t="str">
        <f t="shared" si="56"/>
        <v/>
      </c>
      <c r="J174" s="27" t="str">
        <f t="shared" si="56"/>
        <v/>
      </c>
      <c r="K174" s="27" t="str">
        <f t="shared" si="56"/>
        <v/>
      </c>
      <c r="L174" s="28" t="str">
        <f t="shared" si="60"/>
        <v/>
      </c>
      <c r="M174" s="29" t="str">
        <f t="shared" si="57"/>
        <v/>
      </c>
      <c r="Q174" s="19">
        <f t="shared" si="58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56"/>
        <v/>
      </c>
      <c r="I175" s="27" t="str">
        <f t="shared" si="56"/>
        <v/>
      </c>
      <c r="J175" s="27" t="str">
        <f t="shared" si="56"/>
        <v/>
      </c>
      <c r="K175" s="27" t="str">
        <f t="shared" si="56"/>
        <v/>
      </c>
      <c r="L175" s="28" t="str">
        <f t="shared" si="60"/>
        <v/>
      </c>
      <c r="M175" s="29" t="str">
        <f t="shared" si="57"/>
        <v/>
      </c>
      <c r="N175" s="165" t="s">
        <v>25</v>
      </c>
      <c r="O175" s="165" t="s">
        <v>26</v>
      </c>
      <c r="Q175" s="19">
        <f t="shared" si="58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56"/>
        <v/>
      </c>
      <c r="I176" s="27" t="str">
        <f t="shared" si="56"/>
        <v/>
      </c>
      <c r="J176" s="27" t="str">
        <f t="shared" si="56"/>
        <v/>
      </c>
      <c r="K176" s="27" t="str">
        <f t="shared" si="56"/>
        <v/>
      </c>
      <c r="L176" s="28" t="str">
        <f t="shared" si="60"/>
        <v/>
      </c>
      <c r="M176" s="29" t="str">
        <f t="shared" si="57"/>
        <v/>
      </c>
      <c r="N176" s="166"/>
      <c r="O176" s="166"/>
      <c r="Q176" s="19">
        <f t="shared" si="58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56"/>
        <v/>
      </c>
      <c r="I177" s="27" t="e">
        <f>IF(D177="","",+(D177-D176))+20926</f>
        <v>#VALUE!</v>
      </c>
      <c r="J177" s="27" t="str">
        <f t="shared" si="56"/>
        <v/>
      </c>
      <c r="K177" s="27" t="str">
        <f t="shared" si="56"/>
        <v/>
      </c>
      <c r="L177" s="28" t="str">
        <f t="shared" si="60"/>
        <v/>
      </c>
      <c r="M177" s="29" t="str">
        <f t="shared" si="57"/>
        <v/>
      </c>
      <c r="N177" s="167"/>
      <c r="O177" s="167"/>
      <c r="Q177" s="19">
        <f t="shared" si="58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56"/>
        <v/>
      </c>
      <c r="I178" s="27" t="str">
        <f t="shared" si="56"/>
        <v/>
      </c>
      <c r="J178" s="27" t="str">
        <f t="shared" si="56"/>
        <v/>
      </c>
      <c r="K178" s="27" t="str">
        <f t="shared" si="56"/>
        <v/>
      </c>
      <c r="L178" s="28" t="str">
        <f t="shared" si="60"/>
        <v/>
      </c>
      <c r="M178" s="29" t="str">
        <f t="shared" si="57"/>
        <v/>
      </c>
      <c r="N178" s="31">
        <f>SUM(L156:L185)</f>
        <v>0</v>
      </c>
      <c r="O178" s="31">
        <f>SUM(M156:M185)</f>
        <v>0</v>
      </c>
      <c r="Q178" s="19">
        <f t="shared" si="58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56"/>
        <v/>
      </c>
      <c r="I179" s="27" t="str">
        <f t="shared" si="56"/>
        <v/>
      </c>
      <c r="J179" s="27" t="str">
        <f t="shared" si="56"/>
        <v/>
      </c>
      <c r="K179" s="27" t="str">
        <f t="shared" si="56"/>
        <v/>
      </c>
      <c r="L179" s="28" t="str">
        <f t="shared" si="60"/>
        <v/>
      </c>
      <c r="M179" s="29" t="str">
        <f t="shared" si="57"/>
        <v/>
      </c>
      <c r="N179" s="165" t="s">
        <v>27</v>
      </c>
      <c r="O179" s="165" t="s">
        <v>28</v>
      </c>
      <c r="Q179" s="19">
        <f t="shared" si="58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56"/>
        <v/>
      </c>
      <c r="I180" s="27" t="str">
        <f t="shared" si="56"/>
        <v/>
      </c>
      <c r="J180" s="27" t="str">
        <f t="shared" si="56"/>
        <v/>
      </c>
      <c r="K180" s="27" t="str">
        <f t="shared" si="56"/>
        <v/>
      </c>
      <c r="L180" s="28" t="str">
        <f t="shared" si="60"/>
        <v/>
      </c>
      <c r="M180" s="29" t="str">
        <f t="shared" si="57"/>
        <v/>
      </c>
      <c r="N180" s="167"/>
      <c r="O180" s="167"/>
      <c r="Q180" s="19">
        <f t="shared" si="58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56"/>
        <v/>
      </c>
      <c r="I181" s="27" t="str">
        <f t="shared" si="56"/>
        <v/>
      </c>
      <c r="J181" s="27" t="str">
        <f t="shared" si="56"/>
        <v/>
      </c>
      <c r="K181" s="27" t="str">
        <f t="shared" si="56"/>
        <v/>
      </c>
      <c r="L181" s="28" t="str">
        <f t="shared" si="60"/>
        <v/>
      </c>
      <c r="M181" s="29" t="str">
        <f t="shared" si="57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58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56"/>
        <v/>
      </c>
      <c r="I182" s="27" t="str">
        <f t="shared" si="56"/>
        <v/>
      </c>
      <c r="J182" s="27" t="str">
        <f t="shared" si="56"/>
        <v/>
      </c>
      <c r="K182" s="27" t="str">
        <f t="shared" si="56"/>
        <v/>
      </c>
      <c r="L182" s="28" t="str">
        <f t="shared" si="60"/>
        <v/>
      </c>
      <c r="M182" s="29" t="str">
        <f t="shared" si="57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56"/>
        <v/>
      </c>
      <c r="I183" s="27" t="str">
        <f t="shared" si="56"/>
        <v/>
      </c>
      <c r="J183" s="27" t="str">
        <f t="shared" si="56"/>
        <v/>
      </c>
      <c r="K183" s="27" t="str">
        <f t="shared" si="56"/>
        <v/>
      </c>
      <c r="L183" s="28" t="str">
        <f t="shared" si="60"/>
        <v/>
      </c>
      <c r="M183" s="29" t="str">
        <f t="shared" si="57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56"/>
        <v/>
      </c>
      <c r="I184" s="27" t="str">
        <f t="shared" si="56"/>
        <v/>
      </c>
      <c r="J184" s="27" t="str">
        <f t="shared" si="56"/>
        <v/>
      </c>
      <c r="K184" s="27" t="str">
        <f t="shared" si="56"/>
        <v/>
      </c>
      <c r="L184" s="28" t="str">
        <f t="shared" si="60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56"/>
        <v/>
      </c>
      <c r="I185" s="34" t="str">
        <f t="shared" si="56"/>
        <v/>
      </c>
      <c r="J185" s="34" t="str">
        <f t="shared" si="56"/>
        <v/>
      </c>
      <c r="K185" s="34" t="str">
        <f t="shared" si="56"/>
        <v/>
      </c>
      <c r="L185" s="28" t="str">
        <f t="shared" si="60"/>
        <v/>
      </c>
      <c r="M185" s="156" t="str">
        <f t="shared" si="57"/>
        <v/>
      </c>
      <c r="Q185" s="19">
        <f t="shared" si="58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61">IF(C186="","",+(C186-C185))</f>
        <v/>
      </c>
      <c r="I186" s="27" t="str">
        <f t="shared" si="61"/>
        <v/>
      </c>
      <c r="J186" s="27" t="str">
        <f t="shared" si="61"/>
        <v/>
      </c>
      <c r="K186" s="27" t="str">
        <f t="shared" si="61"/>
        <v/>
      </c>
      <c r="L186" s="28" t="str">
        <f t="shared" si="60"/>
        <v/>
      </c>
      <c r="M186" s="29" t="str">
        <f t="shared" si="57"/>
        <v/>
      </c>
      <c r="Q186" s="19">
        <f t="shared" si="58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61"/>
        <v/>
      </c>
      <c r="I187" s="27" t="str">
        <f t="shared" si="61"/>
        <v/>
      </c>
      <c r="J187" s="27" t="str">
        <f t="shared" si="61"/>
        <v/>
      </c>
      <c r="K187" s="27" t="str">
        <f t="shared" si="61"/>
        <v/>
      </c>
      <c r="L187" s="28" t="str">
        <f t="shared" si="60"/>
        <v/>
      </c>
      <c r="M187" s="29" t="str">
        <f t="shared" si="57"/>
        <v/>
      </c>
      <c r="Q187" s="19">
        <f t="shared" si="58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61"/>
        <v/>
      </c>
      <c r="I188" s="27" t="str">
        <f t="shared" si="61"/>
        <v/>
      </c>
      <c r="J188" s="27" t="str">
        <f t="shared" si="61"/>
        <v/>
      </c>
      <c r="K188" s="27" t="str">
        <f t="shared" si="61"/>
        <v/>
      </c>
      <c r="L188" s="28" t="str">
        <f t="shared" si="60"/>
        <v/>
      </c>
      <c r="M188" s="29" t="str">
        <f t="shared" si="57"/>
        <v/>
      </c>
      <c r="Q188" s="19">
        <f t="shared" si="58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61"/>
        <v/>
      </c>
      <c r="I189" s="27" t="str">
        <f t="shared" si="61"/>
        <v/>
      </c>
      <c r="J189" s="27" t="str">
        <f t="shared" si="61"/>
        <v/>
      </c>
      <c r="K189" s="27" t="str">
        <f t="shared" si="61"/>
        <v/>
      </c>
      <c r="L189" s="28" t="str">
        <f t="shared" si="60"/>
        <v/>
      </c>
      <c r="M189" s="29" t="str">
        <f t="shared" si="57"/>
        <v/>
      </c>
      <c r="Q189" s="19">
        <f t="shared" si="58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61"/>
        <v/>
      </c>
      <c r="I190" s="27" t="str">
        <f t="shared" si="61"/>
        <v/>
      </c>
      <c r="J190" s="27" t="str">
        <f t="shared" si="61"/>
        <v/>
      </c>
      <c r="K190" s="27" t="str">
        <f t="shared" si="61"/>
        <v/>
      </c>
      <c r="L190" s="28" t="str">
        <f t="shared" si="60"/>
        <v/>
      </c>
      <c r="M190" s="29" t="str">
        <f t="shared" si="57"/>
        <v/>
      </c>
      <c r="Q190" s="19">
        <f t="shared" si="58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61"/>
        <v/>
      </c>
      <c r="I191" s="27" t="str">
        <f t="shared" si="61"/>
        <v/>
      </c>
      <c r="J191" s="27" t="str">
        <f t="shared" si="61"/>
        <v/>
      </c>
      <c r="K191" s="27" t="str">
        <f t="shared" si="61"/>
        <v/>
      </c>
      <c r="L191" s="28" t="str">
        <f t="shared" si="60"/>
        <v/>
      </c>
      <c r="M191" s="29" t="str">
        <f t="shared" si="57"/>
        <v/>
      </c>
      <c r="Q191" s="19">
        <f t="shared" si="58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61"/>
        <v/>
      </c>
      <c r="I192" s="27" t="str">
        <f t="shared" si="61"/>
        <v/>
      </c>
      <c r="J192" s="27" t="str">
        <f>IF(E192="","",+(E192-E191))</f>
        <v/>
      </c>
      <c r="K192" s="27" t="str">
        <f t="shared" si="61"/>
        <v/>
      </c>
      <c r="L192" s="28" t="str">
        <f t="shared" si="60"/>
        <v/>
      </c>
      <c r="M192" s="29" t="str">
        <f t="shared" si="57"/>
        <v/>
      </c>
      <c r="Q192" s="19">
        <f t="shared" si="58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61"/>
        <v/>
      </c>
      <c r="I193" s="27" t="str">
        <f t="shared" si="61"/>
        <v/>
      </c>
      <c r="J193" s="157" t="e">
        <f>IF(E193="","",+(E193-E192))+101072</f>
        <v>#VALUE!</v>
      </c>
      <c r="K193" s="27" t="str">
        <f t="shared" si="61"/>
        <v/>
      </c>
      <c r="L193" s="28" t="str">
        <f t="shared" si="60"/>
        <v/>
      </c>
      <c r="M193" s="29" t="str">
        <f t="shared" si="57"/>
        <v/>
      </c>
      <c r="N193" s="8" t="s">
        <v>33</v>
      </c>
      <c r="Q193" s="19">
        <f t="shared" si="58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61"/>
        <v/>
      </c>
      <c r="I194" s="27" t="str">
        <f t="shared" si="61"/>
        <v/>
      </c>
      <c r="J194" s="27" t="str">
        <f t="shared" si="61"/>
        <v/>
      </c>
      <c r="K194" s="27" t="str">
        <f t="shared" si="61"/>
        <v/>
      </c>
      <c r="L194" s="28" t="str">
        <f t="shared" si="60"/>
        <v/>
      </c>
      <c r="M194" s="29" t="str">
        <f t="shared" si="57"/>
        <v/>
      </c>
      <c r="Q194" s="19">
        <f t="shared" si="58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61"/>
        <v/>
      </c>
      <c r="I195" s="27" t="str">
        <f t="shared" si="61"/>
        <v/>
      </c>
      <c r="J195" s="27" t="str">
        <f t="shared" si="61"/>
        <v/>
      </c>
      <c r="K195" s="27" t="str">
        <f t="shared" si="61"/>
        <v/>
      </c>
      <c r="L195" s="28" t="str">
        <f t="shared" si="60"/>
        <v/>
      </c>
      <c r="M195" s="29" t="str">
        <f t="shared" si="57"/>
        <v/>
      </c>
      <c r="Q195" s="19">
        <f t="shared" si="58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61"/>
        <v/>
      </c>
      <c r="I196" s="27" t="str">
        <f t="shared" si="61"/>
        <v/>
      </c>
      <c r="J196" s="27" t="str">
        <f t="shared" si="61"/>
        <v/>
      </c>
      <c r="K196" s="27" t="str">
        <f t="shared" si="61"/>
        <v/>
      </c>
      <c r="L196" s="28" t="str">
        <f>IF(G196="","",+(G196-G195))</f>
        <v/>
      </c>
      <c r="M196" s="29" t="str">
        <f t="shared" si="57"/>
        <v/>
      </c>
      <c r="Q196" s="19">
        <f t="shared" si="58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61"/>
        <v/>
      </c>
      <c r="I197" s="27" t="str">
        <f t="shared" si="61"/>
        <v/>
      </c>
      <c r="J197" s="27" t="str">
        <f t="shared" si="61"/>
        <v/>
      </c>
      <c r="K197" s="27" t="str">
        <f t="shared" si="61"/>
        <v/>
      </c>
      <c r="L197" s="28" t="str">
        <f t="shared" ref="L197:L200" si="62">IF(G197="","",+(G197-G196))</f>
        <v/>
      </c>
      <c r="M197" s="29" t="str">
        <f t="shared" si="57"/>
        <v/>
      </c>
      <c r="Q197" s="19">
        <f t="shared" si="58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61"/>
        <v/>
      </c>
      <c r="I198" s="27" t="str">
        <f t="shared" si="61"/>
        <v/>
      </c>
      <c r="J198" s="27" t="str">
        <f t="shared" si="61"/>
        <v/>
      </c>
      <c r="K198" s="27" t="str">
        <f t="shared" si="61"/>
        <v/>
      </c>
      <c r="L198" s="28" t="str">
        <f t="shared" si="62"/>
        <v/>
      </c>
      <c r="M198" s="29" t="str">
        <f t="shared" ref="M198:M261" si="63">IF(H198="","",+(H198+I198+J198+K198))</f>
        <v/>
      </c>
      <c r="Q198" s="19">
        <f t="shared" ref="Q198:Q212" si="64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61"/>
        <v/>
      </c>
      <c r="I199" s="27" t="str">
        <f t="shared" si="61"/>
        <v/>
      </c>
      <c r="J199" s="27" t="str">
        <f t="shared" si="61"/>
        <v/>
      </c>
      <c r="K199" s="27" t="str">
        <f t="shared" si="61"/>
        <v/>
      </c>
      <c r="L199" s="28" t="str">
        <f t="shared" si="62"/>
        <v/>
      </c>
      <c r="M199" s="29" t="str">
        <f t="shared" si="63"/>
        <v/>
      </c>
      <c r="Q199" s="19">
        <f t="shared" si="64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61"/>
        <v/>
      </c>
      <c r="I200" s="27" t="str">
        <f t="shared" si="61"/>
        <v/>
      </c>
      <c r="J200" s="27" t="str">
        <f t="shared" si="61"/>
        <v/>
      </c>
      <c r="K200" s="27" t="str">
        <f t="shared" si="61"/>
        <v/>
      </c>
      <c r="L200" s="28" t="str">
        <f t="shared" si="62"/>
        <v/>
      </c>
      <c r="M200" s="29" t="str">
        <f t="shared" si="63"/>
        <v/>
      </c>
      <c r="Q200" s="19">
        <f t="shared" si="64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61"/>
        <v/>
      </c>
      <c r="I201" s="27" t="str">
        <f t="shared" si="61"/>
        <v/>
      </c>
      <c r="J201" s="27" t="str">
        <f t="shared" si="61"/>
        <v/>
      </c>
      <c r="K201" s="27" t="str">
        <f t="shared" si="61"/>
        <v/>
      </c>
      <c r="L201" s="28" t="str">
        <f>IF(G201="","",+(G201-G200))</f>
        <v/>
      </c>
      <c r="M201" s="29" t="str">
        <f t="shared" si="63"/>
        <v/>
      </c>
      <c r="Q201" s="19">
        <f t="shared" si="64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65">IF(C202="","",+(C202-C201))</f>
        <v/>
      </c>
      <c r="I202" s="27" t="str">
        <f t="shared" si="65"/>
        <v/>
      </c>
      <c r="J202" s="27" t="str">
        <f t="shared" si="65"/>
        <v/>
      </c>
      <c r="K202" s="27" t="str">
        <f t="shared" si="65"/>
        <v/>
      </c>
      <c r="L202" s="28" t="str">
        <f t="shared" si="65"/>
        <v/>
      </c>
      <c r="M202" s="29" t="str">
        <f t="shared" si="63"/>
        <v/>
      </c>
      <c r="N202" s="44"/>
      <c r="Q202" s="19">
        <f t="shared" si="64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65"/>
        <v/>
      </c>
      <c r="I203" s="27" t="str">
        <f t="shared" si="65"/>
        <v/>
      </c>
      <c r="J203" s="27" t="str">
        <f t="shared" si="65"/>
        <v/>
      </c>
      <c r="K203" s="27" t="str">
        <f t="shared" si="65"/>
        <v/>
      </c>
      <c r="L203" s="28" t="str">
        <f t="shared" si="65"/>
        <v/>
      </c>
      <c r="M203" s="29" t="str">
        <f t="shared" si="63"/>
        <v/>
      </c>
      <c r="Q203" s="19">
        <f t="shared" si="64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65"/>
        <v/>
      </c>
      <c r="I204" s="27" t="str">
        <f t="shared" si="65"/>
        <v/>
      </c>
      <c r="J204" s="27" t="str">
        <f t="shared" si="65"/>
        <v/>
      </c>
      <c r="K204" s="27" t="str">
        <f t="shared" si="65"/>
        <v/>
      </c>
      <c r="L204" s="28" t="str">
        <f t="shared" si="65"/>
        <v/>
      </c>
      <c r="M204" s="29" t="str">
        <f t="shared" si="63"/>
        <v/>
      </c>
      <c r="Q204" s="19">
        <f t="shared" si="64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65"/>
        <v/>
      </c>
      <c r="I205" s="27" t="str">
        <f t="shared" si="65"/>
        <v/>
      </c>
      <c r="J205" s="27" t="str">
        <f t="shared" si="65"/>
        <v/>
      </c>
      <c r="K205" s="27" t="str">
        <f t="shared" si="65"/>
        <v/>
      </c>
      <c r="L205" s="28" t="str">
        <f t="shared" si="65"/>
        <v/>
      </c>
      <c r="M205" s="29" t="str">
        <f t="shared" si="63"/>
        <v/>
      </c>
      <c r="Q205" s="19">
        <f t="shared" si="64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65"/>
        <v/>
      </c>
      <c r="I206" s="27" t="str">
        <f t="shared" si="65"/>
        <v/>
      </c>
      <c r="J206" s="27" t="str">
        <f t="shared" si="65"/>
        <v/>
      </c>
      <c r="K206" s="27" t="str">
        <f t="shared" si="65"/>
        <v/>
      </c>
      <c r="L206" s="28" t="str">
        <f t="shared" si="65"/>
        <v/>
      </c>
      <c r="M206" s="29" t="str">
        <f t="shared" si="63"/>
        <v/>
      </c>
      <c r="N206" s="165" t="s">
        <v>25</v>
      </c>
      <c r="O206" s="165" t="s">
        <v>26</v>
      </c>
      <c r="Q206" s="19">
        <f t="shared" si="64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65"/>
        <v/>
      </c>
      <c r="I207" s="27" t="str">
        <f t="shared" si="65"/>
        <v/>
      </c>
      <c r="J207" s="27" t="str">
        <f t="shared" si="65"/>
        <v/>
      </c>
      <c r="K207" s="27" t="str">
        <f t="shared" si="65"/>
        <v/>
      </c>
      <c r="L207" s="28" t="str">
        <f t="shared" si="65"/>
        <v/>
      </c>
      <c r="M207" s="29" t="str">
        <f t="shared" si="63"/>
        <v/>
      </c>
      <c r="N207" s="166"/>
      <c r="O207" s="166"/>
      <c r="Q207" s="19">
        <f t="shared" si="64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65"/>
        <v/>
      </c>
      <c r="I208" s="27" t="str">
        <f t="shared" si="65"/>
        <v/>
      </c>
      <c r="J208" s="27" t="str">
        <f t="shared" si="65"/>
        <v/>
      </c>
      <c r="K208" s="27" t="str">
        <f t="shared" si="65"/>
        <v/>
      </c>
      <c r="L208" s="28" t="str">
        <f t="shared" si="65"/>
        <v/>
      </c>
      <c r="M208" s="29" t="str">
        <f t="shared" si="63"/>
        <v/>
      </c>
      <c r="N208" s="167"/>
      <c r="O208" s="167"/>
      <c r="Q208" s="19">
        <f t="shared" si="64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65"/>
        <v/>
      </c>
      <c r="I209" s="27" t="str">
        <f t="shared" si="65"/>
        <v/>
      </c>
      <c r="J209" s="27" t="str">
        <f t="shared" si="65"/>
        <v/>
      </c>
      <c r="K209" s="27" t="str">
        <f t="shared" si="65"/>
        <v/>
      </c>
      <c r="L209" s="28" t="str">
        <f t="shared" si="65"/>
        <v/>
      </c>
      <c r="M209" s="29" t="str">
        <f t="shared" si="63"/>
        <v/>
      </c>
      <c r="N209" s="31">
        <f>SUM(L186:L216)</f>
        <v>0</v>
      </c>
      <c r="O209" s="31">
        <f>SUM(M186:M216)</f>
        <v>0</v>
      </c>
      <c r="Q209" s="19">
        <f t="shared" si="64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65"/>
        <v/>
      </c>
      <c r="I210" s="27" t="str">
        <f t="shared" si="65"/>
        <v/>
      </c>
      <c r="J210" s="27" t="str">
        <f t="shared" si="65"/>
        <v/>
      </c>
      <c r="K210" s="27" t="str">
        <f t="shared" si="65"/>
        <v/>
      </c>
      <c r="L210" s="28" t="str">
        <f t="shared" si="65"/>
        <v/>
      </c>
      <c r="M210" s="29" t="str">
        <f t="shared" si="63"/>
        <v/>
      </c>
      <c r="N210" s="165" t="s">
        <v>27</v>
      </c>
      <c r="O210" s="165" t="s">
        <v>28</v>
      </c>
      <c r="Q210" s="19">
        <f t="shared" si="64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65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65"/>
        <v/>
      </c>
      <c r="M211" s="29" t="str">
        <f t="shared" si="63"/>
        <v/>
      </c>
      <c r="N211" s="167"/>
      <c r="O211" s="167"/>
      <c r="Q211" s="19">
        <f t="shared" si="64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65"/>
        <v/>
      </c>
      <c r="I212" s="27" t="str">
        <f t="shared" si="65"/>
        <v/>
      </c>
      <c r="J212" s="27" t="str">
        <f t="shared" si="65"/>
        <v/>
      </c>
      <c r="K212" s="27" t="str">
        <f t="shared" si="65"/>
        <v/>
      </c>
      <c r="L212" s="28" t="str">
        <f t="shared" si="65"/>
        <v/>
      </c>
      <c r="M212" s="29" t="str">
        <f t="shared" si="63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64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65"/>
        <v/>
      </c>
      <c r="I213" s="27" t="str">
        <f t="shared" si="65"/>
        <v/>
      </c>
      <c r="J213" s="27" t="str">
        <f t="shared" si="65"/>
        <v/>
      </c>
      <c r="K213" s="27" t="str">
        <f t="shared" si="65"/>
        <v/>
      </c>
      <c r="L213" s="28" t="str">
        <f t="shared" si="65"/>
        <v/>
      </c>
      <c r="M213" s="29" t="str">
        <f t="shared" si="63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65"/>
        <v/>
      </c>
      <c r="I214" s="27" t="str">
        <f t="shared" si="65"/>
        <v/>
      </c>
      <c r="J214" s="27" t="str">
        <f t="shared" si="65"/>
        <v/>
      </c>
      <c r="K214" s="27" t="str">
        <f t="shared" si="65"/>
        <v/>
      </c>
      <c r="L214" s="28" t="str">
        <f t="shared" si="65"/>
        <v/>
      </c>
      <c r="M214" s="29" t="str">
        <f t="shared" si="63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65"/>
        <v/>
      </c>
      <c r="I215" s="27" t="str">
        <f t="shared" si="65"/>
        <v/>
      </c>
      <c r="J215" s="27" t="str">
        <f t="shared" si="65"/>
        <v/>
      </c>
      <c r="K215" s="27" t="str">
        <f t="shared" si="65"/>
        <v/>
      </c>
      <c r="L215" s="28" t="str">
        <f t="shared" si="65"/>
        <v/>
      </c>
      <c r="M215" s="29" t="str">
        <f t="shared" si="63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65"/>
        <v/>
      </c>
      <c r="I216" s="38" t="str">
        <f t="shared" si="65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65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66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65"/>
        <v/>
      </c>
      <c r="I217" s="27" t="str">
        <f t="shared" si="65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65"/>
        <v/>
      </c>
      <c r="M217" s="29" t="str">
        <f>IF(H217="","",+(H217+I217+J217+K217))</f>
        <v/>
      </c>
      <c r="Q217" s="19">
        <f t="shared" si="66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65"/>
        <v/>
      </c>
      <c r="I218" s="27" t="str">
        <f t="shared" si="65"/>
        <v/>
      </c>
      <c r="J218" s="27" t="str">
        <f t="shared" si="65"/>
        <v/>
      </c>
      <c r="K218" s="27" t="str">
        <f t="shared" si="65"/>
        <v/>
      </c>
      <c r="L218" s="28" t="str">
        <f t="shared" si="65"/>
        <v/>
      </c>
      <c r="M218" s="29" t="str">
        <f t="shared" si="63"/>
        <v/>
      </c>
      <c r="Q218" s="19">
        <f t="shared" si="66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65"/>
        <v/>
      </c>
      <c r="I219" s="27" t="str">
        <f t="shared" si="65"/>
        <v/>
      </c>
      <c r="J219" s="27" t="str">
        <f t="shared" si="65"/>
        <v/>
      </c>
      <c r="K219" s="27" t="str">
        <f t="shared" si="65"/>
        <v/>
      </c>
      <c r="L219" s="28" t="str">
        <f t="shared" si="65"/>
        <v/>
      </c>
      <c r="M219" s="29" t="str">
        <f t="shared" si="63"/>
        <v/>
      </c>
      <c r="Q219" s="19">
        <f t="shared" si="66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67">IF(C220="","",+(C220-C219))</f>
        <v/>
      </c>
      <c r="I220" s="27" t="str">
        <f t="shared" si="67"/>
        <v/>
      </c>
      <c r="J220" s="27" t="str">
        <f t="shared" si="67"/>
        <v/>
      </c>
      <c r="K220" s="27" t="str">
        <f t="shared" si="67"/>
        <v/>
      </c>
      <c r="L220" s="28" t="str">
        <f t="shared" si="67"/>
        <v/>
      </c>
      <c r="M220" s="29" t="str">
        <f t="shared" si="63"/>
        <v/>
      </c>
      <c r="Q220" s="19">
        <f t="shared" si="66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67"/>
        <v/>
      </c>
      <c r="I221" s="27" t="str">
        <f t="shared" si="67"/>
        <v/>
      </c>
      <c r="J221" s="27" t="str">
        <f t="shared" si="67"/>
        <v/>
      </c>
      <c r="K221" s="27" t="str">
        <f t="shared" si="67"/>
        <v/>
      </c>
      <c r="L221" s="28" t="str">
        <f t="shared" si="67"/>
        <v/>
      </c>
      <c r="M221" s="29" t="str">
        <f t="shared" si="63"/>
        <v/>
      </c>
      <c r="Q221" s="19">
        <f t="shared" si="66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67"/>
        <v/>
      </c>
      <c r="I222" s="27" t="str">
        <f t="shared" si="67"/>
        <v/>
      </c>
      <c r="J222" s="27" t="str">
        <f t="shared" si="67"/>
        <v/>
      </c>
      <c r="K222" s="27" t="str">
        <f t="shared" si="67"/>
        <v/>
      </c>
      <c r="L222" s="28" t="str">
        <f t="shared" si="67"/>
        <v/>
      </c>
      <c r="M222" s="29" t="str">
        <f t="shared" si="63"/>
        <v/>
      </c>
      <c r="Q222" s="19">
        <f t="shared" si="66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67"/>
        <v/>
      </c>
      <c r="I223" s="27" t="str">
        <f t="shared" si="67"/>
        <v/>
      </c>
      <c r="J223" s="27" t="str">
        <f t="shared" si="67"/>
        <v/>
      </c>
      <c r="K223" s="27" t="str">
        <f t="shared" si="67"/>
        <v/>
      </c>
      <c r="L223" s="28" t="str">
        <f t="shared" si="67"/>
        <v/>
      </c>
      <c r="M223" s="29" t="str">
        <f t="shared" si="63"/>
        <v/>
      </c>
      <c r="Q223" s="19">
        <f t="shared" si="66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67"/>
        <v/>
      </c>
      <c r="I224" s="27" t="str">
        <f t="shared" si="67"/>
        <v/>
      </c>
      <c r="J224" s="27" t="str">
        <f t="shared" si="67"/>
        <v/>
      </c>
      <c r="K224" s="27" t="str">
        <f t="shared" si="67"/>
        <v/>
      </c>
      <c r="L224" s="28" t="str">
        <f t="shared" si="67"/>
        <v/>
      </c>
      <c r="M224" s="29" t="str">
        <f t="shared" si="63"/>
        <v/>
      </c>
      <c r="Q224" s="19">
        <f t="shared" si="66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67"/>
        <v/>
      </c>
      <c r="I225" s="27" t="str">
        <f t="shared" si="67"/>
        <v/>
      </c>
      <c r="J225" s="27" t="str">
        <f t="shared" si="67"/>
        <v/>
      </c>
      <c r="K225" s="27" t="str">
        <f t="shared" si="67"/>
        <v/>
      </c>
      <c r="L225" s="28" t="str">
        <f t="shared" si="67"/>
        <v/>
      </c>
      <c r="M225" s="29" t="str">
        <f t="shared" si="63"/>
        <v/>
      </c>
      <c r="Q225" s="19">
        <f t="shared" si="66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67"/>
        <v/>
      </c>
      <c r="I226" s="27" t="str">
        <f t="shared" si="67"/>
        <v/>
      </c>
      <c r="J226" s="27" t="str">
        <f t="shared" si="67"/>
        <v/>
      </c>
      <c r="K226" s="27" t="str">
        <f t="shared" si="67"/>
        <v/>
      </c>
      <c r="L226" s="28" t="str">
        <f t="shared" si="67"/>
        <v/>
      </c>
      <c r="M226" s="29" t="str">
        <f t="shared" si="63"/>
        <v/>
      </c>
      <c r="Q226" s="19">
        <f t="shared" si="66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67"/>
        <v/>
      </c>
      <c r="I227" s="27" t="str">
        <f t="shared" si="67"/>
        <v/>
      </c>
      <c r="J227" s="27" t="str">
        <f t="shared" si="67"/>
        <v/>
      </c>
      <c r="K227" s="27" t="str">
        <f t="shared" si="67"/>
        <v/>
      </c>
      <c r="L227" s="28" t="str">
        <f t="shared" si="67"/>
        <v/>
      </c>
      <c r="M227" s="29" t="str">
        <f t="shared" si="63"/>
        <v/>
      </c>
      <c r="Q227" s="19">
        <f t="shared" si="66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67"/>
        <v/>
      </c>
      <c r="I228" s="27" t="str">
        <f t="shared" si="67"/>
        <v/>
      </c>
      <c r="J228" s="27" t="str">
        <f t="shared" si="67"/>
        <v/>
      </c>
      <c r="K228" s="27" t="str">
        <f t="shared" si="67"/>
        <v/>
      </c>
      <c r="L228" s="28" t="str">
        <f t="shared" si="67"/>
        <v/>
      </c>
      <c r="M228" s="29" t="str">
        <f t="shared" si="63"/>
        <v/>
      </c>
      <c r="Q228" s="19">
        <f t="shared" si="66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67"/>
        <v/>
      </c>
      <c r="I229" s="27" t="str">
        <f t="shared" si="67"/>
        <v/>
      </c>
      <c r="J229" s="27" t="str">
        <f t="shared" si="67"/>
        <v/>
      </c>
      <c r="K229" s="27" t="str">
        <f t="shared" si="67"/>
        <v/>
      </c>
      <c r="L229" s="28" t="str">
        <f t="shared" si="67"/>
        <v/>
      </c>
      <c r="M229" s="29" t="str">
        <f t="shared" si="63"/>
        <v/>
      </c>
      <c r="Q229" s="19">
        <f t="shared" si="66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67"/>
        <v/>
      </c>
      <c r="I230" s="27" t="str">
        <f t="shared" si="67"/>
        <v/>
      </c>
      <c r="J230" s="27" t="str">
        <f t="shared" si="67"/>
        <v/>
      </c>
      <c r="K230" s="27" t="str">
        <f t="shared" si="67"/>
        <v/>
      </c>
      <c r="L230" s="28" t="str">
        <f t="shared" si="67"/>
        <v/>
      </c>
      <c r="M230" s="29" t="str">
        <f t="shared" si="63"/>
        <v/>
      </c>
      <c r="Q230" s="19">
        <f t="shared" si="66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67"/>
        <v/>
      </c>
      <c r="I231" s="27" t="str">
        <f t="shared" si="67"/>
        <v/>
      </c>
      <c r="J231" s="27" t="str">
        <f t="shared" si="67"/>
        <v/>
      </c>
      <c r="K231" s="27" t="str">
        <f>IF(F231="","",+(F231-F230))</f>
        <v/>
      </c>
      <c r="L231" s="28" t="str">
        <f t="shared" si="67"/>
        <v/>
      </c>
      <c r="M231" s="29" t="str">
        <f t="shared" si="63"/>
        <v/>
      </c>
      <c r="Q231" s="19">
        <f t="shared" si="66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67"/>
        <v/>
      </c>
      <c r="I232" s="27" t="str">
        <f t="shared" si="67"/>
        <v/>
      </c>
      <c r="J232" s="27" t="str">
        <f t="shared" si="67"/>
        <v/>
      </c>
      <c r="K232" s="27" t="str">
        <f t="shared" si="67"/>
        <v/>
      </c>
      <c r="L232" s="28" t="str">
        <f t="shared" si="67"/>
        <v/>
      </c>
      <c r="M232" s="29" t="str">
        <f t="shared" si="63"/>
        <v/>
      </c>
      <c r="Q232" s="19">
        <f t="shared" si="66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67"/>
        <v/>
      </c>
      <c r="I233" s="27" t="str">
        <f t="shared" si="67"/>
        <v/>
      </c>
      <c r="J233" s="27" t="str">
        <f t="shared" si="67"/>
        <v/>
      </c>
      <c r="K233" s="27" t="str">
        <f t="shared" si="67"/>
        <v/>
      </c>
      <c r="L233" s="28" t="str">
        <f t="shared" si="67"/>
        <v/>
      </c>
      <c r="M233" s="29" t="str">
        <f t="shared" si="63"/>
        <v/>
      </c>
      <c r="Q233" s="19">
        <f t="shared" si="66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67"/>
        <v/>
      </c>
      <c r="I234" s="27" t="str">
        <f t="shared" si="67"/>
        <v/>
      </c>
      <c r="J234" s="27" t="str">
        <f t="shared" si="67"/>
        <v/>
      </c>
      <c r="K234" s="27" t="str">
        <f t="shared" si="67"/>
        <v/>
      </c>
      <c r="L234" s="28" t="str">
        <f t="shared" si="67"/>
        <v/>
      </c>
      <c r="M234" s="29" t="str">
        <f t="shared" si="63"/>
        <v/>
      </c>
      <c r="Q234" s="19">
        <f t="shared" si="66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67"/>
        <v/>
      </c>
      <c r="I235" s="27" t="str">
        <f t="shared" si="67"/>
        <v/>
      </c>
      <c r="J235" s="27" t="str">
        <f t="shared" si="67"/>
        <v/>
      </c>
      <c r="K235" s="27" t="str">
        <f t="shared" si="67"/>
        <v/>
      </c>
      <c r="L235" s="28" t="str">
        <f t="shared" si="67"/>
        <v/>
      </c>
      <c r="M235" s="29" t="str">
        <f t="shared" si="63"/>
        <v/>
      </c>
      <c r="Q235" s="19">
        <f t="shared" si="66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67"/>
        <v/>
      </c>
      <c r="I236" s="27" t="str">
        <f t="shared" si="67"/>
        <v/>
      </c>
      <c r="J236" s="27" t="str">
        <f t="shared" si="67"/>
        <v/>
      </c>
      <c r="K236" s="27" t="str">
        <f t="shared" si="67"/>
        <v/>
      </c>
      <c r="L236" s="28" t="str">
        <f t="shared" si="67"/>
        <v/>
      </c>
      <c r="M236" s="29" t="str">
        <f t="shared" si="63"/>
        <v/>
      </c>
      <c r="Q236" s="19">
        <f t="shared" si="66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67"/>
        <v/>
      </c>
      <c r="I237" s="27" t="str">
        <f t="shared" si="67"/>
        <v/>
      </c>
      <c r="J237" s="27" t="str">
        <f t="shared" si="67"/>
        <v/>
      </c>
      <c r="K237" s="27" t="str">
        <f t="shared" si="67"/>
        <v/>
      </c>
      <c r="L237" s="28" t="str">
        <f t="shared" si="67"/>
        <v/>
      </c>
      <c r="M237" s="29" t="str">
        <f t="shared" si="63"/>
        <v/>
      </c>
      <c r="N237" s="165" t="s">
        <v>25</v>
      </c>
      <c r="O237" s="165" t="s">
        <v>26</v>
      </c>
      <c r="Q237" s="19">
        <f t="shared" si="66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67"/>
        <v/>
      </c>
      <c r="I238" s="27" t="str">
        <f t="shared" si="67"/>
        <v/>
      </c>
      <c r="J238" s="27" t="str">
        <f t="shared" si="67"/>
        <v/>
      </c>
      <c r="K238" s="27" t="str">
        <f t="shared" si="67"/>
        <v/>
      </c>
      <c r="L238" s="28" t="str">
        <f t="shared" si="67"/>
        <v/>
      </c>
      <c r="M238" s="29" t="str">
        <f t="shared" si="63"/>
        <v/>
      </c>
      <c r="N238" s="166"/>
      <c r="O238" s="166"/>
      <c r="Q238" s="19">
        <f t="shared" si="66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67"/>
        <v/>
      </c>
      <c r="I239" s="27" t="str">
        <f t="shared" si="67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67"/>
        <v/>
      </c>
      <c r="M239" s="29" t="str">
        <f t="shared" si="63"/>
        <v/>
      </c>
      <c r="N239" s="167"/>
      <c r="O239" s="167"/>
      <c r="Q239" s="19">
        <f t="shared" si="66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67"/>
        <v/>
      </c>
      <c r="I240" s="27" t="str">
        <f t="shared" si="67"/>
        <v/>
      </c>
      <c r="J240" s="27" t="str">
        <f t="shared" si="67"/>
        <v/>
      </c>
      <c r="K240" s="27" t="str">
        <f t="shared" si="67"/>
        <v/>
      </c>
      <c r="L240" s="28" t="str">
        <f t="shared" si="67"/>
        <v/>
      </c>
      <c r="M240" s="29" t="str">
        <f t="shared" si="63"/>
        <v/>
      </c>
      <c r="N240" s="31">
        <f>SUM(L217:L247)</f>
        <v>0</v>
      </c>
      <c r="O240" s="31">
        <f>SUM(M217:M247)</f>
        <v>0</v>
      </c>
      <c r="Q240" s="19">
        <f t="shared" si="66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67"/>
        <v/>
      </c>
      <c r="I241" s="27" t="str">
        <f t="shared" si="67"/>
        <v/>
      </c>
      <c r="J241" s="27" t="str">
        <f t="shared" si="67"/>
        <v/>
      </c>
      <c r="K241" s="27" t="str">
        <f t="shared" si="67"/>
        <v/>
      </c>
      <c r="L241" s="28" t="str">
        <f t="shared" si="67"/>
        <v/>
      </c>
      <c r="M241" s="29" t="str">
        <f t="shared" si="63"/>
        <v/>
      </c>
      <c r="N241" s="165" t="s">
        <v>27</v>
      </c>
      <c r="O241" s="165" t="s">
        <v>28</v>
      </c>
      <c r="Q241" s="19">
        <f t="shared" si="66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67"/>
        <v/>
      </c>
      <c r="I242" s="27" t="str">
        <f t="shared" si="67"/>
        <v/>
      </c>
      <c r="J242" s="27" t="str">
        <f t="shared" si="67"/>
        <v/>
      </c>
      <c r="K242" s="27" t="str">
        <f t="shared" si="67"/>
        <v/>
      </c>
      <c r="L242" s="28" t="str">
        <f t="shared" si="67"/>
        <v/>
      </c>
      <c r="M242" s="29" t="str">
        <f t="shared" si="63"/>
        <v/>
      </c>
      <c r="N242" s="167"/>
      <c r="O242" s="167"/>
      <c r="Q242" s="19">
        <f t="shared" si="66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67"/>
        <v/>
      </c>
      <c r="I243" s="27" t="str">
        <f t="shared" si="67"/>
        <v/>
      </c>
      <c r="J243" s="27" t="str">
        <f t="shared" si="67"/>
        <v/>
      </c>
      <c r="K243" s="27" t="str">
        <f t="shared" si="67"/>
        <v/>
      </c>
      <c r="L243" s="28" t="str">
        <f t="shared" si="67"/>
        <v/>
      </c>
      <c r="M243" s="29" t="str">
        <f t="shared" si="63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66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67"/>
        <v/>
      </c>
      <c r="I244" s="27" t="str">
        <f t="shared" si="67"/>
        <v/>
      </c>
      <c r="J244" s="27" t="str">
        <f t="shared" si="67"/>
        <v/>
      </c>
      <c r="K244" s="27" t="str">
        <f t="shared" si="67"/>
        <v/>
      </c>
      <c r="L244" s="28" t="str">
        <f t="shared" si="67"/>
        <v/>
      </c>
      <c r="M244" s="29" t="str">
        <f t="shared" si="63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67"/>
        <v/>
      </c>
      <c r="I245" s="27" t="str">
        <f t="shared" si="67"/>
        <v/>
      </c>
      <c r="J245" s="27" t="str">
        <f t="shared" si="67"/>
        <v/>
      </c>
      <c r="K245" s="27" t="str">
        <f t="shared" si="67"/>
        <v/>
      </c>
      <c r="L245" s="28" t="str">
        <f t="shared" si="67"/>
        <v/>
      </c>
      <c r="M245" s="29" t="str">
        <f t="shared" si="63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67"/>
        <v/>
      </c>
      <c r="I246" s="27" t="str">
        <f t="shared" si="67"/>
        <v/>
      </c>
      <c r="J246" s="27" t="str">
        <f t="shared" si="67"/>
        <v/>
      </c>
      <c r="K246" s="27" t="str">
        <f t="shared" si="67"/>
        <v/>
      </c>
      <c r="L246" s="28" t="str">
        <f t="shared" si="67"/>
        <v/>
      </c>
      <c r="M246" s="29" t="str">
        <f t="shared" si="63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67"/>
        <v/>
      </c>
      <c r="I247" s="38" t="str">
        <f t="shared" si="67"/>
        <v/>
      </c>
      <c r="J247" s="34" t="str">
        <f t="shared" si="67"/>
        <v/>
      </c>
      <c r="K247" s="34" t="str">
        <f t="shared" si="67"/>
        <v/>
      </c>
      <c r="L247" s="35" t="str">
        <f t="shared" si="67"/>
        <v/>
      </c>
      <c r="M247" s="34" t="str">
        <f t="shared" si="63"/>
        <v/>
      </c>
      <c r="Q247" s="19">
        <f t="shared" si="66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67"/>
        <v/>
      </c>
      <c r="I248" s="27" t="str">
        <f t="shared" si="67"/>
        <v/>
      </c>
      <c r="J248" s="27" t="str">
        <f t="shared" si="67"/>
        <v/>
      </c>
      <c r="K248" s="27" t="str">
        <f t="shared" si="67"/>
        <v/>
      </c>
      <c r="L248" s="28" t="str">
        <f t="shared" si="67"/>
        <v/>
      </c>
      <c r="M248" s="29" t="str">
        <f t="shared" si="63"/>
        <v/>
      </c>
      <c r="Q248" s="19">
        <f t="shared" si="66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68">IF(C249="","",+(C249-C248))</f>
        <v/>
      </c>
      <c r="I249" s="27" t="str">
        <f t="shared" si="68"/>
        <v/>
      </c>
      <c r="J249" s="27" t="str">
        <f t="shared" si="68"/>
        <v/>
      </c>
      <c r="K249" s="27" t="str">
        <f t="shared" si="68"/>
        <v/>
      </c>
      <c r="L249" s="28" t="str">
        <f t="shared" si="68"/>
        <v/>
      </c>
      <c r="M249" s="29" t="str">
        <f t="shared" si="63"/>
        <v/>
      </c>
      <c r="Q249" s="19">
        <f t="shared" si="66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68"/>
        <v/>
      </c>
      <c r="I250" s="27" t="str">
        <f t="shared" si="68"/>
        <v/>
      </c>
      <c r="J250" s="27" t="str">
        <f t="shared" si="68"/>
        <v/>
      </c>
      <c r="K250" s="27" t="str">
        <f t="shared" si="68"/>
        <v/>
      </c>
      <c r="L250" s="28" t="str">
        <f t="shared" si="68"/>
        <v/>
      </c>
      <c r="M250" s="29" t="str">
        <f t="shared" si="63"/>
        <v/>
      </c>
      <c r="Q250" s="19">
        <f t="shared" si="66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68"/>
        <v/>
      </c>
      <c r="I251" s="27" t="str">
        <f t="shared" si="68"/>
        <v/>
      </c>
      <c r="J251" s="27" t="str">
        <f t="shared" si="68"/>
        <v/>
      </c>
      <c r="K251" s="27" t="str">
        <f t="shared" si="68"/>
        <v/>
      </c>
      <c r="L251" s="28" t="str">
        <f t="shared" si="68"/>
        <v/>
      </c>
      <c r="M251" s="29" t="str">
        <f t="shared" si="63"/>
        <v/>
      </c>
      <c r="Q251" s="19">
        <f t="shared" si="66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68"/>
        <v/>
      </c>
      <c r="I252" s="27" t="str">
        <f t="shared" si="68"/>
        <v/>
      </c>
      <c r="J252" s="27" t="str">
        <f t="shared" si="68"/>
        <v/>
      </c>
      <c r="K252" s="27" t="str">
        <f t="shared" si="68"/>
        <v/>
      </c>
      <c r="L252" s="28" t="str">
        <f t="shared" si="68"/>
        <v/>
      </c>
      <c r="M252" s="29" t="str">
        <f t="shared" si="63"/>
        <v/>
      </c>
      <c r="Q252" s="19">
        <f t="shared" si="66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68"/>
        <v/>
      </c>
      <c r="I253" s="27" t="str">
        <f t="shared" si="68"/>
        <v/>
      </c>
      <c r="J253" s="27" t="str">
        <f t="shared" si="68"/>
        <v/>
      </c>
      <c r="K253" s="27" t="str">
        <f t="shared" si="68"/>
        <v/>
      </c>
      <c r="L253" s="28" t="str">
        <f t="shared" si="68"/>
        <v/>
      </c>
      <c r="M253" s="29" t="str">
        <f t="shared" si="63"/>
        <v/>
      </c>
      <c r="Q253" s="19">
        <f t="shared" si="66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68"/>
        <v/>
      </c>
      <c r="I254" s="27" t="str">
        <f t="shared" si="68"/>
        <v/>
      </c>
      <c r="J254" s="27" t="str">
        <f t="shared" si="68"/>
        <v/>
      </c>
      <c r="K254" s="27" t="str">
        <f t="shared" si="68"/>
        <v/>
      </c>
      <c r="L254" s="28" t="str">
        <f t="shared" si="68"/>
        <v/>
      </c>
      <c r="M254" s="29" t="str">
        <f t="shared" si="63"/>
        <v/>
      </c>
      <c r="Q254" s="19">
        <f t="shared" si="66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68"/>
        <v/>
      </c>
      <c r="I255" s="27" t="str">
        <f t="shared" si="68"/>
        <v/>
      </c>
      <c r="J255" s="27" t="str">
        <f t="shared" si="68"/>
        <v/>
      </c>
      <c r="K255" s="27" t="str">
        <f t="shared" si="68"/>
        <v/>
      </c>
      <c r="L255" s="28" t="str">
        <f t="shared" si="68"/>
        <v/>
      </c>
      <c r="M255" s="29" t="str">
        <f t="shared" si="63"/>
        <v/>
      </c>
      <c r="Q255" s="19">
        <f t="shared" si="66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68"/>
        <v/>
      </c>
      <c r="I256" s="27" t="str">
        <f t="shared" si="68"/>
        <v/>
      </c>
      <c r="J256" s="27" t="str">
        <f t="shared" si="68"/>
        <v/>
      </c>
      <c r="K256" s="27" t="str">
        <f t="shared" si="68"/>
        <v/>
      </c>
      <c r="L256" s="28" t="str">
        <f t="shared" si="68"/>
        <v/>
      </c>
      <c r="M256" s="29" t="str">
        <f t="shared" si="63"/>
        <v/>
      </c>
      <c r="Q256" s="19">
        <f t="shared" si="66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68"/>
        <v/>
      </c>
      <c r="I257" s="27" t="str">
        <f t="shared" si="68"/>
        <v/>
      </c>
      <c r="J257" s="27" t="str">
        <f t="shared" si="68"/>
        <v/>
      </c>
      <c r="K257" s="27" t="str">
        <f t="shared" si="68"/>
        <v/>
      </c>
      <c r="L257" s="28" t="str">
        <f t="shared" si="68"/>
        <v/>
      </c>
      <c r="M257" s="29" t="str">
        <f t="shared" si="63"/>
        <v/>
      </c>
      <c r="Q257" s="19">
        <f t="shared" si="66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68"/>
        <v/>
      </c>
      <c r="I258" s="27" t="str">
        <f t="shared" si="68"/>
        <v/>
      </c>
      <c r="J258" s="27" t="str">
        <f t="shared" si="68"/>
        <v/>
      </c>
      <c r="K258" s="27" t="str">
        <f t="shared" si="68"/>
        <v/>
      </c>
      <c r="L258" s="28" t="str">
        <f t="shared" si="68"/>
        <v/>
      </c>
      <c r="M258" s="29" t="str">
        <f t="shared" si="63"/>
        <v/>
      </c>
      <c r="Q258" s="19">
        <f t="shared" si="66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68"/>
        <v/>
      </c>
      <c r="I259" s="27" t="str">
        <f t="shared" si="68"/>
        <v/>
      </c>
      <c r="J259" s="27" t="str">
        <f t="shared" si="68"/>
        <v/>
      </c>
      <c r="K259" s="27" t="str">
        <f t="shared" si="68"/>
        <v/>
      </c>
      <c r="L259" s="28" t="str">
        <f t="shared" si="68"/>
        <v/>
      </c>
      <c r="M259" s="29" t="str">
        <f t="shared" si="63"/>
        <v/>
      </c>
      <c r="Q259" s="19">
        <f t="shared" si="66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68"/>
        <v/>
      </c>
      <c r="I260" s="27" t="str">
        <f t="shared" si="68"/>
        <v/>
      </c>
      <c r="J260" s="27" t="str">
        <f t="shared" si="68"/>
        <v/>
      </c>
      <c r="K260" s="27" t="str">
        <f t="shared" si="68"/>
        <v/>
      </c>
      <c r="L260" s="28" t="str">
        <f t="shared" si="68"/>
        <v/>
      </c>
      <c r="M260" s="29" t="str">
        <f t="shared" si="63"/>
        <v/>
      </c>
      <c r="Q260" s="19">
        <f t="shared" si="66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68"/>
        <v/>
      </c>
      <c r="J261" s="27" t="str">
        <f t="shared" si="68"/>
        <v/>
      </c>
      <c r="K261" s="27" t="str">
        <f t="shared" si="68"/>
        <v/>
      </c>
      <c r="L261" s="28" t="str">
        <f t="shared" si="68"/>
        <v/>
      </c>
      <c r="M261" s="29" t="str">
        <f t="shared" si="63"/>
        <v/>
      </c>
      <c r="Q261" s="19">
        <f t="shared" si="66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69">IF(C262="","",+(C262-C261))</f>
        <v/>
      </c>
      <c r="I262" s="27" t="str">
        <f t="shared" si="68"/>
        <v/>
      </c>
      <c r="J262" s="27" t="str">
        <f t="shared" si="68"/>
        <v/>
      </c>
      <c r="K262" s="27" t="str">
        <f t="shared" si="68"/>
        <v/>
      </c>
      <c r="L262" s="28" t="str">
        <f t="shared" si="68"/>
        <v/>
      </c>
      <c r="M262" s="29" t="str">
        <f t="shared" ref="M262:M325" si="70">IF(H262="","",+(H262+I262+J262+K262))</f>
        <v/>
      </c>
      <c r="Q262" s="19">
        <f t="shared" si="66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69"/>
        <v/>
      </c>
      <c r="I263" s="27" t="str">
        <f t="shared" si="68"/>
        <v/>
      </c>
      <c r="J263" s="27" t="str">
        <f t="shared" si="68"/>
        <v/>
      </c>
      <c r="K263" s="27" t="str">
        <f t="shared" si="68"/>
        <v/>
      </c>
      <c r="L263" s="28" t="str">
        <f t="shared" si="68"/>
        <v/>
      </c>
      <c r="M263" s="29" t="str">
        <f t="shared" si="70"/>
        <v/>
      </c>
      <c r="Q263" s="19">
        <f t="shared" si="66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69"/>
        <v/>
      </c>
      <c r="I264" s="27" t="str">
        <f t="shared" si="68"/>
        <v/>
      </c>
      <c r="J264" s="27" t="str">
        <f t="shared" si="68"/>
        <v/>
      </c>
      <c r="K264" s="27" t="str">
        <f t="shared" si="68"/>
        <v/>
      </c>
      <c r="L264" s="28" t="str">
        <f t="shared" si="68"/>
        <v/>
      </c>
      <c r="M264" s="29" t="str">
        <f t="shared" si="70"/>
        <v/>
      </c>
      <c r="Q264" s="19">
        <f t="shared" si="66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69"/>
        <v/>
      </c>
      <c r="I265" s="27" t="str">
        <f t="shared" si="69"/>
        <v/>
      </c>
      <c r="J265" s="27" t="str">
        <f t="shared" si="69"/>
        <v/>
      </c>
      <c r="K265" s="27" t="str">
        <f t="shared" si="69"/>
        <v/>
      </c>
      <c r="L265" s="28" t="str">
        <f t="shared" si="69"/>
        <v/>
      </c>
      <c r="M265" s="29" t="str">
        <f t="shared" si="70"/>
        <v/>
      </c>
      <c r="Q265" s="19">
        <f t="shared" si="66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69"/>
        <v/>
      </c>
      <c r="I266" s="27" t="str">
        <f t="shared" si="69"/>
        <v/>
      </c>
      <c r="J266" s="27" t="str">
        <f t="shared" si="69"/>
        <v/>
      </c>
      <c r="K266" s="27" t="str">
        <f t="shared" si="69"/>
        <v/>
      </c>
      <c r="L266" s="28" t="str">
        <f t="shared" si="69"/>
        <v/>
      </c>
      <c r="M266" s="29" t="str">
        <f t="shared" si="70"/>
        <v/>
      </c>
      <c r="Q266" s="19">
        <f t="shared" si="66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69"/>
        <v/>
      </c>
      <c r="I267" s="27" t="str">
        <f t="shared" si="69"/>
        <v/>
      </c>
      <c r="J267" s="27" t="str">
        <f t="shared" si="69"/>
        <v/>
      </c>
      <c r="K267" s="27" t="str">
        <f t="shared" si="69"/>
        <v/>
      </c>
      <c r="L267" s="28" t="str">
        <f t="shared" si="69"/>
        <v/>
      </c>
      <c r="M267" s="29" t="str">
        <f t="shared" si="70"/>
        <v/>
      </c>
      <c r="N267" s="165" t="s">
        <v>25</v>
      </c>
      <c r="O267" s="165" t="s">
        <v>26</v>
      </c>
      <c r="Q267" s="19">
        <f t="shared" si="66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69"/>
        <v/>
      </c>
      <c r="I268" s="27" t="str">
        <f t="shared" si="69"/>
        <v/>
      </c>
      <c r="J268" s="27" t="str">
        <f t="shared" si="69"/>
        <v/>
      </c>
      <c r="K268" s="27" t="str">
        <f t="shared" si="69"/>
        <v/>
      </c>
      <c r="L268" s="28" t="str">
        <f t="shared" si="69"/>
        <v/>
      </c>
      <c r="M268" s="29" t="str">
        <f t="shared" si="70"/>
        <v/>
      </c>
      <c r="N268" s="166"/>
      <c r="O268" s="166"/>
      <c r="Q268" s="19">
        <f t="shared" si="66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69"/>
        <v/>
      </c>
      <c r="I269" s="27" t="str">
        <f t="shared" si="69"/>
        <v/>
      </c>
      <c r="J269" s="27" t="str">
        <f t="shared" si="69"/>
        <v/>
      </c>
      <c r="K269" s="27" t="str">
        <f t="shared" si="69"/>
        <v/>
      </c>
      <c r="L269" s="28" t="str">
        <f t="shared" si="69"/>
        <v/>
      </c>
      <c r="M269" s="29" t="str">
        <f t="shared" si="70"/>
        <v/>
      </c>
      <c r="N269" s="167"/>
      <c r="O269" s="167"/>
      <c r="Q269" s="19">
        <f t="shared" si="66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69"/>
        <v/>
      </c>
      <c r="I270" s="27" t="str">
        <f t="shared" si="69"/>
        <v/>
      </c>
      <c r="J270" s="27" t="str">
        <f t="shared" si="69"/>
        <v/>
      </c>
      <c r="K270" s="27" t="str">
        <f t="shared" si="69"/>
        <v/>
      </c>
      <c r="L270" s="28" t="str">
        <f t="shared" si="69"/>
        <v/>
      </c>
      <c r="M270" s="29" t="str">
        <f t="shared" si="70"/>
        <v/>
      </c>
      <c r="N270" s="31">
        <f>SUM(L248:L277)</f>
        <v>0</v>
      </c>
      <c r="O270" s="31">
        <f>SUM(M248:M277)</f>
        <v>0</v>
      </c>
      <c r="Q270" s="19">
        <f t="shared" si="66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69"/>
        <v/>
      </c>
      <c r="I271" s="27" t="str">
        <f t="shared" si="69"/>
        <v/>
      </c>
      <c r="J271" s="27" t="str">
        <f t="shared" si="69"/>
        <v/>
      </c>
      <c r="K271" s="27" t="str">
        <f t="shared" si="69"/>
        <v/>
      </c>
      <c r="L271" s="28" t="str">
        <f t="shared" si="69"/>
        <v/>
      </c>
      <c r="M271" s="29" t="str">
        <f t="shared" si="70"/>
        <v/>
      </c>
      <c r="N271" s="165" t="s">
        <v>27</v>
      </c>
      <c r="O271" s="165" t="s">
        <v>28</v>
      </c>
      <c r="Q271" s="19">
        <f t="shared" si="66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69"/>
        <v/>
      </c>
      <c r="I272" s="27" t="str">
        <f t="shared" si="69"/>
        <v/>
      </c>
      <c r="J272" s="27" t="str">
        <f t="shared" si="69"/>
        <v/>
      </c>
      <c r="K272" s="27" t="str">
        <f t="shared" si="69"/>
        <v/>
      </c>
      <c r="L272" s="28" t="str">
        <f t="shared" si="69"/>
        <v/>
      </c>
      <c r="M272" s="29" t="str">
        <f t="shared" si="70"/>
        <v/>
      </c>
      <c r="N272" s="167"/>
      <c r="O272" s="167"/>
      <c r="Q272" s="19">
        <f t="shared" si="66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69"/>
        <v/>
      </c>
      <c r="I273" s="27" t="str">
        <f t="shared" si="69"/>
        <v/>
      </c>
      <c r="J273" s="27" t="str">
        <f t="shared" si="69"/>
        <v/>
      </c>
      <c r="K273" s="27" t="str">
        <f t="shared" si="69"/>
        <v/>
      </c>
      <c r="L273" s="28" t="str">
        <f t="shared" si="69"/>
        <v/>
      </c>
      <c r="M273" s="29" t="str">
        <f t="shared" si="70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66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69"/>
        <v/>
      </c>
      <c r="I274" s="27" t="str">
        <f t="shared" si="69"/>
        <v/>
      </c>
      <c r="J274" s="27" t="str">
        <f t="shared" si="69"/>
        <v/>
      </c>
      <c r="K274" s="27" t="str">
        <f t="shared" si="69"/>
        <v/>
      </c>
      <c r="L274" s="28" t="str">
        <f t="shared" si="69"/>
        <v/>
      </c>
      <c r="M274" s="29" t="str">
        <f t="shared" si="70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69"/>
        <v/>
      </c>
      <c r="I275" s="27" t="str">
        <f t="shared" si="69"/>
        <v/>
      </c>
      <c r="J275" s="27" t="str">
        <f t="shared" si="69"/>
        <v/>
      </c>
      <c r="K275" s="27" t="str">
        <f t="shared" si="69"/>
        <v/>
      </c>
      <c r="L275" s="28" t="str">
        <f t="shared" si="69"/>
        <v/>
      </c>
      <c r="M275" s="29" t="str">
        <f t="shared" si="70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69"/>
        <v/>
      </c>
      <c r="I276" s="27" t="str">
        <f t="shared" si="69"/>
        <v/>
      </c>
      <c r="J276" s="27" t="str">
        <f t="shared" si="69"/>
        <v/>
      </c>
      <c r="K276" s="27" t="str">
        <f t="shared" si="69"/>
        <v/>
      </c>
      <c r="L276" s="28" t="str">
        <f t="shared" si="69"/>
        <v/>
      </c>
      <c r="M276" s="29" t="str">
        <f t="shared" si="70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69"/>
        <v/>
      </c>
      <c r="I277" s="38" t="str">
        <f t="shared" si="69"/>
        <v/>
      </c>
      <c r="J277" s="34" t="str">
        <f t="shared" si="69"/>
        <v/>
      </c>
      <c r="K277" s="34" t="str">
        <f t="shared" si="69"/>
        <v/>
      </c>
      <c r="L277" s="35" t="str">
        <f t="shared" si="69"/>
        <v/>
      </c>
      <c r="M277" s="34" t="str">
        <f t="shared" si="70"/>
        <v/>
      </c>
      <c r="Q277" s="19">
        <f t="shared" si="66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69"/>
        <v/>
      </c>
      <c r="J278" s="27" t="str">
        <f t="shared" si="69"/>
        <v/>
      </c>
      <c r="K278" s="27" t="str">
        <f t="shared" si="69"/>
        <v/>
      </c>
      <c r="L278" s="28" t="str">
        <f t="shared" si="69"/>
        <v/>
      </c>
      <c r="M278" s="29" t="str">
        <f t="shared" si="70"/>
        <v/>
      </c>
      <c r="Q278" s="19">
        <f t="shared" si="66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69"/>
        <v/>
      </c>
      <c r="I279" s="27" t="str">
        <f t="shared" si="69"/>
        <v/>
      </c>
      <c r="J279" s="27" t="str">
        <f t="shared" si="69"/>
        <v/>
      </c>
      <c r="K279" s="27" t="str">
        <f t="shared" si="69"/>
        <v/>
      </c>
      <c r="L279" s="28" t="str">
        <f t="shared" si="69"/>
        <v/>
      </c>
      <c r="M279" s="29" t="str">
        <f t="shared" si="70"/>
        <v/>
      </c>
      <c r="Q279" s="19">
        <f t="shared" si="66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69"/>
        <v/>
      </c>
      <c r="I280" s="27" t="str">
        <f t="shared" si="69"/>
        <v/>
      </c>
      <c r="J280" s="27" t="str">
        <f t="shared" si="69"/>
        <v/>
      </c>
      <c r="K280" s="27" t="str">
        <f t="shared" si="69"/>
        <v/>
      </c>
      <c r="L280" s="28" t="str">
        <f t="shared" si="69"/>
        <v/>
      </c>
      <c r="M280" s="29" t="str">
        <f t="shared" si="70"/>
        <v/>
      </c>
      <c r="Q280" s="19">
        <f t="shared" ref="Q280:Q343" si="71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69"/>
        <v/>
      </c>
      <c r="I281" s="27" t="str">
        <f t="shared" si="69"/>
        <v/>
      </c>
      <c r="J281" s="27" t="str">
        <f t="shared" si="69"/>
        <v/>
      </c>
      <c r="K281" s="27" t="str">
        <f t="shared" si="69"/>
        <v/>
      </c>
      <c r="L281" s="28" t="str">
        <f t="shared" si="69"/>
        <v/>
      </c>
      <c r="M281" s="29" t="str">
        <f t="shared" si="70"/>
        <v/>
      </c>
      <c r="Q281" s="19">
        <f t="shared" si="71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69"/>
        <v/>
      </c>
      <c r="I282" s="27" t="str">
        <f t="shared" si="69"/>
        <v/>
      </c>
      <c r="J282" s="27" t="str">
        <f t="shared" si="69"/>
        <v/>
      </c>
      <c r="K282" s="27" t="str">
        <f t="shared" si="69"/>
        <v/>
      </c>
      <c r="L282" s="28" t="str">
        <f t="shared" si="69"/>
        <v/>
      </c>
      <c r="M282" s="29" t="str">
        <f t="shared" si="70"/>
        <v/>
      </c>
      <c r="Q282" s="19">
        <f t="shared" si="71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69"/>
        <v/>
      </c>
      <c r="J283" s="27" t="str">
        <f t="shared" si="69"/>
        <v/>
      </c>
      <c r="K283" s="27" t="str">
        <f t="shared" si="69"/>
        <v/>
      </c>
      <c r="L283" s="28" t="str">
        <f t="shared" si="69"/>
        <v/>
      </c>
      <c r="M283" s="29" t="str">
        <f t="shared" si="70"/>
        <v/>
      </c>
      <c r="Q283" s="19">
        <f t="shared" si="71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69"/>
        <v/>
      </c>
      <c r="I284" s="27" t="str">
        <f t="shared" si="69"/>
        <v/>
      </c>
      <c r="J284" s="27" t="str">
        <f t="shared" si="69"/>
        <v/>
      </c>
      <c r="K284" s="27" t="str">
        <f t="shared" si="69"/>
        <v/>
      </c>
      <c r="L284" s="28" t="str">
        <f t="shared" si="69"/>
        <v/>
      </c>
      <c r="M284" s="29" t="str">
        <f t="shared" si="70"/>
        <v/>
      </c>
      <c r="Q284" s="19">
        <f t="shared" si="71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69"/>
        <v/>
      </c>
      <c r="I285" s="27" t="str">
        <f t="shared" si="69"/>
        <v/>
      </c>
      <c r="J285" s="27" t="str">
        <f t="shared" si="69"/>
        <v/>
      </c>
      <c r="K285" s="27" t="str">
        <f t="shared" si="69"/>
        <v/>
      </c>
      <c r="L285" s="28" t="str">
        <f t="shared" si="69"/>
        <v/>
      </c>
      <c r="M285" s="29" t="str">
        <f t="shared" si="70"/>
        <v/>
      </c>
      <c r="Q285" s="19">
        <f t="shared" si="71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69"/>
        <v/>
      </c>
      <c r="I286" s="27" t="str">
        <f t="shared" si="69"/>
        <v/>
      </c>
      <c r="J286" s="27" t="str">
        <f t="shared" si="69"/>
        <v/>
      </c>
      <c r="K286" s="27" t="str">
        <f t="shared" si="69"/>
        <v/>
      </c>
      <c r="L286" s="28" t="str">
        <f t="shared" si="69"/>
        <v/>
      </c>
      <c r="M286" s="29" t="str">
        <f t="shared" si="70"/>
        <v/>
      </c>
      <c r="Q286" s="19">
        <f t="shared" si="71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69"/>
        <v/>
      </c>
      <c r="I287" s="27" t="str">
        <f t="shared" si="69"/>
        <v/>
      </c>
      <c r="J287" s="27" t="str">
        <f t="shared" si="69"/>
        <v/>
      </c>
      <c r="K287" s="27" t="str">
        <f t="shared" si="69"/>
        <v/>
      </c>
      <c r="L287" s="28" t="str">
        <f t="shared" si="69"/>
        <v/>
      </c>
      <c r="M287" s="29" t="str">
        <f t="shared" si="70"/>
        <v/>
      </c>
      <c r="Q287" s="19">
        <f t="shared" si="71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69"/>
        <v/>
      </c>
      <c r="I288" s="27" t="str">
        <f t="shared" si="69"/>
        <v/>
      </c>
      <c r="J288" s="27" t="str">
        <f t="shared" si="69"/>
        <v/>
      </c>
      <c r="K288" s="27" t="str">
        <f t="shared" si="69"/>
        <v/>
      </c>
      <c r="L288" s="28" t="str">
        <f t="shared" si="69"/>
        <v/>
      </c>
      <c r="M288" s="29" t="str">
        <f t="shared" si="70"/>
        <v/>
      </c>
      <c r="Q288" s="19">
        <f t="shared" si="71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69"/>
        <v/>
      </c>
      <c r="I289" s="27" t="str">
        <f t="shared" si="69"/>
        <v/>
      </c>
      <c r="J289" s="27" t="str">
        <f t="shared" si="69"/>
        <v/>
      </c>
      <c r="K289" s="27" t="str">
        <f t="shared" si="69"/>
        <v/>
      </c>
      <c r="L289" s="28" t="str">
        <f t="shared" si="69"/>
        <v/>
      </c>
      <c r="M289" s="29" t="str">
        <f t="shared" si="70"/>
        <v/>
      </c>
      <c r="Q289" s="19">
        <f t="shared" si="71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69"/>
        <v/>
      </c>
      <c r="I290" s="27" t="str">
        <f t="shared" si="69"/>
        <v/>
      </c>
      <c r="J290" s="27" t="str">
        <f t="shared" si="69"/>
        <v/>
      </c>
      <c r="K290" s="27" t="str">
        <f t="shared" si="69"/>
        <v/>
      </c>
      <c r="L290" s="28" t="str">
        <f t="shared" si="69"/>
        <v/>
      </c>
      <c r="M290" s="29" t="str">
        <f t="shared" si="70"/>
        <v/>
      </c>
      <c r="Q290" s="19">
        <f t="shared" si="71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69"/>
        <v/>
      </c>
      <c r="I291" s="27" t="str">
        <f t="shared" si="69"/>
        <v/>
      </c>
      <c r="J291" s="27" t="str">
        <f t="shared" si="69"/>
        <v/>
      </c>
      <c r="K291" s="27" t="str">
        <f t="shared" si="69"/>
        <v/>
      </c>
      <c r="L291" s="28" t="str">
        <f t="shared" si="69"/>
        <v/>
      </c>
      <c r="M291" s="29" t="str">
        <f t="shared" si="70"/>
        <v/>
      </c>
      <c r="Q291" s="19">
        <f t="shared" si="71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69"/>
        <v/>
      </c>
      <c r="I292" s="27" t="str">
        <f t="shared" si="69"/>
        <v/>
      </c>
      <c r="J292" s="27" t="str">
        <f t="shared" si="69"/>
        <v/>
      </c>
      <c r="K292" s="27" t="str">
        <f t="shared" si="69"/>
        <v/>
      </c>
      <c r="L292" s="28" t="str">
        <f t="shared" si="69"/>
        <v/>
      </c>
      <c r="M292" s="29" t="str">
        <f t="shared" si="70"/>
        <v/>
      </c>
      <c r="Q292" s="19">
        <f t="shared" si="71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69"/>
        <v/>
      </c>
      <c r="I293" s="27" t="str">
        <f t="shared" si="69"/>
        <v/>
      </c>
      <c r="J293" s="27" t="str">
        <f t="shared" si="69"/>
        <v/>
      </c>
      <c r="K293" s="27" t="str">
        <f t="shared" si="69"/>
        <v/>
      </c>
      <c r="L293" s="28" t="str">
        <f t="shared" si="69"/>
        <v/>
      </c>
      <c r="M293" s="29" t="str">
        <f t="shared" si="70"/>
        <v/>
      </c>
      <c r="Q293" s="19">
        <f t="shared" si="71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69"/>
        <v/>
      </c>
      <c r="I294" s="27" t="str">
        <f t="shared" si="69"/>
        <v/>
      </c>
      <c r="J294" s="27" t="str">
        <f t="shared" si="69"/>
        <v/>
      </c>
      <c r="K294" s="27" t="str">
        <f t="shared" si="69"/>
        <v/>
      </c>
      <c r="L294" s="28" t="str">
        <f t="shared" si="69"/>
        <v/>
      </c>
      <c r="M294" s="29" t="str">
        <f t="shared" si="70"/>
        <v/>
      </c>
      <c r="Q294" s="19">
        <f t="shared" si="71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69"/>
        <v/>
      </c>
      <c r="I295" s="27" t="str">
        <f t="shared" si="69"/>
        <v/>
      </c>
      <c r="J295" s="27" t="str">
        <f t="shared" si="69"/>
        <v/>
      </c>
      <c r="K295" s="27" t="str">
        <f t="shared" si="69"/>
        <v/>
      </c>
      <c r="L295" s="28" t="str">
        <f t="shared" si="69"/>
        <v/>
      </c>
      <c r="M295" s="29" t="str">
        <f t="shared" si="70"/>
        <v/>
      </c>
      <c r="Q295" s="19">
        <f t="shared" si="71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69"/>
        <v/>
      </c>
      <c r="I296" s="27" t="str">
        <f t="shared" si="69"/>
        <v/>
      </c>
      <c r="J296" s="27" t="str">
        <f t="shared" si="69"/>
        <v/>
      </c>
      <c r="K296" s="27" t="str">
        <f t="shared" si="69"/>
        <v/>
      </c>
      <c r="L296" s="28" t="str">
        <f t="shared" si="69"/>
        <v/>
      </c>
      <c r="M296" s="29" t="str">
        <f t="shared" si="70"/>
        <v/>
      </c>
      <c r="Q296" s="19">
        <f t="shared" si="71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69"/>
        <v/>
      </c>
      <c r="I297" s="27" t="str">
        <f t="shared" si="69"/>
        <v/>
      </c>
      <c r="J297" s="27" t="str">
        <f t="shared" si="69"/>
        <v/>
      </c>
      <c r="K297" s="27" t="str">
        <f t="shared" si="69"/>
        <v/>
      </c>
      <c r="L297" s="28" t="str">
        <f t="shared" si="69"/>
        <v/>
      </c>
      <c r="M297" s="29" t="str">
        <f t="shared" si="70"/>
        <v/>
      </c>
      <c r="Q297" s="19">
        <f t="shared" si="71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69"/>
        <v/>
      </c>
      <c r="I298" s="27" t="str">
        <f t="shared" si="69"/>
        <v/>
      </c>
      <c r="J298" s="27" t="str">
        <f t="shared" si="69"/>
        <v/>
      </c>
      <c r="K298" s="27" t="str">
        <f t="shared" si="69"/>
        <v/>
      </c>
      <c r="L298" s="28" t="str">
        <f t="shared" si="69"/>
        <v/>
      </c>
      <c r="M298" s="29" t="str">
        <f t="shared" si="70"/>
        <v/>
      </c>
      <c r="N298" s="165" t="s">
        <v>25</v>
      </c>
      <c r="O298" s="165" t="s">
        <v>26</v>
      </c>
      <c r="Q298" s="19">
        <f t="shared" si="71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69"/>
        <v/>
      </c>
      <c r="I299" s="27" t="str">
        <f t="shared" si="69"/>
        <v/>
      </c>
      <c r="J299" s="27" t="str">
        <f t="shared" si="69"/>
        <v/>
      </c>
      <c r="K299" s="27" t="str">
        <f t="shared" si="69"/>
        <v/>
      </c>
      <c r="L299" s="28" t="str">
        <f t="shared" si="69"/>
        <v/>
      </c>
      <c r="M299" s="29" t="str">
        <f t="shared" si="70"/>
        <v/>
      </c>
      <c r="N299" s="166"/>
      <c r="O299" s="166"/>
      <c r="Q299" s="19">
        <f t="shared" si="71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69"/>
        <v/>
      </c>
      <c r="I300" s="27" t="str">
        <f t="shared" si="69"/>
        <v/>
      </c>
      <c r="J300" s="27" t="str">
        <f t="shared" si="69"/>
        <v/>
      </c>
      <c r="K300" s="27" t="str">
        <f t="shared" si="69"/>
        <v/>
      </c>
      <c r="L300" s="28" t="str">
        <f t="shared" si="69"/>
        <v/>
      </c>
      <c r="M300" s="29" t="str">
        <f t="shared" si="70"/>
        <v/>
      </c>
      <c r="N300" s="167"/>
      <c r="O300" s="167"/>
      <c r="Q300" s="19">
        <f t="shared" si="71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69"/>
        <v/>
      </c>
      <c r="J301" s="27" t="str">
        <f t="shared" si="69"/>
        <v/>
      </c>
      <c r="K301" s="27" t="str">
        <f t="shared" si="69"/>
        <v/>
      </c>
      <c r="L301" s="28" t="str">
        <f t="shared" si="69"/>
        <v/>
      </c>
      <c r="M301" s="29" t="str">
        <f t="shared" si="70"/>
        <v/>
      </c>
      <c r="N301" s="31">
        <f>SUM(L278:L308)</f>
        <v>0</v>
      </c>
      <c r="O301" s="31">
        <f>SUM(M278:M308)</f>
        <v>0</v>
      </c>
      <c r="Q301" s="19">
        <f t="shared" si="71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69"/>
        <v/>
      </c>
      <c r="I302" s="27" t="str">
        <f t="shared" si="69"/>
        <v/>
      </c>
      <c r="J302" s="27" t="str">
        <f t="shared" si="69"/>
        <v/>
      </c>
      <c r="K302" s="27" t="str">
        <f t="shared" si="69"/>
        <v/>
      </c>
      <c r="L302" s="28" t="str">
        <f t="shared" si="69"/>
        <v/>
      </c>
      <c r="M302" s="29" t="str">
        <f t="shared" si="70"/>
        <v/>
      </c>
      <c r="N302" s="165" t="s">
        <v>27</v>
      </c>
      <c r="O302" s="165" t="s">
        <v>28</v>
      </c>
      <c r="Q302" s="19">
        <f t="shared" si="71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69"/>
        <v/>
      </c>
      <c r="I303" s="27" t="str">
        <f t="shared" si="69"/>
        <v/>
      </c>
      <c r="J303" s="27" t="str">
        <f t="shared" si="69"/>
        <v/>
      </c>
      <c r="K303" s="27" t="str">
        <f t="shared" si="69"/>
        <v/>
      </c>
      <c r="L303" s="28" t="str">
        <f t="shared" si="69"/>
        <v/>
      </c>
      <c r="M303" s="29" t="str">
        <f t="shared" si="70"/>
        <v/>
      </c>
      <c r="N303" s="167"/>
      <c r="O303" s="167"/>
      <c r="Q303" s="19">
        <f t="shared" si="71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69"/>
        <v/>
      </c>
      <c r="I304" s="27" t="str">
        <f t="shared" si="69"/>
        <v/>
      </c>
      <c r="J304" s="27" t="str">
        <f t="shared" si="69"/>
        <v/>
      </c>
      <c r="K304" s="27" t="str">
        <f t="shared" si="69"/>
        <v/>
      </c>
      <c r="L304" s="28" t="str">
        <f t="shared" si="69"/>
        <v/>
      </c>
      <c r="M304" s="29" t="str">
        <f t="shared" si="70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71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69"/>
        <v/>
      </c>
      <c r="I305" s="27" t="str">
        <f t="shared" si="69"/>
        <v/>
      </c>
      <c r="J305" s="27" t="str">
        <f t="shared" si="69"/>
        <v/>
      </c>
      <c r="K305" s="27" t="str">
        <f t="shared" si="69"/>
        <v/>
      </c>
      <c r="L305" s="28" t="str">
        <f t="shared" si="69"/>
        <v/>
      </c>
      <c r="M305" s="29" t="str">
        <f t="shared" si="70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69"/>
        <v/>
      </c>
      <c r="I306" s="27" t="str">
        <f t="shared" si="69"/>
        <v/>
      </c>
      <c r="J306" s="27" t="str">
        <f t="shared" si="69"/>
        <v/>
      </c>
      <c r="K306" s="27" t="str">
        <f t="shared" si="69"/>
        <v/>
      </c>
      <c r="L306" s="28" t="str">
        <f t="shared" si="69"/>
        <v/>
      </c>
      <c r="M306" s="29" t="str">
        <f t="shared" si="70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69"/>
        <v/>
      </c>
      <c r="I307" s="27" t="str">
        <f t="shared" si="69"/>
        <v/>
      </c>
      <c r="J307" s="27" t="str">
        <f t="shared" si="69"/>
        <v/>
      </c>
      <c r="K307" s="27" t="str">
        <f t="shared" si="69"/>
        <v/>
      </c>
      <c r="L307" s="28" t="str">
        <f t="shared" si="69"/>
        <v/>
      </c>
      <c r="M307" s="29" t="str">
        <f t="shared" si="70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69"/>
        <v/>
      </c>
      <c r="I308" s="38" t="str">
        <f t="shared" si="69"/>
        <v/>
      </c>
      <c r="J308" s="34" t="str">
        <f t="shared" si="69"/>
        <v/>
      </c>
      <c r="K308" s="34" t="str">
        <f t="shared" si="69"/>
        <v/>
      </c>
      <c r="L308" s="35" t="str">
        <f t="shared" si="69"/>
        <v/>
      </c>
      <c r="M308" s="34" t="str">
        <f t="shared" si="70"/>
        <v/>
      </c>
      <c r="Q308" s="19">
        <f t="shared" si="71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69"/>
        <v/>
      </c>
      <c r="I309" s="27" t="str">
        <f t="shared" si="69"/>
        <v/>
      </c>
      <c r="J309" s="27" t="str">
        <f t="shared" si="69"/>
        <v/>
      </c>
      <c r="K309" s="27" t="str">
        <f t="shared" si="69"/>
        <v/>
      </c>
      <c r="L309" s="28" t="str">
        <f t="shared" si="69"/>
        <v/>
      </c>
      <c r="M309" s="29" t="str">
        <f t="shared" si="70"/>
        <v/>
      </c>
      <c r="Q309" s="19">
        <f t="shared" si="71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69"/>
        <v/>
      </c>
      <c r="I310" s="27" t="str">
        <f t="shared" si="69"/>
        <v/>
      </c>
      <c r="J310" s="27" t="str">
        <f t="shared" si="69"/>
        <v/>
      </c>
      <c r="K310" s="27" t="str">
        <f t="shared" si="69"/>
        <v/>
      </c>
      <c r="L310" s="28" t="str">
        <f t="shared" si="69"/>
        <v/>
      </c>
      <c r="M310" s="29" t="str">
        <f t="shared" si="70"/>
        <v/>
      </c>
      <c r="Q310" s="19">
        <f t="shared" si="71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69"/>
        <v/>
      </c>
      <c r="I311" s="27" t="str">
        <f t="shared" si="69"/>
        <v/>
      </c>
      <c r="J311" s="27" t="str">
        <f t="shared" si="69"/>
        <v/>
      </c>
      <c r="K311" s="27" t="str">
        <f t="shared" si="69"/>
        <v/>
      </c>
      <c r="L311" s="28" t="str">
        <f t="shared" si="69"/>
        <v/>
      </c>
      <c r="M311" s="29" t="str">
        <f t="shared" si="70"/>
        <v/>
      </c>
      <c r="Q311" s="19">
        <f t="shared" si="71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69"/>
        <v/>
      </c>
      <c r="I312" s="27" t="str">
        <f t="shared" si="69"/>
        <v/>
      </c>
      <c r="J312" s="27" t="str">
        <f t="shared" si="69"/>
        <v/>
      </c>
      <c r="K312" s="27" t="str">
        <f t="shared" si="69"/>
        <v/>
      </c>
      <c r="L312" s="28" t="str">
        <f t="shared" si="69"/>
        <v/>
      </c>
      <c r="M312" s="29" t="str">
        <f t="shared" si="70"/>
        <v/>
      </c>
      <c r="Q312" s="19">
        <f t="shared" si="71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69"/>
        <v/>
      </c>
      <c r="I313" s="27" t="str">
        <f t="shared" si="69"/>
        <v/>
      </c>
      <c r="J313" s="27" t="str">
        <f t="shared" si="69"/>
        <v/>
      </c>
      <c r="K313" s="27" t="str">
        <f t="shared" si="69"/>
        <v/>
      </c>
      <c r="L313" s="28" t="str">
        <f t="shared" si="69"/>
        <v/>
      </c>
      <c r="M313" s="29" t="str">
        <f t="shared" si="70"/>
        <v/>
      </c>
      <c r="Q313" s="19">
        <f t="shared" si="71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69"/>
        <v/>
      </c>
      <c r="I314" s="27" t="str">
        <f t="shared" si="69"/>
        <v/>
      </c>
      <c r="J314" s="27" t="str">
        <f t="shared" si="69"/>
        <v/>
      </c>
      <c r="K314" s="27" t="str">
        <f t="shared" si="69"/>
        <v/>
      </c>
      <c r="L314" s="28" t="str">
        <f t="shared" si="69"/>
        <v/>
      </c>
      <c r="M314" s="29" t="str">
        <f t="shared" si="70"/>
        <v/>
      </c>
      <c r="Q314" s="19">
        <f t="shared" si="71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69"/>
        <v/>
      </c>
      <c r="I315" s="27" t="str">
        <f t="shared" si="69"/>
        <v/>
      </c>
      <c r="J315" s="27" t="str">
        <f t="shared" si="69"/>
        <v/>
      </c>
      <c r="K315" s="27" t="str">
        <f t="shared" si="69"/>
        <v/>
      </c>
      <c r="L315" s="28" t="str">
        <f t="shared" si="69"/>
        <v/>
      </c>
      <c r="M315" s="29" t="str">
        <f t="shared" si="70"/>
        <v/>
      </c>
      <c r="Q315" s="19">
        <f t="shared" si="71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72">IF(C316="","",+(C316-C315))</f>
        <v/>
      </c>
      <c r="I316" s="27" t="str">
        <f t="shared" si="72"/>
        <v/>
      </c>
      <c r="J316" s="27" t="str">
        <f t="shared" si="72"/>
        <v/>
      </c>
      <c r="K316" s="27" t="str">
        <f t="shared" si="72"/>
        <v/>
      </c>
      <c r="L316" s="28" t="str">
        <f t="shared" si="72"/>
        <v/>
      </c>
      <c r="M316" s="29" t="str">
        <f t="shared" si="70"/>
        <v/>
      </c>
      <c r="Q316" s="19">
        <f t="shared" si="71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72"/>
        <v/>
      </c>
      <c r="I317" s="27" t="str">
        <f t="shared" si="72"/>
        <v/>
      </c>
      <c r="J317" s="27" t="str">
        <f t="shared" si="72"/>
        <v/>
      </c>
      <c r="K317" s="27" t="str">
        <f t="shared" si="72"/>
        <v/>
      </c>
      <c r="L317" s="28" t="str">
        <f t="shared" si="72"/>
        <v/>
      </c>
      <c r="M317" s="29" t="str">
        <f t="shared" si="70"/>
        <v/>
      </c>
      <c r="Q317" s="19">
        <f t="shared" si="71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72"/>
        <v/>
      </c>
      <c r="I318" s="27" t="str">
        <f t="shared" si="72"/>
        <v/>
      </c>
      <c r="J318" s="27" t="str">
        <f t="shared" si="72"/>
        <v/>
      </c>
      <c r="K318" s="27" t="str">
        <f t="shared" si="72"/>
        <v/>
      </c>
      <c r="L318" s="28" t="str">
        <f t="shared" si="72"/>
        <v/>
      </c>
      <c r="M318" s="29" t="str">
        <f t="shared" si="70"/>
        <v/>
      </c>
      <c r="Q318" s="19">
        <f t="shared" si="71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72"/>
        <v/>
      </c>
      <c r="I319" s="27" t="str">
        <f t="shared" si="72"/>
        <v/>
      </c>
      <c r="J319" s="27" t="str">
        <f t="shared" si="72"/>
        <v/>
      </c>
      <c r="K319" s="27" t="str">
        <f t="shared" si="72"/>
        <v/>
      </c>
      <c r="L319" s="28" t="str">
        <f t="shared" si="72"/>
        <v/>
      </c>
      <c r="M319" s="29" t="str">
        <f t="shared" si="70"/>
        <v/>
      </c>
      <c r="Q319" s="19">
        <f t="shared" si="71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72"/>
        <v/>
      </c>
      <c r="I320" s="27" t="str">
        <f t="shared" si="72"/>
        <v/>
      </c>
      <c r="J320" s="27" t="str">
        <f t="shared" si="72"/>
        <v/>
      </c>
      <c r="K320" s="27" t="str">
        <f t="shared" si="72"/>
        <v/>
      </c>
      <c r="L320" s="28" t="str">
        <f t="shared" si="72"/>
        <v/>
      </c>
      <c r="M320" s="29" t="str">
        <f t="shared" si="70"/>
        <v/>
      </c>
      <c r="Q320" s="19">
        <f t="shared" si="71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72"/>
        <v/>
      </c>
      <c r="J321" s="27" t="str">
        <f t="shared" si="72"/>
        <v/>
      </c>
      <c r="K321" s="27" t="str">
        <f t="shared" si="72"/>
        <v/>
      </c>
      <c r="L321" s="28" t="str">
        <f t="shared" si="72"/>
        <v/>
      </c>
      <c r="M321" s="29" t="str">
        <f t="shared" si="70"/>
        <v/>
      </c>
      <c r="Q321" s="19">
        <f t="shared" si="71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72"/>
        <v/>
      </c>
      <c r="I322" s="27" t="str">
        <f t="shared" si="72"/>
        <v/>
      </c>
      <c r="J322" s="27" t="str">
        <f t="shared" si="72"/>
        <v/>
      </c>
      <c r="K322" s="27" t="str">
        <f t="shared" si="72"/>
        <v/>
      </c>
      <c r="L322" s="28" t="str">
        <f t="shared" si="72"/>
        <v/>
      </c>
      <c r="M322" s="29" t="str">
        <f t="shared" si="70"/>
        <v/>
      </c>
      <c r="Q322" s="19">
        <f t="shared" si="71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72"/>
        <v/>
      </c>
      <c r="I323" s="27" t="str">
        <f t="shared" si="72"/>
        <v/>
      </c>
      <c r="J323" s="27" t="str">
        <f t="shared" si="72"/>
        <v/>
      </c>
      <c r="K323" s="27" t="str">
        <f t="shared" si="72"/>
        <v/>
      </c>
      <c r="L323" s="28" t="str">
        <f t="shared" si="72"/>
        <v/>
      </c>
      <c r="M323" s="29" t="str">
        <f t="shared" si="70"/>
        <v/>
      </c>
      <c r="Q323" s="19">
        <f t="shared" si="71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72"/>
        <v/>
      </c>
      <c r="I324" s="27" t="str">
        <f t="shared" si="72"/>
        <v/>
      </c>
      <c r="J324" s="27" t="str">
        <f t="shared" si="72"/>
        <v/>
      </c>
      <c r="K324" s="27" t="str">
        <f t="shared" si="72"/>
        <v/>
      </c>
      <c r="L324" s="28" t="str">
        <f t="shared" si="72"/>
        <v/>
      </c>
      <c r="M324" s="29" t="str">
        <f t="shared" si="70"/>
        <v/>
      </c>
      <c r="Q324" s="19">
        <f t="shared" si="71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72"/>
        <v/>
      </c>
      <c r="I325" s="27" t="str">
        <f t="shared" si="72"/>
        <v/>
      </c>
      <c r="J325" s="27" t="str">
        <f t="shared" si="72"/>
        <v/>
      </c>
      <c r="K325" s="27" t="str">
        <f t="shared" si="72"/>
        <v/>
      </c>
      <c r="L325" s="28" t="str">
        <f t="shared" si="72"/>
        <v/>
      </c>
      <c r="M325" s="29" t="str">
        <f t="shared" si="70"/>
        <v/>
      </c>
      <c r="Q325" s="19">
        <f t="shared" si="71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72"/>
        <v/>
      </c>
      <c r="I326" s="27" t="str">
        <f t="shared" si="72"/>
        <v/>
      </c>
      <c r="J326" s="27" t="str">
        <f t="shared" si="72"/>
        <v/>
      </c>
      <c r="K326" s="27" t="str">
        <f t="shared" si="72"/>
        <v/>
      </c>
      <c r="L326" s="28" t="str">
        <f t="shared" si="72"/>
        <v/>
      </c>
      <c r="M326" s="29" t="str">
        <f t="shared" ref="M326:M368" si="73">IF(H326="","",+(H326+I326+J326+K326))</f>
        <v/>
      </c>
      <c r="Q326" s="19">
        <f t="shared" si="71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72"/>
        <v/>
      </c>
      <c r="I327" s="27" t="str">
        <f t="shared" si="72"/>
        <v/>
      </c>
      <c r="J327" s="27" t="str">
        <f t="shared" si="72"/>
        <v/>
      </c>
      <c r="K327" s="27" t="str">
        <f t="shared" si="72"/>
        <v/>
      </c>
      <c r="L327" s="28" t="str">
        <f t="shared" si="72"/>
        <v/>
      </c>
      <c r="M327" s="29" t="str">
        <f t="shared" si="73"/>
        <v/>
      </c>
      <c r="Q327" s="19">
        <f t="shared" si="71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72"/>
        <v/>
      </c>
      <c r="I328" s="27" t="str">
        <f t="shared" si="72"/>
        <v/>
      </c>
      <c r="J328" s="27" t="str">
        <f t="shared" si="72"/>
        <v/>
      </c>
      <c r="K328" s="27" t="str">
        <f t="shared" si="72"/>
        <v/>
      </c>
      <c r="L328" s="28" t="str">
        <f t="shared" si="72"/>
        <v/>
      </c>
      <c r="M328" s="29" t="str">
        <f t="shared" si="73"/>
        <v/>
      </c>
      <c r="N328" s="165" t="s">
        <v>25</v>
      </c>
      <c r="O328" s="165" t="s">
        <v>26</v>
      </c>
      <c r="Q328" s="19">
        <f t="shared" si="71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72"/>
        <v/>
      </c>
      <c r="I329" s="27" t="str">
        <f t="shared" si="72"/>
        <v/>
      </c>
      <c r="J329" s="27" t="str">
        <f t="shared" si="72"/>
        <v/>
      </c>
      <c r="K329" s="27" t="str">
        <f t="shared" si="72"/>
        <v/>
      </c>
      <c r="L329" s="28" t="str">
        <f t="shared" si="72"/>
        <v/>
      </c>
      <c r="M329" s="29" t="str">
        <f t="shared" si="73"/>
        <v/>
      </c>
      <c r="N329" s="166"/>
      <c r="O329" s="166"/>
      <c r="Q329" s="19">
        <f t="shared" si="71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72"/>
        <v/>
      </c>
      <c r="I330" s="27" t="str">
        <f t="shared" si="72"/>
        <v/>
      </c>
      <c r="J330" s="27" t="str">
        <f t="shared" si="72"/>
        <v/>
      </c>
      <c r="K330" s="27" t="str">
        <f t="shared" si="72"/>
        <v/>
      </c>
      <c r="L330" s="28" t="str">
        <f t="shared" si="72"/>
        <v/>
      </c>
      <c r="M330" s="29" t="str">
        <f t="shared" si="73"/>
        <v/>
      </c>
      <c r="N330" s="167"/>
      <c r="O330" s="167"/>
      <c r="Q330" s="19">
        <f t="shared" si="71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72"/>
        <v/>
      </c>
      <c r="I331" s="27" t="str">
        <f t="shared" si="72"/>
        <v/>
      </c>
      <c r="J331" s="27" t="str">
        <f t="shared" si="72"/>
        <v/>
      </c>
      <c r="K331" s="27" t="str">
        <f t="shared" si="72"/>
        <v/>
      </c>
      <c r="L331" s="28" t="str">
        <f t="shared" si="72"/>
        <v/>
      </c>
      <c r="M331" s="29" t="str">
        <f t="shared" si="73"/>
        <v/>
      </c>
      <c r="N331" s="31">
        <f>SUM(L309:L338)</f>
        <v>0</v>
      </c>
      <c r="O331" s="31">
        <f>SUM(M309:M338)</f>
        <v>0</v>
      </c>
      <c r="Q331" s="19">
        <f t="shared" si="71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72"/>
        <v/>
      </c>
      <c r="I332" s="27" t="str">
        <f t="shared" si="72"/>
        <v/>
      </c>
      <c r="J332" s="27" t="str">
        <f t="shared" si="72"/>
        <v/>
      </c>
      <c r="K332" s="27" t="str">
        <f t="shared" si="72"/>
        <v/>
      </c>
      <c r="L332" s="28" t="str">
        <f t="shared" si="72"/>
        <v/>
      </c>
      <c r="M332" s="29" t="str">
        <f t="shared" si="73"/>
        <v/>
      </c>
      <c r="N332" s="165" t="s">
        <v>27</v>
      </c>
      <c r="O332" s="165" t="s">
        <v>28</v>
      </c>
      <c r="Q332" s="19">
        <f t="shared" si="71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72"/>
        <v/>
      </c>
      <c r="I333" s="27" t="str">
        <f t="shared" si="72"/>
        <v/>
      </c>
      <c r="J333" s="27" t="str">
        <f t="shared" si="72"/>
        <v/>
      </c>
      <c r="K333" s="27" t="str">
        <f t="shared" si="72"/>
        <v/>
      </c>
      <c r="L333" s="28" t="str">
        <f t="shared" si="72"/>
        <v/>
      </c>
      <c r="M333" s="29" t="str">
        <f t="shared" si="73"/>
        <v/>
      </c>
      <c r="N333" s="167"/>
      <c r="O333" s="167"/>
      <c r="Q333" s="19">
        <f t="shared" si="71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72"/>
        <v/>
      </c>
      <c r="I334" s="27" t="str">
        <f t="shared" si="72"/>
        <v/>
      </c>
      <c r="J334" s="27" t="str">
        <f t="shared" si="72"/>
        <v/>
      </c>
      <c r="K334" s="27" t="str">
        <f t="shared" si="72"/>
        <v/>
      </c>
      <c r="L334" s="28" t="str">
        <f t="shared" si="72"/>
        <v/>
      </c>
      <c r="M334" s="29" t="str">
        <f t="shared" si="73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71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72"/>
        <v/>
      </c>
      <c r="I335" s="27" t="str">
        <f t="shared" si="72"/>
        <v/>
      </c>
      <c r="J335" s="27" t="str">
        <f t="shared" si="72"/>
        <v/>
      </c>
      <c r="K335" s="27" t="str">
        <f t="shared" si="72"/>
        <v/>
      </c>
      <c r="L335" s="28" t="str">
        <f t="shared" si="72"/>
        <v/>
      </c>
      <c r="M335" s="29" t="str">
        <f t="shared" si="73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72"/>
        <v/>
      </c>
      <c r="I336" s="27" t="str">
        <f t="shared" si="72"/>
        <v/>
      </c>
      <c r="J336" s="27" t="str">
        <f>IF(E336="","",+(E336-E335))</f>
        <v/>
      </c>
      <c r="K336" s="27" t="str">
        <f t="shared" si="72"/>
        <v/>
      </c>
      <c r="L336" s="28" t="str">
        <f t="shared" si="72"/>
        <v/>
      </c>
      <c r="M336" s="29" t="str">
        <f t="shared" si="73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72"/>
        <v/>
      </c>
      <c r="I337" s="27" t="str">
        <f t="shared" si="72"/>
        <v/>
      </c>
      <c r="J337" s="27" t="str">
        <f>IF(E337="","",+(E337-E336))</f>
        <v/>
      </c>
      <c r="K337" s="27" t="str">
        <f t="shared" si="72"/>
        <v/>
      </c>
      <c r="L337" s="28" t="str">
        <f>IF(G337="","",+(G337-G336))</f>
        <v/>
      </c>
      <c r="M337" s="29" t="str">
        <f t="shared" si="73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72"/>
        <v/>
      </c>
      <c r="I338" s="38" t="str">
        <f t="shared" si="72"/>
        <v/>
      </c>
      <c r="J338" s="34" t="str">
        <f t="shared" si="72"/>
        <v/>
      </c>
      <c r="K338" s="34" t="str">
        <f t="shared" si="72"/>
        <v/>
      </c>
      <c r="L338" s="35" t="str">
        <f t="shared" si="72"/>
        <v/>
      </c>
      <c r="M338" s="34" t="str">
        <f t="shared" si="73"/>
        <v/>
      </c>
      <c r="Q338" s="19">
        <f t="shared" si="71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72"/>
        <v/>
      </c>
      <c r="I339" s="27" t="str">
        <f t="shared" si="72"/>
        <v/>
      </c>
      <c r="J339" s="27" t="str">
        <f t="shared" si="72"/>
        <v/>
      </c>
      <c r="K339" s="27" t="str">
        <f t="shared" si="72"/>
        <v/>
      </c>
      <c r="L339" s="28" t="str">
        <f t="shared" si="72"/>
        <v/>
      </c>
      <c r="M339" s="29" t="str">
        <f t="shared" si="73"/>
        <v/>
      </c>
      <c r="Q339" s="19">
        <f t="shared" si="71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72"/>
        <v/>
      </c>
      <c r="I340" s="27" t="str">
        <f t="shared" si="72"/>
        <v/>
      </c>
      <c r="J340" s="27" t="str">
        <f t="shared" si="72"/>
        <v/>
      </c>
      <c r="K340" s="27" t="str">
        <f t="shared" si="72"/>
        <v/>
      </c>
      <c r="L340" s="28" t="str">
        <f t="shared" si="72"/>
        <v/>
      </c>
      <c r="M340" s="29" t="str">
        <f t="shared" si="73"/>
        <v/>
      </c>
      <c r="Q340" s="19">
        <f t="shared" si="71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72"/>
        <v/>
      </c>
      <c r="I341" s="27" t="str">
        <f t="shared" si="72"/>
        <v/>
      </c>
      <c r="J341" s="27" t="str">
        <f t="shared" si="72"/>
        <v/>
      </c>
      <c r="K341" s="27" t="str">
        <f t="shared" si="72"/>
        <v/>
      </c>
      <c r="L341" s="28" t="str">
        <f t="shared" si="72"/>
        <v/>
      </c>
      <c r="M341" s="29" t="str">
        <f t="shared" si="73"/>
        <v/>
      </c>
      <c r="Q341" s="19">
        <f t="shared" si="71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72"/>
        <v/>
      </c>
      <c r="I342" s="27" t="str">
        <f t="shared" si="72"/>
        <v/>
      </c>
      <c r="J342" s="27" t="str">
        <f t="shared" si="72"/>
        <v/>
      </c>
      <c r="K342" s="27" t="str">
        <f t="shared" si="72"/>
        <v/>
      </c>
      <c r="L342" s="28" t="str">
        <f t="shared" si="72"/>
        <v/>
      </c>
      <c r="M342" s="29" t="str">
        <f t="shared" si="73"/>
        <v/>
      </c>
      <c r="Q342" s="19">
        <f t="shared" si="71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72"/>
        <v/>
      </c>
      <c r="I343" s="27" t="str">
        <f t="shared" si="72"/>
        <v/>
      </c>
      <c r="J343" s="27" t="str">
        <f t="shared" si="72"/>
        <v/>
      </c>
      <c r="K343" s="27" t="str">
        <f t="shared" si="72"/>
        <v/>
      </c>
      <c r="L343" s="28" t="str">
        <f t="shared" si="72"/>
        <v/>
      </c>
      <c r="M343" s="29" t="str">
        <f t="shared" si="73"/>
        <v/>
      </c>
      <c r="Q343" s="19">
        <f t="shared" si="71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72"/>
        <v/>
      </c>
      <c r="I344" s="27" t="str">
        <f t="shared" si="72"/>
        <v/>
      </c>
      <c r="J344" s="27" t="str">
        <f t="shared" ref="J344:J347" si="74">IF(E344="","",+(E344-E343))</f>
        <v/>
      </c>
      <c r="K344" s="27" t="str">
        <f t="shared" si="72"/>
        <v/>
      </c>
      <c r="L344" s="28" t="str">
        <f t="shared" si="72"/>
        <v/>
      </c>
      <c r="M344" s="29" t="str">
        <f t="shared" si="73"/>
        <v/>
      </c>
      <c r="Q344" s="19">
        <f t="shared" ref="Q344:Q369" si="75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72"/>
        <v/>
      </c>
      <c r="I345" s="27" t="str">
        <f t="shared" si="72"/>
        <v/>
      </c>
      <c r="J345" s="27" t="str">
        <f t="shared" si="74"/>
        <v/>
      </c>
      <c r="K345" s="27" t="str">
        <f t="shared" si="72"/>
        <v/>
      </c>
      <c r="L345" s="28" t="str">
        <f t="shared" si="72"/>
        <v/>
      </c>
      <c r="M345" s="29" t="str">
        <f t="shared" si="73"/>
        <v/>
      </c>
      <c r="Q345" s="19">
        <f t="shared" si="75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72"/>
        <v/>
      </c>
      <c r="I346" s="27" t="str">
        <f t="shared" si="72"/>
        <v/>
      </c>
      <c r="J346" s="27" t="str">
        <f t="shared" si="74"/>
        <v/>
      </c>
      <c r="K346" s="27" t="str">
        <f t="shared" si="72"/>
        <v/>
      </c>
      <c r="L346" s="28" t="str">
        <f t="shared" si="72"/>
        <v/>
      </c>
      <c r="M346" s="29" t="str">
        <f t="shared" si="73"/>
        <v/>
      </c>
      <c r="Q346" s="19">
        <f t="shared" si="75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72"/>
        <v/>
      </c>
      <c r="I347" s="27" t="str">
        <f t="shared" si="72"/>
        <v/>
      </c>
      <c r="J347" s="27" t="str">
        <f t="shared" si="74"/>
        <v/>
      </c>
      <c r="K347" s="27" t="str">
        <f t="shared" si="72"/>
        <v/>
      </c>
      <c r="L347" s="28" t="str">
        <f t="shared" si="72"/>
        <v/>
      </c>
      <c r="M347" s="29" t="str">
        <f t="shared" si="73"/>
        <v/>
      </c>
      <c r="Q347" s="19">
        <f t="shared" si="75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72"/>
        <v/>
      </c>
      <c r="I348" s="27" t="str">
        <f t="shared" si="72"/>
        <v/>
      </c>
      <c r="J348" s="27" t="str">
        <f t="shared" si="72"/>
        <v/>
      </c>
      <c r="K348" s="27" t="str">
        <f t="shared" si="72"/>
        <v/>
      </c>
      <c r="L348" s="28" t="str">
        <f t="shared" si="72"/>
        <v/>
      </c>
      <c r="M348" s="29" t="str">
        <f t="shared" si="73"/>
        <v/>
      </c>
      <c r="Q348" s="19">
        <f t="shared" si="75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72"/>
        <v/>
      </c>
      <c r="I349" s="27" t="str">
        <f t="shared" si="72"/>
        <v/>
      </c>
      <c r="J349" s="27" t="str">
        <f t="shared" si="72"/>
        <v/>
      </c>
      <c r="K349" s="27" t="str">
        <f t="shared" si="72"/>
        <v/>
      </c>
      <c r="L349" s="28" t="str">
        <f t="shared" si="72"/>
        <v/>
      </c>
      <c r="M349" s="29" t="str">
        <f t="shared" si="73"/>
        <v/>
      </c>
      <c r="Q349" s="19">
        <f t="shared" si="75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72"/>
        <v/>
      </c>
      <c r="I350" s="27" t="str">
        <f t="shared" si="72"/>
        <v/>
      </c>
      <c r="J350" s="27" t="str">
        <f t="shared" si="72"/>
        <v/>
      </c>
      <c r="K350" s="27" t="str">
        <f t="shared" si="72"/>
        <v/>
      </c>
      <c r="L350" s="28" t="str">
        <f t="shared" si="72"/>
        <v/>
      </c>
      <c r="M350" s="29" t="str">
        <f t="shared" si="73"/>
        <v/>
      </c>
      <c r="Q350" s="19">
        <f t="shared" si="75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72"/>
        <v/>
      </c>
      <c r="I351" s="27" t="str">
        <f t="shared" si="72"/>
        <v/>
      </c>
      <c r="J351" s="27" t="str">
        <f t="shared" si="72"/>
        <v/>
      </c>
      <c r="K351" s="27" t="str">
        <f t="shared" si="72"/>
        <v/>
      </c>
      <c r="L351" s="28" t="str">
        <f t="shared" si="72"/>
        <v/>
      </c>
      <c r="M351" s="29" t="str">
        <f t="shared" si="73"/>
        <v/>
      </c>
      <c r="Q351" s="19">
        <f t="shared" si="75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72"/>
        <v/>
      </c>
      <c r="I352" s="27" t="str">
        <f t="shared" si="72"/>
        <v/>
      </c>
      <c r="J352" s="27" t="str">
        <f t="shared" si="72"/>
        <v/>
      </c>
      <c r="K352" s="27" t="str">
        <f t="shared" si="72"/>
        <v/>
      </c>
      <c r="L352" s="28" t="str">
        <f t="shared" si="72"/>
        <v/>
      </c>
      <c r="M352" s="29" t="str">
        <f t="shared" si="73"/>
        <v/>
      </c>
      <c r="Q352" s="19">
        <f t="shared" si="75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72"/>
        <v/>
      </c>
      <c r="I353" s="27" t="str">
        <f t="shared" si="72"/>
        <v/>
      </c>
      <c r="J353" s="27" t="str">
        <f t="shared" si="72"/>
        <v/>
      </c>
      <c r="K353" s="27" t="str">
        <f>IF(F353="","",+(F353-F352))</f>
        <v/>
      </c>
      <c r="L353" s="28" t="str">
        <f t="shared" si="72"/>
        <v/>
      </c>
      <c r="M353" s="29" t="str">
        <f t="shared" si="73"/>
        <v/>
      </c>
      <c r="Q353" s="19">
        <f t="shared" si="75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72"/>
        <v/>
      </c>
      <c r="I354" s="27" t="str">
        <f t="shared" si="72"/>
        <v/>
      </c>
      <c r="J354" s="27" t="str">
        <f t="shared" si="72"/>
        <v/>
      </c>
      <c r="K354" s="27" t="str">
        <f t="shared" si="72"/>
        <v/>
      </c>
      <c r="L354" s="28" t="str">
        <f t="shared" si="72"/>
        <v/>
      </c>
      <c r="M354" s="29" t="str">
        <f t="shared" si="73"/>
        <v/>
      </c>
      <c r="Q354" s="19">
        <f t="shared" si="75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72"/>
        <v/>
      </c>
      <c r="I355" s="27" t="str">
        <f t="shared" si="72"/>
        <v/>
      </c>
      <c r="J355" s="27" t="str">
        <f t="shared" si="72"/>
        <v/>
      </c>
      <c r="K355" s="27" t="str">
        <f t="shared" si="72"/>
        <v/>
      </c>
      <c r="L355" s="28" t="str">
        <f t="shared" si="72"/>
        <v/>
      </c>
      <c r="M355" s="29" t="str">
        <f t="shared" si="73"/>
        <v/>
      </c>
      <c r="Q355" s="19">
        <f t="shared" si="75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72"/>
        <v/>
      </c>
      <c r="I356" s="27" t="str">
        <f t="shared" si="72"/>
        <v/>
      </c>
      <c r="J356" s="27" t="str">
        <f t="shared" si="72"/>
        <v/>
      </c>
      <c r="K356" s="27" t="str">
        <f t="shared" si="72"/>
        <v/>
      </c>
      <c r="L356" s="28" t="str">
        <f t="shared" si="72"/>
        <v/>
      </c>
      <c r="M356" s="29" t="str">
        <f t="shared" si="73"/>
        <v/>
      </c>
      <c r="Q356" s="19">
        <f t="shared" si="75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72"/>
        <v/>
      </c>
      <c r="I357" s="27" t="str">
        <f t="shared" si="72"/>
        <v/>
      </c>
      <c r="J357" s="27" t="str">
        <f t="shared" si="72"/>
        <v/>
      </c>
      <c r="K357" s="27" t="str">
        <f t="shared" si="72"/>
        <v/>
      </c>
      <c r="L357" s="28" t="str">
        <f t="shared" si="72"/>
        <v/>
      </c>
      <c r="M357" s="29" t="str">
        <f t="shared" si="73"/>
        <v/>
      </c>
      <c r="Q357" s="19">
        <f t="shared" si="75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72"/>
        <v/>
      </c>
      <c r="I358" s="27" t="str">
        <f t="shared" si="72"/>
        <v/>
      </c>
      <c r="J358" s="27" t="str">
        <f t="shared" si="72"/>
        <v/>
      </c>
      <c r="K358" s="27" t="str">
        <f t="shared" si="72"/>
        <v/>
      </c>
      <c r="L358" s="28" t="str">
        <f t="shared" si="72"/>
        <v/>
      </c>
      <c r="M358" s="29" t="str">
        <f t="shared" si="73"/>
        <v/>
      </c>
      <c r="Q358" s="19">
        <f t="shared" si="75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72"/>
        <v/>
      </c>
      <c r="I359" s="27" t="str">
        <f t="shared" si="72"/>
        <v/>
      </c>
      <c r="J359" s="27" t="str">
        <f t="shared" si="72"/>
        <v/>
      </c>
      <c r="K359" s="27" t="str">
        <f t="shared" si="72"/>
        <v/>
      </c>
      <c r="L359" s="28" t="str">
        <f t="shared" si="72"/>
        <v/>
      </c>
      <c r="M359" s="29" t="str">
        <f t="shared" si="73"/>
        <v/>
      </c>
      <c r="N359" s="165" t="s">
        <v>25</v>
      </c>
      <c r="O359" s="165" t="s">
        <v>26</v>
      </c>
      <c r="Q359" s="19">
        <f t="shared" si="75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72"/>
        <v/>
      </c>
      <c r="I360" s="27" t="str">
        <f t="shared" si="72"/>
        <v/>
      </c>
      <c r="J360" s="27" t="str">
        <f t="shared" si="72"/>
        <v/>
      </c>
      <c r="K360" s="27" t="str">
        <f t="shared" si="72"/>
        <v/>
      </c>
      <c r="L360" s="28" t="str">
        <f t="shared" si="72"/>
        <v/>
      </c>
      <c r="M360" s="29" t="str">
        <f t="shared" si="73"/>
        <v/>
      </c>
      <c r="N360" s="166"/>
      <c r="O360" s="166"/>
      <c r="Q360" s="19">
        <f t="shared" si="75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72"/>
        <v/>
      </c>
      <c r="I361" s="27" t="str">
        <f t="shared" si="72"/>
        <v/>
      </c>
      <c r="J361" s="27" t="str">
        <f t="shared" si="72"/>
        <v/>
      </c>
      <c r="K361" s="27" t="str">
        <f t="shared" si="72"/>
        <v/>
      </c>
      <c r="L361" s="28" t="str">
        <f t="shared" si="72"/>
        <v/>
      </c>
      <c r="M361" s="29" t="str">
        <f t="shared" si="73"/>
        <v/>
      </c>
      <c r="N361" s="167"/>
      <c r="O361" s="167"/>
      <c r="Q361" s="19">
        <f t="shared" si="75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72"/>
        <v/>
      </c>
      <c r="I362" s="27" t="str">
        <f t="shared" si="72"/>
        <v/>
      </c>
      <c r="J362" s="27" t="str">
        <f t="shared" si="72"/>
        <v/>
      </c>
      <c r="K362" s="27" t="str">
        <f t="shared" si="72"/>
        <v/>
      </c>
      <c r="L362" s="28" t="str">
        <f t="shared" si="72"/>
        <v/>
      </c>
      <c r="M362" s="29" t="str">
        <f t="shared" si="73"/>
        <v/>
      </c>
      <c r="N362" s="31">
        <f>SUM(L339:L369)</f>
        <v>0</v>
      </c>
      <c r="O362" s="31">
        <f>SUM(M339:M369)</f>
        <v>0</v>
      </c>
      <c r="Q362" s="19">
        <f t="shared" si="75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72"/>
        <v/>
      </c>
      <c r="I363" s="27" t="str">
        <f t="shared" si="72"/>
        <v/>
      </c>
      <c r="J363" s="27" t="str">
        <f t="shared" si="72"/>
        <v/>
      </c>
      <c r="K363" s="27" t="str">
        <f t="shared" si="72"/>
        <v/>
      </c>
      <c r="L363" s="28" t="str">
        <f t="shared" si="72"/>
        <v/>
      </c>
      <c r="M363" s="29" t="str">
        <f t="shared" si="73"/>
        <v/>
      </c>
      <c r="N363" s="165" t="s">
        <v>27</v>
      </c>
      <c r="O363" s="165" t="s">
        <v>28</v>
      </c>
      <c r="Q363" s="19">
        <f t="shared" si="75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72"/>
        <v/>
      </c>
      <c r="I364" s="27" t="str">
        <f t="shared" si="72"/>
        <v/>
      </c>
      <c r="J364" s="27" t="str">
        <f t="shared" si="72"/>
        <v/>
      </c>
      <c r="K364" s="27" t="str">
        <f t="shared" si="72"/>
        <v/>
      </c>
      <c r="L364" s="28" t="str">
        <f t="shared" si="72"/>
        <v/>
      </c>
      <c r="M364" s="29" t="str">
        <f t="shared" si="73"/>
        <v/>
      </c>
      <c r="N364" s="167"/>
      <c r="O364" s="167"/>
      <c r="Q364" s="19">
        <f t="shared" si="75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72"/>
        <v/>
      </c>
      <c r="I365" s="27" t="str">
        <f t="shared" si="72"/>
        <v/>
      </c>
      <c r="J365" s="27" t="str">
        <f t="shared" si="72"/>
        <v/>
      </c>
      <c r="K365" s="27" t="str">
        <f t="shared" si="72"/>
        <v/>
      </c>
      <c r="L365" s="28" t="str">
        <f t="shared" si="72"/>
        <v/>
      </c>
      <c r="M365" s="29" t="str">
        <f t="shared" si="73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75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72"/>
        <v/>
      </c>
      <c r="I366" s="27" t="str">
        <f t="shared" si="72"/>
        <v/>
      </c>
      <c r="J366" s="27" t="str">
        <f t="shared" si="72"/>
        <v/>
      </c>
      <c r="K366" s="27" t="str">
        <f t="shared" si="72"/>
        <v/>
      </c>
      <c r="L366" s="28" t="str">
        <f t="shared" si="72"/>
        <v/>
      </c>
      <c r="M366" s="29" t="str">
        <f t="shared" si="73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72"/>
        <v/>
      </c>
      <c r="I367" s="27" t="str">
        <f t="shared" si="72"/>
        <v/>
      </c>
      <c r="J367" s="27" t="str">
        <f t="shared" si="72"/>
        <v/>
      </c>
      <c r="K367" s="27" t="str">
        <f t="shared" si="72"/>
        <v/>
      </c>
      <c r="L367" s="28" t="str">
        <f t="shared" si="72"/>
        <v/>
      </c>
      <c r="M367" s="29" t="str">
        <f t="shared" si="73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76">IF(C368="","",+(C368-C367))</f>
        <v/>
      </c>
      <c r="I368" s="27" t="str">
        <f t="shared" si="76"/>
        <v/>
      </c>
      <c r="J368" s="27" t="str">
        <f t="shared" si="76"/>
        <v/>
      </c>
      <c r="K368" s="27" t="str">
        <f t="shared" si="76"/>
        <v/>
      </c>
      <c r="L368" s="28" t="str">
        <f t="shared" si="76"/>
        <v/>
      </c>
      <c r="M368" s="29" t="str">
        <f t="shared" si="73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75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50" workbookViewId="0">
      <selection activeCell="M83" sqref="M83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>IF(J76="","",+(J76/I76))</f>
        <v>1.2778386272360777E-2</v>
      </c>
      <c r="L76" s="57">
        <f>IF(F76="","",+(F76-F75)*4140)</f>
        <v>289.79999999997176</v>
      </c>
      <c r="M76" s="58">
        <f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>IF(J77="","",+(J77/I77))</f>
        <v>2.1832358674465223E-2</v>
      </c>
      <c r="L77" s="57">
        <f>IF(F77="","",+(F77-F76)*4140)</f>
        <v>463.68000000003718</v>
      </c>
      <c r="M77" s="58">
        <f>IF(L77="","",(L77/I77))</f>
        <v>2.1832358674465223E-2</v>
      </c>
      <c r="N77" s="59">
        <v>66068309</v>
      </c>
      <c r="O77" s="59">
        <f t="shared" ref="O77:O131" si="42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>IF(J78="","",+(J78/I78))</f>
        <v>2.0468924451061334E-2</v>
      </c>
      <c r="L78" s="57">
        <f>IF(F78="","",+(F78-F77)*4140)</f>
        <v>455.39999999999765</v>
      </c>
      <c r="M78" s="58">
        <f>IF(L78="","",(L78/I78))</f>
        <v>2.0468924451061334E-2</v>
      </c>
      <c r="N78" s="59">
        <v>66068309</v>
      </c>
      <c r="O78" s="59">
        <f t="shared" si="42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>IF(D79="","",+(E79-E78)*4140)</f>
        <v>22351.859999999535</v>
      </c>
      <c r="J79" s="57">
        <f>IF(E79="","",+(F79-F78)*4140)</f>
        <v>327.05999999997317</v>
      </c>
      <c r="K79" s="58">
        <f>IF(J79="","",+(J79/I79))</f>
        <v>1.4632339322095789E-2</v>
      </c>
      <c r="L79" s="57">
        <f>IF(F79="","",+(F79-F78)*4140)</f>
        <v>327.05999999997317</v>
      </c>
      <c r="M79" s="58">
        <f>IF(L79="","",(L79/I79))</f>
        <v>1.4632339322095789E-2</v>
      </c>
      <c r="N79" s="59">
        <v>66068309</v>
      </c>
      <c r="O79" s="59">
        <f t="shared" si="42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>IF(D80="","",+(E80-E79)*4140)</f>
        <v>24206.58000000086</v>
      </c>
      <c r="J80" s="57">
        <f>IF(E80="","",+(F80-F79)*4140)</f>
        <v>285.66000000001083</v>
      </c>
      <c r="K80" s="58">
        <f>IF(J80="","",+(J80/I80))</f>
        <v>1.1800923550538765E-2</v>
      </c>
      <c r="L80" s="57">
        <f>IF(F80="","",+(F80-F79)*4140)</f>
        <v>285.66000000001083</v>
      </c>
      <c r="M80" s="58">
        <f>IF(L80="","",(L80/I80))</f>
        <v>1.1800923550538765E-2</v>
      </c>
      <c r="N80" s="59">
        <v>66068309</v>
      </c>
      <c r="O80" s="59">
        <f t="shared" si="42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>IF(D81="","",+(E81-E80)*4140)</f>
        <v>23622.840000000542</v>
      </c>
      <c r="J81" s="57">
        <f>IF(E81="","",+(F81-F80)*4140)</f>
        <v>451.25999999997788</v>
      </c>
      <c r="K81" s="58">
        <f>IF(J81="","",+(J81/I81))</f>
        <v>1.9102698913423092E-2</v>
      </c>
      <c r="L81" s="57">
        <f>IF(F81="","",+(F81-F80)*4140)</f>
        <v>451.25999999997788</v>
      </c>
      <c r="M81" s="58">
        <f>IF(L81="","",(L81/I81))</f>
        <v>1.9102698913423092E-2</v>
      </c>
      <c r="N81" s="59">
        <v>66068309</v>
      </c>
      <c r="O81" s="59">
        <f t="shared" si="42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>IF(D82="","",+(E82-E81)*4140)</f>
        <v>23833.980000000258</v>
      </c>
      <c r="J82" s="57">
        <f>IF(E82="","",+(F82-F81)*4140)</f>
        <v>385.02000000001459</v>
      </c>
      <c r="K82" s="58">
        <f>IF(J82="","",+(J82/I82))</f>
        <v>1.6154247003648172E-2</v>
      </c>
      <c r="L82" s="57">
        <f>IF(F82="","",+(F82-F81)*4140)</f>
        <v>385.02000000001459</v>
      </c>
      <c r="M82" s="58">
        <f>IF(L82="","",(L82/I82))</f>
        <v>1.6154247003648172E-2</v>
      </c>
      <c r="N82" s="59">
        <v>66068309</v>
      </c>
      <c r="O82" s="59">
        <f t="shared" si="42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ref="I80:I143" si="43">IF(D83="","",+(E83-E82)*4140)</f>
        <v/>
      </c>
      <c r="J83" s="57" t="str">
        <f t="shared" ref="J80:J143" si="44">IF(E83="","",+(F83-F82)*4140)</f>
        <v/>
      </c>
      <c r="K83" s="58" t="str">
        <f t="shared" ref="K80:K140" si="45">IF(J83="","",+(J83/I83))</f>
        <v/>
      </c>
      <c r="L83" s="57" t="str">
        <f t="shared" ref="L80:L140" si="46">IF(F83="","",+(F83-F82)*4140)</f>
        <v/>
      </c>
      <c r="M83" s="58" t="str">
        <f t="shared" ref="M80:M140" si="47">IF(L83="","",(L83/I83))</f>
        <v/>
      </c>
      <c r="N83" s="59">
        <v>66068309</v>
      </c>
      <c r="O83" s="59">
        <f t="shared" si="42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43"/>
        <v/>
      </c>
      <c r="J84" s="57" t="str">
        <f t="shared" si="44"/>
        <v/>
      </c>
      <c r="K84" s="58" t="str">
        <f>IF(J84="","",+(J84/I84))</f>
        <v/>
      </c>
      <c r="L84" s="57" t="str">
        <f t="shared" si="46"/>
        <v/>
      </c>
      <c r="M84" s="58" t="str">
        <f t="shared" si="47"/>
        <v/>
      </c>
      <c r="N84" s="59">
        <v>66068309</v>
      </c>
      <c r="O84" s="59">
        <f t="shared" si="42"/>
        <v>0</v>
      </c>
      <c r="P84" s="67">
        <f>IF(J63="",0,+SUM(J63:J93)/SUM(I63:I93))</f>
        <v>1.972446052367122E-2</v>
      </c>
      <c r="Q84" s="67">
        <f>IF(L63="",0,+SUM(L63:L93)/SUM(I63:I93))</f>
        <v>1.972446052367122E-2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43"/>
        <v/>
      </c>
      <c r="J85" s="57" t="str">
        <f t="shared" si="44"/>
        <v/>
      </c>
      <c r="K85" s="58" t="str">
        <f t="shared" si="45"/>
        <v/>
      </c>
      <c r="L85" s="57" t="str">
        <f t="shared" si="46"/>
        <v/>
      </c>
      <c r="M85" s="58" t="str">
        <f t="shared" si="47"/>
        <v/>
      </c>
      <c r="N85" s="59">
        <v>66068309</v>
      </c>
      <c r="O85" s="59">
        <f t="shared" si="42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43"/>
        <v/>
      </c>
      <c r="J86" s="57" t="str">
        <f t="shared" si="44"/>
        <v/>
      </c>
      <c r="K86" s="58" t="str">
        <f t="shared" si="45"/>
        <v/>
      </c>
      <c r="L86" s="57" t="str">
        <f t="shared" si="46"/>
        <v/>
      </c>
      <c r="M86" s="58" t="str">
        <f t="shared" si="47"/>
        <v/>
      </c>
      <c r="N86" s="59">
        <v>66068309</v>
      </c>
      <c r="O86" s="59">
        <f t="shared" si="42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43"/>
        <v/>
      </c>
      <c r="J87" s="57" t="str">
        <f t="shared" si="44"/>
        <v/>
      </c>
      <c r="K87" s="58" t="str">
        <f t="shared" si="45"/>
        <v/>
      </c>
      <c r="L87" s="57" t="str">
        <f>IF(F87="","",+(F87-F86)*4140)</f>
        <v/>
      </c>
      <c r="M87" s="58" t="str">
        <f t="shared" si="47"/>
        <v/>
      </c>
      <c r="N87" s="59">
        <v>66068309</v>
      </c>
      <c r="O87" s="59">
        <f t="shared" si="42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43"/>
        <v/>
      </c>
      <c r="J88" s="57" t="str">
        <f t="shared" si="44"/>
        <v/>
      </c>
      <c r="K88" s="58" t="str">
        <f t="shared" si="45"/>
        <v/>
      </c>
      <c r="L88" s="57" t="str">
        <f>IF(F88="","",+(F88-F87)*4140)</f>
        <v/>
      </c>
      <c r="M88" s="58" t="str">
        <f t="shared" si="47"/>
        <v/>
      </c>
      <c r="N88" s="59">
        <v>66068309</v>
      </c>
      <c r="O88" s="59">
        <f t="shared" si="42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43"/>
        <v/>
      </c>
      <c r="J89" s="57" t="str">
        <f t="shared" si="44"/>
        <v/>
      </c>
      <c r="K89" s="58" t="str">
        <f t="shared" si="45"/>
        <v/>
      </c>
      <c r="L89" s="57" t="str">
        <f>IF(F89="","",+(F89-F88)*4140)</f>
        <v/>
      </c>
      <c r="M89" s="58" t="str">
        <f t="shared" si="47"/>
        <v/>
      </c>
      <c r="N89" s="59">
        <v>66068309</v>
      </c>
      <c r="O89" s="59">
        <f t="shared" si="42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43"/>
        <v/>
      </c>
      <c r="J90" s="57" t="str">
        <f t="shared" si="44"/>
        <v/>
      </c>
      <c r="K90" s="58" t="str">
        <f t="shared" si="45"/>
        <v/>
      </c>
      <c r="L90" s="57" t="str">
        <f t="shared" si="46"/>
        <v/>
      </c>
      <c r="M90" s="58" t="str">
        <f t="shared" si="47"/>
        <v/>
      </c>
      <c r="N90" s="59">
        <v>66068309</v>
      </c>
      <c r="O90" s="59">
        <f t="shared" si="42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43"/>
        <v/>
      </c>
      <c r="J91" s="57" t="str">
        <f t="shared" si="44"/>
        <v/>
      </c>
      <c r="K91" s="58" t="str">
        <f t="shared" si="45"/>
        <v/>
      </c>
      <c r="L91" s="57" t="str">
        <f t="shared" si="46"/>
        <v/>
      </c>
      <c r="M91" s="58" t="str">
        <f t="shared" si="47"/>
        <v/>
      </c>
      <c r="N91" s="59">
        <v>66068309</v>
      </c>
      <c r="O91" s="59">
        <f t="shared" si="42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43"/>
        <v/>
      </c>
      <c r="J92" s="57" t="str">
        <f t="shared" si="44"/>
        <v/>
      </c>
      <c r="K92" s="58" t="str">
        <f t="shared" si="45"/>
        <v/>
      </c>
      <c r="L92" s="57" t="str">
        <f t="shared" si="46"/>
        <v/>
      </c>
      <c r="M92" s="58" t="str">
        <f t="shared" si="47"/>
        <v/>
      </c>
      <c r="N92" s="59">
        <v>66068309</v>
      </c>
      <c r="O92" s="59">
        <f t="shared" si="42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43"/>
        <v/>
      </c>
      <c r="J93" s="57" t="str">
        <f t="shared" si="44"/>
        <v/>
      </c>
      <c r="K93" s="58" t="str">
        <f t="shared" si="45"/>
        <v/>
      </c>
      <c r="L93" s="57" t="str">
        <f t="shared" si="46"/>
        <v/>
      </c>
      <c r="M93" s="58" t="str">
        <f t="shared" si="47"/>
        <v/>
      </c>
      <c r="N93" s="59">
        <v>66068309</v>
      </c>
      <c r="O93" s="59">
        <f t="shared" si="42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43"/>
        <v/>
      </c>
      <c r="J94" s="57" t="str">
        <f t="shared" si="44"/>
        <v/>
      </c>
      <c r="K94" s="58" t="str">
        <f t="shared" si="45"/>
        <v/>
      </c>
      <c r="L94" s="57" t="str">
        <f t="shared" si="46"/>
        <v/>
      </c>
      <c r="M94" s="58" t="str">
        <f t="shared" si="47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43"/>
        <v/>
      </c>
      <c r="J95" s="57" t="str">
        <f t="shared" si="44"/>
        <v/>
      </c>
      <c r="K95" s="58" t="str">
        <f t="shared" si="45"/>
        <v/>
      </c>
      <c r="L95" s="57" t="str">
        <f t="shared" si="46"/>
        <v/>
      </c>
      <c r="M95" s="58" t="str">
        <f t="shared" si="47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43"/>
        <v/>
      </c>
      <c r="J96" s="57" t="str">
        <f t="shared" si="44"/>
        <v/>
      </c>
      <c r="K96" s="58" t="str">
        <f t="shared" si="45"/>
        <v/>
      </c>
      <c r="L96" s="57" t="str">
        <f t="shared" si="46"/>
        <v/>
      </c>
      <c r="M96" s="58" t="str">
        <f t="shared" si="47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43"/>
        <v/>
      </c>
      <c r="J97" s="57" t="str">
        <f t="shared" si="44"/>
        <v/>
      </c>
      <c r="K97" s="58" t="str">
        <f t="shared" si="45"/>
        <v/>
      </c>
      <c r="L97" s="57" t="str">
        <f t="shared" si="46"/>
        <v/>
      </c>
      <c r="M97" s="58" t="str">
        <f t="shared" si="47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48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43"/>
        <v/>
      </c>
      <c r="J98" s="57" t="str">
        <f t="shared" si="44"/>
        <v/>
      </c>
      <c r="K98" s="58" t="str">
        <f t="shared" si="45"/>
        <v/>
      </c>
      <c r="L98" s="57" t="str">
        <f t="shared" si="46"/>
        <v/>
      </c>
      <c r="M98" s="58" t="str">
        <f t="shared" si="47"/>
        <v/>
      </c>
      <c r="N98" s="59">
        <v>66068309</v>
      </c>
      <c r="O98" s="59">
        <f t="shared" si="42"/>
        <v>0</v>
      </c>
      <c r="P98" s="93"/>
      <c r="Q98" s="92"/>
      <c r="R98" s="19">
        <f t="shared" si="48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43"/>
        <v/>
      </c>
      <c r="J99" s="57" t="str">
        <f t="shared" si="44"/>
        <v/>
      </c>
      <c r="K99" s="58" t="str">
        <f t="shared" si="45"/>
        <v/>
      </c>
      <c r="L99" s="57" t="str">
        <f t="shared" si="46"/>
        <v/>
      </c>
      <c r="M99" s="58" t="str">
        <f t="shared" si="47"/>
        <v/>
      </c>
      <c r="N99" s="59">
        <v>66068309</v>
      </c>
      <c r="O99" s="59">
        <f t="shared" si="42"/>
        <v>0</v>
      </c>
      <c r="P99" s="60"/>
      <c r="Q99" s="61"/>
      <c r="R99" s="19">
        <f t="shared" si="48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43"/>
        <v/>
      </c>
      <c r="J100" s="57" t="str">
        <f t="shared" si="44"/>
        <v/>
      </c>
      <c r="K100" s="58" t="str">
        <f t="shared" si="45"/>
        <v/>
      </c>
      <c r="L100" s="57" t="str">
        <f t="shared" si="46"/>
        <v/>
      </c>
      <c r="M100" s="58" t="str">
        <f t="shared" si="47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48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43"/>
        <v/>
      </c>
      <c r="J101" s="57" t="str">
        <f t="shared" si="44"/>
        <v/>
      </c>
      <c r="K101" s="58" t="str">
        <f t="shared" si="45"/>
        <v/>
      </c>
      <c r="L101" s="57" t="str">
        <f t="shared" si="46"/>
        <v/>
      </c>
      <c r="M101" s="58" t="str">
        <f t="shared" si="47"/>
        <v/>
      </c>
      <c r="N101" s="59">
        <v>66068309</v>
      </c>
      <c r="O101" s="59">
        <f t="shared" si="42"/>
        <v>0</v>
      </c>
      <c r="P101" s="60"/>
      <c r="Q101" s="62"/>
      <c r="R101" s="19">
        <f t="shared" si="48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43"/>
        <v/>
      </c>
      <c r="J102" s="57" t="str">
        <f t="shared" si="44"/>
        <v/>
      </c>
      <c r="K102" s="58" t="str">
        <f t="shared" si="45"/>
        <v/>
      </c>
      <c r="L102" s="57" t="str">
        <f t="shared" si="46"/>
        <v/>
      </c>
      <c r="M102" s="58" t="str">
        <f t="shared" si="47"/>
        <v/>
      </c>
      <c r="N102" s="59">
        <v>66068309</v>
      </c>
      <c r="O102" s="59">
        <f t="shared" si="42"/>
        <v>0</v>
      </c>
      <c r="P102" s="60"/>
      <c r="Q102" s="62"/>
      <c r="R102" s="19">
        <f t="shared" si="48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44"/>
        <v/>
      </c>
      <c r="K103" s="58" t="str">
        <f t="shared" si="45"/>
        <v/>
      </c>
      <c r="L103" s="57" t="str">
        <f t="shared" si="46"/>
        <v/>
      </c>
      <c r="M103" s="58" t="str">
        <f t="shared" si="47"/>
        <v/>
      </c>
      <c r="N103" s="59">
        <v>66068309</v>
      </c>
      <c r="O103" s="59">
        <f t="shared" si="42"/>
        <v>0</v>
      </c>
      <c r="P103" s="60"/>
      <c r="Q103" s="61"/>
      <c r="R103" s="19">
        <f t="shared" si="48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44"/>
        <v/>
      </c>
      <c r="K104" s="58" t="str">
        <f t="shared" si="45"/>
        <v/>
      </c>
      <c r="L104" s="57" t="str">
        <f t="shared" si="46"/>
        <v/>
      </c>
      <c r="M104" s="58" t="str">
        <f t="shared" si="47"/>
        <v/>
      </c>
      <c r="N104" s="59">
        <v>66068309</v>
      </c>
      <c r="O104" s="59">
        <f t="shared" si="42"/>
        <v>0</v>
      </c>
      <c r="P104" s="60"/>
      <c r="Q104" s="61"/>
      <c r="R104" s="19">
        <f t="shared" si="48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43"/>
        <v/>
      </c>
      <c r="J105" s="57" t="str">
        <f t="shared" si="44"/>
        <v/>
      </c>
      <c r="K105" s="58" t="str">
        <f t="shared" si="45"/>
        <v/>
      </c>
      <c r="L105" s="57" t="str">
        <f t="shared" si="46"/>
        <v/>
      </c>
      <c r="M105" s="58" t="str">
        <f t="shared" si="47"/>
        <v/>
      </c>
      <c r="N105" s="59">
        <v>66068309</v>
      </c>
      <c r="O105" s="59">
        <f t="shared" si="42"/>
        <v>0</v>
      </c>
      <c r="P105" s="60"/>
      <c r="Q105" s="62"/>
      <c r="R105" s="19">
        <f t="shared" si="48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43"/>
        <v/>
      </c>
      <c r="J106" s="57" t="str">
        <f t="shared" si="44"/>
        <v/>
      </c>
      <c r="K106" s="58" t="str">
        <f t="shared" si="45"/>
        <v/>
      </c>
      <c r="L106" s="57" t="str">
        <f t="shared" si="46"/>
        <v/>
      </c>
      <c r="M106" s="58" t="str">
        <f t="shared" si="47"/>
        <v/>
      </c>
      <c r="N106" s="59">
        <v>66068309</v>
      </c>
      <c r="O106" s="59">
        <f t="shared" si="42"/>
        <v>0</v>
      </c>
      <c r="P106" s="60"/>
      <c r="Q106" s="62"/>
      <c r="R106" s="19">
        <f t="shared" si="48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43"/>
        <v/>
      </c>
      <c r="J107" s="57" t="str">
        <f t="shared" si="44"/>
        <v/>
      </c>
      <c r="K107" s="58" t="str">
        <f t="shared" si="45"/>
        <v/>
      </c>
      <c r="L107" s="57" t="str">
        <f t="shared" si="46"/>
        <v/>
      </c>
      <c r="M107" s="58" t="str">
        <f t="shared" si="47"/>
        <v/>
      </c>
      <c r="N107" s="59">
        <v>66068309</v>
      </c>
      <c r="O107" s="59">
        <f t="shared" si="42"/>
        <v>0</v>
      </c>
      <c r="P107" s="60"/>
      <c r="Q107" s="61"/>
      <c r="R107" s="19">
        <f t="shared" si="48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43"/>
        <v/>
      </c>
      <c r="J108" s="57" t="str">
        <f t="shared" si="44"/>
        <v/>
      </c>
      <c r="K108" s="58" t="str">
        <f t="shared" si="45"/>
        <v/>
      </c>
      <c r="L108" s="57" t="str">
        <f t="shared" si="46"/>
        <v/>
      </c>
      <c r="M108" s="58" t="str">
        <f t="shared" si="47"/>
        <v/>
      </c>
      <c r="N108" s="59">
        <v>66068309</v>
      </c>
      <c r="O108" s="59">
        <f t="shared" si="42"/>
        <v>0</v>
      </c>
      <c r="P108" s="60"/>
      <c r="Q108" s="61"/>
      <c r="R108" s="19">
        <f t="shared" si="48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43"/>
        <v/>
      </c>
      <c r="J109" s="57" t="str">
        <f t="shared" si="44"/>
        <v/>
      </c>
      <c r="K109" s="58" t="str">
        <f t="shared" si="45"/>
        <v/>
      </c>
      <c r="L109" s="57" t="str">
        <f t="shared" si="46"/>
        <v/>
      </c>
      <c r="M109" s="58" t="str">
        <f t="shared" si="47"/>
        <v/>
      </c>
      <c r="N109" s="59">
        <v>66068309</v>
      </c>
      <c r="O109" s="59">
        <f t="shared" si="42"/>
        <v>0</v>
      </c>
      <c r="P109" s="60"/>
      <c r="Q109" s="61"/>
      <c r="R109" s="19">
        <f t="shared" si="48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43"/>
        <v/>
      </c>
      <c r="J110" s="57" t="str">
        <f t="shared" si="44"/>
        <v/>
      </c>
      <c r="K110" s="58" t="str">
        <f t="shared" si="45"/>
        <v/>
      </c>
      <c r="L110" s="57" t="str">
        <f t="shared" si="46"/>
        <v/>
      </c>
      <c r="M110" s="58" t="str">
        <f t="shared" si="47"/>
        <v/>
      </c>
      <c r="N110" s="59">
        <v>66068309</v>
      </c>
      <c r="O110" s="59">
        <f t="shared" si="42"/>
        <v>0</v>
      </c>
      <c r="P110" s="60"/>
      <c r="Q110" s="95"/>
      <c r="R110" s="19">
        <f t="shared" si="48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43"/>
        <v/>
      </c>
      <c r="J111" s="57" t="str">
        <f t="shared" si="44"/>
        <v/>
      </c>
      <c r="K111" s="58" t="str">
        <f t="shared" si="45"/>
        <v/>
      </c>
      <c r="L111" s="57" t="str">
        <f t="shared" si="46"/>
        <v/>
      </c>
      <c r="M111" s="58" t="str">
        <f t="shared" si="47"/>
        <v/>
      </c>
      <c r="N111" s="59">
        <v>66068309</v>
      </c>
      <c r="O111" s="59">
        <f t="shared" si="42"/>
        <v>0</v>
      </c>
      <c r="P111" s="169" t="s">
        <v>66</v>
      </c>
      <c r="Q111" s="170"/>
      <c r="R111" s="19">
        <f t="shared" si="48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43"/>
        <v/>
      </c>
      <c r="J112" s="57" t="str">
        <f t="shared" si="44"/>
        <v/>
      </c>
      <c r="K112" s="58" t="str">
        <f t="shared" si="45"/>
        <v/>
      </c>
      <c r="L112" s="57" t="str">
        <f t="shared" si="46"/>
        <v/>
      </c>
      <c r="M112" s="58" t="str">
        <f t="shared" si="47"/>
        <v/>
      </c>
      <c r="N112" s="59">
        <v>66068309</v>
      </c>
      <c r="O112" s="59">
        <f t="shared" si="42"/>
        <v>0</v>
      </c>
      <c r="P112" s="171"/>
      <c r="Q112" s="172"/>
      <c r="R112" s="19">
        <f t="shared" si="48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43"/>
        <v/>
      </c>
      <c r="J113" s="57" t="str">
        <f t="shared" si="44"/>
        <v/>
      </c>
      <c r="K113" s="58" t="str">
        <f t="shared" si="45"/>
        <v/>
      </c>
      <c r="L113" s="57" t="str">
        <f t="shared" si="46"/>
        <v/>
      </c>
      <c r="M113" s="58" t="str">
        <f t="shared" si="47"/>
        <v/>
      </c>
      <c r="N113" s="59">
        <v>66068309</v>
      </c>
      <c r="O113" s="59">
        <f t="shared" si="42"/>
        <v>0</v>
      </c>
      <c r="P113" s="66" t="s">
        <v>51</v>
      </c>
      <c r="Q113" s="66" t="s">
        <v>52</v>
      </c>
      <c r="R113" s="19">
        <f t="shared" si="48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43"/>
        <v/>
      </c>
      <c r="J114" s="57" t="str">
        <f t="shared" si="44"/>
        <v/>
      </c>
      <c r="K114" s="58" t="str">
        <f t="shared" si="45"/>
        <v/>
      </c>
      <c r="L114" s="57" t="str">
        <f t="shared" si="46"/>
        <v/>
      </c>
      <c r="M114" s="58" t="str">
        <f t="shared" si="47"/>
        <v/>
      </c>
      <c r="N114" s="59">
        <v>66068309</v>
      </c>
      <c r="O114" s="59">
        <f t="shared" si="42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48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43"/>
        <v/>
      </c>
      <c r="J115" s="57" t="str">
        <f t="shared" si="44"/>
        <v/>
      </c>
      <c r="K115" s="58" t="str">
        <f t="shared" si="45"/>
        <v/>
      </c>
      <c r="L115" s="57" t="str">
        <f t="shared" si="46"/>
        <v/>
      </c>
      <c r="M115" s="58" t="str">
        <f t="shared" si="47"/>
        <v/>
      </c>
      <c r="N115" s="59">
        <v>66068309</v>
      </c>
      <c r="O115" s="59">
        <f t="shared" si="42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48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45"/>
        <v/>
      </c>
      <c r="L116" s="57" t="str">
        <f t="shared" si="46"/>
        <v/>
      </c>
      <c r="M116" s="58" t="str">
        <f t="shared" si="47"/>
        <v/>
      </c>
      <c r="N116" s="59">
        <v>66068309</v>
      </c>
      <c r="O116" s="59">
        <f t="shared" si="42"/>
        <v>0</v>
      </c>
      <c r="P116" s="69" t="s">
        <v>53</v>
      </c>
      <c r="Q116" s="70" t="s">
        <v>54</v>
      </c>
      <c r="R116" s="19">
        <f t="shared" si="48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45"/>
        <v/>
      </c>
      <c r="L117" s="57" t="str">
        <f t="shared" si="46"/>
        <v/>
      </c>
      <c r="M117" s="58" t="str">
        <f t="shared" si="47"/>
        <v/>
      </c>
      <c r="N117" s="59">
        <v>66068309</v>
      </c>
      <c r="O117" s="59">
        <f t="shared" si="42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48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44"/>
        <v/>
      </c>
      <c r="K118" s="58" t="str">
        <f t="shared" si="45"/>
        <v/>
      </c>
      <c r="L118" s="57" t="str">
        <f t="shared" si="46"/>
        <v/>
      </c>
      <c r="M118" s="58" t="str">
        <f t="shared" si="47"/>
        <v/>
      </c>
      <c r="N118" s="59">
        <v>66068309</v>
      </c>
      <c r="O118" s="59">
        <f t="shared" si="42"/>
        <v>0</v>
      </c>
      <c r="P118" s="73" t="s">
        <v>55</v>
      </c>
      <c r="Q118" s="74" t="s">
        <v>63</v>
      </c>
      <c r="R118" s="19">
        <f t="shared" si="48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43"/>
        <v/>
      </c>
      <c r="J119" s="57" t="str">
        <f t="shared" si="44"/>
        <v/>
      </c>
      <c r="K119" s="58" t="str">
        <f t="shared" si="45"/>
        <v/>
      </c>
      <c r="L119" s="57" t="str">
        <f t="shared" si="46"/>
        <v/>
      </c>
      <c r="M119" s="58" t="str">
        <f t="shared" si="47"/>
        <v/>
      </c>
      <c r="N119" s="59">
        <v>66068309</v>
      </c>
      <c r="O119" s="59">
        <f t="shared" si="42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48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43"/>
        <v/>
      </c>
      <c r="J120" s="57" t="str">
        <f t="shared" si="44"/>
        <v/>
      </c>
      <c r="K120" s="58" t="str">
        <f t="shared" si="45"/>
        <v/>
      </c>
      <c r="L120" s="57" t="str">
        <f t="shared" si="46"/>
        <v/>
      </c>
      <c r="M120" s="58" t="str">
        <f t="shared" si="47"/>
        <v/>
      </c>
      <c r="N120" s="59">
        <v>66068309</v>
      </c>
      <c r="O120" s="59">
        <f t="shared" si="42"/>
        <v>0</v>
      </c>
      <c r="P120" s="160" t="s">
        <v>57</v>
      </c>
      <c r="Q120" s="161" t="s">
        <v>64</v>
      </c>
      <c r="R120" s="19">
        <f t="shared" si="48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43"/>
        <v/>
      </c>
      <c r="J121" s="57" t="str">
        <f t="shared" si="44"/>
        <v/>
      </c>
      <c r="K121" s="58" t="str">
        <f t="shared" si="45"/>
        <v/>
      </c>
      <c r="L121" s="57" t="str">
        <f t="shared" si="46"/>
        <v/>
      </c>
      <c r="M121" s="58" t="str">
        <f t="shared" si="47"/>
        <v/>
      </c>
      <c r="N121" s="59">
        <v>66068309</v>
      </c>
      <c r="O121" s="59">
        <f t="shared" si="42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48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43"/>
        <v/>
      </c>
      <c r="J122" s="57" t="str">
        <f t="shared" si="44"/>
        <v/>
      </c>
      <c r="K122" s="58" t="str">
        <f t="shared" si="45"/>
        <v/>
      </c>
      <c r="L122" s="57" t="str">
        <f t="shared" si="46"/>
        <v/>
      </c>
      <c r="M122" s="58" t="str">
        <f t="shared" si="47"/>
        <v/>
      </c>
      <c r="N122" s="59">
        <v>66068309</v>
      </c>
      <c r="O122" s="59">
        <f t="shared" si="42"/>
        <v>0</v>
      </c>
      <c r="P122" s="162" t="s">
        <v>59</v>
      </c>
      <c r="Q122" s="163" t="s">
        <v>60</v>
      </c>
      <c r="R122" s="19">
        <f t="shared" si="48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43"/>
        <v/>
      </c>
      <c r="J123" s="57" t="str">
        <f t="shared" si="44"/>
        <v/>
      </c>
      <c r="K123" s="58" t="str">
        <f t="shared" si="45"/>
        <v/>
      </c>
      <c r="L123" s="57" t="str">
        <f t="shared" si="46"/>
        <v/>
      </c>
      <c r="M123" s="58" t="str">
        <f t="shared" si="47"/>
        <v/>
      </c>
      <c r="N123" s="83">
        <v>66068309</v>
      </c>
      <c r="O123" s="84">
        <f t="shared" si="42"/>
        <v>0</v>
      </c>
      <c r="P123" s="85">
        <f>(P121+Q119*SUM(S94:S123)*Q124)</f>
        <v>0</v>
      </c>
      <c r="Q123" s="86">
        <f>Q119*30</f>
        <v>0</v>
      </c>
      <c r="R123" s="19">
        <f t="shared" si="48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43"/>
        <v/>
      </c>
      <c r="J124" s="57" t="str">
        <f t="shared" si="44"/>
        <v/>
      </c>
      <c r="K124" s="58" t="str">
        <f t="shared" si="45"/>
        <v/>
      </c>
      <c r="L124" s="57" t="str">
        <f t="shared" si="46"/>
        <v/>
      </c>
      <c r="M124" s="58" t="str">
        <f t="shared" si="47"/>
        <v/>
      </c>
      <c r="N124" s="59">
        <v>66068309</v>
      </c>
      <c r="O124" s="59">
        <f t="shared" si="42"/>
        <v>0</v>
      </c>
      <c r="P124" s="87" t="s">
        <v>61</v>
      </c>
      <c r="Q124" s="88">
        <v>0.56999999999999995</v>
      </c>
      <c r="R124" s="19">
        <f t="shared" si="48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43"/>
        <v/>
      </c>
      <c r="J125" s="57" t="str">
        <f t="shared" si="44"/>
        <v/>
      </c>
      <c r="K125" s="58" t="str">
        <f t="shared" si="45"/>
        <v/>
      </c>
      <c r="L125" s="57" t="str">
        <f t="shared" si="46"/>
        <v/>
      </c>
      <c r="M125" s="58" t="str">
        <f t="shared" si="47"/>
        <v/>
      </c>
      <c r="N125" s="59">
        <v>66068309</v>
      </c>
      <c r="O125" s="59">
        <f t="shared" si="42"/>
        <v>0</v>
      </c>
      <c r="P125" s="60"/>
      <c r="Q125" s="95"/>
      <c r="R125" s="19">
        <f t="shared" si="48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43"/>
        <v/>
      </c>
      <c r="J126" s="57" t="str">
        <f t="shared" si="44"/>
        <v/>
      </c>
      <c r="K126" s="58" t="str">
        <f t="shared" si="45"/>
        <v/>
      </c>
      <c r="L126" s="57" t="str">
        <f t="shared" si="46"/>
        <v/>
      </c>
      <c r="M126" s="58" t="str">
        <f t="shared" si="47"/>
        <v/>
      </c>
      <c r="N126" s="59">
        <v>66068309</v>
      </c>
      <c r="O126" s="59">
        <f t="shared" si="42"/>
        <v>0</v>
      </c>
      <c r="P126" s="91"/>
      <c r="Q126" s="92"/>
      <c r="R126" s="19">
        <f t="shared" si="48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43"/>
        <v/>
      </c>
      <c r="J127" s="57" t="str">
        <f t="shared" si="44"/>
        <v/>
      </c>
      <c r="K127" s="58" t="str">
        <f t="shared" si="45"/>
        <v/>
      </c>
      <c r="L127" s="57" t="str">
        <f t="shared" si="46"/>
        <v/>
      </c>
      <c r="M127" s="58" t="str">
        <f t="shared" si="47"/>
        <v/>
      </c>
      <c r="N127" s="59">
        <v>66068309</v>
      </c>
      <c r="O127" s="59">
        <f t="shared" si="42"/>
        <v>0</v>
      </c>
      <c r="P127" s="93"/>
      <c r="Q127" s="94"/>
      <c r="R127" s="19">
        <f t="shared" si="48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43"/>
        <v/>
      </c>
      <c r="J128" s="57" t="str">
        <f t="shared" si="44"/>
        <v/>
      </c>
      <c r="K128" s="58" t="str">
        <f t="shared" si="45"/>
        <v/>
      </c>
      <c r="L128" s="57" t="str">
        <f t="shared" si="46"/>
        <v/>
      </c>
      <c r="M128" s="58" t="str">
        <f t="shared" si="47"/>
        <v/>
      </c>
      <c r="N128" s="59">
        <v>66068309</v>
      </c>
      <c r="O128" s="59">
        <f t="shared" si="42"/>
        <v>0</v>
      </c>
      <c r="P128" s="93"/>
      <c r="Q128" s="92"/>
      <c r="R128" s="19">
        <f t="shared" si="48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43"/>
        <v/>
      </c>
      <c r="J129" s="57" t="str">
        <f t="shared" si="44"/>
        <v/>
      </c>
      <c r="K129" s="58" t="str">
        <f t="shared" si="45"/>
        <v/>
      </c>
      <c r="L129" s="57" t="str">
        <f t="shared" si="46"/>
        <v/>
      </c>
      <c r="M129" s="58" t="str">
        <f t="shared" si="47"/>
        <v/>
      </c>
      <c r="N129" s="59">
        <v>66068309</v>
      </c>
      <c r="O129" s="59">
        <f t="shared" si="42"/>
        <v>0</v>
      </c>
      <c r="P129" s="60"/>
      <c r="Q129" s="61"/>
      <c r="R129" s="19">
        <f t="shared" si="48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43"/>
        <v/>
      </c>
      <c r="J130" s="57" t="str">
        <f t="shared" si="44"/>
        <v/>
      </c>
      <c r="K130" s="58" t="str">
        <f t="shared" si="45"/>
        <v/>
      </c>
      <c r="L130" s="57" t="str">
        <f t="shared" si="46"/>
        <v/>
      </c>
      <c r="M130" s="58" t="str">
        <f t="shared" si="47"/>
        <v/>
      </c>
      <c r="N130" s="59">
        <v>66068309</v>
      </c>
      <c r="O130" s="59">
        <f t="shared" si="42"/>
        <v>0</v>
      </c>
      <c r="P130" s="60"/>
      <c r="Q130" s="61"/>
      <c r="R130" s="19">
        <f t="shared" si="48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43"/>
        <v/>
      </c>
      <c r="J131" s="57" t="str">
        <f t="shared" si="44"/>
        <v/>
      </c>
      <c r="K131" s="58" t="str">
        <f t="shared" si="45"/>
        <v/>
      </c>
      <c r="L131" s="57" t="str">
        <f t="shared" si="46"/>
        <v/>
      </c>
      <c r="M131" s="58" t="str">
        <f t="shared" si="47"/>
        <v/>
      </c>
      <c r="N131" s="59">
        <v>66068309</v>
      </c>
      <c r="O131" s="59">
        <f t="shared" si="42"/>
        <v>0</v>
      </c>
      <c r="P131" s="60"/>
      <c r="Q131" s="62"/>
      <c r="R131" s="19">
        <f t="shared" si="48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43"/>
        <v/>
      </c>
      <c r="J132" s="57" t="str">
        <f t="shared" si="44"/>
        <v/>
      </c>
      <c r="K132" s="58" t="str">
        <f t="shared" si="45"/>
        <v/>
      </c>
      <c r="L132" s="57" t="str">
        <f t="shared" si="46"/>
        <v/>
      </c>
      <c r="M132" s="58" t="str">
        <f t="shared" si="47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48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43"/>
        <v/>
      </c>
      <c r="J133" s="57" t="str">
        <f t="shared" si="44"/>
        <v/>
      </c>
      <c r="K133" s="58" t="str">
        <f t="shared" si="45"/>
        <v/>
      </c>
      <c r="L133" s="57" t="str">
        <f t="shared" si="46"/>
        <v/>
      </c>
      <c r="M133" s="58" t="str">
        <f t="shared" si="47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48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43"/>
        <v/>
      </c>
      <c r="J134" s="57" t="str">
        <f t="shared" si="44"/>
        <v/>
      </c>
      <c r="K134" s="58" t="str">
        <f t="shared" si="45"/>
        <v/>
      </c>
      <c r="L134" s="57" t="str">
        <f t="shared" si="46"/>
        <v/>
      </c>
      <c r="M134" s="58" t="str">
        <f t="shared" si="47"/>
        <v/>
      </c>
      <c r="N134" s="59">
        <v>66068309</v>
      </c>
      <c r="O134" s="59">
        <f t="shared" ref="O134:O197" si="49">IF(N134="","",N134-N133)</f>
        <v>0</v>
      </c>
      <c r="P134" s="60"/>
      <c r="Q134" s="61"/>
      <c r="R134" s="19">
        <f t="shared" si="48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43"/>
        <v/>
      </c>
      <c r="J135" s="57" t="str">
        <f t="shared" si="44"/>
        <v/>
      </c>
      <c r="K135" s="58" t="str">
        <f t="shared" si="45"/>
        <v/>
      </c>
      <c r="L135" s="57" t="str">
        <f t="shared" si="46"/>
        <v/>
      </c>
      <c r="M135" s="58" t="str">
        <f t="shared" si="47"/>
        <v/>
      </c>
      <c r="N135" s="59">
        <v>66068309</v>
      </c>
      <c r="O135" s="59">
        <f t="shared" si="49"/>
        <v>0</v>
      </c>
      <c r="P135" s="60"/>
      <c r="Q135" s="61"/>
      <c r="R135" s="19">
        <f t="shared" si="48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43"/>
        <v/>
      </c>
      <c r="J136" s="57" t="str">
        <f t="shared" si="44"/>
        <v/>
      </c>
      <c r="K136" s="58" t="str">
        <f t="shared" si="45"/>
        <v/>
      </c>
      <c r="L136" s="57" t="str">
        <f t="shared" si="46"/>
        <v/>
      </c>
      <c r="M136" s="58" t="str">
        <f t="shared" si="47"/>
        <v/>
      </c>
      <c r="N136" s="59">
        <v>66068309</v>
      </c>
      <c r="O136" s="59">
        <f t="shared" si="49"/>
        <v>0</v>
      </c>
      <c r="P136" s="60"/>
      <c r="Q136" s="62"/>
      <c r="R136" s="19">
        <f t="shared" si="48"/>
        <v>1</v>
      </c>
      <c r="S136" s="19">
        <f t="shared" ref="S136:S199" si="50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43"/>
        <v/>
      </c>
      <c r="J137" s="57" t="str">
        <f t="shared" si="44"/>
        <v/>
      </c>
      <c r="K137" s="58" t="str">
        <f t="shared" si="45"/>
        <v/>
      </c>
      <c r="L137" s="57" t="str">
        <f t="shared" si="46"/>
        <v/>
      </c>
      <c r="M137" s="58" t="str">
        <f t="shared" si="47"/>
        <v/>
      </c>
      <c r="N137" s="59">
        <v>66068309</v>
      </c>
      <c r="O137" s="59">
        <f t="shared" si="49"/>
        <v>0</v>
      </c>
      <c r="P137" s="60"/>
      <c r="Q137" s="62"/>
      <c r="R137" s="19">
        <f t="shared" si="48"/>
        <v>1</v>
      </c>
      <c r="S137" s="19">
        <f t="shared" si="50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43"/>
        <v/>
      </c>
      <c r="J138" s="57" t="str">
        <f t="shared" si="44"/>
        <v/>
      </c>
      <c r="K138" s="58" t="str">
        <f t="shared" si="45"/>
        <v/>
      </c>
      <c r="L138" s="57" t="str">
        <f t="shared" si="46"/>
        <v/>
      </c>
      <c r="M138" s="58" t="str">
        <f t="shared" si="47"/>
        <v/>
      </c>
      <c r="N138" s="59">
        <v>66068309</v>
      </c>
      <c r="O138" s="59">
        <f t="shared" si="49"/>
        <v>0</v>
      </c>
      <c r="P138" s="60"/>
      <c r="Q138" s="61"/>
      <c r="R138" s="19">
        <f t="shared" si="48"/>
        <v>1</v>
      </c>
      <c r="S138" s="19">
        <f t="shared" si="50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43"/>
        <v/>
      </c>
      <c r="J139" s="57" t="str">
        <f t="shared" si="44"/>
        <v/>
      </c>
      <c r="K139" s="58" t="str">
        <f t="shared" si="45"/>
        <v/>
      </c>
      <c r="L139" s="57" t="str">
        <f t="shared" si="46"/>
        <v/>
      </c>
      <c r="M139" s="58" t="str">
        <f t="shared" si="47"/>
        <v/>
      </c>
      <c r="N139" s="59">
        <v>66068309</v>
      </c>
      <c r="O139" s="59">
        <f t="shared" si="49"/>
        <v>0</v>
      </c>
      <c r="P139" s="60"/>
      <c r="Q139" s="61"/>
      <c r="R139" s="19">
        <f t="shared" si="48"/>
        <v>1</v>
      </c>
      <c r="S139" s="19">
        <f t="shared" si="50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43"/>
        <v/>
      </c>
      <c r="J140" s="57" t="str">
        <f t="shared" si="44"/>
        <v/>
      </c>
      <c r="K140" s="58" t="str">
        <f t="shared" si="45"/>
        <v/>
      </c>
      <c r="L140" s="57" t="str">
        <f t="shared" si="46"/>
        <v/>
      </c>
      <c r="M140" s="58" t="str">
        <f t="shared" si="47"/>
        <v/>
      </c>
      <c r="N140" s="59">
        <v>66068309</v>
      </c>
      <c r="O140" s="59">
        <f t="shared" si="49"/>
        <v>0</v>
      </c>
      <c r="P140" s="60"/>
      <c r="Q140" s="61"/>
      <c r="R140" s="19">
        <f t="shared" si="48"/>
        <v>1</v>
      </c>
      <c r="S140" s="19">
        <f t="shared" si="50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43"/>
        <v/>
      </c>
      <c r="J141" s="57" t="str">
        <f t="shared" si="44"/>
        <v/>
      </c>
      <c r="K141" s="58" t="str">
        <f t="shared" ref="K141:K204" si="51">IF(J141="","",+(J141/I141))</f>
        <v/>
      </c>
      <c r="L141" s="57" t="str">
        <f t="shared" ref="L141:L204" si="52">IF(F141="","",+(F141-F140)*4140)</f>
        <v/>
      </c>
      <c r="M141" s="58" t="str">
        <f t="shared" ref="M141:M204" si="53">IF(L141="","",(L141/I141))</f>
        <v/>
      </c>
      <c r="N141" s="59">
        <v>66068309</v>
      </c>
      <c r="O141" s="59">
        <f t="shared" si="49"/>
        <v>0</v>
      </c>
      <c r="P141" s="60"/>
      <c r="Q141" s="95"/>
      <c r="R141" s="19">
        <f t="shared" si="48"/>
        <v>1</v>
      </c>
      <c r="S141" s="19">
        <f t="shared" si="50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43"/>
        <v/>
      </c>
      <c r="J142" s="57" t="str">
        <f t="shared" si="44"/>
        <v/>
      </c>
      <c r="K142" s="58" t="str">
        <f t="shared" si="51"/>
        <v/>
      </c>
      <c r="L142" s="57" t="str">
        <f t="shared" si="52"/>
        <v/>
      </c>
      <c r="M142" s="58" t="str">
        <f t="shared" si="53"/>
        <v/>
      </c>
      <c r="N142" s="59">
        <v>66068309</v>
      </c>
      <c r="O142" s="59">
        <f t="shared" si="49"/>
        <v>0</v>
      </c>
      <c r="P142" s="169" t="s">
        <v>67</v>
      </c>
      <c r="Q142" s="170"/>
      <c r="R142" s="19">
        <f t="shared" si="48"/>
        <v>1</v>
      </c>
      <c r="S142" s="19">
        <f t="shared" si="50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43"/>
        <v/>
      </c>
      <c r="J143" s="57" t="str">
        <f t="shared" si="44"/>
        <v/>
      </c>
      <c r="K143" s="58" t="str">
        <f t="shared" si="51"/>
        <v/>
      </c>
      <c r="L143" s="57" t="str">
        <f t="shared" si="52"/>
        <v/>
      </c>
      <c r="M143" s="58" t="str">
        <f t="shared" si="53"/>
        <v/>
      </c>
      <c r="N143" s="59">
        <v>66068309</v>
      </c>
      <c r="O143" s="59">
        <f t="shared" si="49"/>
        <v>0</v>
      </c>
      <c r="P143" s="171"/>
      <c r="Q143" s="172"/>
      <c r="R143" s="19">
        <f t="shared" si="48"/>
        <v>1</v>
      </c>
      <c r="S143" s="19">
        <f t="shared" si="50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54">IF(D144="","",+(E144-E143)*4140)</f>
        <v/>
      </c>
      <c r="J144" s="57" t="str">
        <f t="shared" si="54"/>
        <v/>
      </c>
      <c r="K144" s="58" t="str">
        <f t="shared" si="51"/>
        <v/>
      </c>
      <c r="L144" s="57" t="str">
        <f t="shared" si="52"/>
        <v/>
      </c>
      <c r="M144" s="58" t="str">
        <f t="shared" si="53"/>
        <v/>
      </c>
      <c r="N144" s="59">
        <v>66068309</v>
      </c>
      <c r="O144" s="59">
        <f t="shared" si="49"/>
        <v>0</v>
      </c>
      <c r="P144" s="66" t="s">
        <v>51</v>
      </c>
      <c r="Q144" s="66" t="s">
        <v>52</v>
      </c>
      <c r="R144" s="19">
        <f t="shared" si="48"/>
        <v>1</v>
      </c>
      <c r="S144" s="19">
        <f t="shared" si="50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54"/>
        <v/>
      </c>
      <c r="J145" s="57" t="str">
        <f t="shared" si="54"/>
        <v/>
      </c>
      <c r="K145" s="58" t="str">
        <f t="shared" si="51"/>
        <v/>
      </c>
      <c r="L145" s="57" t="str">
        <f t="shared" si="52"/>
        <v/>
      </c>
      <c r="M145" s="58" t="str">
        <f t="shared" si="53"/>
        <v/>
      </c>
      <c r="N145" s="59">
        <v>66068309</v>
      </c>
      <c r="O145" s="59">
        <f t="shared" si="49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48"/>
        <v>1</v>
      </c>
      <c r="S145" s="19">
        <f t="shared" si="50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54"/>
        <v/>
      </c>
      <c r="J146" s="57" t="str">
        <f t="shared" si="54"/>
        <v/>
      </c>
      <c r="K146" s="58" t="str">
        <f t="shared" si="51"/>
        <v/>
      </c>
      <c r="L146" s="57" t="str">
        <f t="shared" si="52"/>
        <v/>
      </c>
      <c r="M146" s="58" t="str">
        <f t="shared" si="53"/>
        <v/>
      </c>
      <c r="N146" s="59">
        <v>66068309</v>
      </c>
      <c r="O146" s="59">
        <f t="shared" si="49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48"/>
        <v>1</v>
      </c>
      <c r="S146" s="19">
        <f t="shared" si="50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54"/>
        <v/>
      </c>
      <c r="J147" s="57" t="str">
        <f t="shared" si="54"/>
        <v/>
      </c>
      <c r="K147" s="58" t="str">
        <f t="shared" si="51"/>
        <v/>
      </c>
      <c r="L147" s="57" t="str">
        <f t="shared" si="52"/>
        <v/>
      </c>
      <c r="M147" s="58" t="str">
        <f t="shared" si="53"/>
        <v/>
      </c>
      <c r="N147" s="59">
        <v>66068309</v>
      </c>
      <c r="O147" s="59">
        <f t="shared" si="49"/>
        <v>0</v>
      </c>
      <c r="P147" s="69" t="s">
        <v>53</v>
      </c>
      <c r="Q147" s="70" t="s">
        <v>54</v>
      </c>
      <c r="R147" s="19">
        <f t="shared" si="48"/>
        <v>1</v>
      </c>
      <c r="S147" s="19">
        <f t="shared" si="50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54"/>
        <v/>
      </c>
      <c r="J148" s="57" t="str">
        <f t="shared" si="54"/>
        <v/>
      </c>
      <c r="K148" s="58" t="str">
        <f t="shared" si="51"/>
        <v/>
      </c>
      <c r="L148" s="57" t="str">
        <f t="shared" si="52"/>
        <v/>
      </c>
      <c r="M148" s="58" t="str">
        <f t="shared" si="53"/>
        <v/>
      </c>
      <c r="N148" s="59">
        <v>66068309</v>
      </c>
      <c r="O148" s="59">
        <f t="shared" si="49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48"/>
        <v>1</v>
      </c>
      <c r="S148" s="19">
        <f t="shared" si="50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54"/>
        <v/>
      </c>
      <c r="J149" s="57" t="str">
        <f t="shared" si="54"/>
        <v/>
      </c>
      <c r="K149" s="58" t="str">
        <f t="shared" si="51"/>
        <v/>
      </c>
      <c r="L149" s="57" t="str">
        <f t="shared" si="52"/>
        <v/>
      </c>
      <c r="M149" s="58" t="str">
        <f t="shared" si="53"/>
        <v/>
      </c>
      <c r="N149" s="59">
        <v>66068309</v>
      </c>
      <c r="O149" s="59">
        <f t="shared" si="49"/>
        <v>0</v>
      </c>
      <c r="P149" s="73" t="s">
        <v>55</v>
      </c>
      <c r="Q149" s="74" t="s">
        <v>63</v>
      </c>
      <c r="R149" s="19">
        <f t="shared" si="48"/>
        <v>1</v>
      </c>
      <c r="S149" s="19">
        <f t="shared" si="50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54"/>
        <v/>
      </c>
      <c r="J150" s="57" t="str">
        <f t="shared" si="54"/>
        <v/>
      </c>
      <c r="K150" s="58" t="str">
        <f t="shared" si="51"/>
        <v/>
      </c>
      <c r="L150" s="57" t="str">
        <f t="shared" si="52"/>
        <v/>
      </c>
      <c r="M150" s="58" t="str">
        <f t="shared" si="53"/>
        <v/>
      </c>
      <c r="N150" s="59">
        <v>66068309</v>
      </c>
      <c r="O150" s="59">
        <f t="shared" si="49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48"/>
        <v>1</v>
      </c>
      <c r="S150" s="19">
        <f t="shared" si="50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54"/>
        <v/>
      </c>
      <c r="J151" s="57" t="str">
        <f t="shared" si="54"/>
        <v/>
      </c>
      <c r="K151" s="58" t="str">
        <f t="shared" si="51"/>
        <v/>
      </c>
      <c r="L151" s="57" t="str">
        <f t="shared" si="52"/>
        <v/>
      </c>
      <c r="M151" s="58" t="str">
        <f t="shared" si="53"/>
        <v/>
      </c>
      <c r="N151" s="59">
        <v>66068309</v>
      </c>
      <c r="O151" s="59">
        <f t="shared" si="49"/>
        <v>0</v>
      </c>
      <c r="P151" s="160" t="s">
        <v>57</v>
      </c>
      <c r="Q151" s="161" t="s">
        <v>64</v>
      </c>
      <c r="R151" s="19">
        <f t="shared" si="48"/>
        <v>1</v>
      </c>
      <c r="S151" s="19">
        <f t="shared" si="50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54"/>
        <v/>
      </c>
      <c r="J152" s="57" t="str">
        <f t="shared" si="54"/>
        <v/>
      </c>
      <c r="K152" s="58" t="str">
        <f t="shared" si="51"/>
        <v/>
      </c>
      <c r="L152" s="57" t="str">
        <f t="shared" si="52"/>
        <v/>
      </c>
      <c r="M152" s="58" t="str">
        <f t="shared" si="53"/>
        <v/>
      </c>
      <c r="N152" s="59">
        <v>66068309</v>
      </c>
      <c r="O152" s="59">
        <f t="shared" si="49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48"/>
        <v>1</v>
      </c>
      <c r="S152" s="19">
        <f t="shared" si="50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54"/>
        <v/>
      </c>
      <c r="J153" s="57" t="str">
        <f t="shared" si="54"/>
        <v/>
      </c>
      <c r="K153" s="58" t="str">
        <f t="shared" si="51"/>
        <v/>
      </c>
      <c r="L153" s="57" t="str">
        <f t="shared" si="52"/>
        <v/>
      </c>
      <c r="M153" s="58" t="str">
        <f t="shared" si="53"/>
        <v/>
      </c>
      <c r="N153" s="59">
        <v>66068309</v>
      </c>
      <c r="O153" s="59">
        <f t="shared" si="49"/>
        <v>0</v>
      </c>
      <c r="P153" s="162" t="s">
        <v>59</v>
      </c>
      <c r="Q153" s="163" t="s">
        <v>60</v>
      </c>
      <c r="R153" s="19">
        <f t="shared" si="48"/>
        <v>1</v>
      </c>
      <c r="S153" s="19">
        <f t="shared" si="50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54"/>
        <v/>
      </c>
      <c r="J154" s="57" t="str">
        <f t="shared" si="54"/>
        <v/>
      </c>
      <c r="K154" s="58" t="str">
        <f t="shared" si="51"/>
        <v/>
      </c>
      <c r="L154" s="57" t="str">
        <f t="shared" si="52"/>
        <v/>
      </c>
      <c r="M154" s="58" t="str">
        <f t="shared" si="53"/>
        <v/>
      </c>
      <c r="N154" s="83">
        <v>66068309</v>
      </c>
      <c r="O154" s="84">
        <f t="shared" si="49"/>
        <v>0</v>
      </c>
      <c r="P154" s="85">
        <f>(P152+Q150*SUM(S124:S154)*Q155)</f>
        <v>0</v>
      </c>
      <c r="Q154" s="86">
        <f>Q150*31</f>
        <v>0</v>
      </c>
      <c r="R154" s="19">
        <f t="shared" si="48"/>
        <v>1</v>
      </c>
      <c r="S154" s="19">
        <f t="shared" si="50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54"/>
        <v/>
      </c>
      <c r="J155" s="57" t="str">
        <f t="shared" si="54"/>
        <v/>
      </c>
      <c r="K155" s="58" t="str">
        <f t="shared" si="51"/>
        <v/>
      </c>
      <c r="L155" s="57" t="str">
        <f t="shared" si="52"/>
        <v/>
      </c>
      <c r="M155" s="58" t="str">
        <f t="shared" si="53"/>
        <v/>
      </c>
      <c r="N155" s="59">
        <v>66068309</v>
      </c>
      <c r="O155" s="59">
        <f t="shared" si="49"/>
        <v>0</v>
      </c>
      <c r="P155" s="87" t="s">
        <v>61</v>
      </c>
      <c r="Q155" s="88">
        <v>0.56999999999999995</v>
      </c>
      <c r="R155" s="19">
        <f t="shared" si="48"/>
        <v>1</v>
      </c>
      <c r="S155" s="19">
        <f t="shared" si="50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54"/>
        <v/>
      </c>
      <c r="J156" s="57" t="str">
        <f t="shared" si="54"/>
        <v/>
      </c>
      <c r="K156" s="58" t="str">
        <f t="shared" si="51"/>
        <v/>
      </c>
      <c r="L156" s="57" t="str">
        <f t="shared" si="52"/>
        <v/>
      </c>
      <c r="M156" s="58" t="str">
        <f t="shared" si="53"/>
        <v/>
      </c>
      <c r="N156" s="59">
        <v>66068309</v>
      </c>
      <c r="O156" s="59">
        <f t="shared" si="49"/>
        <v>0</v>
      </c>
      <c r="P156" s="60"/>
      <c r="Q156" s="95"/>
      <c r="R156" s="19">
        <f t="shared" si="48"/>
        <v>1</v>
      </c>
      <c r="S156" s="19">
        <f t="shared" si="50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54"/>
        <v/>
      </c>
      <c r="J157" s="57" t="str">
        <f t="shared" si="54"/>
        <v/>
      </c>
      <c r="K157" s="58" t="str">
        <f t="shared" si="51"/>
        <v/>
      </c>
      <c r="L157" s="57" t="str">
        <f t="shared" si="52"/>
        <v/>
      </c>
      <c r="M157" s="58" t="str">
        <f t="shared" si="53"/>
        <v/>
      </c>
      <c r="N157" s="59">
        <v>66068309</v>
      </c>
      <c r="O157" s="59">
        <f t="shared" si="49"/>
        <v>0</v>
      </c>
      <c r="P157" s="91"/>
      <c r="Q157" s="92"/>
      <c r="R157" s="19">
        <f t="shared" si="48"/>
        <v>1</v>
      </c>
      <c r="S157" s="19">
        <f t="shared" si="50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54"/>
        <v/>
      </c>
      <c r="J158" s="57" t="str">
        <f t="shared" si="54"/>
        <v/>
      </c>
      <c r="K158" s="58" t="str">
        <f t="shared" si="51"/>
        <v/>
      </c>
      <c r="L158" s="57" t="str">
        <f t="shared" si="52"/>
        <v/>
      </c>
      <c r="M158" s="58" t="str">
        <f t="shared" si="53"/>
        <v/>
      </c>
      <c r="N158" s="59">
        <v>66068309</v>
      </c>
      <c r="O158" s="59">
        <f t="shared" si="49"/>
        <v>0</v>
      </c>
      <c r="P158" s="93"/>
      <c r="Q158" s="94"/>
      <c r="R158" s="19">
        <f t="shared" si="48"/>
        <v>1</v>
      </c>
      <c r="S158" s="19">
        <f t="shared" si="50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54"/>
        <v/>
      </c>
      <c r="J159" s="57" t="str">
        <f t="shared" si="54"/>
        <v/>
      </c>
      <c r="K159" s="58" t="str">
        <f t="shared" si="51"/>
        <v/>
      </c>
      <c r="L159" s="57" t="str">
        <f t="shared" si="52"/>
        <v/>
      </c>
      <c r="M159" s="58" t="str">
        <f t="shared" si="53"/>
        <v/>
      </c>
      <c r="N159" s="59">
        <v>66068309</v>
      </c>
      <c r="O159" s="59">
        <f t="shared" si="49"/>
        <v>0</v>
      </c>
      <c r="P159" s="93"/>
      <c r="Q159" s="92"/>
      <c r="R159" s="19">
        <f t="shared" si="48"/>
        <v>1</v>
      </c>
      <c r="S159" s="19">
        <f t="shared" si="50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55">IF(D160="","",+(E160-E159)*4140)</f>
        <v/>
      </c>
      <c r="J160" s="57" t="str">
        <f t="shared" ref="J160:J235" si="56">IF(E160="","",+(F160-F159)*4140)</f>
        <v/>
      </c>
      <c r="K160" s="58" t="str">
        <f t="shared" si="51"/>
        <v/>
      </c>
      <c r="L160" s="57" t="str">
        <f t="shared" si="52"/>
        <v/>
      </c>
      <c r="M160" s="58" t="str">
        <f t="shared" si="53"/>
        <v/>
      </c>
      <c r="N160" s="59">
        <v>66068309</v>
      </c>
      <c r="O160" s="59">
        <f t="shared" si="49"/>
        <v>0</v>
      </c>
      <c r="P160" s="60"/>
      <c r="Q160" s="61"/>
      <c r="R160" s="19">
        <f t="shared" si="48"/>
        <v>1</v>
      </c>
      <c r="S160" s="19">
        <f t="shared" si="50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55"/>
        <v/>
      </c>
      <c r="J161" s="57" t="str">
        <f t="shared" si="56"/>
        <v/>
      </c>
      <c r="K161" s="58" t="str">
        <f t="shared" si="51"/>
        <v/>
      </c>
      <c r="L161" s="57" t="str">
        <f t="shared" si="52"/>
        <v/>
      </c>
      <c r="M161" s="58" t="str">
        <f t="shared" si="53"/>
        <v/>
      </c>
      <c r="N161" s="59">
        <v>66068309</v>
      </c>
      <c r="O161" s="59">
        <f t="shared" si="49"/>
        <v>0</v>
      </c>
      <c r="P161" s="60"/>
      <c r="Q161" s="62"/>
      <c r="R161" s="19">
        <f t="shared" ref="R161:R224" si="57">IF(N161="",0,1)</f>
        <v>1</v>
      </c>
      <c r="S161" s="19">
        <f t="shared" si="50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55"/>
        <v/>
      </c>
      <c r="J162" s="57" t="str">
        <f t="shared" si="56"/>
        <v/>
      </c>
      <c r="K162" s="58" t="str">
        <f t="shared" si="51"/>
        <v/>
      </c>
      <c r="L162" s="57" t="str">
        <f t="shared" si="52"/>
        <v/>
      </c>
      <c r="M162" s="58" t="str">
        <f t="shared" si="53"/>
        <v/>
      </c>
      <c r="N162" s="59">
        <v>66068309</v>
      </c>
      <c r="O162" s="59">
        <f t="shared" si="49"/>
        <v>0</v>
      </c>
      <c r="P162" s="60"/>
      <c r="Q162" s="62"/>
      <c r="R162" s="19">
        <f t="shared" si="57"/>
        <v>1</v>
      </c>
      <c r="S162" s="19">
        <f t="shared" si="50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55"/>
        <v/>
      </c>
      <c r="J163" s="57" t="str">
        <f t="shared" si="56"/>
        <v/>
      </c>
      <c r="K163" s="58" t="str">
        <f t="shared" si="51"/>
        <v/>
      </c>
      <c r="L163" s="57" t="str">
        <f t="shared" si="52"/>
        <v/>
      </c>
      <c r="M163" s="58" t="str">
        <f t="shared" si="53"/>
        <v/>
      </c>
      <c r="N163" s="59">
        <v>66068309</v>
      </c>
      <c r="O163" s="59">
        <f t="shared" si="49"/>
        <v>0</v>
      </c>
      <c r="P163" s="60"/>
      <c r="Q163" s="62"/>
      <c r="R163" s="19">
        <f t="shared" si="57"/>
        <v>1</v>
      </c>
      <c r="S163" s="19">
        <f t="shared" si="50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55"/>
        <v/>
      </c>
      <c r="J164" s="57" t="str">
        <f t="shared" si="56"/>
        <v/>
      </c>
      <c r="K164" s="58" t="str">
        <f t="shared" si="51"/>
        <v/>
      </c>
      <c r="L164" s="57" t="str">
        <f t="shared" si="52"/>
        <v/>
      </c>
      <c r="M164" s="58" t="str">
        <f t="shared" si="53"/>
        <v/>
      </c>
      <c r="N164" s="59">
        <v>66068309</v>
      </c>
      <c r="O164" s="59">
        <f t="shared" si="49"/>
        <v>0</v>
      </c>
      <c r="P164" s="60"/>
      <c r="Q164" s="61"/>
      <c r="R164" s="19">
        <f t="shared" si="57"/>
        <v>1</v>
      </c>
      <c r="S164" s="19">
        <f t="shared" si="50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55"/>
        <v/>
      </c>
      <c r="J165" s="57" t="str">
        <f t="shared" si="56"/>
        <v/>
      </c>
      <c r="K165" s="58" t="str">
        <f t="shared" si="51"/>
        <v/>
      </c>
      <c r="L165" s="57" t="str">
        <f t="shared" si="52"/>
        <v/>
      </c>
      <c r="M165" s="58" t="str">
        <f t="shared" si="53"/>
        <v/>
      </c>
      <c r="N165" s="59">
        <v>66068309</v>
      </c>
      <c r="O165" s="59">
        <f t="shared" si="49"/>
        <v>0</v>
      </c>
      <c r="P165" s="60"/>
      <c r="Q165" s="61"/>
      <c r="R165" s="19">
        <f t="shared" si="57"/>
        <v>1</v>
      </c>
      <c r="S165" s="19">
        <f t="shared" si="50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55"/>
        <v/>
      </c>
      <c r="J166" s="57" t="str">
        <f t="shared" si="56"/>
        <v/>
      </c>
      <c r="K166" s="58" t="str">
        <f t="shared" si="51"/>
        <v/>
      </c>
      <c r="L166" s="57" t="str">
        <f t="shared" si="52"/>
        <v/>
      </c>
      <c r="M166" s="58" t="str">
        <f t="shared" si="53"/>
        <v/>
      </c>
      <c r="N166" s="59">
        <v>66068309</v>
      </c>
      <c r="O166" s="59">
        <f t="shared" si="49"/>
        <v>0</v>
      </c>
      <c r="P166" s="60"/>
      <c r="Q166" s="62"/>
      <c r="R166" s="19">
        <f t="shared" si="57"/>
        <v>1</v>
      </c>
      <c r="S166" s="19">
        <f t="shared" si="50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55"/>
        <v/>
      </c>
      <c r="J167" s="57" t="str">
        <f t="shared" si="56"/>
        <v/>
      </c>
      <c r="K167" s="58" t="str">
        <f t="shared" si="51"/>
        <v/>
      </c>
      <c r="L167" s="57" t="str">
        <f t="shared" si="52"/>
        <v/>
      </c>
      <c r="M167" s="58" t="str">
        <f t="shared" si="53"/>
        <v/>
      </c>
      <c r="N167" s="59">
        <v>66068309</v>
      </c>
      <c r="O167" s="59">
        <f t="shared" si="49"/>
        <v>0</v>
      </c>
      <c r="P167" s="60"/>
      <c r="Q167" s="62"/>
      <c r="R167" s="19">
        <f t="shared" si="57"/>
        <v>1</v>
      </c>
      <c r="S167" s="19">
        <f t="shared" si="50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55"/>
        <v/>
      </c>
      <c r="J168" s="57" t="str">
        <f t="shared" si="56"/>
        <v/>
      </c>
      <c r="K168" s="58" t="str">
        <f t="shared" si="51"/>
        <v/>
      </c>
      <c r="L168" s="57" t="str">
        <f t="shared" si="52"/>
        <v/>
      </c>
      <c r="M168" s="58" t="str">
        <f t="shared" si="53"/>
        <v/>
      </c>
      <c r="N168" s="59">
        <v>66068309</v>
      </c>
      <c r="O168" s="59">
        <f t="shared" si="49"/>
        <v>0</v>
      </c>
      <c r="P168" s="60"/>
      <c r="Q168" s="61"/>
      <c r="R168" s="19">
        <f t="shared" si="57"/>
        <v>1</v>
      </c>
      <c r="S168" s="19">
        <f t="shared" si="50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55"/>
        <v/>
      </c>
      <c r="J169" s="57" t="str">
        <f t="shared" si="56"/>
        <v/>
      </c>
      <c r="K169" s="58" t="str">
        <f t="shared" si="51"/>
        <v/>
      </c>
      <c r="L169" s="57" t="str">
        <f t="shared" si="52"/>
        <v/>
      </c>
      <c r="M169" s="58" t="str">
        <f t="shared" si="53"/>
        <v/>
      </c>
      <c r="N169" s="59">
        <v>66068309</v>
      </c>
      <c r="O169" s="59">
        <f t="shared" si="49"/>
        <v>0</v>
      </c>
      <c r="P169" s="60"/>
      <c r="Q169" s="61"/>
      <c r="R169" s="19">
        <f t="shared" si="57"/>
        <v>1</v>
      </c>
      <c r="S169" s="19">
        <f t="shared" si="50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55"/>
        <v/>
      </c>
      <c r="J170" s="57" t="str">
        <f t="shared" si="56"/>
        <v/>
      </c>
      <c r="K170" s="58" t="str">
        <f t="shared" si="51"/>
        <v/>
      </c>
      <c r="L170" s="57" t="str">
        <f t="shared" si="52"/>
        <v/>
      </c>
      <c r="M170" s="58" t="str">
        <f t="shared" si="53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57"/>
        <v>1</v>
      </c>
      <c r="S170" s="19">
        <f t="shared" si="50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55"/>
        <v/>
      </c>
      <c r="J171" s="57" t="str">
        <f t="shared" si="56"/>
        <v/>
      </c>
      <c r="K171" s="58" t="str">
        <f t="shared" si="51"/>
        <v/>
      </c>
      <c r="L171" s="57" t="str">
        <f t="shared" si="52"/>
        <v/>
      </c>
      <c r="M171" s="58" t="str">
        <f t="shared" si="53"/>
        <v/>
      </c>
      <c r="N171" s="59">
        <v>66068309</v>
      </c>
      <c r="O171" s="59">
        <f t="shared" si="49"/>
        <v>0</v>
      </c>
      <c r="P171" s="60"/>
      <c r="Q171" s="95"/>
      <c r="R171" s="19">
        <f t="shared" si="57"/>
        <v>1</v>
      </c>
      <c r="S171" s="19">
        <f t="shared" si="50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55"/>
        <v/>
      </c>
      <c r="J172" s="57" t="str">
        <f t="shared" si="56"/>
        <v/>
      </c>
      <c r="K172" s="58" t="str">
        <f t="shared" si="51"/>
        <v/>
      </c>
      <c r="L172" s="57" t="str">
        <f t="shared" si="52"/>
        <v/>
      </c>
      <c r="M172" s="58" t="str">
        <f t="shared" si="53"/>
        <v/>
      </c>
      <c r="N172" s="59">
        <v>66068309</v>
      </c>
      <c r="O172" s="59">
        <f t="shared" si="49"/>
        <v>0</v>
      </c>
      <c r="P172" s="169" t="s">
        <v>68</v>
      </c>
      <c r="Q172" s="170"/>
      <c r="R172" s="19">
        <f t="shared" si="57"/>
        <v>1</v>
      </c>
      <c r="S172" s="19">
        <f t="shared" si="50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55"/>
        <v/>
      </c>
      <c r="J173" s="57" t="str">
        <f t="shared" si="56"/>
        <v/>
      </c>
      <c r="K173" s="58" t="str">
        <f t="shared" si="51"/>
        <v/>
      </c>
      <c r="L173" s="57" t="str">
        <f t="shared" si="52"/>
        <v/>
      </c>
      <c r="M173" s="58" t="str">
        <f t="shared" si="53"/>
        <v/>
      </c>
      <c r="N173" s="59">
        <v>66068309</v>
      </c>
      <c r="O173" s="59">
        <f t="shared" si="49"/>
        <v>0</v>
      </c>
      <c r="P173" s="171"/>
      <c r="Q173" s="172"/>
      <c r="R173" s="19">
        <f t="shared" si="57"/>
        <v>1</v>
      </c>
      <c r="S173" s="19">
        <f t="shared" si="50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55"/>
        <v/>
      </c>
      <c r="J174" s="57" t="str">
        <f t="shared" si="56"/>
        <v/>
      </c>
      <c r="K174" s="58" t="str">
        <f t="shared" si="51"/>
        <v/>
      </c>
      <c r="L174" s="57" t="str">
        <f t="shared" si="52"/>
        <v/>
      </c>
      <c r="M174" s="58" t="str">
        <f t="shared" si="53"/>
        <v/>
      </c>
      <c r="N174" s="59">
        <v>66068309</v>
      </c>
      <c r="O174" s="59">
        <f t="shared" si="49"/>
        <v>0</v>
      </c>
      <c r="P174" s="66" t="s">
        <v>51</v>
      </c>
      <c r="Q174" s="66" t="s">
        <v>52</v>
      </c>
      <c r="R174" s="19">
        <f t="shared" si="57"/>
        <v>1</v>
      </c>
      <c r="S174" s="19">
        <f t="shared" si="50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55"/>
        <v/>
      </c>
      <c r="J175" s="57" t="str">
        <f t="shared" si="56"/>
        <v/>
      </c>
      <c r="K175" s="58" t="str">
        <f t="shared" si="51"/>
        <v/>
      </c>
      <c r="L175" s="57" t="str">
        <f t="shared" si="52"/>
        <v/>
      </c>
      <c r="M175" s="58" t="str">
        <f t="shared" si="53"/>
        <v/>
      </c>
      <c r="N175" s="59">
        <v>66068309</v>
      </c>
      <c r="O175" s="59">
        <f t="shared" si="49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57"/>
        <v>1</v>
      </c>
      <c r="S175" s="19">
        <f t="shared" si="50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55"/>
        <v/>
      </c>
      <c r="J176" s="57" t="str">
        <f t="shared" si="56"/>
        <v/>
      </c>
      <c r="K176" s="58" t="str">
        <f t="shared" si="51"/>
        <v/>
      </c>
      <c r="L176" s="57" t="str">
        <f t="shared" si="52"/>
        <v/>
      </c>
      <c r="M176" s="58" t="str">
        <f t="shared" si="53"/>
        <v/>
      </c>
      <c r="N176" s="59">
        <v>66068309</v>
      </c>
      <c r="O176" s="59">
        <f t="shared" si="49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57"/>
        <v>1</v>
      </c>
      <c r="S176" s="19">
        <f t="shared" si="50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55"/>
        <v/>
      </c>
      <c r="J177" s="57" t="str">
        <f t="shared" si="56"/>
        <v/>
      </c>
      <c r="K177" s="58" t="str">
        <f t="shared" si="51"/>
        <v/>
      </c>
      <c r="L177" s="57" t="str">
        <f t="shared" si="52"/>
        <v/>
      </c>
      <c r="M177" s="58" t="str">
        <f t="shared" si="53"/>
        <v/>
      </c>
      <c r="N177" s="59">
        <v>66068309</v>
      </c>
      <c r="O177" s="59">
        <f t="shared" si="49"/>
        <v>0</v>
      </c>
      <c r="P177" s="69" t="s">
        <v>53</v>
      </c>
      <c r="Q177" s="70" t="s">
        <v>54</v>
      </c>
      <c r="R177" s="19">
        <f t="shared" si="57"/>
        <v>1</v>
      </c>
      <c r="S177" s="19">
        <f t="shared" si="50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55"/>
        <v/>
      </c>
      <c r="J178" s="57" t="str">
        <f t="shared" si="56"/>
        <v/>
      </c>
      <c r="K178" s="58" t="str">
        <f t="shared" si="51"/>
        <v/>
      </c>
      <c r="L178" s="57" t="str">
        <f t="shared" si="52"/>
        <v/>
      </c>
      <c r="M178" s="58" t="str">
        <f t="shared" si="53"/>
        <v/>
      </c>
      <c r="N178" s="59">
        <v>66068309</v>
      </c>
      <c r="O178" s="59">
        <f t="shared" si="49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57"/>
        <v>1</v>
      </c>
      <c r="S178" s="19">
        <f t="shared" si="50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55"/>
        <v/>
      </c>
      <c r="J179" s="57" t="str">
        <f t="shared" si="56"/>
        <v/>
      </c>
      <c r="K179" s="58" t="str">
        <f t="shared" si="51"/>
        <v/>
      </c>
      <c r="L179" s="57" t="str">
        <f t="shared" si="52"/>
        <v/>
      </c>
      <c r="M179" s="58" t="str">
        <f t="shared" si="53"/>
        <v/>
      </c>
      <c r="N179" s="59">
        <v>66068309</v>
      </c>
      <c r="O179" s="59">
        <f t="shared" si="49"/>
        <v>0</v>
      </c>
      <c r="P179" s="73" t="s">
        <v>55</v>
      </c>
      <c r="Q179" s="74" t="s">
        <v>63</v>
      </c>
      <c r="R179" s="19">
        <f t="shared" si="57"/>
        <v>1</v>
      </c>
      <c r="S179" s="19">
        <f t="shared" si="50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55"/>
        <v/>
      </c>
      <c r="J180" s="57" t="str">
        <f t="shared" si="56"/>
        <v/>
      </c>
      <c r="K180" s="58" t="str">
        <f t="shared" si="51"/>
        <v/>
      </c>
      <c r="L180" s="57" t="str">
        <f t="shared" si="52"/>
        <v/>
      </c>
      <c r="M180" s="58" t="str">
        <f t="shared" si="53"/>
        <v/>
      </c>
      <c r="N180" s="59">
        <v>66068309</v>
      </c>
      <c r="O180" s="59">
        <f t="shared" si="49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57"/>
        <v>1</v>
      </c>
      <c r="S180" s="19">
        <f t="shared" si="50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55"/>
        <v/>
      </c>
      <c r="J181" s="57" t="str">
        <f t="shared" si="56"/>
        <v/>
      </c>
      <c r="K181" s="58" t="str">
        <f t="shared" si="51"/>
        <v/>
      </c>
      <c r="L181" s="57" t="str">
        <f t="shared" si="52"/>
        <v/>
      </c>
      <c r="M181" s="58" t="str">
        <f t="shared" si="53"/>
        <v/>
      </c>
      <c r="N181" s="59">
        <v>66068309</v>
      </c>
      <c r="O181" s="59">
        <f t="shared" si="49"/>
        <v>0</v>
      </c>
      <c r="P181" s="160" t="s">
        <v>57</v>
      </c>
      <c r="Q181" s="161" t="s">
        <v>64</v>
      </c>
      <c r="R181" s="19">
        <f t="shared" si="57"/>
        <v>1</v>
      </c>
      <c r="S181" s="19">
        <f t="shared" si="50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55"/>
        <v/>
      </c>
      <c r="J182" s="57" t="str">
        <f t="shared" si="56"/>
        <v/>
      </c>
      <c r="K182" s="58" t="str">
        <f t="shared" si="51"/>
        <v/>
      </c>
      <c r="L182" s="57" t="str">
        <f t="shared" si="52"/>
        <v/>
      </c>
      <c r="M182" s="58" t="str">
        <f t="shared" si="53"/>
        <v/>
      </c>
      <c r="N182" s="59">
        <v>66068309</v>
      </c>
      <c r="O182" s="59">
        <f t="shared" si="49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57"/>
        <v>1</v>
      </c>
      <c r="S182" s="19">
        <f t="shared" si="50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55"/>
        <v/>
      </c>
      <c r="J183" s="57" t="str">
        <f t="shared" si="56"/>
        <v/>
      </c>
      <c r="K183" s="58" t="str">
        <f t="shared" si="51"/>
        <v/>
      </c>
      <c r="L183" s="57" t="str">
        <f t="shared" si="52"/>
        <v/>
      </c>
      <c r="M183" s="58" t="str">
        <f t="shared" si="53"/>
        <v/>
      </c>
      <c r="N183" s="59">
        <v>66068309</v>
      </c>
      <c r="O183" s="59">
        <f t="shared" si="49"/>
        <v>0</v>
      </c>
      <c r="P183" s="162" t="s">
        <v>59</v>
      </c>
      <c r="Q183" s="163" t="s">
        <v>60</v>
      </c>
      <c r="R183" s="19">
        <f t="shared" si="57"/>
        <v>1</v>
      </c>
      <c r="S183" s="19">
        <f t="shared" si="50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55"/>
        <v/>
      </c>
      <c r="J184" s="57" t="str">
        <f t="shared" si="56"/>
        <v/>
      </c>
      <c r="K184" s="58" t="str">
        <f t="shared" si="51"/>
        <v/>
      </c>
      <c r="L184" s="57" t="str">
        <f t="shared" si="52"/>
        <v/>
      </c>
      <c r="M184" s="58" t="str">
        <f t="shared" si="53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57"/>
        <v>1</v>
      </c>
      <c r="S184" s="19">
        <f t="shared" si="50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55"/>
        <v/>
      </c>
      <c r="J185" s="57" t="str">
        <f t="shared" si="56"/>
        <v/>
      </c>
      <c r="K185" s="58" t="str">
        <f t="shared" si="51"/>
        <v/>
      </c>
      <c r="L185" s="57" t="str">
        <f t="shared" si="52"/>
        <v/>
      </c>
      <c r="M185" s="58" t="str">
        <f t="shared" si="53"/>
        <v/>
      </c>
      <c r="N185" s="59">
        <v>66068309</v>
      </c>
      <c r="O185" s="59">
        <f t="shared" si="49"/>
        <v>0</v>
      </c>
      <c r="P185" s="102" t="s">
        <v>61</v>
      </c>
      <c r="Q185" s="103">
        <v>0.56999999999999995</v>
      </c>
      <c r="R185" s="19">
        <f t="shared" si="57"/>
        <v>1</v>
      </c>
      <c r="S185" s="19">
        <f t="shared" si="50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55"/>
        <v/>
      </c>
      <c r="J186" s="57" t="str">
        <f t="shared" si="56"/>
        <v/>
      </c>
      <c r="K186" s="58" t="str">
        <f t="shared" si="51"/>
        <v/>
      </c>
      <c r="L186" s="57" t="str">
        <f t="shared" si="52"/>
        <v/>
      </c>
      <c r="M186" s="58" t="str">
        <f t="shared" si="53"/>
        <v/>
      </c>
      <c r="N186" s="59">
        <v>66068309</v>
      </c>
      <c r="O186" s="59">
        <f t="shared" si="49"/>
        <v>0</v>
      </c>
      <c r="P186" s="104"/>
      <c r="Q186" s="105"/>
      <c r="R186" s="19">
        <f t="shared" si="57"/>
        <v>1</v>
      </c>
      <c r="S186" s="19">
        <f t="shared" si="50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55"/>
        <v/>
      </c>
      <c r="J187" s="57" t="str">
        <f t="shared" si="56"/>
        <v/>
      </c>
      <c r="K187" s="58" t="str">
        <f t="shared" si="51"/>
        <v/>
      </c>
      <c r="L187" s="57" t="str">
        <f t="shared" si="52"/>
        <v/>
      </c>
      <c r="M187" s="58" t="str">
        <f t="shared" si="53"/>
        <v/>
      </c>
      <c r="N187" s="59">
        <v>66068309</v>
      </c>
      <c r="O187" s="59">
        <f t="shared" si="49"/>
        <v>0</v>
      </c>
      <c r="P187" s="106"/>
      <c r="Q187" s="107"/>
      <c r="R187" s="19">
        <f t="shared" si="57"/>
        <v>1</v>
      </c>
      <c r="S187" s="19">
        <f t="shared" si="50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55"/>
        <v/>
      </c>
      <c r="J188" s="57" t="str">
        <f t="shared" si="56"/>
        <v/>
      </c>
      <c r="K188" s="58" t="str">
        <f t="shared" si="51"/>
        <v/>
      </c>
      <c r="L188" s="57" t="str">
        <f t="shared" si="52"/>
        <v/>
      </c>
      <c r="M188" s="58" t="str">
        <f t="shared" si="53"/>
        <v/>
      </c>
      <c r="N188" s="59">
        <v>66068309</v>
      </c>
      <c r="O188" s="59">
        <f t="shared" si="49"/>
        <v>0</v>
      </c>
      <c r="P188" s="106"/>
      <c r="Q188" s="107"/>
      <c r="R188" s="19">
        <f t="shared" si="57"/>
        <v>1</v>
      </c>
      <c r="S188" s="19">
        <f t="shared" si="50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55"/>
        <v/>
      </c>
      <c r="J189" s="57" t="str">
        <f t="shared" si="56"/>
        <v/>
      </c>
      <c r="K189" s="58" t="str">
        <f t="shared" si="51"/>
        <v/>
      </c>
      <c r="L189" s="57" t="str">
        <f t="shared" si="52"/>
        <v/>
      </c>
      <c r="M189" s="58" t="str">
        <f t="shared" si="53"/>
        <v/>
      </c>
      <c r="N189" s="59">
        <v>66068309</v>
      </c>
      <c r="O189" s="59">
        <f t="shared" si="49"/>
        <v>0</v>
      </c>
      <c r="P189" s="106"/>
      <c r="Q189" s="107"/>
      <c r="R189" s="19">
        <f t="shared" si="57"/>
        <v>1</v>
      </c>
      <c r="S189" s="19">
        <f t="shared" si="50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55"/>
        <v/>
      </c>
      <c r="J190" s="57" t="str">
        <f t="shared" si="56"/>
        <v/>
      </c>
      <c r="K190" s="58" t="str">
        <f t="shared" si="51"/>
        <v/>
      </c>
      <c r="L190" s="57" t="str">
        <f t="shared" si="52"/>
        <v/>
      </c>
      <c r="M190" s="58" t="str">
        <f t="shared" si="53"/>
        <v/>
      </c>
      <c r="N190" s="59">
        <v>66068309</v>
      </c>
      <c r="O190" s="59">
        <f t="shared" si="49"/>
        <v>0</v>
      </c>
      <c r="P190" s="91"/>
      <c r="Q190" s="92"/>
      <c r="R190" s="19">
        <f t="shared" si="57"/>
        <v>1</v>
      </c>
      <c r="S190" s="19">
        <f t="shared" si="50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55"/>
        <v/>
      </c>
      <c r="J191" s="57" t="str">
        <f t="shared" si="56"/>
        <v/>
      </c>
      <c r="K191" s="58" t="str">
        <f t="shared" si="51"/>
        <v/>
      </c>
      <c r="L191" s="57" t="str">
        <f t="shared" si="52"/>
        <v/>
      </c>
      <c r="M191" s="58" t="str">
        <f t="shared" si="53"/>
        <v/>
      </c>
      <c r="N191" s="59">
        <v>66068309</v>
      </c>
      <c r="O191" s="59">
        <f t="shared" si="49"/>
        <v>0</v>
      </c>
      <c r="P191" s="93"/>
      <c r="Q191" s="94"/>
      <c r="R191" s="19">
        <f t="shared" si="57"/>
        <v>1</v>
      </c>
      <c r="S191" s="19">
        <f t="shared" si="50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55"/>
        <v/>
      </c>
      <c r="J192" s="57" t="str">
        <f t="shared" si="56"/>
        <v/>
      </c>
      <c r="K192" s="58" t="str">
        <f t="shared" si="51"/>
        <v/>
      </c>
      <c r="L192" s="57" t="str">
        <f t="shared" si="52"/>
        <v/>
      </c>
      <c r="M192" s="58" t="str">
        <f t="shared" si="53"/>
        <v/>
      </c>
      <c r="N192" s="59">
        <v>66068309</v>
      </c>
      <c r="O192" s="59">
        <f t="shared" si="49"/>
        <v>0</v>
      </c>
      <c r="P192" s="93"/>
      <c r="Q192" s="92"/>
      <c r="R192" s="19">
        <f t="shared" si="57"/>
        <v>1</v>
      </c>
      <c r="S192" s="19">
        <f t="shared" si="50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55"/>
        <v/>
      </c>
      <c r="J193" s="57" t="str">
        <f t="shared" si="56"/>
        <v/>
      </c>
      <c r="K193" s="58" t="str">
        <f t="shared" si="51"/>
        <v/>
      </c>
      <c r="L193" s="57" t="str">
        <f t="shared" si="52"/>
        <v/>
      </c>
      <c r="M193" s="58" t="str">
        <f t="shared" si="53"/>
        <v/>
      </c>
      <c r="N193" s="59">
        <v>66068309</v>
      </c>
      <c r="O193" s="59">
        <f t="shared" si="49"/>
        <v>0</v>
      </c>
      <c r="P193" s="106"/>
      <c r="Q193" s="108"/>
      <c r="R193" s="19">
        <f t="shared" si="57"/>
        <v>1</v>
      </c>
      <c r="S193" s="19">
        <f t="shared" si="50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55"/>
        <v/>
      </c>
      <c r="J194" s="57" t="str">
        <f t="shared" si="56"/>
        <v/>
      </c>
      <c r="K194" s="58" t="str">
        <f t="shared" si="51"/>
        <v/>
      </c>
      <c r="L194" s="57" t="str">
        <f t="shared" si="52"/>
        <v/>
      </c>
      <c r="M194" s="58" t="str">
        <f t="shared" si="53"/>
        <v/>
      </c>
      <c r="N194" s="59">
        <v>66068309</v>
      </c>
      <c r="O194" s="59">
        <f t="shared" si="49"/>
        <v>0</v>
      </c>
      <c r="P194" s="106"/>
      <c r="Q194" s="109"/>
      <c r="R194" s="19">
        <f t="shared" si="57"/>
        <v>1</v>
      </c>
      <c r="S194" s="19">
        <f t="shared" si="50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55"/>
        <v/>
      </c>
      <c r="J195" s="57" t="str">
        <f t="shared" si="56"/>
        <v/>
      </c>
      <c r="K195" s="58" t="str">
        <f t="shared" si="51"/>
        <v/>
      </c>
      <c r="L195" s="57" t="str">
        <f t="shared" si="52"/>
        <v/>
      </c>
      <c r="M195" s="58" t="str">
        <f t="shared" si="53"/>
        <v/>
      </c>
      <c r="N195" s="59">
        <v>66068309</v>
      </c>
      <c r="O195" s="59">
        <f t="shared" si="49"/>
        <v>0</v>
      </c>
      <c r="P195" s="106"/>
      <c r="Q195" s="109"/>
      <c r="R195" s="19">
        <f t="shared" si="57"/>
        <v>1</v>
      </c>
      <c r="S195" s="19">
        <f t="shared" si="50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55"/>
        <v/>
      </c>
      <c r="J196" s="57" t="str">
        <f t="shared" si="56"/>
        <v/>
      </c>
      <c r="K196" s="58" t="str">
        <f t="shared" si="51"/>
        <v/>
      </c>
      <c r="L196" s="57" t="str">
        <f t="shared" si="52"/>
        <v/>
      </c>
      <c r="M196" s="58" t="str">
        <f t="shared" si="53"/>
        <v/>
      </c>
      <c r="N196" s="59">
        <v>66068309</v>
      </c>
      <c r="O196" s="59">
        <f t="shared" si="49"/>
        <v>0</v>
      </c>
      <c r="P196" s="106"/>
      <c r="Q196" s="108"/>
      <c r="R196" s="19">
        <f t="shared" si="57"/>
        <v>1</v>
      </c>
      <c r="S196" s="19">
        <f t="shared" si="50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55"/>
        <v/>
      </c>
      <c r="J197" s="57" t="str">
        <f t="shared" si="56"/>
        <v/>
      </c>
      <c r="K197" s="58" t="str">
        <f t="shared" si="51"/>
        <v/>
      </c>
      <c r="L197" s="57" t="str">
        <f t="shared" si="52"/>
        <v/>
      </c>
      <c r="M197" s="58" t="str">
        <f t="shared" si="53"/>
        <v/>
      </c>
      <c r="N197" s="59">
        <v>66068309</v>
      </c>
      <c r="O197" s="59">
        <f t="shared" si="49"/>
        <v>0</v>
      </c>
      <c r="P197" s="106"/>
      <c r="Q197" s="108"/>
      <c r="R197" s="19">
        <f t="shared" si="57"/>
        <v>1</v>
      </c>
      <c r="S197" s="19">
        <f t="shared" si="50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55"/>
        <v/>
      </c>
      <c r="J198" s="57" t="str">
        <f t="shared" si="56"/>
        <v/>
      </c>
      <c r="K198" s="58" t="str">
        <f t="shared" si="51"/>
        <v/>
      </c>
      <c r="L198" s="57" t="str">
        <f t="shared" si="52"/>
        <v/>
      </c>
      <c r="M198" s="58" t="str">
        <f t="shared" si="53"/>
        <v/>
      </c>
      <c r="N198" s="59">
        <v>66068309</v>
      </c>
      <c r="O198" s="59">
        <f t="shared" ref="O198:O261" si="58">IF(N198="","",N198-N197)</f>
        <v>0</v>
      </c>
      <c r="P198" s="106"/>
      <c r="Q198" s="109"/>
      <c r="R198" s="19">
        <f t="shared" si="57"/>
        <v>1</v>
      </c>
      <c r="S198" s="19">
        <f t="shared" si="50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55"/>
        <v/>
      </c>
      <c r="J199" s="57" t="str">
        <f t="shared" si="56"/>
        <v/>
      </c>
      <c r="K199" s="58" t="str">
        <f t="shared" si="51"/>
        <v/>
      </c>
      <c r="L199" s="57" t="str">
        <f t="shared" si="52"/>
        <v/>
      </c>
      <c r="M199" s="58" t="str">
        <f t="shared" si="53"/>
        <v/>
      </c>
      <c r="N199" s="59">
        <v>66068309</v>
      </c>
      <c r="O199" s="59">
        <f t="shared" si="58"/>
        <v>0</v>
      </c>
      <c r="P199" s="106"/>
      <c r="Q199" s="109"/>
      <c r="R199" s="19">
        <f t="shared" si="57"/>
        <v>1</v>
      </c>
      <c r="S199" s="19">
        <f t="shared" si="50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55"/>
        <v/>
      </c>
      <c r="J200" s="57" t="str">
        <f t="shared" si="56"/>
        <v/>
      </c>
      <c r="K200" s="58" t="str">
        <f t="shared" si="51"/>
        <v/>
      </c>
      <c r="L200" s="57" t="str">
        <f t="shared" si="52"/>
        <v/>
      </c>
      <c r="M200" s="58" t="str">
        <f t="shared" si="53"/>
        <v/>
      </c>
      <c r="N200" s="59">
        <v>66068309</v>
      </c>
      <c r="O200" s="59">
        <f t="shared" si="58"/>
        <v>0</v>
      </c>
      <c r="P200" s="106"/>
      <c r="Q200" s="109"/>
      <c r="R200" s="19">
        <f t="shared" si="57"/>
        <v>1</v>
      </c>
      <c r="S200" s="19">
        <f t="shared" ref="S200:S263" si="59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55"/>
        <v/>
      </c>
      <c r="J201" s="57" t="str">
        <f t="shared" si="56"/>
        <v/>
      </c>
      <c r="K201" s="58" t="str">
        <f t="shared" si="51"/>
        <v/>
      </c>
      <c r="L201" s="57" t="str">
        <f t="shared" si="52"/>
        <v/>
      </c>
      <c r="M201" s="58" t="str">
        <f t="shared" si="53"/>
        <v/>
      </c>
      <c r="N201" s="59">
        <v>66068309</v>
      </c>
      <c r="O201" s="59">
        <f t="shared" si="58"/>
        <v>0</v>
      </c>
      <c r="P201" s="106"/>
      <c r="Q201" s="107"/>
      <c r="R201" s="19">
        <f t="shared" si="57"/>
        <v>1</v>
      </c>
      <c r="S201" s="19">
        <f t="shared" si="59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55"/>
        <v/>
      </c>
      <c r="J202" s="57" t="str">
        <f t="shared" si="56"/>
        <v/>
      </c>
      <c r="K202" s="58" t="str">
        <f t="shared" si="51"/>
        <v/>
      </c>
      <c r="L202" s="57" t="str">
        <f t="shared" si="52"/>
        <v/>
      </c>
      <c r="M202" s="58" t="str">
        <f t="shared" si="53"/>
        <v/>
      </c>
      <c r="N202" s="59">
        <v>66068309</v>
      </c>
      <c r="O202" s="59">
        <f t="shared" si="58"/>
        <v>0</v>
      </c>
      <c r="P202" s="110"/>
      <c r="Q202" s="111"/>
      <c r="R202" s="19">
        <f t="shared" si="57"/>
        <v>1</v>
      </c>
      <c r="S202" s="19">
        <f t="shared" si="59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55"/>
        <v/>
      </c>
      <c r="J203" s="57" t="str">
        <f t="shared" si="56"/>
        <v/>
      </c>
      <c r="K203" s="58" t="str">
        <f t="shared" si="51"/>
        <v/>
      </c>
      <c r="L203" s="57" t="str">
        <f t="shared" si="52"/>
        <v/>
      </c>
      <c r="M203" s="58" t="str">
        <f t="shared" si="53"/>
        <v/>
      </c>
      <c r="N203" s="59">
        <v>66068309</v>
      </c>
      <c r="O203" s="59">
        <f t="shared" si="58"/>
        <v>0</v>
      </c>
      <c r="P203" s="173" t="s">
        <v>69</v>
      </c>
      <c r="Q203" s="174"/>
      <c r="R203" s="19">
        <f t="shared" si="57"/>
        <v>1</v>
      </c>
      <c r="S203" s="19">
        <f t="shared" si="59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55"/>
        <v/>
      </c>
      <c r="J204" s="57" t="str">
        <f t="shared" si="56"/>
        <v/>
      </c>
      <c r="K204" s="58" t="str">
        <f t="shared" si="51"/>
        <v/>
      </c>
      <c r="L204" s="57" t="str">
        <f t="shared" si="52"/>
        <v/>
      </c>
      <c r="M204" s="58" t="str">
        <f t="shared" si="53"/>
        <v/>
      </c>
      <c r="N204" s="59">
        <v>66068309</v>
      </c>
      <c r="O204" s="59">
        <f t="shared" si="58"/>
        <v>0</v>
      </c>
      <c r="P204" s="171"/>
      <c r="Q204" s="172"/>
      <c r="R204" s="19">
        <f t="shared" si="57"/>
        <v>1</v>
      </c>
      <c r="S204" s="19">
        <f t="shared" si="59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55"/>
        <v/>
      </c>
      <c r="J205" s="57" t="str">
        <f t="shared" si="56"/>
        <v/>
      </c>
      <c r="K205" s="58" t="str">
        <f t="shared" ref="K205:K268" si="60">IF(J205="","",+(J205/I205))</f>
        <v/>
      </c>
      <c r="L205" s="57" t="str">
        <f t="shared" ref="L205:L223" si="61">IF(F205="","",+(F205-F204)*4140)</f>
        <v/>
      </c>
      <c r="M205" s="58" t="str">
        <f t="shared" ref="M205:M268" si="62">IF(L205="","",(L205/I205))</f>
        <v/>
      </c>
      <c r="N205" s="59">
        <v>66068309</v>
      </c>
      <c r="O205" s="59">
        <f t="shared" si="58"/>
        <v>0</v>
      </c>
      <c r="P205" s="66" t="s">
        <v>51</v>
      </c>
      <c r="Q205" s="66" t="s">
        <v>52</v>
      </c>
      <c r="R205" s="19">
        <f t="shared" si="57"/>
        <v>1</v>
      </c>
      <c r="S205" s="19">
        <f t="shared" si="59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55"/>
        <v/>
      </c>
      <c r="J206" s="57" t="str">
        <f t="shared" si="56"/>
        <v/>
      </c>
      <c r="K206" s="58" t="str">
        <f t="shared" si="60"/>
        <v/>
      </c>
      <c r="L206" s="57" t="str">
        <f t="shared" si="61"/>
        <v/>
      </c>
      <c r="M206" s="58" t="str">
        <f t="shared" si="62"/>
        <v/>
      </c>
      <c r="N206" s="59">
        <v>66068309</v>
      </c>
      <c r="O206" s="59">
        <f t="shared" si="58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57"/>
        <v>1</v>
      </c>
      <c r="S206" s="19">
        <f t="shared" si="59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55"/>
        <v/>
      </c>
      <c r="J207" s="57" t="str">
        <f t="shared" si="56"/>
        <v/>
      </c>
      <c r="K207" s="58" t="str">
        <f t="shared" si="60"/>
        <v/>
      </c>
      <c r="L207" s="57" t="str">
        <f t="shared" si="61"/>
        <v/>
      </c>
      <c r="M207" s="58" t="str">
        <f t="shared" si="62"/>
        <v/>
      </c>
      <c r="N207" s="59">
        <v>66068309</v>
      </c>
      <c r="O207" s="59">
        <f t="shared" si="58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57"/>
        <v>1</v>
      </c>
      <c r="S207" s="19">
        <f t="shared" si="59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55"/>
        <v/>
      </c>
      <c r="J208" s="57" t="str">
        <f t="shared" si="56"/>
        <v/>
      </c>
      <c r="K208" s="58" t="str">
        <f t="shared" si="60"/>
        <v/>
      </c>
      <c r="L208" s="57" t="str">
        <f t="shared" si="61"/>
        <v/>
      </c>
      <c r="M208" s="58" t="str">
        <f t="shared" si="62"/>
        <v/>
      </c>
      <c r="N208" s="59">
        <v>66068309</v>
      </c>
      <c r="O208" s="59">
        <f t="shared" si="58"/>
        <v>0</v>
      </c>
      <c r="P208" s="69" t="s">
        <v>53</v>
      </c>
      <c r="Q208" s="70" t="s">
        <v>54</v>
      </c>
      <c r="R208" s="19">
        <f t="shared" si="57"/>
        <v>1</v>
      </c>
      <c r="S208" s="19">
        <f t="shared" si="59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55"/>
        <v/>
      </c>
      <c r="J209" s="57" t="str">
        <f t="shared" si="56"/>
        <v/>
      </c>
      <c r="K209" s="58" t="str">
        <f t="shared" si="60"/>
        <v/>
      </c>
      <c r="L209" s="57" t="str">
        <f t="shared" si="61"/>
        <v/>
      </c>
      <c r="M209" s="58" t="str">
        <f t="shared" si="62"/>
        <v/>
      </c>
      <c r="N209" s="59">
        <v>66068309</v>
      </c>
      <c r="O209" s="59">
        <f t="shared" si="58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57"/>
        <v>1</v>
      </c>
      <c r="S209" s="19">
        <f t="shared" si="59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55"/>
        <v/>
      </c>
      <c r="J210" s="57" t="str">
        <f t="shared" si="56"/>
        <v/>
      </c>
      <c r="K210" s="58" t="str">
        <f t="shared" si="60"/>
        <v/>
      </c>
      <c r="L210" s="57" t="str">
        <f t="shared" si="61"/>
        <v/>
      </c>
      <c r="M210" s="58" t="str">
        <f t="shared" si="62"/>
        <v/>
      </c>
      <c r="N210" s="59">
        <v>66068309</v>
      </c>
      <c r="O210" s="59">
        <f t="shared" si="58"/>
        <v>0</v>
      </c>
      <c r="P210" s="73" t="s">
        <v>55</v>
      </c>
      <c r="Q210" s="74" t="s">
        <v>63</v>
      </c>
      <c r="R210" s="19">
        <f t="shared" si="57"/>
        <v>1</v>
      </c>
      <c r="S210" s="19">
        <f t="shared" si="59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55"/>
        <v/>
      </c>
      <c r="J211" s="57" t="str">
        <f t="shared" si="56"/>
        <v/>
      </c>
      <c r="K211" s="58" t="str">
        <f t="shared" si="60"/>
        <v/>
      </c>
      <c r="L211" s="57" t="str">
        <f t="shared" si="61"/>
        <v/>
      </c>
      <c r="M211" s="58" t="str">
        <f t="shared" si="62"/>
        <v/>
      </c>
      <c r="N211" s="59">
        <v>66068309</v>
      </c>
      <c r="O211" s="59">
        <f t="shared" si="58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57"/>
        <v>1</v>
      </c>
      <c r="S211" s="19">
        <f t="shared" si="59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55"/>
        <v/>
      </c>
      <c r="J212" s="57" t="str">
        <f t="shared" si="56"/>
        <v/>
      </c>
      <c r="K212" s="58" t="str">
        <f t="shared" si="60"/>
        <v/>
      </c>
      <c r="L212" s="57" t="str">
        <f t="shared" si="61"/>
        <v/>
      </c>
      <c r="M212" s="58" t="str">
        <f t="shared" si="62"/>
        <v/>
      </c>
      <c r="N212" s="59">
        <v>66068309</v>
      </c>
      <c r="O212" s="59">
        <f t="shared" si="58"/>
        <v>0</v>
      </c>
      <c r="P212" s="160" t="s">
        <v>57</v>
      </c>
      <c r="Q212" s="161" t="s">
        <v>64</v>
      </c>
      <c r="R212" s="19">
        <f t="shared" si="57"/>
        <v>1</v>
      </c>
      <c r="S212" s="19">
        <f t="shared" si="59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55"/>
        <v/>
      </c>
      <c r="J213" s="57" t="str">
        <f t="shared" si="56"/>
        <v/>
      </c>
      <c r="K213" s="58" t="str">
        <f t="shared" si="60"/>
        <v/>
      </c>
      <c r="L213" s="57" t="str">
        <f t="shared" si="61"/>
        <v/>
      </c>
      <c r="M213" s="58" t="str">
        <f t="shared" si="62"/>
        <v/>
      </c>
      <c r="N213" s="59">
        <v>66068309</v>
      </c>
      <c r="O213" s="59">
        <f t="shared" si="58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57"/>
        <v>1</v>
      </c>
      <c r="S213" s="19">
        <f t="shared" si="59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55"/>
        <v/>
      </c>
      <c r="J214" s="57" t="str">
        <f t="shared" si="56"/>
        <v/>
      </c>
      <c r="K214" s="58" t="str">
        <f t="shared" si="60"/>
        <v/>
      </c>
      <c r="L214" s="57" t="str">
        <f t="shared" si="61"/>
        <v/>
      </c>
      <c r="M214" s="58" t="str">
        <f t="shared" si="62"/>
        <v/>
      </c>
      <c r="N214" s="59">
        <v>66068309</v>
      </c>
      <c r="O214" s="59">
        <f t="shared" si="58"/>
        <v>0</v>
      </c>
      <c r="P214" s="162" t="s">
        <v>59</v>
      </c>
      <c r="Q214" s="163" t="s">
        <v>60</v>
      </c>
      <c r="R214" s="19">
        <f t="shared" si="57"/>
        <v>1</v>
      </c>
      <c r="S214" s="19">
        <f t="shared" si="59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55"/>
        <v/>
      </c>
      <c r="J215" s="57" t="str">
        <f t="shared" si="56"/>
        <v/>
      </c>
      <c r="K215" s="58" t="str">
        <f t="shared" si="60"/>
        <v/>
      </c>
      <c r="L215" s="57" t="str">
        <f t="shared" si="61"/>
        <v/>
      </c>
      <c r="M215" s="58" t="str">
        <f t="shared" si="62"/>
        <v/>
      </c>
      <c r="N215" s="83">
        <v>66068309</v>
      </c>
      <c r="O215" s="84">
        <f t="shared" si="58"/>
        <v>0</v>
      </c>
      <c r="P215" s="85">
        <f>(P213+Q211*SUM(S185:S215)*Q216)</f>
        <v>0</v>
      </c>
      <c r="Q215" s="86">
        <f>Q211*31</f>
        <v>0</v>
      </c>
      <c r="R215" s="19">
        <f t="shared" si="57"/>
        <v>1</v>
      </c>
      <c r="S215" s="19">
        <f t="shared" si="59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55"/>
        <v/>
      </c>
      <c r="J216" s="57" t="str">
        <f t="shared" si="56"/>
        <v/>
      </c>
      <c r="K216" s="58" t="str">
        <f t="shared" si="60"/>
        <v/>
      </c>
      <c r="L216" s="57" t="str">
        <f t="shared" si="61"/>
        <v/>
      </c>
      <c r="M216" s="58" t="str">
        <f t="shared" si="62"/>
        <v/>
      </c>
      <c r="N216" s="59">
        <v>66068309</v>
      </c>
      <c r="O216" s="59">
        <f t="shared" si="58"/>
        <v>0</v>
      </c>
      <c r="P216" s="102" t="s">
        <v>61</v>
      </c>
      <c r="Q216" s="103">
        <v>0.56999999999999995</v>
      </c>
      <c r="R216" s="19">
        <f t="shared" si="57"/>
        <v>1</v>
      </c>
      <c r="S216" s="19">
        <f t="shared" si="59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55"/>
        <v/>
      </c>
      <c r="J217" s="57" t="str">
        <f t="shared" si="56"/>
        <v/>
      </c>
      <c r="K217" s="58" t="str">
        <f t="shared" si="60"/>
        <v/>
      </c>
      <c r="L217" s="57" t="str">
        <f>IF(F217="","",+(F217-F216)*4140)</f>
        <v/>
      </c>
      <c r="M217" s="58" t="str">
        <f t="shared" si="62"/>
        <v/>
      </c>
      <c r="N217" s="59">
        <v>66068309</v>
      </c>
      <c r="O217" s="59">
        <f t="shared" si="58"/>
        <v>0</v>
      </c>
      <c r="P217" s="104"/>
      <c r="Q217" s="105"/>
      <c r="R217" s="19">
        <f t="shared" si="57"/>
        <v>1</v>
      </c>
      <c r="S217" s="19">
        <f t="shared" si="59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55"/>
        <v/>
      </c>
      <c r="J218" s="57" t="str">
        <f t="shared" si="56"/>
        <v/>
      </c>
      <c r="K218" s="58" t="str">
        <f t="shared" si="60"/>
        <v/>
      </c>
      <c r="L218" s="57" t="str">
        <f>IF(F218="","",+(F218-F217)*4140)</f>
        <v/>
      </c>
      <c r="M218" s="58" t="str">
        <f t="shared" si="62"/>
        <v/>
      </c>
      <c r="N218" s="59">
        <v>66068309</v>
      </c>
      <c r="O218" s="59">
        <f t="shared" si="58"/>
        <v>0</v>
      </c>
      <c r="P218" s="106"/>
      <c r="Q218" s="107"/>
      <c r="R218" s="19">
        <f t="shared" si="57"/>
        <v>1</v>
      </c>
      <c r="S218" s="19">
        <f t="shared" si="59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55"/>
        <v/>
      </c>
      <c r="J219" s="57" t="str">
        <f t="shared" si="56"/>
        <v/>
      </c>
      <c r="K219" s="58" t="str">
        <f t="shared" si="60"/>
        <v/>
      </c>
      <c r="L219" s="57" t="str">
        <f>IF(F219="","",+(F219-F218)*4140)</f>
        <v/>
      </c>
      <c r="M219" s="58" t="str">
        <f t="shared" si="62"/>
        <v/>
      </c>
      <c r="N219" s="59">
        <v>66068309</v>
      </c>
      <c r="O219" s="59">
        <f t="shared" si="58"/>
        <v>0</v>
      </c>
      <c r="P219" s="106"/>
      <c r="Q219" s="107"/>
      <c r="R219" s="19">
        <f t="shared" si="57"/>
        <v>1</v>
      </c>
      <c r="S219" s="19">
        <f t="shared" si="59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55"/>
        <v/>
      </c>
      <c r="J220" s="57" t="str">
        <f t="shared" si="56"/>
        <v/>
      </c>
      <c r="K220" s="58" t="str">
        <f t="shared" si="60"/>
        <v/>
      </c>
      <c r="L220" s="57" t="str">
        <f t="shared" si="61"/>
        <v/>
      </c>
      <c r="M220" s="58" t="str">
        <f t="shared" si="62"/>
        <v/>
      </c>
      <c r="N220" s="59">
        <v>66068309</v>
      </c>
      <c r="O220" s="59">
        <f t="shared" si="58"/>
        <v>0</v>
      </c>
      <c r="P220" s="106"/>
      <c r="Q220" s="107"/>
      <c r="R220" s="19">
        <f t="shared" si="57"/>
        <v>1</v>
      </c>
      <c r="S220" s="19">
        <f t="shared" si="59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55"/>
        <v/>
      </c>
      <c r="J221" s="57" t="str">
        <f t="shared" si="56"/>
        <v/>
      </c>
      <c r="K221" s="58" t="str">
        <f t="shared" si="60"/>
        <v/>
      </c>
      <c r="L221" s="57" t="str">
        <f t="shared" si="61"/>
        <v/>
      </c>
      <c r="M221" s="58" t="str">
        <f t="shared" si="62"/>
        <v/>
      </c>
      <c r="N221" s="59">
        <v>66068309</v>
      </c>
      <c r="O221" s="59">
        <f t="shared" si="58"/>
        <v>0</v>
      </c>
      <c r="P221" s="91"/>
      <c r="Q221" s="92"/>
      <c r="R221" s="19">
        <f t="shared" si="57"/>
        <v>1</v>
      </c>
      <c r="S221" s="19">
        <f t="shared" si="59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55"/>
        <v/>
      </c>
      <c r="J222" s="57" t="str">
        <f t="shared" si="56"/>
        <v/>
      </c>
      <c r="K222" s="58" t="str">
        <f t="shared" si="60"/>
        <v/>
      </c>
      <c r="L222" s="57" t="str">
        <f t="shared" si="61"/>
        <v/>
      </c>
      <c r="M222" s="58" t="str">
        <f t="shared" si="62"/>
        <v/>
      </c>
      <c r="N222" s="59">
        <v>66068309</v>
      </c>
      <c r="O222" s="59">
        <f t="shared" si="58"/>
        <v>0</v>
      </c>
      <c r="P222" s="93"/>
      <c r="Q222" s="94"/>
      <c r="R222" s="19">
        <f t="shared" si="57"/>
        <v>1</v>
      </c>
      <c r="S222" s="19">
        <f t="shared" si="59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55"/>
        <v/>
      </c>
      <c r="J223" s="57" t="str">
        <f t="shared" si="56"/>
        <v/>
      </c>
      <c r="K223" s="58" t="str">
        <f t="shared" si="60"/>
        <v/>
      </c>
      <c r="L223" s="57" t="str">
        <f t="shared" si="61"/>
        <v/>
      </c>
      <c r="M223" s="58" t="str">
        <f t="shared" si="62"/>
        <v/>
      </c>
      <c r="N223" s="59">
        <v>66068309</v>
      </c>
      <c r="O223" s="59">
        <f t="shared" si="58"/>
        <v>0</v>
      </c>
      <c r="P223" s="93"/>
      <c r="Q223" s="92"/>
      <c r="R223" s="19">
        <f t="shared" si="57"/>
        <v>1</v>
      </c>
      <c r="S223" s="19">
        <f t="shared" si="59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55"/>
        <v/>
      </c>
      <c r="J224" s="57" t="str">
        <f t="shared" si="56"/>
        <v/>
      </c>
      <c r="K224" s="58" t="str">
        <f t="shared" si="60"/>
        <v/>
      </c>
      <c r="L224" s="57" t="str">
        <f t="shared" ref="L224:L260" si="63">IF(F224="","",+(F224-F223)*4140)</f>
        <v/>
      </c>
      <c r="M224" s="58" t="str">
        <f t="shared" si="62"/>
        <v/>
      </c>
      <c r="N224" s="59">
        <v>66068309</v>
      </c>
      <c r="O224" s="59">
        <f t="shared" si="58"/>
        <v>0</v>
      </c>
      <c r="P224" s="106"/>
      <c r="Q224" s="108"/>
      <c r="R224" s="19">
        <f t="shared" si="57"/>
        <v>1</v>
      </c>
      <c r="S224" s="19">
        <f t="shared" si="59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55"/>
        <v/>
      </c>
      <c r="J225" s="57" t="str">
        <f t="shared" si="56"/>
        <v/>
      </c>
      <c r="K225" s="58" t="str">
        <f t="shared" si="60"/>
        <v/>
      </c>
      <c r="L225" s="57" t="str">
        <f t="shared" si="63"/>
        <v/>
      </c>
      <c r="M225" s="58" t="str">
        <f t="shared" si="62"/>
        <v/>
      </c>
      <c r="N225" s="59">
        <v>66068309</v>
      </c>
      <c r="O225" s="59">
        <f t="shared" si="58"/>
        <v>0</v>
      </c>
      <c r="P225" s="106"/>
      <c r="Q225" s="109"/>
      <c r="R225" s="19">
        <f t="shared" ref="R225:R249" si="64">IF(N225="",0,1)</f>
        <v>1</v>
      </c>
      <c r="S225" s="19">
        <f t="shared" si="59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55"/>
        <v/>
      </c>
      <c r="J226" s="57" t="str">
        <f t="shared" si="56"/>
        <v/>
      </c>
      <c r="K226" s="58" t="str">
        <f t="shared" si="60"/>
        <v/>
      </c>
      <c r="L226" s="57" t="str">
        <f t="shared" si="63"/>
        <v/>
      </c>
      <c r="M226" s="58" t="str">
        <f t="shared" si="62"/>
        <v/>
      </c>
      <c r="N226" s="59">
        <v>66068309</v>
      </c>
      <c r="O226" s="59">
        <f t="shared" si="58"/>
        <v>0</v>
      </c>
      <c r="P226" s="106"/>
      <c r="Q226" s="109"/>
      <c r="R226" s="19">
        <f t="shared" si="64"/>
        <v>1</v>
      </c>
      <c r="S226" s="19">
        <f t="shared" si="59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55"/>
        <v/>
      </c>
      <c r="J227" s="57" t="str">
        <f t="shared" si="56"/>
        <v/>
      </c>
      <c r="K227" s="58" t="str">
        <f t="shared" si="60"/>
        <v/>
      </c>
      <c r="L227" s="57" t="str">
        <f t="shared" si="63"/>
        <v/>
      </c>
      <c r="M227" s="58" t="str">
        <f t="shared" si="62"/>
        <v/>
      </c>
      <c r="N227" s="59">
        <v>66068309</v>
      </c>
      <c r="O227" s="59">
        <f t="shared" si="58"/>
        <v>0</v>
      </c>
      <c r="P227" s="106"/>
      <c r="Q227" s="108"/>
      <c r="R227" s="19">
        <f t="shared" si="64"/>
        <v>1</v>
      </c>
      <c r="S227" s="19">
        <f t="shared" si="59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55"/>
        <v/>
      </c>
      <c r="J228" s="57" t="str">
        <f t="shared" si="56"/>
        <v/>
      </c>
      <c r="K228" s="58" t="str">
        <f t="shared" si="60"/>
        <v/>
      </c>
      <c r="L228" s="57" t="str">
        <f t="shared" si="63"/>
        <v/>
      </c>
      <c r="M228" s="58" t="str">
        <f t="shared" si="62"/>
        <v/>
      </c>
      <c r="N228" s="59">
        <v>66068309</v>
      </c>
      <c r="O228" s="59">
        <f t="shared" si="58"/>
        <v>0</v>
      </c>
      <c r="P228" s="106"/>
      <c r="Q228" s="108"/>
      <c r="R228" s="19">
        <f t="shared" si="64"/>
        <v>1</v>
      </c>
      <c r="S228" s="19">
        <f t="shared" si="59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55"/>
        <v/>
      </c>
      <c r="J229" s="57" t="str">
        <f t="shared" si="56"/>
        <v/>
      </c>
      <c r="K229" s="58" t="str">
        <f t="shared" si="60"/>
        <v/>
      </c>
      <c r="L229" s="57" t="str">
        <f t="shared" si="63"/>
        <v/>
      </c>
      <c r="M229" s="58" t="str">
        <f t="shared" si="62"/>
        <v/>
      </c>
      <c r="N229" s="59">
        <v>66068309</v>
      </c>
      <c r="O229" s="59">
        <f t="shared" si="58"/>
        <v>0</v>
      </c>
      <c r="P229" s="106"/>
      <c r="Q229" s="109"/>
      <c r="R229" s="19">
        <f t="shared" si="64"/>
        <v>1</v>
      </c>
      <c r="S229" s="19">
        <f t="shared" si="59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55"/>
        <v/>
      </c>
      <c r="J230" s="57" t="str">
        <f t="shared" si="56"/>
        <v/>
      </c>
      <c r="K230" s="58" t="str">
        <f t="shared" si="60"/>
        <v/>
      </c>
      <c r="L230" s="57" t="str">
        <f t="shared" si="63"/>
        <v/>
      </c>
      <c r="M230" s="58" t="str">
        <f t="shared" si="62"/>
        <v/>
      </c>
      <c r="N230" s="59">
        <v>66068309</v>
      </c>
      <c r="O230" s="59">
        <f t="shared" si="58"/>
        <v>0</v>
      </c>
      <c r="P230" s="106"/>
      <c r="Q230" s="109"/>
      <c r="R230" s="19">
        <f t="shared" si="64"/>
        <v>1</v>
      </c>
      <c r="S230" s="19">
        <f t="shared" si="59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55"/>
        <v/>
      </c>
      <c r="J231" s="57" t="str">
        <f t="shared" si="56"/>
        <v/>
      </c>
      <c r="K231" s="58" t="str">
        <f t="shared" si="60"/>
        <v/>
      </c>
      <c r="L231" s="57" t="str">
        <f t="shared" si="63"/>
        <v/>
      </c>
      <c r="M231" s="58" t="str">
        <f t="shared" si="62"/>
        <v/>
      </c>
      <c r="N231" s="59">
        <v>66068309</v>
      </c>
      <c r="O231" s="59">
        <f t="shared" si="58"/>
        <v>0</v>
      </c>
      <c r="P231" s="106"/>
      <c r="Q231" s="109"/>
      <c r="R231" s="19">
        <f t="shared" si="64"/>
        <v>1</v>
      </c>
      <c r="S231" s="19">
        <f t="shared" si="59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55"/>
        <v/>
      </c>
      <c r="J232" s="57" t="str">
        <f t="shared" si="56"/>
        <v/>
      </c>
      <c r="K232" s="58" t="str">
        <f t="shared" si="60"/>
        <v/>
      </c>
      <c r="L232" s="57" t="str">
        <f t="shared" si="63"/>
        <v/>
      </c>
      <c r="M232" s="58" t="str">
        <f t="shared" si="62"/>
        <v/>
      </c>
      <c r="N232" s="59">
        <v>66068309</v>
      </c>
      <c r="O232" s="59">
        <f t="shared" si="58"/>
        <v>0</v>
      </c>
      <c r="P232" s="106"/>
      <c r="Q232" s="107"/>
      <c r="R232" s="19">
        <f t="shared" si="64"/>
        <v>1</v>
      </c>
      <c r="S232" s="19">
        <f t="shared" si="59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55"/>
        <v/>
      </c>
      <c r="J233" s="57" t="str">
        <f t="shared" si="56"/>
        <v/>
      </c>
      <c r="K233" s="58" t="str">
        <f t="shared" si="60"/>
        <v/>
      </c>
      <c r="L233" s="57" t="str">
        <f t="shared" si="63"/>
        <v/>
      </c>
      <c r="M233" s="58" t="str">
        <f t="shared" si="62"/>
        <v/>
      </c>
      <c r="N233" s="59">
        <v>66068309</v>
      </c>
      <c r="O233" s="59">
        <f t="shared" si="58"/>
        <v>0</v>
      </c>
      <c r="P233" s="110"/>
      <c r="Q233" s="111"/>
      <c r="R233" s="19">
        <f t="shared" si="64"/>
        <v>1</v>
      </c>
      <c r="S233" s="19">
        <f t="shared" si="59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55"/>
        <v/>
      </c>
      <c r="J234" s="57" t="str">
        <f t="shared" si="56"/>
        <v/>
      </c>
      <c r="K234" s="58" t="str">
        <f t="shared" si="60"/>
        <v/>
      </c>
      <c r="L234" s="57" t="str">
        <f t="shared" si="63"/>
        <v/>
      </c>
      <c r="M234" s="58" t="str">
        <f t="shared" si="62"/>
        <v/>
      </c>
      <c r="N234" s="59">
        <v>66068309</v>
      </c>
      <c r="O234" s="59">
        <f t="shared" si="58"/>
        <v>0</v>
      </c>
      <c r="P234" s="173" t="s">
        <v>70</v>
      </c>
      <c r="Q234" s="174"/>
      <c r="R234" s="19">
        <f t="shared" si="64"/>
        <v>1</v>
      </c>
      <c r="S234" s="19">
        <f t="shared" si="59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55"/>
        <v/>
      </c>
      <c r="J235" s="57" t="str">
        <f t="shared" si="56"/>
        <v/>
      </c>
      <c r="K235" s="58" t="str">
        <f t="shared" si="60"/>
        <v/>
      </c>
      <c r="L235" s="57" t="str">
        <f>IF(F235="","",+(F235-F234)*4140)</f>
        <v/>
      </c>
      <c r="M235" s="58" t="str">
        <f t="shared" si="62"/>
        <v/>
      </c>
      <c r="N235" s="59">
        <v>66068309</v>
      </c>
      <c r="O235" s="59">
        <f t="shared" si="58"/>
        <v>0</v>
      </c>
      <c r="P235" s="171"/>
      <c r="Q235" s="172"/>
      <c r="R235" s="19">
        <f t="shared" si="64"/>
        <v>1</v>
      </c>
      <c r="S235" s="19">
        <f t="shared" si="59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65">IF(D236="","",+(E236-E235)*4140)</f>
        <v/>
      </c>
      <c r="J236" s="57" t="str">
        <f t="shared" ref="J236:J299" si="66">IF(E236="","",+(F236-F235)*4140)</f>
        <v/>
      </c>
      <c r="K236" s="58" t="str">
        <f t="shared" si="60"/>
        <v/>
      </c>
      <c r="L236" s="57" t="str">
        <f t="shared" si="63"/>
        <v/>
      </c>
      <c r="M236" s="58" t="str">
        <f t="shared" si="62"/>
        <v/>
      </c>
      <c r="N236" s="59">
        <v>66068309</v>
      </c>
      <c r="O236" s="59">
        <f t="shared" si="58"/>
        <v>0</v>
      </c>
      <c r="P236" s="66" t="s">
        <v>51</v>
      </c>
      <c r="Q236" s="66" t="s">
        <v>52</v>
      </c>
      <c r="R236" s="19">
        <f t="shared" si="64"/>
        <v>1</v>
      </c>
      <c r="S236" s="19">
        <f t="shared" si="59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65"/>
        <v/>
      </c>
      <c r="J237" s="57" t="str">
        <f t="shared" si="66"/>
        <v/>
      </c>
      <c r="K237" s="58" t="str">
        <f t="shared" si="60"/>
        <v/>
      </c>
      <c r="L237" s="57" t="str">
        <f t="shared" si="63"/>
        <v/>
      </c>
      <c r="M237" s="58" t="str">
        <f t="shared" si="62"/>
        <v/>
      </c>
      <c r="N237" s="59">
        <v>66068309</v>
      </c>
      <c r="O237" s="59">
        <f t="shared" si="58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64"/>
        <v>1</v>
      </c>
      <c r="S237" s="19">
        <f t="shared" si="59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65"/>
        <v/>
      </c>
      <c r="J238" s="57" t="str">
        <f t="shared" si="66"/>
        <v/>
      </c>
      <c r="K238" s="58" t="str">
        <f t="shared" si="60"/>
        <v/>
      </c>
      <c r="L238" s="57" t="str">
        <f t="shared" si="63"/>
        <v/>
      </c>
      <c r="M238" s="58" t="str">
        <f t="shared" si="62"/>
        <v/>
      </c>
      <c r="N238" s="59">
        <v>66068309</v>
      </c>
      <c r="O238" s="59">
        <f t="shared" si="58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64"/>
        <v>1</v>
      </c>
      <c r="S238" s="19">
        <f t="shared" si="59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65"/>
        <v/>
      </c>
      <c r="J239" s="57" t="str">
        <f t="shared" si="66"/>
        <v/>
      </c>
      <c r="K239" s="58" t="str">
        <f t="shared" si="60"/>
        <v/>
      </c>
      <c r="L239" s="57" t="str">
        <f t="shared" si="63"/>
        <v/>
      </c>
      <c r="M239" s="58" t="str">
        <f t="shared" si="62"/>
        <v/>
      </c>
      <c r="N239" s="59">
        <v>66068309</v>
      </c>
      <c r="O239" s="59">
        <f t="shared" si="58"/>
        <v>0</v>
      </c>
      <c r="P239" s="69" t="s">
        <v>53</v>
      </c>
      <c r="Q239" s="70" t="s">
        <v>54</v>
      </c>
      <c r="R239" s="19">
        <f t="shared" si="64"/>
        <v>1</v>
      </c>
      <c r="S239" s="19">
        <f t="shared" si="59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65"/>
        <v/>
      </c>
      <c r="J240" s="57" t="str">
        <f t="shared" si="66"/>
        <v/>
      </c>
      <c r="K240" s="58" t="str">
        <f t="shared" si="60"/>
        <v/>
      </c>
      <c r="L240" s="57" t="str">
        <f t="shared" si="63"/>
        <v/>
      </c>
      <c r="M240" s="58" t="str">
        <f t="shared" si="62"/>
        <v/>
      </c>
      <c r="N240" s="59">
        <v>66068309</v>
      </c>
      <c r="O240" s="59">
        <f t="shared" si="58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64"/>
        <v>1</v>
      </c>
      <c r="S240" s="19">
        <f t="shared" si="59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65"/>
        <v/>
      </c>
      <c r="J241" s="57" t="str">
        <f t="shared" si="66"/>
        <v/>
      </c>
      <c r="K241" s="58" t="str">
        <f t="shared" si="60"/>
        <v/>
      </c>
      <c r="L241" s="57" t="str">
        <f t="shared" si="63"/>
        <v/>
      </c>
      <c r="M241" s="58" t="str">
        <f t="shared" si="62"/>
        <v/>
      </c>
      <c r="N241" s="59">
        <v>66068309</v>
      </c>
      <c r="O241" s="59">
        <f t="shared" si="58"/>
        <v>0</v>
      </c>
      <c r="P241" s="73" t="s">
        <v>55</v>
      </c>
      <c r="Q241" s="74" t="s">
        <v>63</v>
      </c>
      <c r="R241" s="19">
        <f t="shared" si="64"/>
        <v>1</v>
      </c>
      <c r="S241" s="19">
        <f t="shared" si="59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65"/>
        <v/>
      </c>
      <c r="J242" s="57" t="str">
        <f t="shared" si="66"/>
        <v/>
      </c>
      <c r="K242" s="58" t="str">
        <f t="shared" si="60"/>
        <v/>
      </c>
      <c r="L242" s="57" t="str">
        <f t="shared" si="63"/>
        <v/>
      </c>
      <c r="M242" s="58" t="str">
        <f t="shared" si="62"/>
        <v/>
      </c>
      <c r="N242" s="59">
        <v>66068309</v>
      </c>
      <c r="O242" s="59">
        <f t="shared" si="58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64"/>
        <v>1</v>
      </c>
      <c r="S242" s="19">
        <f t="shared" si="59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65"/>
        <v/>
      </c>
      <c r="J243" s="57" t="str">
        <f t="shared" si="66"/>
        <v/>
      </c>
      <c r="K243" s="58" t="str">
        <f t="shared" si="60"/>
        <v/>
      </c>
      <c r="L243" s="57" t="str">
        <f t="shared" si="63"/>
        <v/>
      </c>
      <c r="M243" s="58" t="str">
        <f t="shared" si="62"/>
        <v/>
      </c>
      <c r="N243" s="59">
        <v>66068309</v>
      </c>
      <c r="O243" s="59">
        <f t="shared" si="58"/>
        <v>0</v>
      </c>
      <c r="P243" s="160" t="s">
        <v>57</v>
      </c>
      <c r="Q243" s="161" t="s">
        <v>64</v>
      </c>
      <c r="R243" s="19">
        <f t="shared" si="64"/>
        <v>1</v>
      </c>
      <c r="S243" s="19">
        <f t="shared" si="59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65"/>
        <v/>
      </c>
      <c r="J244" s="57" t="str">
        <f t="shared" si="66"/>
        <v/>
      </c>
      <c r="K244" s="58" t="str">
        <f t="shared" si="60"/>
        <v/>
      </c>
      <c r="L244" s="57" t="str">
        <f t="shared" si="63"/>
        <v/>
      </c>
      <c r="M244" s="58" t="str">
        <f t="shared" si="62"/>
        <v/>
      </c>
      <c r="N244" s="59">
        <v>66068309</v>
      </c>
      <c r="O244" s="59">
        <f t="shared" si="58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64"/>
        <v>1</v>
      </c>
      <c r="S244" s="19">
        <f t="shared" si="59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65"/>
        <v/>
      </c>
      <c r="J245" s="57" t="str">
        <f t="shared" si="66"/>
        <v/>
      </c>
      <c r="K245" s="58" t="str">
        <f t="shared" si="60"/>
        <v/>
      </c>
      <c r="L245" s="57" t="str">
        <f t="shared" si="63"/>
        <v/>
      </c>
      <c r="M245" s="58" t="str">
        <f t="shared" si="62"/>
        <v/>
      </c>
      <c r="N245" s="59">
        <v>66068309</v>
      </c>
      <c r="O245" s="59">
        <f t="shared" si="58"/>
        <v>0</v>
      </c>
      <c r="P245" s="162" t="s">
        <v>59</v>
      </c>
      <c r="Q245" s="163" t="s">
        <v>60</v>
      </c>
      <c r="R245" s="19">
        <f t="shared" si="64"/>
        <v>1</v>
      </c>
      <c r="S245" s="19">
        <f t="shared" si="59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65"/>
        <v/>
      </c>
      <c r="J246" s="57" t="str">
        <f t="shared" si="66"/>
        <v/>
      </c>
      <c r="K246" s="58" t="str">
        <f t="shared" si="60"/>
        <v/>
      </c>
      <c r="L246" s="82" t="str">
        <f t="shared" si="63"/>
        <v/>
      </c>
      <c r="M246" s="58" t="str">
        <f t="shared" si="62"/>
        <v/>
      </c>
      <c r="N246" s="83">
        <v>66068309</v>
      </c>
      <c r="O246" s="84">
        <f t="shared" si="58"/>
        <v>0</v>
      </c>
      <c r="P246" s="85">
        <f>(P244+Q242*SUM(S216:S246)*Q247)</f>
        <v>0</v>
      </c>
      <c r="Q246" s="86">
        <f>Q242*31</f>
        <v>0</v>
      </c>
      <c r="R246" s="19">
        <f t="shared" si="64"/>
        <v>1</v>
      </c>
      <c r="S246" s="19">
        <f t="shared" si="59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65"/>
        <v/>
      </c>
      <c r="J247" s="57" t="str">
        <f t="shared" si="66"/>
        <v/>
      </c>
      <c r="K247" s="58" t="str">
        <f t="shared" si="60"/>
        <v/>
      </c>
      <c r="L247" s="57" t="str">
        <f t="shared" si="63"/>
        <v/>
      </c>
      <c r="M247" s="58" t="str">
        <f t="shared" si="62"/>
        <v/>
      </c>
      <c r="N247" s="59">
        <v>66068309</v>
      </c>
      <c r="O247" s="59">
        <f t="shared" si="58"/>
        <v>0</v>
      </c>
      <c r="P247" s="87" t="s">
        <v>61</v>
      </c>
      <c r="Q247" s="88">
        <v>0.56999999999999995</v>
      </c>
      <c r="R247" s="19">
        <f t="shared" si="64"/>
        <v>1</v>
      </c>
      <c r="S247" s="19">
        <f t="shared" si="59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65"/>
        <v/>
      </c>
      <c r="J248" s="57" t="str">
        <f t="shared" si="66"/>
        <v/>
      </c>
      <c r="K248" s="58" t="str">
        <f t="shared" si="60"/>
        <v/>
      </c>
      <c r="L248" s="57" t="str">
        <f t="shared" si="63"/>
        <v/>
      </c>
      <c r="M248" s="58" t="str">
        <f t="shared" si="62"/>
        <v/>
      </c>
      <c r="N248" s="59">
        <v>66068309</v>
      </c>
      <c r="O248" s="59">
        <f t="shared" si="58"/>
        <v>0</v>
      </c>
      <c r="P248" s="60"/>
      <c r="Q248" s="95"/>
      <c r="R248" s="19">
        <f t="shared" si="64"/>
        <v>1</v>
      </c>
      <c r="S248" s="19">
        <f t="shared" si="59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65"/>
        <v/>
      </c>
      <c r="J249" s="57" t="str">
        <f t="shared" si="66"/>
        <v/>
      </c>
      <c r="K249" s="58" t="str">
        <f t="shared" si="60"/>
        <v/>
      </c>
      <c r="L249" s="57" t="str">
        <f t="shared" si="63"/>
        <v/>
      </c>
      <c r="M249" s="58" t="str">
        <f t="shared" si="62"/>
        <v/>
      </c>
      <c r="N249" s="59">
        <v>66068309</v>
      </c>
      <c r="O249" s="59">
        <f t="shared" si="58"/>
        <v>0</v>
      </c>
      <c r="P249" s="60"/>
      <c r="Q249" s="95"/>
      <c r="R249" s="19">
        <f t="shared" si="64"/>
        <v>1</v>
      </c>
      <c r="S249" s="19">
        <f t="shared" si="59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65"/>
        <v/>
      </c>
      <c r="J250" s="57" t="str">
        <f t="shared" si="66"/>
        <v/>
      </c>
      <c r="K250" s="58" t="str">
        <f t="shared" si="60"/>
        <v/>
      </c>
      <c r="L250" s="57" t="str">
        <f t="shared" si="63"/>
        <v/>
      </c>
      <c r="M250" s="58" t="str">
        <f t="shared" si="62"/>
        <v/>
      </c>
      <c r="N250" s="59">
        <v>66068309</v>
      </c>
      <c r="O250" s="59">
        <f t="shared" si="58"/>
        <v>0</v>
      </c>
      <c r="P250" s="60"/>
      <c r="Q250" s="95"/>
      <c r="R250" s="19">
        <f>IF(N250="",0,1)</f>
        <v>1</v>
      </c>
      <c r="S250" s="19">
        <f t="shared" si="59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65"/>
        <v/>
      </c>
      <c r="J251" s="57" t="str">
        <f t="shared" si="66"/>
        <v/>
      </c>
      <c r="K251" s="58" t="str">
        <f t="shared" si="60"/>
        <v/>
      </c>
      <c r="L251" s="57" t="str">
        <f t="shared" si="63"/>
        <v/>
      </c>
      <c r="M251" s="58" t="str">
        <f t="shared" si="62"/>
        <v/>
      </c>
      <c r="N251" s="59">
        <v>66068309</v>
      </c>
      <c r="O251" s="59">
        <f t="shared" si="58"/>
        <v>0</v>
      </c>
      <c r="P251" s="112"/>
      <c r="Q251" s="113"/>
      <c r="R251" s="19">
        <f>IF(N251="",0,1)</f>
        <v>1</v>
      </c>
      <c r="S251" s="19">
        <f t="shared" si="59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65"/>
        <v/>
      </c>
      <c r="J252" s="57" t="str">
        <f t="shared" si="66"/>
        <v/>
      </c>
      <c r="K252" s="58" t="str">
        <f t="shared" si="60"/>
        <v/>
      </c>
      <c r="L252" s="57" t="str">
        <f t="shared" si="63"/>
        <v/>
      </c>
      <c r="M252" s="58" t="str">
        <f t="shared" si="62"/>
        <v/>
      </c>
      <c r="N252" s="59">
        <v>66068309</v>
      </c>
      <c r="O252" s="59">
        <f t="shared" si="58"/>
        <v>0</v>
      </c>
      <c r="P252" s="114"/>
      <c r="Q252" s="115"/>
      <c r="R252" s="19">
        <f>IF(N252="",0,1)</f>
        <v>1</v>
      </c>
      <c r="S252" s="19">
        <f t="shared" si="59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65"/>
        <v/>
      </c>
      <c r="J253" s="57" t="str">
        <f t="shared" si="66"/>
        <v/>
      </c>
      <c r="K253" s="58" t="str">
        <f t="shared" si="60"/>
        <v/>
      </c>
      <c r="L253" s="57" t="str">
        <f t="shared" si="63"/>
        <v/>
      </c>
      <c r="M253" s="58" t="str">
        <f t="shared" si="62"/>
        <v/>
      </c>
      <c r="N253" s="59">
        <v>66068309</v>
      </c>
      <c r="O253" s="59">
        <f t="shared" si="58"/>
        <v>0</v>
      </c>
      <c r="P253" s="116"/>
      <c r="Q253" s="117"/>
      <c r="R253" s="19">
        <f t="shared" ref="R253:R316" si="67">IF(N253="",0,1)</f>
        <v>1</v>
      </c>
      <c r="S253" s="19">
        <f t="shared" si="59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65"/>
        <v/>
      </c>
      <c r="J254" s="57" t="str">
        <f t="shared" si="66"/>
        <v/>
      </c>
      <c r="K254" s="58" t="str">
        <f t="shared" si="60"/>
        <v/>
      </c>
      <c r="L254" s="57" t="str">
        <f t="shared" si="63"/>
        <v/>
      </c>
      <c r="M254" s="58" t="str">
        <f t="shared" si="62"/>
        <v/>
      </c>
      <c r="N254" s="59">
        <v>66068309</v>
      </c>
      <c r="O254" s="59">
        <f t="shared" si="58"/>
        <v>0</v>
      </c>
      <c r="P254" s="60"/>
      <c r="Q254" s="62"/>
      <c r="R254" s="19">
        <f t="shared" si="67"/>
        <v>1</v>
      </c>
      <c r="S254" s="19">
        <f t="shared" si="59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65"/>
        <v/>
      </c>
      <c r="J255" s="57" t="str">
        <f t="shared" si="66"/>
        <v/>
      </c>
      <c r="K255" s="58" t="str">
        <f t="shared" si="60"/>
        <v/>
      </c>
      <c r="L255" s="57" t="str">
        <f t="shared" si="63"/>
        <v/>
      </c>
      <c r="M255" s="58" t="str">
        <f t="shared" si="62"/>
        <v/>
      </c>
      <c r="N255" s="59">
        <v>66068309</v>
      </c>
      <c r="O255" s="59">
        <f t="shared" si="58"/>
        <v>0</v>
      </c>
      <c r="P255" s="60"/>
      <c r="Q255" s="62"/>
      <c r="R255" s="19">
        <f t="shared" si="67"/>
        <v>1</v>
      </c>
      <c r="S255" s="19">
        <f t="shared" si="59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65"/>
        <v/>
      </c>
      <c r="J256" s="57" t="str">
        <f t="shared" si="66"/>
        <v/>
      </c>
      <c r="K256" s="58" t="str">
        <f t="shared" si="60"/>
        <v/>
      </c>
      <c r="L256" s="57" t="str">
        <f t="shared" si="63"/>
        <v/>
      </c>
      <c r="M256" s="58" t="str">
        <f t="shared" si="62"/>
        <v/>
      </c>
      <c r="N256" s="59">
        <v>66068309</v>
      </c>
      <c r="O256" s="59">
        <f t="shared" si="58"/>
        <v>0</v>
      </c>
      <c r="P256" s="60"/>
      <c r="Q256" s="61"/>
      <c r="R256" s="19">
        <f t="shared" si="67"/>
        <v>1</v>
      </c>
      <c r="S256" s="19">
        <f t="shared" si="59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65"/>
        <v/>
      </c>
      <c r="J257" s="57" t="str">
        <f t="shared" si="66"/>
        <v/>
      </c>
      <c r="K257" s="58" t="str">
        <f t="shared" si="60"/>
        <v/>
      </c>
      <c r="L257" s="57" t="str">
        <f>IF(F257="","",+(F257-F256)*4140)</f>
        <v/>
      </c>
      <c r="M257" s="58" t="str">
        <f t="shared" si="62"/>
        <v/>
      </c>
      <c r="N257" s="59">
        <v>66068309</v>
      </c>
      <c r="O257" s="59">
        <f t="shared" si="58"/>
        <v>0</v>
      </c>
      <c r="P257" s="60"/>
      <c r="Q257" s="61"/>
      <c r="R257" s="19">
        <f t="shared" si="67"/>
        <v>1</v>
      </c>
      <c r="S257" s="19">
        <f t="shared" si="59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65"/>
        <v/>
      </c>
      <c r="J258" s="57" t="str">
        <f t="shared" si="66"/>
        <v/>
      </c>
      <c r="K258" s="58" t="str">
        <f t="shared" si="60"/>
        <v/>
      </c>
      <c r="L258" s="57" t="str">
        <f t="shared" si="63"/>
        <v/>
      </c>
      <c r="M258" s="58" t="str">
        <f t="shared" si="62"/>
        <v/>
      </c>
      <c r="N258" s="59">
        <v>66068309</v>
      </c>
      <c r="O258" s="59">
        <f t="shared" si="58"/>
        <v>0</v>
      </c>
      <c r="P258" s="60"/>
      <c r="Q258" s="62"/>
      <c r="R258" s="19">
        <f t="shared" si="67"/>
        <v>1</v>
      </c>
      <c r="S258" s="19">
        <f t="shared" si="59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65"/>
        <v/>
      </c>
      <c r="J259" s="57" t="str">
        <f t="shared" si="66"/>
        <v/>
      </c>
      <c r="K259" s="58" t="str">
        <f t="shared" si="60"/>
        <v/>
      </c>
      <c r="L259" s="57" t="str">
        <f t="shared" si="63"/>
        <v/>
      </c>
      <c r="M259" s="58" t="str">
        <f t="shared" si="62"/>
        <v/>
      </c>
      <c r="N259" s="59">
        <v>66068309</v>
      </c>
      <c r="O259" s="59">
        <f t="shared" si="58"/>
        <v>0</v>
      </c>
      <c r="P259" s="60"/>
      <c r="Q259" s="62"/>
      <c r="R259" s="19">
        <f t="shared" si="67"/>
        <v>1</v>
      </c>
      <c r="S259" s="19">
        <f t="shared" si="59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65"/>
        <v/>
      </c>
      <c r="J260" s="57" t="str">
        <f t="shared" si="66"/>
        <v/>
      </c>
      <c r="K260" s="58" t="str">
        <f t="shared" si="60"/>
        <v/>
      </c>
      <c r="L260" s="57" t="str">
        <f t="shared" si="63"/>
        <v/>
      </c>
      <c r="M260" s="58" t="str">
        <f t="shared" si="62"/>
        <v/>
      </c>
      <c r="N260" s="59">
        <v>66068309</v>
      </c>
      <c r="O260" s="59">
        <f t="shared" si="58"/>
        <v>0</v>
      </c>
      <c r="P260" s="60"/>
      <c r="Q260" s="61"/>
      <c r="R260" s="19">
        <f t="shared" si="67"/>
        <v>1</v>
      </c>
      <c r="S260" s="19">
        <f t="shared" si="59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65"/>
        <v/>
      </c>
      <c r="J261" s="57" t="str">
        <f t="shared" si="66"/>
        <v/>
      </c>
      <c r="K261" s="58" t="str">
        <f t="shared" si="60"/>
        <v/>
      </c>
      <c r="L261" s="57" t="str">
        <f t="shared" ref="L261:L324" si="68">IF(F261="","",+(F261-F260)*4140)</f>
        <v/>
      </c>
      <c r="M261" s="58" t="str">
        <f t="shared" si="62"/>
        <v/>
      </c>
      <c r="N261" s="59">
        <v>66068309</v>
      </c>
      <c r="O261" s="59">
        <f t="shared" si="58"/>
        <v>0</v>
      </c>
      <c r="P261" s="60"/>
      <c r="Q261" s="61"/>
      <c r="R261" s="19">
        <f t="shared" si="67"/>
        <v>1</v>
      </c>
      <c r="S261" s="19">
        <f t="shared" si="59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65"/>
        <v/>
      </c>
      <c r="J262" s="57" t="str">
        <f t="shared" si="66"/>
        <v/>
      </c>
      <c r="K262" s="58" t="str">
        <f t="shared" si="60"/>
        <v/>
      </c>
      <c r="L262" s="57" t="str">
        <f t="shared" si="68"/>
        <v/>
      </c>
      <c r="M262" s="58" t="str">
        <f t="shared" si="62"/>
        <v/>
      </c>
      <c r="N262" s="59">
        <v>66068309</v>
      </c>
      <c r="O262" s="59">
        <f t="shared" ref="O262:O314" si="69">IF(N262="","",N262-N261)</f>
        <v>0</v>
      </c>
      <c r="P262" s="60"/>
      <c r="Q262" s="61"/>
      <c r="R262" s="19">
        <f t="shared" si="67"/>
        <v>1</v>
      </c>
      <c r="S262" s="19">
        <f t="shared" si="59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65"/>
        <v/>
      </c>
      <c r="J263" s="57" t="str">
        <f t="shared" si="66"/>
        <v/>
      </c>
      <c r="K263" s="58" t="str">
        <f t="shared" si="60"/>
        <v/>
      </c>
      <c r="L263" s="57" t="str">
        <f t="shared" si="68"/>
        <v/>
      </c>
      <c r="M263" s="58" t="str">
        <f t="shared" si="62"/>
        <v/>
      </c>
      <c r="N263" s="59">
        <v>66068309</v>
      </c>
      <c r="O263" s="59">
        <f t="shared" si="69"/>
        <v>0</v>
      </c>
      <c r="P263" s="60"/>
      <c r="Q263" s="95"/>
      <c r="R263" s="19">
        <f t="shared" si="67"/>
        <v>1</v>
      </c>
      <c r="S263" s="19">
        <f t="shared" si="59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65"/>
        <v/>
      </c>
      <c r="J264" s="57" t="str">
        <f t="shared" si="66"/>
        <v/>
      </c>
      <c r="K264" s="58" t="str">
        <f t="shared" si="60"/>
        <v/>
      </c>
      <c r="L264" s="57" t="str">
        <f t="shared" si="68"/>
        <v/>
      </c>
      <c r="M264" s="58" t="str">
        <f t="shared" si="62"/>
        <v/>
      </c>
      <c r="N264" s="59">
        <v>66068309</v>
      </c>
      <c r="O264" s="59">
        <f t="shared" si="69"/>
        <v>0</v>
      </c>
      <c r="P264" s="169" t="s">
        <v>71</v>
      </c>
      <c r="Q264" s="170"/>
      <c r="R264" s="19">
        <f t="shared" si="67"/>
        <v>1</v>
      </c>
      <c r="S264" s="19">
        <f t="shared" ref="S264:S327" si="70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65"/>
        <v/>
      </c>
      <c r="J265" s="57" t="str">
        <f t="shared" si="66"/>
        <v/>
      </c>
      <c r="K265" s="58" t="str">
        <f t="shared" si="60"/>
        <v/>
      </c>
      <c r="L265" s="57" t="str">
        <f t="shared" si="68"/>
        <v/>
      </c>
      <c r="M265" s="58" t="str">
        <f t="shared" si="62"/>
        <v/>
      </c>
      <c r="N265" s="59">
        <v>66068309</v>
      </c>
      <c r="O265" s="59">
        <f t="shared" si="69"/>
        <v>0</v>
      </c>
      <c r="P265" s="171"/>
      <c r="Q265" s="172"/>
      <c r="R265" s="19">
        <f t="shared" si="67"/>
        <v>1</v>
      </c>
      <c r="S265" s="19">
        <f t="shared" si="70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65"/>
        <v/>
      </c>
      <c r="J266" s="57" t="str">
        <f t="shared" si="66"/>
        <v/>
      </c>
      <c r="K266" s="58" t="str">
        <f t="shared" si="60"/>
        <v/>
      </c>
      <c r="L266" s="57" t="str">
        <f t="shared" si="68"/>
        <v/>
      </c>
      <c r="M266" s="58" t="str">
        <f t="shared" si="62"/>
        <v/>
      </c>
      <c r="N266" s="59">
        <v>66068309</v>
      </c>
      <c r="O266" s="59">
        <f t="shared" si="69"/>
        <v>0</v>
      </c>
      <c r="P266" s="66" t="s">
        <v>51</v>
      </c>
      <c r="Q266" s="66" t="s">
        <v>52</v>
      </c>
      <c r="R266" s="19">
        <f t="shared" si="67"/>
        <v>1</v>
      </c>
      <c r="S266" s="19">
        <f t="shared" si="70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65"/>
        <v/>
      </c>
      <c r="J267" s="57" t="str">
        <f t="shared" si="66"/>
        <v/>
      </c>
      <c r="K267" s="58" t="str">
        <f t="shared" si="60"/>
        <v/>
      </c>
      <c r="L267" s="57" t="str">
        <f t="shared" si="68"/>
        <v/>
      </c>
      <c r="M267" s="58" t="str">
        <f t="shared" si="62"/>
        <v/>
      </c>
      <c r="N267" s="59">
        <v>66068309</v>
      </c>
      <c r="O267" s="59">
        <f t="shared" si="69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67"/>
        <v>1</v>
      </c>
      <c r="S267" s="19">
        <f t="shared" si="70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65"/>
        <v/>
      </c>
      <c r="J268" s="57" t="str">
        <f t="shared" si="66"/>
        <v/>
      </c>
      <c r="K268" s="58" t="str">
        <f t="shared" si="60"/>
        <v/>
      </c>
      <c r="L268" s="57" t="str">
        <f t="shared" si="68"/>
        <v/>
      </c>
      <c r="M268" s="58" t="str">
        <f t="shared" si="62"/>
        <v/>
      </c>
      <c r="N268" s="59">
        <v>66068309</v>
      </c>
      <c r="O268" s="59">
        <f t="shared" si="69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67"/>
        <v>1</v>
      </c>
      <c r="S268" s="19">
        <f t="shared" si="70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65"/>
        <v/>
      </c>
      <c r="J269" s="57" t="str">
        <f t="shared" si="66"/>
        <v/>
      </c>
      <c r="K269" s="58" t="str">
        <f t="shared" ref="K269:K332" si="71">IF(J269="","",+(J269/I269))</f>
        <v/>
      </c>
      <c r="L269" s="57" t="str">
        <f t="shared" si="68"/>
        <v/>
      </c>
      <c r="M269" s="58" t="str">
        <f t="shared" ref="M269:M332" si="72">IF(L269="","",(L269/I269))</f>
        <v/>
      </c>
      <c r="N269" s="59">
        <v>66068309</v>
      </c>
      <c r="O269" s="59">
        <f t="shared" si="69"/>
        <v>0</v>
      </c>
      <c r="P269" s="69" t="s">
        <v>53</v>
      </c>
      <c r="Q269" s="70" t="s">
        <v>54</v>
      </c>
      <c r="R269" s="19">
        <f t="shared" si="67"/>
        <v>1</v>
      </c>
      <c r="S269" s="19">
        <f t="shared" si="70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65"/>
        <v/>
      </c>
      <c r="J270" s="57" t="str">
        <f t="shared" si="66"/>
        <v/>
      </c>
      <c r="K270" s="58" t="str">
        <f t="shared" si="71"/>
        <v/>
      </c>
      <c r="L270" s="57" t="str">
        <f t="shared" si="68"/>
        <v/>
      </c>
      <c r="M270" s="58" t="str">
        <f t="shared" si="72"/>
        <v/>
      </c>
      <c r="N270" s="59">
        <v>66068309</v>
      </c>
      <c r="O270" s="59">
        <f t="shared" si="69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67"/>
        <v>1</v>
      </c>
      <c r="S270" s="19">
        <f t="shared" si="70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65"/>
        <v/>
      </c>
      <c r="J271" s="57" t="str">
        <f t="shared" si="66"/>
        <v/>
      </c>
      <c r="K271" s="58" t="str">
        <f t="shared" si="71"/>
        <v/>
      </c>
      <c r="L271" s="57" t="str">
        <f t="shared" si="68"/>
        <v/>
      </c>
      <c r="M271" s="58" t="str">
        <f t="shared" si="72"/>
        <v/>
      </c>
      <c r="N271" s="59">
        <v>66068309</v>
      </c>
      <c r="O271" s="59">
        <f t="shared" si="69"/>
        <v>0</v>
      </c>
      <c r="P271" s="73" t="s">
        <v>55</v>
      </c>
      <c r="Q271" s="74" t="s">
        <v>63</v>
      </c>
      <c r="R271" s="19">
        <f t="shared" si="67"/>
        <v>1</v>
      </c>
      <c r="S271" s="19">
        <f t="shared" si="70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65"/>
        <v/>
      </c>
      <c r="J272" s="57" t="str">
        <f t="shared" si="66"/>
        <v/>
      </c>
      <c r="K272" s="58" t="str">
        <f t="shared" si="71"/>
        <v/>
      </c>
      <c r="L272" s="57" t="str">
        <f t="shared" si="68"/>
        <v/>
      </c>
      <c r="M272" s="58" t="str">
        <f t="shared" si="72"/>
        <v/>
      </c>
      <c r="N272" s="59">
        <v>66068309</v>
      </c>
      <c r="O272" s="59">
        <f t="shared" si="69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67"/>
        <v>1</v>
      </c>
      <c r="S272" s="19">
        <f t="shared" si="70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65"/>
        <v/>
      </c>
      <c r="J273" s="57" t="str">
        <f t="shared" si="66"/>
        <v/>
      </c>
      <c r="K273" s="58" t="str">
        <f t="shared" si="71"/>
        <v/>
      </c>
      <c r="L273" s="57" t="str">
        <f t="shared" si="68"/>
        <v/>
      </c>
      <c r="M273" s="58" t="str">
        <f t="shared" si="72"/>
        <v/>
      </c>
      <c r="N273" s="59">
        <v>66068309</v>
      </c>
      <c r="O273" s="59">
        <f t="shared" si="69"/>
        <v>0</v>
      </c>
      <c r="P273" s="160" t="s">
        <v>57</v>
      </c>
      <c r="Q273" s="161" t="s">
        <v>64</v>
      </c>
      <c r="R273" s="19">
        <f t="shared" si="67"/>
        <v>1</v>
      </c>
      <c r="S273" s="19">
        <f t="shared" si="70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65"/>
        <v/>
      </c>
      <c r="J274" s="57" t="str">
        <f t="shared" si="66"/>
        <v/>
      </c>
      <c r="K274" s="58" t="str">
        <f t="shared" si="71"/>
        <v/>
      </c>
      <c r="L274" s="57" t="str">
        <f t="shared" si="68"/>
        <v/>
      </c>
      <c r="M274" s="58" t="str">
        <f t="shared" si="72"/>
        <v/>
      </c>
      <c r="N274" s="59">
        <v>66068309</v>
      </c>
      <c r="O274" s="59">
        <f t="shared" si="69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67"/>
        <v>1</v>
      </c>
      <c r="S274" s="19">
        <f t="shared" si="70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65"/>
        <v/>
      </c>
      <c r="J275" s="57" t="str">
        <f t="shared" si="66"/>
        <v/>
      </c>
      <c r="K275" s="58" t="str">
        <f t="shared" si="71"/>
        <v/>
      </c>
      <c r="L275" s="57" t="str">
        <f t="shared" si="68"/>
        <v/>
      </c>
      <c r="M275" s="58" t="str">
        <f t="shared" si="72"/>
        <v/>
      </c>
      <c r="N275" s="59">
        <v>66068309</v>
      </c>
      <c r="O275" s="59">
        <f t="shared" si="69"/>
        <v>0</v>
      </c>
      <c r="P275" s="162" t="s">
        <v>59</v>
      </c>
      <c r="Q275" s="163" t="s">
        <v>60</v>
      </c>
      <c r="R275" s="19">
        <f t="shared" si="67"/>
        <v>1</v>
      </c>
      <c r="S275" s="19">
        <f t="shared" si="70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65"/>
        <v/>
      </c>
      <c r="J276" s="57" t="str">
        <f t="shared" si="66"/>
        <v/>
      </c>
      <c r="K276" s="58" t="str">
        <f t="shared" si="71"/>
        <v/>
      </c>
      <c r="L276" s="82" t="str">
        <f t="shared" si="68"/>
        <v/>
      </c>
      <c r="M276" s="58" t="str">
        <f t="shared" si="72"/>
        <v/>
      </c>
      <c r="N276" s="83">
        <v>66068309</v>
      </c>
      <c r="O276" s="84">
        <f t="shared" si="69"/>
        <v>0</v>
      </c>
      <c r="P276" s="118">
        <f>(P274+Q272*SUM(S247:S276)*Q277)</f>
        <v>0</v>
      </c>
      <c r="Q276" s="86">
        <f>Q272*30</f>
        <v>0</v>
      </c>
      <c r="R276" s="19">
        <f t="shared" si="67"/>
        <v>1</v>
      </c>
      <c r="S276" s="19">
        <f t="shared" si="70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65"/>
        <v/>
      </c>
      <c r="J277" s="57" t="str">
        <f t="shared" si="66"/>
        <v/>
      </c>
      <c r="K277" s="58" t="str">
        <f t="shared" si="71"/>
        <v/>
      </c>
      <c r="L277" s="57" t="str">
        <f t="shared" si="68"/>
        <v/>
      </c>
      <c r="M277" s="58" t="str">
        <f t="shared" si="72"/>
        <v/>
      </c>
      <c r="N277" s="59">
        <v>66068309</v>
      </c>
      <c r="O277" s="59">
        <f t="shared" si="69"/>
        <v>0</v>
      </c>
      <c r="P277" s="87" t="s">
        <v>61</v>
      </c>
      <c r="Q277" s="88">
        <v>0.56999999999999995</v>
      </c>
      <c r="R277" s="19">
        <f t="shared" si="67"/>
        <v>1</v>
      </c>
      <c r="S277" s="19">
        <f t="shared" si="70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65"/>
        <v/>
      </c>
      <c r="J278" s="57" t="str">
        <f t="shared" si="66"/>
        <v/>
      </c>
      <c r="K278" s="58" t="str">
        <f t="shared" si="71"/>
        <v/>
      </c>
      <c r="L278" s="57" t="str">
        <f t="shared" si="68"/>
        <v/>
      </c>
      <c r="M278" s="58" t="str">
        <f t="shared" si="72"/>
        <v/>
      </c>
      <c r="N278" s="59">
        <v>66068309</v>
      </c>
      <c r="O278" s="59">
        <f t="shared" si="69"/>
        <v>0</v>
      </c>
      <c r="P278" s="60"/>
      <c r="Q278" s="95"/>
      <c r="R278" s="19">
        <f t="shared" si="67"/>
        <v>1</v>
      </c>
      <c r="S278" s="19">
        <f t="shared" si="70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65"/>
        <v/>
      </c>
      <c r="J279" s="57" t="str">
        <f t="shared" si="66"/>
        <v/>
      </c>
      <c r="K279" s="58" t="str">
        <f t="shared" si="71"/>
        <v/>
      </c>
      <c r="L279" s="57" t="str">
        <f t="shared" si="68"/>
        <v/>
      </c>
      <c r="M279" s="58" t="str">
        <f t="shared" si="72"/>
        <v/>
      </c>
      <c r="N279" s="59">
        <v>66068309</v>
      </c>
      <c r="O279" s="59">
        <f t="shared" si="69"/>
        <v>0</v>
      </c>
      <c r="P279" s="91"/>
      <c r="Q279" s="92"/>
      <c r="R279" s="19">
        <f t="shared" si="67"/>
        <v>1</v>
      </c>
      <c r="S279" s="19">
        <f t="shared" si="70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65"/>
        <v/>
      </c>
      <c r="J280" s="57" t="str">
        <f t="shared" si="66"/>
        <v/>
      </c>
      <c r="K280" s="58" t="str">
        <f t="shared" si="71"/>
        <v/>
      </c>
      <c r="L280" s="57" t="str">
        <f t="shared" si="68"/>
        <v/>
      </c>
      <c r="M280" s="58" t="str">
        <f t="shared" si="72"/>
        <v/>
      </c>
      <c r="N280" s="59">
        <v>66068309</v>
      </c>
      <c r="O280" s="59">
        <f t="shared" si="69"/>
        <v>0</v>
      </c>
      <c r="P280" s="93"/>
      <c r="Q280" s="94"/>
      <c r="R280" s="19">
        <f t="shared" si="67"/>
        <v>1</v>
      </c>
      <c r="S280" s="19">
        <f t="shared" si="70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65"/>
        <v/>
      </c>
      <c r="J281" s="57" t="str">
        <f t="shared" si="66"/>
        <v/>
      </c>
      <c r="K281" s="58" t="str">
        <f t="shared" si="71"/>
        <v/>
      </c>
      <c r="L281" s="57" t="str">
        <f t="shared" si="68"/>
        <v/>
      </c>
      <c r="M281" s="58" t="str">
        <f t="shared" si="72"/>
        <v/>
      </c>
      <c r="N281" s="59">
        <v>66068309</v>
      </c>
      <c r="O281" s="59">
        <f t="shared" si="69"/>
        <v>0</v>
      </c>
      <c r="P281" s="93"/>
      <c r="Q281" s="92"/>
      <c r="R281" s="19">
        <f t="shared" si="67"/>
        <v>1</v>
      </c>
      <c r="S281" s="19">
        <f t="shared" si="70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65"/>
        <v/>
      </c>
      <c r="J282" s="57" t="str">
        <f t="shared" si="66"/>
        <v/>
      </c>
      <c r="K282" s="58" t="str">
        <f t="shared" si="71"/>
        <v/>
      </c>
      <c r="L282" s="57" t="str">
        <f t="shared" si="68"/>
        <v/>
      </c>
      <c r="M282" s="58" t="str">
        <f t="shared" si="72"/>
        <v/>
      </c>
      <c r="N282" s="59">
        <v>66068309</v>
      </c>
      <c r="O282" s="59">
        <f t="shared" si="69"/>
        <v>0</v>
      </c>
      <c r="P282" s="60"/>
      <c r="Q282" s="61"/>
      <c r="R282" s="19">
        <f t="shared" si="67"/>
        <v>1</v>
      </c>
      <c r="S282" s="19">
        <f t="shared" si="70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65"/>
        <v/>
      </c>
      <c r="J283" s="57" t="str">
        <f t="shared" si="66"/>
        <v/>
      </c>
      <c r="K283" s="58" t="str">
        <f t="shared" si="71"/>
        <v/>
      </c>
      <c r="L283" s="57" t="str">
        <f t="shared" si="68"/>
        <v/>
      </c>
      <c r="M283" s="58" t="str">
        <f t="shared" si="72"/>
        <v/>
      </c>
      <c r="N283" s="59">
        <v>66068309</v>
      </c>
      <c r="O283" s="59">
        <f t="shared" si="69"/>
        <v>0</v>
      </c>
      <c r="P283" s="60"/>
      <c r="Q283" s="62"/>
      <c r="R283" s="19">
        <f t="shared" si="67"/>
        <v>1</v>
      </c>
      <c r="S283" s="19">
        <f t="shared" si="70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65"/>
        <v/>
      </c>
      <c r="J284" s="57" t="str">
        <f t="shared" si="66"/>
        <v/>
      </c>
      <c r="K284" s="58" t="str">
        <f t="shared" si="71"/>
        <v/>
      </c>
      <c r="L284" s="57" t="str">
        <f t="shared" si="68"/>
        <v/>
      </c>
      <c r="M284" s="58" t="str">
        <f t="shared" si="72"/>
        <v/>
      </c>
      <c r="N284" s="59">
        <v>66068309</v>
      </c>
      <c r="O284" s="59">
        <f t="shared" si="69"/>
        <v>0</v>
      </c>
      <c r="P284" s="60"/>
      <c r="Q284" s="62"/>
      <c r="R284" s="19">
        <f t="shared" si="67"/>
        <v>1</v>
      </c>
      <c r="S284" s="19">
        <f t="shared" si="70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65"/>
        <v/>
      </c>
      <c r="J285" s="57" t="str">
        <f t="shared" si="66"/>
        <v/>
      </c>
      <c r="K285" s="58" t="str">
        <f t="shared" si="71"/>
        <v/>
      </c>
      <c r="L285" s="57" t="str">
        <f t="shared" si="68"/>
        <v/>
      </c>
      <c r="M285" s="58" t="str">
        <f t="shared" si="72"/>
        <v/>
      </c>
      <c r="N285" s="59">
        <v>66068309</v>
      </c>
      <c r="O285" s="59">
        <f t="shared" si="69"/>
        <v>0</v>
      </c>
      <c r="P285" s="60"/>
      <c r="Q285" s="62"/>
      <c r="R285" s="19">
        <f t="shared" si="67"/>
        <v>1</v>
      </c>
      <c r="S285" s="19">
        <f t="shared" si="70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65"/>
        <v/>
      </c>
      <c r="J286" s="57" t="str">
        <f t="shared" si="66"/>
        <v/>
      </c>
      <c r="K286" s="58" t="str">
        <f t="shared" si="71"/>
        <v/>
      </c>
      <c r="L286" s="57" t="str">
        <f t="shared" si="68"/>
        <v/>
      </c>
      <c r="M286" s="58" t="str">
        <f t="shared" si="72"/>
        <v/>
      </c>
      <c r="N286" s="59">
        <v>66068309</v>
      </c>
      <c r="O286" s="59">
        <f t="shared" si="69"/>
        <v>0</v>
      </c>
      <c r="P286" s="60"/>
      <c r="Q286" s="61"/>
      <c r="R286" s="19">
        <f t="shared" si="67"/>
        <v>1</v>
      </c>
      <c r="S286" s="19">
        <f t="shared" si="70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65"/>
        <v/>
      </c>
      <c r="J287" s="57" t="str">
        <f t="shared" si="66"/>
        <v/>
      </c>
      <c r="K287" s="58" t="str">
        <f t="shared" si="71"/>
        <v/>
      </c>
      <c r="L287" s="57" t="str">
        <f t="shared" si="68"/>
        <v/>
      </c>
      <c r="M287" s="58" t="str">
        <f t="shared" si="72"/>
        <v/>
      </c>
      <c r="N287" s="59">
        <v>66068309</v>
      </c>
      <c r="O287" s="59">
        <f t="shared" si="69"/>
        <v>0</v>
      </c>
      <c r="P287" s="60"/>
      <c r="Q287" s="61"/>
      <c r="R287" s="19">
        <f t="shared" si="67"/>
        <v>1</v>
      </c>
      <c r="S287" s="19">
        <f t="shared" si="70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65"/>
        <v/>
      </c>
      <c r="J288" s="57" t="str">
        <f t="shared" si="66"/>
        <v/>
      </c>
      <c r="K288" s="58" t="str">
        <f t="shared" si="71"/>
        <v/>
      </c>
      <c r="L288" s="57" t="str">
        <f t="shared" si="68"/>
        <v/>
      </c>
      <c r="M288" s="58" t="str">
        <f t="shared" si="72"/>
        <v/>
      </c>
      <c r="N288" s="59">
        <v>66068309</v>
      </c>
      <c r="O288" s="59">
        <f t="shared" si="69"/>
        <v>0</v>
      </c>
      <c r="P288" s="60"/>
      <c r="Q288" s="62"/>
      <c r="R288" s="19">
        <f t="shared" si="67"/>
        <v>1</v>
      </c>
      <c r="S288" s="19">
        <f t="shared" si="70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65"/>
        <v/>
      </c>
      <c r="J289" s="57" t="str">
        <f t="shared" si="66"/>
        <v/>
      </c>
      <c r="K289" s="58" t="str">
        <f t="shared" si="71"/>
        <v/>
      </c>
      <c r="L289" s="57" t="str">
        <f t="shared" si="68"/>
        <v/>
      </c>
      <c r="M289" s="58" t="str">
        <f t="shared" si="72"/>
        <v/>
      </c>
      <c r="N289" s="59">
        <v>66068309</v>
      </c>
      <c r="O289" s="59">
        <f t="shared" si="69"/>
        <v>0</v>
      </c>
      <c r="P289" s="60"/>
      <c r="Q289" s="62"/>
      <c r="R289" s="19">
        <f t="shared" si="67"/>
        <v>1</v>
      </c>
      <c r="S289" s="19">
        <f t="shared" si="70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65"/>
        <v/>
      </c>
      <c r="J290" s="57" t="str">
        <f t="shared" si="66"/>
        <v/>
      </c>
      <c r="K290" s="58" t="str">
        <f t="shared" si="71"/>
        <v/>
      </c>
      <c r="L290" s="57" t="str">
        <f t="shared" si="68"/>
        <v/>
      </c>
      <c r="M290" s="58" t="str">
        <f t="shared" si="72"/>
        <v/>
      </c>
      <c r="N290" s="59">
        <v>66068309</v>
      </c>
      <c r="O290" s="59">
        <f t="shared" si="69"/>
        <v>0</v>
      </c>
      <c r="P290" s="60"/>
      <c r="Q290" s="61"/>
      <c r="R290" s="19">
        <f t="shared" si="67"/>
        <v>1</v>
      </c>
      <c r="S290" s="19">
        <f t="shared" si="70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65"/>
        <v/>
      </c>
      <c r="J291" s="57" t="str">
        <f t="shared" si="66"/>
        <v/>
      </c>
      <c r="K291" s="58" t="str">
        <f t="shared" si="71"/>
        <v/>
      </c>
      <c r="L291" s="57" t="str">
        <f t="shared" si="68"/>
        <v/>
      </c>
      <c r="M291" s="58" t="str">
        <f t="shared" si="72"/>
        <v/>
      </c>
      <c r="N291" s="59">
        <v>66068309</v>
      </c>
      <c r="O291" s="59">
        <f t="shared" si="69"/>
        <v>0</v>
      </c>
      <c r="P291" s="60"/>
      <c r="Q291" s="61"/>
      <c r="R291" s="19">
        <f t="shared" si="67"/>
        <v>1</v>
      </c>
      <c r="S291" s="19">
        <f t="shared" si="70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65"/>
        <v/>
      </c>
      <c r="J292" s="57" t="str">
        <f t="shared" si="66"/>
        <v/>
      </c>
      <c r="K292" s="58" t="str">
        <f t="shared" si="71"/>
        <v/>
      </c>
      <c r="L292" s="57" t="str">
        <f t="shared" si="68"/>
        <v/>
      </c>
      <c r="M292" s="58" t="str">
        <f t="shared" si="72"/>
        <v/>
      </c>
      <c r="N292" s="59">
        <v>66068309</v>
      </c>
      <c r="O292" s="59">
        <f t="shared" si="69"/>
        <v>0</v>
      </c>
      <c r="P292" s="60"/>
      <c r="Q292" s="61"/>
      <c r="R292" s="19">
        <f t="shared" si="67"/>
        <v>1</v>
      </c>
      <c r="S292" s="19">
        <f t="shared" si="70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65"/>
        <v/>
      </c>
      <c r="J293" s="57" t="str">
        <f t="shared" si="66"/>
        <v/>
      </c>
      <c r="K293" s="58" t="str">
        <f t="shared" si="71"/>
        <v/>
      </c>
      <c r="L293" s="57" t="str">
        <f t="shared" si="68"/>
        <v/>
      </c>
      <c r="M293" s="58" t="str">
        <f t="shared" si="72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67"/>
        <v>1</v>
      </c>
      <c r="S293" s="19">
        <f t="shared" si="70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65"/>
        <v/>
      </c>
      <c r="J294" s="57" t="str">
        <f t="shared" si="66"/>
        <v/>
      </c>
      <c r="K294" s="58" t="str">
        <f t="shared" si="71"/>
        <v/>
      </c>
      <c r="L294" s="57" t="str">
        <f t="shared" si="68"/>
        <v/>
      </c>
      <c r="M294" s="58" t="str">
        <f t="shared" si="72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67"/>
        <v>1</v>
      </c>
      <c r="S294" s="19">
        <f t="shared" si="70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65"/>
        <v/>
      </c>
      <c r="J295" s="57" t="str">
        <f t="shared" si="66"/>
        <v/>
      </c>
      <c r="K295" s="58" t="str">
        <f t="shared" si="71"/>
        <v/>
      </c>
      <c r="L295" s="57" t="str">
        <f t="shared" si="68"/>
        <v/>
      </c>
      <c r="M295" s="58" t="str">
        <f t="shared" si="72"/>
        <v/>
      </c>
      <c r="N295" s="59">
        <v>66068309</v>
      </c>
      <c r="O295" s="59">
        <f t="shared" si="69"/>
        <v>0</v>
      </c>
      <c r="P295" s="169" t="s">
        <v>73</v>
      </c>
      <c r="Q295" s="170"/>
      <c r="R295" s="19">
        <f t="shared" si="67"/>
        <v>1</v>
      </c>
      <c r="S295" s="19">
        <f t="shared" si="70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65"/>
        <v/>
      </c>
      <c r="J296" s="57" t="str">
        <f t="shared" si="66"/>
        <v/>
      </c>
      <c r="K296" s="58" t="str">
        <f t="shared" si="71"/>
        <v/>
      </c>
      <c r="L296" s="57" t="str">
        <f t="shared" si="68"/>
        <v/>
      </c>
      <c r="M296" s="58" t="str">
        <f t="shared" si="72"/>
        <v/>
      </c>
      <c r="N296" s="59">
        <v>66068309</v>
      </c>
      <c r="O296" s="59">
        <f t="shared" si="69"/>
        <v>0</v>
      </c>
      <c r="P296" s="171"/>
      <c r="Q296" s="172"/>
      <c r="R296" s="19">
        <f t="shared" si="67"/>
        <v>1</v>
      </c>
      <c r="S296" s="19">
        <f t="shared" si="70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65"/>
        <v/>
      </c>
      <c r="J297" s="57" t="str">
        <f t="shared" si="66"/>
        <v/>
      </c>
      <c r="K297" s="58" t="str">
        <f t="shared" si="71"/>
        <v/>
      </c>
      <c r="L297" s="57" t="str">
        <f t="shared" si="68"/>
        <v/>
      </c>
      <c r="M297" s="58" t="str">
        <f t="shared" si="72"/>
        <v/>
      </c>
      <c r="N297" s="59">
        <v>66068309</v>
      </c>
      <c r="O297" s="59">
        <f t="shared" si="69"/>
        <v>0</v>
      </c>
      <c r="P297" s="66" t="s">
        <v>51</v>
      </c>
      <c r="Q297" s="66" t="s">
        <v>52</v>
      </c>
      <c r="R297" s="19">
        <f t="shared" si="67"/>
        <v>1</v>
      </c>
      <c r="S297" s="19">
        <f t="shared" si="70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65"/>
        <v/>
      </c>
      <c r="J298" s="57" t="str">
        <f t="shared" si="66"/>
        <v/>
      </c>
      <c r="K298" s="58" t="str">
        <f t="shared" si="71"/>
        <v/>
      </c>
      <c r="L298" s="57" t="str">
        <f t="shared" si="68"/>
        <v/>
      </c>
      <c r="M298" s="58" t="str">
        <f t="shared" si="72"/>
        <v/>
      </c>
      <c r="N298" s="59">
        <v>66068309</v>
      </c>
      <c r="O298" s="59">
        <f t="shared" si="69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67"/>
        <v>1</v>
      </c>
      <c r="S298" s="19">
        <f t="shared" si="70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65"/>
        <v/>
      </c>
      <c r="J299" s="57" t="str">
        <f t="shared" si="66"/>
        <v/>
      </c>
      <c r="K299" s="58" t="str">
        <f t="shared" si="71"/>
        <v/>
      </c>
      <c r="L299" s="57" t="str">
        <f t="shared" si="68"/>
        <v/>
      </c>
      <c r="M299" s="58" t="str">
        <f t="shared" si="72"/>
        <v/>
      </c>
      <c r="N299" s="59">
        <v>66068309</v>
      </c>
      <c r="O299" s="59">
        <f t="shared" si="69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67"/>
        <v>1</v>
      </c>
      <c r="S299" s="19">
        <f t="shared" si="70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73">IF(D300="","",+(E300-E299)*4140)</f>
        <v/>
      </c>
      <c r="J300" s="57" t="str">
        <f t="shared" si="73"/>
        <v/>
      </c>
      <c r="K300" s="58" t="str">
        <f t="shared" si="71"/>
        <v/>
      </c>
      <c r="L300" s="57" t="str">
        <f t="shared" si="68"/>
        <v/>
      </c>
      <c r="M300" s="58" t="str">
        <f t="shared" si="72"/>
        <v/>
      </c>
      <c r="N300" s="59">
        <v>66068309</v>
      </c>
      <c r="O300" s="59">
        <f t="shared" si="69"/>
        <v>0</v>
      </c>
      <c r="P300" s="69" t="s">
        <v>53</v>
      </c>
      <c r="Q300" s="70" t="s">
        <v>54</v>
      </c>
      <c r="R300" s="19">
        <f t="shared" si="67"/>
        <v>1</v>
      </c>
      <c r="S300" s="19">
        <f t="shared" si="70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73"/>
        <v/>
      </c>
      <c r="J301" s="57" t="str">
        <f t="shared" si="73"/>
        <v/>
      </c>
      <c r="K301" s="58" t="str">
        <f t="shared" si="71"/>
        <v/>
      </c>
      <c r="L301" s="57" t="str">
        <f t="shared" si="68"/>
        <v/>
      </c>
      <c r="M301" s="58" t="str">
        <f t="shared" si="72"/>
        <v/>
      </c>
      <c r="N301" s="59">
        <v>66068309</v>
      </c>
      <c r="O301" s="59">
        <f t="shared" si="69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67"/>
        <v>1</v>
      </c>
      <c r="S301" s="19">
        <f t="shared" si="70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73"/>
        <v/>
      </c>
      <c r="J302" s="57" t="str">
        <f t="shared" si="73"/>
        <v/>
      </c>
      <c r="K302" s="58" t="str">
        <f t="shared" si="71"/>
        <v/>
      </c>
      <c r="L302" s="57" t="str">
        <f t="shared" si="68"/>
        <v/>
      </c>
      <c r="M302" s="58" t="str">
        <f t="shared" si="72"/>
        <v/>
      </c>
      <c r="N302" s="59">
        <v>66068309</v>
      </c>
      <c r="O302" s="59">
        <f t="shared" si="69"/>
        <v>0</v>
      </c>
      <c r="P302" s="73" t="s">
        <v>55</v>
      </c>
      <c r="Q302" s="74" t="s">
        <v>63</v>
      </c>
      <c r="R302" s="19">
        <f t="shared" si="67"/>
        <v>1</v>
      </c>
      <c r="S302" s="19">
        <f t="shared" si="70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73"/>
        <v/>
      </c>
      <c r="J303" s="57" t="str">
        <f t="shared" si="73"/>
        <v/>
      </c>
      <c r="K303" s="58" t="str">
        <f t="shared" si="71"/>
        <v/>
      </c>
      <c r="L303" s="57" t="str">
        <f t="shared" si="68"/>
        <v/>
      </c>
      <c r="M303" s="58" t="str">
        <f t="shared" si="72"/>
        <v/>
      </c>
      <c r="N303" s="59">
        <v>66068309</v>
      </c>
      <c r="O303" s="59">
        <f t="shared" si="69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67"/>
        <v>1</v>
      </c>
      <c r="S303" s="19">
        <f t="shared" si="70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73"/>
        <v/>
      </c>
      <c r="J304" s="57" t="str">
        <f t="shared" si="73"/>
        <v/>
      </c>
      <c r="K304" s="58" t="str">
        <f t="shared" si="71"/>
        <v/>
      </c>
      <c r="L304" s="57" t="str">
        <f t="shared" si="68"/>
        <v/>
      </c>
      <c r="M304" s="58" t="str">
        <f t="shared" si="72"/>
        <v/>
      </c>
      <c r="N304" s="59">
        <v>66068309</v>
      </c>
      <c r="O304" s="59">
        <f t="shared" si="69"/>
        <v>0</v>
      </c>
      <c r="P304" s="160" t="s">
        <v>57</v>
      </c>
      <c r="Q304" s="161" t="s">
        <v>64</v>
      </c>
      <c r="R304" s="19">
        <f t="shared" si="67"/>
        <v>1</v>
      </c>
      <c r="S304" s="19">
        <f t="shared" si="70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73"/>
        <v/>
      </c>
      <c r="J305" s="57" t="str">
        <f t="shared" si="73"/>
        <v/>
      </c>
      <c r="K305" s="58" t="str">
        <f t="shared" si="71"/>
        <v/>
      </c>
      <c r="L305" s="57" t="str">
        <f t="shared" si="68"/>
        <v/>
      </c>
      <c r="M305" s="58" t="str">
        <f t="shared" si="72"/>
        <v/>
      </c>
      <c r="N305" s="59">
        <v>66068309</v>
      </c>
      <c r="O305" s="59">
        <f t="shared" si="69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67"/>
        <v>1</v>
      </c>
      <c r="S305" s="19">
        <f t="shared" si="70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73"/>
        <v/>
      </c>
      <c r="J306" s="57" t="str">
        <f t="shared" si="73"/>
        <v/>
      </c>
      <c r="K306" s="58" t="str">
        <f t="shared" si="71"/>
        <v/>
      </c>
      <c r="L306" s="57" t="str">
        <f t="shared" si="68"/>
        <v/>
      </c>
      <c r="M306" s="58" t="str">
        <f t="shared" si="72"/>
        <v/>
      </c>
      <c r="N306" s="59">
        <v>66068309</v>
      </c>
      <c r="O306" s="59">
        <f t="shared" si="69"/>
        <v>0</v>
      </c>
      <c r="P306" s="162" t="s">
        <v>59</v>
      </c>
      <c r="Q306" s="163" t="s">
        <v>60</v>
      </c>
      <c r="R306" s="19">
        <f t="shared" si="67"/>
        <v>1</v>
      </c>
      <c r="S306" s="19">
        <f t="shared" si="70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73"/>
        <v/>
      </c>
      <c r="J307" s="57" t="str">
        <f t="shared" si="73"/>
        <v/>
      </c>
      <c r="K307" s="58" t="str">
        <f t="shared" si="71"/>
        <v/>
      </c>
      <c r="L307" s="82" t="str">
        <f t="shared" si="68"/>
        <v/>
      </c>
      <c r="M307" s="58" t="str">
        <f t="shared" si="72"/>
        <v/>
      </c>
      <c r="N307" s="83">
        <v>66068309</v>
      </c>
      <c r="O307" s="84">
        <f t="shared" si="69"/>
        <v>0</v>
      </c>
      <c r="P307" s="119">
        <f>(P305+Q303*SUM(S277:S307)*Q308)</f>
        <v>0</v>
      </c>
      <c r="Q307" s="120">
        <f>Q303*31</f>
        <v>0</v>
      </c>
      <c r="R307" s="19">
        <f t="shared" si="67"/>
        <v>1</v>
      </c>
      <c r="S307" s="19">
        <f t="shared" si="70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73"/>
        <v/>
      </c>
      <c r="J308" s="57" t="str">
        <f t="shared" si="73"/>
        <v/>
      </c>
      <c r="K308" s="58" t="str">
        <f t="shared" si="71"/>
        <v/>
      </c>
      <c r="L308" s="57" t="str">
        <f t="shared" si="68"/>
        <v/>
      </c>
      <c r="M308" s="58" t="str">
        <f t="shared" si="72"/>
        <v/>
      </c>
      <c r="N308" s="59">
        <v>66068309</v>
      </c>
      <c r="O308" s="59">
        <f t="shared" si="69"/>
        <v>0</v>
      </c>
      <c r="P308" s="102" t="s">
        <v>61</v>
      </c>
      <c r="Q308" s="103">
        <v>0.56999999999999995</v>
      </c>
      <c r="R308" s="19">
        <f t="shared" si="67"/>
        <v>1</v>
      </c>
      <c r="S308" s="19">
        <f t="shared" si="70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73"/>
        <v/>
      </c>
      <c r="J309" s="57" t="str">
        <f t="shared" si="73"/>
        <v/>
      </c>
      <c r="K309" s="58" t="str">
        <f t="shared" si="71"/>
        <v/>
      </c>
      <c r="L309" s="57" t="str">
        <f t="shared" si="68"/>
        <v/>
      </c>
      <c r="M309" s="58" t="str">
        <f t="shared" si="72"/>
        <v/>
      </c>
      <c r="N309" s="59">
        <v>66068309</v>
      </c>
      <c r="O309" s="59">
        <f t="shared" si="69"/>
        <v>0</v>
      </c>
      <c r="P309" s="121"/>
      <c r="Q309" s="121"/>
      <c r="R309" s="19">
        <f t="shared" si="67"/>
        <v>1</v>
      </c>
      <c r="S309" s="19">
        <f t="shared" si="70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73"/>
        <v/>
      </c>
      <c r="J310" s="57" t="str">
        <f t="shared" si="73"/>
        <v/>
      </c>
      <c r="K310" s="58" t="str">
        <f t="shared" si="71"/>
        <v/>
      </c>
      <c r="L310" s="57" t="str">
        <f t="shared" si="68"/>
        <v/>
      </c>
      <c r="M310" s="58" t="str">
        <f t="shared" si="72"/>
        <v/>
      </c>
      <c r="N310" s="59">
        <v>66068309</v>
      </c>
      <c r="O310" s="59">
        <f t="shared" si="69"/>
        <v>0</v>
      </c>
      <c r="P310" s="91"/>
      <c r="Q310" s="92"/>
      <c r="R310" s="19">
        <f>IF(N310="",0,1)</f>
        <v>1</v>
      </c>
      <c r="S310" s="19">
        <f t="shared" si="70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73"/>
        <v/>
      </c>
      <c r="J311" s="57" t="str">
        <f t="shared" si="73"/>
        <v/>
      </c>
      <c r="K311" s="58" t="str">
        <f t="shared" si="71"/>
        <v/>
      </c>
      <c r="L311" s="57" t="str">
        <f t="shared" si="68"/>
        <v/>
      </c>
      <c r="M311" s="58" t="str">
        <f t="shared" si="72"/>
        <v/>
      </c>
      <c r="N311" s="59">
        <v>66068309</v>
      </c>
      <c r="O311" s="59">
        <f t="shared" si="69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73"/>
        <v/>
      </c>
      <c r="J312" s="57" t="str">
        <f t="shared" si="73"/>
        <v/>
      </c>
      <c r="K312" s="58" t="str">
        <f t="shared" si="71"/>
        <v/>
      </c>
      <c r="L312" s="57" t="str">
        <f t="shared" si="68"/>
        <v/>
      </c>
      <c r="M312" s="58" t="str">
        <f t="shared" si="72"/>
        <v/>
      </c>
      <c r="N312" s="59">
        <v>66068309</v>
      </c>
      <c r="O312" s="59">
        <f t="shared" si="69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73"/>
        <v/>
      </c>
      <c r="J313" s="57" t="str">
        <f t="shared" si="73"/>
        <v/>
      </c>
      <c r="K313" s="58" t="str">
        <f t="shared" si="71"/>
        <v/>
      </c>
      <c r="L313" s="57" t="str">
        <f t="shared" si="68"/>
        <v/>
      </c>
      <c r="M313" s="58" t="str">
        <f t="shared" si="72"/>
        <v/>
      </c>
      <c r="N313" s="59">
        <v>66068309</v>
      </c>
      <c r="O313" s="59">
        <f t="shared" si="69"/>
        <v>0</v>
      </c>
      <c r="P313" s="60"/>
      <c r="Q313" s="62"/>
      <c r="R313" s="19">
        <f t="shared" si="67"/>
        <v>1</v>
      </c>
      <c r="S313" s="19">
        <f t="shared" si="70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73"/>
        <v/>
      </c>
      <c r="J314" s="57" t="str">
        <f t="shared" si="73"/>
        <v/>
      </c>
      <c r="K314" s="58" t="str">
        <f t="shared" si="71"/>
        <v/>
      </c>
      <c r="L314" s="57" t="str">
        <f t="shared" si="68"/>
        <v/>
      </c>
      <c r="M314" s="58" t="str">
        <f t="shared" si="72"/>
        <v/>
      </c>
      <c r="N314" s="59">
        <v>66068309</v>
      </c>
      <c r="O314" s="59">
        <f t="shared" si="69"/>
        <v>0</v>
      </c>
      <c r="P314" s="60"/>
      <c r="Q314" s="62"/>
      <c r="R314" s="19">
        <f t="shared" si="67"/>
        <v>1</v>
      </c>
      <c r="S314" s="19">
        <f t="shared" si="70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73"/>
        <v/>
      </c>
      <c r="J315" s="57" t="str">
        <f t="shared" si="73"/>
        <v/>
      </c>
      <c r="K315" s="58" t="str">
        <f t="shared" si="71"/>
        <v/>
      </c>
      <c r="L315" s="57" t="str">
        <f t="shared" si="68"/>
        <v/>
      </c>
      <c r="M315" s="58" t="str">
        <f t="shared" si="72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67"/>
        <v>1</v>
      </c>
      <c r="S315" s="19">
        <f t="shared" si="70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74">IF(D316="","",+(E316-E315)*4140)</f>
        <v/>
      </c>
      <c r="J316" s="57" t="str">
        <f t="shared" ref="J316:J367" si="75">IF(E316="","",+(F316-F315)*4140)</f>
        <v/>
      </c>
      <c r="K316" s="58" t="str">
        <f t="shared" si="71"/>
        <v/>
      </c>
      <c r="L316" s="57" t="str">
        <f t="shared" si="68"/>
        <v/>
      </c>
      <c r="M316" s="58" t="str">
        <f t="shared" si="72"/>
        <v/>
      </c>
      <c r="N316" s="59">
        <v>66068309</v>
      </c>
      <c r="O316" s="59">
        <f t="shared" ref="O316:O367" si="76">IF(N316="","",N316-N315)</f>
        <v>0</v>
      </c>
      <c r="P316" s="60"/>
      <c r="Q316" s="61"/>
      <c r="R316" s="19">
        <f t="shared" si="67"/>
        <v>1</v>
      </c>
      <c r="S316" s="19">
        <f t="shared" si="70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74"/>
        <v/>
      </c>
      <c r="J317" s="57" t="str">
        <f t="shared" si="75"/>
        <v/>
      </c>
      <c r="K317" s="58" t="str">
        <f t="shared" si="71"/>
        <v/>
      </c>
      <c r="L317" s="57" t="str">
        <f t="shared" si="68"/>
        <v/>
      </c>
      <c r="M317" s="58" t="str">
        <f t="shared" si="72"/>
        <v/>
      </c>
      <c r="N317" s="59">
        <v>66068309</v>
      </c>
      <c r="O317" s="59">
        <f t="shared" si="76"/>
        <v>0</v>
      </c>
      <c r="P317" s="60"/>
      <c r="Q317" s="61"/>
      <c r="R317" s="19">
        <f t="shared" ref="R317:R368" si="77">IF(N317="",0,1)</f>
        <v>1</v>
      </c>
      <c r="S317" s="19">
        <f t="shared" si="70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74"/>
        <v/>
      </c>
      <c r="J318" s="57" t="str">
        <f t="shared" si="75"/>
        <v/>
      </c>
      <c r="K318" s="58" t="str">
        <f t="shared" si="71"/>
        <v/>
      </c>
      <c r="L318" s="57" t="str">
        <f t="shared" si="68"/>
        <v/>
      </c>
      <c r="M318" s="58" t="str">
        <f t="shared" si="72"/>
        <v/>
      </c>
      <c r="N318" s="59">
        <v>66068309</v>
      </c>
      <c r="O318" s="59">
        <f t="shared" si="76"/>
        <v>0</v>
      </c>
      <c r="P318" s="60"/>
      <c r="Q318" s="62"/>
      <c r="R318" s="19">
        <f t="shared" si="77"/>
        <v>1</v>
      </c>
      <c r="S318" s="19">
        <f t="shared" si="70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74"/>
        <v/>
      </c>
      <c r="J319" s="57" t="str">
        <f t="shared" si="75"/>
        <v/>
      </c>
      <c r="K319" s="58" t="str">
        <f t="shared" si="71"/>
        <v/>
      </c>
      <c r="L319" s="57" t="str">
        <f t="shared" si="68"/>
        <v/>
      </c>
      <c r="M319" s="58" t="str">
        <f t="shared" si="72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77"/>
        <v>1</v>
      </c>
      <c r="S319" s="19">
        <f t="shared" si="70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74"/>
        <v/>
      </c>
      <c r="J320" s="57" t="str">
        <f t="shared" si="75"/>
        <v/>
      </c>
      <c r="K320" s="58" t="str">
        <f t="shared" si="71"/>
        <v/>
      </c>
      <c r="L320" s="57" t="str">
        <f t="shared" si="68"/>
        <v/>
      </c>
      <c r="M320" s="58" t="str">
        <f t="shared" si="72"/>
        <v/>
      </c>
      <c r="N320" s="59">
        <v>66068309</v>
      </c>
      <c r="O320" s="59">
        <f t="shared" si="76"/>
        <v>0</v>
      </c>
      <c r="P320" s="60"/>
      <c r="Q320" s="61"/>
      <c r="R320" s="19">
        <f t="shared" si="77"/>
        <v>1</v>
      </c>
      <c r="S320" s="19">
        <f t="shared" si="70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74"/>
        <v/>
      </c>
      <c r="J321" s="57" t="str">
        <f t="shared" si="75"/>
        <v/>
      </c>
      <c r="K321" s="58" t="str">
        <f t="shared" si="71"/>
        <v/>
      </c>
      <c r="L321" s="57" t="str">
        <f t="shared" si="68"/>
        <v/>
      </c>
      <c r="M321" s="58" t="str">
        <f t="shared" si="72"/>
        <v/>
      </c>
      <c r="N321" s="59">
        <v>66068309</v>
      </c>
      <c r="O321" s="59">
        <f t="shared" si="76"/>
        <v>0</v>
      </c>
      <c r="P321" s="60"/>
      <c r="Q321" s="122"/>
      <c r="R321" s="19">
        <f t="shared" si="77"/>
        <v>1</v>
      </c>
      <c r="S321" s="19">
        <f t="shared" si="70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74"/>
        <v/>
      </c>
      <c r="J322" s="57" t="str">
        <f t="shared" si="75"/>
        <v/>
      </c>
      <c r="K322" s="58" t="str">
        <f t="shared" si="71"/>
        <v/>
      </c>
      <c r="L322" s="57" t="str">
        <f t="shared" si="68"/>
        <v/>
      </c>
      <c r="M322" s="58" t="str">
        <f t="shared" si="72"/>
        <v/>
      </c>
      <c r="N322" s="59">
        <v>66068309</v>
      </c>
      <c r="O322" s="59">
        <f t="shared" si="76"/>
        <v>0</v>
      </c>
      <c r="P322" s="60"/>
      <c r="Q322" s="61"/>
      <c r="R322" s="19">
        <f t="shared" si="77"/>
        <v>1</v>
      </c>
      <c r="S322" s="19">
        <f t="shared" si="70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74"/>
        <v/>
      </c>
      <c r="J323" s="57" t="str">
        <f t="shared" si="75"/>
        <v/>
      </c>
      <c r="K323" s="58" t="str">
        <f t="shared" si="71"/>
        <v/>
      </c>
      <c r="L323" s="57" t="str">
        <f t="shared" si="68"/>
        <v/>
      </c>
      <c r="M323" s="58" t="str">
        <f t="shared" si="72"/>
        <v/>
      </c>
      <c r="N323" s="59">
        <v>66068309</v>
      </c>
      <c r="O323" s="59">
        <f t="shared" si="76"/>
        <v>0</v>
      </c>
      <c r="P323" s="60"/>
      <c r="Q323" s="95"/>
      <c r="R323" s="19">
        <f t="shared" si="77"/>
        <v>1</v>
      </c>
      <c r="S323" s="19">
        <f t="shared" si="70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74"/>
        <v/>
      </c>
      <c r="J324" s="57" t="str">
        <f t="shared" si="75"/>
        <v/>
      </c>
      <c r="K324" s="58" t="str">
        <f t="shared" si="71"/>
        <v/>
      </c>
      <c r="L324" s="57" t="str">
        <f t="shared" si="68"/>
        <v/>
      </c>
      <c r="M324" s="58" t="str">
        <f t="shared" si="72"/>
        <v/>
      </c>
      <c r="N324" s="59">
        <v>66068309</v>
      </c>
      <c r="O324" s="59">
        <f t="shared" si="76"/>
        <v>0</v>
      </c>
      <c r="P324" s="60"/>
      <c r="Q324" s="95"/>
      <c r="R324" s="19">
        <f t="shared" si="77"/>
        <v>1</v>
      </c>
      <c r="S324" s="19">
        <f t="shared" si="70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74"/>
        <v/>
      </c>
      <c r="J325" s="57" t="str">
        <f t="shared" si="75"/>
        <v/>
      </c>
      <c r="K325" s="58" t="str">
        <f t="shared" si="71"/>
        <v/>
      </c>
      <c r="L325" s="57" t="str">
        <f t="shared" ref="L325:L367" si="78">IF(F325="","",+(F325-F324)*4140)</f>
        <v/>
      </c>
      <c r="M325" s="58" t="str">
        <f t="shared" si="72"/>
        <v/>
      </c>
      <c r="N325" s="59">
        <v>66068309</v>
      </c>
      <c r="O325" s="59">
        <f t="shared" si="76"/>
        <v>0</v>
      </c>
      <c r="P325" s="169" t="s">
        <v>74</v>
      </c>
      <c r="Q325" s="170"/>
      <c r="R325" s="19">
        <f t="shared" si="77"/>
        <v>1</v>
      </c>
      <c r="S325" s="19">
        <f t="shared" si="70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79">IF(D326="","",+(E326-E325)*4140)</f>
        <v/>
      </c>
      <c r="J326" s="57" t="str">
        <f t="shared" si="79"/>
        <v/>
      </c>
      <c r="K326" s="58" t="str">
        <f t="shared" si="71"/>
        <v/>
      </c>
      <c r="L326" s="57" t="str">
        <f>IF(F326="","",+(F326-F325)*4140)</f>
        <v/>
      </c>
      <c r="M326" s="58" t="str">
        <f t="shared" si="72"/>
        <v/>
      </c>
      <c r="N326" s="59">
        <v>66068309</v>
      </c>
      <c r="O326" s="59">
        <f t="shared" si="76"/>
        <v>0</v>
      </c>
      <c r="P326" s="171"/>
      <c r="Q326" s="172"/>
      <c r="R326" s="19">
        <f t="shared" si="77"/>
        <v>1</v>
      </c>
      <c r="S326" s="19">
        <f t="shared" si="70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79"/>
        <v/>
      </c>
      <c r="J327" s="57" t="str">
        <f t="shared" si="79"/>
        <v/>
      </c>
      <c r="K327" s="58" t="str">
        <f t="shared" si="71"/>
        <v/>
      </c>
      <c r="L327" s="57" t="str">
        <f>IF(F327="","",+(F327-F326)*4140)</f>
        <v/>
      </c>
      <c r="M327" s="58" t="str">
        <f t="shared" si="72"/>
        <v/>
      </c>
      <c r="N327" s="59">
        <v>66068309</v>
      </c>
      <c r="O327" s="59">
        <f t="shared" si="76"/>
        <v>0</v>
      </c>
      <c r="P327" s="66" t="s">
        <v>51</v>
      </c>
      <c r="Q327" s="66" t="s">
        <v>52</v>
      </c>
      <c r="R327" s="19">
        <f t="shared" si="77"/>
        <v>1</v>
      </c>
      <c r="S327" s="19">
        <f t="shared" si="70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79"/>
        <v/>
      </c>
      <c r="J328" s="57" t="str">
        <f t="shared" si="79"/>
        <v/>
      </c>
      <c r="K328" s="58" t="str">
        <f t="shared" si="71"/>
        <v/>
      </c>
      <c r="L328" s="57" t="str">
        <f>IF(F328="","",+(F328-F327)*4140)</f>
        <v/>
      </c>
      <c r="M328" s="58" t="str">
        <f t="shared" si="72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77"/>
        <v>1</v>
      </c>
      <c r="S328" s="19">
        <f t="shared" ref="S328:S368" si="80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74"/>
        <v/>
      </c>
      <c r="J329" s="57" t="str">
        <f t="shared" si="75"/>
        <v/>
      </c>
      <c r="K329" s="58" t="str">
        <f t="shared" si="71"/>
        <v/>
      </c>
      <c r="L329" s="57" t="str">
        <f t="shared" si="78"/>
        <v/>
      </c>
      <c r="M329" s="58" t="str">
        <f t="shared" si="72"/>
        <v/>
      </c>
      <c r="N329" s="59">
        <v>66068309</v>
      </c>
      <c r="O329" s="59">
        <f t="shared" si="76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77"/>
        <v>1</v>
      </c>
      <c r="S329" s="19">
        <f t="shared" si="80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74"/>
        <v/>
      </c>
      <c r="J330" s="57" t="str">
        <f t="shared" si="75"/>
        <v/>
      </c>
      <c r="K330" s="58" t="str">
        <f t="shared" si="71"/>
        <v/>
      </c>
      <c r="L330" s="57" t="str">
        <f t="shared" si="78"/>
        <v/>
      </c>
      <c r="M330" s="58" t="str">
        <f t="shared" si="72"/>
        <v/>
      </c>
      <c r="N330" s="59">
        <v>66068309</v>
      </c>
      <c r="O330" s="59">
        <f t="shared" si="76"/>
        <v>0</v>
      </c>
      <c r="P330" s="69" t="s">
        <v>53</v>
      </c>
      <c r="Q330" s="70" t="s">
        <v>54</v>
      </c>
      <c r="R330" s="19">
        <f t="shared" si="77"/>
        <v>1</v>
      </c>
      <c r="S330" s="19">
        <f t="shared" si="80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74"/>
        <v/>
      </c>
      <c r="J331" s="57" t="str">
        <f t="shared" si="75"/>
        <v/>
      </c>
      <c r="K331" s="58" t="str">
        <f t="shared" si="71"/>
        <v/>
      </c>
      <c r="L331" s="57" t="str">
        <f t="shared" si="78"/>
        <v/>
      </c>
      <c r="M331" s="58" t="str">
        <f t="shared" si="72"/>
        <v/>
      </c>
      <c r="N331" s="59">
        <v>66068309</v>
      </c>
      <c r="O331" s="59">
        <f t="shared" si="76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77"/>
        <v>1</v>
      </c>
      <c r="S331" s="19">
        <f t="shared" si="80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74"/>
        <v/>
      </c>
      <c r="J332" s="57" t="str">
        <f t="shared" si="75"/>
        <v/>
      </c>
      <c r="K332" s="58" t="str">
        <f t="shared" si="71"/>
        <v/>
      </c>
      <c r="L332" s="57" t="str">
        <f t="shared" si="78"/>
        <v/>
      </c>
      <c r="M332" s="58" t="str">
        <f t="shared" si="72"/>
        <v/>
      </c>
      <c r="N332" s="59">
        <v>66068309</v>
      </c>
      <c r="O332" s="59">
        <f t="shared" si="76"/>
        <v>0</v>
      </c>
      <c r="P332" s="73" t="s">
        <v>55</v>
      </c>
      <c r="Q332" s="74" t="s">
        <v>63</v>
      </c>
      <c r="R332" s="19">
        <f t="shared" si="77"/>
        <v>1</v>
      </c>
      <c r="S332" s="19">
        <f t="shared" si="80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74"/>
        <v/>
      </c>
      <c r="J333" s="57" t="str">
        <f t="shared" si="75"/>
        <v/>
      </c>
      <c r="K333" s="58" t="str">
        <f t="shared" ref="K333:K337" si="81">IF(J333="","",+(J333/I333))</f>
        <v/>
      </c>
      <c r="L333" s="57" t="str">
        <f t="shared" si="78"/>
        <v/>
      </c>
      <c r="M333" s="58" t="str">
        <f t="shared" ref="M333:M362" si="82">IF(L333="","",(L333/I333))</f>
        <v/>
      </c>
      <c r="N333" s="59">
        <v>66068309</v>
      </c>
      <c r="O333" s="59">
        <f t="shared" si="76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77"/>
        <v>1</v>
      </c>
      <c r="S333" s="19">
        <f t="shared" si="80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74"/>
        <v/>
      </c>
      <c r="J334" s="57" t="str">
        <f t="shared" si="75"/>
        <v/>
      </c>
      <c r="K334" s="58" t="str">
        <f t="shared" si="81"/>
        <v/>
      </c>
      <c r="L334" s="57" t="str">
        <f t="shared" si="78"/>
        <v/>
      </c>
      <c r="M334" s="58" t="str">
        <f t="shared" si="82"/>
        <v/>
      </c>
      <c r="N334" s="59">
        <v>66068309</v>
      </c>
      <c r="O334" s="59">
        <f t="shared" si="76"/>
        <v>0</v>
      </c>
      <c r="P334" s="160" t="s">
        <v>57</v>
      </c>
      <c r="Q334" s="161" t="s">
        <v>64</v>
      </c>
      <c r="R334" s="19">
        <f t="shared" si="77"/>
        <v>1</v>
      </c>
      <c r="S334" s="19">
        <f t="shared" si="80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74"/>
        <v/>
      </c>
      <c r="J335" s="57" t="str">
        <f t="shared" si="75"/>
        <v/>
      </c>
      <c r="K335" s="58" t="str">
        <f t="shared" si="81"/>
        <v/>
      </c>
      <c r="L335" s="57" t="str">
        <f t="shared" si="78"/>
        <v/>
      </c>
      <c r="M335" s="58" t="str">
        <f t="shared" si="82"/>
        <v/>
      </c>
      <c r="N335" s="59">
        <v>66068309</v>
      </c>
      <c r="O335" s="59">
        <f t="shared" si="76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77"/>
        <v>1</v>
      </c>
      <c r="S335" s="19">
        <f t="shared" si="80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74"/>
        <v/>
      </c>
      <c r="J336" s="57" t="str">
        <f t="shared" si="75"/>
        <v/>
      </c>
      <c r="K336" s="58" t="str">
        <f t="shared" si="81"/>
        <v/>
      </c>
      <c r="L336" s="57" t="str">
        <f t="shared" si="78"/>
        <v/>
      </c>
      <c r="M336" s="58" t="str">
        <f t="shared" si="82"/>
        <v/>
      </c>
      <c r="N336" s="59">
        <v>66068309</v>
      </c>
      <c r="O336" s="59">
        <f t="shared" si="76"/>
        <v>0</v>
      </c>
      <c r="P336" s="164" t="s">
        <v>59</v>
      </c>
      <c r="Q336" s="164" t="s">
        <v>60</v>
      </c>
      <c r="R336" s="19">
        <f t="shared" si="77"/>
        <v>1</v>
      </c>
      <c r="S336" s="19">
        <f t="shared" si="80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74"/>
        <v/>
      </c>
      <c r="J337" s="57" t="str">
        <f t="shared" si="75"/>
        <v/>
      </c>
      <c r="K337" s="58" t="str">
        <f t="shared" si="81"/>
        <v/>
      </c>
      <c r="L337" s="57" t="str">
        <f t="shared" si="78"/>
        <v/>
      </c>
      <c r="M337" s="58" t="str">
        <f t="shared" si="82"/>
        <v/>
      </c>
      <c r="N337" s="83">
        <v>66068309</v>
      </c>
      <c r="O337" s="125">
        <f t="shared" si="76"/>
        <v>0</v>
      </c>
      <c r="P337" s="126">
        <f>(P335+Q333*SUM(S308:S337)*Q338)</f>
        <v>0</v>
      </c>
      <c r="Q337" s="127">
        <f>Q333*30</f>
        <v>0</v>
      </c>
      <c r="R337" s="19">
        <f t="shared" si="77"/>
        <v>1</v>
      </c>
      <c r="S337" s="19">
        <f t="shared" si="80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74"/>
        <v/>
      </c>
      <c r="J338" s="57" t="str">
        <f t="shared" si="75"/>
        <v/>
      </c>
      <c r="K338" s="58" t="str">
        <f t="shared" ref="K338:K367" si="83">IF(J338="","",+(J338/I338))</f>
        <v/>
      </c>
      <c r="L338" s="57" t="str">
        <f t="shared" si="78"/>
        <v/>
      </c>
      <c r="M338" s="58" t="str">
        <f t="shared" si="82"/>
        <v/>
      </c>
      <c r="N338" s="59">
        <v>66068309</v>
      </c>
      <c r="O338" s="59">
        <f t="shared" si="76"/>
        <v>0</v>
      </c>
      <c r="P338" s="128" t="s">
        <v>61</v>
      </c>
      <c r="Q338" s="129">
        <v>0.56999999999999995</v>
      </c>
      <c r="R338" s="19">
        <f t="shared" si="77"/>
        <v>1</v>
      </c>
      <c r="S338" s="19">
        <f t="shared" si="80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74"/>
        <v/>
      </c>
      <c r="J339" s="57" t="str">
        <f t="shared" si="75"/>
        <v/>
      </c>
      <c r="K339" s="58" t="str">
        <f t="shared" si="83"/>
        <v/>
      </c>
      <c r="L339" s="57" t="str">
        <f t="shared" si="78"/>
        <v/>
      </c>
      <c r="M339" s="58" t="str">
        <f t="shared" si="82"/>
        <v/>
      </c>
      <c r="N339" s="59">
        <v>66068309</v>
      </c>
      <c r="O339" s="59">
        <f t="shared" si="76"/>
        <v>0</v>
      </c>
      <c r="P339" s="121"/>
      <c r="Q339" s="121"/>
      <c r="R339" s="19">
        <f t="shared" si="77"/>
        <v>1</v>
      </c>
      <c r="S339" s="19">
        <f t="shared" si="80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74"/>
        <v/>
      </c>
      <c r="J340" s="57" t="str">
        <f t="shared" si="75"/>
        <v/>
      </c>
      <c r="K340" s="58" t="str">
        <f t="shared" si="83"/>
        <v/>
      </c>
      <c r="L340" s="57" t="str">
        <f t="shared" si="78"/>
        <v/>
      </c>
      <c r="M340" s="58" t="str">
        <f t="shared" si="82"/>
        <v/>
      </c>
      <c r="N340" s="59">
        <v>66068309</v>
      </c>
      <c r="O340" s="59">
        <f t="shared" si="76"/>
        <v>0</v>
      </c>
      <c r="P340" s="91"/>
      <c r="Q340" s="92"/>
      <c r="R340" s="19">
        <f t="shared" si="77"/>
        <v>1</v>
      </c>
      <c r="S340" s="19">
        <f t="shared" si="80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74"/>
        <v/>
      </c>
      <c r="J341" s="57" t="str">
        <f t="shared" si="75"/>
        <v/>
      </c>
      <c r="K341" s="58" t="str">
        <f t="shared" si="83"/>
        <v/>
      </c>
      <c r="L341" s="57" t="str">
        <f t="shared" si="78"/>
        <v/>
      </c>
      <c r="M341" s="58" t="str">
        <f t="shared" si="82"/>
        <v/>
      </c>
      <c r="N341" s="59">
        <v>66068309</v>
      </c>
      <c r="O341" s="59">
        <f t="shared" si="76"/>
        <v>0</v>
      </c>
      <c r="P341" s="93"/>
      <c r="Q341" s="94"/>
      <c r="R341" s="19">
        <f t="shared" si="77"/>
        <v>1</v>
      </c>
      <c r="S341" s="19">
        <f t="shared" si="80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74"/>
        <v/>
      </c>
      <c r="J342" s="57" t="str">
        <f t="shared" si="75"/>
        <v/>
      </c>
      <c r="K342" s="58" t="str">
        <f t="shared" si="83"/>
        <v/>
      </c>
      <c r="L342" s="57" t="str">
        <f t="shared" si="78"/>
        <v/>
      </c>
      <c r="M342" s="58" t="str">
        <f t="shared" si="82"/>
        <v/>
      </c>
      <c r="N342" s="59">
        <v>66068309</v>
      </c>
      <c r="O342" s="59">
        <f t="shared" si="76"/>
        <v>0</v>
      </c>
      <c r="P342" s="93"/>
      <c r="Q342" s="92"/>
      <c r="R342" s="19">
        <f t="shared" si="77"/>
        <v>1</v>
      </c>
      <c r="S342" s="19">
        <f t="shared" si="80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74"/>
        <v/>
      </c>
      <c r="J343" s="57" t="str">
        <f t="shared" si="75"/>
        <v/>
      </c>
      <c r="K343" s="58" t="str">
        <f t="shared" si="83"/>
        <v/>
      </c>
      <c r="L343" s="57" t="str">
        <f t="shared" si="78"/>
        <v/>
      </c>
      <c r="M343" s="58" t="str">
        <f t="shared" si="82"/>
        <v/>
      </c>
      <c r="N343" s="59">
        <v>66068309</v>
      </c>
      <c r="O343" s="59">
        <f t="shared" si="76"/>
        <v>0</v>
      </c>
      <c r="P343" s="60"/>
      <c r="Q343" s="61"/>
      <c r="R343" s="19">
        <f t="shared" si="77"/>
        <v>1</v>
      </c>
      <c r="S343" s="19">
        <f t="shared" si="80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74"/>
        <v/>
      </c>
      <c r="J344" s="57" t="str">
        <f t="shared" si="75"/>
        <v/>
      </c>
      <c r="K344" s="58" t="str">
        <f t="shared" si="83"/>
        <v/>
      </c>
      <c r="L344" s="57" t="str">
        <f t="shared" si="78"/>
        <v/>
      </c>
      <c r="M344" s="58" t="str">
        <f t="shared" si="82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77"/>
        <v>1</v>
      </c>
      <c r="S344" s="19">
        <f t="shared" si="80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74"/>
        <v/>
      </c>
      <c r="J345" s="57" t="str">
        <f t="shared" si="75"/>
        <v/>
      </c>
      <c r="K345" s="58" t="str">
        <f t="shared" si="83"/>
        <v/>
      </c>
      <c r="L345" s="57" t="str">
        <f t="shared" si="78"/>
        <v/>
      </c>
      <c r="M345" s="58" t="str">
        <f t="shared" si="82"/>
        <v/>
      </c>
      <c r="N345" s="59">
        <v>66068309</v>
      </c>
      <c r="O345" s="59">
        <f t="shared" si="76"/>
        <v>0</v>
      </c>
      <c r="P345" s="60"/>
      <c r="Q345" s="62"/>
      <c r="R345" s="19">
        <f t="shared" si="77"/>
        <v>1</v>
      </c>
      <c r="S345" s="19">
        <f t="shared" si="80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74"/>
        <v/>
      </c>
      <c r="J346" s="57" t="str">
        <f t="shared" si="75"/>
        <v/>
      </c>
      <c r="K346" s="58" t="str">
        <f t="shared" si="83"/>
        <v/>
      </c>
      <c r="L346" s="57" t="str">
        <f t="shared" si="78"/>
        <v/>
      </c>
      <c r="M346" s="58" t="str">
        <f t="shared" si="82"/>
        <v/>
      </c>
      <c r="N346" s="59">
        <v>66068309</v>
      </c>
      <c r="O346" s="59">
        <f t="shared" si="76"/>
        <v>0</v>
      </c>
      <c r="P346" s="60"/>
      <c r="Q346" s="62"/>
      <c r="R346" s="19">
        <f t="shared" si="77"/>
        <v>1</v>
      </c>
      <c r="S346" s="19">
        <f t="shared" si="80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74"/>
        <v/>
      </c>
      <c r="J347" s="57" t="str">
        <f t="shared" si="75"/>
        <v/>
      </c>
      <c r="K347" s="58" t="str">
        <f t="shared" si="83"/>
        <v/>
      </c>
      <c r="L347" s="57" t="str">
        <f t="shared" si="78"/>
        <v/>
      </c>
      <c r="M347" s="58" t="str">
        <f t="shared" si="82"/>
        <v/>
      </c>
      <c r="N347" s="59">
        <v>66068309</v>
      </c>
      <c r="O347" s="59">
        <f t="shared" si="76"/>
        <v>0</v>
      </c>
      <c r="P347" s="60"/>
      <c r="Q347" s="61"/>
      <c r="R347" s="19">
        <f t="shared" si="77"/>
        <v>1</v>
      </c>
      <c r="S347" s="19">
        <f t="shared" si="80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74"/>
        <v/>
      </c>
      <c r="J348" s="57" t="str">
        <f t="shared" si="75"/>
        <v/>
      </c>
      <c r="K348" s="58" t="str">
        <f t="shared" si="83"/>
        <v/>
      </c>
      <c r="L348" s="57" t="str">
        <f t="shared" si="78"/>
        <v/>
      </c>
      <c r="M348" s="58" t="str">
        <f t="shared" si="82"/>
        <v/>
      </c>
      <c r="N348" s="59">
        <v>66068309</v>
      </c>
      <c r="O348" s="59">
        <f t="shared" si="76"/>
        <v>0</v>
      </c>
      <c r="P348" s="60"/>
      <c r="Q348" s="61"/>
      <c r="R348" s="19">
        <f t="shared" si="77"/>
        <v>1</v>
      </c>
      <c r="S348" s="19">
        <f t="shared" si="80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74"/>
        <v/>
      </c>
      <c r="J349" s="57" t="str">
        <f t="shared" si="75"/>
        <v/>
      </c>
      <c r="K349" s="58" t="str">
        <f t="shared" si="83"/>
        <v/>
      </c>
      <c r="L349" s="57" t="str">
        <f t="shared" si="78"/>
        <v/>
      </c>
      <c r="M349" s="58" t="str">
        <f t="shared" si="82"/>
        <v/>
      </c>
      <c r="N349" s="59">
        <v>66068309</v>
      </c>
      <c r="O349" s="59">
        <f t="shared" si="76"/>
        <v>0</v>
      </c>
      <c r="P349" s="60"/>
      <c r="Q349" s="62"/>
      <c r="R349" s="19">
        <f t="shared" si="77"/>
        <v>1</v>
      </c>
      <c r="S349" s="19">
        <f t="shared" si="80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74"/>
        <v/>
      </c>
      <c r="J350" s="57" t="str">
        <f t="shared" si="75"/>
        <v/>
      </c>
      <c r="K350" s="58" t="str">
        <f t="shared" si="83"/>
        <v/>
      </c>
      <c r="L350" s="57" t="str">
        <f t="shared" si="78"/>
        <v/>
      </c>
      <c r="M350" s="58" t="str">
        <f t="shared" si="82"/>
        <v/>
      </c>
      <c r="N350" s="59">
        <v>66068309</v>
      </c>
      <c r="O350" s="59">
        <f t="shared" si="76"/>
        <v>0</v>
      </c>
      <c r="P350" s="60"/>
      <c r="Q350" s="62"/>
      <c r="R350" s="19">
        <f t="shared" si="77"/>
        <v>1</v>
      </c>
      <c r="S350" s="19">
        <f t="shared" si="80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74"/>
        <v/>
      </c>
      <c r="J351" s="57" t="str">
        <f t="shared" si="75"/>
        <v/>
      </c>
      <c r="K351" s="58" t="str">
        <f t="shared" si="83"/>
        <v/>
      </c>
      <c r="L351" s="57" t="str">
        <f t="shared" si="78"/>
        <v/>
      </c>
      <c r="M351" s="58" t="str">
        <f t="shared" si="82"/>
        <v/>
      </c>
      <c r="N351" s="59">
        <v>66068309</v>
      </c>
      <c r="O351" s="59">
        <f t="shared" si="76"/>
        <v>0</v>
      </c>
      <c r="P351" s="60"/>
      <c r="Q351" s="61"/>
      <c r="R351" s="19">
        <f t="shared" si="77"/>
        <v>1</v>
      </c>
      <c r="S351" s="19">
        <f t="shared" si="80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74"/>
        <v/>
      </c>
      <c r="J352" s="57" t="str">
        <f t="shared" si="75"/>
        <v/>
      </c>
      <c r="K352" s="58" t="str">
        <f t="shared" si="83"/>
        <v/>
      </c>
      <c r="L352" s="57" t="str">
        <f t="shared" si="78"/>
        <v/>
      </c>
      <c r="M352" s="58" t="str">
        <f t="shared" si="82"/>
        <v/>
      </c>
      <c r="N352" s="59">
        <v>66068309</v>
      </c>
      <c r="O352" s="59">
        <f t="shared" si="76"/>
        <v>0</v>
      </c>
      <c r="P352" s="60"/>
      <c r="Q352" s="61"/>
      <c r="R352" s="19">
        <f t="shared" si="77"/>
        <v>1</v>
      </c>
      <c r="S352" s="19">
        <f t="shared" si="80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74"/>
        <v/>
      </c>
      <c r="J353" s="57" t="str">
        <f t="shared" si="75"/>
        <v/>
      </c>
      <c r="K353" s="58" t="str">
        <f t="shared" si="83"/>
        <v/>
      </c>
      <c r="L353" s="57" t="str">
        <f t="shared" si="78"/>
        <v/>
      </c>
      <c r="M353" s="58" t="str">
        <f t="shared" si="82"/>
        <v/>
      </c>
      <c r="N353" s="59">
        <v>66068309</v>
      </c>
      <c r="O353" s="59">
        <f t="shared" si="76"/>
        <v>0</v>
      </c>
      <c r="P353" s="60"/>
      <c r="Q353" s="61"/>
      <c r="R353" s="19">
        <f t="shared" si="77"/>
        <v>1</v>
      </c>
      <c r="S353" s="19">
        <f t="shared" si="80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74"/>
        <v/>
      </c>
      <c r="J354" s="57" t="str">
        <f t="shared" si="75"/>
        <v/>
      </c>
      <c r="K354" s="58" t="str">
        <f t="shared" si="83"/>
        <v/>
      </c>
      <c r="L354" s="57" t="str">
        <f t="shared" si="78"/>
        <v/>
      </c>
      <c r="M354" s="58" t="str">
        <f t="shared" si="82"/>
        <v/>
      </c>
      <c r="N354" s="59">
        <v>66068309</v>
      </c>
      <c r="O354" s="59">
        <f t="shared" si="76"/>
        <v>0</v>
      </c>
      <c r="P354" s="60"/>
      <c r="Q354" s="95"/>
      <c r="R354" s="19">
        <f t="shared" si="77"/>
        <v>1</v>
      </c>
      <c r="S354" s="19">
        <f t="shared" si="80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74"/>
        <v/>
      </c>
      <c r="J355" s="57" t="str">
        <f t="shared" si="75"/>
        <v/>
      </c>
      <c r="K355" s="58" t="str">
        <f t="shared" si="83"/>
        <v/>
      </c>
      <c r="L355" s="57" t="str">
        <f t="shared" si="78"/>
        <v/>
      </c>
      <c r="M355" s="58" t="str">
        <f t="shared" si="82"/>
        <v/>
      </c>
      <c r="N355" s="59">
        <v>66068309</v>
      </c>
      <c r="O355" s="59">
        <v>0</v>
      </c>
      <c r="P355" s="60"/>
      <c r="Q355" s="95"/>
      <c r="R355" s="19">
        <f t="shared" si="77"/>
        <v>1</v>
      </c>
      <c r="S355" s="19">
        <f t="shared" si="80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74"/>
        <v/>
      </c>
      <c r="J356" s="57" t="str">
        <f t="shared" si="75"/>
        <v/>
      </c>
      <c r="K356" s="58" t="str">
        <f t="shared" si="83"/>
        <v/>
      </c>
      <c r="L356" s="57" t="str">
        <f t="shared" si="78"/>
        <v/>
      </c>
      <c r="M356" s="58" t="str">
        <f t="shared" si="82"/>
        <v/>
      </c>
      <c r="N356" s="59">
        <v>66068309</v>
      </c>
      <c r="O356" s="59">
        <f t="shared" si="76"/>
        <v>0</v>
      </c>
      <c r="P356" s="169" t="s">
        <v>75</v>
      </c>
      <c r="Q356" s="170"/>
      <c r="R356" s="19">
        <f t="shared" si="77"/>
        <v>1</v>
      </c>
      <c r="S356" s="19">
        <f t="shared" si="80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74"/>
        <v/>
      </c>
      <c r="J357" s="57" t="str">
        <f t="shared" si="75"/>
        <v/>
      </c>
      <c r="K357" s="58" t="str">
        <f t="shared" si="83"/>
        <v/>
      </c>
      <c r="L357" s="57" t="str">
        <f t="shared" si="78"/>
        <v/>
      </c>
      <c r="M357" s="58" t="str">
        <f t="shared" si="82"/>
        <v/>
      </c>
      <c r="N357" s="59">
        <v>66068309</v>
      </c>
      <c r="O357" s="59">
        <f t="shared" si="76"/>
        <v>0</v>
      </c>
      <c r="P357" s="171"/>
      <c r="Q357" s="172"/>
      <c r="R357" s="19">
        <f t="shared" si="77"/>
        <v>1</v>
      </c>
      <c r="S357" s="19">
        <f t="shared" si="80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74"/>
        <v/>
      </c>
      <c r="J358" s="57" t="str">
        <f t="shared" si="75"/>
        <v/>
      </c>
      <c r="K358" s="58" t="str">
        <f t="shared" si="83"/>
        <v/>
      </c>
      <c r="L358" s="57" t="str">
        <f t="shared" si="78"/>
        <v/>
      </c>
      <c r="M358" s="58" t="str">
        <f t="shared" si="82"/>
        <v/>
      </c>
      <c r="N358" s="59">
        <v>66068309</v>
      </c>
      <c r="O358" s="59">
        <f t="shared" si="76"/>
        <v>0</v>
      </c>
      <c r="P358" s="66" t="s">
        <v>51</v>
      </c>
      <c r="Q358" s="66" t="s">
        <v>52</v>
      </c>
      <c r="R358" s="19">
        <f t="shared" si="77"/>
        <v>1</v>
      </c>
      <c r="S358" s="19">
        <f t="shared" si="80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74"/>
        <v/>
      </c>
      <c r="J359" s="57" t="str">
        <f t="shared" si="75"/>
        <v/>
      </c>
      <c r="K359" s="58" t="str">
        <f t="shared" si="83"/>
        <v/>
      </c>
      <c r="L359" s="57" t="str">
        <f t="shared" si="78"/>
        <v/>
      </c>
      <c r="M359" s="58" t="str">
        <f t="shared" si="82"/>
        <v/>
      </c>
      <c r="N359" s="59">
        <v>66068309</v>
      </c>
      <c r="O359" s="59">
        <f t="shared" si="76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77"/>
        <v>1</v>
      </c>
      <c r="S359" s="19">
        <f t="shared" si="80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74"/>
        <v/>
      </c>
      <c r="J360" s="57" t="str">
        <f t="shared" si="75"/>
        <v/>
      </c>
      <c r="K360" s="58" t="str">
        <f t="shared" si="83"/>
        <v/>
      </c>
      <c r="L360" s="57" t="str">
        <f t="shared" si="78"/>
        <v/>
      </c>
      <c r="M360" s="58" t="str">
        <f t="shared" si="82"/>
        <v/>
      </c>
      <c r="N360" s="59">
        <v>66068309</v>
      </c>
      <c r="O360" s="59">
        <f t="shared" si="76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77"/>
        <v>1</v>
      </c>
      <c r="S360" s="19">
        <f t="shared" si="80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74"/>
        <v/>
      </c>
      <c r="J361" s="57" t="str">
        <f t="shared" si="75"/>
        <v/>
      </c>
      <c r="K361" s="58" t="str">
        <f t="shared" si="83"/>
        <v/>
      </c>
      <c r="L361" s="57" t="str">
        <f t="shared" si="78"/>
        <v/>
      </c>
      <c r="M361" s="58" t="str">
        <f t="shared" si="82"/>
        <v/>
      </c>
      <c r="N361" s="59">
        <v>66068309</v>
      </c>
      <c r="O361" s="59">
        <f t="shared" si="76"/>
        <v>0</v>
      </c>
      <c r="P361" s="69" t="s">
        <v>53</v>
      </c>
      <c r="Q361" s="70" t="s">
        <v>54</v>
      </c>
      <c r="R361" s="19">
        <f t="shared" si="77"/>
        <v>1</v>
      </c>
      <c r="S361" s="19">
        <f t="shared" si="80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74"/>
        <v/>
      </c>
      <c r="J362" s="57" t="str">
        <f t="shared" si="75"/>
        <v/>
      </c>
      <c r="K362" s="58" t="str">
        <f t="shared" si="83"/>
        <v/>
      </c>
      <c r="L362" s="57" t="str">
        <f t="shared" si="78"/>
        <v/>
      </c>
      <c r="M362" s="58" t="str">
        <f t="shared" si="82"/>
        <v/>
      </c>
      <c r="N362" s="59">
        <v>66068309</v>
      </c>
      <c r="O362" s="59">
        <f t="shared" si="76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77"/>
        <v>1</v>
      </c>
      <c r="S362" s="19">
        <f t="shared" si="80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74"/>
        <v/>
      </c>
      <c r="J363" s="57" t="str">
        <f t="shared" si="75"/>
        <v/>
      </c>
      <c r="K363" s="58" t="str">
        <f t="shared" si="83"/>
        <v/>
      </c>
      <c r="L363" s="57" t="str">
        <f t="shared" si="78"/>
        <v/>
      </c>
      <c r="M363" s="58" t="str">
        <f t="shared" ref="M363:M367" si="84">IF(L363="","",(L363/I363))</f>
        <v/>
      </c>
      <c r="N363" s="59">
        <v>66068309</v>
      </c>
      <c r="O363" s="59">
        <f t="shared" si="76"/>
        <v>0</v>
      </c>
      <c r="P363" s="73" t="s">
        <v>55</v>
      </c>
      <c r="Q363" s="74" t="s">
        <v>63</v>
      </c>
      <c r="R363" s="19">
        <f t="shared" si="77"/>
        <v>1</v>
      </c>
      <c r="S363" s="19">
        <f t="shared" si="80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74"/>
        <v/>
      </c>
      <c r="J364" s="57" t="str">
        <f t="shared" si="75"/>
        <v/>
      </c>
      <c r="K364" s="58" t="str">
        <f t="shared" si="83"/>
        <v/>
      </c>
      <c r="L364" s="57" t="str">
        <f t="shared" si="78"/>
        <v/>
      </c>
      <c r="M364" s="58" t="str">
        <f t="shared" si="84"/>
        <v/>
      </c>
      <c r="N364" s="59">
        <v>66068309</v>
      </c>
      <c r="O364" s="59">
        <f t="shared" si="76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77"/>
        <v>1</v>
      </c>
      <c r="S364" s="19">
        <f t="shared" si="80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74"/>
        <v/>
      </c>
      <c r="J365" s="57" t="str">
        <f t="shared" si="75"/>
        <v/>
      </c>
      <c r="K365" s="58" t="str">
        <f t="shared" si="83"/>
        <v/>
      </c>
      <c r="L365" s="57" t="str">
        <f t="shared" si="78"/>
        <v/>
      </c>
      <c r="M365" s="58" t="str">
        <f t="shared" si="84"/>
        <v/>
      </c>
      <c r="N365" s="59">
        <v>66068309</v>
      </c>
      <c r="O365" s="59">
        <f t="shared" si="76"/>
        <v>0</v>
      </c>
      <c r="P365" s="160" t="s">
        <v>57</v>
      </c>
      <c r="Q365" s="161" t="s">
        <v>64</v>
      </c>
      <c r="R365" s="19">
        <f t="shared" si="77"/>
        <v>1</v>
      </c>
      <c r="S365" s="19">
        <f t="shared" si="80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74"/>
        <v/>
      </c>
      <c r="J366" s="57" t="str">
        <f t="shared" si="75"/>
        <v/>
      </c>
      <c r="K366" s="58" t="str">
        <f t="shared" si="83"/>
        <v/>
      </c>
      <c r="L366" s="57" t="str">
        <f t="shared" si="78"/>
        <v/>
      </c>
      <c r="M366" s="58" t="str">
        <f t="shared" si="84"/>
        <v/>
      </c>
      <c r="N366" s="59">
        <v>66068309</v>
      </c>
      <c r="O366" s="59">
        <f t="shared" si="76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77"/>
        <v>1</v>
      </c>
      <c r="S366" s="19">
        <f t="shared" si="80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74"/>
        <v/>
      </c>
      <c r="J367" s="57" t="str">
        <f t="shared" si="75"/>
        <v/>
      </c>
      <c r="K367" s="58" t="str">
        <f t="shared" si="83"/>
        <v/>
      </c>
      <c r="L367" s="57" t="str">
        <f t="shared" si="78"/>
        <v/>
      </c>
      <c r="M367" s="58" t="str">
        <f t="shared" si="84"/>
        <v/>
      </c>
      <c r="N367" s="59">
        <v>66068309</v>
      </c>
      <c r="O367" s="59">
        <f t="shared" si="76"/>
        <v>0</v>
      </c>
      <c r="P367" s="162" t="s">
        <v>59</v>
      </c>
      <c r="Q367" s="163" t="s">
        <v>60</v>
      </c>
      <c r="R367" s="19">
        <f t="shared" si="77"/>
        <v>1</v>
      </c>
      <c r="S367" s="19">
        <f t="shared" si="80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74"/>
        <v/>
      </c>
      <c r="J368" s="57" t="str">
        <f t="shared" ref="J368:J369" si="85">IF(E368="","",+(F368-F367)*4140)</f>
        <v/>
      </c>
      <c r="K368" s="58" t="str">
        <f t="shared" ref="K368:K369" si="86">IF(J368="","",+(J368/I368))</f>
        <v/>
      </c>
      <c r="L368" s="57" t="str">
        <f t="shared" ref="L368:L369" si="87">IF(F368="","",+(F368-F367)*4140)</f>
        <v/>
      </c>
      <c r="M368" s="58" t="str">
        <f t="shared" ref="M368:M369" si="88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77"/>
        <v>1</v>
      </c>
      <c r="S368" s="19">
        <f t="shared" si="80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74"/>
        <v/>
      </c>
      <c r="J369" s="57" t="str">
        <f t="shared" si="85"/>
        <v/>
      </c>
      <c r="K369" s="58" t="str">
        <f t="shared" si="86"/>
        <v/>
      </c>
      <c r="L369" s="57" t="str">
        <f t="shared" si="87"/>
        <v/>
      </c>
      <c r="M369" s="58" t="str">
        <f t="shared" si="88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83:K65173">
    <cfRule type="cellIs" dxfId="5" priority="10" stopIfTrue="1" operator="between">
      <formula>0.2</formula>
      <formula>100</formula>
    </cfRule>
  </conditionalFormatting>
  <conditionalFormatting sqref="M2 M83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82">
    <cfRule type="cellIs" dxfId="1" priority="1" stopIfTrue="1" operator="between">
      <formula>0.2</formula>
      <formula>100</formula>
    </cfRule>
  </conditionalFormatting>
  <conditionalFormatting sqref="M4:M8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07fdfd0-8ece-48a6-a46c-61dc91b6cdb1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2022-03-21T05:59:50Z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