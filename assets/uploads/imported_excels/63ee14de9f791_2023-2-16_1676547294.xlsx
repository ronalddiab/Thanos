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924" documentId="8_{B5C46BEE-2163-4AAC-A0A7-4875FCE1155D}" xr6:coauthVersionLast="47" xr6:coauthVersionMax="47" xr10:uidLastSave="{E468138C-625D-495E-93FD-B3A138A9EB03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  <c r="AN18" i="2"/>
  <c r="F14" i="2"/>
  <c r="Z14" i="2"/>
  <c r="R18" i="2"/>
  <c r="AB12" i="2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<sst xmlns="http://schemas.openxmlformats.org/spreadsheetml/2006/main" count="236" uniqueCount="61">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</sst>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407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121</v>
      </c>
      <c r="L12" s="19">
        <f>Submetering!AF12</f>
        <v>183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15512</v>
      </c>
      <c r="F13" s="15">
        <f>((Submetering!E13+Submetering!F13)*0.11+Submetering!G13*0.0302)/TOTAL!E13</f>
        <v>9.0425541516245489E-2</v>
      </c>
      <c r="G13" s="19">
        <f>Submetering!AC13</f>
        <v>4143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70</v>
      </c>
      <c r="L13" s="19">
        <f>Submetering!AF13</f>
        <v>111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2186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90</v>
      </c>
      <c r="L14" s="19">
        <f>Submetering!AF14</f>
        <v>133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15645</v>
      </c>
      <c r="F15" s="15">
        <f>((Submetering!E15+Submetering!F15)*0.11+Submetering!G15*0.0302)/TOTAL!E15</f>
        <v>8.9979865771812093E-2</v>
      </c>
      <c r="G15" s="19">
        <f>Submetering!AC15</f>
        <v>2117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87</v>
      </c>
      <c r="L15" s="19">
        <f>Submetering!AF15</f>
        <v>134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15753</v>
      </c>
      <c r="F16" s="15">
        <f>((Submetering!E16+Submetering!F16)*0.11+Submetering!G16*0.0302)/TOTAL!E16</f>
        <v>9.0309617215768426E-2</v>
      </c>
      <c r="G16" s="19">
        <f>Submetering!AC16</f>
        <v>2151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96</v>
      </c>
      <c r="L16" s="19">
        <f>Submetering!AF16</f>
        <v>149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workbookViewId="0">
      <pane xSplit="2" ySplit="1" topLeftCell="C6" activePane="bottomRight" state="frozen"/>
      <selection pane="bottomRight" activeCell="E17" sqref="E17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0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33">
        <v>6697</v>
      </c>
      <c r="F12" s="33">
        <v>4604</v>
      </c>
      <c r="G12" s="33">
        <v>3827</v>
      </c>
      <c r="H12" s="33">
        <v>10488</v>
      </c>
      <c r="I12" s="33">
        <v>465</v>
      </c>
      <c r="J12" s="33">
        <v>1297</v>
      </c>
      <c r="K12" s="33">
        <v>0</v>
      </c>
      <c r="L12" s="33">
        <v>389</v>
      </c>
      <c r="M12" s="33">
        <v>15</v>
      </c>
      <c r="N12" s="33">
        <v>826</v>
      </c>
      <c r="O12" s="33">
        <v>362</v>
      </c>
      <c r="P12" s="33">
        <v>1033</v>
      </c>
      <c r="Q12" s="33">
        <v>2</v>
      </c>
      <c r="R12" s="33">
        <v>1208</v>
      </c>
      <c r="S12" s="33">
        <v>4425</v>
      </c>
      <c r="T12" s="33">
        <v>293</v>
      </c>
      <c r="U12" s="33">
        <v>44</v>
      </c>
      <c r="V12" s="33">
        <v>233</v>
      </c>
      <c r="W12" s="33">
        <v>615</v>
      </c>
      <c r="X12" s="33">
        <v>615</v>
      </c>
      <c r="Y12" s="34">
        <v>0</v>
      </c>
      <c r="Z12" s="34">
        <v>0</v>
      </c>
      <c r="AA12" s="33">
        <v>18</v>
      </c>
      <c r="AB12" s="33">
        <v>104</v>
      </c>
      <c r="AC12" s="33">
        <v>407</v>
      </c>
      <c r="AD12" s="33">
        <v>1165</v>
      </c>
      <c r="AE12" s="33">
        <v>121</v>
      </c>
      <c r="AF12" s="33">
        <v>183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33">
        <v>7058</v>
      </c>
      <c r="F13" s="33">
        <v>4649</v>
      </c>
      <c r="G13" s="33">
        <v>3805</v>
      </c>
      <c r="H13" s="33">
        <v>552</v>
      </c>
      <c r="I13" s="33">
        <v>455</v>
      </c>
      <c r="J13" s="33">
        <v>1269</v>
      </c>
      <c r="K13" s="33">
        <v>0</v>
      </c>
      <c r="L13" s="33">
        <v>380</v>
      </c>
      <c r="M13" s="33">
        <v>15</v>
      </c>
      <c r="N13" s="33">
        <v>827</v>
      </c>
      <c r="O13" s="33">
        <v>370</v>
      </c>
      <c r="P13" s="33">
        <v>1395</v>
      </c>
      <c r="Q13" s="33">
        <v>2</v>
      </c>
      <c r="R13" s="33">
        <v>1198</v>
      </c>
      <c r="S13" s="33">
        <v>1875</v>
      </c>
      <c r="T13" s="33">
        <v>289</v>
      </c>
      <c r="U13" s="33">
        <v>44</v>
      </c>
      <c r="V13" s="33">
        <v>234</v>
      </c>
      <c r="W13" s="33">
        <v>562</v>
      </c>
      <c r="X13" s="33">
        <v>574</v>
      </c>
      <c r="Y13" s="34">
        <v>0</v>
      </c>
      <c r="Z13" s="34">
        <v>0</v>
      </c>
      <c r="AA13" s="33">
        <v>16</v>
      </c>
      <c r="AB13" s="33">
        <v>0</v>
      </c>
      <c r="AC13" s="33">
        <v>4143</v>
      </c>
      <c r="AD13" s="33">
        <v>1228</v>
      </c>
      <c r="AE13" s="33">
        <v>70</v>
      </c>
      <c r="AF13" s="33">
        <v>111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33">
        <v>7116</v>
      </c>
      <c r="F14" s="33">
        <v>4642</v>
      </c>
      <c r="G14" s="33">
        <v>3835</v>
      </c>
      <c r="H14" s="33">
        <v>9422</v>
      </c>
      <c r="I14" s="33">
        <v>464</v>
      </c>
      <c r="J14" s="33">
        <v>1321</v>
      </c>
      <c r="K14" s="33">
        <v>0</v>
      </c>
      <c r="L14" s="33">
        <v>396</v>
      </c>
      <c r="M14" s="33">
        <v>16</v>
      </c>
      <c r="N14" s="33">
        <v>871</v>
      </c>
      <c r="O14" s="33">
        <v>396</v>
      </c>
      <c r="P14" s="33">
        <v>1329</v>
      </c>
      <c r="Q14" s="33">
        <v>3</v>
      </c>
      <c r="R14" s="33">
        <v>1208</v>
      </c>
      <c r="S14" s="33">
        <v>1894</v>
      </c>
      <c r="T14" s="33">
        <v>392</v>
      </c>
      <c r="U14" s="33">
        <v>44</v>
      </c>
      <c r="V14" s="33">
        <v>224</v>
      </c>
      <c r="W14" s="33">
        <v>604</v>
      </c>
      <c r="X14" s="33">
        <v>766</v>
      </c>
      <c r="Y14" s="34">
        <v>0</v>
      </c>
      <c r="Z14" s="34">
        <v>0</v>
      </c>
      <c r="AA14" s="33">
        <v>18</v>
      </c>
      <c r="AB14" s="33">
        <v>2</v>
      </c>
      <c r="AC14" s="33">
        <v>2186</v>
      </c>
      <c r="AD14" s="33">
        <v>1125</v>
      </c>
      <c r="AE14" s="33">
        <v>90</v>
      </c>
      <c r="AF14" s="33">
        <v>133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33">
        <v>7102</v>
      </c>
      <c r="F15" s="33">
        <v>4618</v>
      </c>
      <c r="G15" s="33">
        <v>3925</v>
      </c>
      <c r="H15" s="33">
        <v>556</v>
      </c>
      <c r="I15" s="33">
        <v>483</v>
      </c>
      <c r="J15" s="33">
        <v>1272</v>
      </c>
      <c r="K15" s="33">
        <v>0</v>
      </c>
      <c r="L15" s="33">
        <v>393</v>
      </c>
      <c r="M15" s="33">
        <v>17</v>
      </c>
      <c r="N15" s="33">
        <v>901</v>
      </c>
      <c r="O15" s="33">
        <v>269</v>
      </c>
      <c r="P15" s="33">
        <v>437</v>
      </c>
      <c r="Q15" s="33">
        <v>2</v>
      </c>
      <c r="R15" s="33">
        <v>1235</v>
      </c>
      <c r="S15" s="33">
        <v>1913</v>
      </c>
      <c r="T15" s="33">
        <v>199</v>
      </c>
      <c r="U15" s="33">
        <v>45</v>
      </c>
      <c r="V15" s="33">
        <v>224</v>
      </c>
      <c r="W15" s="33">
        <v>567</v>
      </c>
      <c r="X15" s="33">
        <v>461</v>
      </c>
      <c r="Y15" s="34">
        <v>0</v>
      </c>
      <c r="Z15" s="34">
        <v>0</v>
      </c>
      <c r="AA15" s="33">
        <v>14</v>
      </c>
      <c r="AB15" s="33">
        <v>2</v>
      </c>
      <c r="AC15" s="33">
        <v>2117</v>
      </c>
      <c r="AD15" s="33">
        <v>1209</v>
      </c>
      <c r="AE15" s="33">
        <v>87</v>
      </c>
      <c r="AF15" s="33">
        <v>134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33">
        <v>7207</v>
      </c>
      <c r="F16" s="33">
        <v>4659</v>
      </c>
      <c r="G16" s="33">
        <v>3887</v>
      </c>
      <c r="H16" s="33">
        <v>588</v>
      </c>
      <c r="I16" s="33">
        <v>473</v>
      </c>
      <c r="J16" s="33">
        <v>1338</v>
      </c>
      <c r="K16" s="34">
        <v>0</v>
      </c>
      <c r="L16" s="33">
        <v>419</v>
      </c>
      <c r="M16" s="33">
        <v>16</v>
      </c>
      <c r="N16" s="33">
        <v>851</v>
      </c>
      <c r="O16" s="33">
        <v>262</v>
      </c>
      <c r="P16" s="33">
        <v>2281</v>
      </c>
      <c r="Q16" s="33">
        <v>3</v>
      </c>
      <c r="R16" s="33">
        <v>1219</v>
      </c>
      <c r="S16" s="33">
        <v>1828</v>
      </c>
      <c r="T16" s="33">
        <v>293</v>
      </c>
      <c r="U16" s="33">
        <v>45</v>
      </c>
      <c r="V16" s="33">
        <v>235</v>
      </c>
      <c r="W16" s="33">
        <v>597</v>
      </c>
      <c r="X16" s="33">
        <v>561</v>
      </c>
      <c r="Y16" s="34">
        <v>0</v>
      </c>
      <c r="Z16" s="34">
        <v>0</v>
      </c>
      <c r="AA16" s="33">
        <v>17</v>
      </c>
      <c r="AB16" s="33">
        <v>2</v>
      </c>
      <c r="AC16" s="33">
        <v>2151</v>
      </c>
      <c r="AD16" s="33">
        <v>1205</v>
      </c>
      <c r="AE16" s="33">
        <v>96</v>
      </c>
      <c r="AF16" s="33">
        <v>149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15" activePane="bottomLeft" state="frozen"/>
      <selection pane="bottomLeft" activeCell="E18" sqref="E18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39"/>
      <c r="C1" s="50" t="s">
        <v>13</v>
      </c>
      <c r="D1" s="51"/>
      <c r="E1" s="43" t="s">
        <v>14</v>
      </c>
      <c r="F1" s="43"/>
      <c r="G1" s="43" t="s">
        <v>15</v>
      </c>
      <c r="H1" s="43"/>
      <c r="I1" s="43" t="s">
        <v>16</v>
      </c>
      <c r="J1" s="43"/>
      <c r="K1" s="43" t="s">
        <v>17</v>
      </c>
      <c r="L1" s="43"/>
      <c r="M1" s="43" t="s">
        <v>40</v>
      </c>
      <c r="N1" s="43"/>
      <c r="O1" s="43" t="s">
        <v>41</v>
      </c>
      <c r="P1" s="43"/>
      <c r="Q1" s="43" t="s">
        <v>20</v>
      </c>
      <c r="R1" s="43"/>
      <c r="S1" s="43" t="s">
        <v>21</v>
      </c>
      <c r="T1" s="43"/>
      <c r="U1" s="43" t="s">
        <v>42</v>
      </c>
      <c r="V1" s="43"/>
      <c r="W1" s="43" t="s">
        <v>43</v>
      </c>
      <c r="X1" s="43"/>
      <c r="Y1" s="43" t="s">
        <v>24</v>
      </c>
      <c r="Z1" s="43"/>
      <c r="AA1" s="43" t="s">
        <v>25</v>
      </c>
      <c r="AB1" s="43"/>
      <c r="AC1" s="43" t="s">
        <v>26</v>
      </c>
      <c r="AD1" s="43"/>
      <c r="AE1" s="43" t="s">
        <v>27</v>
      </c>
      <c r="AF1" s="43"/>
      <c r="AG1" s="43" t="s">
        <v>28</v>
      </c>
      <c r="AH1" s="43"/>
      <c r="AI1" s="43" t="s">
        <v>29</v>
      </c>
      <c r="AJ1" s="43"/>
      <c r="AK1" s="43" t="s">
        <v>30</v>
      </c>
      <c r="AL1" s="43"/>
      <c r="AM1" s="43" t="s">
        <v>31</v>
      </c>
      <c r="AN1" s="43"/>
      <c r="AO1" s="43" t="s">
        <v>32</v>
      </c>
      <c r="AP1" s="43"/>
      <c r="AQ1" s="41"/>
      <c r="AR1" s="48" t="s">
        <v>44</v>
      </c>
      <c r="AS1" s="49"/>
      <c r="AT1" s="47" t="s">
        <v>45</v>
      </c>
      <c r="AU1" s="47"/>
      <c r="AV1" s="46" t="s">
        <v>46</v>
      </c>
      <c r="AW1" s="47"/>
      <c r="AX1" s="46" t="s">
        <v>47</v>
      </c>
      <c r="AY1" s="47"/>
      <c r="AZ1" s="44" t="s">
        <v>48</v>
      </c>
      <c r="BA1" s="45"/>
      <c r="BB1" s="44" t="s">
        <v>38</v>
      </c>
      <c r="BC1" s="45"/>
      <c r="BD1" s="11"/>
      <c r="BE1" s="11"/>
    </row>
    <row r="2" spans="1:60" ht="44.25" customHeight="1">
      <c r="A2" s="1" t="s">
        <v>49</v>
      </c>
      <c r="B2" s="40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1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0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41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0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41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0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42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0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41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40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41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40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41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40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41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40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41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40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41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40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41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1504</v>
      </c>
      <c r="AY12" s="9" t="str">
        <f t="shared" si="4"/>
        <v/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40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41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104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40"/>
      <c r="C14" s="25">
        <v>32360696</v>
      </c>
      <c r="D14" s="9">
        <f t="shared" si="6"/>
        <v>7058</v>
      </c>
      <c r="E14" s="25">
        <v>32683688</v>
      </c>
      <c r="F14" s="9">
        <f t="shared" si="7"/>
        <v>4649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>
        <f t="shared" si="2"/>
        <v>1395</v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41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40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>
        <f>IF((I14-I15&lt;0), "0",I14-I15)</f>
        <v>9422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41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40"/>
      <c r="C16" s="25">
        <v>32374914</v>
      </c>
      <c r="D16" s="9">
        <f t="shared" si="6"/>
        <v>7102</v>
      </c>
      <c r="E16" s="25">
        <v>32692948</v>
      </c>
      <c r="F16" s="9">
        <f t="shared" si="7"/>
        <v>4618</v>
      </c>
      <c r="G16" s="25">
        <v>13915008</v>
      </c>
      <c r="H16" s="9">
        <f t="shared" si="1"/>
        <v>3925</v>
      </c>
      <c r="I16" s="25">
        <v>1952990</v>
      </c>
      <c r="J16" s="9">
        <f t="shared" si="8"/>
        <v>556</v>
      </c>
      <c r="K16" s="25">
        <v>3951308</v>
      </c>
      <c r="L16" s="9">
        <f t="shared" si="8"/>
        <v>483</v>
      </c>
      <c r="M16" s="25">
        <v>5201586</v>
      </c>
      <c r="N16" s="9">
        <f t="shared" ref="N16" si="49">IF((M16-M15&lt;0), "0",M16-M15)</f>
        <v>1272</v>
      </c>
      <c r="O16" s="30">
        <v>2271833</v>
      </c>
      <c r="P16" s="9">
        <f t="shared" ref="P16" si="50">IF((O16-O15&lt;0), "0",O16-O15)</f>
        <v>0</v>
      </c>
      <c r="Q16" s="25">
        <v>1588109</v>
      </c>
      <c r="R16" s="9">
        <f t="shared" ref="R16" si="51">IF((Q16-Q15&lt;0), "0",Q16-Q15)</f>
        <v>393</v>
      </c>
      <c r="S16" s="25">
        <v>573465</v>
      </c>
      <c r="T16" s="9">
        <f t="shared" ref="T16" si="52">IF((S16-S15&lt;0), "0",S16-S15)</f>
        <v>17</v>
      </c>
      <c r="U16" s="25">
        <v>4944890</v>
      </c>
      <c r="V16" s="9">
        <f t="shared" ref="V16:AP30" si="53">IF((U16-U15&lt;0), "",U16-U15)</f>
        <v>901</v>
      </c>
      <c r="W16" s="25">
        <v>1129517</v>
      </c>
      <c r="X16" s="9">
        <f t="shared" si="53"/>
        <v>269</v>
      </c>
      <c r="Y16" s="25">
        <v>5139047</v>
      </c>
      <c r="Z16" s="9">
        <f t="shared" si="53"/>
        <v>437</v>
      </c>
      <c r="AA16" s="25">
        <v>2271970</v>
      </c>
      <c r="AB16" s="9">
        <f t="shared" si="53"/>
        <v>2</v>
      </c>
      <c r="AC16" s="25">
        <v>6436547</v>
      </c>
      <c r="AD16" s="9">
        <f t="shared" si="53"/>
        <v>1235</v>
      </c>
      <c r="AE16" s="25">
        <v>9272629</v>
      </c>
      <c r="AF16" s="9">
        <f t="shared" si="53"/>
        <v>1913</v>
      </c>
      <c r="AG16" s="25">
        <v>1541850</v>
      </c>
      <c r="AH16" s="9">
        <f t="shared" si="53"/>
        <v>199</v>
      </c>
      <c r="AI16" s="25">
        <v>288606</v>
      </c>
      <c r="AJ16" s="9">
        <f t="shared" si="53"/>
        <v>45</v>
      </c>
      <c r="AK16" s="25">
        <v>1212178</v>
      </c>
      <c r="AL16" s="9">
        <f t="shared" si="53"/>
        <v>224</v>
      </c>
      <c r="AM16" s="25">
        <v>2308759</v>
      </c>
      <c r="AN16" s="9">
        <f t="shared" si="53"/>
        <v>567</v>
      </c>
      <c r="AO16" s="25">
        <v>2236160</v>
      </c>
      <c r="AP16" s="9">
        <f t="shared" si="53"/>
        <v>461</v>
      </c>
      <c r="AQ16" s="41"/>
      <c r="AR16" s="17" t="s">
        <v>60</v>
      </c>
      <c r="AS16" s="9">
        <v>0</v>
      </c>
      <c r="AT16" s="17" t="s">
        <v>60</v>
      </c>
      <c r="AU16" s="9">
        <v>0</v>
      </c>
      <c r="AV16" s="25">
        <v>98472</v>
      </c>
      <c r="AW16" s="9">
        <f t="shared" si="3"/>
        <v>14</v>
      </c>
      <c r="AX16" s="25">
        <v>1612</v>
      </c>
      <c r="AY16" s="9">
        <f>IF((AX16-AX15&lt;0), "",AX16-AX15)</f>
        <v>2</v>
      </c>
      <c r="AZ16" s="25">
        <v>8486267</v>
      </c>
      <c r="BA16" s="9">
        <f t="shared" si="5"/>
        <v>2117</v>
      </c>
      <c r="BB16" s="25">
        <v>2035665</v>
      </c>
      <c r="BC16" s="9">
        <f t="shared" si="13"/>
        <v>1209</v>
      </c>
      <c r="BD16" s="25">
        <v>87</v>
      </c>
      <c r="BE16" s="25">
        <v>134</v>
      </c>
      <c r="BH16">
        <f t="shared" si="0"/>
        <v>0</v>
      </c>
    </row>
    <row r="17" spans="1:60" ht="45" customHeight="1">
      <c r="A17" s="8">
        <v>44972</v>
      </c>
      <c r="B17" s="40"/>
      <c r="C17" s="25">
        <v>32382121</v>
      </c>
      <c r="D17" s="9">
        <f>IF((C17-C16&lt;0), "0",C17-C16)</f>
        <v>7207</v>
      </c>
      <c r="E17" s="25">
        <v>32697607</v>
      </c>
      <c r="F17" s="9">
        <f t="shared" si="7"/>
        <v>4659</v>
      </c>
      <c r="G17" s="25">
        <v>13918895</v>
      </c>
      <c r="H17" s="9">
        <f t="shared" si="1"/>
        <v>3887</v>
      </c>
      <c r="I17" s="25">
        <v>1953578</v>
      </c>
      <c r="J17" s="9">
        <f t="shared" si="8"/>
        <v>588</v>
      </c>
      <c r="K17" s="25">
        <v>3951781</v>
      </c>
      <c r="L17" s="9">
        <f t="shared" si="8"/>
        <v>473</v>
      </c>
      <c r="M17" s="25">
        <v>5202924</v>
      </c>
      <c r="N17" s="9">
        <f t="shared" ref="N17" si="54">IF((M17-M16&lt;0), "0",M17-M16)</f>
        <v>1338</v>
      </c>
      <c r="O17" s="30">
        <v>2271833</v>
      </c>
      <c r="P17" s="9">
        <f t="shared" ref="P17" si="55">IF((O17-O16&lt;0), "0",O17-O16)</f>
        <v>0</v>
      </c>
      <c r="Q17" s="25">
        <v>1588528</v>
      </c>
      <c r="R17" s="9">
        <f t="shared" ref="R17:R18" si="56">IF((Q17-Q16&lt;0), "0",Q17-Q16)</f>
        <v>419</v>
      </c>
      <c r="S17" s="25">
        <v>573481</v>
      </c>
      <c r="T17" s="9">
        <f t="shared" ref="T17" si="57">IF((S17-S16&lt;0), "0",S17-S16)</f>
        <v>16</v>
      </c>
      <c r="U17" s="25">
        <v>4945741</v>
      </c>
      <c r="V17" s="9">
        <f t="shared" si="53"/>
        <v>851</v>
      </c>
      <c r="W17" s="25">
        <v>1129779</v>
      </c>
      <c r="X17" s="9">
        <f t="shared" si="53"/>
        <v>262</v>
      </c>
      <c r="Y17" s="25">
        <v>5141328</v>
      </c>
      <c r="Z17" s="9">
        <f t="shared" si="53"/>
        <v>2281</v>
      </c>
      <c r="AA17" s="25">
        <v>2271973</v>
      </c>
      <c r="AB17" s="9">
        <f t="shared" si="53"/>
        <v>3</v>
      </c>
      <c r="AC17" s="25">
        <v>6437766</v>
      </c>
      <c r="AD17" s="9">
        <f t="shared" si="53"/>
        <v>1219</v>
      </c>
      <c r="AE17" s="25">
        <v>9274457</v>
      </c>
      <c r="AF17" s="9">
        <f t="shared" si="53"/>
        <v>1828</v>
      </c>
      <c r="AG17" s="25">
        <v>1542143</v>
      </c>
      <c r="AH17" s="9">
        <f t="shared" si="53"/>
        <v>293</v>
      </c>
      <c r="AI17" s="25">
        <v>288651</v>
      </c>
      <c r="AJ17" s="9">
        <f t="shared" si="53"/>
        <v>45</v>
      </c>
      <c r="AK17" s="25">
        <v>1212413</v>
      </c>
      <c r="AL17" s="9">
        <f t="shared" si="53"/>
        <v>235</v>
      </c>
      <c r="AM17" s="25">
        <v>2309356</v>
      </c>
      <c r="AN17" s="9">
        <f t="shared" si="53"/>
        <v>597</v>
      </c>
      <c r="AO17" s="25">
        <v>2236721</v>
      </c>
      <c r="AP17" s="9">
        <f t="shared" si="53"/>
        <v>561</v>
      </c>
      <c r="AQ17" s="41"/>
      <c r="AR17" s="17" t="s">
        <v>60</v>
      </c>
      <c r="AS17" s="9">
        <v>0</v>
      </c>
      <c r="AT17" s="17" t="s">
        <v>60</v>
      </c>
      <c r="AU17" s="9">
        <v>0</v>
      </c>
      <c r="AV17" s="25">
        <v>98489</v>
      </c>
      <c r="AW17" s="9">
        <f t="shared" si="3"/>
        <v>17</v>
      </c>
      <c r="AX17" s="25">
        <v>1614</v>
      </c>
      <c r="AY17" s="9">
        <f>IF((AX17-AX16&lt;0), "",AX17-AX16)</f>
        <v>2</v>
      </c>
      <c r="AZ17" s="25">
        <v>8488418</v>
      </c>
      <c r="BA17" s="9">
        <f t="shared" si="5"/>
        <v>2151</v>
      </c>
      <c r="BB17" s="25">
        <v>2036870</v>
      </c>
      <c r="BC17" s="9">
        <f t="shared" si="13"/>
        <v>1205</v>
      </c>
      <c r="BD17" s="25">
        <v>96</v>
      </c>
      <c r="BE17" s="25">
        <v>149</v>
      </c>
      <c r="BH17">
        <f t="shared" si="0"/>
        <v>0</v>
      </c>
    </row>
    <row r="18" spans="1:60" ht="45" customHeight="1">
      <c r="A18" s="8">
        <v>44973</v>
      </c>
      <c r="B18" s="40"/>
      <c r="C18" s="25">
        <v>32389364</v>
      </c>
      <c r="D18" s="9">
        <f>IF((C18-C17&lt;0), "0",C18-C17)</f>
        <v>7243</v>
      </c>
      <c r="E18" s="25">
        <v>327</v>
      </c>
      <c r="F18" s="9" t="str">
        <f t="shared" si="7"/>
        <v>0</v>
      </c>
      <c r="G18" s="25">
        <v>0</v>
      </c>
      <c r="H18" s="9" t="str">
        <f t="shared" si="1"/>
        <v>0</v>
      </c>
      <c r="I18" s="25">
        <v>0</v>
      </c>
      <c r="J18" s="9" t="str">
        <f t="shared" si="8"/>
        <v>0</v>
      </c>
      <c r="K18" s="25">
        <v>0</v>
      </c>
      <c r="L18" s="9" t="str">
        <f t="shared" si="8"/>
        <v>0</v>
      </c>
      <c r="M18" s="25">
        <v>0</v>
      </c>
      <c r="N18" s="9" t="str">
        <f t="shared" ref="N18" si="58">IF((M18-M17&lt;0), "0",M18-M17)</f>
        <v>0</v>
      </c>
      <c r="O18" s="25">
        <v>0</v>
      </c>
      <c r="P18" s="9" t="str">
        <f t="shared" ref="P18" si="59">IF((O18-O17&lt;0), "0",O18-O17)</f>
        <v>0</v>
      </c>
      <c r="Q18" s="25">
        <v>0</v>
      </c>
      <c r="R18" s="9" t="str">
        <f t="shared" si="56"/>
        <v>0</v>
      </c>
      <c r="S18" s="25">
        <v>0</v>
      </c>
      <c r="T18" s="9" t="str">
        <f t="shared" ref="T18" si="60">IF((S18-S17&lt;0), "0",S18-S17)</f>
        <v>0</v>
      </c>
      <c r="U18" s="25">
        <v>0</v>
      </c>
      <c r="V18" s="9" t="str">
        <f t="shared" si="53"/>
        <v/>
      </c>
      <c r="W18" s="25">
        <v>0</v>
      </c>
      <c r="X18" s="9" t="str">
        <f t="shared" si="53"/>
        <v/>
      </c>
      <c r="Y18" s="25">
        <v>0</v>
      </c>
      <c r="Z18" s="9" t="str">
        <f t="shared" si="53"/>
        <v/>
      </c>
      <c r="AA18" s="25">
        <v>0</v>
      </c>
      <c r="AB18" s="9" t="str">
        <f t="shared" si="53"/>
        <v/>
      </c>
      <c r="AC18" s="25">
        <v>0</v>
      </c>
      <c r="AD18" s="9" t="str">
        <f t="shared" si="53"/>
        <v/>
      </c>
      <c r="AE18" s="25">
        <v>0</v>
      </c>
      <c r="AF18" s="9" t="str">
        <f t="shared" si="53"/>
        <v/>
      </c>
      <c r="AG18" s="25">
        <v>0</v>
      </c>
      <c r="AH18" s="9" t="str">
        <f t="shared" si="53"/>
        <v/>
      </c>
      <c r="AI18" s="25">
        <v>0</v>
      </c>
      <c r="AJ18" s="9" t="str">
        <f t="shared" si="53"/>
        <v/>
      </c>
      <c r="AK18" s="25">
        <v>0</v>
      </c>
      <c r="AL18" s="9" t="str">
        <f t="shared" si="53"/>
        <v/>
      </c>
      <c r="AM18" s="25">
        <v>0</v>
      </c>
      <c r="AN18" s="9" t="str">
        <f t="shared" si="53"/>
        <v/>
      </c>
      <c r="AO18" s="25">
        <v>0</v>
      </c>
      <c r="AP18" s="9" t="str">
        <f t="shared" si="53"/>
        <v/>
      </c>
      <c r="AQ18" s="41"/>
      <c r="AR18" s="17" t="s">
        <v>60</v>
      </c>
      <c r="AS18" s="9">
        <v>0</v>
      </c>
      <c r="AT18" s="17" t="s">
        <v>60</v>
      </c>
      <c r="AU18" s="9">
        <v>0</v>
      </c>
      <c r="AV18" s="25">
        <v>0</v>
      </c>
      <c r="AW18" s="9" t="str">
        <f t="shared" si="3"/>
        <v/>
      </c>
      <c r="AX18" s="25">
        <v>0</v>
      </c>
      <c r="AY18" s="9" t="str">
        <f t="shared" si="4"/>
        <v/>
      </c>
      <c r="AZ18" s="25">
        <v>0</v>
      </c>
      <c r="BA18" s="9" t="str">
        <f t="shared" si="5"/>
        <v/>
      </c>
      <c r="BB18" s="25">
        <v>0</v>
      </c>
      <c r="BC18" s="9" t="str">
        <f t="shared" si="13"/>
        <v/>
      </c>
      <c r="BD18" s="25">
        <v>0</v>
      </c>
      <c r="BE18" s="25">
        <v>0</v>
      </c>
      <c r="BH18">
        <f t="shared" si="0"/>
        <v>0</v>
      </c>
    </row>
    <row r="19" spans="1:60" ht="45" customHeight="1">
      <c r="A19" s="8">
        <v>44974</v>
      </c>
      <c r="B19" s="40"/>
      <c r="C19" s="25">
        <v>0</v>
      </c>
      <c r="D19" s="9" t="str">
        <f t="shared" si="6"/>
        <v>0</v>
      </c>
      <c r="E19" s="25">
        <v>0</v>
      </c>
      <c r="F19" s="9" t="str">
        <f t="shared" si="7"/>
        <v>0</v>
      </c>
      <c r="G19" s="25">
        <v>0</v>
      </c>
      <c r="H19" s="9">
        <f t="shared" si="1"/>
        <v>0</v>
      </c>
      <c r="I19" s="25">
        <v>0</v>
      </c>
      <c r="J19" s="9">
        <f t="shared" si="8"/>
        <v>0</v>
      </c>
      <c r="K19" s="25">
        <v>0</v>
      </c>
      <c r="L19" s="9">
        <f t="shared" si="8"/>
        <v>0</v>
      </c>
      <c r="M19" s="25">
        <v>0</v>
      </c>
      <c r="N19" s="9">
        <f t="shared" ref="N19" si="61">IF((M19-M18&lt;0), "0",M19-M18)</f>
        <v>0</v>
      </c>
      <c r="O19" s="25">
        <v>0</v>
      </c>
      <c r="P19" s="9">
        <f t="shared" ref="P19" si="62">IF((O19-O18&lt;0), "0",O19-O18)</f>
        <v>0</v>
      </c>
      <c r="Q19" s="25">
        <v>0</v>
      </c>
      <c r="R19" s="9">
        <f t="shared" ref="R19" si="63">IF((Q19-Q18&lt;0), "0",Q19-Q18)</f>
        <v>0</v>
      </c>
      <c r="S19" s="25">
        <v>0</v>
      </c>
      <c r="T19" s="9">
        <f t="shared" ref="T19" si="64">IF((S19-S18&lt;0), "0",S19-S18)</f>
        <v>0</v>
      </c>
      <c r="U19" s="25">
        <v>0</v>
      </c>
      <c r="V19" s="9">
        <f t="shared" si="53"/>
        <v>0</v>
      </c>
      <c r="W19" s="25">
        <v>0</v>
      </c>
      <c r="X19" s="9">
        <f t="shared" si="53"/>
        <v>0</v>
      </c>
      <c r="Y19" s="25">
        <v>0</v>
      </c>
      <c r="Z19" s="9">
        <f t="shared" si="53"/>
        <v>0</v>
      </c>
      <c r="AA19" s="25">
        <v>0</v>
      </c>
      <c r="AB19" s="9">
        <f t="shared" si="53"/>
        <v>0</v>
      </c>
      <c r="AC19" s="25">
        <v>0</v>
      </c>
      <c r="AD19" s="9">
        <f t="shared" si="53"/>
        <v>0</v>
      </c>
      <c r="AE19" s="25">
        <v>0</v>
      </c>
      <c r="AF19" s="9">
        <f t="shared" si="53"/>
        <v>0</v>
      </c>
      <c r="AG19" s="25">
        <v>0</v>
      </c>
      <c r="AH19" s="9">
        <f t="shared" si="53"/>
        <v>0</v>
      </c>
      <c r="AI19" s="25">
        <v>0</v>
      </c>
      <c r="AJ19" s="9">
        <f t="shared" si="53"/>
        <v>0</v>
      </c>
      <c r="AK19" s="25">
        <v>0</v>
      </c>
      <c r="AL19" s="9">
        <f t="shared" si="53"/>
        <v>0</v>
      </c>
      <c r="AM19" s="25">
        <v>0</v>
      </c>
      <c r="AN19" s="9">
        <f t="shared" si="53"/>
        <v>0</v>
      </c>
      <c r="AO19" s="25">
        <v>0</v>
      </c>
      <c r="AP19" s="9">
        <f t="shared" si="53"/>
        <v>0</v>
      </c>
      <c r="AQ19" s="41"/>
      <c r="AR19" s="17" t="s">
        <v>60</v>
      </c>
      <c r="AS19" s="9">
        <v>0</v>
      </c>
      <c r="AT19" s="17" t="s">
        <v>60</v>
      </c>
      <c r="AU19" s="9">
        <v>0</v>
      </c>
      <c r="AV19" s="25">
        <v>0</v>
      </c>
      <c r="AW19" s="9">
        <f t="shared" si="3"/>
        <v>0</v>
      </c>
      <c r="AX19" s="25">
        <v>0</v>
      </c>
      <c r="AY19" s="9">
        <f t="shared" si="4"/>
        <v>0</v>
      </c>
      <c r="AZ19" s="25">
        <v>0</v>
      </c>
      <c r="BA19" s="9">
        <f t="shared" si="5"/>
        <v>0</v>
      </c>
      <c r="BB19" s="25">
        <v>0</v>
      </c>
      <c r="BC19" s="9">
        <f t="shared" si="13"/>
        <v>0</v>
      </c>
      <c r="BD19" s="25">
        <v>0</v>
      </c>
      <c r="BE19" s="25">
        <v>0</v>
      </c>
      <c r="BH19">
        <f t="shared" si="0"/>
        <v>0</v>
      </c>
    </row>
    <row r="20" spans="1:60" ht="45" customHeight="1">
      <c r="A20" s="8">
        <v>44975</v>
      </c>
      <c r="B20" s="40"/>
      <c r="C20" s="25">
        <v>0</v>
      </c>
      <c r="D20" s="9">
        <f t="shared" si="6"/>
        <v>0</v>
      </c>
      <c r="E20" s="25">
        <v>0</v>
      </c>
      <c r="F20" s="9">
        <f t="shared" si="7"/>
        <v>0</v>
      </c>
      <c r="G20" s="25">
        <v>0</v>
      </c>
      <c r="H20" s="9">
        <f t="shared" si="1"/>
        <v>0</v>
      </c>
      <c r="I20" s="25">
        <v>0</v>
      </c>
      <c r="J20" s="9">
        <f t="shared" si="8"/>
        <v>0</v>
      </c>
      <c r="K20" s="25">
        <v>0</v>
      </c>
      <c r="L20" s="9">
        <f t="shared" si="8"/>
        <v>0</v>
      </c>
      <c r="M20" s="25">
        <v>0</v>
      </c>
      <c r="N20" s="9">
        <f t="shared" ref="N20" si="65">IF((M20-M19&lt;0), "0",M20-M19)</f>
        <v>0</v>
      </c>
      <c r="O20" s="25">
        <v>0</v>
      </c>
      <c r="P20" s="9">
        <f t="shared" ref="P20" si="66">IF((O20-O19&lt;0), "0",O20-O19)</f>
        <v>0</v>
      </c>
      <c r="Q20" s="25">
        <v>0</v>
      </c>
      <c r="R20" s="9">
        <f t="shared" ref="R20" si="67">IF((Q20-Q19&lt;0), "0",Q20-Q19)</f>
        <v>0</v>
      </c>
      <c r="S20" s="25">
        <v>0</v>
      </c>
      <c r="T20" s="9">
        <f t="shared" ref="T20" si="68">IF((S20-S19&lt;0), "0",S20-S19)</f>
        <v>0</v>
      </c>
      <c r="U20" s="25">
        <v>0</v>
      </c>
      <c r="V20" s="9">
        <f t="shared" si="53"/>
        <v>0</v>
      </c>
      <c r="W20" s="25">
        <v>0</v>
      </c>
      <c r="X20" s="9">
        <f t="shared" si="53"/>
        <v>0</v>
      </c>
      <c r="Y20" s="25">
        <v>0</v>
      </c>
      <c r="Z20" s="9">
        <f t="shared" si="53"/>
        <v>0</v>
      </c>
      <c r="AA20" s="25">
        <v>0</v>
      </c>
      <c r="AB20" s="9">
        <f t="shared" si="53"/>
        <v>0</v>
      </c>
      <c r="AC20" s="25">
        <v>0</v>
      </c>
      <c r="AD20" s="9">
        <f t="shared" si="53"/>
        <v>0</v>
      </c>
      <c r="AE20" s="25">
        <v>0</v>
      </c>
      <c r="AF20" s="9">
        <f t="shared" si="53"/>
        <v>0</v>
      </c>
      <c r="AG20" s="25">
        <v>0</v>
      </c>
      <c r="AH20" s="9">
        <f t="shared" si="53"/>
        <v>0</v>
      </c>
      <c r="AI20" s="25">
        <v>0</v>
      </c>
      <c r="AJ20" s="9">
        <f t="shared" si="53"/>
        <v>0</v>
      </c>
      <c r="AK20" s="25">
        <v>0</v>
      </c>
      <c r="AL20" s="9">
        <f t="shared" si="53"/>
        <v>0</v>
      </c>
      <c r="AM20" s="25">
        <v>0</v>
      </c>
      <c r="AN20" s="9">
        <f t="shared" si="53"/>
        <v>0</v>
      </c>
      <c r="AO20" s="25">
        <v>0</v>
      </c>
      <c r="AP20" s="9">
        <f t="shared" si="53"/>
        <v>0</v>
      </c>
      <c r="AQ20" s="41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>
        <f t="shared" si="3"/>
        <v>0</v>
      </c>
      <c r="AX20" s="25">
        <v>0</v>
      </c>
      <c r="AY20" s="9">
        <f t="shared" si="4"/>
        <v>0</v>
      </c>
      <c r="AZ20" s="25">
        <v>0</v>
      </c>
      <c r="BA20" s="9">
        <f t="shared" si="5"/>
        <v>0</v>
      </c>
      <c r="BB20" s="25">
        <v>0</v>
      </c>
      <c r="BC20" s="9">
        <f t="shared" si="13"/>
        <v>0</v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44976</v>
      </c>
      <c r="B21" s="40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41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44977</v>
      </c>
      <c r="B22" s="40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41"/>
      <c r="AR22" s="17">
        <v>0</v>
      </c>
      <c r="AS22" s="9" t="str">
        <f>IF((AR22-AR12&lt;0), "",AR22-AR12)</f>
        <v/>
      </c>
      <c r="AT22" s="17">
        <v>0</v>
      </c>
      <c r="AU22" s="9" t="str">
        <f>IF((AT22-AT12&lt;0), "",AT22-AT12)</f>
        <v/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44978</v>
      </c>
      <c r="B23" s="40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41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44979</v>
      </c>
      <c r="B24" s="40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41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44980</v>
      </c>
      <c r="B25" s="40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:N26" si="85">IF((M25-M24&lt;0), "0",M25-M24)</f>
        <v>0</v>
      </c>
      <c r="O25" s="25">
        <v>0</v>
      </c>
      <c r="P25" s="9">
        <f t="shared" ref="P25:P26" si="86">IF((O25-O24&lt;0), "0",O25-O24)</f>
        <v>0</v>
      </c>
      <c r="Q25" s="25">
        <v>0</v>
      </c>
      <c r="R25" s="9">
        <f t="shared" ref="R25:R26" si="87">IF((Q25-Q24&lt;0), "0",Q25-Q24)</f>
        <v>0</v>
      </c>
      <c r="S25" s="25">
        <v>0</v>
      </c>
      <c r="T25" s="9">
        <f t="shared" ref="T25:T26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41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44981</v>
      </c>
      <c r="B26" s="40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:O27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27">
        <f t="shared" si="53"/>
        <v>0</v>
      </c>
      <c r="AE26" s="25">
        <v>0</v>
      </c>
      <c r="AF26" s="29">
        <f t="shared" si="53"/>
        <v>0</v>
      </c>
      <c r="AG26" s="25">
        <v>0</v>
      </c>
      <c r="AH26" s="28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41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44982</v>
      </c>
      <c r="B27" s="40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27">
        <f t="shared" si="53"/>
        <v>0</v>
      </c>
      <c r="AE27" s="25">
        <v>0</v>
      </c>
      <c r="AF27" s="29">
        <f t="shared" si="53"/>
        <v>0</v>
      </c>
      <c r="AG27" s="25">
        <v>0</v>
      </c>
      <c r="AH27" s="28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41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44983</v>
      </c>
      <c r="B28" s="40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27">
        <f t="shared" si="53"/>
        <v>0</v>
      </c>
      <c r="AE28" s="25">
        <v>0</v>
      </c>
      <c r="AF28" s="29">
        <f t="shared" si="53"/>
        <v>0</v>
      </c>
      <c r="AG28" s="25">
        <v>0</v>
      </c>
      <c r="AH28" s="28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41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44984</v>
      </c>
      <c r="B29" s="40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27">
        <f t="shared" si="53"/>
        <v>0</v>
      </c>
      <c r="AE29" s="25">
        <v>0</v>
      </c>
      <c r="AF29" s="29">
        <f t="shared" si="53"/>
        <v>0</v>
      </c>
      <c r="AG29" s="25">
        <v>0</v>
      </c>
      <c r="AH29" s="28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42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44985</v>
      </c>
      <c r="B30" s="40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27">
        <f t="shared" si="53"/>
        <v>0</v>
      </c>
      <c r="AE30" s="25">
        <v>0</v>
      </c>
      <c r="AF30" s="29">
        <f t="shared" si="53"/>
        <v>0</v>
      </c>
      <c r="AG30" s="25">
        <v>0</v>
      </c>
      <c r="AH30" s="28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42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2023-02-16T10:31:15Z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