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May 2019" sheetId="14" r:id="rId2"/>
    <sheet name="RNs &amp; Covers May 2019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3" i="14" l="1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I42" i="14" l="1"/>
  <c r="Q47" i="14"/>
  <c r="R47" i="14"/>
  <c r="B38" i="10"/>
  <c r="AL42" i="14"/>
  <c r="AI42" i="14"/>
  <c r="G32" i="11"/>
  <c r="AA42" i="14"/>
  <c r="AB42" i="14" s="1"/>
  <c r="V42" i="14"/>
  <c r="N42" i="14"/>
  <c r="P42" i="14"/>
  <c r="E32" i="11" s="1"/>
  <c r="I32" i="11"/>
  <c r="J32" i="11"/>
  <c r="K32" i="11"/>
  <c r="H22" i="11"/>
  <c r="H23" i="11"/>
  <c r="H26" i="11"/>
  <c r="H27" i="11"/>
  <c r="G30" i="11"/>
  <c r="N32" i="14"/>
  <c r="N33" i="14"/>
  <c r="N34" i="14"/>
  <c r="O34" i="14" s="1"/>
  <c r="N35" i="14"/>
  <c r="N36" i="14"/>
  <c r="N37" i="14"/>
  <c r="N38" i="14"/>
  <c r="N39" i="14"/>
  <c r="N40" i="14"/>
  <c r="N41" i="14"/>
  <c r="N13" i="14"/>
  <c r="N14" i="14"/>
  <c r="N15" i="14"/>
  <c r="N16" i="14"/>
  <c r="O16" i="14" s="1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/>
  <c r="AI40" i="14"/>
  <c r="AL40" i="14"/>
  <c r="AL41" i="14"/>
  <c r="AI41" i="14"/>
  <c r="AA40" i="14"/>
  <c r="AB40" i="14" s="1"/>
  <c r="AA41" i="14"/>
  <c r="AB41" i="14" s="1"/>
  <c r="V40" i="14"/>
  <c r="V41" i="14"/>
  <c r="K31" i="11" s="1"/>
  <c r="P40" i="14"/>
  <c r="E30" i="11" s="1"/>
  <c r="P41" i="14"/>
  <c r="E31" i="11" s="1"/>
  <c r="I40" i="14"/>
  <c r="I41" i="14"/>
  <c r="I30" i="11"/>
  <c r="J30" i="11"/>
  <c r="K30" i="11"/>
  <c r="G31" i="11"/>
  <c r="H31" i="11"/>
  <c r="I31" i="11"/>
  <c r="J31" i="11"/>
  <c r="V33" i="14"/>
  <c r="K23" i="11" s="1"/>
  <c r="V34" i="14"/>
  <c r="K24" i="11" s="1"/>
  <c r="V35" i="14"/>
  <c r="K25" i="11" s="1"/>
  <c r="V36" i="14"/>
  <c r="V37" i="14"/>
  <c r="K27" i="11" s="1"/>
  <c r="V38" i="14"/>
  <c r="K28" i="11" s="1"/>
  <c r="V39" i="14"/>
  <c r="K29" i="11" s="1"/>
  <c r="V24" i="14"/>
  <c r="K14" i="11" s="1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/>
  <c r="G29" i="11"/>
  <c r="H25" i="11"/>
  <c r="G25" i="11"/>
  <c r="H21" i="11"/>
  <c r="G21" i="11"/>
  <c r="H28" i="11"/>
  <c r="G28" i="11"/>
  <c r="G26" i="11"/>
  <c r="AA31" i="14"/>
  <c r="AA32" i="14"/>
  <c r="AB32" i="14" s="1"/>
  <c r="AA33" i="14"/>
  <c r="AA34" i="14"/>
  <c r="AB34" i="14" s="1"/>
  <c r="AA35" i="14"/>
  <c r="AA36" i="14"/>
  <c r="AA37" i="14"/>
  <c r="AA38" i="14"/>
  <c r="L28" i="11" s="1"/>
  <c r="AA39" i="14"/>
  <c r="L29" i="11" s="1"/>
  <c r="V31" i="14"/>
  <c r="L21" i="11" s="1"/>
  <c r="V32" i="14"/>
  <c r="K22" i="11" s="1"/>
  <c r="K26" i="11"/>
  <c r="I39" i="14"/>
  <c r="I38" i="14"/>
  <c r="I37" i="14"/>
  <c r="I36" i="14"/>
  <c r="O36" i="14" s="1"/>
  <c r="I35" i="14"/>
  <c r="I34" i="14"/>
  <c r="I33" i="14"/>
  <c r="I32" i="14"/>
  <c r="I31" i="14"/>
  <c r="AB31" i="14"/>
  <c r="P31" i="14"/>
  <c r="E21" i="11" s="1"/>
  <c r="P32" i="14"/>
  <c r="E22" i="11" s="1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AB36" i="14"/>
  <c r="V30" i="14"/>
  <c r="V29" i="14"/>
  <c r="K19" i="11" s="1"/>
  <c r="V28" i="14"/>
  <c r="K18" i="11" s="1"/>
  <c r="V27" i="14"/>
  <c r="K17" i="11" s="1"/>
  <c r="V26" i="14"/>
  <c r="K16" i="11" s="1"/>
  <c r="V25" i="14"/>
  <c r="K15" i="11" s="1"/>
  <c r="V23" i="14"/>
  <c r="K13" i="11" s="1"/>
  <c r="V22" i="14"/>
  <c r="K12" i="11" s="1"/>
  <c r="V21" i="14"/>
  <c r="V20" i="14"/>
  <c r="K10" i="11" s="1"/>
  <c r="V19" i="14"/>
  <c r="K9" i="11" s="1"/>
  <c r="V18" i="14"/>
  <c r="K8" i="11" s="1"/>
  <c r="V17" i="14"/>
  <c r="K7" i="11" s="1"/>
  <c r="V16" i="14"/>
  <c r="K6" i="11" s="1"/>
  <c r="V15" i="14"/>
  <c r="V14" i="14"/>
  <c r="K4" i="11" s="1"/>
  <c r="V13" i="14"/>
  <c r="V12" i="14"/>
  <c r="K2" i="11" s="1"/>
  <c r="AJ47" i="14"/>
  <c r="K11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O29" i="14" s="1"/>
  <c r="AL28" i="14"/>
  <c r="I28" i="14"/>
  <c r="I27" i="14"/>
  <c r="AL26" i="14"/>
  <c r="AI26" i="14"/>
  <c r="I26" i="14"/>
  <c r="AL25" i="14"/>
  <c r="I15" i="11"/>
  <c r="P25" i="14"/>
  <c r="E15" i="11" s="1"/>
  <c r="AL24" i="14"/>
  <c r="I24" i="14"/>
  <c r="AL23" i="14"/>
  <c r="P23" i="14"/>
  <c r="E13" i="11" s="1"/>
  <c r="I22" i="14"/>
  <c r="P21" i="14"/>
  <c r="AL20" i="14"/>
  <c r="AA20" i="14"/>
  <c r="AB20" i="14" s="1"/>
  <c r="I20" i="14"/>
  <c r="I9" i="11"/>
  <c r="AA19" i="14"/>
  <c r="AB19" i="14" s="1"/>
  <c r="AL18" i="14"/>
  <c r="P18" i="14"/>
  <c r="E8" i="11" s="1"/>
  <c r="I18" i="14"/>
  <c r="AL17" i="14"/>
  <c r="I7" i="11"/>
  <c r="P17" i="14"/>
  <c r="E7" i="11" s="1"/>
  <c r="AL16" i="14"/>
  <c r="I16" i="14"/>
  <c r="AL15" i="14"/>
  <c r="P15" i="14"/>
  <c r="E5" i="11" s="1"/>
  <c r="AL13" i="14"/>
  <c r="I12" i="14"/>
  <c r="H11" i="11"/>
  <c r="H5" i="11"/>
  <c r="G2" i="11"/>
  <c r="H7" i="11"/>
  <c r="H13" i="11"/>
  <c r="H3" i="11"/>
  <c r="E11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G20" i="11"/>
  <c r="G15" i="11"/>
  <c r="G14" i="1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B13" i="14" s="1"/>
  <c r="AA15" i="14"/>
  <c r="AA17" i="14"/>
  <c r="AA23" i="14"/>
  <c r="P27" i="14"/>
  <c r="E17" i="11" s="1"/>
  <c r="P29" i="14"/>
  <c r="P30" i="14"/>
  <c r="E20" i="11" s="1"/>
  <c r="J16" i="11"/>
  <c r="J8" i="11"/>
  <c r="K3" i="11"/>
  <c r="G6" i="11"/>
  <c r="I12" i="11"/>
  <c r="I4" i="11"/>
  <c r="J15" i="11"/>
  <c r="I19" i="14"/>
  <c r="G12" i="11"/>
  <c r="G4" i="11"/>
  <c r="I18" i="11"/>
  <c r="L47" i="14"/>
  <c r="P14" i="14"/>
  <c r="E4" i="11" s="1"/>
  <c r="P20" i="14"/>
  <c r="E10" i="11" s="1"/>
  <c r="P22" i="14"/>
  <c r="AA29" i="14"/>
  <c r="AB29" i="14" s="1"/>
  <c r="G19" i="11"/>
  <c r="I17" i="11"/>
  <c r="P13" i="14"/>
  <c r="E3" i="11" s="1"/>
  <c r="AF47" i="14"/>
  <c r="I10" i="11"/>
  <c r="M47" i="14"/>
  <c r="P16" i="14"/>
  <c r="I17" i="14"/>
  <c r="I21" i="14"/>
  <c r="AA27" i="14"/>
  <c r="AB27" i="14" s="1"/>
  <c r="G18" i="11"/>
  <c r="G10" i="11"/>
  <c r="I16" i="11"/>
  <c r="I8" i="11"/>
  <c r="J19" i="11"/>
  <c r="J3" i="11"/>
  <c r="K47" i="14"/>
  <c r="AA24" i="14"/>
  <c r="AB24" i="14" s="1"/>
  <c r="P26" i="14"/>
  <c r="E47" i="14"/>
  <c r="I13" i="14"/>
  <c r="I15" i="14"/>
  <c r="P19" i="14"/>
  <c r="E9" i="11" s="1"/>
  <c r="AA21" i="14"/>
  <c r="L11" i="11" s="1"/>
  <c r="I23" i="14"/>
  <c r="P28" i="14"/>
  <c r="E18" i="11" s="1"/>
  <c r="G17" i="11"/>
  <c r="J18" i="11"/>
  <c r="J10" i="11"/>
  <c r="K5" i="11"/>
  <c r="AA25" i="14"/>
  <c r="AB25" i="14" s="1"/>
  <c r="F47" i="14"/>
  <c r="I14" i="14"/>
  <c r="O14" i="14" s="1"/>
  <c r="AA14" i="14"/>
  <c r="AB14" i="14" s="1"/>
  <c r="P24" i="14"/>
  <c r="E14" i="11" s="1"/>
  <c r="I25" i="14"/>
  <c r="I14" i="11"/>
  <c r="I6" i="11"/>
  <c r="AA12" i="14"/>
  <c r="AB12" i="14" s="1"/>
  <c r="H2" i="11"/>
  <c r="AA18" i="14"/>
  <c r="AB18" i="14" s="1"/>
  <c r="AA26" i="14"/>
  <c r="AB26" i="14" s="1"/>
  <c r="AA22" i="14"/>
  <c r="AB22" i="14" s="1"/>
  <c r="AA30" i="14"/>
  <c r="AB30" i="14" s="1"/>
  <c r="H47" i="14"/>
  <c r="P12" i="14"/>
  <c r="E2" i="11" s="1"/>
  <c r="AA28" i="14"/>
  <c r="AB28" i="14" s="1"/>
  <c r="J2" i="11"/>
  <c r="AC47" i="14"/>
  <c r="E16" i="11"/>
  <c r="AI18" i="14"/>
  <c r="AI19" i="14"/>
  <c r="AI13" i="14"/>
  <c r="AI15" i="14"/>
  <c r="X47" i="14"/>
  <c r="AI21" i="14"/>
  <c r="AB17" i="14"/>
  <c r="Y47" i="14"/>
  <c r="AI23" i="14"/>
  <c r="AI17" i="14"/>
  <c r="AL19" i="14"/>
  <c r="J9" i="11"/>
  <c r="AK47" i="14"/>
  <c r="AL47" i="14" s="1"/>
  <c r="AL12" i="14"/>
  <c r="AA16" i="14"/>
  <c r="AB16" i="14" s="1"/>
  <c r="AH47" i="14"/>
  <c r="AI47" i="14" s="1"/>
  <c r="AI12" i="14"/>
  <c r="Z47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L26" i="11" l="1"/>
  <c r="L7" i="11"/>
  <c r="L25" i="11"/>
  <c r="O12" i="14"/>
  <c r="O22" i="14"/>
  <c r="O30" i="14"/>
  <c r="O37" i="14"/>
  <c r="O35" i="14"/>
  <c r="O25" i="14"/>
  <c r="F15" i="11" s="1"/>
  <c r="O13" i="14"/>
  <c r="F3" i="11" s="1"/>
  <c r="O38" i="14"/>
  <c r="O21" i="14"/>
  <c r="F11" i="11" s="1"/>
  <c r="O24" i="14"/>
  <c r="O17" i="14"/>
  <c r="F7" i="11" s="1"/>
  <c r="F24" i="11"/>
  <c r="G22" i="11"/>
  <c r="O26" i="14"/>
  <c r="F16" i="11" s="1"/>
  <c r="O42" i="14"/>
  <c r="F32" i="11" s="1"/>
  <c r="F2" i="11"/>
  <c r="F4" i="11"/>
  <c r="F20" i="11"/>
  <c r="H30" i="11"/>
  <c r="O15" i="14"/>
  <c r="F5" i="11" s="1"/>
  <c r="F26" i="11"/>
  <c r="F27" i="11"/>
  <c r="L27" i="11"/>
  <c r="F6" i="11"/>
  <c r="F12" i="11"/>
  <c r="F19" i="11"/>
  <c r="F25" i="11"/>
  <c r="G27" i="11"/>
  <c r="O31" i="14"/>
  <c r="F21" i="11" s="1"/>
  <c r="F28" i="11"/>
  <c r="H32" i="11"/>
  <c r="O23" i="14"/>
  <c r="F13" i="11" s="1"/>
  <c r="F14" i="11"/>
  <c r="O28" i="14"/>
  <c r="F18" i="11" s="1"/>
  <c r="O20" i="14"/>
  <c r="F10" i="11" s="1"/>
  <c r="O41" i="14"/>
  <c r="F31" i="11" s="1"/>
  <c r="O33" i="14"/>
  <c r="F23" i="11" s="1"/>
  <c r="AG47" i="14"/>
  <c r="I47" i="14"/>
  <c r="O27" i="14"/>
  <c r="F17" i="11" s="1"/>
  <c r="O19" i="14"/>
  <c r="F9" i="11" s="1"/>
  <c r="O40" i="14"/>
  <c r="F30" i="11" s="1"/>
  <c r="O32" i="14"/>
  <c r="F22" i="11" s="1"/>
  <c r="L23" i="11"/>
  <c r="N47" i="14"/>
  <c r="O39" i="14"/>
  <c r="F29" i="11" s="1"/>
  <c r="E19" i="11"/>
  <c r="AB21" i="14"/>
  <c r="E6" i="11"/>
  <c r="L13" i="11"/>
  <c r="G24" i="11"/>
  <c r="G23" i="11"/>
  <c r="P47" i="14"/>
  <c r="S47" i="14" s="1"/>
  <c r="E12" i="11"/>
  <c r="H24" i="11"/>
  <c r="O18" i="14"/>
  <c r="F8" i="11" s="1"/>
  <c r="AB38" i="14"/>
  <c r="L32" i="11"/>
  <c r="L12" i="11"/>
  <c r="K21" i="11"/>
  <c r="AA47" i="14"/>
  <c r="AB47" i="14" s="1"/>
  <c r="AB23" i="14"/>
  <c r="L24" i="11"/>
  <c r="L22" i="11"/>
  <c r="L31" i="11"/>
  <c r="L4" i="11"/>
  <c r="L9" i="11"/>
  <c r="AB33" i="14"/>
  <c r="L14" i="11"/>
  <c r="L15" i="11"/>
  <c r="L18" i="11"/>
  <c r="AB39" i="14"/>
  <c r="L6" i="11"/>
  <c r="L3" i="11"/>
  <c r="L8" i="11"/>
  <c r="L16" i="11"/>
  <c r="L5" i="11"/>
  <c r="V47" i="14"/>
  <c r="AB15" i="14"/>
  <c r="L19" i="11"/>
  <c r="AB35" i="14"/>
  <c r="L10" i="11"/>
  <c r="L17" i="11"/>
  <c r="L30" i="11"/>
  <c r="L20" i="11"/>
  <c r="L2" i="11"/>
  <c r="AB37" i="14"/>
  <c r="O47" i="14" l="1"/>
  <c r="T47" i="14" s="1"/>
  <c r="U47" i="14" s="1"/>
  <c r="U48" i="14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<sst xmlns="http://schemas.openxmlformats.org/spreadsheetml/2006/main" count="101" uniqueCount="55">
  <si>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</si>
  <si>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</si>
  <si>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</si>
  <si>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</si>
  <si>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</si>
  <si>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</si>
  <si>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</si>
  <si>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</si>
  <si>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</si>
  <si>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</si>
  <si>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</si>
  <si>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</si>
  <si>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</si>
  <si>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</si>
  <si>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</si>
  <si>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</si>
  <si>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</si>
  <si>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</si>
  <si>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</si>
  <si>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</si>
  <si>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</si>
  <si>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</si>
  <si>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</si>
  <si>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</si>
  <si>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</si>
  <si>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</si>
  <si>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</si>
  <si>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</si>
  <si>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</si>
  <si>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</si>
  <si>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</si>
  <si>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</si>
  <si>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</si>
  <si>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</si>
  <si>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</si>
  <si>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</si>
  <si>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</si>
  <si>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</si>
  <si>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</si>
  <si>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</si>
  <si>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</si>
  <si>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</si>
  <si>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</si>
  <si>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</si>
  <si>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</si>
  <si>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</si>
  <si>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</si>
  <si>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</si>
  <si>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</si>
  <si>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</si>
  <si>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</si>
  <si>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</si>
  <si>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</si>
  <si>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</si>
  <si>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MAY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</si>
</sst>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4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9" fontId="0" fillId="0" borderId="56" xfId="2" applyNumberFormat="1" applyFont="1" applyBorder="1"/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8" xfId="2" applyFont="1" applyFill="1" applyBorder="1"/>
    <xf numFmtId="43" fontId="0" fillId="3" borderId="7" xfId="2" applyFont="1" applyFill="1" applyBorder="1"/>
    <xf numFmtId="43" fontId="0" fillId="3" borderId="69" xfId="2" applyFont="1" applyFill="1" applyBorder="1"/>
    <xf numFmtId="43" fontId="0" fillId="3" borderId="11" xfId="2" applyFont="1" applyFill="1" applyBorder="1"/>
    <xf numFmtId="43" fontId="0" fillId="3" borderId="70" xfId="2" applyFont="1" applyFill="1" applyBorder="1"/>
    <xf numFmtId="43" fontId="0" fillId="3" borderId="47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169" fontId="20" fillId="0" borderId="8" xfId="0" applyNumberFormat="1" applyFont="1" applyBorder="1"/>
    <xf numFmtId="37" fontId="20" fillId="0" borderId="8" xfId="0" applyNumberFormat="1" applyFont="1" applyBorder="1"/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236483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P16" sqref="P16"/>
    </sheetView>
  </sheetViews>
  <sheetFormatPr defaultColWidth="11.5703125" defaultRowHeight="15" x14ac:dyDescent="0.25"/>
  <cols>
    <col min="1" max="1" width="18.42578125" style="168" customWidth="1"/>
    <col min="2" max="2" width="11.5703125" style="169"/>
    <col min="3" max="3" width="11.5703125" style="170"/>
    <col min="4" max="4" width="13.42578125" style="169" customWidth="1"/>
    <col min="5" max="5" width="12.5703125" style="167" customWidth="1"/>
    <col min="6" max="6" width="12.5703125" style="171" customWidth="1"/>
    <col min="7" max="7" width="11.5703125" style="167"/>
    <col min="8" max="8" width="11.5703125" style="171"/>
    <col min="9" max="9" width="11.5703125" style="172"/>
    <col min="10" max="10" width="11.5703125" style="173"/>
    <col min="11" max="11" width="11.5703125" style="167"/>
    <col min="12" max="12" width="11.5703125" style="173"/>
    <col min="13" max="26" width="11.5703125" style="167"/>
  </cols>
  <sheetData>
    <row r="1" spans="1:15" s="161" customFormat="1" ht="43.15" x14ac:dyDescent="0.3">
      <c r="A1" s="157" t="s">
        <v>37</v>
      </c>
      <c r="B1" s="157" t="s">
        <v>38</v>
      </c>
      <c r="C1" s="158" t="s">
        <v>39</v>
      </c>
      <c r="D1" s="157" t="s">
        <v>40</v>
      </c>
      <c r="E1" s="156" t="s">
        <v>41</v>
      </c>
      <c r="F1" s="159" t="s">
        <v>42</v>
      </c>
      <c r="G1" s="156" t="s">
        <v>47</v>
      </c>
      <c r="H1" s="159" t="s">
        <v>48</v>
      </c>
      <c r="I1" s="175" t="s">
        <v>50</v>
      </c>
      <c r="J1" s="159" t="s">
        <v>51</v>
      </c>
      <c r="K1" s="156" t="s">
        <v>43</v>
      </c>
      <c r="L1" s="160" t="s">
        <v>44</v>
      </c>
      <c r="M1" s="156" t="s">
        <v>45</v>
      </c>
      <c r="N1" s="156" t="s">
        <v>3</v>
      </c>
    </row>
    <row r="2" spans="1:15" x14ac:dyDescent="0.25">
      <c r="A2" s="162" t="s">
        <v>49</v>
      </c>
      <c r="B2" s="163">
        <v>1</v>
      </c>
      <c r="C2" s="164">
        <v>5</v>
      </c>
      <c r="D2" s="163">
        <v>2019</v>
      </c>
      <c r="E2" s="165">
        <f>'FS Jimbaran May 2019'!P12</f>
        <v>25840.000000001055</v>
      </c>
      <c r="F2" s="174">
        <f>'FS Jimbaran May 2019'!O12/'FS Jimbaran May 2019'!P12</f>
        <v>1126.7715092879212</v>
      </c>
      <c r="G2" s="165">
        <f>'FS Jimbaran May 2019'!AG12</f>
        <v>329.16471999996247</v>
      </c>
      <c r="H2" s="174">
        <f>'FS Jimbaran May 2019'!AH12/'FS Jimbaran May 2019'!AG12</f>
        <v>10760.411889658168</v>
      </c>
      <c r="I2" s="165">
        <f>'FS Jimbaran May 2019'!AJ12</f>
        <v>537.65999999999985</v>
      </c>
      <c r="J2" s="166">
        <f>'FS Jimbaran May 2019'!AK12/'FS Jimbaran May 2019'!AJ12</f>
        <v>10400</v>
      </c>
      <c r="K2" s="165">
        <f>'FS Jimbaran May 2019'!V12</f>
        <v>914.92000000000007</v>
      </c>
      <c r="L2" s="174">
        <f>'FS Jimbaran May 2019'!AA12/'FS Jimbaran May 2019'!V12</f>
        <v>4435.005992217898</v>
      </c>
      <c r="M2" s="222">
        <v>146</v>
      </c>
      <c r="N2" s="223">
        <v>802</v>
      </c>
    </row>
    <row r="3" spans="1:15" x14ac:dyDescent="0.25">
      <c r="A3" s="162" t="s">
        <v>49</v>
      </c>
      <c r="B3" s="163">
        <f>B2+1</f>
        <v>2</v>
      </c>
      <c r="C3" s="164">
        <v>5</v>
      </c>
      <c r="D3" s="163">
        <v>2019</v>
      </c>
      <c r="E3" s="176">
        <f>'FS Jimbaran May 2019'!P13</f>
        <v>26179.999999999382</v>
      </c>
      <c r="F3" s="174">
        <f>'FS Jimbaran May 2019'!O13/'FS Jimbaran May 2019'!P13</f>
        <v>1124.0072498090174</v>
      </c>
      <c r="G3" s="176">
        <f>'FS Jimbaran May 2019'!AG13</f>
        <v>282.7226000000469</v>
      </c>
      <c r="H3" s="174">
        <f>'FS Jimbaran May 2019'!AH13/'FS Jimbaran May 2019'!AG13</f>
        <v>11482.308934694163</v>
      </c>
      <c r="I3" s="176">
        <f>'FS Jimbaran May 2019'!AJ13</f>
        <v>770.24000000001161</v>
      </c>
      <c r="J3" s="166">
        <f>'FS Jimbaran May 2019'!AK13/'FS Jimbaran May 2019'!AJ13</f>
        <v>10400</v>
      </c>
      <c r="K3" s="176">
        <f>'FS Jimbaran May 2019'!V13</f>
        <v>918.48</v>
      </c>
      <c r="L3" s="174">
        <f>'FS Jimbaran May 2019'!AA13/'FS Jimbaran May 2019'!V13</f>
        <v>3553.5887209302323</v>
      </c>
      <c r="M3" s="222">
        <v>66</v>
      </c>
      <c r="N3" s="223">
        <v>699</v>
      </c>
    </row>
    <row r="4" spans="1:15" x14ac:dyDescent="0.25">
      <c r="A4" s="162" t="s">
        <v>49</v>
      </c>
      <c r="B4" s="163">
        <f t="shared" ref="B4:B32" si="0">B3+1</f>
        <v>3</v>
      </c>
      <c r="C4" s="164">
        <v>5</v>
      </c>
      <c r="D4" s="163">
        <v>2019</v>
      </c>
      <c r="E4" s="176">
        <f>'FS Jimbaran May 2019'!P14</f>
        <v>25479.999999999563</v>
      </c>
      <c r="F4" s="174">
        <f>'FS Jimbaran May 2019'!O14/'FS Jimbaran May 2019'!P14</f>
        <v>1128.057103610676</v>
      </c>
      <c r="G4" s="176">
        <f>'FS Jimbaran May 2019'!AG14</f>
        <v>141.86271999996248</v>
      </c>
      <c r="H4" s="174">
        <f>'FS Jimbaran May 2019'!AH14/'FS Jimbaran May 2019'!AG14</f>
        <v>10803.601547637059</v>
      </c>
      <c r="I4" s="176">
        <f>'FS Jimbaran May 2019'!AJ14</f>
        <v>534.80000000000018</v>
      </c>
      <c r="J4" s="166">
        <f>'FS Jimbaran May 2019'!AK14/'FS Jimbaran May 2019'!AJ14</f>
        <v>10400</v>
      </c>
      <c r="K4" s="176">
        <f>'FS Jimbaran May 2019'!V14</f>
        <v>946.06999999999994</v>
      </c>
      <c r="L4" s="174">
        <f>'FS Jimbaran May 2019'!AA14/'FS Jimbaran May 2019'!V14</f>
        <v>3990.9524176857958</v>
      </c>
      <c r="M4" s="222">
        <v>87</v>
      </c>
      <c r="N4" s="223">
        <v>603</v>
      </c>
    </row>
    <row r="5" spans="1:15" x14ac:dyDescent="0.25">
      <c r="A5" s="162" t="s">
        <v>49</v>
      </c>
      <c r="B5" s="163">
        <f t="shared" si="0"/>
        <v>4</v>
      </c>
      <c r="C5" s="164">
        <v>5</v>
      </c>
      <c r="D5" s="163">
        <v>2019</v>
      </c>
      <c r="E5" s="176">
        <f>'FS Jimbaran May 2019'!P15</f>
        <v>24240.000000000466</v>
      </c>
      <c r="F5" s="174">
        <f>'FS Jimbaran May 2019'!O15/'FS Jimbaran May 2019'!P15</f>
        <v>1130.2137376237572</v>
      </c>
      <c r="G5" s="176">
        <f>'FS Jimbaran May 2019'!AG15</f>
        <v>24</v>
      </c>
      <c r="H5" s="174">
        <f>'FS Jimbaran May 2019'!AH15/'FS Jimbaran May 2019'!AG15</f>
        <v>11625</v>
      </c>
      <c r="I5" s="176">
        <f>'FS Jimbaran May 2019'!AJ15</f>
        <v>534.42000000000007</v>
      </c>
      <c r="J5" s="166">
        <f>'FS Jimbaran May 2019'!AK15/'FS Jimbaran May 2019'!AJ15</f>
        <v>10400</v>
      </c>
      <c r="K5" s="176">
        <f>'FS Jimbaran May 2019'!V15</f>
        <v>960.31000000000006</v>
      </c>
      <c r="L5" s="174">
        <f>'FS Jimbaran May 2019'!AA15/'FS Jimbaran May 2019'!V15</f>
        <v>4406.2187025023168</v>
      </c>
      <c r="M5" s="222">
        <v>73</v>
      </c>
      <c r="N5" s="223">
        <v>630</v>
      </c>
    </row>
    <row r="6" spans="1:15" x14ac:dyDescent="0.25">
      <c r="A6" s="162" t="s">
        <v>49</v>
      </c>
      <c r="B6" s="163">
        <f t="shared" si="0"/>
        <v>5</v>
      </c>
      <c r="C6" s="164">
        <v>5</v>
      </c>
      <c r="D6" s="163">
        <v>2019</v>
      </c>
      <c r="E6" s="176">
        <f>'FS Jimbaran May 2019'!P16</f>
        <v>25500</v>
      </c>
      <c r="F6" s="174">
        <f>'FS Jimbaran May 2019'!O16/'FS Jimbaran May 2019'!P16</f>
        <v>1125.5476000000015</v>
      </c>
      <c r="G6" s="176">
        <f>'FS Jimbaran May 2019'!AG16</f>
        <v>141.54048000001404</v>
      </c>
      <c r="H6" s="174">
        <f>'FS Jimbaran May 2019'!AH16/'FS Jimbaran May 2019'!AG16</f>
        <v>10803.774349896221</v>
      </c>
      <c r="I6" s="176">
        <f>'FS Jimbaran May 2019'!AJ16</f>
        <v>539.97999999999956</v>
      </c>
      <c r="J6" s="166">
        <f>'FS Jimbaran May 2019'!AK16/'FS Jimbaran May 2019'!AJ16</f>
        <v>10400</v>
      </c>
      <c r="K6" s="176">
        <f>'FS Jimbaran May 2019'!V16</f>
        <v>890.89</v>
      </c>
      <c r="L6" s="174">
        <f>'FS Jimbaran May 2019'!AA16/'FS Jimbaran May 2019'!V16</f>
        <v>4809.3508091908097</v>
      </c>
      <c r="M6" s="222">
        <v>53</v>
      </c>
      <c r="N6" s="223">
        <v>540</v>
      </c>
    </row>
    <row r="7" spans="1:15" x14ac:dyDescent="0.25">
      <c r="A7" s="162" t="s">
        <v>49</v>
      </c>
      <c r="B7" s="163">
        <f t="shared" si="0"/>
        <v>6</v>
      </c>
      <c r="C7" s="164">
        <v>5</v>
      </c>
      <c r="D7" s="163">
        <v>2019</v>
      </c>
      <c r="E7" s="176">
        <f>'FS Jimbaran May 2019'!P17</f>
        <v>24559.999999999265</v>
      </c>
      <c r="F7" s="174">
        <f>'FS Jimbaran May 2019'!O17/'FS Jimbaran May 2019'!P17</f>
        <v>1125.6094543973966</v>
      </c>
      <c r="G7" s="176">
        <f>'FS Jimbaran May 2019'!AG17</f>
        <v>135.1394000000117</v>
      </c>
      <c r="H7" s="174">
        <f>'FS Jimbaran May 2019'!AH17/'FS Jimbaran May 2019'!AG17</f>
        <v>10727.7</v>
      </c>
      <c r="I7" s="176">
        <f>'FS Jimbaran May 2019'!AJ17</f>
        <v>426.74999999999091</v>
      </c>
      <c r="J7" s="166">
        <f>'FS Jimbaran May 2019'!AK17/'FS Jimbaran May 2019'!AJ17</f>
        <v>10399.999999999998</v>
      </c>
      <c r="K7" s="176">
        <f>'FS Jimbaran May 2019'!V17</f>
        <v>834.82</v>
      </c>
      <c r="L7" s="174">
        <f>'FS Jimbaran May 2019'!AA17/'FS Jimbaran May 2019'!V17</f>
        <v>5090.8846695095945</v>
      </c>
      <c r="M7" s="222">
        <v>42</v>
      </c>
      <c r="N7" s="223">
        <v>394</v>
      </c>
    </row>
    <row r="8" spans="1:15" x14ac:dyDescent="0.25">
      <c r="A8" s="162" t="s">
        <v>49</v>
      </c>
      <c r="B8" s="163">
        <f t="shared" si="0"/>
        <v>7</v>
      </c>
      <c r="C8" s="164">
        <v>5</v>
      </c>
      <c r="D8" s="163">
        <v>2019</v>
      </c>
      <c r="E8" s="176">
        <f>'FS Jimbaran May 2019'!P18</f>
        <v>24120.000000000116</v>
      </c>
      <c r="F8" s="174">
        <f>'FS Jimbaran May 2019'!O18/'FS Jimbaran May 2019'!P18</f>
        <v>1125.100995024877</v>
      </c>
      <c r="G8" s="176">
        <f>'FS Jimbaran May 2019'!AG18</f>
        <v>398.54919999997651</v>
      </c>
      <c r="H8" s="174">
        <f>'FS Jimbaran May 2019'!AH18/'FS Jimbaran May 2019'!AG18</f>
        <v>11646.89040359389</v>
      </c>
      <c r="I8" s="176">
        <f>'FS Jimbaran May 2019'!AJ18</f>
        <v>423.94999999998799</v>
      </c>
      <c r="J8" s="166">
        <f>'FS Jimbaran May 2019'!AK18/'FS Jimbaran May 2019'!AJ18</f>
        <v>10400</v>
      </c>
      <c r="K8" s="176">
        <f>'FS Jimbaran May 2019'!V18</f>
        <v>924.71</v>
      </c>
      <c r="L8" s="174">
        <f>'FS Jimbaran May 2019'!AA18/'FS Jimbaran May 2019'!V18</f>
        <v>3762.9197497593836</v>
      </c>
      <c r="M8" s="222">
        <v>42</v>
      </c>
      <c r="N8" s="223">
        <v>330</v>
      </c>
    </row>
    <row r="9" spans="1:15" x14ac:dyDescent="0.25">
      <c r="A9" s="162" t="s">
        <v>49</v>
      </c>
      <c r="B9" s="163">
        <f t="shared" si="0"/>
        <v>8</v>
      </c>
      <c r="C9" s="164">
        <v>5</v>
      </c>
      <c r="D9" s="163">
        <v>2019</v>
      </c>
      <c r="E9" s="176">
        <f>'FS Jimbaran May 2019'!P19</f>
        <v>23459.999999999811</v>
      </c>
      <c r="F9" s="174">
        <f>'FS Jimbaran May 2019'!O19/'FS Jimbaran May 2019'!P19</f>
        <v>1125.8478260869506</v>
      </c>
      <c r="G9" s="176">
        <f>'FS Jimbaran May 2019'!AG19</f>
        <v>202.58775999999295</v>
      </c>
      <c r="H9" s="174">
        <f>'FS Jimbaran May 2019'!AH19/'FS Jimbaran May 2019'!AG19</f>
        <v>11046.601793474601</v>
      </c>
      <c r="I9" s="176">
        <f>'FS Jimbaran May 2019'!AJ19</f>
        <v>508.05999999999949</v>
      </c>
      <c r="J9" s="166">
        <f>'FS Jimbaran May 2019'!AK19/'FS Jimbaran May 2019'!AJ19</f>
        <v>10400</v>
      </c>
      <c r="K9" s="176">
        <f>'FS Jimbaran May 2019'!V19</f>
        <v>852.62</v>
      </c>
      <c r="L9" s="174">
        <f>'FS Jimbaran May 2019'!AA19/'FS Jimbaran May 2019'!V19</f>
        <v>5405.9882254697286</v>
      </c>
      <c r="M9" s="222">
        <v>45</v>
      </c>
      <c r="N9" s="223">
        <v>345</v>
      </c>
      <c r="O9" s="167" t="s">
        <v>46</v>
      </c>
    </row>
    <row r="10" spans="1:15" x14ac:dyDescent="0.25">
      <c r="A10" s="162" t="s">
        <v>49</v>
      </c>
      <c r="B10" s="163">
        <f t="shared" si="0"/>
        <v>9</v>
      </c>
      <c r="C10" s="164">
        <v>5</v>
      </c>
      <c r="D10" s="163">
        <v>2019</v>
      </c>
      <c r="E10" s="176">
        <f>'FS Jimbaran May 2019'!P20</f>
        <v>24140.000000000102</v>
      </c>
      <c r="F10" s="174">
        <f>'FS Jimbaran May 2019'!O20/'FS Jimbaran May 2019'!P20</f>
        <v>1126.3142087821045</v>
      </c>
      <c r="G10" s="176">
        <f>'FS Jimbaran May 2019'!AG20</f>
        <v>292.75232000000938</v>
      </c>
      <c r="H10" s="174">
        <f>'FS Jimbaran May 2019'!AH20/'FS Jimbaran May 2019'!AG20</f>
        <v>11456.455966818618</v>
      </c>
      <c r="I10" s="176">
        <f>'FS Jimbaran May 2019'!AJ20</f>
        <v>782.94000000000415</v>
      </c>
      <c r="J10" s="166">
        <f>'FS Jimbaran May 2019'!AK20/'FS Jimbaran May 2019'!AJ20</f>
        <v>10400</v>
      </c>
      <c r="K10" s="176">
        <f>'FS Jimbaran May 2019'!V20</f>
        <v>847.28</v>
      </c>
      <c r="L10" s="174">
        <f>'FS Jimbaran May 2019'!AA20/'FS Jimbaran May 2019'!V20</f>
        <v>4303.9072689075638</v>
      </c>
      <c r="M10" s="222">
        <v>48</v>
      </c>
      <c r="N10" s="223">
        <v>421</v>
      </c>
    </row>
    <row r="11" spans="1:15" x14ac:dyDescent="0.25">
      <c r="A11" s="162" t="s">
        <v>49</v>
      </c>
      <c r="B11" s="163">
        <f t="shared" si="0"/>
        <v>10</v>
      </c>
      <c r="C11" s="164">
        <v>5</v>
      </c>
      <c r="D11" s="163">
        <v>2019</v>
      </c>
      <c r="E11" s="176">
        <f>'FS Jimbaran May 2019'!P21</f>
        <v>23960.000000000946</v>
      </c>
      <c r="F11" s="174">
        <f>'FS Jimbaran May 2019'!O21/'FS Jimbaran May 2019'!P21</f>
        <v>1130.4527128547566</v>
      </c>
      <c r="G11" s="176">
        <f>'FS Jimbaran May 2019'!AG21</f>
        <v>148.91172000002109</v>
      </c>
      <c r="H11" s="174">
        <f>'FS Jimbaran May 2019'!AH21/'FS Jimbaran May 2019'!AG21</f>
        <v>10800.00861345231</v>
      </c>
      <c r="I11" s="176">
        <f>'FS Jimbaran May 2019'!AJ21</f>
        <v>594.79999999999927</v>
      </c>
      <c r="J11" s="166">
        <f>'FS Jimbaran May 2019'!AK21/'FS Jimbaran May 2019'!AJ21</f>
        <v>10400</v>
      </c>
      <c r="K11" s="176">
        <f>'FS Jimbaran May 2019'!V21</f>
        <v>889.11</v>
      </c>
      <c r="L11" s="174">
        <f>'FS Jimbaran May 2019'!AA21/'FS Jimbaran May 2019'!V21</f>
        <v>4379.7473273273272</v>
      </c>
      <c r="M11" s="222">
        <v>56</v>
      </c>
      <c r="N11" s="223">
        <v>368</v>
      </c>
    </row>
    <row r="12" spans="1:15" x14ac:dyDescent="0.25">
      <c r="A12" s="162" t="s">
        <v>49</v>
      </c>
      <c r="B12" s="163">
        <f t="shared" si="0"/>
        <v>11</v>
      </c>
      <c r="C12" s="164">
        <v>5</v>
      </c>
      <c r="D12" s="163">
        <v>2019</v>
      </c>
      <c r="E12" s="176">
        <f>'FS Jimbaran May 2019'!P22</f>
        <v>24319.999999999483</v>
      </c>
      <c r="F12" s="174">
        <f>'FS Jimbaran May 2019'!O22/'FS Jimbaran May 2019'!P22</f>
        <v>1124.7923437500033</v>
      </c>
      <c r="G12" s="176">
        <f>'FS Jimbaran May 2019'!AG22</f>
        <v>311.51935999998125</v>
      </c>
      <c r="H12" s="174">
        <f>'FS Jimbaran May 2019'!AH22/'FS Jimbaran May 2019'!AG22</f>
        <v>11447.117887864219</v>
      </c>
      <c r="I12" s="176">
        <f>'FS Jimbaran May 2019'!AJ22</f>
        <v>553.94000000000051</v>
      </c>
      <c r="J12" s="166">
        <f>'FS Jimbaran May 2019'!AK22/'FS Jimbaran May 2019'!AJ22</f>
        <v>10400</v>
      </c>
      <c r="K12" s="176">
        <f>'FS Jimbaran May 2019'!V22</f>
        <v>883.77</v>
      </c>
      <c r="L12" s="174">
        <f>'FS Jimbaran May 2019'!AA22/'FS Jimbaran May 2019'!V22</f>
        <v>4892.3977844914398</v>
      </c>
      <c r="M12" s="222">
        <v>85</v>
      </c>
      <c r="N12" s="223">
        <v>392</v>
      </c>
    </row>
    <row r="13" spans="1:15" x14ac:dyDescent="0.25">
      <c r="A13" s="162" t="s">
        <v>49</v>
      </c>
      <c r="B13" s="163">
        <f t="shared" si="0"/>
        <v>12</v>
      </c>
      <c r="C13" s="164">
        <v>5</v>
      </c>
      <c r="D13" s="163">
        <v>2019</v>
      </c>
      <c r="E13" s="176">
        <f>'FS Jimbaran May 2019'!P23</f>
        <v>24080.000000000382</v>
      </c>
      <c r="F13" s="174">
        <f>'FS Jimbaran May 2019'!O23/'FS Jimbaran May 2019'!P23</f>
        <v>1132.1316279069756</v>
      </c>
      <c r="G13" s="176">
        <f>'FS Jimbaran May 2019'!AG23</f>
        <v>195.68588000002578</v>
      </c>
      <c r="H13" s="174">
        <f>'FS Jimbaran May 2019'!AH23/'FS Jimbaran May 2019'!AG23</f>
        <v>11201.163900410127</v>
      </c>
      <c r="I13" s="176">
        <f>'FS Jimbaran May 2019'!AJ23</f>
        <v>479.11000000000604</v>
      </c>
      <c r="J13" s="166">
        <f>'FS Jimbaran May 2019'!AK23/'FS Jimbaran May 2019'!AJ23</f>
        <v>10400</v>
      </c>
      <c r="K13" s="176">
        <f>'FS Jimbaran May 2019'!V23</f>
        <v>789.43000000000006</v>
      </c>
      <c r="L13" s="174">
        <f>'FS Jimbaran May 2019'!AA23/'FS Jimbaran May 2019'!V23</f>
        <v>3543.418714768884</v>
      </c>
      <c r="M13" s="222">
        <v>110</v>
      </c>
      <c r="N13" s="223">
        <v>480</v>
      </c>
    </row>
    <row r="14" spans="1:15" x14ac:dyDescent="0.25">
      <c r="A14" s="162" t="s">
        <v>49</v>
      </c>
      <c r="B14" s="163">
        <f t="shared" si="0"/>
        <v>13</v>
      </c>
      <c r="C14" s="164">
        <v>5</v>
      </c>
      <c r="D14" s="163">
        <v>2019</v>
      </c>
      <c r="E14" s="176">
        <f>'FS Jimbaran May 2019'!P24</f>
        <v>24400.00000000032</v>
      </c>
      <c r="F14" s="174">
        <f>'FS Jimbaran May 2019'!O24/'FS Jimbaran May 2019'!P24</f>
        <v>1127.8964999999971</v>
      </c>
      <c r="G14" s="176">
        <f>'FS Jimbaran May 2019'!AG24</f>
        <v>149.59991999999764</v>
      </c>
      <c r="H14" s="174">
        <f>'FS Jimbaran May 2019'!AH24/'FS Jimbaran May 2019'!AG24</f>
        <v>10727.7</v>
      </c>
      <c r="I14" s="176">
        <f>'FS Jimbaran May 2019'!AJ24</f>
        <v>356.34000000000742</v>
      </c>
      <c r="J14" s="166">
        <f>'FS Jimbaran May 2019'!AK24/'FS Jimbaran May 2019'!AJ24</f>
        <v>10400</v>
      </c>
      <c r="K14" s="176">
        <f>'FS Jimbaran May 2019'!V24</f>
        <v>841.05000000000007</v>
      </c>
      <c r="L14" s="174">
        <f>'FS Jimbaran May 2019'!AA24/'FS Jimbaran May 2019'!V24</f>
        <v>3460.7066666666665</v>
      </c>
      <c r="M14" s="222">
        <v>99</v>
      </c>
      <c r="N14" s="223">
        <v>775</v>
      </c>
    </row>
    <row r="15" spans="1:15" x14ac:dyDescent="0.25">
      <c r="A15" s="162" t="s">
        <v>49</v>
      </c>
      <c r="B15" s="163">
        <f t="shared" si="0"/>
        <v>14</v>
      </c>
      <c r="C15" s="164">
        <v>5</v>
      </c>
      <c r="D15" s="163">
        <v>2019</v>
      </c>
      <c r="E15" s="176">
        <f>'FS Jimbaran May 2019'!P25</f>
        <v>24059.999999998807</v>
      </c>
      <c r="F15" s="174">
        <f>'FS Jimbaran May 2019'!O25/'FS Jimbaran May 2019'!P25</f>
        <v>1129.6287281795537</v>
      </c>
      <c r="G15" s="176">
        <f>'FS Jimbaran May 2019'!AG25</f>
        <v>300.24440000001169</v>
      </c>
      <c r="H15" s="174">
        <f>'FS Jimbaran May 2019'!AH25/'FS Jimbaran May 2019'!AG25</f>
        <v>11438.271121393078</v>
      </c>
      <c r="I15" s="176">
        <f>'FS Jimbaran May 2019'!AJ25</f>
        <v>442.93000000000029</v>
      </c>
      <c r="J15" s="166">
        <f>'FS Jimbaran May 2019'!AK25/'FS Jimbaran May 2019'!AJ25</f>
        <v>10400</v>
      </c>
      <c r="K15" s="176">
        <f>'FS Jimbaran May 2019'!V25</f>
        <v>885.55</v>
      </c>
      <c r="L15" s="174">
        <f>'FS Jimbaran May 2019'!AA25/'FS Jimbaran May 2019'!V25</f>
        <v>3800.9050854271359</v>
      </c>
      <c r="M15" s="222">
        <v>105</v>
      </c>
      <c r="N15" s="223">
        <v>246</v>
      </c>
    </row>
    <row r="16" spans="1:15" x14ac:dyDescent="0.25">
      <c r="A16" s="162" t="s">
        <v>49</v>
      </c>
      <c r="B16" s="163">
        <f t="shared" si="0"/>
        <v>15</v>
      </c>
      <c r="C16" s="164">
        <v>5</v>
      </c>
      <c r="D16" s="163">
        <v>2019</v>
      </c>
      <c r="E16" s="176">
        <f>'FS Jimbaran May 2019'!P26</f>
        <v>21080.000000001291</v>
      </c>
      <c r="F16" s="174">
        <f>'FS Jimbaran May 2019'!O26/'FS Jimbaran May 2019'!P26</f>
        <v>1055.9256261859609</v>
      </c>
      <c r="G16" s="176">
        <f>'FS Jimbaran May 2019'!AG26</f>
        <v>161.3179599999695</v>
      </c>
      <c r="H16" s="174">
        <f>'FS Jimbaran May 2019'!AH26/'FS Jimbaran May 2019'!AG26</f>
        <v>10794.447682651096</v>
      </c>
      <c r="I16" s="176">
        <f>'FS Jimbaran May 2019'!AJ26</f>
        <v>1455.9900000000034</v>
      </c>
      <c r="J16" s="166">
        <f>'FS Jimbaran May 2019'!AK26/'FS Jimbaran May 2019'!AJ26</f>
        <v>10400</v>
      </c>
      <c r="K16" s="176">
        <f>'FS Jimbaran May 2019'!V26</f>
        <v>850.84</v>
      </c>
      <c r="L16" s="174">
        <f>'FS Jimbaran May 2019'!AA26/'FS Jimbaran May 2019'!V26</f>
        <v>3323.2183054393304</v>
      </c>
      <c r="M16" s="222">
        <v>109</v>
      </c>
      <c r="N16" s="223">
        <v>795</v>
      </c>
    </row>
    <row r="17" spans="1:14" x14ac:dyDescent="0.25">
      <c r="A17" s="162" t="s">
        <v>49</v>
      </c>
      <c r="B17" s="163">
        <f t="shared" si="0"/>
        <v>16</v>
      </c>
      <c r="C17" s="164">
        <v>5</v>
      </c>
      <c r="D17" s="163">
        <v>2019</v>
      </c>
      <c r="E17" s="176">
        <f>'FS Jimbaran May 2019'!P27</f>
        <v>24159.999999999171</v>
      </c>
      <c r="F17" s="174">
        <f>'FS Jimbaran May 2019'!O27/'FS Jimbaran May 2019'!P27</f>
        <v>1128.3828476821211</v>
      </c>
      <c r="G17" s="176">
        <f>'FS Jimbaran May 2019'!AG27</f>
        <v>154.34951999998592</v>
      </c>
      <c r="H17" s="174">
        <f>'FS Jimbaran May 2019'!AH27/'FS Jimbaran May 2019'!AG27</f>
        <v>10797.461149888908</v>
      </c>
      <c r="I17" s="176">
        <f>'FS Jimbaran May 2019'!AJ27</f>
        <v>1126.3299999999945</v>
      </c>
      <c r="J17" s="166">
        <f>'FS Jimbaran May 2019'!AK27/'FS Jimbaran May 2019'!AJ27</f>
        <v>10400</v>
      </c>
      <c r="K17" s="176">
        <f>'FS Jimbaran May 2019'!V27</f>
        <v>891.78</v>
      </c>
      <c r="L17" s="174">
        <f>'FS Jimbaran May 2019'!AA27/'FS Jimbaran May 2019'!V27</f>
        <v>4003.1568263473055</v>
      </c>
      <c r="M17" s="222">
        <v>109</v>
      </c>
      <c r="N17" s="223">
        <v>566</v>
      </c>
    </row>
    <row r="18" spans="1:14" x14ac:dyDescent="0.25">
      <c r="A18" s="162" t="s">
        <v>49</v>
      </c>
      <c r="B18" s="163">
        <f t="shared" si="0"/>
        <v>17</v>
      </c>
      <c r="C18" s="164">
        <v>5</v>
      </c>
      <c r="D18" s="163">
        <v>2019</v>
      </c>
      <c r="E18" s="176">
        <f>'FS Jimbaran May 2019'!P28</f>
        <v>23900.000000000091</v>
      </c>
      <c r="F18" s="174">
        <f>'FS Jimbaran May 2019'!O28/'FS Jimbaran May 2019'!P28</f>
        <v>1125.4898158995786</v>
      </c>
      <c r="G18" s="176">
        <f>'FS Jimbaran May 2019'!AG28</f>
        <v>180.20240000001172</v>
      </c>
      <c r="H18" s="174">
        <f>'FS Jimbaran May 2019'!AH28/'FS Jimbaran May 2019'!AG28</f>
        <v>10906.958433849926</v>
      </c>
      <c r="I18" s="176">
        <f>'FS Jimbaran May 2019'!AJ28</f>
        <v>629.39999999999964</v>
      </c>
      <c r="J18" s="166">
        <f>'FS Jimbaran May 2019'!AK28/'FS Jimbaran May 2019'!AJ28</f>
        <v>10400</v>
      </c>
      <c r="K18" s="176">
        <f>'FS Jimbaran May 2019'!V28</f>
        <v>902.46</v>
      </c>
      <c r="L18" s="174">
        <f>'FS Jimbaran May 2019'!AA28/'FS Jimbaran May 2019'!V28</f>
        <v>5411.4045562130177</v>
      </c>
      <c r="M18" s="222">
        <v>106</v>
      </c>
      <c r="N18" s="223">
        <v>722</v>
      </c>
    </row>
    <row r="19" spans="1:14" x14ac:dyDescent="0.25">
      <c r="A19" s="162" t="s">
        <v>49</v>
      </c>
      <c r="B19" s="163">
        <f t="shared" si="0"/>
        <v>18</v>
      </c>
      <c r="C19" s="164">
        <v>5</v>
      </c>
      <c r="D19" s="163">
        <v>2019</v>
      </c>
      <c r="E19" s="176">
        <f>'FS Jimbaran May 2019'!P29</f>
        <v>23759.999999999993</v>
      </c>
      <c r="F19" s="174">
        <f>'FS Jimbaran May 2019'!O29/'FS Jimbaran May 2019'!P29</f>
        <v>1124.2746717171754</v>
      </c>
      <c r="G19" s="176">
        <f>'FS Jimbaran May 2019'!AG29</f>
        <v>456.84688000002575</v>
      </c>
      <c r="H19" s="174">
        <f>'FS Jimbaran May 2019'!AH29/'FS Jimbaran May 2019'!AG29</f>
        <v>11685.258471232146</v>
      </c>
      <c r="I19" s="176">
        <f>'FS Jimbaran May 2019'!AJ29</f>
        <v>572.20000000000073</v>
      </c>
      <c r="J19" s="166">
        <f>'FS Jimbaran May 2019'!AK29/'FS Jimbaran May 2019'!AJ29</f>
        <v>10400</v>
      </c>
      <c r="K19" s="176">
        <f>'FS Jimbaran May 2019'!V29</f>
        <v>867.21599999999478</v>
      </c>
      <c r="L19" s="174">
        <f>'FS Jimbaran May 2019'!AA29/'FS Jimbaran May 2019'!V29</f>
        <v>3394.3530500820975</v>
      </c>
      <c r="M19" s="222">
        <v>78</v>
      </c>
      <c r="N19" s="223">
        <v>572</v>
      </c>
    </row>
    <row r="20" spans="1:14" x14ac:dyDescent="0.25">
      <c r="A20" s="162" t="s">
        <v>49</v>
      </c>
      <c r="B20" s="163">
        <f t="shared" si="0"/>
        <v>19</v>
      </c>
      <c r="C20" s="164">
        <v>5</v>
      </c>
      <c r="D20" s="163">
        <v>2019</v>
      </c>
      <c r="E20" s="176">
        <f>'FS Jimbaran May 2019'!P30</f>
        <v>23060.0000000004</v>
      </c>
      <c r="F20" s="174">
        <f>'FS Jimbaran May 2019'!O30/'FS Jimbaran May 2019'!P30</f>
        <v>1124.7151431049429</v>
      </c>
      <c r="G20" s="176">
        <f>'FS Jimbaran May 2019'!AG30</f>
        <v>178.54747999995544</v>
      </c>
      <c r="H20" s="174">
        <f>'FS Jimbaran May 2019'!AH30/'FS Jimbaran May 2019'!AG30</f>
        <v>10968.926591380683</v>
      </c>
      <c r="I20" s="176">
        <f>'FS Jimbaran May 2019'!AJ30</f>
        <v>550.59999999999854</v>
      </c>
      <c r="J20" s="166">
        <f>'FS Jimbaran May 2019'!AK30/'FS Jimbaran May 2019'!AJ30</f>
        <v>10400</v>
      </c>
      <c r="K20" s="176">
        <f>'FS Jimbaran May 2019'!V30</f>
        <v>884.21500000000003</v>
      </c>
      <c r="L20" s="174">
        <f>'FS Jimbaran May 2019'!AA30/'FS Jimbaran May 2019'!V30</f>
        <v>3127.14607951686</v>
      </c>
      <c r="M20" s="222">
        <v>37</v>
      </c>
      <c r="N20" s="223">
        <v>356</v>
      </c>
    </row>
    <row r="21" spans="1:14" x14ac:dyDescent="0.25">
      <c r="A21" s="162" t="s">
        <v>49</v>
      </c>
      <c r="B21" s="163">
        <f t="shared" si="0"/>
        <v>20</v>
      </c>
      <c r="C21" s="164">
        <v>5</v>
      </c>
      <c r="D21" s="163">
        <v>2019</v>
      </c>
      <c r="E21" s="176">
        <f>'FS Jimbaran May 2019'!P31</f>
        <v>21759.999999999083</v>
      </c>
      <c r="F21" s="174">
        <f>'FS Jimbaran May 2019'!O31/'FS Jimbaran May 2019'!P31</f>
        <v>1126.2203492647086</v>
      </c>
      <c r="G21" s="176">
        <f>'FS Jimbaran May 2019'!AG31</f>
        <v>250.37776000005158</v>
      </c>
      <c r="H21" s="174">
        <f>'FS Jimbaran May 2019'!AH31/'FS Jimbaran May 2019'!AG31</f>
        <v>11579.792454217803</v>
      </c>
      <c r="I21" s="176">
        <f>'FS Jimbaran May 2019'!AJ31</f>
        <v>280.12</v>
      </c>
      <c r="J21" s="166">
        <f>'FS Jimbaran May 2019'!AK31/'FS Jimbaran May 2019'!AJ31</f>
        <v>10400</v>
      </c>
      <c r="K21" s="176">
        <f>'FS Jimbaran May 2019'!V31</f>
        <v>828.76800000001049</v>
      </c>
      <c r="L21" s="174">
        <f>'FS Jimbaran May 2019'!AA31/'FS Jimbaran May 2019'!V31</f>
        <v>4159.1952491408938</v>
      </c>
      <c r="M21" s="222">
        <v>31</v>
      </c>
      <c r="N21" s="223">
        <v>288</v>
      </c>
    </row>
    <row r="22" spans="1:14" x14ac:dyDescent="0.25">
      <c r="A22" s="162" t="s">
        <v>49</v>
      </c>
      <c r="B22" s="163">
        <f t="shared" si="0"/>
        <v>21</v>
      </c>
      <c r="C22" s="164">
        <v>5</v>
      </c>
      <c r="D22" s="163">
        <v>2019</v>
      </c>
      <c r="E22" s="176">
        <f>'FS Jimbaran May 2019'!P32</f>
        <v>22900.000000000546</v>
      </c>
      <c r="F22" s="174">
        <f>'FS Jimbaran May 2019'!O32/'FS Jimbaran May 2019'!P32</f>
        <v>1128.0503580785987</v>
      </c>
      <c r="G22" s="176">
        <f>'FS Jimbaran May 2019'!AG32</f>
        <v>145.28995999996951</v>
      </c>
      <c r="H22" s="174">
        <f>'FS Jimbaran May 2019'!AH32/'FS Jimbaran May 2019'!AG32</f>
        <v>10727.7</v>
      </c>
      <c r="I22" s="176">
        <f>'FS Jimbaran May 2019'!AJ32</f>
        <v>437.90999999999985</v>
      </c>
      <c r="J22" s="166">
        <f>'FS Jimbaran May 2019'!AK32/'FS Jimbaran May 2019'!AJ32</f>
        <v>10400</v>
      </c>
      <c r="K22" s="176">
        <f>'FS Jimbaran May 2019'!V32</f>
        <v>902.37099999999475</v>
      </c>
      <c r="L22" s="174">
        <f>'FS Jimbaran May 2019'!AA32/'FS Jimbaran May 2019'!V32</f>
        <v>4133.8188598481111</v>
      </c>
      <c r="M22" s="222">
        <v>35</v>
      </c>
      <c r="N22" s="223">
        <v>294</v>
      </c>
    </row>
    <row r="23" spans="1:14" x14ac:dyDescent="0.25">
      <c r="A23" s="162" t="s">
        <v>49</v>
      </c>
      <c r="B23" s="163">
        <f t="shared" si="0"/>
        <v>22</v>
      </c>
      <c r="C23" s="164">
        <v>5</v>
      </c>
      <c r="D23" s="163">
        <v>2019</v>
      </c>
      <c r="E23" s="176">
        <f>'FS Jimbaran May 2019'!P33</f>
        <v>24039.999999999738</v>
      </c>
      <c r="F23" s="174">
        <f>'FS Jimbaran May 2019'!O33/'FS Jimbaran May 2019'!P33</f>
        <v>1125.8290931780389</v>
      </c>
      <c r="G23" s="176">
        <f>'FS Jimbaran May 2019'!AG33</f>
        <v>131.51420000003515</v>
      </c>
      <c r="H23" s="174">
        <f>'FS Jimbaran May 2019'!AH33/'FS Jimbaran May 2019'!AG33</f>
        <v>10727.7</v>
      </c>
      <c r="I23" s="176">
        <f>'FS Jimbaran May 2019'!AJ33</f>
        <v>576.54000000000087</v>
      </c>
      <c r="J23" s="166">
        <f>'FS Jimbaran May 2019'!AK33/'FS Jimbaran May 2019'!AJ33</f>
        <v>10400</v>
      </c>
      <c r="K23" s="176">
        <f>'FS Jimbaran May 2019'!V33</f>
        <v>847.28</v>
      </c>
      <c r="L23" s="174">
        <f>'FS Jimbaran May 2019'!AA33/'FS Jimbaran May 2019'!V33</f>
        <v>3322.3253361344541</v>
      </c>
      <c r="M23" s="222">
        <v>34</v>
      </c>
      <c r="N23" s="223">
        <v>282</v>
      </c>
    </row>
    <row r="24" spans="1:14" x14ac:dyDescent="0.25">
      <c r="A24" s="162" t="s">
        <v>49</v>
      </c>
      <c r="B24" s="163">
        <f t="shared" si="0"/>
        <v>23</v>
      </c>
      <c r="C24" s="164">
        <v>5</v>
      </c>
      <c r="D24" s="163">
        <v>2019</v>
      </c>
      <c r="E24" s="176">
        <f>'FS Jimbaran May 2019'!P34</f>
        <v>23840.000000000371</v>
      </c>
      <c r="F24" s="174">
        <f>'FS Jimbaran May 2019'!O34/'FS Jimbaran May 2019'!P34</f>
        <v>1124.4121812080559</v>
      </c>
      <c r="G24" s="176">
        <f>'FS Jimbaran May 2019'!AG34</f>
        <v>139.57019999997655</v>
      </c>
      <c r="H24" s="174">
        <f>'FS Jimbaran May 2019'!AH34/'FS Jimbaran May 2019'!AG34</f>
        <v>10727.7</v>
      </c>
      <c r="I24" s="176">
        <f>'FS Jimbaran May 2019'!AJ34</f>
        <v>795.63999999999578</v>
      </c>
      <c r="J24" s="166">
        <f>'FS Jimbaran May 2019'!AK34/'FS Jimbaran May 2019'!AJ34</f>
        <v>10400</v>
      </c>
      <c r="K24" s="176">
        <f>'FS Jimbaran May 2019'!V34</f>
        <v>796.55000000000007</v>
      </c>
      <c r="L24" s="174">
        <f>'FS Jimbaran May 2019'!AA34/'FS Jimbaran May 2019'!V34</f>
        <v>2307.6586815642459</v>
      </c>
      <c r="M24" s="222">
        <v>33</v>
      </c>
      <c r="N24" s="223">
        <v>360</v>
      </c>
    </row>
    <row r="25" spans="1:14" x14ac:dyDescent="0.25">
      <c r="A25" s="162" t="s">
        <v>49</v>
      </c>
      <c r="B25" s="163">
        <f t="shared" si="0"/>
        <v>24</v>
      </c>
      <c r="C25" s="164">
        <v>5</v>
      </c>
      <c r="D25" s="163">
        <v>2019</v>
      </c>
      <c r="E25" s="176">
        <f>'FS Jimbaran May 2019'!P35</f>
        <v>22859.999999999898</v>
      </c>
      <c r="F25" s="174">
        <f>'FS Jimbaran May 2019'!O35/'FS Jimbaran May 2019'!P35</f>
        <v>1121.4153543307084</v>
      </c>
      <c r="G25" s="176">
        <f>'FS Jimbaran May 2019'!AG35</f>
        <v>167.9538399999953</v>
      </c>
      <c r="H25" s="174">
        <f>'FS Jimbaran May 2019'!AH35/'FS Jimbaran May 2019'!AG35</f>
        <v>10984.141889033328</v>
      </c>
      <c r="I25" s="176">
        <f>'FS Jimbaran May 2019'!AJ35</f>
        <v>644.11999999999898</v>
      </c>
      <c r="J25" s="166">
        <f>'FS Jimbaran May 2019'!AK35/'FS Jimbaran May 2019'!AJ35</f>
        <v>10400</v>
      </c>
      <c r="K25" s="176">
        <f>'FS Jimbaran May 2019'!V35</f>
        <v>796.55</v>
      </c>
      <c r="L25" s="174">
        <f>'FS Jimbaran May 2019'!AA35/'FS Jimbaran May 2019'!V35</f>
        <v>2595.5694525139666</v>
      </c>
      <c r="M25" s="222">
        <v>45</v>
      </c>
      <c r="N25" s="223">
        <v>458</v>
      </c>
    </row>
    <row r="26" spans="1:14" x14ac:dyDescent="0.25">
      <c r="A26" s="162" t="s">
        <v>49</v>
      </c>
      <c r="B26" s="163">
        <f>B25+1</f>
        <v>25</v>
      </c>
      <c r="C26" s="164">
        <v>5</v>
      </c>
      <c r="D26" s="163">
        <v>2019</v>
      </c>
      <c r="E26" s="176">
        <f>'FS Jimbaran May 2019'!P36</f>
        <v>22079.999999999472</v>
      </c>
      <c r="F26" s="174">
        <f>'FS Jimbaran May 2019'!O36/'FS Jimbaran May 2019'!P36</f>
        <v>1132.8843749999992</v>
      </c>
      <c r="G26" s="176">
        <f>'FS Jimbaran May 2019'!AG36</f>
        <v>399.79788000002577</v>
      </c>
      <c r="H26" s="174">
        <f>'FS Jimbaran May 2019'!AH36/'FS Jimbaran May 2019'!AG36</f>
        <v>11644.019516251503</v>
      </c>
      <c r="I26" s="176">
        <f>'FS Jimbaran May 2019'!AJ36</f>
        <v>611.54999999999927</v>
      </c>
      <c r="J26" s="166">
        <f>'FS Jimbaran May 2019'!AK36/'FS Jimbaran May 2019'!AJ36</f>
        <v>10400</v>
      </c>
      <c r="K26" s="176">
        <f>'FS Jimbaran May 2019'!V36</f>
        <v>830.37</v>
      </c>
      <c r="L26" s="174">
        <f>'FS Jimbaran May 2019'!AA36/'FS Jimbaran May 2019'!V36</f>
        <v>3577.7112754555201</v>
      </c>
      <c r="M26" s="222">
        <v>56</v>
      </c>
      <c r="N26" s="223">
        <v>386</v>
      </c>
    </row>
    <row r="27" spans="1:14" x14ac:dyDescent="0.25">
      <c r="A27" s="162" t="s">
        <v>49</v>
      </c>
      <c r="B27" s="163">
        <f t="shared" si="0"/>
        <v>26</v>
      </c>
      <c r="C27" s="164">
        <v>5</v>
      </c>
      <c r="D27" s="163">
        <v>2019</v>
      </c>
      <c r="E27" s="176">
        <f>'FS Jimbaran May 2019'!P37</f>
        <v>23880.000000001244</v>
      </c>
      <c r="F27" s="174">
        <f>'FS Jimbaran May 2019'!O37/'FS Jimbaran May 2019'!P37</f>
        <v>1124.2637185929636</v>
      </c>
      <c r="G27" s="176">
        <f>'FS Jimbaran May 2019'!AG37</f>
        <v>152.01327999997889</v>
      </c>
      <c r="H27" s="174">
        <f>'FS Jimbaran May 2019'!AH37/'FS Jimbaran May 2019'!AG37</f>
        <v>10798.533285091944</v>
      </c>
      <c r="I27" s="176">
        <f>'FS Jimbaran May 2019'!AJ37</f>
        <v>515.34000000000015</v>
      </c>
      <c r="J27" s="166">
        <f>'FS Jimbaran May 2019'!AK37/'FS Jimbaran May 2019'!AJ37</f>
        <v>10400</v>
      </c>
      <c r="K27" s="176">
        <f>'FS Jimbaran May 2019'!V37</f>
        <v>836.68900000000519</v>
      </c>
      <c r="L27" s="174">
        <f>'FS Jimbaran May 2019'!AA37/'FS Jimbaran May 2019'!V37</f>
        <v>5103.3154111264712</v>
      </c>
      <c r="M27" s="222">
        <v>58</v>
      </c>
      <c r="N27" s="223">
        <v>597</v>
      </c>
    </row>
    <row r="28" spans="1:14" x14ac:dyDescent="0.25">
      <c r="A28" s="162" t="s">
        <v>49</v>
      </c>
      <c r="B28" s="163">
        <f t="shared" si="0"/>
        <v>27</v>
      </c>
      <c r="C28" s="164">
        <v>5</v>
      </c>
      <c r="D28" s="163">
        <v>2019</v>
      </c>
      <c r="E28" s="176">
        <f>'FS Jimbaran May 2019'!P38</f>
        <v>23099.999999999</v>
      </c>
      <c r="F28" s="174">
        <f>'FS Jimbaran May 2019'!O38/'FS Jimbaran May 2019'!P38</f>
        <v>1128.5966493506505</v>
      </c>
      <c r="G28" s="176">
        <f>'FS Jimbaran May 2019'!AG38</f>
        <v>132.51775999999296</v>
      </c>
      <c r="H28" s="174">
        <f>'FS Jimbaran May 2019'!AH38/'FS Jimbaran May 2019'!AG38</f>
        <v>10808.954014556242</v>
      </c>
      <c r="I28" s="176">
        <f>'FS Jimbaran May 2019'!AJ38</f>
        <v>393.22999999999956</v>
      </c>
      <c r="J28" s="166">
        <f>'FS Jimbaran May 2019'!AK38/'FS Jimbaran May 2019'!AJ38</f>
        <v>10400</v>
      </c>
      <c r="K28" s="176">
        <f>'FS Jimbaran May 2019'!V38</f>
        <v>746.70999999999992</v>
      </c>
      <c r="L28" s="174">
        <f>'FS Jimbaran May 2019'!AA38/'FS Jimbaran May 2019'!V38</f>
        <v>3790.2132300357571</v>
      </c>
      <c r="M28" s="222">
        <v>49</v>
      </c>
      <c r="N28" s="223">
        <v>401</v>
      </c>
    </row>
    <row r="29" spans="1:14" x14ac:dyDescent="0.25">
      <c r="A29" s="162" t="s">
        <v>49</v>
      </c>
      <c r="B29" s="163">
        <f t="shared" si="0"/>
        <v>28</v>
      </c>
      <c r="C29" s="164">
        <v>5</v>
      </c>
      <c r="D29" s="163">
        <v>2019</v>
      </c>
      <c r="E29" s="176">
        <f>'FS Jimbaran May 2019'!P39</f>
        <v>23220.000000000029</v>
      </c>
      <c r="F29" s="174">
        <f>'FS Jimbaran May 2019'!O39/'FS Jimbaran May 2019'!P39</f>
        <v>1128.1169767441879</v>
      </c>
      <c r="G29" s="176">
        <f>'FS Jimbaran May 2019'!AG39</f>
        <v>138.56319999997655</v>
      </c>
      <c r="H29" s="174">
        <f>'FS Jimbaran May 2019'!AH39/'FS Jimbaran May 2019'!AG39</f>
        <v>10727.7</v>
      </c>
      <c r="I29" s="176">
        <f>'FS Jimbaran May 2019'!AJ39</f>
        <v>431.27000000000044</v>
      </c>
      <c r="J29" s="166">
        <f>'FS Jimbaran May 2019'!AK39/'FS Jimbaran May 2019'!AJ39</f>
        <v>10400</v>
      </c>
      <c r="K29" s="176">
        <f>'FS Jimbaran May 2019'!V39</f>
        <v>841.85099999999488</v>
      </c>
      <c r="L29" s="174">
        <f>'FS Jimbaran May 2019'!AA39/'FS Jimbaran May 2019'!V39</f>
        <v>3999.7323839729347</v>
      </c>
      <c r="M29" s="222">
        <v>63</v>
      </c>
      <c r="N29" s="223">
        <v>352</v>
      </c>
    </row>
    <row r="30" spans="1:14" x14ac:dyDescent="0.25">
      <c r="A30" s="162" t="s">
        <v>49</v>
      </c>
      <c r="B30" s="163">
        <f t="shared" si="0"/>
        <v>29</v>
      </c>
      <c r="C30" s="164">
        <v>5</v>
      </c>
      <c r="D30" s="163">
        <v>2019</v>
      </c>
      <c r="E30" s="176">
        <f>'FS Jimbaran May 2019'!P40</f>
        <v>23580.000000000837</v>
      </c>
      <c r="F30" s="174">
        <f>'FS Jimbaran May 2019'!O40/'FS Jimbaran May 2019'!P40</f>
        <v>1127.1465139949044</v>
      </c>
      <c r="G30" s="176">
        <f>'FS Jimbaran May 2019'!AG40</f>
        <v>141.05712000003282</v>
      </c>
      <c r="H30" s="174">
        <f>'FS Jimbaran May 2019'!AH40/'FS Jimbaran May 2019'!AG40</f>
        <v>10804.035033637419</v>
      </c>
      <c r="I30" s="176">
        <f>'FS Jimbaran May 2019'!AJ40</f>
        <v>535.59000000000401</v>
      </c>
      <c r="J30" s="166">
        <f>'FS Jimbaran May 2019'!AK40/'FS Jimbaran May 2019'!AJ40</f>
        <v>10400</v>
      </c>
      <c r="K30" s="176">
        <f>'FS Jimbaran May 2019'!V40</f>
        <v>783.19999999999993</v>
      </c>
      <c r="L30" s="174">
        <f>'FS Jimbaran May 2019'!AA40/'FS Jimbaran May 2019'!V40</f>
        <v>3574.2315227272729</v>
      </c>
      <c r="M30" s="222">
        <v>77</v>
      </c>
      <c r="N30" s="223">
        <v>450</v>
      </c>
    </row>
    <row r="31" spans="1:14" x14ac:dyDescent="0.25">
      <c r="A31" s="162" t="s">
        <v>49</v>
      </c>
      <c r="B31" s="163">
        <f t="shared" si="0"/>
        <v>30</v>
      </c>
      <c r="C31" s="164">
        <v>5</v>
      </c>
      <c r="D31" s="163">
        <v>2019</v>
      </c>
      <c r="E31" s="176">
        <f>'FS Jimbaran May 2019'!P41</f>
        <v>24239.999999999782</v>
      </c>
      <c r="F31" s="174">
        <f>'FS Jimbaran May 2019'!O41/'FS Jimbaran May 2019'!P41</f>
        <v>1121.2403960396045</v>
      </c>
      <c r="G31" s="176">
        <f>'FS Jimbaran May 2019'!AG41</f>
        <v>559.50191999999765</v>
      </c>
      <c r="H31" s="174">
        <f>'FS Jimbaran May 2019'!AH41/'FS Jimbaran May 2019'!AG41</f>
        <v>11783.022920071486</v>
      </c>
      <c r="I31" s="176">
        <f>'FS Jimbaran May 2019'!AJ41</f>
        <v>840.15000000000873</v>
      </c>
      <c r="J31" s="166">
        <f>'FS Jimbaran May 2019'!AK41/'FS Jimbaran May 2019'!AJ41</f>
        <v>10400</v>
      </c>
      <c r="K31" s="176">
        <f>'FS Jimbaran May 2019'!V41</f>
        <v>781.42</v>
      </c>
      <c r="L31" s="174">
        <f>'FS Jimbaran May 2019'!AA41/'FS Jimbaran May 2019'!V41</f>
        <v>3723.0656264236904</v>
      </c>
      <c r="M31" s="222">
        <v>79</v>
      </c>
      <c r="N31" s="223">
        <v>507</v>
      </c>
    </row>
    <row r="32" spans="1:14" x14ac:dyDescent="0.25">
      <c r="A32" s="162" t="s">
        <v>49</v>
      </c>
      <c r="B32" s="163">
        <f t="shared" si="0"/>
        <v>31</v>
      </c>
      <c r="C32" s="164">
        <v>5</v>
      </c>
      <c r="D32" s="163">
        <v>2019</v>
      </c>
      <c r="E32" s="176">
        <f>'FS Jimbaran May 2019'!P42</f>
        <v>23759.999999999993</v>
      </c>
      <c r="F32" s="174">
        <f>'FS Jimbaran May 2019'!O42/'FS Jimbaran May 2019'!P42</f>
        <v>1126.0184090909111</v>
      </c>
      <c r="G32" s="176">
        <f>'FS Jimbaran May 2019'!AG42</f>
        <v>160.02556000001641</v>
      </c>
      <c r="H32" s="174">
        <f>'FS Jimbaran May 2019'!AH42/'FS Jimbaran May 2019'!AG42</f>
        <v>10862.273501883061</v>
      </c>
      <c r="I32" s="176">
        <f>'FS Jimbaran May 2019'!AJ42</f>
        <v>649.04999999999927</v>
      </c>
      <c r="J32" s="166">
        <f>'FS Jimbaran May 2019'!AK42/'FS Jimbaran May 2019'!AJ42</f>
        <v>10400</v>
      </c>
      <c r="K32" s="176">
        <f>'FS Jimbaran May 2019'!V42</f>
        <v>783.2</v>
      </c>
      <c r="L32" s="174">
        <f>'FS Jimbaran May 2019'!AA42/'FS Jimbaran May 2019'!V42</f>
        <v>4819.5888409090903</v>
      </c>
      <c r="M32" s="222">
        <v>71</v>
      </c>
      <c r="N32" s="223">
        <v>544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2"/>
  <sheetViews>
    <sheetView tabSelected="1" zoomScale="62" zoomScaleNormal="62" workbookViewId="0">
      <pane xSplit="4" ySplit="10" topLeftCell="U11" activePane="bottomRight" state="frozen"/>
      <selection pane="topRight" activeCell="E1" sqref="E1"/>
      <selection pane="bottomLeft" activeCell="A11" sqref="A11"/>
      <selection pane="bottomRight" activeCell="Y12" sqref="Y12:Y42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10.28515625" style="4" customWidth="1"/>
    <col min="4" max="4" width="10.28515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x14ac:dyDescent="0.25">
      <c r="N5" s="177"/>
      <c r="X5" s="178"/>
    </row>
    <row r="6" spans="1:39" s="28" customFormat="1" ht="19.5" thickBot="1" x14ac:dyDescent="0.35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5" thickBot="1" x14ac:dyDescent="0.3">
      <c r="A7" s="33"/>
      <c r="B7" s="224" t="s">
        <v>54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6"/>
      <c r="AM7" s="33"/>
    </row>
    <row r="8" spans="1:39" s="8" customFormat="1" ht="15.75" customHeight="1" thickBot="1" x14ac:dyDescent="0.3">
      <c r="A8" s="29"/>
      <c r="B8" s="227" t="s">
        <v>1</v>
      </c>
      <c r="C8" s="230" t="s">
        <v>2</v>
      </c>
      <c r="D8" s="233" t="s">
        <v>3</v>
      </c>
      <c r="E8" s="236" t="s">
        <v>34</v>
      </c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7"/>
      <c r="V8" s="238" t="s">
        <v>19</v>
      </c>
      <c r="W8" s="239"/>
      <c r="X8" s="239"/>
      <c r="Y8" s="239"/>
      <c r="Z8" s="239"/>
      <c r="AA8" s="239"/>
      <c r="AB8" s="240"/>
      <c r="AC8" s="241" t="s">
        <v>24</v>
      </c>
      <c r="AD8" s="241"/>
      <c r="AE8" s="241"/>
      <c r="AF8" s="241"/>
      <c r="AG8" s="241"/>
      <c r="AH8" s="241"/>
      <c r="AI8" s="241"/>
      <c r="AJ8" s="241"/>
      <c r="AK8" s="241"/>
      <c r="AL8" s="242"/>
      <c r="AM8" s="31"/>
    </row>
    <row r="9" spans="1:39" ht="15" customHeight="1" thickBot="1" x14ac:dyDescent="0.3">
      <c r="A9" s="32"/>
      <c r="B9" s="228"/>
      <c r="C9" s="231"/>
      <c r="D9" s="234"/>
      <c r="E9" s="243" t="s">
        <v>33</v>
      </c>
      <c r="F9" s="244"/>
      <c r="G9" s="244"/>
      <c r="H9" s="244"/>
      <c r="I9" s="245"/>
      <c r="J9" s="246" t="s">
        <v>5</v>
      </c>
      <c r="K9" s="246"/>
      <c r="L9" s="246"/>
      <c r="M9" s="246"/>
      <c r="N9" s="247"/>
      <c r="O9" s="233" t="s">
        <v>12</v>
      </c>
      <c r="P9" s="248" t="s">
        <v>32</v>
      </c>
      <c r="Q9" s="250" t="s">
        <v>52</v>
      </c>
      <c r="R9" s="252" t="s">
        <v>21</v>
      </c>
      <c r="S9" s="254" t="s">
        <v>13</v>
      </c>
      <c r="T9" s="256" t="s">
        <v>18</v>
      </c>
      <c r="U9" s="257"/>
      <c r="V9" s="56"/>
      <c r="W9" s="56" t="s">
        <v>4</v>
      </c>
      <c r="X9" s="56"/>
      <c r="Y9" s="57"/>
      <c r="Z9" s="181"/>
      <c r="AA9" s="258" t="s">
        <v>27</v>
      </c>
      <c r="AB9" s="259"/>
      <c r="AC9" s="241" t="s">
        <v>22</v>
      </c>
      <c r="AD9" s="241"/>
      <c r="AE9" s="241"/>
      <c r="AF9" s="241"/>
      <c r="AG9" s="241"/>
      <c r="AH9" s="241"/>
      <c r="AI9" s="242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29"/>
      <c r="C10" s="232"/>
      <c r="D10" s="235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35"/>
      <c r="P10" s="249"/>
      <c r="Q10" s="251"/>
      <c r="R10" s="253"/>
      <c r="S10" s="255"/>
      <c r="T10" s="182" t="s">
        <v>16</v>
      </c>
      <c r="U10" s="25" t="s">
        <v>17</v>
      </c>
      <c r="V10" s="183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4"/>
      <c r="E11" s="185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86"/>
      <c r="R11" s="116"/>
      <c r="S11" s="187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222">
        <v>146</v>
      </c>
      <c r="D12" s="223">
        <v>802</v>
      </c>
      <c r="E12" s="109">
        <v>19200.000000000728</v>
      </c>
      <c r="F12" s="3">
        <v>19886976.000000753</v>
      </c>
      <c r="G12" s="38">
        <v>4039.9999999999636</v>
      </c>
      <c r="H12" s="3">
        <v>6276826.7999999439</v>
      </c>
      <c r="I12" s="106">
        <f>F12+H12</f>
        <v>26163802.800000697</v>
      </c>
      <c r="J12" s="109">
        <v>2100.0000000003638</v>
      </c>
      <c r="K12" s="3">
        <v>2175138.0000003767</v>
      </c>
      <c r="L12" s="188">
        <v>500</v>
      </c>
      <c r="M12" s="189">
        <v>776835</v>
      </c>
      <c r="N12" s="97">
        <f>+K12+M12</f>
        <v>2951973.0000003767</v>
      </c>
      <c r="O12" s="111">
        <f>N12+I12</f>
        <v>29115775.800001074</v>
      </c>
      <c r="P12" s="114">
        <f>L12+J12+G12+E12</f>
        <v>25840.000000001055</v>
      </c>
      <c r="Q12" s="138"/>
      <c r="R12" s="205"/>
      <c r="S12" s="219"/>
      <c r="T12" s="216"/>
      <c r="U12" s="214">
        <v>0</v>
      </c>
      <c r="V12" s="190">
        <f>Y12+W12</f>
        <v>914.92000000000007</v>
      </c>
      <c r="W12" s="3">
        <v>160.19999999999999</v>
      </c>
      <c r="X12" s="3">
        <v>2878874.0999999996</v>
      </c>
      <c r="Y12" s="34">
        <v>754.72</v>
      </c>
      <c r="Z12" s="34">
        <v>1178801.5824000002</v>
      </c>
      <c r="AA12" s="34">
        <f t="shared" ref="AA12:AA39" si="0">Z12+X12</f>
        <v>4057675.6823999998</v>
      </c>
      <c r="AB12" s="131">
        <f t="shared" ref="AB12:AB39" si="1">AA12/$AL$48</f>
        <v>312.70403352627795</v>
      </c>
      <c r="AC12" s="137">
        <v>317.16471999996247</v>
      </c>
      <c r="AD12" s="3">
        <v>0</v>
      </c>
      <c r="AE12" s="3">
        <v>0</v>
      </c>
      <c r="AF12" s="3">
        <v>12</v>
      </c>
      <c r="AG12" s="3">
        <f>AC12+AD12+AE12+AF12</f>
        <v>329.16471999996247</v>
      </c>
      <c r="AH12" s="3">
        <v>3541947.9667435978</v>
      </c>
      <c r="AI12" s="46">
        <f t="shared" ref="AI12:AI39" si="2">AH12/$AL$48</f>
        <v>272.95957154609732</v>
      </c>
      <c r="AJ12" s="146">
        <v>537.65999999999985</v>
      </c>
      <c r="AK12" s="3">
        <v>5591663.9999999981</v>
      </c>
      <c r="AL12" s="42">
        <f t="shared" ref="AL12:AL42" si="3">AK12/$AL$48</f>
        <v>430.92056235738175</v>
      </c>
      <c r="AM12" s="7"/>
    </row>
    <row r="13" spans="1:39" x14ac:dyDescent="0.25">
      <c r="A13" s="36"/>
      <c r="B13" s="61">
        <v>2</v>
      </c>
      <c r="C13" s="222">
        <v>66</v>
      </c>
      <c r="D13" s="223">
        <v>699</v>
      </c>
      <c r="E13" s="109">
        <v>19719.999999999345</v>
      </c>
      <c r="F13" s="3">
        <v>20425581.59999932</v>
      </c>
      <c r="G13" s="38">
        <v>3960.0000000000364</v>
      </c>
      <c r="H13" s="3">
        <v>6152533.200000057</v>
      </c>
      <c r="I13" s="106">
        <f t="shared" ref="I13:I42" si="4">F13+H13</f>
        <v>26578114.799999379</v>
      </c>
      <c r="J13" s="109">
        <v>2000</v>
      </c>
      <c r="K13" s="3">
        <v>2071560</v>
      </c>
      <c r="L13" s="188">
        <v>500</v>
      </c>
      <c r="M13" s="189">
        <v>776835</v>
      </c>
      <c r="N13" s="97">
        <f t="shared" ref="N13:N41" si="5">+K13+M13</f>
        <v>2848395</v>
      </c>
      <c r="O13" s="111">
        <f t="shared" ref="O13:O39" si="6">N13+I13</f>
        <v>29426509.799999379</v>
      </c>
      <c r="P13" s="114">
        <f t="shared" ref="P13:P39" si="7">L13+J13+G13+E13</f>
        <v>26179.999999999382</v>
      </c>
      <c r="Q13" s="193"/>
      <c r="R13" s="206"/>
      <c r="S13" s="194"/>
      <c r="T13" s="217"/>
      <c r="U13" s="214">
        <v>0</v>
      </c>
      <c r="V13" s="190">
        <f t="shared" ref="V13:V42" si="8">Y13+W13</f>
        <v>918.48</v>
      </c>
      <c r="W13" s="3">
        <v>125.49</v>
      </c>
      <c r="X13" s="3">
        <v>2255118.0449999999</v>
      </c>
      <c r="Y13" s="34">
        <v>792.99</v>
      </c>
      <c r="Z13" s="34">
        <v>1008782.1234</v>
      </c>
      <c r="AA13" s="34">
        <f t="shared" si="0"/>
        <v>3263900.1683999998</v>
      </c>
      <c r="AB13" s="131">
        <f t="shared" si="1"/>
        <v>251.53186887575532</v>
      </c>
      <c r="AC13" s="137">
        <v>132.72260000004687</v>
      </c>
      <c r="AD13" s="3">
        <v>0</v>
      </c>
      <c r="AE13" s="3">
        <v>150</v>
      </c>
      <c r="AF13" s="3">
        <v>0</v>
      </c>
      <c r="AG13" s="3">
        <f t="shared" ref="AG13:AG42" si="9">AC13+AD13+AE13+AF13</f>
        <v>282.7226000000469</v>
      </c>
      <c r="AH13" s="3">
        <v>3246308.2360205026</v>
      </c>
      <c r="AI13" s="46">
        <f t="shared" si="2"/>
        <v>250.17614982791446</v>
      </c>
      <c r="AJ13" s="146">
        <v>770.24000000001161</v>
      </c>
      <c r="AK13" s="3">
        <v>8010496.0000001211</v>
      </c>
      <c r="AL13" s="42">
        <f t="shared" si="3"/>
        <v>617.32740756268811</v>
      </c>
      <c r="AM13" s="7"/>
    </row>
    <row r="14" spans="1:39" x14ac:dyDescent="0.25">
      <c r="A14" s="36"/>
      <c r="B14" s="61">
        <v>3</v>
      </c>
      <c r="C14" s="222">
        <v>87</v>
      </c>
      <c r="D14" s="223">
        <v>603</v>
      </c>
      <c r="E14" s="109">
        <v>18920.000000000073</v>
      </c>
      <c r="F14" s="3">
        <v>19596957.600000076</v>
      </c>
      <c r="G14" s="38">
        <v>4039.9999999999636</v>
      </c>
      <c r="H14" s="3">
        <v>6276826.7999999439</v>
      </c>
      <c r="I14" s="106">
        <f t="shared" si="4"/>
        <v>25873784.400000021</v>
      </c>
      <c r="J14" s="109">
        <v>2019.9999999995271</v>
      </c>
      <c r="K14" s="3">
        <v>2092275.59999951</v>
      </c>
      <c r="L14" s="188">
        <v>500</v>
      </c>
      <c r="M14" s="189">
        <v>776835</v>
      </c>
      <c r="N14" s="97">
        <f t="shared" si="5"/>
        <v>2869110.5999995098</v>
      </c>
      <c r="O14" s="111">
        <f t="shared" si="6"/>
        <v>28742894.999999531</v>
      </c>
      <c r="P14" s="114">
        <f t="shared" si="7"/>
        <v>25479.999999999563</v>
      </c>
      <c r="Q14" s="193"/>
      <c r="R14" s="206"/>
      <c r="S14" s="194"/>
      <c r="T14" s="217"/>
      <c r="U14" s="214">
        <v>0</v>
      </c>
      <c r="V14" s="190">
        <f t="shared" si="8"/>
        <v>946.06999999999994</v>
      </c>
      <c r="W14" s="3">
        <v>127.27</v>
      </c>
      <c r="X14" s="3">
        <v>2287105.5350000001</v>
      </c>
      <c r="Y14" s="34">
        <v>818.8</v>
      </c>
      <c r="Z14" s="34">
        <v>1488614.8188000002</v>
      </c>
      <c r="AA14" s="34">
        <f t="shared" si="0"/>
        <v>3775720.3538000006</v>
      </c>
      <c r="AB14" s="131">
        <f t="shared" si="1"/>
        <v>290.97519775217347</v>
      </c>
      <c r="AC14" s="137">
        <v>129.86271999996248</v>
      </c>
      <c r="AD14" s="3">
        <v>0</v>
      </c>
      <c r="AE14" s="3">
        <v>0</v>
      </c>
      <c r="AF14" s="3">
        <v>12</v>
      </c>
      <c r="AG14" s="3">
        <f t="shared" si="9"/>
        <v>141.86271999996248</v>
      </c>
      <c r="AH14" s="3">
        <v>1532628.3013435975</v>
      </c>
      <c r="AI14" s="46">
        <f t="shared" si="2"/>
        <v>118.11171942731573</v>
      </c>
      <c r="AJ14" s="146">
        <v>534.80000000000018</v>
      </c>
      <c r="AK14" s="3">
        <v>5561920.0000000019</v>
      </c>
      <c r="AL14" s="42">
        <f t="shared" si="3"/>
        <v>428.62834644334322</v>
      </c>
      <c r="AM14" s="7"/>
    </row>
    <row r="15" spans="1:39" x14ac:dyDescent="0.25">
      <c r="A15" s="36"/>
      <c r="B15" s="61">
        <v>4</v>
      </c>
      <c r="C15" s="222">
        <v>73</v>
      </c>
      <c r="D15" s="223">
        <v>630</v>
      </c>
      <c r="E15" s="109">
        <v>17760.000000000218</v>
      </c>
      <c r="F15" s="3">
        <v>18395452.800000224</v>
      </c>
      <c r="G15" s="38">
        <v>3919.9999999998454</v>
      </c>
      <c r="H15" s="3">
        <v>6090386.3999997601</v>
      </c>
      <c r="I15" s="106">
        <f t="shared" si="4"/>
        <v>24485839.199999984</v>
      </c>
      <c r="J15" s="109">
        <v>2060.0000000004002</v>
      </c>
      <c r="K15" s="3">
        <v>2133706.8000004143</v>
      </c>
      <c r="L15" s="188">
        <v>500</v>
      </c>
      <c r="M15" s="189">
        <v>776835</v>
      </c>
      <c r="N15" s="97">
        <f t="shared" si="5"/>
        <v>2910541.8000004143</v>
      </c>
      <c r="O15" s="111">
        <f t="shared" si="6"/>
        <v>27396381.000000399</v>
      </c>
      <c r="P15" s="114">
        <f t="shared" si="7"/>
        <v>24240.000000000466</v>
      </c>
      <c r="Q15" s="193"/>
      <c r="R15" s="206"/>
      <c r="S15" s="194"/>
      <c r="T15" s="217"/>
      <c r="U15" s="214">
        <v>0</v>
      </c>
      <c r="V15" s="190">
        <f t="shared" si="8"/>
        <v>960.31000000000006</v>
      </c>
      <c r="W15" s="3">
        <v>175.33</v>
      </c>
      <c r="X15" s="3">
        <v>3150767.7650000001</v>
      </c>
      <c r="Y15" s="34">
        <v>784.98</v>
      </c>
      <c r="Z15" s="34">
        <v>1080568.1172</v>
      </c>
      <c r="AA15" s="34">
        <f t="shared" si="0"/>
        <v>4231335.8821999999</v>
      </c>
      <c r="AB15" s="131">
        <f t="shared" si="1"/>
        <v>326.08712502764701</v>
      </c>
      <c r="AC15" s="137">
        <v>0</v>
      </c>
      <c r="AD15" s="3">
        <v>0</v>
      </c>
      <c r="AE15" s="3">
        <v>0</v>
      </c>
      <c r="AF15" s="3">
        <v>24</v>
      </c>
      <c r="AG15" s="3">
        <f t="shared" si="9"/>
        <v>24</v>
      </c>
      <c r="AH15" s="3">
        <v>279000</v>
      </c>
      <c r="AI15" s="46">
        <f t="shared" si="2"/>
        <v>21.501083916649776</v>
      </c>
      <c r="AJ15" s="146">
        <v>534.42000000000007</v>
      </c>
      <c r="AK15" s="3">
        <v>5557968.0000000009</v>
      </c>
      <c r="AL15" s="42">
        <f t="shared" si="3"/>
        <v>428.32378628693243</v>
      </c>
      <c r="AM15" s="7"/>
    </row>
    <row r="16" spans="1:39" x14ac:dyDescent="0.25">
      <c r="A16" s="36"/>
      <c r="B16" s="61">
        <v>5</v>
      </c>
      <c r="C16" s="222">
        <v>53</v>
      </c>
      <c r="D16" s="223">
        <v>540</v>
      </c>
      <c r="E16" s="109">
        <v>18960.000000000036</v>
      </c>
      <c r="F16" s="3">
        <v>19638388.800000038</v>
      </c>
      <c r="G16" s="38">
        <v>3920.0000000000728</v>
      </c>
      <c r="H16" s="3">
        <v>6090386.4000001131</v>
      </c>
      <c r="I16" s="106">
        <f t="shared" si="4"/>
        <v>25728775.200000152</v>
      </c>
      <c r="J16" s="109">
        <v>2119.9999999998909</v>
      </c>
      <c r="K16" s="3">
        <v>2195853.5999998869</v>
      </c>
      <c r="L16" s="188">
        <v>500</v>
      </c>
      <c r="M16" s="189">
        <v>776835</v>
      </c>
      <c r="N16" s="97">
        <f t="shared" si="5"/>
        <v>2972688.5999998869</v>
      </c>
      <c r="O16" s="111">
        <f t="shared" si="6"/>
        <v>28701463.800000038</v>
      </c>
      <c r="P16" s="114">
        <f t="shared" si="7"/>
        <v>25500</v>
      </c>
      <c r="Q16" s="193"/>
      <c r="R16" s="206"/>
      <c r="S16" s="194"/>
      <c r="T16" s="217"/>
      <c r="U16" s="214">
        <v>0</v>
      </c>
      <c r="V16" s="190">
        <f t="shared" si="8"/>
        <v>890.89</v>
      </c>
      <c r="W16" s="3">
        <v>183.34</v>
      </c>
      <c r="X16" s="3">
        <v>3294711.47</v>
      </c>
      <c r="Y16" s="34">
        <v>707.55</v>
      </c>
      <c r="Z16" s="34">
        <v>989891.07240000006</v>
      </c>
      <c r="AA16" s="34">
        <f t="shared" si="0"/>
        <v>4284602.5424000006</v>
      </c>
      <c r="AB16" s="131">
        <f t="shared" si="1"/>
        <v>330.19211044313045</v>
      </c>
      <c r="AC16" s="137">
        <v>129.54048000001404</v>
      </c>
      <c r="AD16" s="3">
        <v>0</v>
      </c>
      <c r="AE16" s="3">
        <v>0</v>
      </c>
      <c r="AF16" s="3">
        <v>12</v>
      </c>
      <c r="AG16" s="3">
        <f t="shared" si="9"/>
        <v>141.54048000001404</v>
      </c>
      <c r="AH16" s="3">
        <v>1529171.4072961507</v>
      </c>
      <c r="AI16" s="46">
        <f t="shared" si="2"/>
        <v>117.84531452048735</v>
      </c>
      <c r="AJ16" s="146">
        <v>539.97999999999956</v>
      </c>
      <c r="AK16" s="3">
        <v>5615791.9999999953</v>
      </c>
      <c r="AL16" s="42">
        <f t="shared" si="3"/>
        <v>432.77998225967877</v>
      </c>
      <c r="AM16" s="7"/>
    </row>
    <row r="17" spans="1:39" x14ac:dyDescent="0.25">
      <c r="A17" s="36"/>
      <c r="B17" s="61">
        <v>6</v>
      </c>
      <c r="C17" s="222">
        <v>42</v>
      </c>
      <c r="D17" s="223">
        <v>394</v>
      </c>
      <c r="E17" s="109">
        <v>18399.999999999636</v>
      </c>
      <c r="F17" s="3">
        <v>19058351.999999624</v>
      </c>
      <c r="G17" s="38">
        <v>3759.9999999999909</v>
      </c>
      <c r="H17" s="3">
        <v>5841799.1999999862</v>
      </c>
      <c r="I17" s="106">
        <f t="shared" si="4"/>
        <v>24900151.199999608</v>
      </c>
      <c r="J17" s="109">
        <v>1899.9999999996362</v>
      </c>
      <c r="K17" s="3">
        <v>1967981.999999623</v>
      </c>
      <c r="L17" s="188">
        <v>500</v>
      </c>
      <c r="M17" s="189">
        <v>776835</v>
      </c>
      <c r="N17" s="97">
        <f t="shared" si="5"/>
        <v>2744816.9999996228</v>
      </c>
      <c r="O17" s="111">
        <f t="shared" si="6"/>
        <v>27644968.199999232</v>
      </c>
      <c r="P17" s="114">
        <f t="shared" si="7"/>
        <v>24559.999999999265</v>
      </c>
      <c r="Q17" s="193"/>
      <c r="R17" s="206"/>
      <c r="S17" s="194"/>
      <c r="T17" s="194"/>
      <c r="U17" s="214">
        <v>0</v>
      </c>
      <c r="V17" s="190">
        <f t="shared" si="8"/>
        <v>834.82</v>
      </c>
      <c r="W17" s="3">
        <v>178.89000000000001</v>
      </c>
      <c r="X17" s="3">
        <v>3214742.7450000001</v>
      </c>
      <c r="Y17" s="34">
        <v>655.93000000000006</v>
      </c>
      <c r="Z17" s="34">
        <v>1035229.5948000001</v>
      </c>
      <c r="AA17" s="34">
        <f t="shared" si="0"/>
        <v>4249972.3398000002</v>
      </c>
      <c r="AB17" s="131">
        <f t="shared" si="1"/>
        <v>327.52334022035916</v>
      </c>
      <c r="AC17" s="137">
        <v>135.1394000000117</v>
      </c>
      <c r="AD17" s="3">
        <v>0</v>
      </c>
      <c r="AE17" s="3">
        <v>0</v>
      </c>
      <c r="AF17" s="3">
        <v>0</v>
      </c>
      <c r="AG17" s="3">
        <f t="shared" si="9"/>
        <v>135.1394000000117</v>
      </c>
      <c r="AH17" s="3">
        <v>1449734.9413801257</v>
      </c>
      <c r="AI17" s="46">
        <f t="shared" si="2"/>
        <v>111.72355781904454</v>
      </c>
      <c r="AJ17" s="146">
        <v>426.74999999999091</v>
      </c>
      <c r="AK17" s="3">
        <v>4438199.999999905</v>
      </c>
      <c r="AL17" s="42">
        <f t="shared" si="3"/>
        <v>342.0290703902258</v>
      </c>
      <c r="AM17" s="7"/>
    </row>
    <row r="18" spans="1:39" x14ac:dyDescent="0.25">
      <c r="A18" s="36"/>
      <c r="B18" s="61">
        <v>7</v>
      </c>
      <c r="C18" s="222">
        <v>42</v>
      </c>
      <c r="D18" s="223">
        <v>330</v>
      </c>
      <c r="E18" s="109">
        <v>18000</v>
      </c>
      <c r="F18" s="3">
        <v>18644040</v>
      </c>
      <c r="G18" s="38">
        <v>3680.0000000000637</v>
      </c>
      <c r="H18" s="3">
        <v>5717505.6000000993</v>
      </c>
      <c r="I18" s="106">
        <f t="shared" si="4"/>
        <v>24361545.600000098</v>
      </c>
      <c r="J18" s="109">
        <v>1960.0000000000364</v>
      </c>
      <c r="K18" s="3">
        <v>2030128.8000000375</v>
      </c>
      <c r="L18" s="188">
        <v>480.00000000001819</v>
      </c>
      <c r="M18" s="189">
        <v>745761.60000002827</v>
      </c>
      <c r="N18" s="97">
        <f t="shared" si="5"/>
        <v>2775890.4000000656</v>
      </c>
      <c r="O18" s="111">
        <f t="shared" si="6"/>
        <v>27137436.000000164</v>
      </c>
      <c r="P18" s="114">
        <f t="shared" si="7"/>
        <v>24120.000000000116</v>
      </c>
      <c r="Q18" s="193"/>
      <c r="R18" s="206"/>
      <c r="S18" s="194"/>
      <c r="T18" s="194"/>
      <c r="U18" s="214">
        <v>0</v>
      </c>
      <c r="V18" s="190">
        <f t="shared" si="8"/>
        <v>924.71</v>
      </c>
      <c r="W18" s="3">
        <v>160.19999999999999</v>
      </c>
      <c r="X18" s="3">
        <v>2878874.0999999996</v>
      </c>
      <c r="Y18" s="34">
        <v>764.51</v>
      </c>
      <c r="Z18" s="34">
        <v>600735.42180000001</v>
      </c>
      <c r="AA18" s="34">
        <f t="shared" si="0"/>
        <v>3479609.5217999998</v>
      </c>
      <c r="AB18" s="131">
        <f t="shared" si="1"/>
        <v>268.15547070034194</v>
      </c>
      <c r="AC18" s="137">
        <v>136.54919999997654</v>
      </c>
      <c r="AD18" s="3">
        <v>0</v>
      </c>
      <c r="AE18" s="3">
        <v>250</v>
      </c>
      <c r="AF18" s="3">
        <v>12</v>
      </c>
      <c r="AG18" s="3">
        <f t="shared" si="9"/>
        <v>398.54919999997651</v>
      </c>
      <c r="AH18" s="3">
        <v>4641858.8528397484</v>
      </c>
      <c r="AI18" s="46">
        <f t="shared" si="2"/>
        <v>357.72400259552364</v>
      </c>
      <c r="AJ18" s="146">
        <v>423.94999999998799</v>
      </c>
      <c r="AK18" s="3">
        <v>4409079.9999998752</v>
      </c>
      <c r="AL18" s="42">
        <f t="shared" si="3"/>
        <v>339.78494292193375</v>
      </c>
      <c r="AM18" s="7"/>
    </row>
    <row r="19" spans="1:39" x14ac:dyDescent="0.25">
      <c r="A19" s="36"/>
      <c r="B19" s="61">
        <v>8</v>
      </c>
      <c r="C19" s="222">
        <v>45</v>
      </c>
      <c r="D19" s="223">
        <v>345</v>
      </c>
      <c r="E19" s="109">
        <v>17520.000000000437</v>
      </c>
      <c r="F19" s="3">
        <v>18146865.600000452</v>
      </c>
      <c r="G19" s="38">
        <v>3599.9999999999091</v>
      </c>
      <c r="H19" s="3">
        <v>5593211.9999998594</v>
      </c>
      <c r="I19" s="106">
        <f t="shared" si="4"/>
        <v>23740077.600000311</v>
      </c>
      <c r="J19" s="109">
        <v>1859.9999999996726</v>
      </c>
      <c r="K19" s="3">
        <v>1926550.7999996608</v>
      </c>
      <c r="L19" s="188">
        <v>479.99999999979082</v>
      </c>
      <c r="M19" s="189">
        <v>745761.59999967506</v>
      </c>
      <c r="N19" s="97">
        <f t="shared" si="5"/>
        <v>2672312.3999993359</v>
      </c>
      <c r="O19" s="111">
        <f t="shared" si="6"/>
        <v>26412389.999999646</v>
      </c>
      <c r="P19" s="114">
        <f t="shared" si="7"/>
        <v>23459.999999999811</v>
      </c>
      <c r="Q19" s="193"/>
      <c r="R19" s="206"/>
      <c r="S19" s="194"/>
      <c r="T19" s="194"/>
      <c r="U19" s="214">
        <v>0</v>
      </c>
      <c r="V19" s="190">
        <f t="shared" si="8"/>
        <v>852.62</v>
      </c>
      <c r="W19" s="3">
        <v>213.6</v>
      </c>
      <c r="X19" s="3">
        <v>3838498.8</v>
      </c>
      <c r="Y19" s="34">
        <v>639.02</v>
      </c>
      <c r="Z19" s="34">
        <v>770754.88080000004</v>
      </c>
      <c r="AA19" s="34">
        <f t="shared" si="0"/>
        <v>4609253.6808000002</v>
      </c>
      <c r="AB19" s="131">
        <f t="shared" si="1"/>
        <v>355.21129098210633</v>
      </c>
      <c r="AC19" s="137">
        <v>130.58775999999295</v>
      </c>
      <c r="AD19" s="3">
        <v>0</v>
      </c>
      <c r="AE19" s="3">
        <v>0</v>
      </c>
      <c r="AF19" s="3">
        <v>72</v>
      </c>
      <c r="AG19" s="3">
        <f t="shared" si="9"/>
        <v>202.58775999999295</v>
      </c>
      <c r="AH19" s="3">
        <v>2237906.3129519243</v>
      </c>
      <c r="AI19" s="46">
        <f t="shared" si="2"/>
        <v>172.46384025942515</v>
      </c>
      <c r="AJ19" s="146">
        <v>508.05999999999949</v>
      </c>
      <c r="AK19" s="3">
        <v>5283823.9999999944</v>
      </c>
      <c r="AL19" s="42">
        <f t="shared" si="3"/>
        <v>407.19692912117551</v>
      </c>
      <c r="AM19" s="7"/>
    </row>
    <row r="20" spans="1:39" x14ac:dyDescent="0.25">
      <c r="A20" s="36"/>
      <c r="B20" s="61">
        <v>9</v>
      </c>
      <c r="C20" s="222">
        <v>48</v>
      </c>
      <c r="D20" s="223">
        <v>421</v>
      </c>
      <c r="E20" s="109">
        <v>18079.999999999927</v>
      </c>
      <c r="F20" s="3">
        <v>18726902.399999924</v>
      </c>
      <c r="G20" s="38">
        <v>3720.0000000000273</v>
      </c>
      <c r="H20" s="3">
        <v>5779652.4000000423</v>
      </c>
      <c r="I20" s="106">
        <f t="shared" si="4"/>
        <v>24506554.799999967</v>
      </c>
      <c r="J20" s="109">
        <v>1840.0000000001455</v>
      </c>
      <c r="K20" s="3">
        <v>1905835.2000001506</v>
      </c>
      <c r="L20" s="188">
        <v>500</v>
      </c>
      <c r="M20" s="189">
        <v>776835</v>
      </c>
      <c r="N20" s="97">
        <f t="shared" si="5"/>
        <v>2682670.2000001506</v>
      </c>
      <c r="O20" s="111">
        <f t="shared" si="6"/>
        <v>27189225.000000119</v>
      </c>
      <c r="P20" s="114">
        <f t="shared" si="7"/>
        <v>24140.000000000102</v>
      </c>
      <c r="Q20" s="193"/>
      <c r="R20" s="206"/>
      <c r="S20" s="194"/>
      <c r="T20" s="194"/>
      <c r="U20" s="214">
        <v>0</v>
      </c>
      <c r="V20" s="190">
        <f t="shared" si="8"/>
        <v>847.28</v>
      </c>
      <c r="W20" s="3">
        <v>149.52000000000001</v>
      </c>
      <c r="X20" s="3">
        <v>2686949.16</v>
      </c>
      <c r="Y20" s="34">
        <v>697.76</v>
      </c>
      <c r="Z20" s="34">
        <v>959665.39080000005</v>
      </c>
      <c r="AA20" s="34">
        <f t="shared" si="0"/>
        <v>3646614.5508000003</v>
      </c>
      <c r="AB20" s="131">
        <f t="shared" si="1"/>
        <v>281.02568268253384</v>
      </c>
      <c r="AC20" s="137">
        <v>142.75232000000938</v>
      </c>
      <c r="AD20" s="3">
        <v>0</v>
      </c>
      <c r="AE20" s="3">
        <v>150</v>
      </c>
      <c r="AF20" s="3">
        <v>0</v>
      </c>
      <c r="AG20" s="3">
        <f t="shared" si="9"/>
        <v>292.75232000000938</v>
      </c>
      <c r="AH20" s="3">
        <v>3353904.0632641008</v>
      </c>
      <c r="AI20" s="46">
        <f t="shared" si="2"/>
        <v>258.46800255424404</v>
      </c>
      <c r="AJ20" s="146">
        <v>782.94000000000415</v>
      </c>
      <c r="AK20" s="3">
        <v>8142576.0000000428</v>
      </c>
      <c r="AL20" s="42">
        <f t="shared" si="3"/>
        <v>627.50612857956776</v>
      </c>
      <c r="AM20" s="7"/>
    </row>
    <row r="21" spans="1:39" x14ac:dyDescent="0.25">
      <c r="A21" s="36"/>
      <c r="B21" s="61">
        <v>10</v>
      </c>
      <c r="C21" s="222">
        <v>56</v>
      </c>
      <c r="D21" s="223">
        <v>368</v>
      </c>
      <c r="E21" s="109">
        <v>17640.000000000327</v>
      </c>
      <c r="F21" s="3">
        <v>18271159.200000338</v>
      </c>
      <c r="G21" s="38">
        <v>3880.0000000001091</v>
      </c>
      <c r="H21" s="3">
        <v>6028239.6000001701</v>
      </c>
      <c r="I21" s="106">
        <f t="shared" si="4"/>
        <v>24299398.800000507</v>
      </c>
      <c r="J21" s="109">
        <v>1940.0000000005093</v>
      </c>
      <c r="K21" s="3">
        <v>2009413.2000005275</v>
      </c>
      <c r="L21" s="188">
        <v>500</v>
      </c>
      <c r="M21" s="189">
        <v>776835</v>
      </c>
      <c r="N21" s="97">
        <f t="shared" si="5"/>
        <v>2786248.2000005273</v>
      </c>
      <c r="O21" s="111">
        <f t="shared" si="6"/>
        <v>27085647.000001036</v>
      </c>
      <c r="P21" s="114">
        <f t="shared" si="7"/>
        <v>23960.000000000946</v>
      </c>
      <c r="Q21" s="193"/>
      <c r="R21" s="206"/>
      <c r="S21" s="194"/>
      <c r="T21" s="217"/>
      <c r="U21" s="214">
        <v>0</v>
      </c>
      <c r="V21" s="190">
        <f t="shared" si="8"/>
        <v>889.11</v>
      </c>
      <c r="W21" s="3">
        <v>162.87</v>
      </c>
      <c r="X21" s="3">
        <v>2926855.335</v>
      </c>
      <c r="Y21" s="34">
        <v>726.24</v>
      </c>
      <c r="Z21" s="34">
        <v>967221.81120000011</v>
      </c>
      <c r="AA21" s="34">
        <f t="shared" si="0"/>
        <v>3894077.1462000003</v>
      </c>
      <c r="AB21" s="131">
        <f t="shared" si="1"/>
        <v>300.0963422880082</v>
      </c>
      <c r="AC21" s="137">
        <v>136.91172000002109</v>
      </c>
      <c r="AD21" s="3">
        <v>0</v>
      </c>
      <c r="AE21" s="3">
        <v>0</v>
      </c>
      <c r="AF21" s="3">
        <v>12</v>
      </c>
      <c r="AG21" s="3">
        <f t="shared" si="9"/>
        <v>148.91172000002109</v>
      </c>
      <c r="AH21" s="3">
        <v>1608247.8586442263</v>
      </c>
      <c r="AI21" s="46">
        <f t="shared" si="2"/>
        <v>123.93932676516781</v>
      </c>
      <c r="AJ21" s="146">
        <v>594.79999999999927</v>
      </c>
      <c r="AK21" s="3">
        <v>6185919.9999999925</v>
      </c>
      <c r="AL21" s="42">
        <f t="shared" si="3"/>
        <v>476.71679219240872</v>
      </c>
      <c r="AM21" s="7"/>
    </row>
    <row r="22" spans="1:39" x14ac:dyDescent="0.25">
      <c r="A22" s="36"/>
      <c r="B22" s="61">
        <v>11</v>
      </c>
      <c r="C22" s="222">
        <v>85</v>
      </c>
      <c r="D22" s="223">
        <v>392</v>
      </c>
      <c r="E22" s="109">
        <v>18079.999999999927</v>
      </c>
      <c r="F22" s="3">
        <v>18726902.399999924</v>
      </c>
      <c r="G22" s="38">
        <v>3720.0000000000273</v>
      </c>
      <c r="H22" s="3">
        <v>5779652.4000000423</v>
      </c>
      <c r="I22" s="106">
        <f t="shared" si="4"/>
        <v>24506554.799999967</v>
      </c>
      <c r="J22" s="109">
        <v>2059.9999999994907</v>
      </c>
      <c r="K22" s="3">
        <v>2133706.7999994722</v>
      </c>
      <c r="L22" s="188">
        <v>460.00000000003638</v>
      </c>
      <c r="M22" s="189">
        <v>714688.20000005653</v>
      </c>
      <c r="N22" s="97">
        <f t="shared" si="5"/>
        <v>2848394.9999995288</v>
      </c>
      <c r="O22" s="111">
        <f t="shared" si="6"/>
        <v>27354949.799999498</v>
      </c>
      <c r="P22" s="114">
        <f t="shared" si="7"/>
        <v>24319.999999999483</v>
      </c>
      <c r="Q22" s="193"/>
      <c r="R22" s="206"/>
      <c r="S22" s="194"/>
      <c r="T22" s="217"/>
      <c r="U22" s="214">
        <v>0</v>
      </c>
      <c r="V22" s="190">
        <f t="shared" si="8"/>
        <v>883.77</v>
      </c>
      <c r="W22" s="3">
        <v>203.81</v>
      </c>
      <c r="X22" s="3">
        <v>3662567.605</v>
      </c>
      <c r="Y22" s="34">
        <v>679.96</v>
      </c>
      <c r="Z22" s="34">
        <v>661186.78500000003</v>
      </c>
      <c r="AA22" s="34">
        <f t="shared" si="0"/>
        <v>4323754.3899999997</v>
      </c>
      <c r="AB22" s="131">
        <f t="shared" si="1"/>
        <v>333.20934040993853</v>
      </c>
      <c r="AC22" s="137">
        <v>149.51935999998122</v>
      </c>
      <c r="AD22" s="3">
        <v>0</v>
      </c>
      <c r="AE22" s="3">
        <v>150</v>
      </c>
      <c r="AF22" s="3">
        <v>12</v>
      </c>
      <c r="AG22" s="3">
        <f t="shared" si="9"/>
        <v>311.51935999998125</v>
      </c>
      <c r="AH22" s="3">
        <v>3565998.8382717986</v>
      </c>
      <c r="AI22" s="46">
        <f t="shared" si="2"/>
        <v>274.81304755683709</v>
      </c>
      <c r="AJ22" s="146">
        <v>553.94000000000051</v>
      </c>
      <c r="AK22" s="3">
        <v>5760976.0000000056</v>
      </c>
      <c r="AL22" s="42">
        <f t="shared" si="3"/>
        <v>443.96856063729564</v>
      </c>
      <c r="AM22" s="7"/>
    </row>
    <row r="23" spans="1:39" x14ac:dyDescent="0.25">
      <c r="A23" s="36"/>
      <c r="B23" s="61">
        <v>12</v>
      </c>
      <c r="C23" s="222">
        <v>110</v>
      </c>
      <c r="D23" s="223">
        <v>480</v>
      </c>
      <c r="E23" s="109">
        <v>17880.000000000109</v>
      </c>
      <c r="F23" s="3">
        <v>18519746.400000114</v>
      </c>
      <c r="G23" s="38">
        <v>4000</v>
      </c>
      <c r="H23" s="3">
        <v>6214680</v>
      </c>
      <c r="I23" s="106">
        <f t="shared" si="4"/>
        <v>24734426.400000114</v>
      </c>
      <c r="J23" s="109">
        <v>1720.0000000002547</v>
      </c>
      <c r="K23" s="3">
        <v>1781541.6000002637</v>
      </c>
      <c r="L23" s="188">
        <v>480.00000000001819</v>
      </c>
      <c r="M23" s="189">
        <v>745761.60000002827</v>
      </c>
      <c r="N23" s="97">
        <f t="shared" si="5"/>
        <v>2527303.2000002917</v>
      </c>
      <c r="O23" s="111">
        <f t="shared" si="6"/>
        <v>27261729.600000404</v>
      </c>
      <c r="P23" s="114">
        <f t="shared" si="7"/>
        <v>24080.000000000382</v>
      </c>
      <c r="Q23" s="193"/>
      <c r="R23" s="206"/>
      <c r="S23" s="194"/>
      <c r="T23" s="217"/>
      <c r="U23" s="214">
        <v>0</v>
      </c>
      <c r="V23" s="190">
        <f t="shared" si="8"/>
        <v>789.43000000000006</v>
      </c>
      <c r="W23" s="3">
        <v>138.84</v>
      </c>
      <c r="X23" s="3">
        <v>2495024.2200000002</v>
      </c>
      <c r="Y23" s="34">
        <v>650.59</v>
      </c>
      <c r="Z23" s="34">
        <v>302256.81600000005</v>
      </c>
      <c r="AA23" s="34">
        <f t="shared" si="0"/>
        <v>2797281.0360000003</v>
      </c>
      <c r="AB23" s="131">
        <f t="shared" si="1"/>
        <v>215.57195087272055</v>
      </c>
      <c r="AC23" s="137">
        <v>121.68588000002578</v>
      </c>
      <c r="AD23" s="3">
        <v>0</v>
      </c>
      <c r="AE23" s="3">
        <v>50</v>
      </c>
      <c r="AF23" s="3">
        <v>24</v>
      </c>
      <c r="AG23" s="3">
        <f t="shared" si="9"/>
        <v>195.68588000002578</v>
      </c>
      <c r="AH23" s="3">
        <v>2191909.6148762768</v>
      </c>
      <c r="AI23" s="46">
        <f t="shared" si="2"/>
        <v>168.91911314396532</v>
      </c>
      <c r="AJ23" s="146">
        <v>479.11000000000604</v>
      </c>
      <c r="AK23" s="3">
        <v>4982744.0000000624</v>
      </c>
      <c r="AL23" s="42">
        <f t="shared" si="3"/>
        <v>383.99425404725633</v>
      </c>
      <c r="AM23" s="7"/>
    </row>
    <row r="24" spans="1:39" x14ac:dyDescent="0.25">
      <c r="A24" s="36"/>
      <c r="B24" s="61">
        <v>13</v>
      </c>
      <c r="C24" s="222">
        <v>99</v>
      </c>
      <c r="D24" s="223">
        <v>775</v>
      </c>
      <c r="E24" s="109">
        <v>18079.999999999927</v>
      </c>
      <c r="F24" s="3">
        <v>18726902.399999924</v>
      </c>
      <c r="G24" s="38">
        <v>3839.9999999999181</v>
      </c>
      <c r="H24" s="3">
        <v>5966092.7999998732</v>
      </c>
      <c r="I24" s="106">
        <f t="shared" si="4"/>
        <v>24692995.199999798</v>
      </c>
      <c r="J24" s="109">
        <v>1980.0000000004729</v>
      </c>
      <c r="K24" s="3">
        <v>2050844.4000004898</v>
      </c>
      <c r="L24" s="188">
        <v>500</v>
      </c>
      <c r="M24" s="189">
        <v>776835</v>
      </c>
      <c r="N24" s="97">
        <f t="shared" si="5"/>
        <v>2827679.4000004898</v>
      </c>
      <c r="O24" s="111">
        <f t="shared" si="6"/>
        <v>27520674.600000288</v>
      </c>
      <c r="P24" s="114">
        <f t="shared" si="7"/>
        <v>24400.00000000032</v>
      </c>
      <c r="Q24" s="193"/>
      <c r="R24" s="206"/>
      <c r="S24" s="194"/>
      <c r="T24" s="217"/>
      <c r="U24" s="214">
        <v>0</v>
      </c>
      <c r="V24" s="190">
        <f>Y24+W24</f>
        <v>841.05000000000007</v>
      </c>
      <c r="W24" s="3">
        <v>138.84</v>
      </c>
      <c r="X24" s="3">
        <v>2495024.2200000002</v>
      </c>
      <c r="Y24" s="34">
        <v>702.21</v>
      </c>
      <c r="Z24" s="34">
        <v>415603.12200000003</v>
      </c>
      <c r="AA24" s="34">
        <f t="shared" si="0"/>
        <v>2910627.3420000002</v>
      </c>
      <c r="AB24" s="131">
        <f t="shared" si="1"/>
        <v>224.30696319153151</v>
      </c>
      <c r="AC24" s="137">
        <v>149.59991999999764</v>
      </c>
      <c r="AD24" s="3">
        <v>0</v>
      </c>
      <c r="AE24" s="3">
        <v>0</v>
      </c>
      <c r="AF24" s="3">
        <v>0</v>
      </c>
      <c r="AG24" s="3">
        <f t="shared" si="9"/>
        <v>149.59991999999764</v>
      </c>
      <c r="AH24" s="3">
        <v>1604863.0617839748</v>
      </c>
      <c r="AI24" s="46">
        <f t="shared" si="2"/>
        <v>123.67847801487002</v>
      </c>
      <c r="AJ24" s="146">
        <v>356.34000000000742</v>
      </c>
      <c r="AK24" s="3">
        <v>3705936.0000000773</v>
      </c>
      <c r="AL24" s="42">
        <f t="shared" si="3"/>
        <v>285.59727930370991</v>
      </c>
      <c r="AM24" s="7"/>
    </row>
    <row r="25" spans="1:39" x14ac:dyDescent="0.25">
      <c r="A25" s="36"/>
      <c r="B25" s="61">
        <v>14</v>
      </c>
      <c r="C25" s="222">
        <v>105</v>
      </c>
      <c r="D25" s="223">
        <v>246</v>
      </c>
      <c r="E25" s="109">
        <v>17639.999999999418</v>
      </c>
      <c r="F25" s="3">
        <v>18271159.199999396</v>
      </c>
      <c r="G25" s="38">
        <v>3839.9999999999181</v>
      </c>
      <c r="H25" s="3">
        <v>5966092.7999998732</v>
      </c>
      <c r="I25" s="106">
        <f t="shared" si="4"/>
        <v>24237251.99999927</v>
      </c>
      <c r="J25" s="109">
        <v>2059.9999999994907</v>
      </c>
      <c r="K25" s="3">
        <v>2133706.7999994722</v>
      </c>
      <c r="L25" s="188">
        <v>519.99999999998181</v>
      </c>
      <c r="M25" s="189">
        <v>807908.39999997173</v>
      </c>
      <c r="N25" s="97">
        <f t="shared" si="5"/>
        <v>2941615.1999994442</v>
      </c>
      <c r="O25" s="111">
        <f t="shared" si="6"/>
        <v>27178867.199998714</v>
      </c>
      <c r="P25" s="114">
        <f t="shared" si="7"/>
        <v>24059.999999998807</v>
      </c>
      <c r="Q25" s="193"/>
      <c r="R25" s="206"/>
      <c r="S25" s="194"/>
      <c r="T25" s="217"/>
      <c r="U25" s="214">
        <v>0</v>
      </c>
      <c r="V25" s="190">
        <f t="shared" si="8"/>
        <v>885.55</v>
      </c>
      <c r="W25" s="3">
        <v>152.19</v>
      </c>
      <c r="X25" s="3">
        <v>2734930.395</v>
      </c>
      <c r="Y25" s="34">
        <v>733.36</v>
      </c>
      <c r="Z25" s="34">
        <v>630961.10340000002</v>
      </c>
      <c r="AA25" s="34">
        <f t="shared" si="0"/>
        <v>3365891.4983999999</v>
      </c>
      <c r="AB25" s="131">
        <f t="shared" si="1"/>
        <v>259.39181204815935</v>
      </c>
      <c r="AC25" s="137">
        <v>150.24440000001169</v>
      </c>
      <c r="AD25" s="3">
        <v>0</v>
      </c>
      <c r="AE25" s="3">
        <v>150</v>
      </c>
      <c r="AF25" s="3">
        <v>0</v>
      </c>
      <c r="AG25" s="3">
        <f t="shared" si="9"/>
        <v>300.24440000001169</v>
      </c>
      <c r="AH25" s="3">
        <v>3434276.8498801254</v>
      </c>
      <c r="AI25" s="46">
        <f t="shared" si="2"/>
        <v>264.66191663899718</v>
      </c>
      <c r="AJ25" s="146">
        <v>442.93000000000029</v>
      </c>
      <c r="AK25" s="3">
        <v>4606472.0000000028</v>
      </c>
      <c r="AL25" s="42">
        <f t="shared" si="3"/>
        <v>354.99692126056482</v>
      </c>
      <c r="AM25" s="7"/>
    </row>
    <row r="26" spans="1:39" x14ac:dyDescent="0.25">
      <c r="A26" s="36"/>
      <c r="B26" s="61">
        <v>15</v>
      </c>
      <c r="C26" s="222">
        <v>109</v>
      </c>
      <c r="D26" s="223">
        <v>795</v>
      </c>
      <c r="E26" s="109">
        <v>18240.000000000691</v>
      </c>
      <c r="F26" s="3">
        <v>18892627.200000715</v>
      </c>
      <c r="G26" s="38">
        <v>320.00000000016371</v>
      </c>
      <c r="H26" s="3">
        <v>497174.40000025439</v>
      </c>
      <c r="I26" s="106">
        <f t="shared" si="4"/>
        <v>19389801.60000097</v>
      </c>
      <c r="J26" s="109">
        <v>2020.0000000004366</v>
      </c>
      <c r="K26" s="3">
        <v>2092275.600000452</v>
      </c>
      <c r="L26" s="188">
        <v>500</v>
      </c>
      <c r="M26" s="189">
        <v>776835</v>
      </c>
      <c r="N26" s="97">
        <f t="shared" si="5"/>
        <v>2869110.6000004523</v>
      </c>
      <c r="O26" s="111">
        <f t="shared" si="6"/>
        <v>22258912.200001422</v>
      </c>
      <c r="P26" s="114">
        <f t="shared" si="7"/>
        <v>21080.000000001291</v>
      </c>
      <c r="Q26" s="193"/>
      <c r="R26" s="206"/>
      <c r="S26" s="194"/>
      <c r="T26" s="217"/>
      <c r="U26" s="214">
        <v>0</v>
      </c>
      <c r="V26" s="190">
        <f t="shared" si="8"/>
        <v>850.84</v>
      </c>
      <c r="W26" s="3">
        <v>112.14</v>
      </c>
      <c r="X26" s="3">
        <v>2015211.87</v>
      </c>
      <c r="Y26" s="34">
        <v>738.7</v>
      </c>
      <c r="Z26" s="34">
        <v>812315.19300000009</v>
      </c>
      <c r="AA26" s="34">
        <f t="shared" si="0"/>
        <v>2827527.0630000001</v>
      </c>
      <c r="AB26" s="131">
        <f t="shared" si="1"/>
        <v>217.902855405596</v>
      </c>
      <c r="AC26" s="137">
        <v>149.3179599999695</v>
      </c>
      <c r="AD26" s="3">
        <v>0</v>
      </c>
      <c r="AE26" s="3">
        <v>0</v>
      </c>
      <c r="AF26" s="3">
        <v>12</v>
      </c>
      <c r="AG26" s="3">
        <f t="shared" si="9"/>
        <v>161.3179599999695</v>
      </c>
      <c r="AH26" s="3">
        <v>1741338.279491673</v>
      </c>
      <c r="AI26" s="46">
        <f t="shared" si="2"/>
        <v>134.19591567965952</v>
      </c>
      <c r="AJ26" s="146">
        <v>1455.9900000000034</v>
      </c>
      <c r="AK26" s="3">
        <v>15142296.000000035</v>
      </c>
      <c r="AL26" s="42">
        <f t="shared" si="3"/>
        <v>1166.9382687697168</v>
      </c>
      <c r="AM26" s="7"/>
    </row>
    <row r="27" spans="1:39" x14ac:dyDescent="0.25">
      <c r="A27" s="36"/>
      <c r="B27" s="61">
        <v>16</v>
      </c>
      <c r="C27" s="222">
        <v>109</v>
      </c>
      <c r="D27" s="223">
        <v>566</v>
      </c>
      <c r="E27" s="109">
        <v>17799.999999999272</v>
      </c>
      <c r="F27" s="3">
        <v>18436883.999999247</v>
      </c>
      <c r="G27" s="38">
        <v>3799.9999999999545</v>
      </c>
      <c r="H27" s="3">
        <v>5903945.9999999292</v>
      </c>
      <c r="I27" s="106">
        <f t="shared" si="4"/>
        <v>24340829.999999177</v>
      </c>
      <c r="J27" s="109">
        <v>2039.9999999999636</v>
      </c>
      <c r="K27" s="3">
        <v>2112991.1999999625</v>
      </c>
      <c r="L27" s="188">
        <v>519.99999999998181</v>
      </c>
      <c r="M27" s="189">
        <v>807908.39999997173</v>
      </c>
      <c r="N27" s="97">
        <f t="shared" si="5"/>
        <v>2920899.5999999344</v>
      </c>
      <c r="O27" s="111">
        <f t="shared" si="6"/>
        <v>27261729.599999111</v>
      </c>
      <c r="P27" s="114">
        <f t="shared" si="7"/>
        <v>24159.999999999171</v>
      </c>
      <c r="Q27" s="193"/>
      <c r="R27" s="206"/>
      <c r="S27" s="194"/>
      <c r="T27" s="217"/>
      <c r="U27" s="214">
        <v>0</v>
      </c>
      <c r="V27" s="190">
        <f t="shared" si="8"/>
        <v>891.78</v>
      </c>
      <c r="W27" s="3">
        <v>125.49</v>
      </c>
      <c r="X27" s="3">
        <v>2255118.0449999999</v>
      </c>
      <c r="Y27" s="34">
        <v>766.29</v>
      </c>
      <c r="Z27" s="34">
        <v>1314817.1496000001</v>
      </c>
      <c r="AA27" s="34">
        <f t="shared" si="0"/>
        <v>3569935.1946</v>
      </c>
      <c r="AB27" s="131">
        <f t="shared" si="1"/>
        <v>275.11640213654499</v>
      </c>
      <c r="AC27" s="137">
        <v>142.34951999998592</v>
      </c>
      <c r="AD27" s="3">
        <v>0</v>
      </c>
      <c r="AE27" s="3">
        <v>0</v>
      </c>
      <c r="AF27" s="3">
        <v>12</v>
      </c>
      <c r="AG27" s="3">
        <f t="shared" si="9"/>
        <v>154.34951999998592</v>
      </c>
      <c r="AH27" s="3">
        <v>1666582.945703849</v>
      </c>
      <c r="AI27" s="46">
        <f t="shared" si="2"/>
        <v>128.43490956858722</v>
      </c>
      <c r="AJ27" s="146">
        <v>1126.3299999999945</v>
      </c>
      <c r="AK27" s="3">
        <v>11713831.999999942</v>
      </c>
      <c r="AL27" s="42">
        <f t="shared" si="3"/>
        <v>902.72431834242377</v>
      </c>
      <c r="AM27" s="7"/>
    </row>
    <row r="28" spans="1:39" x14ac:dyDescent="0.25">
      <c r="A28" s="36"/>
      <c r="B28" s="61">
        <v>17</v>
      </c>
      <c r="C28" s="222">
        <v>106</v>
      </c>
      <c r="D28" s="223">
        <v>722</v>
      </c>
      <c r="E28" s="109">
        <v>17840.000000000146</v>
      </c>
      <c r="F28" s="3">
        <v>18478315.200000152</v>
      </c>
      <c r="G28" s="38">
        <v>3639.9999999998727</v>
      </c>
      <c r="H28" s="3">
        <v>5655358.7999998024</v>
      </c>
      <c r="I28" s="106">
        <f t="shared" si="4"/>
        <v>24133673.999999955</v>
      </c>
      <c r="J28" s="109">
        <v>1920.0000000000728</v>
      </c>
      <c r="K28" s="3">
        <v>1988697.6000000753</v>
      </c>
      <c r="L28" s="188">
        <v>500</v>
      </c>
      <c r="M28" s="189">
        <v>776835</v>
      </c>
      <c r="N28" s="97">
        <f t="shared" si="5"/>
        <v>2765532.6000000751</v>
      </c>
      <c r="O28" s="111">
        <f t="shared" si="6"/>
        <v>26899206.600000031</v>
      </c>
      <c r="P28" s="114">
        <f t="shared" si="7"/>
        <v>23900.000000000091</v>
      </c>
      <c r="Q28" s="193"/>
      <c r="R28" s="193"/>
      <c r="S28" s="194"/>
      <c r="T28" s="217"/>
      <c r="U28" s="214">
        <v>0</v>
      </c>
      <c r="V28" s="190">
        <f t="shared" si="8"/>
        <v>902.46</v>
      </c>
      <c r="W28" s="3">
        <v>181.56</v>
      </c>
      <c r="X28" s="3">
        <v>3262723.98</v>
      </c>
      <c r="Y28" s="34">
        <v>720.90000000000009</v>
      </c>
      <c r="Z28" s="34">
        <v>1620852.1758000001</v>
      </c>
      <c r="AA28" s="34">
        <f t="shared" si="0"/>
        <v>4883576.1557999998</v>
      </c>
      <c r="AB28" s="131">
        <f t="shared" si="1"/>
        <v>376.3519022910599</v>
      </c>
      <c r="AC28" s="137">
        <v>144.20240000001172</v>
      </c>
      <c r="AD28" s="3">
        <v>0</v>
      </c>
      <c r="AE28" s="3">
        <v>0</v>
      </c>
      <c r="AF28" s="3">
        <v>36</v>
      </c>
      <c r="AG28" s="3">
        <f t="shared" si="9"/>
        <v>180.20240000001172</v>
      </c>
      <c r="AH28" s="3">
        <v>1965460.0864801258</v>
      </c>
      <c r="AI28" s="46">
        <f t="shared" si="2"/>
        <v>151.46782169976672</v>
      </c>
      <c r="AJ28" s="146">
        <v>629.39999999999964</v>
      </c>
      <c r="AK28" s="3">
        <v>6545759.9999999963</v>
      </c>
      <c r="AL28" s="42">
        <f t="shared" si="3"/>
        <v>504.44779590770378</v>
      </c>
      <c r="AM28" s="7"/>
    </row>
    <row r="29" spans="1:39" x14ac:dyDescent="0.25">
      <c r="A29" s="36"/>
      <c r="B29" s="61">
        <v>18</v>
      </c>
      <c r="C29" s="222">
        <v>78</v>
      </c>
      <c r="D29" s="223">
        <v>572</v>
      </c>
      <c r="E29" s="109">
        <v>17680.000000000291</v>
      </c>
      <c r="F29" s="3">
        <v>18312590.4000003</v>
      </c>
      <c r="G29" s="38">
        <v>3560.0000000001728</v>
      </c>
      <c r="H29" s="3">
        <v>5531065.2000002684</v>
      </c>
      <c r="I29" s="106">
        <f t="shared" si="4"/>
        <v>23843655.600000568</v>
      </c>
      <c r="J29" s="109">
        <v>2019.9999999995271</v>
      </c>
      <c r="K29" s="3">
        <v>2092275.59999951</v>
      </c>
      <c r="L29" s="188">
        <v>500</v>
      </c>
      <c r="M29" s="189">
        <v>776835</v>
      </c>
      <c r="N29" s="97">
        <f t="shared" si="5"/>
        <v>2869110.5999995098</v>
      </c>
      <c r="O29" s="111">
        <f t="shared" si="6"/>
        <v>26712766.200000077</v>
      </c>
      <c r="P29" s="114">
        <f t="shared" si="7"/>
        <v>23759.999999999993</v>
      </c>
      <c r="Q29" s="196"/>
      <c r="R29" s="196"/>
      <c r="S29" s="194"/>
      <c r="T29" s="217"/>
      <c r="U29" s="214">
        <v>0</v>
      </c>
      <c r="V29" s="190">
        <f t="shared" si="8"/>
        <v>867.21599999999478</v>
      </c>
      <c r="W29" s="3">
        <v>121.04</v>
      </c>
      <c r="X29" s="3">
        <v>2175149.3200000003</v>
      </c>
      <c r="Y29" s="34">
        <v>746.17599999999481</v>
      </c>
      <c r="Z29" s="34">
        <v>768487.95467997796</v>
      </c>
      <c r="AA29" s="34">
        <f t="shared" si="0"/>
        <v>2943637.2746799784</v>
      </c>
      <c r="AB29" s="131">
        <f t="shared" si="1"/>
        <v>226.85086760957873</v>
      </c>
      <c r="AC29" s="137">
        <v>144.84688000002578</v>
      </c>
      <c r="AD29" s="3">
        <v>0</v>
      </c>
      <c r="AE29" s="3">
        <v>300</v>
      </c>
      <c r="AF29" s="3">
        <v>12</v>
      </c>
      <c r="AG29" s="3">
        <f t="shared" si="9"/>
        <v>456.84688000002575</v>
      </c>
      <c r="AH29" s="3">
        <v>5338373.8745762762</v>
      </c>
      <c r="AI29" s="46">
        <f t="shared" si="2"/>
        <v>411.40080521761763</v>
      </c>
      <c r="AJ29" s="146">
        <v>572.20000000000073</v>
      </c>
      <c r="AK29" s="3">
        <v>5950880.0000000075</v>
      </c>
      <c r="AL29" s="42">
        <f t="shared" si="3"/>
        <v>458.60347762692822</v>
      </c>
      <c r="AM29" s="7"/>
    </row>
    <row r="30" spans="1:39" x14ac:dyDescent="0.25">
      <c r="A30" s="36"/>
      <c r="B30" s="61">
        <v>19</v>
      </c>
      <c r="C30" s="222">
        <v>37</v>
      </c>
      <c r="D30" s="223">
        <v>356</v>
      </c>
      <c r="E30" s="109">
        <v>17159.999999999854</v>
      </c>
      <c r="F30" s="3">
        <v>17773984.799999848</v>
      </c>
      <c r="G30" s="38">
        <v>3519.9999999999818</v>
      </c>
      <c r="H30" s="3">
        <v>5468918.3999999724</v>
      </c>
      <c r="I30" s="106">
        <f t="shared" si="4"/>
        <v>23242903.19999982</v>
      </c>
      <c r="J30" s="109">
        <v>1940.0000000005093</v>
      </c>
      <c r="K30" s="3">
        <v>2009413.2000005275</v>
      </c>
      <c r="L30" s="188">
        <v>440.00000000005457</v>
      </c>
      <c r="M30" s="189">
        <v>683614.8000000848</v>
      </c>
      <c r="N30" s="97">
        <f t="shared" si="5"/>
        <v>2693028.0000006123</v>
      </c>
      <c r="O30" s="111">
        <f t="shared" si="6"/>
        <v>25935931.200000431</v>
      </c>
      <c r="P30" s="114">
        <f t="shared" si="7"/>
        <v>23060.0000000004</v>
      </c>
      <c r="Q30" s="193"/>
      <c r="R30" s="193"/>
      <c r="S30" s="194"/>
      <c r="T30" s="217"/>
      <c r="U30" s="214">
        <v>0</v>
      </c>
      <c r="V30" s="190">
        <f t="shared" si="8"/>
        <v>884.21500000000003</v>
      </c>
      <c r="W30" s="3">
        <v>100.57000000000001</v>
      </c>
      <c r="X30" s="3">
        <v>1807293.1850000001</v>
      </c>
      <c r="Y30" s="34">
        <v>783.64499999999998</v>
      </c>
      <c r="Z30" s="34">
        <v>957776.28570000012</v>
      </c>
      <c r="AA30" s="34">
        <f t="shared" si="0"/>
        <v>2765069.4707000004</v>
      </c>
      <c r="AB30" s="131">
        <f t="shared" si="1"/>
        <v>213.08957249063474</v>
      </c>
      <c r="AC30" s="137">
        <v>130.54747999995544</v>
      </c>
      <c r="AD30" s="3">
        <v>0</v>
      </c>
      <c r="AE30" s="3">
        <v>0</v>
      </c>
      <c r="AF30" s="3">
        <v>48</v>
      </c>
      <c r="AG30" s="3">
        <f t="shared" si="9"/>
        <v>178.54747999995544</v>
      </c>
      <c r="AH30" s="3">
        <v>1958474.201195522</v>
      </c>
      <c r="AI30" s="46">
        <f t="shared" si="2"/>
        <v>150.9294557293855</v>
      </c>
      <c r="AJ30" s="146">
        <v>550.59999999999854</v>
      </c>
      <c r="AK30" s="3">
        <v>5726239.9999999851</v>
      </c>
      <c r="AL30" s="42">
        <f t="shared" si="3"/>
        <v>441.2916371572627</v>
      </c>
      <c r="AM30" s="7"/>
    </row>
    <row r="31" spans="1:39" x14ac:dyDescent="0.25">
      <c r="A31" s="36"/>
      <c r="B31" s="61">
        <v>20</v>
      </c>
      <c r="C31" s="222">
        <v>31</v>
      </c>
      <c r="D31" s="223">
        <v>288</v>
      </c>
      <c r="E31" s="109">
        <v>16239.999999999782</v>
      </c>
      <c r="F31" s="3">
        <v>16821067.199999772</v>
      </c>
      <c r="G31" s="38">
        <v>3319.9999999999363</v>
      </c>
      <c r="H31" s="3">
        <v>5158184.3999999017</v>
      </c>
      <c r="I31" s="106">
        <f t="shared" si="4"/>
        <v>21979251.599999674</v>
      </c>
      <c r="J31" s="109">
        <v>1719.9999999993452</v>
      </c>
      <c r="K31" s="3">
        <v>1781541.5999993216</v>
      </c>
      <c r="L31" s="188">
        <v>480.00000000001819</v>
      </c>
      <c r="M31" s="189">
        <v>745761.60000002827</v>
      </c>
      <c r="N31" s="97">
        <f t="shared" si="5"/>
        <v>2527303.1999993501</v>
      </c>
      <c r="O31" s="111">
        <f t="shared" si="6"/>
        <v>24506554.799999025</v>
      </c>
      <c r="P31" s="114">
        <f t="shared" si="7"/>
        <v>21759.999999999083</v>
      </c>
      <c r="Q31" s="196"/>
      <c r="R31" s="196"/>
      <c r="S31" s="194"/>
      <c r="T31" s="217"/>
      <c r="U31" s="214">
        <v>0</v>
      </c>
      <c r="V31" s="190">
        <f t="shared" si="8"/>
        <v>828.76800000001049</v>
      </c>
      <c r="W31" s="3">
        <v>137.94999999999999</v>
      </c>
      <c r="X31" s="3">
        <v>2479030.4749999996</v>
      </c>
      <c r="Y31" s="34">
        <v>690.81800000001044</v>
      </c>
      <c r="Z31" s="34">
        <v>967977.45324004407</v>
      </c>
      <c r="AA31" s="34">
        <f t="shared" si="0"/>
        <v>3447007.9282400436</v>
      </c>
      <c r="AB31" s="131">
        <f t="shared" si="1"/>
        <v>265.64303486181456</v>
      </c>
      <c r="AC31" s="137">
        <v>100.37776000005157</v>
      </c>
      <c r="AD31" s="3">
        <v>0</v>
      </c>
      <c r="AE31" s="3">
        <v>150</v>
      </c>
      <c r="AF31" s="3">
        <v>0</v>
      </c>
      <c r="AG31" s="3">
        <f t="shared" si="9"/>
        <v>250.37776000005158</v>
      </c>
      <c r="AH31" s="3">
        <v>2899322.4959525531</v>
      </c>
      <c r="AI31" s="46">
        <f t="shared" si="2"/>
        <v>223.43575730073951</v>
      </c>
      <c r="AJ31" s="146">
        <v>280.12</v>
      </c>
      <c r="AK31" s="3">
        <v>2913248</v>
      </c>
      <c r="AL31" s="42">
        <f t="shared" si="3"/>
        <v>224.50892372047358</v>
      </c>
      <c r="AM31" s="7"/>
    </row>
    <row r="32" spans="1:39" x14ac:dyDescent="0.25">
      <c r="A32" s="36"/>
      <c r="B32" s="61">
        <v>21</v>
      </c>
      <c r="C32" s="222">
        <v>35</v>
      </c>
      <c r="D32" s="223">
        <v>294</v>
      </c>
      <c r="E32" s="109">
        <v>16880.000000000109</v>
      </c>
      <c r="F32" s="3">
        <v>17483966.400000114</v>
      </c>
      <c r="G32" s="38">
        <v>3599.9999999999091</v>
      </c>
      <c r="H32" s="3">
        <v>5593211.9999998594</v>
      </c>
      <c r="I32" s="106">
        <f t="shared" si="4"/>
        <v>23077178.399999972</v>
      </c>
      <c r="J32" s="109">
        <v>1940.0000000005093</v>
      </c>
      <c r="K32" s="3">
        <v>2009413.2000005275</v>
      </c>
      <c r="L32" s="188">
        <v>480.00000000001819</v>
      </c>
      <c r="M32" s="189">
        <v>745761.60000002827</v>
      </c>
      <c r="N32" s="97">
        <f>+K32+M32</f>
        <v>2755174.8000005558</v>
      </c>
      <c r="O32" s="111">
        <f t="shared" si="6"/>
        <v>25832353.200000528</v>
      </c>
      <c r="P32" s="114">
        <f t="shared" si="7"/>
        <v>22900.000000000546</v>
      </c>
      <c r="Q32" s="193"/>
      <c r="R32" s="207"/>
      <c r="S32" s="194"/>
      <c r="T32" s="217"/>
      <c r="U32" s="214">
        <v>0</v>
      </c>
      <c r="V32" s="190">
        <f t="shared" si="8"/>
        <v>902.37099999999475</v>
      </c>
      <c r="W32" s="3">
        <v>150.41</v>
      </c>
      <c r="X32" s="3">
        <v>2702942.9049999998</v>
      </c>
      <c r="Y32" s="34">
        <v>751.96099999999478</v>
      </c>
      <c r="Z32" s="34">
        <v>1027295.3533799781</v>
      </c>
      <c r="AA32" s="34">
        <f t="shared" si="0"/>
        <v>3730238.2583799781</v>
      </c>
      <c r="AB32" s="131">
        <f t="shared" si="1"/>
        <v>287.47012839614848</v>
      </c>
      <c r="AC32" s="137">
        <v>145.28995999996951</v>
      </c>
      <c r="AD32" s="3">
        <v>0</v>
      </c>
      <c r="AE32" s="3">
        <v>0</v>
      </c>
      <c r="AF32" s="3">
        <v>0</v>
      </c>
      <c r="AG32" s="3">
        <f t="shared" si="9"/>
        <v>145.28995999996951</v>
      </c>
      <c r="AH32" s="3">
        <v>1558627.103891673</v>
      </c>
      <c r="AI32" s="46">
        <f t="shared" si="2"/>
        <v>120.11531238544686</v>
      </c>
      <c r="AJ32" s="146">
        <v>437.90999999999985</v>
      </c>
      <c r="AK32" s="3">
        <v>4554263.9999999981</v>
      </c>
      <c r="AL32" s="42">
        <f t="shared" si="3"/>
        <v>350.97352129955925</v>
      </c>
      <c r="AM32" s="7"/>
    </row>
    <row r="33" spans="1:39" x14ac:dyDescent="0.25">
      <c r="A33" s="36"/>
      <c r="B33" s="61">
        <v>22</v>
      </c>
      <c r="C33" s="222">
        <v>34</v>
      </c>
      <c r="D33" s="223">
        <v>282</v>
      </c>
      <c r="E33" s="109">
        <v>18000</v>
      </c>
      <c r="F33" s="3">
        <v>18644040</v>
      </c>
      <c r="G33" s="38">
        <v>3720.0000000000273</v>
      </c>
      <c r="H33" s="3">
        <v>5779652.4000000423</v>
      </c>
      <c r="I33" s="106">
        <f t="shared" si="4"/>
        <v>24423692.400000043</v>
      </c>
      <c r="J33" s="109">
        <v>1859.9999999996726</v>
      </c>
      <c r="K33" s="3">
        <v>1926550.7999996608</v>
      </c>
      <c r="L33" s="188">
        <v>460.00000000003638</v>
      </c>
      <c r="M33" s="189">
        <v>714688.20000005653</v>
      </c>
      <c r="N33" s="97">
        <f t="shared" si="5"/>
        <v>2641238.9999997173</v>
      </c>
      <c r="O33" s="111">
        <f t="shared" si="6"/>
        <v>27064931.39999976</v>
      </c>
      <c r="P33" s="114">
        <f t="shared" si="7"/>
        <v>24039.999999999738</v>
      </c>
      <c r="Q33" s="193"/>
      <c r="R33" s="208"/>
      <c r="S33" s="194"/>
      <c r="T33" s="217"/>
      <c r="U33" s="214">
        <v>0</v>
      </c>
      <c r="V33" s="190">
        <f t="shared" si="8"/>
        <v>847.28</v>
      </c>
      <c r="W33" s="3">
        <v>103.24</v>
      </c>
      <c r="X33" s="3">
        <v>1855274.42</v>
      </c>
      <c r="Y33" s="34">
        <v>744.04</v>
      </c>
      <c r="Z33" s="34">
        <v>959665.39080000005</v>
      </c>
      <c r="AA33" s="34">
        <f t="shared" si="0"/>
        <v>2814939.8108000001</v>
      </c>
      <c r="AB33" s="131">
        <f t="shared" si="1"/>
        <v>216.93282111945894</v>
      </c>
      <c r="AC33" s="137">
        <v>131.51420000003515</v>
      </c>
      <c r="AD33" s="3">
        <v>0</v>
      </c>
      <c r="AE33" s="3">
        <v>0</v>
      </c>
      <c r="AF33" s="3">
        <v>0</v>
      </c>
      <c r="AG33" s="3">
        <f t="shared" si="9"/>
        <v>131.51420000003515</v>
      </c>
      <c r="AH33" s="3">
        <v>1410844.8833403771</v>
      </c>
      <c r="AI33" s="46">
        <f t="shared" si="2"/>
        <v>108.72650261676492</v>
      </c>
      <c r="AJ33" s="146">
        <v>576.54000000000087</v>
      </c>
      <c r="AK33" s="3">
        <v>5996016.0000000093</v>
      </c>
      <c r="AL33" s="42">
        <f t="shared" si="3"/>
        <v>462.0818752027775</v>
      </c>
      <c r="AM33" s="7"/>
    </row>
    <row r="34" spans="1:39" x14ac:dyDescent="0.25">
      <c r="A34" s="36"/>
      <c r="B34" s="61">
        <v>23</v>
      </c>
      <c r="C34" s="222">
        <v>33</v>
      </c>
      <c r="D34" s="223">
        <v>360</v>
      </c>
      <c r="E34" s="109">
        <v>17880.000000000109</v>
      </c>
      <c r="F34" s="3">
        <v>18519746.400000114</v>
      </c>
      <c r="G34" s="38">
        <v>3600.0000000001364</v>
      </c>
      <c r="H34" s="3">
        <v>5593212.0000002123</v>
      </c>
      <c r="I34" s="106">
        <f t="shared" si="4"/>
        <v>24112958.400000326</v>
      </c>
      <c r="J34" s="109">
        <v>1880.0000000001091</v>
      </c>
      <c r="K34" s="3">
        <v>1947266.4000001131</v>
      </c>
      <c r="L34" s="188">
        <v>480.00000000001819</v>
      </c>
      <c r="M34" s="189">
        <v>745761.60000002827</v>
      </c>
      <c r="N34" s="97">
        <f t="shared" si="5"/>
        <v>2693028.0000001416</v>
      </c>
      <c r="O34" s="111">
        <f t="shared" si="6"/>
        <v>26805986.400000468</v>
      </c>
      <c r="P34" s="114">
        <f t="shared" si="7"/>
        <v>23840.000000000371</v>
      </c>
      <c r="Q34" s="196"/>
      <c r="R34" s="209"/>
      <c r="S34" s="194"/>
      <c r="T34" s="217"/>
      <c r="U34" s="214">
        <v>0</v>
      </c>
      <c r="V34" s="190">
        <f t="shared" si="8"/>
        <v>796.55000000000007</v>
      </c>
      <c r="W34" s="3">
        <v>78.320000000000007</v>
      </c>
      <c r="X34" s="3">
        <v>1407449.56</v>
      </c>
      <c r="Y34" s="34">
        <v>718.23</v>
      </c>
      <c r="Z34" s="34">
        <v>430715.96280000004</v>
      </c>
      <c r="AA34" s="34">
        <f t="shared" si="0"/>
        <v>1838165.5228000002</v>
      </c>
      <c r="AB34" s="131">
        <f t="shared" si="1"/>
        <v>141.65788945668535</v>
      </c>
      <c r="AC34" s="137">
        <v>139.57019999997655</v>
      </c>
      <c r="AD34" s="3">
        <v>0</v>
      </c>
      <c r="AE34" s="3">
        <v>0</v>
      </c>
      <c r="AF34" s="3">
        <v>0</v>
      </c>
      <c r="AG34" s="3">
        <f t="shared" si="9"/>
        <v>139.57019999997655</v>
      </c>
      <c r="AH34" s="3">
        <v>1497267.2345397486</v>
      </c>
      <c r="AI34" s="46">
        <f t="shared" si="2"/>
        <v>115.38662528849204</v>
      </c>
      <c r="AJ34" s="146">
        <v>795.63999999999578</v>
      </c>
      <c r="AK34" s="3">
        <v>8274655.9999999562</v>
      </c>
      <c r="AL34" s="42">
        <f t="shared" si="3"/>
        <v>637.68484959644672</v>
      </c>
      <c r="AM34" s="7"/>
    </row>
    <row r="35" spans="1:39" x14ac:dyDescent="0.25">
      <c r="A35" s="36"/>
      <c r="B35" s="61">
        <v>24</v>
      </c>
      <c r="C35" s="222">
        <v>45</v>
      </c>
      <c r="D35" s="223">
        <v>458</v>
      </c>
      <c r="E35" s="109">
        <v>17199.999999999818</v>
      </c>
      <c r="F35" s="3">
        <v>17815415.99999981</v>
      </c>
      <c r="G35" s="38">
        <v>3279.9999999999727</v>
      </c>
      <c r="H35" s="3">
        <v>5096037.5999999577</v>
      </c>
      <c r="I35" s="106">
        <f t="shared" si="4"/>
        <v>22911453.599999767</v>
      </c>
      <c r="J35" s="109">
        <v>1880.0000000001091</v>
      </c>
      <c r="K35" s="3">
        <v>1947266.4000001131</v>
      </c>
      <c r="L35" s="188">
        <v>500</v>
      </c>
      <c r="M35" s="189">
        <v>776835</v>
      </c>
      <c r="N35" s="97">
        <f t="shared" si="5"/>
        <v>2724101.4000001131</v>
      </c>
      <c r="O35" s="111">
        <f t="shared" si="6"/>
        <v>25635554.999999881</v>
      </c>
      <c r="P35" s="114">
        <f t="shared" si="7"/>
        <v>22859.999999999898</v>
      </c>
      <c r="Q35" s="193"/>
      <c r="R35" s="207"/>
      <c r="S35" s="194"/>
      <c r="T35" s="217"/>
      <c r="U35" s="214">
        <v>0</v>
      </c>
      <c r="V35" s="190">
        <f t="shared" si="8"/>
        <v>796.55</v>
      </c>
      <c r="W35" s="3">
        <v>80.989999999999995</v>
      </c>
      <c r="X35" s="3">
        <v>1455430.7949999999</v>
      </c>
      <c r="Y35" s="34">
        <v>715.56</v>
      </c>
      <c r="Z35" s="34">
        <v>612070.05240000004</v>
      </c>
      <c r="AA35" s="34">
        <f t="shared" si="0"/>
        <v>2067500.8473999999</v>
      </c>
      <c r="AB35" s="131">
        <f t="shared" si="1"/>
        <v>159.33157425696029</v>
      </c>
      <c r="AC35" s="137">
        <v>119.9538399999953</v>
      </c>
      <c r="AD35" s="3">
        <v>0</v>
      </c>
      <c r="AE35" s="3">
        <v>0</v>
      </c>
      <c r="AF35" s="3">
        <v>48</v>
      </c>
      <c r="AG35" s="3">
        <f t="shared" si="9"/>
        <v>167.9538399999953</v>
      </c>
      <c r="AH35" s="3">
        <v>1844828.8093679496</v>
      </c>
      <c r="AI35" s="46">
        <f t="shared" si="2"/>
        <v>142.17139441603362</v>
      </c>
      <c r="AJ35" s="146">
        <v>644.11999999999898</v>
      </c>
      <c r="AK35" s="3">
        <v>6698847.9999999898</v>
      </c>
      <c r="AL35" s="42">
        <f t="shared" si="3"/>
        <v>516.24549459814091</v>
      </c>
      <c r="AM35" s="7"/>
    </row>
    <row r="36" spans="1:39" x14ac:dyDescent="0.25">
      <c r="A36" s="36"/>
      <c r="B36" s="61">
        <v>25</v>
      </c>
      <c r="C36" s="222">
        <v>56</v>
      </c>
      <c r="D36" s="223">
        <v>386</v>
      </c>
      <c r="E36" s="109">
        <v>15920.000000000073</v>
      </c>
      <c r="F36" s="3">
        <v>16489617.600000074</v>
      </c>
      <c r="G36" s="38">
        <v>3639.9999999998727</v>
      </c>
      <c r="H36" s="3">
        <v>5655358.7999998024</v>
      </c>
      <c r="I36" s="106">
        <f t="shared" si="4"/>
        <v>22144976.399999876</v>
      </c>
      <c r="J36" s="109">
        <v>2019.9999999995271</v>
      </c>
      <c r="K36" s="3">
        <v>2092275.59999951</v>
      </c>
      <c r="L36" s="188">
        <v>500</v>
      </c>
      <c r="M36" s="189">
        <v>776835</v>
      </c>
      <c r="N36" s="97">
        <f t="shared" si="5"/>
        <v>2869110.5999995098</v>
      </c>
      <c r="O36" s="111">
        <f t="shared" si="6"/>
        <v>25014086.999999385</v>
      </c>
      <c r="P36" s="114">
        <f t="shared" si="7"/>
        <v>22079.999999999472</v>
      </c>
      <c r="Q36" s="193"/>
      <c r="R36" s="207"/>
      <c r="S36" s="194"/>
      <c r="T36" s="217"/>
      <c r="U36" s="214">
        <v>0</v>
      </c>
      <c r="V36" s="190">
        <f t="shared" si="8"/>
        <v>830.37</v>
      </c>
      <c r="W36" s="3">
        <v>142.4</v>
      </c>
      <c r="X36" s="3">
        <v>2558999.2000000002</v>
      </c>
      <c r="Y36" s="34">
        <v>687.97</v>
      </c>
      <c r="Z36" s="34">
        <v>411824.91180000006</v>
      </c>
      <c r="AA36" s="34">
        <f t="shared" si="0"/>
        <v>2970824.1118000001</v>
      </c>
      <c r="AB36" s="131">
        <f t="shared" si="1"/>
        <v>228.94601623447434</v>
      </c>
      <c r="AC36" s="137">
        <v>137.79788000002577</v>
      </c>
      <c r="AD36" s="3">
        <v>0</v>
      </c>
      <c r="AE36" s="3">
        <v>250</v>
      </c>
      <c r="AF36" s="3">
        <v>12</v>
      </c>
      <c r="AG36" s="3">
        <f t="shared" si="9"/>
        <v>399.79788000002577</v>
      </c>
      <c r="AH36" s="3">
        <v>4655254.3172762766</v>
      </c>
      <c r="AI36" s="46">
        <f t="shared" si="2"/>
        <v>358.75632160968956</v>
      </c>
      <c r="AJ36" s="146">
        <v>611.54999999999927</v>
      </c>
      <c r="AK36" s="3">
        <v>6360119.9999999925</v>
      </c>
      <c r="AL36" s="42">
        <f t="shared" si="3"/>
        <v>490.14148329735633</v>
      </c>
      <c r="AM36" s="7"/>
    </row>
    <row r="37" spans="1:39" x14ac:dyDescent="0.25">
      <c r="A37" s="36"/>
      <c r="B37" s="61">
        <v>26</v>
      </c>
      <c r="C37" s="222">
        <v>58</v>
      </c>
      <c r="D37" s="223">
        <v>597</v>
      </c>
      <c r="E37" s="109">
        <v>17560.0000000004</v>
      </c>
      <c r="F37" s="3">
        <v>18188296.800000414</v>
      </c>
      <c r="G37" s="38">
        <v>3560.0000000001728</v>
      </c>
      <c r="H37" s="3">
        <v>5531065.2000002684</v>
      </c>
      <c r="I37" s="106">
        <f t="shared" si="4"/>
        <v>23719362.000000682</v>
      </c>
      <c r="J37" s="109">
        <v>2240.0000000006912</v>
      </c>
      <c r="K37" s="3">
        <v>2320147.2000007159</v>
      </c>
      <c r="L37" s="188">
        <v>519.99999999998181</v>
      </c>
      <c r="M37" s="189">
        <v>807908.39999997173</v>
      </c>
      <c r="N37" s="97">
        <f t="shared" si="5"/>
        <v>3128055.6000006879</v>
      </c>
      <c r="O37" s="111">
        <f t="shared" si="6"/>
        <v>26847417.600001369</v>
      </c>
      <c r="P37" s="114">
        <f t="shared" si="7"/>
        <v>23880.000000001244</v>
      </c>
      <c r="Q37" s="193"/>
      <c r="R37" s="207"/>
      <c r="S37" s="194"/>
      <c r="T37" s="217"/>
      <c r="U37" s="214">
        <v>0</v>
      </c>
      <c r="V37" s="190">
        <f t="shared" si="8"/>
        <v>836.68900000000519</v>
      </c>
      <c r="W37" s="3">
        <v>156.64000000000001</v>
      </c>
      <c r="X37" s="3">
        <v>2814899.12</v>
      </c>
      <c r="Y37" s="34">
        <v>680.04900000000521</v>
      </c>
      <c r="Z37" s="34">
        <v>1454988.7480200222</v>
      </c>
      <c r="AA37" s="34">
        <f t="shared" si="0"/>
        <v>4269887.8680200223</v>
      </c>
      <c r="AB37" s="131">
        <f t="shared" si="1"/>
        <v>329.05812675621257</v>
      </c>
      <c r="AC37" s="137">
        <v>140.01327999997889</v>
      </c>
      <c r="AD37" s="3">
        <v>0</v>
      </c>
      <c r="AE37" s="3">
        <v>0</v>
      </c>
      <c r="AF37" s="3">
        <v>12</v>
      </c>
      <c r="AG37" s="3">
        <f t="shared" si="9"/>
        <v>152.01327999997889</v>
      </c>
      <c r="AH37" s="3">
        <v>1641520.4638557737</v>
      </c>
      <c r="AI37" s="46">
        <f t="shared" si="2"/>
        <v>126.50347399376651</v>
      </c>
      <c r="AJ37" s="146">
        <v>515.34000000000015</v>
      </c>
      <c r="AK37" s="3">
        <v>5359536.0000000019</v>
      </c>
      <c r="AL37" s="42">
        <f t="shared" si="3"/>
        <v>413.03166053872945</v>
      </c>
      <c r="AM37" s="7"/>
    </row>
    <row r="38" spans="1:39" x14ac:dyDescent="0.25">
      <c r="A38" s="36"/>
      <c r="B38" s="61">
        <v>27</v>
      </c>
      <c r="C38" s="222">
        <v>49</v>
      </c>
      <c r="D38" s="223">
        <v>401</v>
      </c>
      <c r="E38" s="109">
        <v>17079.999999999927</v>
      </c>
      <c r="F38" s="3">
        <v>17691122.399999924</v>
      </c>
      <c r="G38" s="38">
        <v>3639.9999999998727</v>
      </c>
      <c r="H38" s="3">
        <v>5655358.7999998024</v>
      </c>
      <c r="I38" s="106">
        <f t="shared" si="4"/>
        <v>23346481.199999727</v>
      </c>
      <c r="J38" s="109">
        <v>1879.9999999991996</v>
      </c>
      <c r="K38" s="3">
        <v>1947266.399999171</v>
      </c>
      <c r="L38" s="188">
        <v>500</v>
      </c>
      <c r="M38" s="189">
        <v>776835</v>
      </c>
      <c r="N38" s="97">
        <f t="shared" si="5"/>
        <v>2724101.399999171</v>
      </c>
      <c r="O38" s="111">
        <f t="shared" si="6"/>
        <v>26070582.599998899</v>
      </c>
      <c r="P38" s="114">
        <f t="shared" si="7"/>
        <v>23099.999999999</v>
      </c>
      <c r="Q38" s="193"/>
      <c r="R38" s="207"/>
      <c r="S38" s="194"/>
      <c r="T38" s="217"/>
      <c r="U38" s="214">
        <v>0</v>
      </c>
      <c r="V38" s="190">
        <f t="shared" si="8"/>
        <v>746.70999999999992</v>
      </c>
      <c r="W38" s="3">
        <v>88.11</v>
      </c>
      <c r="X38" s="3">
        <v>1583380.7549999999</v>
      </c>
      <c r="Y38" s="34">
        <v>658.59999999999991</v>
      </c>
      <c r="Z38" s="34">
        <v>1246809.3659999999</v>
      </c>
      <c r="AA38" s="34">
        <f t="shared" si="0"/>
        <v>2830190.1209999998</v>
      </c>
      <c r="AB38" s="131">
        <f t="shared" si="1"/>
        <v>218.10808348277484</v>
      </c>
      <c r="AC38" s="137">
        <v>120.51775999999295</v>
      </c>
      <c r="AD38" s="3">
        <v>0</v>
      </c>
      <c r="AE38" s="3">
        <v>0</v>
      </c>
      <c r="AF38" s="3">
        <v>12</v>
      </c>
      <c r="AG38" s="3">
        <f t="shared" si="9"/>
        <v>132.51775999999296</v>
      </c>
      <c r="AH38" s="3">
        <v>1432378.3739519245</v>
      </c>
      <c r="AI38" s="46">
        <f t="shared" si="2"/>
        <v>110.38597712808129</v>
      </c>
      <c r="AJ38" s="146">
        <v>393.22999999999956</v>
      </c>
      <c r="AK38" s="3">
        <v>4089591.9999999953</v>
      </c>
      <c r="AL38" s="42">
        <f t="shared" si="3"/>
        <v>315.1636586984211</v>
      </c>
      <c r="AM38" s="7"/>
    </row>
    <row r="39" spans="1:39" x14ac:dyDescent="0.25">
      <c r="A39" s="36"/>
      <c r="B39" s="61">
        <v>28</v>
      </c>
      <c r="C39" s="222">
        <v>63</v>
      </c>
      <c r="D39" s="223">
        <v>352</v>
      </c>
      <c r="E39" s="109">
        <v>17079.999999999927</v>
      </c>
      <c r="F39" s="3">
        <v>17691122.399999924</v>
      </c>
      <c r="G39" s="38">
        <v>3640.0000000001</v>
      </c>
      <c r="H39" s="3">
        <v>5655358.8000001553</v>
      </c>
      <c r="I39" s="106">
        <f t="shared" si="4"/>
        <v>23346481.200000077</v>
      </c>
      <c r="J39" s="109">
        <v>2000</v>
      </c>
      <c r="K39" s="3">
        <v>2071560</v>
      </c>
      <c r="L39" s="188">
        <v>500</v>
      </c>
      <c r="M39" s="189">
        <v>776835</v>
      </c>
      <c r="N39" s="97">
        <f t="shared" si="5"/>
        <v>2848395</v>
      </c>
      <c r="O39" s="111">
        <f t="shared" si="6"/>
        <v>26194876.200000077</v>
      </c>
      <c r="P39" s="114">
        <f t="shared" si="7"/>
        <v>23220.000000000029</v>
      </c>
      <c r="Q39" s="193"/>
      <c r="R39" s="210"/>
      <c r="S39" s="194"/>
      <c r="T39" s="217"/>
      <c r="U39" s="214">
        <v>0</v>
      </c>
      <c r="V39" s="190">
        <f t="shared" si="8"/>
        <v>841.85099999999488</v>
      </c>
      <c r="W39" s="3">
        <v>115.7</v>
      </c>
      <c r="X39" s="3">
        <v>2079186.85</v>
      </c>
      <c r="Y39" s="34">
        <v>726.15099999999484</v>
      </c>
      <c r="Z39" s="34">
        <v>1287991.8571799782</v>
      </c>
      <c r="AA39" s="34">
        <f t="shared" si="0"/>
        <v>3367178.7071799785</v>
      </c>
      <c r="AB39" s="131">
        <f t="shared" si="1"/>
        <v>259.49101055710759</v>
      </c>
      <c r="AC39" s="137">
        <v>138.56319999997655</v>
      </c>
      <c r="AD39" s="3">
        <v>0</v>
      </c>
      <c r="AE39" s="3">
        <v>0</v>
      </c>
      <c r="AF39" s="3">
        <v>0</v>
      </c>
      <c r="AG39" s="3">
        <f t="shared" si="9"/>
        <v>138.56319999997655</v>
      </c>
      <c r="AH39" s="3">
        <v>1486464.4406397485</v>
      </c>
      <c r="AI39" s="46">
        <f t="shared" si="2"/>
        <v>114.55410995452007</v>
      </c>
      <c r="AJ39" s="146">
        <v>431.27000000000044</v>
      </c>
      <c r="AK39" s="3">
        <v>4485208.0000000047</v>
      </c>
      <c r="AL39" s="42">
        <f t="shared" si="3"/>
        <v>345.65173330332976</v>
      </c>
      <c r="AM39" s="7"/>
    </row>
    <row r="40" spans="1:39" x14ac:dyDescent="0.25">
      <c r="A40" s="36"/>
      <c r="B40" s="61">
        <v>29</v>
      </c>
      <c r="C40" s="222">
        <v>77</v>
      </c>
      <c r="D40" s="223">
        <v>450</v>
      </c>
      <c r="E40" s="109">
        <v>18720.000000000255</v>
      </c>
      <c r="F40" s="3">
        <v>19389801.600000262</v>
      </c>
      <c r="G40" s="38">
        <v>4159.9999999998545</v>
      </c>
      <c r="H40" s="3">
        <v>6463267.1999997739</v>
      </c>
      <c r="I40" s="106">
        <f t="shared" si="4"/>
        <v>25853068.800000034</v>
      </c>
      <c r="J40" s="109">
        <v>700.0000000007276</v>
      </c>
      <c r="K40" s="3">
        <v>725046.00000075356</v>
      </c>
      <c r="L40" s="188">
        <v>0</v>
      </c>
      <c r="M40" s="189">
        <v>0</v>
      </c>
      <c r="N40" s="97">
        <f t="shared" si="5"/>
        <v>725046.00000075356</v>
      </c>
      <c r="O40" s="111">
        <f t="shared" ref="O40:O41" si="10">N40+I40</f>
        <v>26578114.800000787</v>
      </c>
      <c r="P40" s="114">
        <f t="shared" ref="P40:P41" si="11">L40+J40+G40+E40</f>
        <v>23580.000000000837</v>
      </c>
      <c r="Q40" s="196"/>
      <c r="R40" s="211"/>
      <c r="S40" s="194"/>
      <c r="T40" s="217"/>
      <c r="U40" s="214">
        <v>0</v>
      </c>
      <c r="V40" s="190">
        <f t="shared" si="8"/>
        <v>783.19999999999993</v>
      </c>
      <c r="W40" s="3">
        <v>83.66</v>
      </c>
      <c r="X40" s="3">
        <v>1503412.03</v>
      </c>
      <c r="Y40" s="34">
        <v>699.54</v>
      </c>
      <c r="Z40" s="34">
        <v>1295926.0985999999</v>
      </c>
      <c r="AA40" s="34">
        <f t="shared" ref="AA40:AA41" si="12">Z40+X40</f>
        <v>2799338.1285999999</v>
      </c>
      <c r="AB40" s="131">
        <f t="shared" ref="AB40:AB41" si="13">AA40/$AL$48</f>
        <v>215.73048033729728</v>
      </c>
      <c r="AC40" s="137">
        <v>129.05712000003282</v>
      </c>
      <c r="AD40" s="3">
        <v>0</v>
      </c>
      <c r="AE40" s="3">
        <v>0</v>
      </c>
      <c r="AF40" s="3">
        <v>12</v>
      </c>
      <c r="AG40" s="3">
        <f t="shared" si="9"/>
        <v>141.05712000003282</v>
      </c>
      <c r="AH40" s="3">
        <v>1523986.0662243522</v>
      </c>
      <c r="AI40" s="46">
        <f t="shared" ref="AI40:AI42" si="14">AH40/$AL$48</f>
        <v>117.44570716019635</v>
      </c>
      <c r="AJ40" s="146">
        <v>535.59000000000401</v>
      </c>
      <c r="AK40" s="3">
        <v>5570136.0000000419</v>
      </c>
      <c r="AL40" s="42">
        <f t="shared" si="3"/>
        <v>429.26151097904238</v>
      </c>
      <c r="AM40" s="7"/>
    </row>
    <row r="41" spans="1:39" x14ac:dyDescent="0.25">
      <c r="A41" s="36"/>
      <c r="B41" s="61">
        <v>30</v>
      </c>
      <c r="C41" s="222">
        <v>79</v>
      </c>
      <c r="D41" s="223">
        <v>507</v>
      </c>
      <c r="E41" s="109">
        <v>18359.999999999673</v>
      </c>
      <c r="F41" s="3">
        <v>19016920.799999662</v>
      </c>
      <c r="G41" s="38">
        <v>3480.0000000000182</v>
      </c>
      <c r="H41" s="3">
        <v>5406771.6000000285</v>
      </c>
      <c r="I41" s="106">
        <f t="shared" si="4"/>
        <v>24423692.399999689</v>
      </c>
      <c r="J41" s="109">
        <v>1880.0000000001091</v>
      </c>
      <c r="K41" s="3">
        <v>1947266.4000001131</v>
      </c>
      <c r="L41" s="188">
        <v>519.99999999998181</v>
      </c>
      <c r="M41" s="189">
        <v>807908.39999997173</v>
      </c>
      <c r="N41" s="97">
        <f t="shared" si="5"/>
        <v>2755174.8000000846</v>
      </c>
      <c r="O41" s="111">
        <f t="shared" si="10"/>
        <v>27178867.199999772</v>
      </c>
      <c r="P41" s="114">
        <f t="shared" si="11"/>
        <v>24239.999999999782</v>
      </c>
      <c r="Q41" s="193"/>
      <c r="R41" s="212"/>
      <c r="S41" s="194"/>
      <c r="T41" s="217"/>
      <c r="U41" s="214">
        <v>0</v>
      </c>
      <c r="V41" s="190">
        <f t="shared" si="8"/>
        <v>781.42</v>
      </c>
      <c r="W41" s="3">
        <v>91.67</v>
      </c>
      <c r="X41" s="3">
        <v>1647355.7350000001</v>
      </c>
      <c r="Y41" s="34">
        <v>689.75</v>
      </c>
      <c r="Z41" s="34">
        <v>1261922.2068</v>
      </c>
      <c r="AA41" s="34">
        <f t="shared" si="12"/>
        <v>2909277.9418000001</v>
      </c>
      <c r="AB41" s="131">
        <f t="shared" si="13"/>
        <v>224.2029719121862</v>
      </c>
      <c r="AC41" s="137">
        <v>135.50191999999765</v>
      </c>
      <c r="AD41" s="3">
        <v>0</v>
      </c>
      <c r="AE41" s="3">
        <v>400</v>
      </c>
      <c r="AF41" s="3">
        <v>24</v>
      </c>
      <c r="AG41" s="3">
        <f t="shared" si="9"/>
        <v>559.50191999999765</v>
      </c>
      <c r="AH41" s="3">
        <v>6592623.947183975</v>
      </c>
      <c r="AI41" s="46">
        <f t="shared" si="14"/>
        <v>508.05935741690871</v>
      </c>
      <c r="AJ41" s="146">
        <v>840.15000000000873</v>
      </c>
      <c r="AK41" s="3">
        <v>8737560.0000000913</v>
      </c>
      <c r="AL41" s="42">
        <f t="shared" si="3"/>
        <v>673.35846160130598</v>
      </c>
      <c r="AM41" s="7"/>
    </row>
    <row r="42" spans="1:39" x14ac:dyDescent="0.25">
      <c r="A42" s="36"/>
      <c r="B42" s="61">
        <v>31</v>
      </c>
      <c r="C42" s="222">
        <v>71</v>
      </c>
      <c r="D42" s="223">
        <v>544</v>
      </c>
      <c r="E42" s="109">
        <v>17560.0000000004</v>
      </c>
      <c r="F42" s="3">
        <v>18188296.800000414</v>
      </c>
      <c r="G42" s="38">
        <v>3640.0000000001</v>
      </c>
      <c r="H42" s="3">
        <v>5655358.8000001553</v>
      </c>
      <c r="I42" s="106">
        <f t="shared" si="4"/>
        <v>23843655.600000568</v>
      </c>
      <c r="J42" s="109">
        <v>2059.9999999994907</v>
      </c>
      <c r="K42" s="3">
        <v>2133706.7999994722</v>
      </c>
      <c r="L42" s="188">
        <v>500</v>
      </c>
      <c r="M42" s="189">
        <v>776835</v>
      </c>
      <c r="N42" s="97">
        <f t="shared" ref="N42" si="15">+K42+M42</f>
        <v>2910541.7999994722</v>
      </c>
      <c r="O42" s="111">
        <f t="shared" ref="O42" si="16">N42+I42</f>
        <v>26754197.400000039</v>
      </c>
      <c r="P42" s="114">
        <f t="shared" ref="P42" si="17">L42+J42+G42+E42</f>
        <v>23759.999999999993</v>
      </c>
      <c r="Q42" s="193"/>
      <c r="R42" s="212"/>
      <c r="S42" s="194"/>
      <c r="T42" s="217"/>
      <c r="U42" s="214">
        <v>0</v>
      </c>
      <c r="V42" s="190">
        <f t="shared" si="8"/>
        <v>783.2</v>
      </c>
      <c r="W42" s="3">
        <v>141.51</v>
      </c>
      <c r="X42" s="3">
        <v>2543005.4549999996</v>
      </c>
      <c r="Y42" s="34">
        <v>641.69000000000005</v>
      </c>
      <c r="Z42" s="34">
        <v>1231696.5252</v>
      </c>
      <c r="AA42" s="34">
        <f t="shared" ref="AA42" si="18">Z42+X42</f>
        <v>3774701.9801999996</v>
      </c>
      <c r="AB42" s="131">
        <f t="shared" ref="AB42" si="19">AA42/$AL$48</f>
        <v>290.89671697714795</v>
      </c>
      <c r="AC42" s="137">
        <v>136.02556000001641</v>
      </c>
      <c r="AD42" s="3">
        <v>0</v>
      </c>
      <c r="AE42" s="3">
        <v>0</v>
      </c>
      <c r="AF42" s="3">
        <v>24</v>
      </c>
      <c r="AG42" s="3">
        <f t="shared" si="9"/>
        <v>160.02556000001641</v>
      </c>
      <c r="AH42" s="3">
        <v>1738241.4000121763</v>
      </c>
      <c r="AI42" s="46">
        <f t="shared" si="14"/>
        <v>133.95725522959353</v>
      </c>
      <c r="AJ42" s="146">
        <v>649.04999999999927</v>
      </c>
      <c r="AK42" s="3">
        <v>6750119.9999999925</v>
      </c>
      <c r="AL42" s="42">
        <f t="shared" si="3"/>
        <v>520.19676189052268</v>
      </c>
      <c r="AM42" s="7"/>
    </row>
    <row r="43" spans="1:39" ht="16.5" thickBot="1" x14ac:dyDescent="0.3">
      <c r="A43" s="36"/>
      <c r="B43" s="125"/>
      <c r="C43" s="153"/>
      <c r="D43" s="154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79"/>
      <c r="R43" s="213"/>
      <c r="S43" s="195"/>
      <c r="T43" s="218"/>
      <c r="U43" s="215"/>
      <c r="V43" s="190"/>
      <c r="W43" s="3"/>
      <c r="X43" s="3"/>
      <c r="Y43" s="34"/>
      <c r="Z43" s="34"/>
      <c r="AA43" s="18"/>
      <c r="AB43" s="132"/>
      <c r="AC43" s="130"/>
      <c r="AD43" s="3"/>
      <c r="AE43" s="2"/>
      <c r="AF43" s="2">
        <v>456</v>
      </c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2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5" thickBot="1" x14ac:dyDescent="0.3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1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7.25" thickTop="1" thickBot="1" x14ac:dyDescent="0.3">
      <c r="A47" s="27"/>
      <c r="B47" s="72"/>
      <c r="C47" s="73">
        <f>SUM(C12:C43)</f>
        <v>2127</v>
      </c>
      <c r="D47" s="73">
        <f>SUM(D12:D43)</f>
        <v>14955</v>
      </c>
      <c r="E47" s="73">
        <f>SUM(E12:E43)</f>
        <v>553080.00000000081</v>
      </c>
      <c r="F47" s="73">
        <f>SUM(F12:F43)</f>
        <v>572869202.40000081</v>
      </c>
      <c r="G47" s="73">
        <f>SUM(G12:G43)</f>
        <v>112039.99999999997</v>
      </c>
      <c r="H47" s="73">
        <f t="shared" ref="H47:O47" si="20">SUM(H12:H43)</f>
        <v>174073186.79999995</v>
      </c>
      <c r="I47" s="73">
        <f t="shared" si="20"/>
        <v>746942389.20000088</v>
      </c>
      <c r="J47" s="73">
        <f t="shared" si="20"/>
        <v>59619.999999999891</v>
      </c>
      <c r="K47" s="73">
        <f t="shared" si="20"/>
        <v>61753203.599999875</v>
      </c>
      <c r="L47" s="73">
        <f t="shared" si="20"/>
        <v>14819.999999999936</v>
      </c>
      <c r="M47" s="73">
        <f t="shared" si="20"/>
        <v>23025389.399999902</v>
      </c>
      <c r="N47" s="73">
        <f t="shared" si="20"/>
        <v>84778592.999999806</v>
      </c>
      <c r="O47" s="73">
        <f t="shared" si="20"/>
        <v>831720982.20000052</v>
      </c>
      <c r="P47" s="85">
        <f>SUM(P12:P43)</f>
        <v>739560.00000000058</v>
      </c>
      <c r="Q47" s="192" t="e">
        <f>+#REF!</f>
        <v>#REF!</v>
      </c>
      <c r="R47" s="126" t="e">
        <f>+#REF!</f>
        <v>#REF!</v>
      </c>
      <c r="S47" s="118" t="e">
        <f>Q47+P47</f>
        <v>#REF!</v>
      </c>
      <c r="T47" s="118" t="e">
        <f>R47+O47</f>
        <v>#REF!</v>
      </c>
      <c r="U47" s="140" t="e">
        <f>T47/AL48</f>
        <v>#REF!</v>
      </c>
      <c r="V47" s="180">
        <f>SUM(V12:V42)</f>
        <v>26550.479999999996</v>
      </c>
      <c r="W47" s="55">
        <f>SUM(W12:W42)</f>
        <v>4281.7899999999991</v>
      </c>
      <c r="X47" s="55">
        <f t="shared" ref="X47:Z47" si="21">SUM(X12:X42)</f>
        <v>76945907.195000008</v>
      </c>
      <c r="Y47" s="55">
        <f t="shared" si="21"/>
        <v>22268.690000000002</v>
      </c>
      <c r="Z47" s="55">
        <f t="shared" si="21"/>
        <v>29753405.325000003</v>
      </c>
      <c r="AA47" s="139">
        <f>SUM(AA12:AA42)</f>
        <v>106699312.52000001</v>
      </c>
      <c r="AB47" s="127">
        <f>AA47/$AL$48</f>
        <v>8222.7629833023675</v>
      </c>
      <c r="AC47" s="47">
        <f>SUM(AC12:AC41)</f>
        <v>4111.7018399999952</v>
      </c>
      <c r="AD47" s="141">
        <f>SUM(AD12:AD41)</f>
        <v>0</v>
      </c>
      <c r="AE47" s="47">
        <f>SUM(AE12:AE42)</f>
        <v>2000</v>
      </c>
      <c r="AF47" s="47">
        <f>SUM(AF12:AF42)</f>
        <v>456</v>
      </c>
      <c r="AG47" s="221">
        <f>SUM(AG12:AG42)</f>
        <v>6703.7274000000125</v>
      </c>
      <c r="AH47" s="150">
        <f>SUM(AH12:AH43)</f>
        <v>75169345.228980124</v>
      </c>
      <c r="AI47" s="151">
        <f>AH47/$AL$48</f>
        <v>5792.9118269817891</v>
      </c>
      <c r="AJ47" s="220">
        <f>SUM(AJ12:AJ43)</f>
        <v>18530.950000000012</v>
      </c>
      <c r="AK47" s="148">
        <f>SUM(AK12:AK43)</f>
        <v>192721880.00000015</v>
      </c>
      <c r="AL47" s="149">
        <f>AK47/AL48</f>
        <v>14852.076395894306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5" t="e">
        <f>U47/S47</f>
        <v>#REF!</v>
      </c>
      <c r="V48" s="197" t="s">
        <v>53</v>
      </c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2">
        <v>12976.09</v>
      </c>
      <c r="AM48" s="27"/>
    </row>
    <row r="49" spans="1:39" s="1" customFormat="1" x14ac:dyDescent="0.25">
      <c r="A49" s="27"/>
      <c r="B49" s="27"/>
      <c r="C49" s="5"/>
      <c r="D49" s="11"/>
      <c r="E49" s="5"/>
      <c r="F49" s="5"/>
      <c r="G49" s="11"/>
      <c r="H49" s="5"/>
      <c r="I49" s="9"/>
      <c r="J49" s="9"/>
      <c r="K49" s="9"/>
      <c r="L49" s="17"/>
      <c r="M49" s="66"/>
      <c r="N49" s="70"/>
      <c r="O49" s="10"/>
      <c r="P49" s="70"/>
      <c r="Q49" s="10"/>
      <c r="R49" s="117"/>
      <c r="S49" s="14"/>
      <c r="T49" s="84"/>
      <c r="U49" s="155"/>
      <c r="V49" s="197"/>
      <c r="W49" s="11"/>
      <c r="X49" s="11"/>
      <c r="Y49" s="142"/>
      <c r="Z49" s="11"/>
      <c r="AA49" s="11"/>
      <c r="AB49" s="11"/>
      <c r="AC49" s="16"/>
      <c r="AD49" s="7"/>
      <c r="AE49" s="16"/>
      <c r="AF49" s="16"/>
      <c r="AG49" s="7"/>
      <c r="AH49" s="5"/>
      <c r="AI49" s="11"/>
      <c r="AJ49" s="91"/>
      <c r="AK49" s="11"/>
      <c r="AL49" s="152"/>
      <c r="AM49" s="27"/>
    </row>
    <row r="50" spans="1:39" s="200" customFormat="1" x14ac:dyDescent="0.25">
      <c r="A50" s="198"/>
      <c r="B50" s="198"/>
      <c r="C50" s="199"/>
      <c r="E50" s="199"/>
      <c r="F50" s="199"/>
      <c r="H50" s="199"/>
      <c r="L50" s="199"/>
      <c r="M50" s="201"/>
      <c r="N50" s="202"/>
      <c r="P50" s="202"/>
      <c r="R50" s="203"/>
      <c r="AD50" s="199"/>
      <c r="AH50" s="199"/>
      <c r="AJ50" s="203"/>
      <c r="AL50" s="204"/>
      <c r="AM50" s="198"/>
    </row>
    <row r="51" spans="1:39" s="200" customFormat="1" x14ac:dyDescent="0.25">
      <c r="A51" s="198"/>
      <c r="B51" s="198"/>
      <c r="C51" s="199"/>
      <c r="E51" s="199"/>
      <c r="F51" s="199"/>
      <c r="H51" s="199"/>
      <c r="L51" s="199"/>
      <c r="M51" s="201"/>
      <c r="N51" s="202"/>
      <c r="P51" s="202"/>
      <c r="R51" s="203"/>
      <c r="AD51" s="199"/>
      <c r="AH51" s="199"/>
      <c r="AJ51" s="203"/>
      <c r="AL51" s="204"/>
      <c r="AM51" s="198"/>
    </row>
    <row r="52" spans="1:39" s="200" customFormat="1" x14ac:dyDescent="0.25">
      <c r="A52" s="198"/>
      <c r="B52" s="198"/>
      <c r="C52" s="199"/>
      <c r="E52" s="199"/>
      <c r="F52" s="199"/>
      <c r="H52" s="199"/>
      <c r="L52" s="199"/>
      <c r="M52" s="201"/>
      <c r="N52" s="202"/>
      <c r="P52" s="202"/>
      <c r="R52" s="203"/>
      <c r="AD52" s="199"/>
      <c r="AH52" s="199"/>
      <c r="AJ52" s="203"/>
      <c r="AL52" s="204"/>
      <c r="AM52" s="198"/>
    </row>
    <row r="53" spans="1:39" s="200" customFormat="1" x14ac:dyDescent="0.25">
      <c r="A53" s="198"/>
      <c r="B53" s="198"/>
      <c r="C53" s="199"/>
      <c r="E53" s="199"/>
      <c r="F53" s="199"/>
      <c r="H53" s="199"/>
      <c r="L53" s="199"/>
      <c r="M53" s="201"/>
      <c r="N53" s="202"/>
      <c r="P53" s="202"/>
      <c r="R53" s="203"/>
      <c r="AD53" s="199"/>
      <c r="AH53" s="199"/>
      <c r="AJ53" s="203"/>
      <c r="AL53" s="204"/>
      <c r="AM53" s="198"/>
    </row>
    <row r="54" spans="1:39" s="200" customFormat="1" x14ac:dyDescent="0.25">
      <c r="A54" s="198"/>
      <c r="B54" s="198"/>
      <c r="C54" s="199"/>
      <c r="E54" s="199"/>
      <c r="F54" s="199"/>
      <c r="H54" s="199"/>
      <c r="L54" s="199"/>
      <c r="M54" s="201"/>
      <c r="N54" s="202"/>
      <c r="P54" s="202"/>
      <c r="R54" s="203"/>
      <c r="AD54" s="199"/>
      <c r="AH54" s="199"/>
      <c r="AJ54" s="203"/>
      <c r="AL54" s="204"/>
      <c r="AM54" s="198"/>
    </row>
    <row r="55" spans="1:39" s="200" customFormat="1" x14ac:dyDescent="0.25">
      <c r="A55" s="198"/>
      <c r="B55" s="198"/>
      <c r="C55" s="199"/>
      <c r="E55" s="199"/>
      <c r="F55" s="199"/>
      <c r="H55" s="199"/>
      <c r="L55" s="199"/>
      <c r="M55" s="201"/>
      <c r="N55" s="202"/>
      <c r="P55" s="202"/>
      <c r="R55" s="203"/>
      <c r="AD55" s="199"/>
      <c r="AH55" s="199"/>
      <c r="AJ55" s="203"/>
      <c r="AL55" s="204"/>
      <c r="AM55" s="198"/>
    </row>
    <row r="56" spans="1:39" s="200" customFormat="1" x14ac:dyDescent="0.25">
      <c r="A56" s="198"/>
      <c r="B56" s="198"/>
      <c r="C56" s="199"/>
      <c r="E56" s="199"/>
      <c r="F56" s="199"/>
      <c r="H56" s="199"/>
      <c r="L56" s="199"/>
      <c r="M56" s="201"/>
      <c r="N56" s="202"/>
      <c r="P56" s="202"/>
      <c r="R56" s="203"/>
      <c r="AD56" s="199"/>
      <c r="AH56" s="199"/>
      <c r="AJ56" s="203"/>
      <c r="AL56" s="204"/>
      <c r="AM56" s="198"/>
    </row>
    <row r="57" spans="1:39" s="200" customFormat="1" x14ac:dyDescent="0.25">
      <c r="A57" s="198"/>
      <c r="B57" s="198"/>
      <c r="C57" s="199"/>
      <c r="E57" s="199"/>
      <c r="F57" s="199"/>
      <c r="H57" s="199"/>
      <c r="L57" s="199"/>
      <c r="M57" s="201"/>
      <c r="N57" s="202"/>
      <c r="P57" s="202"/>
      <c r="R57" s="203"/>
      <c r="AD57" s="199"/>
      <c r="AH57" s="199"/>
      <c r="AJ57" s="203"/>
      <c r="AL57" s="204"/>
      <c r="AM57" s="198"/>
    </row>
    <row r="58" spans="1:39" s="200" customFormat="1" x14ac:dyDescent="0.25">
      <c r="A58" s="198"/>
      <c r="B58" s="198"/>
      <c r="C58" s="199"/>
      <c r="E58" s="199"/>
      <c r="F58" s="199"/>
      <c r="H58" s="199"/>
      <c r="L58" s="199"/>
      <c r="M58" s="201"/>
      <c r="N58" s="202"/>
      <c r="P58" s="202"/>
      <c r="R58" s="203"/>
      <c r="AD58" s="199"/>
      <c r="AH58" s="199"/>
      <c r="AJ58" s="203"/>
      <c r="AL58" s="204"/>
      <c r="AM58" s="198"/>
    </row>
    <row r="59" spans="1:39" s="200" customFormat="1" x14ac:dyDescent="0.25">
      <c r="A59" s="198"/>
      <c r="B59" s="198"/>
      <c r="C59" s="199"/>
      <c r="E59" s="199"/>
      <c r="F59" s="199"/>
      <c r="H59" s="199"/>
      <c r="L59" s="199"/>
      <c r="M59" s="201"/>
      <c r="N59" s="202"/>
      <c r="P59" s="202"/>
      <c r="R59" s="203"/>
      <c r="AD59" s="199"/>
      <c r="AH59" s="199"/>
      <c r="AJ59" s="203"/>
      <c r="AL59" s="204"/>
      <c r="AM59" s="198"/>
    </row>
    <row r="60" spans="1:39" s="200" customFormat="1" x14ac:dyDescent="0.25">
      <c r="A60" s="198"/>
      <c r="B60" s="198"/>
      <c r="C60" s="199"/>
      <c r="E60" s="199"/>
      <c r="F60" s="199"/>
      <c r="H60" s="199"/>
      <c r="L60" s="199"/>
      <c r="M60" s="201"/>
      <c r="N60" s="202"/>
      <c r="P60" s="202"/>
      <c r="R60" s="203"/>
      <c r="AD60" s="199"/>
      <c r="AH60" s="199"/>
      <c r="AJ60" s="203"/>
      <c r="AL60" s="204"/>
      <c r="AM60" s="198"/>
    </row>
    <row r="61" spans="1:39" s="200" customFormat="1" x14ac:dyDescent="0.25">
      <c r="A61" s="198"/>
      <c r="B61" s="198"/>
      <c r="C61" s="199"/>
      <c r="E61" s="199"/>
      <c r="F61" s="199"/>
      <c r="H61" s="199"/>
      <c r="L61" s="199"/>
      <c r="M61" s="201"/>
      <c r="N61" s="202"/>
      <c r="P61" s="202"/>
      <c r="R61" s="203"/>
      <c r="AD61" s="199"/>
      <c r="AH61" s="199"/>
      <c r="AJ61" s="203"/>
      <c r="AL61" s="204"/>
      <c r="AM61" s="198"/>
    </row>
    <row r="62" spans="1:39" s="200" customFormat="1" x14ac:dyDescent="0.25">
      <c r="A62" s="198"/>
      <c r="B62" s="198"/>
      <c r="C62" s="199"/>
      <c r="E62" s="199"/>
      <c r="F62" s="199"/>
      <c r="H62" s="199"/>
      <c r="L62" s="199"/>
      <c r="M62" s="201"/>
      <c r="N62" s="202"/>
      <c r="P62" s="202"/>
      <c r="R62" s="203"/>
      <c r="AD62" s="199"/>
      <c r="AH62" s="199"/>
      <c r="AJ62" s="203"/>
      <c r="AL62" s="204"/>
      <c r="AM62" s="198"/>
    </row>
  </sheetData>
  <mergeCells count="17"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  <mergeCell ref="T9:U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6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60">
        <v>43586</v>
      </c>
      <c r="B2" s="261"/>
      <c r="C2" s="261"/>
    </row>
    <row r="3" spans="1:3" x14ac:dyDescent="0.25">
      <c r="A3" s="263" t="s">
        <v>1</v>
      </c>
      <c r="B3" s="262" t="s">
        <v>2</v>
      </c>
      <c r="C3" s="262" t="s">
        <v>3</v>
      </c>
    </row>
    <row r="4" spans="1:3" x14ac:dyDescent="0.25">
      <c r="A4" s="263"/>
      <c r="B4" s="262"/>
      <c r="C4" s="262"/>
    </row>
    <row r="5" spans="1:3" x14ac:dyDescent="0.25">
      <c r="A5" s="263"/>
      <c r="B5" s="262"/>
      <c r="C5" s="262"/>
    </row>
    <row r="6" spans="1:3" x14ac:dyDescent="0.25">
      <c r="A6" s="2">
        <v>1</v>
      </c>
      <c r="B6" s="222">
        <v>146</v>
      </c>
      <c r="C6" s="223">
        <v>802</v>
      </c>
    </row>
    <row r="7" spans="1:3" x14ac:dyDescent="0.25">
      <c r="A7" s="2">
        <v>2</v>
      </c>
      <c r="B7" s="222">
        <v>66</v>
      </c>
      <c r="C7" s="223">
        <v>699</v>
      </c>
    </row>
    <row r="8" spans="1:3" x14ac:dyDescent="0.25">
      <c r="A8" s="2">
        <f>A7+1</f>
        <v>3</v>
      </c>
      <c r="B8" s="222">
        <v>87</v>
      </c>
      <c r="C8" s="223">
        <v>603</v>
      </c>
    </row>
    <row r="9" spans="1:3" x14ac:dyDescent="0.25">
      <c r="A9" s="2">
        <f>A8+1</f>
        <v>4</v>
      </c>
      <c r="B9" s="222">
        <v>73</v>
      </c>
      <c r="C9" s="223">
        <v>630</v>
      </c>
    </row>
    <row r="10" spans="1:3" x14ac:dyDescent="0.25">
      <c r="A10" s="2">
        <f t="shared" ref="A10:A36" si="0">A9+1</f>
        <v>5</v>
      </c>
      <c r="B10" s="222">
        <v>53</v>
      </c>
      <c r="C10" s="223">
        <v>540</v>
      </c>
    </row>
    <row r="11" spans="1:3" x14ac:dyDescent="0.25">
      <c r="A11" s="2">
        <f t="shared" si="0"/>
        <v>6</v>
      </c>
      <c r="B11" s="222">
        <v>42</v>
      </c>
      <c r="C11" s="223">
        <v>394</v>
      </c>
    </row>
    <row r="12" spans="1:3" x14ac:dyDescent="0.25">
      <c r="A12" s="2">
        <f t="shared" si="0"/>
        <v>7</v>
      </c>
      <c r="B12" s="222">
        <v>42</v>
      </c>
      <c r="C12" s="223">
        <v>330</v>
      </c>
    </row>
    <row r="13" spans="1:3" x14ac:dyDescent="0.25">
      <c r="A13" s="2">
        <f t="shared" si="0"/>
        <v>8</v>
      </c>
      <c r="B13" s="222">
        <v>45</v>
      </c>
      <c r="C13" s="223">
        <v>345</v>
      </c>
    </row>
    <row r="14" spans="1:3" x14ac:dyDescent="0.25">
      <c r="A14" s="2">
        <f t="shared" si="0"/>
        <v>9</v>
      </c>
      <c r="B14" s="222">
        <v>48</v>
      </c>
      <c r="C14" s="223">
        <v>421</v>
      </c>
    </row>
    <row r="15" spans="1:3" x14ac:dyDescent="0.25">
      <c r="A15" s="2">
        <f t="shared" si="0"/>
        <v>10</v>
      </c>
      <c r="B15" s="222">
        <v>56</v>
      </c>
      <c r="C15" s="223">
        <v>368</v>
      </c>
    </row>
    <row r="16" spans="1:3" x14ac:dyDescent="0.25">
      <c r="A16" s="2">
        <f t="shared" si="0"/>
        <v>11</v>
      </c>
      <c r="B16" s="222">
        <v>85</v>
      </c>
      <c r="C16" s="223">
        <v>392</v>
      </c>
    </row>
    <row r="17" spans="1:3" x14ac:dyDescent="0.25">
      <c r="A17" s="2">
        <f t="shared" si="0"/>
        <v>12</v>
      </c>
      <c r="B17" s="222">
        <v>110</v>
      </c>
      <c r="C17" s="223">
        <v>480</v>
      </c>
    </row>
    <row r="18" spans="1:3" x14ac:dyDescent="0.25">
      <c r="A18" s="2">
        <f t="shared" si="0"/>
        <v>13</v>
      </c>
      <c r="B18" s="222">
        <v>99</v>
      </c>
      <c r="C18" s="223">
        <v>775</v>
      </c>
    </row>
    <row r="19" spans="1:3" x14ac:dyDescent="0.25">
      <c r="A19" s="2">
        <f t="shared" si="0"/>
        <v>14</v>
      </c>
      <c r="B19" s="222">
        <v>105</v>
      </c>
      <c r="C19" s="223">
        <v>246</v>
      </c>
    </row>
    <row r="20" spans="1:3" x14ac:dyDescent="0.25">
      <c r="A20" s="2">
        <f t="shared" si="0"/>
        <v>15</v>
      </c>
      <c r="B20" s="222">
        <v>109</v>
      </c>
      <c r="C20" s="223">
        <v>795</v>
      </c>
    </row>
    <row r="21" spans="1:3" x14ac:dyDescent="0.25">
      <c r="A21" s="2">
        <f t="shared" si="0"/>
        <v>16</v>
      </c>
      <c r="B21" s="222">
        <v>109</v>
      </c>
      <c r="C21" s="223">
        <v>566</v>
      </c>
    </row>
    <row r="22" spans="1:3" x14ac:dyDescent="0.25">
      <c r="A22" s="2">
        <f t="shared" si="0"/>
        <v>17</v>
      </c>
      <c r="B22" s="222">
        <v>106</v>
      </c>
      <c r="C22" s="223">
        <v>722</v>
      </c>
    </row>
    <row r="23" spans="1:3" x14ac:dyDescent="0.25">
      <c r="A23" s="2">
        <f t="shared" si="0"/>
        <v>18</v>
      </c>
      <c r="B23" s="222">
        <v>78</v>
      </c>
      <c r="C23" s="223">
        <v>572</v>
      </c>
    </row>
    <row r="24" spans="1:3" x14ac:dyDescent="0.25">
      <c r="A24" s="2">
        <f t="shared" si="0"/>
        <v>19</v>
      </c>
      <c r="B24" s="222">
        <v>37</v>
      </c>
      <c r="C24" s="223">
        <v>356</v>
      </c>
    </row>
    <row r="25" spans="1:3" x14ac:dyDescent="0.25">
      <c r="A25" s="2">
        <f t="shared" si="0"/>
        <v>20</v>
      </c>
      <c r="B25" s="222">
        <v>31</v>
      </c>
      <c r="C25" s="223">
        <v>288</v>
      </c>
    </row>
    <row r="26" spans="1:3" x14ac:dyDescent="0.25">
      <c r="A26" s="2">
        <f t="shared" si="0"/>
        <v>21</v>
      </c>
      <c r="B26" s="222">
        <v>35</v>
      </c>
      <c r="C26" s="223">
        <v>294</v>
      </c>
    </row>
    <row r="27" spans="1:3" x14ac:dyDescent="0.25">
      <c r="A27" s="2">
        <f t="shared" si="0"/>
        <v>22</v>
      </c>
      <c r="B27" s="222">
        <v>34</v>
      </c>
      <c r="C27" s="223">
        <v>282</v>
      </c>
    </row>
    <row r="28" spans="1:3" x14ac:dyDescent="0.25">
      <c r="A28" s="2">
        <f t="shared" si="0"/>
        <v>23</v>
      </c>
      <c r="B28" s="222">
        <v>33</v>
      </c>
      <c r="C28" s="223">
        <v>360</v>
      </c>
    </row>
    <row r="29" spans="1:3" x14ac:dyDescent="0.25">
      <c r="A29" s="2">
        <f t="shared" si="0"/>
        <v>24</v>
      </c>
      <c r="B29" s="222">
        <v>45</v>
      </c>
      <c r="C29" s="223">
        <v>458</v>
      </c>
    </row>
    <row r="30" spans="1:3" x14ac:dyDescent="0.25">
      <c r="A30" s="2">
        <f t="shared" si="0"/>
        <v>25</v>
      </c>
      <c r="B30" s="222">
        <v>56</v>
      </c>
      <c r="C30" s="223">
        <v>386</v>
      </c>
    </row>
    <row r="31" spans="1:3" x14ac:dyDescent="0.25">
      <c r="A31" s="2">
        <f t="shared" si="0"/>
        <v>26</v>
      </c>
      <c r="B31" s="222">
        <v>58</v>
      </c>
      <c r="C31" s="223">
        <v>597</v>
      </c>
    </row>
    <row r="32" spans="1:3" x14ac:dyDescent="0.25">
      <c r="A32" s="2">
        <f t="shared" si="0"/>
        <v>27</v>
      </c>
      <c r="B32" s="222">
        <v>49</v>
      </c>
      <c r="C32" s="223">
        <v>401</v>
      </c>
    </row>
    <row r="33" spans="1:3" x14ac:dyDescent="0.25">
      <c r="A33" s="2">
        <f t="shared" si="0"/>
        <v>28</v>
      </c>
      <c r="B33" s="222">
        <v>63</v>
      </c>
      <c r="C33" s="223">
        <v>352</v>
      </c>
    </row>
    <row r="34" spans="1:3" x14ac:dyDescent="0.25">
      <c r="A34" s="2">
        <f t="shared" si="0"/>
        <v>29</v>
      </c>
      <c r="B34" s="222">
        <v>77</v>
      </c>
      <c r="C34" s="223">
        <v>450</v>
      </c>
    </row>
    <row r="35" spans="1:3" x14ac:dyDescent="0.25">
      <c r="A35" s="2">
        <f t="shared" si="0"/>
        <v>30</v>
      </c>
      <c r="B35" s="222">
        <v>79</v>
      </c>
      <c r="C35" s="223">
        <v>507</v>
      </c>
    </row>
    <row r="36" spans="1:3" x14ac:dyDescent="0.25">
      <c r="A36" s="2">
        <f t="shared" si="0"/>
        <v>31</v>
      </c>
      <c r="B36" s="222">
        <v>71</v>
      </c>
      <c r="C36" s="223">
        <v>544</v>
      </c>
    </row>
    <row r="38" spans="1:3" x14ac:dyDescent="0.25">
      <c r="B38" s="6">
        <f>SUM(B6:B36)</f>
        <v>2127</v>
      </c>
      <c r="C38" s="6">
        <f>SUM(C6:C36)</f>
        <v>14955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264145-82E0-4074-A9D4-4BBB4564C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purl.org/dc/dcmitype/"/>
    <ds:schemaRef ds:uri="http://schemas.microsoft.com/office/infopath/2007/PartnerControls"/>
    <ds:schemaRef ds:uri="http://purl.org/dc/elements/1.1/"/>
    <ds:schemaRef ds:uri="a2b08d59-ce98-408b-b7f1-7ea559ce0d50"/>
    <ds:schemaRef ds:uri="2e11796f-5f26-4c51-a1e5-22e0f1616a71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May 2019</vt:lpstr>
      <vt:lpstr>RNs &amp; Covers May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2022-06-06T12:57:11Z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