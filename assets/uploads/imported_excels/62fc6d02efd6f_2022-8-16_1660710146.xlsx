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externalLinks/externalLink1.xml" ContentType="application/vnd.openxmlformats-officedocument.spreadsheetml.externalLink+xml"/>
  <Override PartName="/xl/externalLinks/externalLink2.xml" ContentType="application/vnd.openxmlformats-officedocument.spreadsheetml.externalLink+xml"/>
  <Override PartName="/xl/externalLinks/externalLink3.xml" ContentType="application/vnd.openxmlformats-officedocument.spreadsheetml.externalLink+xml"/>
  <Override PartName="/xl/externalLinks/externalLink4.xml" ContentType="application/vnd.openxmlformats-officedocument.spreadsheetml.externalLink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6" lowestEdited="6" rupBuild="14420"/>
  <workbookPr defaultThemeVersion="124226"/>
  <mc:AlternateContent xmlns:mc="http://schemas.openxmlformats.org/markup-compatibility/2006">
    <mc:Choice Requires="x15">
      <x15ac:absPath xmlns:x15ac="http://schemas.microsoft.com/office/spreadsheetml/2010/11/ac" url="N:\SHARE\ENG\Elektrik su doğalgaz 2022\"/>
    </mc:Choice>
  </mc:AlternateContent>
  <bookViews>
    <workbookView xWindow="0" yWindow="0" windowWidth="28770" windowHeight="12270"/>
  </bookViews>
  <sheets>
    <sheet name="TOTAL" sheetId="5" r:id="rId1"/>
    <sheet name="Water" sheetId="8" r:id="rId2"/>
    <sheet name="Gas" sheetId="9" r:id="rId3"/>
    <sheet name="Electricity" sheetId="10" r:id="rId4"/>
  </sheets>
  <externalReferences>
    <externalReference r:id="rId5"/>
    <externalReference r:id="rId6"/>
    <externalReference r:id="rId7"/>
    <externalReference r:id="rId8"/>
  </externalReferences>
  <calcPr calcId="162913"/>
  <fileRecoveryPr autoRecover="0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</xcalcf:calcFeatures>
    </ext>
  </extLst>
</workbook>
</file>

<file path=xl/calcChain.xml><?xml version="1.0" encoding="utf-8"?>
<calcChain xmlns="http://schemas.openxmlformats.org/spreadsheetml/2006/main">
  <c r="F8" i="9" l="1"/>
  <c r="E34" i="8" l="1"/>
  <c r="E33" i="8"/>
  <c r="E32" i="8"/>
  <c r="E31" i="8"/>
  <c r="E30" i="8"/>
  <c r="E29" i="8"/>
  <c r="E28" i="8"/>
  <c r="E27" i="8"/>
  <c r="E26" i="8"/>
  <c r="E25" i="8"/>
  <c r="E24" i="8"/>
  <c r="E23" i="8"/>
  <c r="E22" i="8"/>
  <c r="E21" i="8"/>
  <c r="E20" i="8"/>
  <c r="E19" i="8"/>
  <c r="E18" i="8"/>
  <c r="E8" i="8" l="1"/>
  <c r="E6" i="8"/>
  <c r="E5" i="8"/>
  <c r="E4" i="8"/>
  <c r="E34" i="9"/>
  <c r="E33" i="9"/>
  <c r="E32" i="9"/>
  <c r="E31" i="9"/>
  <c r="E30" i="9"/>
  <c r="E29" i="9"/>
  <c r="E28" i="9"/>
  <c r="E27" i="9"/>
  <c r="E26" i="9"/>
  <c r="E25" i="9"/>
  <c r="E24" i="9"/>
  <c r="E23" i="9"/>
  <c r="E22" i="9"/>
  <c r="E21" i="9"/>
  <c r="E20" i="9"/>
  <c r="E19" i="9"/>
  <c r="E18" i="9"/>
  <c r="E8" i="9" l="1"/>
  <c r="E6" i="9"/>
  <c r="E5" i="9"/>
  <c r="E4" i="9"/>
  <c r="F34" i="9"/>
  <c r="F33" i="9"/>
  <c r="F32" i="9"/>
  <c r="F31" i="9"/>
  <c r="F30" i="9"/>
  <c r="F29" i="9"/>
  <c r="F28" i="9"/>
  <c r="F27" i="9"/>
  <c r="F26" i="9"/>
  <c r="F25" i="9"/>
  <c r="F24" i="9"/>
  <c r="F23" i="9"/>
  <c r="F22" i="9"/>
  <c r="F21" i="9"/>
  <c r="F20" i="9"/>
  <c r="F19" i="9"/>
  <c r="F18" i="9"/>
  <c r="F6" i="9"/>
  <c r="F5" i="9"/>
  <c r="F4" i="9"/>
  <c r="F33" i="10"/>
  <c r="F32" i="10"/>
  <c r="F31" i="10"/>
  <c r="F30" i="10"/>
  <c r="F28" i="10"/>
  <c r="F27" i="10"/>
  <c r="F26" i="10"/>
  <c r="F25" i="10"/>
  <c r="F24" i="10"/>
  <c r="F23" i="10"/>
  <c r="F22" i="10"/>
  <c r="F21" i="10"/>
  <c r="F20" i="10"/>
  <c r="F19" i="10"/>
  <c r="F18" i="10"/>
  <c r="F10" i="10"/>
  <c r="F9" i="10"/>
  <c r="F8" i="10"/>
  <c r="F29" i="10"/>
  <c r="F6" i="10"/>
  <c r="F5" i="10"/>
  <c r="F4" i="10"/>
  <c r="G5" i="9" l="1"/>
  <c r="I5" i="9" s="1"/>
  <c r="G4" i="9"/>
  <c r="I4" i="9" s="1"/>
  <c r="J4" i="9" s="1"/>
  <c r="H5" i="10"/>
  <c r="H4" i="10"/>
  <c r="I4" i="10" s="1"/>
  <c r="I5" i="10" l="1"/>
  <c r="J5" i="9"/>
  <c r="I35" i="8"/>
  <c r="G34" i="8"/>
  <c r="G33" i="8"/>
  <c r="G32" i="8"/>
  <c r="G31" i="8"/>
  <c r="G30" i="8"/>
  <c r="G29" i="8"/>
  <c r="G28" i="8"/>
  <c r="G27" i="8"/>
  <c r="G26" i="8"/>
  <c r="G25" i="8"/>
  <c r="G24" i="8"/>
  <c r="G23" i="8"/>
  <c r="G22" i="8"/>
  <c r="G21" i="8"/>
  <c r="G20" i="8"/>
  <c r="G19" i="8"/>
  <c r="G18" i="8"/>
  <c r="G17" i="8"/>
  <c r="G16" i="8"/>
  <c r="G15" i="8"/>
  <c r="G14" i="8"/>
  <c r="G13" i="8"/>
  <c r="G12" i="8"/>
  <c r="G11" i="8"/>
  <c r="G10" i="8"/>
  <c r="G9" i="8"/>
  <c r="G8" i="8"/>
  <c r="G7" i="8"/>
  <c r="G6" i="8"/>
  <c r="G5" i="8"/>
  <c r="G4" i="8"/>
  <c r="H4" i="8" s="1"/>
  <c r="H5" i="8" l="1"/>
  <c r="H12" i="8"/>
  <c r="H24" i="8"/>
  <c r="H31" i="8"/>
  <c r="H17" i="8"/>
  <c r="H29" i="8"/>
  <c r="H23" i="8"/>
  <c r="H18" i="8"/>
  <c r="H11" i="8"/>
  <c r="I9" i="5" s="1"/>
  <c r="H6" i="8"/>
  <c r="H13" i="8"/>
  <c r="H10" i="8"/>
  <c r="H16" i="8"/>
  <c r="H22" i="8"/>
  <c r="H28" i="8"/>
  <c r="H34" i="8"/>
  <c r="H7" i="8"/>
  <c r="H19" i="8"/>
  <c r="H25" i="8"/>
  <c r="H8" i="8"/>
  <c r="H14" i="8"/>
  <c r="H20" i="8"/>
  <c r="H26" i="8"/>
  <c r="H33" i="8"/>
  <c r="H9" i="8"/>
  <c r="H15" i="8"/>
  <c r="H21" i="8"/>
  <c r="H27" i="8"/>
  <c r="H30" i="8"/>
  <c r="H32" i="8"/>
  <c r="H35" i="8" l="1"/>
  <c r="G34" i="9"/>
  <c r="I34" i="9" s="1"/>
  <c r="G33" i="9"/>
  <c r="I33" i="9" s="1"/>
  <c r="G32" i="9"/>
  <c r="I32" i="9" s="1"/>
  <c r="G31" i="9"/>
  <c r="I31" i="9" s="1"/>
  <c r="G30" i="9"/>
  <c r="I30" i="9" s="1"/>
  <c r="G29" i="9"/>
  <c r="I29" i="9" s="1"/>
  <c r="G28" i="9"/>
  <c r="I28" i="9" s="1"/>
  <c r="G27" i="9"/>
  <c r="I27" i="9" s="1"/>
  <c r="G26" i="9"/>
  <c r="I26" i="9" s="1"/>
  <c r="G25" i="9"/>
  <c r="I25" i="9" s="1"/>
  <c r="G24" i="9"/>
  <c r="I24" i="9" s="1"/>
  <c r="G23" i="9"/>
  <c r="I23" i="9" s="1"/>
  <c r="G22" i="9"/>
  <c r="I22" i="9" s="1"/>
  <c r="G21" i="9"/>
  <c r="I21" i="9" s="1"/>
  <c r="G20" i="9"/>
  <c r="I20" i="9" s="1"/>
  <c r="G19" i="9"/>
  <c r="I19" i="9" s="1"/>
  <c r="G18" i="9"/>
  <c r="I18" i="9" s="1"/>
  <c r="G17" i="9"/>
  <c r="I17" i="9" s="1"/>
  <c r="G16" i="9"/>
  <c r="I16" i="9" s="1"/>
  <c r="G15" i="9"/>
  <c r="I15" i="9" s="1"/>
  <c r="G14" i="9"/>
  <c r="I14" i="9" s="1"/>
  <c r="G13" i="9"/>
  <c r="I13" i="9" s="1"/>
  <c r="G12" i="9"/>
  <c r="I12" i="9" s="1"/>
  <c r="G11" i="9"/>
  <c r="I11" i="9" s="1"/>
  <c r="G10" i="9"/>
  <c r="I10" i="9" s="1"/>
  <c r="G9" i="9"/>
  <c r="I9" i="9" s="1"/>
  <c r="G8" i="9"/>
  <c r="I8" i="9" s="1"/>
  <c r="G7" i="9"/>
  <c r="I7" i="9" s="1"/>
  <c r="G6" i="9"/>
  <c r="I6" i="9" s="1"/>
  <c r="J6" i="9" s="1"/>
  <c r="H33" i="10"/>
  <c r="H32" i="10"/>
  <c r="H31" i="10"/>
  <c r="H30" i="10"/>
  <c r="H29" i="10"/>
  <c r="H28" i="10"/>
  <c r="H27" i="10"/>
  <c r="H26" i="10"/>
  <c r="H25" i="10"/>
  <c r="H24" i="10"/>
  <c r="H23" i="10"/>
  <c r="H22" i="10"/>
  <c r="H21" i="10"/>
  <c r="H20" i="10"/>
  <c r="H19" i="10"/>
  <c r="H18" i="10"/>
  <c r="H17" i="10"/>
  <c r="H16" i="10"/>
  <c r="H15" i="10"/>
  <c r="H14" i="10"/>
  <c r="H13" i="10"/>
  <c r="H12" i="10"/>
  <c r="H11" i="10"/>
  <c r="H10" i="10"/>
  <c r="H9" i="10"/>
  <c r="H8" i="10"/>
  <c r="H7" i="10"/>
  <c r="H6" i="10"/>
  <c r="I33" i="10" l="1"/>
  <c r="J33" i="9"/>
  <c r="I32" i="10"/>
  <c r="I28" i="10"/>
  <c r="I21" i="10"/>
  <c r="I16" i="10"/>
  <c r="E14" i="5" s="1"/>
  <c r="I9" i="10"/>
  <c r="I8" i="10"/>
  <c r="J10" i="9"/>
  <c r="J34" i="9"/>
  <c r="J18" i="9"/>
  <c r="J7" i="9"/>
  <c r="J26" i="9"/>
  <c r="J9" i="9"/>
  <c r="I17" i="10"/>
  <c r="E15" i="5" s="1"/>
  <c r="I29" i="10"/>
  <c r="I13" i="10"/>
  <c r="E11" i="5" s="1"/>
  <c r="I25" i="10"/>
  <c r="I12" i="10"/>
  <c r="E10" i="5" s="1"/>
  <c r="I24" i="10"/>
  <c r="I20" i="10"/>
  <c r="J12" i="9"/>
  <c r="J16" i="9"/>
  <c r="J20" i="9"/>
  <c r="J24" i="9"/>
  <c r="J28" i="9"/>
  <c r="J32" i="9"/>
  <c r="J13" i="9"/>
  <c r="J21" i="9"/>
  <c r="J29" i="9"/>
  <c r="J14" i="9"/>
  <c r="J17" i="9"/>
  <c r="J22" i="9"/>
  <c r="J25" i="9"/>
  <c r="J30" i="9"/>
  <c r="J8" i="9"/>
  <c r="J11" i="9"/>
  <c r="J15" i="9"/>
  <c r="J19" i="9"/>
  <c r="J23" i="9"/>
  <c r="J27" i="9"/>
  <c r="J31" i="9"/>
  <c r="I6" i="10"/>
  <c r="I10" i="10"/>
  <c r="I14" i="10"/>
  <c r="E12" i="5" s="1"/>
  <c r="I18" i="10"/>
  <c r="E16" i="5" s="1"/>
  <c r="I22" i="10"/>
  <c r="I26" i="10"/>
  <c r="I30" i="10"/>
  <c r="I7" i="10"/>
  <c r="I11" i="10"/>
  <c r="I15" i="10"/>
  <c r="E13" i="5" s="1"/>
  <c r="I19" i="10"/>
  <c r="I23" i="10"/>
  <c r="I27" i="10"/>
  <c r="I31" i="10"/>
  <c r="G2" i="5"/>
  <c r="I30" i="5"/>
  <c r="I6" i="5"/>
  <c r="I4" i="5"/>
  <c r="I2" i="5"/>
  <c r="I35" i="10" l="1"/>
  <c r="J35" i="9"/>
  <c r="I28" i="5"/>
  <c r="I24" i="5"/>
  <c r="I22" i="5"/>
  <c r="I18" i="5"/>
  <c r="I16" i="5"/>
  <c r="I12" i="5"/>
  <c r="I10" i="5"/>
  <c r="I31" i="5"/>
  <c r="I5" i="5"/>
  <c r="I11" i="5"/>
  <c r="I17" i="5"/>
  <c r="I23" i="5"/>
  <c r="I29" i="5"/>
  <c r="I7" i="5"/>
  <c r="I19" i="5"/>
  <c r="I14" i="5"/>
  <c r="I26" i="5"/>
  <c r="I32" i="5"/>
  <c r="I13" i="5"/>
  <c r="I8" i="5"/>
  <c r="I20" i="5"/>
  <c r="I3" i="5"/>
  <c r="I15" i="5"/>
  <c r="I21" i="5"/>
  <c r="I27" i="5"/>
  <c r="I25" i="5"/>
  <c r="E32" i="5" l="1"/>
  <c r="G32" i="5"/>
  <c r="G11" i="5" l="1"/>
  <c r="E9" i="5" l="1"/>
  <c r="E7" i="5"/>
  <c r="E6" i="5"/>
  <c r="E5" i="5"/>
  <c r="E3" i="5"/>
  <c r="B3" i="5"/>
  <c r="B4" i="5" s="1"/>
  <c r="B5" i="5" s="1"/>
  <c r="B6" i="5" s="1"/>
  <c r="B7" i="5" s="1"/>
  <c r="B8" i="5" s="1"/>
  <c r="B9" i="5" s="1"/>
  <c r="B10" i="5" s="1"/>
  <c r="B11" i="5" s="1"/>
  <c r="B12" i="5" s="1"/>
  <c r="B13" i="5" s="1"/>
  <c r="B14" i="5" s="1"/>
  <c r="B15" i="5" s="1"/>
  <c r="B16" i="5" s="1"/>
  <c r="B17" i="5" s="1"/>
  <c r="B18" i="5" s="1"/>
  <c r="B19" i="5" s="1"/>
  <c r="B20" i="5" s="1"/>
  <c r="B21" i="5" s="1"/>
  <c r="B22" i="5" s="1"/>
  <c r="B23" i="5" s="1"/>
  <c r="B24" i="5" s="1"/>
  <c r="B25" i="5" s="1"/>
  <c r="B26" i="5" s="1"/>
  <c r="B27" i="5" s="1"/>
  <c r="B28" i="5" s="1"/>
  <c r="B29" i="5" s="1"/>
  <c r="B30" i="5" s="1"/>
  <c r="B31" i="5" s="1"/>
  <c r="B32" i="5" s="1"/>
  <c r="G29" i="5" l="1"/>
  <c r="G21" i="5"/>
  <c r="G23" i="5"/>
  <c r="G30" i="5"/>
  <c r="G19" i="5"/>
  <c r="G27" i="5"/>
  <c r="G10" i="5"/>
  <c r="G26" i="5"/>
  <c r="G15" i="5"/>
  <c r="G20" i="5"/>
  <c r="G17" i="5"/>
  <c r="G22" i="5"/>
  <c r="G28" i="5"/>
  <c r="E4" i="5"/>
  <c r="G6" i="5"/>
  <c r="G12" i="5"/>
  <c r="G24" i="5"/>
  <c r="E17" i="5"/>
  <c r="E18" i="5"/>
  <c r="E19" i="5"/>
  <c r="E20" i="5"/>
  <c r="E21" i="5"/>
  <c r="E22" i="5"/>
  <c r="E23" i="5"/>
  <c r="E24" i="5"/>
  <c r="E25" i="5"/>
  <c r="E26" i="5"/>
  <c r="E27" i="5"/>
  <c r="E28" i="5"/>
  <c r="E29" i="5"/>
  <c r="E30" i="5"/>
  <c r="E31" i="5"/>
  <c r="G3" i="5"/>
  <c r="G4" i="5"/>
  <c r="G7" i="5"/>
  <c r="G13" i="5"/>
  <c r="G5" i="5"/>
  <c r="G8" i="5"/>
  <c r="G25" i="5"/>
  <c r="G14" i="5"/>
  <c r="G31" i="5"/>
  <c r="G16" i="5"/>
  <c r="G18" i="5"/>
  <c r="L36" i="9"/>
  <c r="M36" i="9" s="1"/>
  <c r="G9" i="5"/>
  <c r="E8" i="5" l="1"/>
  <c r="E2" i="5"/>
</calcChain>
</file>

<file path=xl/sharedStrings.xml><?xml version="1.0" encoding="utf-8"?>
<sst xmlns="http://schemas.openxmlformats.org/spreadsheetml/2006/main" count="74" uniqueCount="39">
  <si>
    <t>Site Name</t>
  </si>
  <si>
    <t>Day</t>
  </si>
  <si>
    <t>Month</t>
  </si>
  <si>
    <t>Year</t>
  </si>
  <si>
    <t>Total Electricity Kwh</t>
  </si>
  <si>
    <t>Natual Gas (m3)</t>
  </si>
  <si>
    <t>Water Utility Supply (m3) m3</t>
  </si>
  <si>
    <t xml:space="preserve">Room Nights </t>
  </si>
  <si>
    <t>Electricity Tariff ($/Kwh)</t>
  </si>
  <si>
    <t>Natural Gas $/m3</t>
  </si>
  <si>
    <t>Water Utility Supply (m3) $/m3</t>
  </si>
  <si>
    <t>DATE</t>
  </si>
  <si>
    <t>Meter
Multiplier</t>
  </si>
  <si>
    <t>Total
(kWh)</t>
  </si>
  <si>
    <t>Daily Consumption (kWh)</t>
  </si>
  <si>
    <t>Boiler Room
Reading</t>
  </si>
  <si>
    <t>Kitchen
Reading</t>
  </si>
  <si>
    <t>Total
Reading</t>
  </si>
  <si>
    <t>Correct.
Factor</t>
  </si>
  <si>
    <t>Total
(cu.m.)</t>
  </si>
  <si>
    <t>Daily Cons.
(cu.m.)</t>
  </si>
  <si>
    <t>İSKİ Meter
Reading</t>
  </si>
  <si>
    <t>Tanker Meter
Reading</t>
  </si>
  <si>
    <t>Daily Consumption
(cu.m.)</t>
  </si>
  <si>
    <t>Occ</t>
  </si>
  <si>
    <t>Weather</t>
  </si>
  <si>
    <t>Daily Target
(cu.m.)</t>
  </si>
  <si>
    <t xml:space="preserve"> </t>
  </si>
  <si>
    <t>TOTAL</t>
  </si>
  <si>
    <t>OCCC</t>
  </si>
  <si>
    <t>WEATHER</t>
  </si>
  <si>
    <t>Occ. Rooms</t>
  </si>
  <si>
    <t>Weather C</t>
  </si>
  <si>
    <t>BİRİM FİYAT : 0.29 TL/m3 + KDV</t>
  </si>
  <si>
    <t>Istanbul at Sultanahmet</t>
  </si>
  <si>
    <t>Meter Reading
(Active)</t>
  </si>
  <si>
    <t>WATER CONSUMPTION , AUG.2022</t>
  </si>
  <si>
    <t>NATURAL GAS CONSUMPTION , AUG.2022</t>
  </si>
  <si>
    <t>ELECTRICITY CONSUMPTION , AUG.2022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</si>
</sst>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4">
    <numFmt numFmtId="164" formatCode="0.000"/>
    <numFmt numFmtId="165" formatCode="#,##0.000"/>
    <numFmt numFmtId="166" formatCode="#,##0.0"/>
    <numFmt numFmtId="167" formatCode="0.0%"/>
  </numFmts>
  <fonts count="26" x14ac:knownFonts="1">
    <font>
      <sz val="11"/>
      <color theme="1"/>
      <name val="Calibri"/>
      <family val="2"/>
      <scheme val="minor"/>
    </font>
    <font>
      <sz val="10"/>
      <name val="Arial"/>
      <family val="2"/>
      <charset val="162"/>
    </font>
    <font>
      <sz val="8"/>
      <name val="Arial"/>
      <family val="2"/>
      <charset val="162"/>
    </font>
    <font>
      <sz val="8"/>
      <color indexed="8"/>
      <name val="Arial"/>
      <family val="2"/>
      <charset val="162"/>
    </font>
    <font>
      <b/>
      <sz val="10"/>
      <name val="Arial"/>
      <family val="2"/>
      <charset val="162"/>
    </font>
    <font>
      <b/>
      <sz val="8"/>
      <name val="Arial"/>
      <family val="2"/>
    </font>
    <font>
      <sz val="8"/>
      <name val="Arial Narrow"/>
      <family val="2"/>
      <charset val="162"/>
    </font>
    <font>
      <sz val="10"/>
      <color indexed="8"/>
      <name val="Arial"/>
      <family val="2"/>
      <charset val="162"/>
    </font>
    <font>
      <sz val="10"/>
      <name val="Arial"/>
      <family val="2"/>
    </font>
    <font>
      <b/>
      <sz val="11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0"/>
      <color rgb="FFFF0000"/>
      <name val="Arial"/>
      <family val="2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b/>
      <sz val="11"/>
      <color rgb="FFFF0000"/>
      <name val="Calibri"/>
      <family val="2"/>
      <scheme val="minor"/>
    </font>
    <font>
      <sz val="10"/>
      <color rgb="FF002060"/>
      <name val="Arial"/>
      <family val="2"/>
    </font>
    <font>
      <sz val="11"/>
      <color rgb="FF002060"/>
      <name val="Calibri"/>
      <family val="2"/>
      <scheme val="minor"/>
    </font>
    <font>
      <sz val="8"/>
      <color theme="1"/>
      <name val="Arial"/>
      <family val="2"/>
      <charset val="162"/>
    </font>
    <font>
      <sz val="10"/>
      <color rgb="FFFF0000"/>
      <name val="Arial"/>
      <family val="2"/>
      <charset val="162"/>
    </font>
    <font>
      <b/>
      <sz val="8"/>
      <color rgb="FFFF0000"/>
      <name val="Arial"/>
      <family val="2"/>
      <charset val="162"/>
    </font>
    <font>
      <sz val="8"/>
      <color rgb="FFFF0000"/>
      <name val="Arial"/>
      <family val="2"/>
      <charset val="162"/>
    </font>
    <font>
      <b/>
      <sz val="10"/>
      <color rgb="FFFF0000"/>
      <name val="Arial"/>
      <family val="2"/>
    </font>
    <font>
      <sz val="8"/>
      <color rgb="FF0070C0"/>
      <name val="Arial"/>
      <family val="2"/>
      <charset val="162"/>
    </font>
    <font>
      <sz val="8"/>
      <color theme="9"/>
      <name val="Arial"/>
      <family val="2"/>
      <charset val="162"/>
    </font>
    <font>
      <sz val="8"/>
      <color rgb="FF00B050"/>
      <name val="Arial"/>
      <family val="2"/>
      <charset val="162"/>
    </font>
    <font>
      <b/>
      <sz val="8"/>
      <color theme="1"/>
      <name val="Arial"/>
      <family val="2"/>
    </font>
  </fonts>
  <fills count="7">
    <fill>
      <patternFill patternType="none"/>
    </fill>
    <fill>
      <patternFill patternType="gray125"/>
    </fill>
    <fill>
      <patternFill patternType="solid">
        <fgColor theme="8" tint="0.79998168889431442"/>
        <bgColor indexed="64"/>
      </patternFill>
    </fill>
    <fill>
      <patternFill patternType="solid">
        <fgColor theme="9" tint="0.79998168889431442"/>
        <bgColor indexed="64"/>
      </patternFill>
    </fill>
    <fill>
      <patternFill patternType="solid">
        <fgColor theme="5" tint="0.79998168889431442"/>
        <bgColor indexed="64"/>
      </patternFill>
    </fill>
    <fill>
      <patternFill patternType="solid">
        <fgColor theme="0"/>
        <bgColor indexed="64"/>
      </patternFill>
    </fill>
    <fill>
      <patternFill patternType="solid">
        <fgColor theme="6" tint="0.59999389629810485"/>
        <bgColor indexed="64"/>
      </patternFill>
    </fill>
  </fills>
  <borders count="4">
    <border>
      <left/>
      <right/>
      <top/>
      <bottom/>
      <diagonal/>
    </border>
    <border>
      <left/>
      <right/>
      <top/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/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12">
    <xf numFmtId="0" fontId="0" fillId="0" borderId="0" xfId="0"/>
    <xf numFmtId="0" fontId="9" fillId="0" borderId="0" xfId="0" applyFont="1"/>
    <xf numFmtId="0" fontId="0" fillId="0" borderId="0" xfId="0" applyAlignment="1">
      <alignment horizontal="center"/>
    </xf>
    <xf numFmtId="0" fontId="11" fillId="0" borderId="0" xfId="0" applyFont="1" applyAlignment="1">
      <alignment horizontal="center"/>
    </xf>
    <xf numFmtId="1" fontId="0" fillId="0" borderId="0" xfId="0" applyNumberFormat="1" applyAlignment="1">
      <alignment horizontal="center"/>
    </xf>
    <xf numFmtId="0" fontId="9" fillId="0" borderId="1" xfId="0" applyFont="1" applyBorder="1" applyAlignment="1">
      <alignment horizontal="center" vertical="top"/>
    </xf>
    <xf numFmtId="0" fontId="9" fillId="0" borderId="1" xfId="0" applyFont="1" applyBorder="1" applyAlignment="1">
      <alignment horizontal="center" vertical="top" wrapText="1"/>
    </xf>
    <xf numFmtId="1" fontId="9" fillId="0" borderId="1" xfId="0" applyNumberFormat="1" applyFont="1" applyBorder="1" applyAlignment="1">
      <alignment horizontal="center" vertical="top" wrapText="1"/>
    </xf>
    <xf numFmtId="1" fontId="12" fillId="0" borderId="1" xfId="0" applyNumberFormat="1" applyFont="1" applyBorder="1" applyAlignment="1">
      <alignment horizontal="center" vertical="top" wrapText="1"/>
    </xf>
    <xf numFmtId="1" fontId="13" fillId="0" borderId="0" xfId="0" applyNumberFormat="1" applyFont="1" applyAlignment="1">
      <alignment horizontal="center"/>
    </xf>
    <xf numFmtId="0" fontId="14" fillId="0" borderId="1" xfId="0" applyFont="1" applyBorder="1" applyAlignment="1">
      <alignment horizontal="center" vertical="top"/>
    </xf>
    <xf numFmtId="0" fontId="10" fillId="0" borderId="0" xfId="0" applyFont="1" applyAlignment="1">
      <alignment horizontal="center"/>
    </xf>
    <xf numFmtId="0" fontId="15" fillId="0" borderId="0" xfId="0" applyFont="1" applyAlignment="1">
      <alignment horizontal="center"/>
    </xf>
    <xf numFmtId="1" fontId="15" fillId="0" borderId="0" xfId="0" applyNumberFormat="1" applyFont="1" applyAlignment="1">
      <alignment horizontal="center"/>
    </xf>
    <xf numFmtId="0" fontId="15" fillId="0" borderId="0" xfId="0" applyFont="1"/>
    <xf numFmtId="0" fontId="16" fillId="0" borderId="0" xfId="0" applyFont="1" applyAlignment="1">
      <alignment horizontal="center"/>
    </xf>
    <xf numFmtId="0" fontId="16" fillId="0" borderId="0" xfId="0" applyFont="1"/>
    <xf numFmtId="0" fontId="1" fillId="0" borderId="0" xfId="0" applyFont="1" applyAlignment="1">
      <alignment vertical="center"/>
    </xf>
    <xf numFmtId="0" fontId="2" fillId="0" borderId="2" xfId="0" applyFont="1" applyBorder="1" applyAlignment="1">
      <alignment horizontal="center" vertical="center"/>
    </xf>
    <xf numFmtId="0" fontId="2" fillId="0" borderId="2" xfId="0" quotePrefix="1" applyFont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/>
    </xf>
    <xf numFmtId="0" fontId="3" fillId="0" borderId="2" xfId="0" quotePrefix="1" applyFont="1" applyBorder="1" applyAlignment="1">
      <alignment horizontal="center" vertical="center" wrapText="1"/>
    </xf>
    <xf numFmtId="2" fontId="2" fillId="0" borderId="2" xfId="0" applyNumberFormat="1" applyFont="1" applyBorder="1" applyAlignment="1">
      <alignment horizontal="center" vertical="center"/>
    </xf>
    <xf numFmtId="3" fontId="2" fillId="0" borderId="2" xfId="0" applyNumberFormat="1" applyFont="1" applyBorder="1" applyAlignment="1">
      <alignment horizontal="center" vertical="center"/>
    </xf>
    <xf numFmtId="166" fontId="2" fillId="0" borderId="2" xfId="0" applyNumberFormat="1" applyFont="1" applyBorder="1" applyAlignment="1">
      <alignment horizontal="center" vertical="center"/>
    </xf>
    <xf numFmtId="0" fontId="13" fillId="0" borderId="0" xfId="0" applyFont="1" applyAlignment="1">
      <alignment horizontal="center"/>
    </xf>
    <xf numFmtId="3" fontId="17" fillId="0" borderId="2" xfId="0" applyNumberFormat="1" applyFont="1" applyBorder="1" applyAlignment="1">
      <alignment horizontal="center" vertical="center"/>
    </xf>
    <xf numFmtId="0" fontId="14" fillId="0" borderId="1" xfId="0" applyFont="1" applyBorder="1" applyAlignment="1">
      <alignment horizontal="center" vertical="top" wrapText="1"/>
    </xf>
    <xf numFmtId="0" fontId="4" fillId="0" borderId="0" xfId="0" applyFont="1" applyAlignment="1">
      <alignment horizontal="center" vertical="center"/>
    </xf>
    <xf numFmtId="0" fontId="18" fillId="0" borderId="0" xfId="0" applyFont="1" applyAlignment="1">
      <alignment vertical="center"/>
    </xf>
    <xf numFmtId="0" fontId="2" fillId="0" borderId="0" xfId="0" applyFont="1" applyAlignment="1">
      <alignment vertical="center"/>
    </xf>
    <xf numFmtId="0" fontId="5" fillId="0" borderId="0" xfId="0" applyFont="1" applyAlignment="1">
      <alignment vertical="center"/>
    </xf>
    <xf numFmtId="14" fontId="2" fillId="0" borderId="2" xfId="0" applyNumberFormat="1" applyFont="1" applyBorder="1" applyAlignment="1">
      <alignment horizontal="center" vertical="center"/>
    </xf>
    <xf numFmtId="0" fontId="2" fillId="5" borderId="0" xfId="0" applyFont="1" applyFill="1" applyAlignment="1">
      <alignment vertical="center"/>
    </xf>
    <xf numFmtId="14" fontId="19" fillId="0" borderId="2" xfId="0" applyNumberFormat="1" applyFont="1" applyBorder="1" applyAlignment="1">
      <alignment horizontal="center" vertical="center"/>
    </xf>
    <xf numFmtId="0" fontId="17" fillId="0" borderId="2" xfId="0" applyFont="1" applyBorder="1" applyAlignment="1">
      <alignment horizontal="center" vertical="center"/>
    </xf>
    <xf numFmtId="166" fontId="20" fillId="0" borderId="2" xfId="0" applyNumberFormat="1" applyFont="1" applyBorder="1" applyAlignment="1">
      <alignment horizontal="center" vertical="center"/>
    </xf>
    <xf numFmtId="166" fontId="1" fillId="0" borderId="0" xfId="0" applyNumberFormat="1" applyFont="1" applyAlignment="1">
      <alignment vertical="center"/>
    </xf>
    <xf numFmtId="0" fontId="21" fillId="0" borderId="0" xfId="0" applyFont="1" applyAlignment="1">
      <alignment vertical="center"/>
    </xf>
    <xf numFmtId="0" fontId="6" fillId="0" borderId="0" xfId="0" applyFont="1" applyAlignment="1">
      <alignment vertical="center"/>
    </xf>
    <xf numFmtId="0" fontId="7" fillId="0" borderId="0" xfId="0" applyFont="1" applyAlignment="1">
      <alignment vertical="center"/>
    </xf>
    <xf numFmtId="0" fontId="2" fillId="2" borderId="2" xfId="0" applyFont="1" applyFill="1" applyBorder="1" applyAlignment="1">
      <alignment vertical="center"/>
    </xf>
    <xf numFmtId="0" fontId="2" fillId="3" borderId="2" xfId="0" applyFont="1" applyFill="1" applyBorder="1" applyAlignment="1">
      <alignment vertical="center"/>
    </xf>
    <xf numFmtId="0" fontId="20" fillId="0" borderId="2" xfId="0" applyFont="1" applyBorder="1" applyAlignment="1">
      <alignment horizontal="center" vertical="center"/>
    </xf>
    <xf numFmtId="3" fontId="20" fillId="0" borderId="2" xfId="0" applyNumberFormat="1" applyFont="1" applyBorder="1" applyAlignment="1">
      <alignment horizontal="center" vertical="center"/>
    </xf>
    <xf numFmtId="0" fontId="0" fillId="0" borderId="0" xfId="0" applyAlignment="1">
      <alignment horizontal="center" vertical="center" wrapText="1"/>
    </xf>
    <xf numFmtId="0" fontId="8" fillId="0" borderId="2" xfId="0" applyFont="1" applyBorder="1" applyAlignment="1">
      <alignment horizontal="center" vertical="center" wrapText="1"/>
    </xf>
    <xf numFmtId="0" fontId="0" fillId="0" borderId="2" xfId="0" applyBorder="1" applyAlignment="1">
      <alignment horizontal="center" vertical="center" wrapText="1"/>
    </xf>
    <xf numFmtId="166" fontId="2" fillId="5" borderId="0" xfId="0" applyNumberFormat="1" applyFont="1" applyFill="1" applyAlignment="1">
      <alignment horizontal="center" vertical="center"/>
    </xf>
    <xf numFmtId="0" fontId="20" fillId="0" borderId="0" xfId="0" applyFont="1" applyAlignment="1">
      <alignment vertical="center"/>
    </xf>
    <xf numFmtId="166" fontId="17" fillId="5" borderId="0" xfId="0" applyNumberFormat="1" applyFont="1" applyFill="1" applyAlignment="1">
      <alignment horizontal="center" vertical="center"/>
    </xf>
    <xf numFmtId="0" fontId="17" fillId="0" borderId="0" xfId="0" applyFont="1" applyAlignment="1">
      <alignment vertical="center"/>
    </xf>
    <xf numFmtId="166" fontId="17" fillId="0" borderId="2" xfId="0" applyNumberFormat="1" applyFont="1" applyBorder="1" applyAlignment="1">
      <alignment horizontal="center" vertical="center"/>
    </xf>
    <xf numFmtId="0" fontId="18" fillId="0" borderId="0" xfId="0" applyFont="1"/>
    <xf numFmtId="166" fontId="0" fillId="0" borderId="0" xfId="0" applyNumberFormat="1"/>
    <xf numFmtId="165" fontId="2" fillId="0" borderId="2" xfId="0" applyNumberFormat="1" applyFont="1" applyFill="1" applyBorder="1" applyAlignment="1">
      <alignment horizontal="center" vertical="center"/>
    </xf>
    <xf numFmtId="166" fontId="20" fillId="0" borderId="2" xfId="0" applyNumberFormat="1" applyFont="1" applyFill="1" applyBorder="1" applyAlignment="1">
      <alignment horizontal="center" vertical="center"/>
    </xf>
    <xf numFmtId="2" fontId="2" fillId="6" borderId="2" xfId="0" applyNumberFormat="1" applyFont="1" applyFill="1" applyBorder="1" applyAlignment="1">
      <alignment horizontal="center" vertical="center"/>
    </xf>
    <xf numFmtId="166" fontId="2" fillId="2" borderId="2" xfId="0" applyNumberFormat="1" applyFont="1" applyFill="1" applyBorder="1" applyAlignment="1">
      <alignment horizontal="center" vertical="center"/>
    </xf>
    <xf numFmtId="166" fontId="20" fillId="6" borderId="2" xfId="0" applyNumberFormat="1" applyFont="1" applyFill="1" applyBorder="1" applyAlignment="1">
      <alignment horizontal="center" vertical="center"/>
    </xf>
    <xf numFmtId="166" fontId="20" fillId="2" borderId="2" xfId="0" applyNumberFormat="1" applyFont="1" applyFill="1" applyBorder="1" applyAlignment="1">
      <alignment horizontal="center" vertical="center"/>
    </xf>
    <xf numFmtId="165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166" fontId="2" fillId="0" borderId="2" xfId="0" applyNumberFormat="1" applyFont="1" applyBorder="1" applyAlignment="1">
      <alignment horizontal="right" vertical="center" indent="2"/>
    </xf>
    <xf numFmtId="0" fontId="2" fillId="0" borderId="0" xfId="0" applyFont="1" applyBorder="1" applyAlignment="1">
      <alignment horizontal="center" vertical="center"/>
    </xf>
    <xf numFmtId="0" fontId="2" fillId="0" borderId="0" xfId="0" quotePrefix="1" applyFont="1" applyBorder="1" applyAlignment="1">
      <alignment horizontal="center" vertical="center" wrapText="1"/>
    </xf>
    <xf numFmtId="14" fontId="2" fillId="0" borderId="0" xfId="0" applyNumberFormat="1" applyFont="1" applyBorder="1" applyAlignment="1">
      <alignment horizontal="center" vertical="center"/>
    </xf>
    <xf numFmtId="3" fontId="2" fillId="0" borderId="0" xfId="0" applyNumberFormat="1" applyFont="1" applyBorder="1" applyAlignment="1">
      <alignment horizontal="center" vertical="center"/>
    </xf>
    <xf numFmtId="166" fontId="2" fillId="0" borderId="0" xfId="0" applyNumberFormat="1" applyFont="1" applyBorder="1" applyAlignment="1">
      <alignment horizontal="center" vertical="center"/>
    </xf>
    <xf numFmtId="0" fontId="2" fillId="5" borderId="0" xfId="0" quotePrefix="1" applyFont="1" applyFill="1" applyBorder="1" applyAlignment="1">
      <alignment horizontal="center" vertical="center" wrapText="1"/>
    </xf>
    <xf numFmtId="0" fontId="5" fillId="5" borderId="0" xfId="0" applyFont="1" applyFill="1" applyBorder="1" applyAlignment="1">
      <alignment horizontal="center" vertical="center"/>
    </xf>
    <xf numFmtId="166" fontId="2" fillId="5" borderId="0" xfId="0" applyNumberFormat="1" applyFont="1" applyFill="1" applyBorder="1" applyAlignment="1">
      <alignment horizontal="center" vertical="center"/>
    </xf>
    <xf numFmtId="0" fontId="2" fillId="5" borderId="0" xfId="0" applyFont="1" applyFill="1" applyBorder="1" applyAlignment="1">
      <alignment horizontal="center" vertical="center"/>
    </xf>
    <xf numFmtId="0" fontId="11" fillId="0" borderId="0" xfId="0" applyFont="1" applyAlignment="1">
      <alignment vertical="center"/>
    </xf>
    <xf numFmtId="166" fontId="18" fillId="0" borderId="0" xfId="0" applyNumberFormat="1" applyFont="1" applyAlignment="1">
      <alignment vertical="center"/>
    </xf>
    <xf numFmtId="0" fontId="2" fillId="4" borderId="3" xfId="0" applyFont="1" applyFill="1" applyBorder="1" applyAlignment="1">
      <alignment vertical="center"/>
    </xf>
    <xf numFmtId="166" fontId="2" fillId="3" borderId="3" xfId="0" applyNumberFormat="1" applyFont="1" applyFill="1" applyBorder="1" applyAlignment="1">
      <alignment horizontal="center" vertical="center"/>
    </xf>
    <xf numFmtId="166" fontId="20" fillId="3" borderId="3" xfId="0" applyNumberFormat="1" applyFont="1" applyFill="1" applyBorder="1" applyAlignment="1">
      <alignment horizontal="center" vertical="center"/>
    </xf>
    <xf numFmtId="2" fontId="2" fillId="5" borderId="0" xfId="0" applyNumberFormat="1" applyFont="1" applyFill="1" applyBorder="1" applyAlignment="1">
      <alignment horizontal="center" vertical="center"/>
    </xf>
    <xf numFmtId="166" fontId="20" fillId="5" borderId="0" xfId="0" applyNumberFormat="1" applyFont="1" applyFill="1" applyBorder="1" applyAlignment="1">
      <alignment horizontal="center" vertical="center"/>
    </xf>
    <xf numFmtId="0" fontId="1" fillId="5" borderId="0" xfId="0" applyFont="1" applyFill="1" applyAlignment="1">
      <alignment vertical="center"/>
    </xf>
    <xf numFmtId="0" fontId="1" fillId="0" borderId="0" xfId="0" applyFont="1" applyBorder="1" applyAlignment="1">
      <alignment vertical="center"/>
    </xf>
    <xf numFmtId="0" fontId="0" fillId="0" borderId="0" xfId="0" applyBorder="1"/>
    <xf numFmtId="0" fontId="2" fillId="0" borderId="0" xfId="0" applyFont="1" applyBorder="1" applyAlignment="1">
      <alignment horizontal="center" vertical="center" wrapText="1"/>
    </xf>
    <xf numFmtId="0" fontId="2" fillId="0" borderId="0" xfId="0" applyFont="1" applyBorder="1" applyAlignment="1">
      <alignment vertical="center"/>
    </xf>
    <xf numFmtId="164" fontId="2" fillId="0" borderId="0" xfId="0" applyNumberFormat="1" applyFont="1" applyBorder="1" applyAlignment="1">
      <alignment horizontal="center" vertical="center"/>
    </xf>
    <xf numFmtId="10" fontId="2" fillId="0" borderId="0" xfId="0" applyNumberFormat="1" applyFont="1" applyBorder="1" applyAlignment="1">
      <alignment horizontal="center" vertical="center"/>
    </xf>
    <xf numFmtId="167" fontId="20" fillId="0" borderId="0" xfId="0" applyNumberFormat="1" applyFont="1" applyBorder="1" applyAlignment="1">
      <alignment horizontal="center" vertical="center"/>
    </xf>
    <xf numFmtId="165" fontId="2" fillId="0" borderId="0" xfId="0" applyNumberFormat="1" applyFont="1" applyBorder="1" applyAlignment="1">
      <alignment horizontal="center" vertical="center"/>
    </xf>
    <xf numFmtId="2" fontId="2" fillId="0" borderId="0" xfId="0" applyNumberFormat="1" applyFont="1" applyBorder="1" applyAlignment="1">
      <alignment horizontal="center" vertical="center"/>
    </xf>
    <xf numFmtId="2" fontId="22" fillId="0" borderId="0" xfId="0" applyNumberFormat="1" applyFont="1" applyBorder="1" applyAlignment="1">
      <alignment horizontal="center" vertical="center"/>
    </xf>
    <xf numFmtId="2" fontId="23" fillId="0" borderId="0" xfId="0" applyNumberFormat="1" applyFont="1" applyBorder="1" applyAlignment="1">
      <alignment horizontal="center" vertical="center"/>
    </xf>
    <xf numFmtId="2" fontId="24" fillId="0" borderId="0" xfId="0" applyNumberFormat="1" applyFont="1" applyBorder="1" applyAlignment="1">
      <alignment horizontal="center" vertical="center"/>
    </xf>
    <xf numFmtId="2" fontId="20" fillId="0" borderId="0" xfId="0" applyNumberFormat="1" applyFont="1" applyBorder="1" applyAlignment="1">
      <alignment horizontal="center" vertical="center"/>
    </xf>
    <xf numFmtId="0" fontId="17" fillId="0" borderId="0" xfId="0" applyFont="1" applyBorder="1" applyAlignment="1">
      <alignment horizontal="center" vertical="center"/>
    </xf>
    <xf numFmtId="10" fontId="2" fillId="5" borderId="0" xfId="0" applyNumberFormat="1" applyFont="1" applyFill="1" applyBorder="1" applyAlignment="1">
      <alignment horizontal="center" vertical="center"/>
    </xf>
    <xf numFmtId="164" fontId="17" fillId="0" borderId="0" xfId="0" applyNumberFormat="1" applyFont="1" applyBorder="1" applyAlignment="1">
      <alignment horizontal="center" vertical="center"/>
    </xf>
    <xf numFmtId="166" fontId="17" fillId="0" borderId="0" xfId="0" applyNumberFormat="1" applyFont="1" applyBorder="1" applyAlignment="1">
      <alignment horizontal="center" vertical="center"/>
    </xf>
    <xf numFmtId="10" fontId="17" fillId="0" borderId="0" xfId="0" applyNumberFormat="1" applyFont="1" applyBorder="1" applyAlignment="1">
      <alignment horizontal="center" vertical="center"/>
    </xf>
    <xf numFmtId="2" fontId="17" fillId="0" borderId="0" xfId="0" applyNumberFormat="1" applyFont="1" applyBorder="1" applyAlignment="1">
      <alignment horizontal="center" vertical="center"/>
    </xf>
    <xf numFmtId="3" fontId="17" fillId="0" borderId="0" xfId="0" applyNumberFormat="1" applyFont="1" applyBorder="1" applyAlignment="1">
      <alignment horizontal="center" vertical="center"/>
    </xf>
    <xf numFmtId="165" fontId="17" fillId="0" borderId="0" xfId="0" applyNumberFormat="1" applyFont="1" applyBorder="1" applyAlignment="1">
      <alignment horizontal="center" vertical="center"/>
    </xf>
    <xf numFmtId="166" fontId="1" fillId="0" borderId="0" xfId="0" applyNumberFormat="1" applyFont="1" applyBorder="1" applyAlignment="1">
      <alignment vertical="center"/>
    </xf>
    <xf numFmtId="166" fontId="17" fillId="5" borderId="0" xfId="0" applyNumberFormat="1" applyFont="1" applyFill="1" applyBorder="1" applyAlignment="1">
      <alignment horizontal="center" vertical="center"/>
    </xf>
    <xf numFmtId="0" fontId="1" fillId="0" borderId="0" xfId="0" applyFont="1" applyFill="1" applyAlignment="1">
      <alignment vertical="center"/>
    </xf>
    <xf numFmtId="166" fontId="2" fillId="5" borderId="0" xfId="0" applyNumberFormat="1" applyFont="1" applyFill="1" applyBorder="1" applyAlignment="1">
      <alignment horizontal="right" vertical="center" indent="2"/>
    </xf>
    <xf numFmtId="166" fontId="25" fillId="5" borderId="0" xfId="0" applyNumberFormat="1" applyFont="1" applyFill="1" applyBorder="1" applyAlignment="1">
      <alignment horizontal="right" vertical="center" indent="2"/>
    </xf>
    <xf numFmtId="166" fontId="17" fillId="0" borderId="2" xfId="0" applyNumberFormat="1" applyFont="1" applyFill="1" applyBorder="1" applyAlignment="1">
      <alignment horizontal="center" vertical="center"/>
    </xf>
    <xf numFmtId="0" fontId="4" fillId="0" borderId="0" xfId="0" applyFont="1" applyAlignment="1">
      <alignment horizontal="center" vertical="center"/>
    </xf>
    <xf numFmtId="0" fontId="4" fillId="0" borderId="0" xfId="0" applyFont="1" applyBorder="1" applyAlignment="1">
      <alignment horizontal="center" vertical="center"/>
    </xf>
    <xf numFmtId="0" fontId="2" fillId="0" borderId="0" xfId="0" applyFont="1" applyBorder="1" applyAlignment="1">
      <alignment horizontal="center" vertical="center" wrapText="1"/>
    </xf>
    <xf numFmtId="0" fontId="0" fillId="0" borderId="0" xfId="0" applyBorder="1" applyAlignment="1">
      <alignment horizontal="center" vertical="center" wrapText="1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8" Type="http://schemas.openxmlformats.org/officeDocument/2006/relationships/externalLink" Target="externalLinks/externalLink4.xml"/><Relationship Id="rId3" Type="http://schemas.openxmlformats.org/officeDocument/2006/relationships/worksheet" Target="worksheets/sheet3.xml"/><Relationship Id="rId7" Type="http://schemas.openxmlformats.org/officeDocument/2006/relationships/externalLink" Target="externalLinks/externalLink3.xml"/><Relationship Id="rId12" Type="http://schemas.openxmlformats.org/officeDocument/2006/relationships/calcChain" Target="calcChain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externalLink" Target="externalLinks/externalLink2.xml"/><Relationship Id="rId11" Type="http://schemas.openxmlformats.org/officeDocument/2006/relationships/sharedStrings" Target="sharedStrings.xml"/><Relationship Id="rId5" Type="http://schemas.openxmlformats.org/officeDocument/2006/relationships/externalLink" Target="externalLinks/externalLink1.xml"/><Relationship Id="rId10" Type="http://schemas.openxmlformats.org/officeDocument/2006/relationships/styles" Target="styles.xml"/><Relationship Id="rId4" Type="http://schemas.openxmlformats.org/officeDocument/2006/relationships/worksheet" Target="worksheets/sheet4.xml"/><Relationship Id="rId9" Type="http://schemas.openxmlformats.org/officeDocument/2006/relationships/theme" Target="theme/theme1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 xmlns:c16r2="http://schemas.microsoft.com/office/drawing/2015/06/chart">
  <c:date1904 val="0"/>
  <c:lang val="en-US"/>
  <c:roundedCorners val="0"/>
  <mc:AlternateContent xmlns:mc="http://schemas.openxmlformats.org/markup-compatibility/2006">
    <mc:Choice xmlns:c14="http://schemas.microsoft.com/office/drawing/2007/8/2/chart" Requires="c14">
      <c14:style val="102"/>
    </mc:Choice>
    <mc:Fallback>
      <c:style val="2"/>
    </mc:Fallback>
  </mc:AlternateContent>
  <c:chart>
    <c:autoTitleDeleted val="0"/>
    <c:plotArea>
      <c:layout/>
      <c:lineChart>
        <c:grouping val="standard"/>
        <c:varyColors val="0"/>
        <c:ser>
          <c:idx val="0"/>
          <c:order val="0"/>
          <c:tx>
            <c:strRef>
              <c:f>'[4]Aralık 2020   '!$AO$3:$AP$3</c:f>
              <c:strCache>
                <c:ptCount val="1"/>
                <c:pt idx="0">
                  <c:v>T1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'!$AP$4:$AP$34</c:f>
              <c:numCache>
                <c:formatCode>General</c:formatCode>
                <c:ptCount val="31"/>
                <c:pt idx="0">
                  <c:v>4523.6400000000003</c:v>
                </c:pt>
                <c:pt idx="1">
                  <c:v>883.20000000111759</c:v>
                </c:pt>
                <c:pt idx="2">
                  <c:v>880.43999999947846</c:v>
                </c:pt>
                <c:pt idx="3">
                  <c:v>819.71999999973923</c:v>
                </c:pt>
                <c:pt idx="4">
                  <c:v>855.60000000055879</c:v>
                </c:pt>
                <c:pt idx="5">
                  <c:v>651.35999999940395</c:v>
                </c:pt>
                <c:pt idx="6">
                  <c:v>587.88000000081956</c:v>
                </c:pt>
                <c:pt idx="7">
                  <c:v>728.6399999987334</c:v>
                </c:pt>
                <c:pt idx="8">
                  <c:v>720.3600000012666</c:v>
                </c:pt>
                <c:pt idx="9">
                  <c:v>747.95999999903142</c:v>
                </c:pt>
                <c:pt idx="10">
                  <c:v>723.12000000011176</c:v>
                </c:pt>
                <c:pt idx="11">
                  <c:v>706.55999999959022</c:v>
                </c:pt>
                <c:pt idx="12">
                  <c:v>637.56000000145286</c:v>
                </c:pt>
                <c:pt idx="13">
                  <c:v>574.07999999821186</c:v>
                </c:pt>
                <c:pt idx="14">
                  <c:v>764.52000000048429</c:v>
                </c:pt>
                <c:pt idx="15">
                  <c:v>781.08000000100583</c:v>
                </c:pt>
                <c:pt idx="16">
                  <c:v>772.79999999888241</c:v>
                </c:pt>
                <c:pt idx="17">
                  <c:v>709.32000000029802</c:v>
                </c:pt>
                <c:pt idx="18">
                  <c:v>698.28000000026077</c:v>
                </c:pt>
                <c:pt idx="19">
                  <c:v>648.59999999962747</c:v>
                </c:pt>
                <c:pt idx="20">
                  <c:v>585.12000000011176</c:v>
                </c:pt>
                <c:pt idx="21">
                  <c:v>-5850449.2799999993</c:v>
                </c:pt>
                <c:pt idx="22">
                  <c:v>5851953.4800000004</c:v>
                </c:pt>
                <c:pt idx="23">
                  <c:v>742.44000000040978</c:v>
                </c:pt>
                <c:pt idx="24">
                  <c:v>723.11999999918044</c:v>
                </c:pt>
                <c:pt idx="25">
                  <c:v>725.87999999988824</c:v>
                </c:pt>
                <c:pt idx="26">
                  <c:v>634.79999999981374</c:v>
                </c:pt>
                <c:pt idx="27">
                  <c:v>585.12000000011176</c:v>
                </c:pt>
                <c:pt idx="28">
                  <c:v>734.16000000014901</c:v>
                </c:pt>
                <c:pt idx="29">
                  <c:v>764.52000000048429</c:v>
                </c:pt>
                <c:pt idx="30">
                  <c:v>701.03999999910593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0-91D0-4113-94F1-B54F3C353626}"/>
            </c:ext>
          </c:extLst>
        </c:ser>
        <c:ser>
          <c:idx val="1"/>
          <c:order val="1"/>
          <c:tx>
            <c:strRef>
              <c:f>'[4]Aralık 2020   '!$AQ$3:$AR$3</c:f>
              <c:strCache>
                <c:ptCount val="1"/>
                <c:pt idx="0">
                  <c:v>T2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'!$AR$4:$AR$34</c:f>
              <c:numCache>
                <c:formatCode>General</c:formatCode>
                <c:ptCount val="31"/>
                <c:pt idx="0">
                  <c:v>1686.36</c:v>
                </c:pt>
                <c:pt idx="1">
                  <c:v>350.51999999955297</c:v>
                </c:pt>
                <c:pt idx="2">
                  <c:v>295.32000000029802</c:v>
                </c:pt>
                <c:pt idx="3">
                  <c:v>295.32000000029802</c:v>
                </c:pt>
                <c:pt idx="4">
                  <c:v>358.79999999981374</c:v>
                </c:pt>
                <c:pt idx="5">
                  <c:v>220.79999999981374</c:v>
                </c:pt>
                <c:pt idx="6">
                  <c:v>278.75999999977648</c:v>
                </c:pt>
                <c:pt idx="7">
                  <c:v>292.56000000005588</c:v>
                </c:pt>
                <c:pt idx="8">
                  <c:v>284.28000000026077</c:v>
                </c:pt>
                <c:pt idx="9">
                  <c:v>300.84000000031665</c:v>
                </c:pt>
                <c:pt idx="10">
                  <c:v>287.03999999957159</c:v>
                </c:pt>
                <c:pt idx="11">
                  <c:v>287.04000000003725</c:v>
                </c:pt>
                <c:pt idx="12">
                  <c:v>270.47999999998137</c:v>
                </c:pt>
                <c:pt idx="13">
                  <c:v>278.75999999977648</c:v>
                </c:pt>
                <c:pt idx="14">
                  <c:v>281.52000000001863</c:v>
                </c:pt>
                <c:pt idx="15">
                  <c:v>270.48000000044703</c:v>
                </c:pt>
                <c:pt idx="16">
                  <c:v>289.79999999981374</c:v>
                </c:pt>
                <c:pt idx="17">
                  <c:v>281.52000000001863</c:v>
                </c:pt>
                <c:pt idx="18">
                  <c:v>287.04000000003725</c:v>
                </c:pt>
                <c:pt idx="19">
                  <c:v>287.04000000003725</c:v>
                </c:pt>
                <c:pt idx="20">
                  <c:v>281.52000000001863</c:v>
                </c:pt>
                <c:pt idx="21">
                  <c:v>284.27999999979511</c:v>
                </c:pt>
                <c:pt idx="22">
                  <c:v>289.8000000002794</c:v>
                </c:pt>
                <c:pt idx="23">
                  <c:v>287.03999999957159</c:v>
                </c:pt>
                <c:pt idx="24">
                  <c:v>278.76000000024214</c:v>
                </c:pt>
                <c:pt idx="25">
                  <c:v>284.28000000026077</c:v>
                </c:pt>
                <c:pt idx="26">
                  <c:v>278.75999999977648</c:v>
                </c:pt>
                <c:pt idx="27">
                  <c:v>276</c:v>
                </c:pt>
                <c:pt idx="28">
                  <c:v>278.75999999977648</c:v>
                </c:pt>
                <c:pt idx="29">
                  <c:v>287.04000000003725</c:v>
                </c:pt>
                <c:pt idx="30">
                  <c:v>276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1-91D0-4113-94F1-B54F3C353626}"/>
            </c:ext>
          </c:extLst>
        </c:ser>
        <c:ser>
          <c:idx val="2"/>
          <c:order val="2"/>
          <c:tx>
            <c:strRef>
              <c:f>'[4]Aralık 2020   '!$AS$3:$AT$3</c:f>
              <c:strCache>
                <c:ptCount val="1"/>
                <c:pt idx="0">
                  <c:v>T3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'!$AT$4:$AT$34</c:f>
              <c:numCache>
                <c:formatCode>General</c:formatCode>
                <c:ptCount val="31"/>
                <c:pt idx="0">
                  <c:v>1959.6</c:v>
                </c:pt>
                <c:pt idx="1">
                  <c:v>549.24000000022352</c:v>
                </c:pt>
                <c:pt idx="2">
                  <c:v>447.12000000011176</c:v>
                </c:pt>
                <c:pt idx="3">
                  <c:v>447.12000000011176</c:v>
                </c:pt>
                <c:pt idx="4">
                  <c:v>516.1199999996461</c:v>
                </c:pt>
                <c:pt idx="5">
                  <c:v>422.28000000026077</c:v>
                </c:pt>
                <c:pt idx="6">
                  <c:v>452.64000000013039</c:v>
                </c:pt>
                <c:pt idx="7">
                  <c:v>436.08000000007451</c:v>
                </c:pt>
                <c:pt idx="8">
                  <c:v>466.43999999994412</c:v>
                </c:pt>
                <c:pt idx="9">
                  <c:v>471.95999999996275</c:v>
                </c:pt>
                <c:pt idx="10">
                  <c:v>430.55999999959022</c:v>
                </c:pt>
                <c:pt idx="11">
                  <c:v>974.28000000026077</c:v>
                </c:pt>
                <c:pt idx="12">
                  <c:v>-85.559999999590218</c:v>
                </c:pt>
                <c:pt idx="13">
                  <c:v>389.15999999968335</c:v>
                </c:pt>
                <c:pt idx="14">
                  <c:v>408.47999999998137</c:v>
                </c:pt>
                <c:pt idx="15">
                  <c:v>419.52000000048429</c:v>
                </c:pt>
                <c:pt idx="16">
                  <c:v>436.07999999960884</c:v>
                </c:pt>
                <c:pt idx="17">
                  <c:v>397.43999999994412</c:v>
                </c:pt>
                <c:pt idx="18">
                  <c:v>438.84000000031665</c:v>
                </c:pt>
                <c:pt idx="19">
                  <c:v>402.95999999996275</c:v>
                </c:pt>
                <c:pt idx="20">
                  <c:v>444.35999999940395</c:v>
                </c:pt>
                <c:pt idx="21">
                  <c:v>430.56000000052154</c:v>
                </c:pt>
                <c:pt idx="22">
                  <c:v>471.95999999949709</c:v>
                </c:pt>
                <c:pt idx="23">
                  <c:v>447.12000000011176</c:v>
                </c:pt>
                <c:pt idx="24">
                  <c:v>-3057784.6799999997</c:v>
                </c:pt>
                <c:pt idx="25">
                  <c:v>91.080000000016298</c:v>
                </c:pt>
                <c:pt idx="26">
                  <c:v>63.479999999981374</c:v>
                </c:pt>
                <c:pt idx="27">
                  <c:v>3059374.44</c:v>
                </c:pt>
                <c:pt idx="28">
                  <c:v>433.31999999983236</c:v>
                </c:pt>
                <c:pt idx="29">
                  <c:v>419.52000000001863</c:v>
                </c:pt>
                <c:pt idx="30">
                  <c:v>436.08000000007451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2-91D0-4113-94F1-B54F3C353626}"/>
            </c:ext>
          </c:extLst>
        </c:ser>
        <c:ser>
          <c:idx val="3"/>
          <c:order val="3"/>
          <c:tx>
            <c:strRef>
              <c:f>'[4]Aralık 2020   '!$I$3</c:f>
              <c:strCache>
                <c:ptCount val="1"/>
                <c:pt idx="0">
                  <c:v>Daily Consumption (kWh)</c:v>
                </c:pt>
              </c:strCache>
            </c:strRef>
          </c:tx>
          <c:cat>
            <c:numRef>
              <c:f>'[4]Aralık 2020   '!$Z$4:$Z$34</c:f>
              <c:numCache>
                <c:formatCode>General</c:formatCode>
                <c:ptCount val="31"/>
                <c:pt idx="0">
                  <c:v>44166</c:v>
                </c:pt>
                <c:pt idx="1">
                  <c:v>44167</c:v>
                </c:pt>
                <c:pt idx="2">
                  <c:v>44168</c:v>
                </c:pt>
                <c:pt idx="3">
                  <c:v>44169</c:v>
                </c:pt>
                <c:pt idx="4">
                  <c:v>44170</c:v>
                </c:pt>
                <c:pt idx="5">
                  <c:v>44171</c:v>
                </c:pt>
                <c:pt idx="6">
                  <c:v>44172</c:v>
                </c:pt>
                <c:pt idx="7">
                  <c:v>44173</c:v>
                </c:pt>
                <c:pt idx="8">
                  <c:v>44174</c:v>
                </c:pt>
                <c:pt idx="9">
                  <c:v>44175</c:v>
                </c:pt>
                <c:pt idx="10">
                  <c:v>44176</c:v>
                </c:pt>
                <c:pt idx="11">
                  <c:v>44177</c:v>
                </c:pt>
                <c:pt idx="12">
                  <c:v>44178</c:v>
                </c:pt>
                <c:pt idx="13">
                  <c:v>44179</c:v>
                </c:pt>
                <c:pt idx="14">
                  <c:v>44180</c:v>
                </c:pt>
                <c:pt idx="15">
                  <c:v>44181</c:v>
                </c:pt>
                <c:pt idx="16">
                  <c:v>44182</c:v>
                </c:pt>
                <c:pt idx="17">
                  <c:v>44183</c:v>
                </c:pt>
                <c:pt idx="18">
                  <c:v>44184</c:v>
                </c:pt>
                <c:pt idx="19">
                  <c:v>44185</c:v>
                </c:pt>
                <c:pt idx="20">
                  <c:v>44186</c:v>
                </c:pt>
                <c:pt idx="21">
                  <c:v>44187</c:v>
                </c:pt>
                <c:pt idx="22">
                  <c:v>44188</c:v>
                </c:pt>
                <c:pt idx="23">
                  <c:v>44189</c:v>
                </c:pt>
                <c:pt idx="24">
                  <c:v>44190</c:v>
                </c:pt>
                <c:pt idx="25">
                  <c:v>44191</c:v>
                </c:pt>
                <c:pt idx="26">
                  <c:v>44192</c:v>
                </c:pt>
                <c:pt idx="27">
                  <c:v>44193</c:v>
                </c:pt>
                <c:pt idx="28">
                  <c:v>44194</c:v>
                </c:pt>
                <c:pt idx="29">
                  <c:v>44195</c:v>
                </c:pt>
                <c:pt idx="30">
                  <c:v>44196</c:v>
                </c:pt>
              </c:numCache>
            </c:numRef>
          </c:cat>
          <c:val>
            <c:numRef>
              <c:f>'[4]Aralık 2020   '!$I$4:$I$34</c:f>
              <c:numCache>
                <c:formatCode>General</c:formatCode>
                <c:ptCount val="31"/>
                <c:pt idx="1">
                  <c:v>1780.1999999992549</c:v>
                </c:pt>
                <c:pt idx="2">
                  <c:v>1631.160000000149</c:v>
                </c:pt>
                <c:pt idx="3">
                  <c:v>1553.8800000008196</c:v>
                </c:pt>
                <c:pt idx="4">
                  <c:v>1725</c:v>
                </c:pt>
                <c:pt idx="5">
                  <c:v>1302.7199999988079</c:v>
                </c:pt>
                <c:pt idx="6">
                  <c:v>1319.2800000011921</c:v>
                </c:pt>
                <c:pt idx="7">
                  <c:v>1457.2800000011921</c:v>
                </c:pt>
                <c:pt idx="8">
                  <c:v>1471.0799999982119</c:v>
                </c:pt>
                <c:pt idx="9">
                  <c:v>1518</c:v>
                </c:pt>
                <c:pt idx="10">
                  <c:v>1443.480000000447</c:v>
                </c:pt>
                <c:pt idx="11">
                  <c:v>1415.8799999989569</c:v>
                </c:pt>
                <c:pt idx="12">
                  <c:v>1374.480000000447</c:v>
                </c:pt>
                <c:pt idx="13">
                  <c:v>1242.0000000018626</c:v>
                </c:pt>
                <c:pt idx="14">
                  <c:v>1454.519999999553</c:v>
                </c:pt>
                <c:pt idx="15">
                  <c:v>1471.0799999982119</c:v>
                </c:pt>
                <c:pt idx="16">
                  <c:v>1498.6800000015646</c:v>
                </c:pt>
                <c:pt idx="17">
                  <c:v>1388.2799999993294</c:v>
                </c:pt>
                <c:pt idx="18">
                  <c:v>1424.1599999982864</c:v>
                </c:pt>
                <c:pt idx="19">
                  <c:v>1338.6000000014901</c:v>
                </c:pt>
                <c:pt idx="20">
                  <c:v>1311</c:v>
                </c:pt>
                <c:pt idx="21">
                  <c:v>1465.5599999986589</c:v>
                </c:pt>
                <c:pt idx="22">
                  <c:v>1515.2400000002235</c:v>
                </c:pt>
                <c:pt idx="23">
                  <c:v>1476.5999999996275</c:v>
                </c:pt>
                <c:pt idx="24">
                  <c:v>1432.4400000013411</c:v>
                </c:pt>
                <c:pt idx="25">
                  <c:v>1429.679999999702</c:v>
                </c:pt>
                <c:pt idx="26">
                  <c:v>1366.1999999992549</c:v>
                </c:pt>
                <c:pt idx="27">
                  <c:v>1302.7200000025332</c:v>
                </c:pt>
                <c:pt idx="28">
                  <c:v>1446.2399999983609</c:v>
                </c:pt>
                <c:pt idx="29">
                  <c:v>1471.0800000000745</c:v>
                </c:pt>
                <c:pt idx="30">
                  <c:v>1413.1199999991804</c:v>
                </c:pt>
              </c:numCache>
            </c:numRef>
          </c:val>
          <c:smooth val="0"/>
          <c:extLst>
            <c:ext xmlns:c16="http://schemas.microsoft.com/office/drawing/2014/chart" uri="{C3380CC4-5D6E-409C-BE32-E72D297353CC}">
              <c16:uniqueId val="{00000003-91D0-4113-94F1-B54F3C353626}"/>
            </c:ext>
          </c:extLst>
        </c:ser>
        <c:dLbls>
          <c:showLegendKey val="0"/>
          <c:showVal val="0"/>
          <c:showCatName val="0"/>
          <c:showSerName val="0"/>
          <c:showPercent val="0"/>
          <c:showBubbleSize val="0"/>
        </c:dLbls>
        <c:marker val="1"/>
        <c:smooth val="0"/>
        <c:axId val="368124376"/>
        <c:axId val="368120848"/>
      </c:lineChart>
      <c:dateAx>
        <c:axId val="368124376"/>
        <c:scaling>
          <c:orientation val="minMax"/>
          <c:max val="44286"/>
          <c:min val="44256"/>
        </c:scaling>
        <c:delete val="0"/>
        <c:axPos val="b"/>
        <c:numFmt formatCode="m/d/yyyy" sourceLinked="0"/>
        <c:majorTickMark val="out"/>
        <c:minorTickMark val="none"/>
        <c:tickLblPos val="nextTo"/>
        <c:txPr>
          <a:bodyPr rot="-270000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0848"/>
        <c:crosses val="autoZero"/>
        <c:auto val="0"/>
        <c:lblOffset val="100"/>
        <c:baseTimeUnit val="days"/>
      </c:dateAx>
      <c:valAx>
        <c:axId val="368120848"/>
        <c:scaling>
          <c:orientation val="minMax"/>
          <c:max val="12000"/>
          <c:min val="0"/>
        </c:scaling>
        <c:delete val="0"/>
        <c:axPos val="l"/>
        <c:majorGridlines/>
        <c:numFmt formatCode="General" sourceLinked="1"/>
        <c:majorTickMark val="out"/>
        <c:minorTickMark val="none"/>
        <c:tickLblPos val="nextTo"/>
        <c:txPr>
          <a:bodyPr rot="0" vert="horz"/>
          <a:lstStyle/>
          <a:p>
            <a:pPr>
              <a:defRPr sz="1000" b="0" i="0" u="none" strike="noStrike" baseline="0">
                <a:solidFill>
                  <a:srgbClr val="000000"/>
                </a:solidFill>
                <a:latin typeface="Calibri"/>
                <a:ea typeface="Calibri"/>
                <a:cs typeface="Calibri"/>
              </a:defRPr>
            </a:pPr>
            <a:endParaRPr lang="en-US"/>
          </a:p>
        </c:txPr>
        <c:crossAx val="368124376"/>
        <c:crossesAt val="44256"/>
        <c:crossBetween val="between"/>
        <c:majorUnit val="1000"/>
        <c:minorUnit val="200"/>
      </c:valAx>
    </c:plotArea>
    <c:legend>
      <c:legendPos val="r"/>
      <c:layout>
        <c:manualLayout>
          <c:xMode val="edge"/>
          <c:yMode val="edge"/>
          <c:x val="0.85071782566229759"/>
          <c:y val="2.9391179043795995E-2"/>
          <c:w val="0.14753180354752751"/>
          <c:h val="0.54721150052321887"/>
        </c:manualLayout>
      </c:layout>
      <c:overlay val="0"/>
      <c:txPr>
        <a:bodyPr/>
        <a:lstStyle/>
        <a:p>
          <a:pPr>
            <a:defRPr sz="315" b="0" i="0" u="none" strike="noStrike" baseline="0">
              <a:solidFill>
                <a:srgbClr val="000000"/>
              </a:solidFill>
              <a:latin typeface="Calibri"/>
              <a:ea typeface="Calibri"/>
              <a:cs typeface="Calibri"/>
            </a:defRPr>
          </a:pPr>
          <a:endParaRPr lang="en-US"/>
        </a:p>
      </c:txPr>
    </c:legend>
    <c:plotVisOnly val="1"/>
    <c:dispBlanksAs val="gap"/>
    <c:showDLblsOverMax val="0"/>
  </c:chart>
  <c:txPr>
    <a:bodyPr/>
    <a:lstStyle/>
    <a:p>
      <a:pPr>
        <a:defRPr sz="1000" b="0" i="0" u="none" strike="noStrike" baseline="0">
          <a:solidFill>
            <a:srgbClr val="000000"/>
          </a:solidFill>
          <a:latin typeface="Calibri"/>
          <a:ea typeface="Calibri"/>
          <a:cs typeface="Calibri"/>
        </a:defRPr>
      </a:pPr>
      <a:endParaRPr lang="en-US"/>
    </a:p>
  </c:txPr>
  <c:printSettings>
    <c:headerFooter/>
    <c:pageMargins b="0.75000000000000189" l="0.70000000000000062" r="0.70000000000000062" t="0.75000000000000189" header="0.30000000000000032" footer="0.30000000000000032"/>
    <c:pageSetup/>
  </c:printSettings>
</c:chartSpace>
</file>

<file path=xl/drawings/_rels/drawing1.xml.rels><?xml version="1.0" encoding="UTF-8" standalone="yes"?>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31</xdr:col>
      <xdr:colOff>695325</xdr:colOff>
      <xdr:row>40</xdr:row>
      <xdr:rowOff>133350</xdr:rowOff>
    </xdr:from>
    <xdr:to>
      <xdr:col>41</xdr:col>
      <xdr:colOff>428625</xdr:colOff>
      <xdr:row>56</xdr:row>
      <xdr:rowOff>0</xdr:rowOff>
    </xdr:to>
    <xdr:graphicFrame macro="">
      <xdr:nvGraphicFramePr>
        <xdr:cNvPr id="2049" name="Chart 3">
          <a:extLst>
            <a:ext uri="{FF2B5EF4-FFF2-40B4-BE49-F238E27FC236}">
              <a16:creationId xmlns:a16="http://schemas.microsoft.com/office/drawing/2014/main" id="{75290E4B-B9E1-4065-A246-575A90D95DC6}"/>
            </a:ext>
          </a:extLst>
        </xdr:cNvPr>
        <xdr:cNvGraphicFramePr>
          <a:graphicFrameLocks/>
        </xdr:cNvGraphicFramePr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externalLinks/_rels/externalLink1.xml.rels><?xml version="1.0" encoding="UTF-8" standalone="yes"?>
<Relationships xmlns="http://schemas.openxmlformats.org/package/2006/relationships"><Relationship Id="rId1" Type="http://schemas.openxmlformats.org/officeDocument/2006/relationships/externalLinkPath" Target="Water%20Consumption%202022.xlsx" TargetMode="External"/></Relationships>
</file>

<file path=xl/externalLinks/_rels/externalLink2.xml.rels><?xml version="1.0" encoding="UTF-8" standalone="yes"?>
<Relationships xmlns="http://schemas.openxmlformats.org/package/2006/relationships"><Relationship Id="rId1" Type="http://schemas.openxmlformats.org/officeDocument/2006/relationships/externalLinkPath" Target="Natural%20Gas%20Consumption%202022.xls" TargetMode="External"/></Relationships>
</file>

<file path=xl/externalLinks/_rels/externalLink3.xml.rels><?xml version="1.0" encoding="UTF-8" standalone="yes"?>
<Relationships xmlns="http://schemas.openxmlformats.org/package/2006/relationships"><Relationship Id="rId1" Type="http://schemas.openxmlformats.org/officeDocument/2006/relationships/externalLinkPath" Target="Electricity%20Consumption%202022.xls" TargetMode="External"/></Relationships>
</file>

<file path=xl/externalLinks/_rels/externalLink4.xml.rels><?xml version="1.0" encoding="UTF-8" standalone="yes"?>
<Relationships xmlns="http://schemas.openxmlformats.org/package/2006/relationships"><Relationship Id="rId1" Type="http://schemas.openxmlformats.org/officeDocument/2006/relationships/externalLinkPath" Target="file:///C:\Users\ronal\AppData\Local\Microsoft\Windows\INetCache\Content.Outlook\G5X18G9Q\Electricity%20Consumption%202020.xls" TargetMode="External"/></Relationships>
</file>

<file path=xl/externalLinks/externalLink1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2"/>
      <sheetName val="NİS.2022"/>
      <sheetName val="May.2022"/>
      <sheetName val="Jun.2022"/>
      <sheetName val="Jul.2022"/>
      <sheetName val="Aug.2022"/>
      <sheetName val="Sep.2021"/>
      <sheetName val="Oct.2021"/>
      <sheetName val="Nov.2021"/>
      <sheetName val="Dec.2021"/>
    </sheetNames>
    <sheetDataSet>
      <sheetData sheetId="0"/>
      <sheetData sheetId="1"/>
      <sheetData sheetId="2"/>
      <sheetData sheetId="3"/>
      <sheetData sheetId="4"/>
      <sheetData sheetId="5"/>
      <sheetData sheetId="6">
        <row r="34">
          <cell r="G34">
            <v>15722</v>
          </cell>
        </row>
      </sheetData>
      <sheetData sheetId="7">
        <row r="4">
          <cell r="E4">
            <v>14657</v>
          </cell>
        </row>
        <row r="5">
          <cell r="E5">
            <v>14715</v>
          </cell>
        </row>
        <row r="6">
          <cell r="E6">
            <v>14794</v>
          </cell>
        </row>
        <row r="8">
          <cell r="E8">
            <v>14916</v>
          </cell>
        </row>
        <row r="18">
          <cell r="E18">
            <v>15354</v>
          </cell>
        </row>
        <row r="19">
          <cell r="E19">
            <v>15402</v>
          </cell>
        </row>
        <row r="20">
          <cell r="E20">
            <v>15438</v>
          </cell>
        </row>
      </sheetData>
      <sheetData sheetId="8"/>
      <sheetData sheetId="9"/>
      <sheetData sheetId="10"/>
      <sheetData sheetId="11"/>
    </sheetDataSet>
  </externalBook>
</externalLink>
</file>

<file path=xl/externalLinks/externalLink2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.2021"/>
      <sheetName val="Apr.2022"/>
      <sheetName val="May.2022"/>
      <sheetName val="Jun.2022"/>
      <sheetName val="Jul.2022"/>
      <sheetName val="Aug.2022"/>
      <sheetName val="Sep.2022"/>
      <sheetName val="Oct.2021"/>
      <sheetName val="Nov.2021"/>
      <sheetName val="Dec.2021"/>
      <sheetName val="Sheet1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K34">
            <v>1179096.683646</v>
          </cell>
        </row>
      </sheetData>
      <sheetData sheetId="7">
        <row r="4">
          <cell r="E4">
            <v>773687</v>
          </cell>
          <cell r="F4">
            <v>174872</v>
          </cell>
        </row>
        <row r="5">
          <cell r="E5">
            <v>773887</v>
          </cell>
          <cell r="F5">
            <v>174973</v>
          </cell>
        </row>
        <row r="6">
          <cell r="E6">
            <v>774079</v>
          </cell>
          <cell r="F6">
            <v>175050</v>
          </cell>
        </row>
        <row r="8">
          <cell r="E8">
            <v>774472</v>
          </cell>
          <cell r="F8">
            <v>175206</v>
          </cell>
        </row>
        <row r="18">
          <cell r="E18">
            <v>776493</v>
          </cell>
          <cell r="F18">
            <v>176018</v>
          </cell>
        </row>
        <row r="19">
          <cell r="E19">
            <v>776701</v>
          </cell>
          <cell r="F19">
            <v>176097</v>
          </cell>
        </row>
        <row r="20">
          <cell r="E20">
            <v>776890</v>
          </cell>
          <cell r="F20">
            <v>176176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3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2"/>
      <sheetName val="Feb.2022"/>
      <sheetName val="Mart.2022"/>
      <sheetName val="NİSAN.2022"/>
      <sheetName val="Mayıs.2022 "/>
      <sheetName val="Haziran.2022  "/>
      <sheetName val="Temmuz 2022"/>
      <sheetName val="Agustos 2022 "/>
      <sheetName val="Eylül 2022 "/>
      <sheetName val="Ekim 2021"/>
      <sheetName val="Kasım 2021  "/>
      <sheetName val="Aralık 2021   "/>
      <sheetName val="Sheet2"/>
    </sheetNames>
    <sheetDataSet>
      <sheetData sheetId="0" refreshError="1"/>
      <sheetData sheetId="1" refreshError="1"/>
      <sheetData sheetId="2" refreshError="1"/>
      <sheetData sheetId="3" refreshError="1"/>
      <sheetData sheetId="4" refreshError="1"/>
      <sheetData sheetId="5" refreshError="1"/>
      <sheetData sheetId="6">
        <row r="34">
          <cell r="H34">
            <v>13863775.32</v>
          </cell>
        </row>
      </sheetData>
      <sheetData sheetId="7">
        <row r="4">
          <cell r="F4">
            <v>5026.9620000000004</v>
          </cell>
        </row>
        <row r="5">
          <cell r="F5">
            <v>5030.6189999999997</v>
          </cell>
        </row>
        <row r="6">
          <cell r="F6">
            <v>5034.2030000000004</v>
          </cell>
        </row>
        <row r="7">
          <cell r="F7">
            <v>5037.67</v>
          </cell>
        </row>
        <row r="8">
          <cell r="F8">
            <v>5041.098</v>
          </cell>
        </row>
        <row r="9">
          <cell r="F9">
            <v>5044.9139999999998</v>
          </cell>
        </row>
        <row r="10">
          <cell r="F10">
            <v>5049.03</v>
          </cell>
        </row>
        <row r="18">
          <cell r="F18">
            <v>5082.0649999999996</v>
          </cell>
        </row>
        <row r="19">
          <cell r="F19">
            <v>5085.4530000000004</v>
          </cell>
        </row>
        <row r="20">
          <cell r="F20">
            <v>5089.3810000000003</v>
          </cell>
        </row>
      </sheetData>
      <sheetData sheetId="8" refreshError="1"/>
      <sheetData sheetId="9" refreshError="1"/>
      <sheetData sheetId="10" refreshError="1"/>
      <sheetData sheetId="11" refreshError="1"/>
      <sheetData sheetId="12" refreshError="1"/>
    </sheetDataSet>
  </externalBook>
</externalLink>
</file>

<file path=xl/externalLinks/externalLink4.xml><?xml version="1.0" encoding="utf-8"?>
<externalLink xmlns="http://schemas.openxmlformats.org/spreadsheetml/2006/main" xmlns:mc="http://schemas.openxmlformats.org/markup-compatibility/2006" xmlns:x14="http://schemas.microsoft.com/office/spreadsheetml/2009/9/main" mc:Ignorable="x14">
  <externalBook xmlns:r="http://schemas.openxmlformats.org/officeDocument/2006/relationships" r:id="rId1">
    <sheetNames>
      <sheetName val="Jan.2020"/>
      <sheetName val="Feb.2020"/>
      <sheetName val="Mart.2020"/>
      <sheetName val="Nisan.2020"/>
      <sheetName val="Mayıs.2020 "/>
      <sheetName val="Haziran.2020  "/>
      <sheetName val="Temmuz 2020"/>
      <sheetName val="Agustos 2020 "/>
      <sheetName val="Eylül 2020 "/>
      <sheetName val="Ekim 2020  "/>
      <sheetName val="Kasım 2020  "/>
      <sheetName val="Aralık 2020   "/>
      <sheetName val="Sheet2"/>
    </sheetNames>
    <sheetDataSet>
      <sheetData sheetId="0"/>
      <sheetData sheetId="1"/>
      <sheetData sheetId="2"/>
      <sheetData sheetId="3"/>
      <sheetData sheetId="4"/>
      <sheetData sheetId="5"/>
      <sheetData sheetId="6"/>
      <sheetData sheetId="7"/>
      <sheetData sheetId="8"/>
      <sheetData sheetId="9"/>
      <sheetData sheetId="10"/>
      <sheetData sheetId="11">
        <row r="3">
          <cell r="I3" t="str">
            <v>Daily Consumption (kWh)</v>
          </cell>
          <cell r="AO3" t="str">
            <v>T1</v>
          </cell>
          <cell r="AQ3" t="str">
            <v>T2</v>
          </cell>
          <cell r="AS3" t="str">
            <v>T3</v>
          </cell>
        </row>
        <row r="4">
          <cell r="Z4">
            <v>44166</v>
          </cell>
          <cell r="AP4">
            <v>4523.6400000000003</v>
          </cell>
          <cell r="AR4">
            <v>1686.36</v>
          </cell>
          <cell r="AT4">
            <v>1959.6</v>
          </cell>
        </row>
        <row r="5">
          <cell r="I5">
            <v>1780.1999999992549</v>
          </cell>
          <cell r="Z5">
            <v>44167</v>
          </cell>
          <cell r="AP5">
            <v>883.20000000111759</v>
          </cell>
          <cell r="AR5">
            <v>350.51999999955297</v>
          </cell>
          <cell r="AT5">
            <v>549.24000000022352</v>
          </cell>
        </row>
        <row r="6">
          <cell r="I6">
            <v>1631.160000000149</v>
          </cell>
          <cell r="Z6">
            <v>44168</v>
          </cell>
          <cell r="AP6">
            <v>880.43999999947846</v>
          </cell>
          <cell r="AR6">
            <v>295.32000000029802</v>
          </cell>
          <cell r="AT6">
            <v>447.12000000011176</v>
          </cell>
        </row>
        <row r="7">
          <cell r="I7">
            <v>1553.8800000008196</v>
          </cell>
          <cell r="Z7">
            <v>44169</v>
          </cell>
          <cell r="AP7">
            <v>819.71999999973923</v>
          </cell>
          <cell r="AR7">
            <v>295.32000000029802</v>
          </cell>
          <cell r="AT7">
            <v>447.12000000011176</v>
          </cell>
        </row>
        <row r="8">
          <cell r="I8">
            <v>1725</v>
          </cell>
          <cell r="Z8">
            <v>44170</v>
          </cell>
          <cell r="AP8">
            <v>855.60000000055879</v>
          </cell>
          <cell r="AR8">
            <v>358.79999999981374</v>
          </cell>
          <cell r="AT8">
            <v>516.1199999996461</v>
          </cell>
        </row>
        <row r="9">
          <cell r="I9">
            <v>1302.7199999988079</v>
          </cell>
          <cell r="Z9">
            <v>44171</v>
          </cell>
          <cell r="AP9">
            <v>651.35999999940395</v>
          </cell>
          <cell r="AR9">
            <v>220.79999999981374</v>
          </cell>
          <cell r="AT9">
            <v>422.28000000026077</v>
          </cell>
        </row>
        <row r="10">
          <cell r="I10">
            <v>1319.2800000011921</v>
          </cell>
          <cell r="Z10">
            <v>44172</v>
          </cell>
          <cell r="AP10">
            <v>587.88000000081956</v>
          </cell>
          <cell r="AR10">
            <v>278.75999999977648</v>
          </cell>
          <cell r="AT10">
            <v>452.64000000013039</v>
          </cell>
        </row>
        <row r="11">
          <cell r="I11">
            <v>1457.2800000011921</v>
          </cell>
          <cell r="Z11">
            <v>44173</v>
          </cell>
          <cell r="AP11">
            <v>728.6399999987334</v>
          </cell>
          <cell r="AR11">
            <v>292.56000000005588</v>
          </cell>
          <cell r="AT11">
            <v>436.08000000007451</v>
          </cell>
        </row>
        <row r="12">
          <cell r="I12">
            <v>1471.0799999982119</v>
          </cell>
          <cell r="Z12">
            <v>44174</v>
          </cell>
          <cell r="AP12">
            <v>720.3600000012666</v>
          </cell>
          <cell r="AR12">
            <v>284.28000000026077</v>
          </cell>
          <cell r="AT12">
            <v>466.43999999994412</v>
          </cell>
        </row>
        <row r="13">
          <cell r="I13">
            <v>1518</v>
          </cell>
          <cell r="Z13">
            <v>44175</v>
          </cell>
          <cell r="AP13">
            <v>747.95999999903142</v>
          </cell>
          <cell r="AR13">
            <v>300.84000000031665</v>
          </cell>
          <cell r="AT13">
            <v>471.95999999996275</v>
          </cell>
        </row>
        <row r="14">
          <cell r="I14">
            <v>1443.480000000447</v>
          </cell>
          <cell r="Z14">
            <v>44176</v>
          </cell>
          <cell r="AP14">
            <v>723.12000000011176</v>
          </cell>
          <cell r="AR14">
            <v>287.03999999957159</v>
          </cell>
          <cell r="AT14">
            <v>430.55999999959022</v>
          </cell>
        </row>
        <row r="15">
          <cell r="I15">
            <v>1415.8799999989569</v>
          </cell>
          <cell r="Z15">
            <v>44177</v>
          </cell>
          <cell r="AP15">
            <v>706.55999999959022</v>
          </cell>
          <cell r="AR15">
            <v>287.04000000003725</v>
          </cell>
          <cell r="AT15">
            <v>974.28000000026077</v>
          </cell>
        </row>
        <row r="16">
          <cell r="I16">
            <v>1374.480000000447</v>
          </cell>
          <cell r="Z16">
            <v>44178</v>
          </cell>
          <cell r="AP16">
            <v>637.56000000145286</v>
          </cell>
          <cell r="AR16">
            <v>270.47999999998137</v>
          </cell>
          <cell r="AT16">
            <v>-85.559999999590218</v>
          </cell>
        </row>
        <row r="17">
          <cell r="I17">
            <v>1242.0000000018626</v>
          </cell>
          <cell r="Z17">
            <v>44179</v>
          </cell>
          <cell r="AP17">
            <v>574.07999999821186</v>
          </cell>
          <cell r="AR17">
            <v>278.75999999977648</v>
          </cell>
          <cell r="AT17">
            <v>389.15999999968335</v>
          </cell>
        </row>
        <row r="18">
          <cell r="I18">
            <v>1454.519999999553</v>
          </cell>
          <cell r="Z18">
            <v>44180</v>
          </cell>
          <cell r="AP18">
            <v>764.52000000048429</v>
          </cell>
          <cell r="AR18">
            <v>281.52000000001863</v>
          </cell>
          <cell r="AT18">
            <v>408.47999999998137</v>
          </cell>
        </row>
        <row r="19">
          <cell r="I19">
            <v>1471.0799999982119</v>
          </cell>
          <cell r="Z19">
            <v>44181</v>
          </cell>
          <cell r="AP19">
            <v>781.08000000100583</v>
          </cell>
          <cell r="AR19">
            <v>270.48000000044703</v>
          </cell>
          <cell r="AT19">
            <v>419.52000000048429</v>
          </cell>
        </row>
        <row r="20">
          <cell r="I20">
            <v>1498.6800000015646</v>
          </cell>
          <cell r="Z20">
            <v>44182</v>
          </cell>
          <cell r="AP20">
            <v>772.79999999888241</v>
          </cell>
          <cell r="AR20">
            <v>289.79999999981374</v>
          </cell>
          <cell r="AT20">
            <v>436.07999999960884</v>
          </cell>
        </row>
        <row r="21">
          <cell r="I21">
            <v>1388.2799999993294</v>
          </cell>
          <cell r="Z21">
            <v>44183</v>
          </cell>
          <cell r="AP21">
            <v>709.32000000029802</v>
          </cell>
          <cell r="AR21">
            <v>281.52000000001863</v>
          </cell>
          <cell r="AT21">
            <v>397.43999999994412</v>
          </cell>
        </row>
        <row r="22">
          <cell r="I22">
            <v>1424.1599999982864</v>
          </cell>
          <cell r="Z22">
            <v>44184</v>
          </cell>
          <cell r="AP22">
            <v>698.28000000026077</v>
          </cell>
          <cell r="AR22">
            <v>287.04000000003725</v>
          </cell>
          <cell r="AT22">
            <v>438.84000000031665</v>
          </cell>
        </row>
        <row r="23">
          <cell r="I23">
            <v>1338.6000000014901</v>
          </cell>
          <cell r="Z23">
            <v>44185</v>
          </cell>
          <cell r="AP23">
            <v>648.59999999962747</v>
          </cell>
          <cell r="AR23">
            <v>287.04000000003725</v>
          </cell>
          <cell r="AT23">
            <v>402.95999999996275</v>
          </cell>
        </row>
        <row r="24">
          <cell r="I24">
            <v>1311</v>
          </cell>
          <cell r="Z24">
            <v>44186</v>
          </cell>
          <cell r="AP24">
            <v>585.12000000011176</v>
          </cell>
          <cell r="AR24">
            <v>281.52000000001863</v>
          </cell>
          <cell r="AT24">
            <v>444.35999999940395</v>
          </cell>
        </row>
        <row r="25">
          <cell r="I25">
            <v>1465.5599999986589</v>
          </cell>
          <cell r="Z25">
            <v>44187</v>
          </cell>
          <cell r="AP25">
            <v>-5850449.2799999993</v>
          </cell>
          <cell r="AR25">
            <v>284.27999999979511</v>
          </cell>
          <cell r="AT25">
            <v>430.56000000052154</v>
          </cell>
        </row>
        <row r="26">
          <cell r="I26">
            <v>1515.2400000002235</v>
          </cell>
          <cell r="Z26">
            <v>44188</v>
          </cell>
          <cell r="AP26">
            <v>5851953.4800000004</v>
          </cell>
          <cell r="AR26">
            <v>289.8000000002794</v>
          </cell>
          <cell r="AT26">
            <v>471.95999999949709</v>
          </cell>
        </row>
        <row r="27">
          <cell r="I27">
            <v>1476.5999999996275</v>
          </cell>
          <cell r="Z27">
            <v>44189</v>
          </cell>
          <cell r="AP27">
            <v>742.44000000040978</v>
          </cell>
          <cell r="AR27">
            <v>287.03999999957159</v>
          </cell>
          <cell r="AT27">
            <v>447.12000000011176</v>
          </cell>
        </row>
        <row r="28">
          <cell r="I28">
            <v>1432.4400000013411</v>
          </cell>
          <cell r="Z28">
            <v>44190</v>
          </cell>
          <cell r="AP28">
            <v>723.11999999918044</v>
          </cell>
          <cell r="AR28">
            <v>278.76000000024214</v>
          </cell>
          <cell r="AT28">
            <v>-3057784.6799999997</v>
          </cell>
        </row>
        <row r="29">
          <cell r="I29">
            <v>1429.679999999702</v>
          </cell>
          <cell r="Z29">
            <v>44191</v>
          </cell>
          <cell r="AP29">
            <v>725.87999999988824</v>
          </cell>
          <cell r="AR29">
            <v>284.28000000026077</v>
          </cell>
          <cell r="AT29">
            <v>91.080000000016298</v>
          </cell>
        </row>
        <row r="30">
          <cell r="I30">
            <v>1366.1999999992549</v>
          </cell>
          <cell r="Z30">
            <v>44192</v>
          </cell>
          <cell r="AP30">
            <v>634.79999999981374</v>
          </cell>
          <cell r="AR30">
            <v>278.75999999977648</v>
          </cell>
          <cell r="AT30">
            <v>63.479999999981374</v>
          </cell>
        </row>
        <row r="31">
          <cell r="I31">
            <v>1302.7200000025332</v>
          </cell>
          <cell r="Z31">
            <v>44193</v>
          </cell>
          <cell r="AP31">
            <v>585.12000000011176</v>
          </cell>
          <cell r="AR31">
            <v>276</v>
          </cell>
          <cell r="AT31">
            <v>3059374.44</v>
          </cell>
        </row>
        <row r="32">
          <cell r="I32">
            <v>1446.2399999983609</v>
          </cell>
          <cell r="Z32">
            <v>44194</v>
          </cell>
          <cell r="AP32">
            <v>734.16000000014901</v>
          </cell>
          <cell r="AR32">
            <v>278.75999999977648</v>
          </cell>
          <cell r="AT32">
            <v>433.31999999983236</v>
          </cell>
        </row>
        <row r="33">
          <cell r="I33">
            <v>1471.0800000000745</v>
          </cell>
          <cell r="Z33">
            <v>44195</v>
          </cell>
          <cell r="AP33">
            <v>764.52000000048429</v>
          </cell>
          <cell r="AR33">
            <v>287.04000000003725</v>
          </cell>
          <cell r="AT33">
            <v>419.52000000001863</v>
          </cell>
        </row>
        <row r="34">
          <cell r="I34">
            <v>1413.1199999991804</v>
          </cell>
          <cell r="Z34">
            <v>44196</v>
          </cell>
          <cell r="AP34">
            <v>701.03999999910593</v>
          </cell>
          <cell r="AR34">
            <v>276</v>
          </cell>
          <cell r="AT34">
            <v>436.08000000007451</v>
          </cell>
        </row>
      </sheetData>
      <sheetData sheetId="12"/>
    </sheetDataSet>
  </externalBook>
</externalLink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sheetPr>
    <tabColor rgb="FFFFC000"/>
  </sheetPr>
  <dimension ref="A1:K32"/>
  <sheetViews>
    <sheetView tabSelected="1" zoomScale="110" zoomScaleNormal="110" workbookViewId="0">
      <selection activeCell="A18" sqref="A18:XFD18"/>
    </sheetView>
  </sheetViews>
  <sheetFormatPr defaultColWidth="11.5703125" defaultRowHeight="15" x14ac:dyDescent="0.25"/>
  <cols>
    <col min="1" max="1" width="22.42578125" style="2" bestFit="1" customWidth="1"/>
    <col min="2" max="2" width="11.5703125" style="2"/>
    <col min="3" max="3" width="11.5703125" style="11"/>
    <col min="4" max="4" width="13.42578125" style="2" customWidth="1"/>
    <col min="5" max="5" width="13" style="9" customWidth="1"/>
    <col min="6" max="6" width="12.5703125" style="11" customWidth="1"/>
    <col min="7" max="7" width="13" style="4" customWidth="1"/>
    <col min="8" max="8" width="11.5703125" style="11"/>
    <col min="9" max="9" width="11.5703125" style="2"/>
    <col min="10" max="10" width="11.5703125" style="11"/>
    <col min="11" max="11" width="11.5703125" style="2"/>
  </cols>
  <sheetData>
    <row r="1" spans="1:11" s="1" customFormat="1" ht="60" x14ac:dyDescent="0.25">
      <c r="A1" s="5" t="s">
        <v>0</v>
      </c>
      <c r="B1" s="5" t="s">
        <v>1</v>
      </c>
      <c r="C1" s="10" t="s">
        <v>2</v>
      </c>
      <c r="D1" s="5" t="s">
        <v>3</v>
      </c>
      <c r="E1" s="8" t="s">
        <v>4</v>
      </c>
      <c r="F1" s="27" t="s">
        <v>8</v>
      </c>
      <c r="G1" s="7" t="s">
        <v>5</v>
      </c>
      <c r="H1" s="27" t="s">
        <v>9</v>
      </c>
      <c r="I1" s="6" t="s">
        <v>6</v>
      </c>
      <c r="J1" s="27" t="s">
        <v>10</v>
      </c>
      <c r="K1" s="6" t="s">
        <v>7</v>
      </c>
    </row>
    <row r="2" spans="1:11" s="14" customFormat="1" x14ac:dyDescent="0.25">
      <c r="A2" s="25" t="s">
        <v>34</v>
      </c>
      <c r="B2" s="12">
        <v>1</v>
      </c>
      <c r="C2" s="3">
        <v>8</v>
      </c>
      <c r="D2" s="12">
        <v>2022</v>
      </c>
      <c r="E2" s="13">
        <f>Electricity!I4</f>
        <v>10639.800000000745</v>
      </c>
      <c r="F2" s="3">
        <v>2.7</v>
      </c>
      <c r="G2" s="13">
        <f>Gas!J4</f>
        <v>344.42263099993579</v>
      </c>
      <c r="H2" s="3">
        <v>5.73</v>
      </c>
      <c r="I2" s="13">
        <f>Water!H4</f>
        <v>0</v>
      </c>
      <c r="J2" s="3">
        <v>24.4</v>
      </c>
      <c r="K2" s="12">
        <v>0</v>
      </c>
    </row>
    <row r="3" spans="1:11" s="16" customFormat="1" x14ac:dyDescent="0.25">
      <c r="A3" s="25" t="s">
        <v>34</v>
      </c>
      <c r="B3" s="15">
        <f>B2+1</f>
        <v>2</v>
      </c>
      <c r="C3" s="3">
        <v>8</v>
      </c>
      <c r="D3" s="12">
        <v>2022</v>
      </c>
      <c r="E3" s="13">
        <f>Electricity!I5</f>
        <v>10093.319999998435</v>
      </c>
      <c r="F3" s="3">
        <v>2.7</v>
      </c>
      <c r="G3" s="13">
        <f>Gas!J5</f>
        <v>374.26430300017819</v>
      </c>
      <c r="H3" s="3">
        <v>5.73</v>
      </c>
      <c r="I3" s="13">
        <f>Water!H5</f>
        <v>58</v>
      </c>
      <c r="J3" s="3">
        <v>24.4</v>
      </c>
      <c r="K3" s="12">
        <v>0</v>
      </c>
    </row>
    <row r="4" spans="1:11" s="16" customFormat="1" x14ac:dyDescent="0.25">
      <c r="A4" s="25" t="s">
        <v>34</v>
      </c>
      <c r="B4" s="15">
        <f t="shared" ref="B4:B31" si="0">B3+1</f>
        <v>3</v>
      </c>
      <c r="C4" s="3">
        <v>8</v>
      </c>
      <c r="D4" s="12">
        <v>2022</v>
      </c>
      <c r="E4" s="13">
        <f>Electricity!I6</f>
        <v>9891.8400000017136</v>
      </c>
      <c r="F4" s="3">
        <v>2.7</v>
      </c>
      <c r="G4" s="13">
        <f>Gas!J6</f>
        <v>334.4754069999326</v>
      </c>
      <c r="H4" s="3">
        <v>5.73</v>
      </c>
      <c r="I4" s="13">
        <f>Water!H6</f>
        <v>79</v>
      </c>
      <c r="J4" s="3">
        <v>24.4</v>
      </c>
      <c r="K4" s="12">
        <v>0</v>
      </c>
    </row>
    <row r="5" spans="1:11" s="16" customFormat="1" x14ac:dyDescent="0.25">
      <c r="A5" s="25" t="s">
        <v>34</v>
      </c>
      <c r="B5" s="15">
        <f t="shared" si="0"/>
        <v>4</v>
      </c>
      <c r="C5" s="3">
        <v>8</v>
      </c>
      <c r="D5" s="12">
        <v>2022</v>
      </c>
      <c r="E5" s="13">
        <f>Electricity!I7</f>
        <v>9568.9199999999255</v>
      </c>
      <c r="F5" s="3">
        <v>2.7</v>
      </c>
      <c r="G5" s="13">
        <f>Gas!J7</f>
        <v>283.49588400009088</v>
      </c>
      <c r="H5" s="3">
        <v>5.73</v>
      </c>
      <c r="I5" s="13">
        <f>Water!H7</f>
        <v>69</v>
      </c>
      <c r="J5" s="3">
        <v>24.4</v>
      </c>
      <c r="K5" s="12">
        <v>0</v>
      </c>
    </row>
    <row r="6" spans="1:11" s="16" customFormat="1" x14ac:dyDescent="0.25">
      <c r="A6" s="25" t="s">
        <v>34</v>
      </c>
      <c r="B6" s="15">
        <f t="shared" si="0"/>
        <v>5</v>
      </c>
      <c r="C6" s="3">
        <v>8</v>
      </c>
      <c r="D6" s="12">
        <v>2022</v>
      </c>
      <c r="E6" s="13">
        <f>Electricity!I8</f>
        <v>9461.2799999993294</v>
      </c>
      <c r="F6" s="3">
        <v>2.7</v>
      </c>
      <c r="G6" s="13">
        <f>Gas!J8</f>
        <v>399.13236299995333</v>
      </c>
      <c r="H6" s="3">
        <v>5.73</v>
      </c>
      <c r="I6" s="13">
        <f>Water!H8</f>
        <v>53</v>
      </c>
      <c r="J6" s="3">
        <v>24.4</v>
      </c>
      <c r="K6" s="12">
        <v>0</v>
      </c>
    </row>
    <row r="7" spans="1:11" s="16" customFormat="1" x14ac:dyDescent="0.25">
      <c r="A7" s="25" t="s">
        <v>34</v>
      </c>
      <c r="B7" s="15">
        <f t="shared" si="0"/>
        <v>6</v>
      </c>
      <c r="C7" s="3">
        <v>8</v>
      </c>
      <c r="D7" s="12">
        <v>2022</v>
      </c>
      <c r="E7" s="13">
        <f>Electricity!I9</f>
        <v>10532.159999998286</v>
      </c>
      <c r="F7" s="3">
        <v>2.7</v>
      </c>
      <c r="G7" s="13">
        <f>Gas!J9</f>
        <v>314.58095899992622</v>
      </c>
      <c r="H7" s="3">
        <v>5.73</v>
      </c>
      <c r="I7" s="13">
        <f>Water!H9</f>
        <v>54</v>
      </c>
      <c r="J7" s="3">
        <v>24.4</v>
      </c>
      <c r="K7" s="12">
        <v>0</v>
      </c>
    </row>
    <row r="8" spans="1:11" s="16" customFormat="1" x14ac:dyDescent="0.25">
      <c r="A8" s="25" t="s">
        <v>34</v>
      </c>
      <c r="B8" s="15">
        <f t="shared" si="0"/>
        <v>7</v>
      </c>
      <c r="C8" s="3">
        <v>8</v>
      </c>
      <c r="D8" s="12">
        <v>2022</v>
      </c>
      <c r="E8" s="13">
        <f>Electricity!I10</f>
        <v>11360.160000000149</v>
      </c>
      <c r="F8" s="3">
        <v>2.7</v>
      </c>
      <c r="G8" s="13">
        <f>Gas!J10</f>
        <v>363.07367600011639</v>
      </c>
      <c r="H8" s="3">
        <v>5.73</v>
      </c>
      <c r="I8" s="13">
        <f>Water!H10</f>
        <v>47</v>
      </c>
      <c r="J8" s="3">
        <v>24.4</v>
      </c>
      <c r="K8" s="12">
        <v>0</v>
      </c>
    </row>
    <row r="9" spans="1:11" s="16" customFormat="1" x14ac:dyDescent="0.25">
      <c r="A9" s="25" t="s">
        <v>34</v>
      </c>
      <c r="B9" s="15">
        <f t="shared" si="0"/>
        <v>8</v>
      </c>
      <c r="C9" s="3">
        <v>8</v>
      </c>
      <c r="D9" s="12">
        <v>2022</v>
      </c>
      <c r="E9" s="13">
        <f>Electricity!I11</f>
        <v>12179.88000000082</v>
      </c>
      <c r="F9" s="3">
        <v>2.7</v>
      </c>
      <c r="G9" s="13">
        <f>Gas!J11</f>
        <v>370.53409400000237</v>
      </c>
      <c r="H9" s="3">
        <v>5.73</v>
      </c>
      <c r="I9" s="13">
        <f>Water!H11</f>
        <v>46</v>
      </c>
      <c r="J9" s="3">
        <v>24.4</v>
      </c>
      <c r="K9" s="12">
        <v>0</v>
      </c>
    </row>
    <row r="10" spans="1:11" s="16" customFormat="1" x14ac:dyDescent="0.25">
      <c r="A10" s="25" t="s">
        <v>34</v>
      </c>
      <c r="B10" s="15">
        <f t="shared" si="0"/>
        <v>9</v>
      </c>
      <c r="C10" s="3">
        <v>8</v>
      </c>
      <c r="D10" s="12">
        <v>2022</v>
      </c>
      <c r="E10" s="13">
        <f>Electricity!I12</f>
        <v>11031.719999998808</v>
      </c>
      <c r="F10" s="3">
        <v>2.7</v>
      </c>
      <c r="G10" s="13">
        <f>Gas!J12</f>
        <v>303.39033199986443</v>
      </c>
      <c r="H10" s="3">
        <v>5.73</v>
      </c>
      <c r="I10" s="13">
        <f>Water!H12</f>
        <v>28</v>
      </c>
      <c r="J10" s="3">
        <v>24.4</v>
      </c>
      <c r="K10" s="12">
        <v>0</v>
      </c>
    </row>
    <row r="11" spans="1:11" s="16" customFormat="1" x14ac:dyDescent="0.25">
      <c r="A11" s="25" t="s">
        <v>34</v>
      </c>
      <c r="B11" s="15">
        <f t="shared" si="0"/>
        <v>10</v>
      </c>
      <c r="C11" s="3">
        <v>8</v>
      </c>
      <c r="D11" s="12">
        <v>2022</v>
      </c>
      <c r="E11" s="13">
        <f>Electricity!I13</f>
        <v>12086.040000002831</v>
      </c>
      <c r="F11" s="3">
        <v>2.7</v>
      </c>
      <c r="G11" s="13">
        <f>Gas!J13</f>
        <v>363.07367600011639</v>
      </c>
      <c r="H11" s="3">
        <v>5.73</v>
      </c>
      <c r="I11" s="13">
        <f>Water!H13</f>
        <v>51</v>
      </c>
      <c r="J11" s="3">
        <v>24.4</v>
      </c>
      <c r="K11" s="12">
        <v>0</v>
      </c>
    </row>
    <row r="12" spans="1:11" s="16" customFormat="1" x14ac:dyDescent="0.25">
      <c r="A12" s="25" t="s">
        <v>34</v>
      </c>
      <c r="B12" s="15">
        <f t="shared" si="0"/>
        <v>11</v>
      </c>
      <c r="C12" s="3">
        <v>8</v>
      </c>
      <c r="D12" s="12">
        <v>2022</v>
      </c>
      <c r="E12" s="13">
        <f>Electricity!I14</f>
        <v>11774.159999998286</v>
      </c>
      <c r="F12" s="3">
        <v>2.7</v>
      </c>
      <c r="G12" s="13">
        <f>Gas!J14</f>
        <v>354.36985499993898</v>
      </c>
      <c r="H12" s="3">
        <v>5.73</v>
      </c>
      <c r="I12" s="13">
        <f>Water!H14</f>
        <v>49</v>
      </c>
      <c r="J12" s="3">
        <v>24.4</v>
      </c>
      <c r="K12" s="12">
        <v>0</v>
      </c>
    </row>
    <row r="13" spans="1:11" s="16" customFormat="1" x14ac:dyDescent="0.25">
      <c r="A13" s="25" t="s">
        <v>34</v>
      </c>
      <c r="B13" s="15">
        <f t="shared" si="0"/>
        <v>12</v>
      </c>
      <c r="C13" s="3">
        <v>8</v>
      </c>
      <c r="D13" s="12">
        <v>2022</v>
      </c>
      <c r="E13" s="13">
        <f>Electricity!I15</f>
        <v>10250.640000000596</v>
      </c>
      <c r="F13" s="3">
        <v>2.7</v>
      </c>
      <c r="G13" s="13">
        <f>Gas!J15</f>
        <v>364.31707899994217</v>
      </c>
      <c r="H13" s="3">
        <v>5.73</v>
      </c>
      <c r="I13" s="13">
        <f>Water!H15</f>
        <v>36</v>
      </c>
      <c r="J13" s="3">
        <v>24.4</v>
      </c>
      <c r="K13" s="12">
        <v>0</v>
      </c>
    </row>
    <row r="14" spans="1:11" s="16" customFormat="1" x14ac:dyDescent="0.25">
      <c r="A14" s="25" t="s">
        <v>34</v>
      </c>
      <c r="B14" s="15">
        <f t="shared" si="0"/>
        <v>13</v>
      </c>
      <c r="C14" s="3">
        <v>8</v>
      </c>
      <c r="D14" s="12">
        <v>2022</v>
      </c>
      <c r="E14" s="13">
        <f>Electricity!I16</f>
        <v>11086.919999999925</v>
      </c>
      <c r="F14" s="3">
        <v>2.7</v>
      </c>
      <c r="G14" s="13">
        <f>Gas!J16</f>
        <v>371.77749700006098</v>
      </c>
      <c r="H14" s="3">
        <v>5.73</v>
      </c>
      <c r="I14" s="13">
        <f>Water!H16</f>
        <v>42</v>
      </c>
      <c r="J14" s="3">
        <v>24.4</v>
      </c>
      <c r="K14" s="12">
        <v>0</v>
      </c>
    </row>
    <row r="15" spans="1:11" s="16" customFormat="1" x14ac:dyDescent="0.25">
      <c r="A15" s="25" t="s">
        <v>34</v>
      </c>
      <c r="B15" s="15">
        <f t="shared" si="0"/>
        <v>14</v>
      </c>
      <c r="C15" s="3">
        <v>8</v>
      </c>
      <c r="D15" s="12">
        <v>2022</v>
      </c>
      <c r="E15" s="13">
        <f>Electricity!I17</f>
        <v>11525.759999999776</v>
      </c>
      <c r="F15" s="3">
        <v>2.7</v>
      </c>
      <c r="G15" s="13">
        <f>Gas!J17</f>
        <v>359.34346699994057</v>
      </c>
      <c r="H15" s="3">
        <v>5.73</v>
      </c>
      <c r="I15" s="13">
        <f>Water!H17</f>
        <v>48</v>
      </c>
      <c r="J15" s="3">
        <v>24.4</v>
      </c>
      <c r="K15" s="12">
        <v>0</v>
      </c>
    </row>
    <row r="16" spans="1:11" s="16" customFormat="1" x14ac:dyDescent="0.25">
      <c r="A16" s="25" t="s">
        <v>34</v>
      </c>
      <c r="B16" s="15">
        <f t="shared" si="0"/>
        <v>15</v>
      </c>
      <c r="C16" s="3">
        <v>8</v>
      </c>
      <c r="D16" s="12">
        <v>2022</v>
      </c>
      <c r="E16" s="13">
        <f>Electricity!I18</f>
        <v>11241.479999998584</v>
      </c>
      <c r="F16" s="3">
        <v>2.7</v>
      </c>
      <c r="G16" s="13">
        <f>Gas!J18</f>
        <v>358.1000640001148</v>
      </c>
      <c r="H16" s="3">
        <v>5.73</v>
      </c>
      <c r="I16" s="13">
        <f>Water!H18</f>
        <v>37</v>
      </c>
      <c r="J16" s="3">
        <v>24.4</v>
      </c>
      <c r="K16" s="12">
        <v>0</v>
      </c>
    </row>
    <row r="17" spans="1:11" s="16" customFormat="1" x14ac:dyDescent="0.25">
      <c r="A17" s="25" t="s">
        <v>34</v>
      </c>
      <c r="B17" s="15">
        <f t="shared" si="0"/>
        <v>16</v>
      </c>
      <c r="C17" s="3">
        <v>8</v>
      </c>
      <c r="D17" s="12">
        <v>2022</v>
      </c>
      <c r="E17" s="13">
        <f>Electricity!I19</f>
        <v>9350.8800000026822</v>
      </c>
      <c r="F17" s="3">
        <v>2.7</v>
      </c>
      <c r="G17" s="13">
        <f>Gas!J19</f>
        <v>356.85666099982336</v>
      </c>
      <c r="H17" s="3">
        <v>5.73</v>
      </c>
      <c r="I17" s="13">
        <f>Water!H19</f>
        <v>48</v>
      </c>
      <c r="J17" s="3">
        <v>24.4</v>
      </c>
      <c r="K17" s="12">
        <v>0</v>
      </c>
    </row>
    <row r="18" spans="1:11" s="16" customFormat="1" x14ac:dyDescent="0.25">
      <c r="A18" s="25" t="s">
        <v>34</v>
      </c>
      <c r="B18" s="15">
        <f t="shared" si="0"/>
        <v>17</v>
      </c>
      <c r="C18" s="3">
        <v>8</v>
      </c>
      <c r="D18" s="12">
        <v>2022</v>
      </c>
      <c r="E18" s="13">
        <f>Electricity!I20</f>
        <v>10841.279999999329</v>
      </c>
      <c r="F18" s="3">
        <v>2.7</v>
      </c>
      <c r="G18" s="13">
        <f>Gas!J20</f>
        <v>333.23200400010683</v>
      </c>
      <c r="H18" s="3">
        <v>5.73</v>
      </c>
      <c r="I18" s="13">
        <f>Water!H20</f>
        <v>36</v>
      </c>
      <c r="J18" s="3">
        <v>24.4</v>
      </c>
      <c r="K18" s="12">
        <v>0</v>
      </c>
    </row>
    <row r="19" spans="1:11" s="16" customFormat="1" x14ac:dyDescent="0.25">
      <c r="A19" s="25" t="s">
        <v>34</v>
      </c>
      <c r="B19" s="15">
        <f t="shared" si="0"/>
        <v>18</v>
      </c>
      <c r="C19" s="3">
        <v>8</v>
      </c>
      <c r="D19" s="12">
        <v>2022</v>
      </c>
      <c r="E19" s="13">
        <f>Electricity!I21</f>
        <v>-14046691.560000001</v>
      </c>
      <c r="F19" s="3">
        <v>2.7</v>
      </c>
      <c r="G19" s="13">
        <f>Gas!J21</f>
        <v>-1185045.123598</v>
      </c>
      <c r="H19" s="3">
        <v>5.73</v>
      </c>
      <c r="I19" s="13">
        <f>Water!H21</f>
        <v>-15438</v>
      </c>
      <c r="J19" s="3">
        <v>24.4</v>
      </c>
      <c r="K19" s="12">
        <v>0</v>
      </c>
    </row>
    <row r="20" spans="1:11" s="16" customFormat="1" x14ac:dyDescent="0.25">
      <c r="A20" s="25" t="s">
        <v>34</v>
      </c>
      <c r="B20" s="15">
        <f t="shared" si="0"/>
        <v>19</v>
      </c>
      <c r="C20" s="3">
        <v>8</v>
      </c>
      <c r="D20" s="12">
        <v>2022</v>
      </c>
      <c r="E20" s="13">
        <f>Electricity!I22</f>
        <v>0</v>
      </c>
      <c r="F20" s="3">
        <v>2.7</v>
      </c>
      <c r="G20" s="13">
        <f>Gas!J22</f>
        <v>0</v>
      </c>
      <c r="H20" s="3">
        <v>5.73</v>
      </c>
      <c r="I20" s="13">
        <f>Water!H22</f>
        <v>0</v>
      </c>
      <c r="J20" s="3">
        <v>24.4</v>
      </c>
      <c r="K20" s="12">
        <v>0</v>
      </c>
    </row>
    <row r="21" spans="1:11" s="16" customFormat="1" x14ac:dyDescent="0.25">
      <c r="A21" s="25" t="s">
        <v>34</v>
      </c>
      <c r="B21" s="15">
        <f t="shared" si="0"/>
        <v>20</v>
      </c>
      <c r="C21" s="3">
        <v>8</v>
      </c>
      <c r="D21" s="12">
        <v>2022</v>
      </c>
      <c r="E21" s="13">
        <f>Electricity!I23</f>
        <v>0</v>
      </c>
      <c r="F21" s="3">
        <v>2.7</v>
      </c>
      <c r="G21" s="13">
        <f>Gas!J23</f>
        <v>0</v>
      </c>
      <c r="H21" s="3">
        <v>5.73</v>
      </c>
      <c r="I21" s="13">
        <f>Water!H23</f>
        <v>0</v>
      </c>
      <c r="J21" s="3">
        <v>24.4</v>
      </c>
      <c r="K21" s="12">
        <v>0</v>
      </c>
    </row>
    <row r="22" spans="1:11" s="16" customFormat="1" x14ac:dyDescent="0.25">
      <c r="A22" s="25" t="s">
        <v>34</v>
      </c>
      <c r="B22" s="15">
        <f t="shared" si="0"/>
        <v>21</v>
      </c>
      <c r="C22" s="3">
        <v>8</v>
      </c>
      <c r="D22" s="12">
        <v>2022</v>
      </c>
      <c r="E22" s="13">
        <f>Electricity!I24</f>
        <v>0</v>
      </c>
      <c r="F22" s="3">
        <v>2.7</v>
      </c>
      <c r="G22" s="13">
        <f>Gas!J24</f>
        <v>0</v>
      </c>
      <c r="H22" s="3">
        <v>5.73</v>
      </c>
      <c r="I22" s="13">
        <f>Water!H24</f>
        <v>0</v>
      </c>
      <c r="J22" s="3">
        <v>24.4</v>
      </c>
      <c r="K22" s="12">
        <v>0</v>
      </c>
    </row>
    <row r="23" spans="1:11" s="16" customFormat="1" x14ac:dyDescent="0.25">
      <c r="A23" s="25" t="s">
        <v>34</v>
      </c>
      <c r="B23" s="15">
        <f t="shared" si="0"/>
        <v>22</v>
      </c>
      <c r="C23" s="3">
        <v>8</v>
      </c>
      <c r="D23" s="12">
        <v>2022</v>
      </c>
      <c r="E23" s="13">
        <f>Electricity!I25</f>
        <v>0</v>
      </c>
      <c r="F23" s="3">
        <v>2.7</v>
      </c>
      <c r="G23" s="13">
        <f>Gas!J25</f>
        <v>0</v>
      </c>
      <c r="H23" s="3">
        <v>5.73</v>
      </c>
      <c r="I23" s="13">
        <f>Water!H25</f>
        <v>0</v>
      </c>
      <c r="J23" s="3">
        <v>24.4</v>
      </c>
      <c r="K23" s="12">
        <v>0</v>
      </c>
    </row>
    <row r="24" spans="1:11" s="16" customFormat="1" x14ac:dyDescent="0.25">
      <c r="A24" s="25" t="s">
        <v>34</v>
      </c>
      <c r="B24" s="15">
        <f t="shared" si="0"/>
        <v>23</v>
      </c>
      <c r="C24" s="3">
        <v>8</v>
      </c>
      <c r="D24" s="12">
        <v>2022</v>
      </c>
      <c r="E24" s="13">
        <f>Electricity!I26</f>
        <v>0</v>
      </c>
      <c r="F24" s="3">
        <v>2.7</v>
      </c>
      <c r="G24" s="13">
        <f>Gas!J26</f>
        <v>0</v>
      </c>
      <c r="H24" s="3">
        <v>5.73</v>
      </c>
      <c r="I24" s="13">
        <f>Water!H26</f>
        <v>0</v>
      </c>
      <c r="J24" s="3">
        <v>24.4</v>
      </c>
      <c r="K24" s="12">
        <v>0</v>
      </c>
    </row>
    <row r="25" spans="1:11" s="16" customFormat="1" x14ac:dyDescent="0.25">
      <c r="A25" s="25" t="s">
        <v>34</v>
      </c>
      <c r="B25" s="15">
        <f t="shared" si="0"/>
        <v>24</v>
      </c>
      <c r="C25" s="3">
        <v>8</v>
      </c>
      <c r="D25" s="12">
        <v>2022</v>
      </c>
      <c r="E25" s="13">
        <f>Electricity!I27</f>
        <v>0</v>
      </c>
      <c r="F25" s="3">
        <v>2.7</v>
      </c>
      <c r="G25" s="13">
        <f>Gas!J27</f>
        <v>0</v>
      </c>
      <c r="H25" s="3">
        <v>5.73</v>
      </c>
      <c r="I25" s="13">
        <f>Water!H27</f>
        <v>0</v>
      </c>
      <c r="J25" s="3">
        <v>24.4</v>
      </c>
      <c r="K25" s="12">
        <v>0</v>
      </c>
    </row>
    <row r="26" spans="1:11" s="16" customFormat="1" x14ac:dyDescent="0.25">
      <c r="A26" s="25" t="s">
        <v>34</v>
      </c>
      <c r="B26" s="15">
        <f>B25+1</f>
        <v>25</v>
      </c>
      <c r="C26" s="3">
        <v>8</v>
      </c>
      <c r="D26" s="12">
        <v>2022</v>
      </c>
      <c r="E26" s="13">
        <f>Electricity!I28</f>
        <v>0</v>
      </c>
      <c r="F26" s="3">
        <v>2.7</v>
      </c>
      <c r="G26" s="13">
        <f>Gas!J28</f>
        <v>0</v>
      </c>
      <c r="H26" s="3">
        <v>5.73</v>
      </c>
      <c r="I26" s="13">
        <f>Water!H28</f>
        <v>0</v>
      </c>
      <c r="J26" s="3">
        <v>24.4</v>
      </c>
      <c r="K26" s="12">
        <v>0</v>
      </c>
    </row>
    <row r="27" spans="1:11" s="16" customFormat="1" x14ac:dyDescent="0.25">
      <c r="A27" s="25" t="s">
        <v>34</v>
      </c>
      <c r="B27" s="15">
        <f t="shared" si="0"/>
        <v>26</v>
      </c>
      <c r="C27" s="3">
        <v>8</v>
      </c>
      <c r="D27" s="12">
        <v>2022</v>
      </c>
      <c r="E27" s="13">
        <f>Electricity!I29</f>
        <v>13903969.200000001</v>
      </c>
      <c r="F27" s="3">
        <v>2.7</v>
      </c>
      <c r="G27" s="13">
        <f>Gas!J29</f>
        <v>0</v>
      </c>
      <c r="H27" s="3">
        <v>5.73</v>
      </c>
      <c r="I27" s="13">
        <f>Water!H29</f>
        <v>0</v>
      </c>
      <c r="J27" s="3">
        <v>24.4</v>
      </c>
      <c r="K27" s="12">
        <v>0</v>
      </c>
    </row>
    <row r="28" spans="1:11" s="16" customFormat="1" x14ac:dyDescent="0.25">
      <c r="A28" s="25" t="s">
        <v>34</v>
      </c>
      <c r="B28" s="15">
        <f t="shared" si="0"/>
        <v>27</v>
      </c>
      <c r="C28" s="3">
        <v>8</v>
      </c>
      <c r="D28" s="12">
        <v>2022</v>
      </c>
      <c r="E28" s="13">
        <f>Electricity!I30</f>
        <v>-13903969.200000001</v>
      </c>
      <c r="F28" s="3">
        <v>2.7</v>
      </c>
      <c r="G28" s="13">
        <f>Gas!J30</f>
        <v>0</v>
      </c>
      <c r="H28" s="3">
        <v>5.73</v>
      </c>
      <c r="I28" s="13">
        <f>Water!H30</f>
        <v>0</v>
      </c>
      <c r="J28" s="3">
        <v>24.4</v>
      </c>
      <c r="K28" s="12">
        <v>0</v>
      </c>
    </row>
    <row r="29" spans="1:11" s="16" customFormat="1" x14ac:dyDescent="0.25">
      <c r="A29" s="25" t="s">
        <v>34</v>
      </c>
      <c r="B29" s="15">
        <f t="shared" si="0"/>
        <v>28</v>
      </c>
      <c r="C29" s="3">
        <v>8</v>
      </c>
      <c r="D29" s="12">
        <v>2022</v>
      </c>
      <c r="E29" s="13">
        <f>Electricity!I31</f>
        <v>0</v>
      </c>
      <c r="F29" s="3">
        <v>2.7</v>
      </c>
      <c r="G29" s="13">
        <f>Gas!J31</f>
        <v>0</v>
      </c>
      <c r="H29" s="3">
        <v>5.73</v>
      </c>
      <c r="I29" s="13">
        <f>Water!H31</f>
        <v>0</v>
      </c>
      <c r="J29" s="3">
        <v>24.4</v>
      </c>
      <c r="K29" s="12">
        <v>0</v>
      </c>
    </row>
    <row r="30" spans="1:11" s="16" customFormat="1" x14ac:dyDescent="0.25">
      <c r="A30" s="25" t="s">
        <v>34</v>
      </c>
      <c r="B30" s="15">
        <f t="shared" si="0"/>
        <v>29</v>
      </c>
      <c r="C30" s="3">
        <v>8</v>
      </c>
      <c r="D30" s="12">
        <v>2022</v>
      </c>
      <c r="E30" s="13">
        <f>Electricity!I32</f>
        <v>0</v>
      </c>
      <c r="F30" s="3">
        <v>2.7</v>
      </c>
      <c r="G30" s="13">
        <f>Gas!J32</f>
        <v>0</v>
      </c>
      <c r="H30" s="3">
        <v>5.73</v>
      </c>
      <c r="I30" s="13">
        <f>Water!H32</f>
        <v>0</v>
      </c>
      <c r="J30" s="3">
        <v>24.4</v>
      </c>
      <c r="K30" s="12">
        <v>0</v>
      </c>
    </row>
    <row r="31" spans="1:11" s="14" customFormat="1" x14ac:dyDescent="0.25">
      <c r="A31" s="25" t="s">
        <v>34</v>
      </c>
      <c r="B31" s="15">
        <f t="shared" si="0"/>
        <v>30</v>
      </c>
      <c r="C31" s="3">
        <v>8</v>
      </c>
      <c r="D31" s="12">
        <v>2022</v>
      </c>
      <c r="E31" s="13">
        <f>Electricity!I33</f>
        <v>0</v>
      </c>
      <c r="F31" s="3">
        <v>2.7</v>
      </c>
      <c r="G31" s="13">
        <f>Gas!J33</f>
        <v>0</v>
      </c>
      <c r="H31" s="3">
        <v>5.73</v>
      </c>
      <c r="I31" s="13">
        <f>Water!H33</f>
        <v>0</v>
      </c>
      <c r="J31" s="3">
        <v>24.4</v>
      </c>
      <c r="K31" s="12">
        <v>0</v>
      </c>
    </row>
    <row r="32" spans="1:11" x14ac:dyDescent="0.25">
      <c r="A32" s="25" t="s">
        <v>34</v>
      </c>
      <c r="B32" s="15">
        <f>B31+1</f>
        <v>31</v>
      </c>
      <c r="C32" s="3">
        <v>8</v>
      </c>
      <c r="D32" s="12">
        <v>2022</v>
      </c>
      <c r="E32" s="13">
        <f>Electricity!I34</f>
        <v>0</v>
      </c>
      <c r="F32" s="3">
        <v>2.7</v>
      </c>
      <c r="G32" s="13">
        <f>Gas!J34</f>
        <v>0</v>
      </c>
      <c r="H32" s="3">
        <v>5.73</v>
      </c>
      <c r="I32" s="13">
        <f>Water!H34</f>
        <v>0</v>
      </c>
      <c r="J32" s="3">
        <v>24.4</v>
      </c>
      <c r="K32" s="12">
        <v>0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O58"/>
  <sheetViews>
    <sheetView workbookViewId="0">
      <selection activeCell="E24" sqref="E24"/>
    </sheetView>
  </sheetViews>
  <sheetFormatPr defaultColWidth="9.140625" defaultRowHeight="12.75" x14ac:dyDescent="0.25"/>
  <cols>
    <col min="1" max="1" width="1.7109375" style="17" customWidth="1"/>
    <col min="2" max="2" width="5.7109375" style="17" customWidth="1"/>
    <col min="3" max="3" width="7.85546875" style="17" customWidth="1"/>
    <col min="4" max="4" width="12.7109375" style="17" customWidth="1"/>
    <col min="5" max="5" width="10.28515625" style="17" customWidth="1"/>
    <col min="6" max="6" width="10" style="17" customWidth="1"/>
    <col min="7" max="7" width="10.85546875" style="17" customWidth="1"/>
    <col min="8" max="8" width="11.28515625" style="17" customWidth="1"/>
    <col min="9" max="10" width="8.42578125" style="17" customWidth="1"/>
    <col min="11" max="11" width="8.7109375" style="17" customWidth="1"/>
    <col min="12" max="16384" width="9.140625" style="17"/>
  </cols>
  <sheetData>
    <row r="1" spans="2:15" ht="33" customHeight="1" x14ac:dyDescent="0.25">
      <c r="D1" s="108" t="s">
        <v>36</v>
      </c>
      <c r="E1" s="108"/>
      <c r="F1" s="108"/>
      <c r="G1" s="108"/>
      <c r="H1" s="108"/>
      <c r="I1" s="108"/>
      <c r="J1" s="62"/>
      <c r="K1" s="29"/>
    </row>
    <row r="2" spans="2:15" x14ac:dyDescent="0.25">
      <c r="K2" s="29"/>
    </row>
    <row r="3" spans="2:15" s="30" customFormat="1" ht="33.75" x14ac:dyDescent="0.25">
      <c r="B3" s="31" t="s">
        <v>24</v>
      </c>
      <c r="C3" s="31" t="s">
        <v>25</v>
      </c>
      <c r="D3" s="18" t="s">
        <v>11</v>
      </c>
      <c r="E3" s="19" t="s">
        <v>21</v>
      </c>
      <c r="F3" s="19" t="s">
        <v>22</v>
      </c>
      <c r="G3" s="19" t="s">
        <v>19</v>
      </c>
      <c r="H3" s="19" t="s">
        <v>23</v>
      </c>
      <c r="I3" s="19" t="s">
        <v>26</v>
      </c>
      <c r="J3" s="69"/>
      <c r="K3" s="70"/>
      <c r="L3" s="70"/>
      <c r="M3" s="70"/>
      <c r="N3" s="70"/>
    </row>
    <row r="4" spans="2:15" s="30" customFormat="1" ht="11.25" x14ac:dyDescent="0.25">
      <c r="D4" s="32">
        <v>44774</v>
      </c>
      <c r="E4" s="23">
        <f>[1]Aug.2022!$E$4</f>
        <v>14657</v>
      </c>
      <c r="F4" s="23">
        <v>1065</v>
      </c>
      <c r="G4" s="23">
        <f>E4+F4</f>
        <v>15722</v>
      </c>
      <c r="H4" s="24">
        <f>G4-[1]Jul.2022!$G$34</f>
        <v>0</v>
      </c>
      <c r="I4" s="63">
        <v>61.29</v>
      </c>
      <c r="J4" s="105"/>
      <c r="K4" s="72"/>
      <c r="L4" s="72"/>
      <c r="M4" s="72"/>
      <c r="N4" s="72"/>
    </row>
    <row r="5" spans="2:15" s="30" customFormat="1" ht="11.25" x14ac:dyDescent="0.25">
      <c r="D5" s="32">
        <v>44775</v>
      </c>
      <c r="E5" s="23">
        <f>[1]Aug.2022!$E$5</f>
        <v>14715</v>
      </c>
      <c r="F5" s="23">
        <v>1065</v>
      </c>
      <c r="G5" s="23">
        <f>E5+F5</f>
        <v>15780</v>
      </c>
      <c r="H5" s="24">
        <f>G5-G4</f>
        <v>58</v>
      </c>
      <c r="I5" s="63">
        <v>61.29</v>
      </c>
      <c r="J5" s="105"/>
      <c r="K5" s="72"/>
      <c r="L5" s="72"/>
      <c r="M5" s="72"/>
      <c r="N5" s="72"/>
    </row>
    <row r="6" spans="2:15" s="30" customFormat="1" ht="11.25" x14ac:dyDescent="0.25">
      <c r="D6" s="32">
        <v>44776</v>
      </c>
      <c r="E6" s="23">
        <f>[1]Aug.2022!$E$6</f>
        <v>14794</v>
      </c>
      <c r="F6" s="23">
        <v>1065</v>
      </c>
      <c r="G6" s="23">
        <f>E6+F6</f>
        <v>15859</v>
      </c>
      <c r="H6" s="24">
        <f t="shared" ref="H6:H34" si="0">G6-G5</f>
        <v>79</v>
      </c>
      <c r="I6" s="63">
        <v>61.29</v>
      </c>
      <c r="J6" s="105"/>
      <c r="K6" s="72"/>
      <c r="L6" s="72"/>
      <c r="M6" s="72"/>
      <c r="N6" s="72"/>
    </row>
    <row r="7" spans="2:15" s="30" customFormat="1" ht="11.25" x14ac:dyDescent="0.25">
      <c r="D7" s="32">
        <v>44777</v>
      </c>
      <c r="E7" s="23">
        <v>14863</v>
      </c>
      <c r="F7" s="23">
        <v>1065</v>
      </c>
      <c r="G7" s="23">
        <f>E7+F7</f>
        <v>15928</v>
      </c>
      <c r="H7" s="24">
        <f t="shared" si="0"/>
        <v>69</v>
      </c>
      <c r="I7" s="63">
        <v>61.29</v>
      </c>
      <c r="J7" s="105"/>
      <c r="K7" s="72"/>
      <c r="L7" s="72"/>
      <c r="M7" s="72"/>
      <c r="N7" s="72"/>
    </row>
    <row r="8" spans="2:15" s="30" customFormat="1" ht="11.25" x14ac:dyDescent="0.25">
      <c r="D8" s="32">
        <v>44778</v>
      </c>
      <c r="E8" s="23">
        <f>[1]Aug.2022!$E$8</f>
        <v>14916</v>
      </c>
      <c r="F8" s="23">
        <v>1065</v>
      </c>
      <c r="G8" s="23">
        <f t="shared" ref="G8:G31" si="1">E8+F8</f>
        <v>15981</v>
      </c>
      <c r="H8" s="24">
        <f t="shared" si="0"/>
        <v>53</v>
      </c>
      <c r="I8" s="63">
        <v>61.29</v>
      </c>
      <c r="J8" s="105"/>
      <c r="K8" s="72"/>
      <c r="L8" s="72"/>
      <c r="M8" s="72"/>
      <c r="N8" s="72"/>
    </row>
    <row r="9" spans="2:15" s="30" customFormat="1" ht="11.25" x14ac:dyDescent="0.25">
      <c r="D9" s="32">
        <v>44779</v>
      </c>
      <c r="E9" s="23">
        <v>14970</v>
      </c>
      <c r="F9" s="23">
        <v>1065</v>
      </c>
      <c r="G9" s="23">
        <f t="shared" si="1"/>
        <v>16035</v>
      </c>
      <c r="H9" s="24">
        <f t="shared" si="0"/>
        <v>54</v>
      </c>
      <c r="I9" s="63">
        <v>61.29</v>
      </c>
      <c r="J9" s="105"/>
      <c r="K9" s="72"/>
      <c r="L9" s="72"/>
      <c r="M9" s="72"/>
      <c r="N9" s="72"/>
    </row>
    <row r="10" spans="2:15" s="30" customFormat="1" ht="11.25" x14ac:dyDescent="0.25">
      <c r="D10" s="32">
        <v>44780</v>
      </c>
      <c r="E10" s="23">
        <v>15017</v>
      </c>
      <c r="F10" s="23">
        <v>1065</v>
      </c>
      <c r="G10" s="23">
        <f t="shared" si="1"/>
        <v>16082</v>
      </c>
      <c r="H10" s="24">
        <f>G10-G9</f>
        <v>47</v>
      </c>
      <c r="I10" s="63">
        <v>61.29</v>
      </c>
      <c r="J10" s="105"/>
      <c r="K10" s="72"/>
      <c r="L10" s="72"/>
      <c r="M10" s="72"/>
      <c r="N10" s="72"/>
    </row>
    <row r="11" spans="2:15" s="30" customFormat="1" ht="11.25" x14ac:dyDescent="0.25">
      <c r="D11" s="32">
        <v>44781</v>
      </c>
      <c r="E11" s="23">
        <v>15063</v>
      </c>
      <c r="F11" s="23">
        <v>1065</v>
      </c>
      <c r="G11" s="23">
        <f t="shared" si="1"/>
        <v>16128</v>
      </c>
      <c r="H11" s="24">
        <f t="shared" ref="H11:H33" si="2">G11-G10</f>
        <v>46</v>
      </c>
      <c r="I11" s="63">
        <v>61.29</v>
      </c>
      <c r="J11" s="105"/>
      <c r="K11" s="72"/>
      <c r="L11" s="72"/>
      <c r="M11" s="72"/>
      <c r="N11" s="72"/>
    </row>
    <row r="12" spans="2:15" s="30" customFormat="1" ht="11.25" x14ac:dyDescent="0.25">
      <c r="D12" s="32">
        <v>44782</v>
      </c>
      <c r="E12" s="23">
        <v>15091</v>
      </c>
      <c r="F12" s="23">
        <v>1065</v>
      </c>
      <c r="G12" s="23">
        <f t="shared" si="1"/>
        <v>16156</v>
      </c>
      <c r="H12" s="24">
        <f t="shared" si="2"/>
        <v>28</v>
      </c>
      <c r="I12" s="63">
        <v>61.29</v>
      </c>
      <c r="J12" s="105"/>
      <c r="K12" s="72"/>
      <c r="L12" s="72"/>
      <c r="M12" s="72"/>
      <c r="N12" s="72"/>
    </row>
    <row r="13" spans="2:15" s="30" customFormat="1" ht="11.25" x14ac:dyDescent="0.25">
      <c r="D13" s="32">
        <v>44783</v>
      </c>
      <c r="E13" s="23">
        <v>15142</v>
      </c>
      <c r="F13" s="23">
        <v>1065</v>
      </c>
      <c r="G13" s="23">
        <f t="shared" si="1"/>
        <v>16207</v>
      </c>
      <c r="H13" s="24">
        <f t="shared" si="2"/>
        <v>51</v>
      </c>
      <c r="I13" s="63">
        <v>61.29</v>
      </c>
      <c r="J13" s="105"/>
      <c r="K13" s="72"/>
      <c r="L13" s="72"/>
      <c r="M13" s="72"/>
      <c r="N13" s="72"/>
    </row>
    <row r="14" spans="2:15" s="30" customFormat="1" ht="11.25" x14ac:dyDescent="0.25">
      <c r="D14" s="32">
        <v>44784</v>
      </c>
      <c r="E14" s="23">
        <v>15191</v>
      </c>
      <c r="F14" s="23">
        <v>1065</v>
      </c>
      <c r="G14" s="23">
        <f t="shared" si="1"/>
        <v>16256</v>
      </c>
      <c r="H14" s="24">
        <f t="shared" si="2"/>
        <v>49</v>
      </c>
      <c r="I14" s="63">
        <v>61.29</v>
      </c>
      <c r="J14" s="105"/>
      <c r="K14" s="72"/>
      <c r="L14" s="72"/>
      <c r="M14" s="72"/>
      <c r="N14" s="72"/>
    </row>
    <row r="15" spans="2:15" s="33" customFormat="1" ht="11.25" x14ac:dyDescent="0.25">
      <c r="D15" s="32">
        <v>44785</v>
      </c>
      <c r="E15" s="23">
        <v>15227</v>
      </c>
      <c r="F15" s="23">
        <v>1065</v>
      </c>
      <c r="G15" s="23">
        <f t="shared" si="1"/>
        <v>16292</v>
      </c>
      <c r="H15" s="24">
        <f t="shared" si="2"/>
        <v>36</v>
      </c>
      <c r="I15" s="63">
        <v>61.29</v>
      </c>
      <c r="J15" s="105"/>
      <c r="K15" s="72"/>
      <c r="L15" s="72"/>
      <c r="M15" s="72"/>
      <c r="N15" s="72"/>
      <c r="O15" s="33" t="s">
        <v>27</v>
      </c>
    </row>
    <row r="16" spans="2:15" s="30" customFormat="1" ht="11.25" x14ac:dyDescent="0.25">
      <c r="D16" s="32">
        <v>44786</v>
      </c>
      <c r="E16" s="23">
        <v>15269</v>
      </c>
      <c r="F16" s="23">
        <v>1065</v>
      </c>
      <c r="G16" s="23">
        <f t="shared" si="1"/>
        <v>16334</v>
      </c>
      <c r="H16" s="24">
        <f t="shared" si="2"/>
        <v>42</v>
      </c>
      <c r="I16" s="63">
        <v>61.29</v>
      </c>
      <c r="J16" s="105"/>
      <c r="K16" s="72"/>
      <c r="L16" s="72"/>
      <c r="M16" s="72"/>
      <c r="N16" s="72"/>
    </row>
    <row r="17" spans="4:14" s="30" customFormat="1" ht="11.25" customHeight="1" x14ac:dyDescent="0.25">
      <c r="D17" s="32">
        <v>44787</v>
      </c>
      <c r="E17" s="23">
        <v>15317</v>
      </c>
      <c r="F17" s="23">
        <v>1065</v>
      </c>
      <c r="G17" s="23">
        <f t="shared" si="1"/>
        <v>16382</v>
      </c>
      <c r="H17" s="24">
        <f t="shared" si="2"/>
        <v>48</v>
      </c>
      <c r="I17" s="63">
        <v>61.29</v>
      </c>
      <c r="J17" s="105"/>
      <c r="K17" s="72"/>
      <c r="L17" s="72"/>
      <c r="M17" s="72"/>
      <c r="N17" s="72"/>
    </row>
    <row r="18" spans="4:14" s="30" customFormat="1" ht="11.25" customHeight="1" x14ac:dyDescent="0.25">
      <c r="D18" s="32">
        <v>44788</v>
      </c>
      <c r="E18" s="23">
        <f>[1]Aug.2022!$E$18</f>
        <v>15354</v>
      </c>
      <c r="F18" s="23">
        <v>1065</v>
      </c>
      <c r="G18" s="23">
        <f t="shared" si="1"/>
        <v>16419</v>
      </c>
      <c r="H18" s="24">
        <f t="shared" si="2"/>
        <v>37</v>
      </c>
      <c r="I18" s="63">
        <v>61.29</v>
      </c>
      <c r="J18" s="105"/>
      <c r="K18" s="72"/>
      <c r="L18" s="72"/>
      <c r="M18" s="72"/>
      <c r="N18" s="72"/>
    </row>
    <row r="19" spans="4:14" s="30" customFormat="1" ht="11.25" customHeight="1" x14ac:dyDescent="0.25">
      <c r="D19" s="32">
        <v>44789</v>
      </c>
      <c r="E19" s="23">
        <f>[1]Aug.2022!$E$19</f>
        <v>15402</v>
      </c>
      <c r="F19" s="23">
        <v>1065</v>
      </c>
      <c r="G19" s="23">
        <f t="shared" si="1"/>
        <v>16467</v>
      </c>
      <c r="H19" s="24">
        <f t="shared" si="2"/>
        <v>48</v>
      </c>
      <c r="I19" s="63">
        <v>61.29</v>
      </c>
      <c r="J19" s="105"/>
      <c r="K19" s="72"/>
      <c r="L19" s="72"/>
      <c r="M19" s="72"/>
      <c r="N19" s="72"/>
    </row>
    <row r="20" spans="4:14" s="30" customFormat="1" ht="11.25" customHeight="1" x14ac:dyDescent="0.25">
      <c r="D20" s="32">
        <v>44790</v>
      </c>
      <c r="E20" s="23">
        <f>[1]Aug.2022!$E$20</f>
        <v>15438</v>
      </c>
      <c r="F20" s="23">
        <v>1065</v>
      </c>
      <c r="G20" s="23">
        <f t="shared" si="1"/>
        <v>16503</v>
      </c>
      <c r="H20" s="24">
        <f t="shared" si="2"/>
        <v>36</v>
      </c>
      <c r="I20" s="63">
        <v>61.29</v>
      </c>
      <c r="J20" s="105"/>
      <c r="K20" s="72"/>
      <c r="L20" s="72"/>
      <c r="M20" s="72"/>
      <c r="N20" s="72"/>
    </row>
    <row r="21" spans="4:14" s="30" customFormat="1" ht="11.25" customHeight="1" x14ac:dyDescent="0.25">
      <c r="D21" s="32">
        <v>44791</v>
      </c>
      <c r="E21" s="23">
        <f>[1]Aug.2022!$E$21</f>
        <v>0</v>
      </c>
      <c r="F21" s="23">
        <v>1065</v>
      </c>
      <c r="G21" s="23">
        <f t="shared" si="1"/>
        <v>1065</v>
      </c>
      <c r="H21" s="24">
        <f t="shared" si="2"/>
        <v>-15438</v>
      </c>
      <c r="I21" s="63">
        <v>61.29</v>
      </c>
      <c r="J21" s="105"/>
      <c r="K21" s="72"/>
      <c r="L21" s="72"/>
      <c r="M21" s="72"/>
      <c r="N21" s="72"/>
    </row>
    <row r="22" spans="4:14" s="30" customFormat="1" ht="11.25" customHeight="1" x14ac:dyDescent="0.25">
      <c r="D22" s="32">
        <v>44792</v>
      </c>
      <c r="E22" s="23">
        <f>[1]Aug.2022!$E$22</f>
        <v>0</v>
      </c>
      <c r="F22" s="23">
        <v>1065</v>
      </c>
      <c r="G22" s="23">
        <f t="shared" si="1"/>
        <v>1065</v>
      </c>
      <c r="H22" s="24">
        <f t="shared" si="2"/>
        <v>0</v>
      </c>
      <c r="I22" s="63">
        <v>61.29</v>
      </c>
      <c r="J22" s="105"/>
      <c r="K22" s="72"/>
      <c r="L22" s="72"/>
      <c r="M22" s="72"/>
      <c r="N22" s="72"/>
    </row>
    <row r="23" spans="4:14" s="30" customFormat="1" ht="11.25" customHeight="1" x14ac:dyDescent="0.25">
      <c r="D23" s="32">
        <v>44793</v>
      </c>
      <c r="E23" s="23">
        <f>[1]Aug.2022!$E$23</f>
        <v>0</v>
      </c>
      <c r="F23" s="23">
        <v>1065</v>
      </c>
      <c r="G23" s="23">
        <f t="shared" si="1"/>
        <v>1065</v>
      </c>
      <c r="H23" s="24">
        <f t="shared" si="2"/>
        <v>0</v>
      </c>
      <c r="I23" s="63">
        <v>61.29</v>
      </c>
      <c r="J23" s="105"/>
      <c r="K23" s="72"/>
      <c r="L23" s="72"/>
      <c r="M23" s="72"/>
      <c r="N23" s="72"/>
    </row>
    <row r="24" spans="4:14" s="30" customFormat="1" ht="11.25" customHeight="1" x14ac:dyDescent="0.25">
      <c r="D24" s="32">
        <v>44794</v>
      </c>
      <c r="E24" s="23">
        <f>[1]Aug.2022!$E$24</f>
        <v>0</v>
      </c>
      <c r="F24" s="23">
        <v>1065</v>
      </c>
      <c r="G24" s="23">
        <f t="shared" si="1"/>
        <v>1065</v>
      </c>
      <c r="H24" s="24">
        <f t="shared" si="2"/>
        <v>0</v>
      </c>
      <c r="I24" s="63">
        <v>61.29</v>
      </c>
      <c r="J24" s="105"/>
      <c r="K24" s="72"/>
      <c r="L24" s="72"/>
      <c r="M24" s="72"/>
      <c r="N24" s="72"/>
    </row>
    <row r="25" spans="4:14" s="30" customFormat="1" ht="11.25" customHeight="1" x14ac:dyDescent="0.25">
      <c r="D25" s="32">
        <v>44795</v>
      </c>
      <c r="E25" s="23">
        <f>[1]Aug.2022!$E$25</f>
        <v>0</v>
      </c>
      <c r="F25" s="23">
        <v>1065</v>
      </c>
      <c r="G25" s="23">
        <f t="shared" si="1"/>
        <v>1065</v>
      </c>
      <c r="H25" s="24">
        <f t="shared" si="2"/>
        <v>0</v>
      </c>
      <c r="I25" s="63">
        <v>61.29</v>
      </c>
      <c r="J25" s="105"/>
      <c r="K25" s="72"/>
      <c r="L25" s="72"/>
      <c r="M25" s="72"/>
      <c r="N25" s="72"/>
    </row>
    <row r="26" spans="4:14" s="30" customFormat="1" ht="11.25" customHeight="1" x14ac:dyDescent="0.25">
      <c r="D26" s="32">
        <v>44796</v>
      </c>
      <c r="E26" s="23">
        <f>[1]Aug.2022!$E$26</f>
        <v>0</v>
      </c>
      <c r="F26" s="23">
        <v>1065</v>
      </c>
      <c r="G26" s="23">
        <f t="shared" si="1"/>
        <v>1065</v>
      </c>
      <c r="H26" s="24">
        <f t="shared" si="2"/>
        <v>0</v>
      </c>
      <c r="I26" s="63">
        <v>61.29</v>
      </c>
      <c r="J26" s="105"/>
      <c r="K26" s="72"/>
      <c r="L26" s="72"/>
      <c r="M26" s="72"/>
      <c r="N26" s="72"/>
    </row>
    <row r="27" spans="4:14" s="30" customFormat="1" ht="11.25" customHeight="1" x14ac:dyDescent="0.25">
      <c r="D27" s="32">
        <v>44797</v>
      </c>
      <c r="E27" s="23">
        <f>[1]Aug.2022!$E$27</f>
        <v>0</v>
      </c>
      <c r="F27" s="23">
        <v>1065</v>
      </c>
      <c r="G27" s="23">
        <f t="shared" si="1"/>
        <v>1065</v>
      </c>
      <c r="H27" s="24">
        <f t="shared" si="2"/>
        <v>0</v>
      </c>
      <c r="I27" s="63">
        <v>61.29</v>
      </c>
      <c r="J27" s="105"/>
      <c r="K27" s="72"/>
      <c r="L27" s="72"/>
      <c r="M27" s="72"/>
      <c r="N27" s="72"/>
    </row>
    <row r="28" spans="4:14" s="30" customFormat="1" ht="11.25" customHeight="1" x14ac:dyDescent="0.25">
      <c r="D28" s="32">
        <v>44798</v>
      </c>
      <c r="E28" s="23">
        <f>[1]Aug.2022!$E$28</f>
        <v>0</v>
      </c>
      <c r="F28" s="23">
        <v>1065</v>
      </c>
      <c r="G28" s="23">
        <f t="shared" si="1"/>
        <v>1065</v>
      </c>
      <c r="H28" s="24">
        <f t="shared" si="2"/>
        <v>0</v>
      </c>
      <c r="I28" s="63">
        <v>61.29</v>
      </c>
      <c r="J28" s="105"/>
      <c r="K28" s="72"/>
      <c r="L28" s="72"/>
      <c r="M28" s="72"/>
      <c r="N28" s="72"/>
    </row>
    <row r="29" spans="4:14" s="30" customFormat="1" ht="11.25" customHeight="1" x14ac:dyDescent="0.25">
      <c r="D29" s="32">
        <v>44799</v>
      </c>
      <c r="E29" s="23">
        <f>[1]Aug.2022!$E$29</f>
        <v>0</v>
      </c>
      <c r="F29" s="23">
        <v>1065</v>
      </c>
      <c r="G29" s="23">
        <f t="shared" si="1"/>
        <v>1065</v>
      </c>
      <c r="H29" s="24">
        <f t="shared" si="2"/>
        <v>0</v>
      </c>
      <c r="I29" s="63">
        <v>61.29</v>
      </c>
      <c r="J29" s="105"/>
      <c r="K29" s="72"/>
      <c r="L29" s="72"/>
      <c r="M29" s="72"/>
      <c r="N29" s="72"/>
    </row>
    <row r="30" spans="4:14" s="30" customFormat="1" ht="11.25" customHeight="1" x14ac:dyDescent="0.25">
      <c r="D30" s="32">
        <v>44800</v>
      </c>
      <c r="E30" s="23">
        <f>[1]Aug.2022!$E$30</f>
        <v>0</v>
      </c>
      <c r="F30" s="23">
        <v>1065</v>
      </c>
      <c r="G30" s="23">
        <f t="shared" si="1"/>
        <v>1065</v>
      </c>
      <c r="H30" s="24">
        <f t="shared" si="2"/>
        <v>0</v>
      </c>
      <c r="I30" s="63">
        <v>61.29</v>
      </c>
      <c r="J30" s="105"/>
      <c r="K30" s="72"/>
      <c r="L30" s="72"/>
      <c r="M30" s="72"/>
      <c r="N30" s="72"/>
    </row>
    <row r="31" spans="4:14" s="30" customFormat="1" ht="11.25" customHeight="1" x14ac:dyDescent="0.25">
      <c r="D31" s="32">
        <v>44801</v>
      </c>
      <c r="E31" s="23">
        <f>[1]Aug.2022!$E$31</f>
        <v>0</v>
      </c>
      <c r="F31" s="23">
        <v>1065</v>
      </c>
      <c r="G31" s="23">
        <f t="shared" si="1"/>
        <v>1065</v>
      </c>
      <c r="H31" s="24">
        <f>G31-G30</f>
        <v>0</v>
      </c>
      <c r="I31" s="63">
        <v>61.29</v>
      </c>
      <c r="J31" s="105"/>
      <c r="K31" s="72"/>
      <c r="L31" s="72"/>
      <c r="M31" s="72"/>
      <c r="N31" s="72"/>
    </row>
    <row r="32" spans="4:14" s="30" customFormat="1" ht="11.25" customHeight="1" x14ac:dyDescent="0.25">
      <c r="D32" s="32">
        <v>44802</v>
      </c>
      <c r="E32" s="23">
        <f>[1]Aug.2022!$E$32</f>
        <v>0</v>
      </c>
      <c r="F32" s="23">
        <v>1065</v>
      </c>
      <c r="G32" s="23">
        <f>E32+F32</f>
        <v>1065</v>
      </c>
      <c r="H32" s="24">
        <f t="shared" si="2"/>
        <v>0</v>
      </c>
      <c r="I32" s="63">
        <v>61.29</v>
      </c>
      <c r="J32" s="105"/>
      <c r="K32" s="72"/>
      <c r="L32" s="72"/>
      <c r="M32" s="72"/>
      <c r="N32" s="72"/>
    </row>
    <row r="33" spans="2:14" s="30" customFormat="1" ht="11.25" customHeight="1" x14ac:dyDescent="0.25">
      <c r="B33" s="31"/>
      <c r="C33" s="31"/>
      <c r="D33" s="32">
        <v>44803</v>
      </c>
      <c r="E33" s="23">
        <f>[1]Aug.2022!$E$33</f>
        <v>0</v>
      </c>
      <c r="F33" s="23">
        <v>1065</v>
      </c>
      <c r="G33" s="23">
        <f>E33+F33</f>
        <v>1065</v>
      </c>
      <c r="H33" s="24">
        <f t="shared" si="2"/>
        <v>0</v>
      </c>
      <c r="I33" s="63">
        <v>61.29</v>
      </c>
      <c r="J33" s="105"/>
      <c r="K33" s="72"/>
      <c r="L33" s="72"/>
      <c r="M33" s="72"/>
      <c r="N33" s="72"/>
    </row>
    <row r="34" spans="2:14" s="30" customFormat="1" ht="11.25" customHeight="1" x14ac:dyDescent="0.25">
      <c r="D34" s="32">
        <v>44804</v>
      </c>
      <c r="E34" s="23">
        <f>[1]Aug.2022!$E$34</f>
        <v>0</v>
      </c>
      <c r="F34" s="23">
        <v>1065</v>
      </c>
      <c r="G34" s="23">
        <f>E34+F34</f>
        <v>1065</v>
      </c>
      <c r="H34" s="24">
        <f t="shared" si="0"/>
        <v>0</v>
      </c>
      <c r="I34" s="63">
        <v>61.29</v>
      </c>
      <c r="J34" s="105"/>
      <c r="K34" s="72"/>
      <c r="L34" s="72"/>
      <c r="M34" s="72"/>
      <c r="N34" s="72"/>
    </row>
    <row r="35" spans="2:14" x14ac:dyDescent="0.25">
      <c r="D35" s="34" t="s">
        <v>28</v>
      </c>
      <c r="E35" s="35"/>
      <c r="F35" s="35"/>
      <c r="G35" s="26"/>
      <c r="H35" s="52">
        <f>SUM(H4:H34)</f>
        <v>-14657</v>
      </c>
      <c r="I35" s="107">
        <f>SUM(I4:I34)</f>
        <v>1899.9899999999993</v>
      </c>
      <c r="J35" s="106"/>
      <c r="K35" s="72"/>
      <c r="L35" s="72"/>
      <c r="M35" s="72"/>
    </row>
    <row r="36" spans="2:14" x14ac:dyDescent="0.25">
      <c r="K36" s="29"/>
    </row>
    <row r="37" spans="2:14" x14ac:dyDescent="0.25">
      <c r="D37" s="38"/>
      <c r="G37" s="37"/>
      <c r="K37" s="29"/>
    </row>
    <row r="38" spans="2:14" x14ac:dyDescent="0.25">
      <c r="D38" s="73"/>
      <c r="K38" s="74"/>
    </row>
    <row r="39" spans="2:14" x14ac:dyDescent="0.25">
      <c r="L39" s="29"/>
    </row>
    <row r="40" spans="2:14" x14ac:dyDescent="0.25">
      <c r="L40" s="29"/>
    </row>
    <row r="41" spans="2:14" x14ac:dyDescent="0.25">
      <c r="L41" s="29"/>
    </row>
    <row r="42" spans="2:14" x14ac:dyDescent="0.25">
      <c r="L42" s="29"/>
    </row>
    <row r="43" spans="2:14" x14ac:dyDescent="0.25">
      <c r="L43" s="29"/>
    </row>
    <row r="44" spans="2:14" x14ac:dyDescent="0.25">
      <c r="L44" s="29"/>
    </row>
    <row r="45" spans="2:14" x14ac:dyDescent="0.25">
      <c r="L45" s="29"/>
    </row>
    <row r="46" spans="2:14" x14ac:dyDescent="0.25">
      <c r="L46" s="29"/>
    </row>
    <row r="47" spans="2:14" x14ac:dyDescent="0.25">
      <c r="L47" s="29"/>
    </row>
    <row r="48" spans="2:14" x14ac:dyDescent="0.25">
      <c r="L48" s="29"/>
    </row>
    <row r="49" spans="12:12" x14ac:dyDescent="0.25">
      <c r="L49" s="29"/>
    </row>
    <row r="50" spans="12:12" x14ac:dyDescent="0.25">
      <c r="L50" s="29"/>
    </row>
    <row r="51" spans="12:12" x14ac:dyDescent="0.25">
      <c r="L51" s="29"/>
    </row>
    <row r="52" spans="12:12" x14ac:dyDescent="0.25">
      <c r="L52" s="29"/>
    </row>
    <row r="53" spans="12:12" x14ac:dyDescent="0.25">
      <c r="L53" s="29"/>
    </row>
    <row r="54" spans="12:12" x14ac:dyDescent="0.25">
      <c r="L54" s="29"/>
    </row>
    <row r="55" spans="12:12" x14ac:dyDescent="0.25">
      <c r="L55" s="29"/>
    </row>
    <row r="56" spans="12:12" x14ac:dyDescent="0.25">
      <c r="L56" s="29"/>
    </row>
    <row r="57" spans="12:12" x14ac:dyDescent="0.25">
      <c r="L57" s="29"/>
    </row>
    <row r="58" spans="12:12" x14ac:dyDescent="0.25">
      <c r="L58" s="29"/>
    </row>
  </sheetData>
  <mergeCells count="1">
    <mergeCell ref="D1:I1"/>
  </mergeCells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B1:R55"/>
  <sheetViews>
    <sheetView workbookViewId="0">
      <selection activeCell="F18" sqref="F18"/>
    </sheetView>
  </sheetViews>
  <sheetFormatPr defaultColWidth="9.140625" defaultRowHeight="12.75" x14ac:dyDescent="0.25"/>
  <cols>
    <col min="1" max="1" width="5.42578125" style="17" customWidth="1"/>
    <col min="2" max="2" width="4.42578125" style="17" hidden="1" customWidth="1"/>
    <col min="3" max="3" width="5.85546875" style="17" hidden="1" customWidth="1"/>
    <col min="4" max="7" width="9.7109375" style="17" customWidth="1"/>
    <col min="8" max="8" width="7.7109375" style="17" customWidth="1"/>
    <col min="9" max="9" width="11.7109375" style="17" customWidth="1"/>
    <col min="10" max="10" width="10.7109375" style="17" customWidth="1"/>
    <col min="11" max="11" width="9.7109375" style="17" customWidth="1"/>
    <col min="12" max="12" width="9.85546875" style="17" hidden="1" customWidth="1"/>
    <col min="13" max="14" width="0" style="17" hidden="1" customWidth="1"/>
    <col min="15" max="16384" width="9.140625" style="17"/>
  </cols>
  <sheetData>
    <row r="1" spans="2:18" ht="22.5" customHeight="1" x14ac:dyDescent="0.25">
      <c r="D1" s="108" t="s">
        <v>37</v>
      </c>
      <c r="E1" s="108"/>
      <c r="F1" s="108"/>
      <c r="G1" s="108"/>
      <c r="H1" s="108"/>
      <c r="I1" s="108"/>
      <c r="J1" s="108"/>
      <c r="K1" s="108"/>
    </row>
    <row r="2" spans="2:18" ht="8.1" customHeight="1" x14ac:dyDescent="0.25">
      <c r="D2" s="40"/>
      <c r="E2" s="40"/>
      <c r="F2" s="40"/>
      <c r="G2" s="40"/>
      <c r="H2" s="40"/>
      <c r="I2" s="40"/>
      <c r="J2" s="40"/>
      <c r="K2" s="40"/>
    </row>
    <row r="3" spans="2:18" s="30" customFormat="1" ht="22.5" customHeight="1" x14ac:dyDescent="0.25">
      <c r="B3" s="30" t="s">
        <v>29</v>
      </c>
      <c r="C3" s="30" t="s">
        <v>30</v>
      </c>
      <c r="D3" s="20" t="s">
        <v>11</v>
      </c>
      <c r="E3" s="21" t="s">
        <v>15</v>
      </c>
      <c r="F3" s="21" t="s">
        <v>16</v>
      </c>
      <c r="G3" s="21" t="s">
        <v>17</v>
      </c>
      <c r="H3" s="21" t="s">
        <v>18</v>
      </c>
      <c r="I3" s="21" t="s">
        <v>19</v>
      </c>
      <c r="J3" s="21" t="s">
        <v>20</v>
      </c>
      <c r="K3" s="21"/>
      <c r="L3" s="41"/>
      <c r="M3" s="42"/>
      <c r="N3" s="75"/>
      <c r="O3" s="72"/>
      <c r="P3" s="72"/>
      <c r="Q3" s="72"/>
      <c r="R3" s="72"/>
    </row>
    <row r="4" spans="2:18" s="30" customFormat="1" ht="11.25" customHeight="1" x14ac:dyDescent="0.25">
      <c r="D4" s="32">
        <v>44774</v>
      </c>
      <c r="E4" s="23">
        <f>[2]Aug.2022!$E$4</f>
        <v>773687</v>
      </c>
      <c r="F4" s="23">
        <f>[2]Aug.2022!$F$4</f>
        <v>174872</v>
      </c>
      <c r="G4" s="23">
        <f>E4+F4</f>
        <v>948559</v>
      </c>
      <c r="H4" s="18">
        <v>1.243403</v>
      </c>
      <c r="I4" s="23">
        <f>H4*G4</f>
        <v>1179441.1062769999</v>
      </c>
      <c r="J4" s="24">
        <f>I4-[2]Jul.2022!$K$34</f>
        <v>344.42263099993579</v>
      </c>
      <c r="K4" s="22"/>
      <c r="L4" s="57"/>
      <c r="M4" s="58"/>
      <c r="N4" s="76"/>
      <c r="O4" s="71"/>
      <c r="P4" s="78"/>
      <c r="Q4" s="78"/>
      <c r="R4" s="78"/>
    </row>
    <row r="5" spans="2:18" s="30" customFormat="1" ht="11.25" customHeight="1" x14ac:dyDescent="0.25">
      <c r="D5" s="32">
        <v>44775</v>
      </c>
      <c r="E5" s="23">
        <f>[2]Aug.2022!$E$5</f>
        <v>773887</v>
      </c>
      <c r="F5" s="23">
        <f>[2]Aug.2022!$F$5</f>
        <v>174973</v>
      </c>
      <c r="G5" s="23">
        <f>E5+F5</f>
        <v>948860</v>
      </c>
      <c r="H5" s="18">
        <v>1.243403</v>
      </c>
      <c r="I5" s="23">
        <f>H5*G5</f>
        <v>1179815.3705800001</v>
      </c>
      <c r="J5" s="24">
        <f>I5-I4</f>
        <v>374.26430300017819</v>
      </c>
      <c r="K5" s="22"/>
      <c r="L5" s="57"/>
      <c r="M5" s="58"/>
      <c r="N5" s="76"/>
      <c r="O5" s="71"/>
      <c r="P5" s="78"/>
      <c r="Q5" s="78"/>
      <c r="R5" s="78"/>
    </row>
    <row r="6" spans="2:18" s="30" customFormat="1" ht="11.25" customHeight="1" x14ac:dyDescent="0.25">
      <c r="D6" s="32">
        <v>44776</v>
      </c>
      <c r="E6" s="23">
        <f>[2]Aug.2022!$E$6</f>
        <v>774079</v>
      </c>
      <c r="F6" s="23">
        <f>[2]Aug.2022!$F$6</f>
        <v>175050</v>
      </c>
      <c r="G6" s="23">
        <f t="shared" ref="G6:G34" si="0">E6+F6</f>
        <v>949129</v>
      </c>
      <c r="H6" s="18">
        <v>1.243403</v>
      </c>
      <c r="I6" s="23">
        <f t="shared" ref="I6:I34" si="1">H6*G6</f>
        <v>1180149.845987</v>
      </c>
      <c r="J6" s="24">
        <f>I6-I5</f>
        <v>334.4754069999326</v>
      </c>
      <c r="K6" s="22"/>
      <c r="L6" s="57"/>
      <c r="M6" s="58"/>
      <c r="N6" s="76"/>
      <c r="O6" s="71"/>
      <c r="P6" s="78"/>
      <c r="Q6" s="78"/>
      <c r="R6" s="78"/>
    </row>
    <row r="7" spans="2:18" s="30" customFormat="1" ht="11.25" customHeight="1" x14ac:dyDescent="0.25">
      <c r="D7" s="32">
        <v>44777</v>
      </c>
      <c r="E7" s="23">
        <v>774235</v>
      </c>
      <c r="F7" s="23">
        <v>175122</v>
      </c>
      <c r="G7" s="23">
        <f t="shared" si="0"/>
        <v>949357</v>
      </c>
      <c r="H7" s="18">
        <v>1.243403</v>
      </c>
      <c r="I7" s="23">
        <f t="shared" si="1"/>
        <v>1180433.3418710001</v>
      </c>
      <c r="J7" s="24">
        <f t="shared" ref="J7:J34" si="2">I7-I6</f>
        <v>283.49588400009088</v>
      </c>
      <c r="K7" s="22"/>
      <c r="L7" s="57"/>
      <c r="M7" s="58"/>
      <c r="N7" s="76"/>
      <c r="O7" s="71"/>
      <c r="P7" s="78"/>
      <c r="Q7" s="78"/>
      <c r="R7" s="78"/>
    </row>
    <row r="8" spans="2:18" s="30" customFormat="1" ht="11.25" customHeight="1" x14ac:dyDescent="0.25">
      <c r="D8" s="32">
        <v>44778</v>
      </c>
      <c r="E8" s="23">
        <f>[2]Aug.2022!$E$8</f>
        <v>774472</v>
      </c>
      <c r="F8" s="23">
        <f>[2]Aug.2022!$F$8</f>
        <v>175206</v>
      </c>
      <c r="G8" s="23">
        <f t="shared" si="0"/>
        <v>949678</v>
      </c>
      <c r="H8" s="18">
        <v>1.243403</v>
      </c>
      <c r="I8" s="23">
        <f t="shared" si="1"/>
        <v>1180832.4742340001</v>
      </c>
      <c r="J8" s="24">
        <f t="shared" si="2"/>
        <v>399.13236299995333</v>
      </c>
      <c r="K8" s="22"/>
      <c r="L8" s="57"/>
      <c r="M8" s="58"/>
      <c r="N8" s="76"/>
      <c r="O8" s="71"/>
      <c r="P8" s="78"/>
      <c r="Q8" s="78"/>
      <c r="R8" s="78"/>
    </row>
    <row r="9" spans="2:18" s="30" customFormat="1" ht="11.25" customHeight="1" x14ac:dyDescent="0.25">
      <c r="D9" s="32">
        <v>44779</v>
      </c>
      <c r="E9" s="23">
        <v>774660</v>
      </c>
      <c r="F9" s="23">
        <v>175271</v>
      </c>
      <c r="G9" s="23">
        <f>E9+F9</f>
        <v>949931</v>
      </c>
      <c r="H9" s="18">
        <v>1.243403</v>
      </c>
      <c r="I9" s="23">
        <f>H9*G9</f>
        <v>1181147.055193</v>
      </c>
      <c r="J9" s="24">
        <f t="shared" si="2"/>
        <v>314.58095899992622</v>
      </c>
      <c r="K9" s="22"/>
      <c r="L9" s="57"/>
      <c r="M9" s="58"/>
      <c r="N9" s="76"/>
      <c r="O9" s="71"/>
      <c r="P9" s="78"/>
      <c r="Q9" s="78"/>
      <c r="R9" s="78"/>
    </row>
    <row r="10" spans="2:18" s="30" customFormat="1" ht="11.25" x14ac:dyDescent="0.25">
      <c r="D10" s="32">
        <v>44780</v>
      </c>
      <c r="E10" s="23">
        <v>774861</v>
      </c>
      <c r="F10" s="23">
        <v>175362</v>
      </c>
      <c r="G10" s="23">
        <f t="shared" si="0"/>
        <v>950223</v>
      </c>
      <c r="H10" s="18">
        <v>1.243403</v>
      </c>
      <c r="I10" s="23">
        <f>H10*G10</f>
        <v>1181510.1288690001</v>
      </c>
      <c r="J10" s="24">
        <f t="shared" si="2"/>
        <v>363.07367600011639</v>
      </c>
      <c r="K10" s="22"/>
      <c r="L10" s="57"/>
      <c r="M10" s="58"/>
      <c r="N10" s="76"/>
      <c r="O10" s="71"/>
      <c r="P10" s="78"/>
      <c r="Q10" s="78"/>
      <c r="R10" s="78"/>
    </row>
    <row r="11" spans="2:18" s="30" customFormat="1" ht="11.25" customHeight="1" x14ac:dyDescent="0.25">
      <c r="D11" s="32">
        <v>44781</v>
      </c>
      <c r="E11" s="23">
        <v>775083</v>
      </c>
      <c r="F11" s="23">
        <v>175438</v>
      </c>
      <c r="G11" s="23">
        <f t="shared" si="0"/>
        <v>950521</v>
      </c>
      <c r="H11" s="18">
        <v>1.243403</v>
      </c>
      <c r="I11" s="23">
        <f>H11*G11</f>
        <v>1181880.6629630001</v>
      </c>
      <c r="J11" s="24">
        <f>I11-I10</f>
        <v>370.53409400000237</v>
      </c>
      <c r="K11" s="22"/>
      <c r="L11" s="57"/>
      <c r="M11" s="58"/>
      <c r="N11" s="76"/>
      <c r="O11" s="71"/>
      <c r="P11" s="78"/>
      <c r="Q11" s="78"/>
      <c r="R11" s="78"/>
    </row>
    <row r="12" spans="2:18" s="30" customFormat="1" ht="11.25" customHeight="1" x14ac:dyDescent="0.25">
      <c r="D12" s="32">
        <v>44782</v>
      </c>
      <c r="E12" s="23">
        <v>775260</v>
      </c>
      <c r="F12" s="23">
        <v>175505</v>
      </c>
      <c r="G12" s="23">
        <f t="shared" si="0"/>
        <v>950765</v>
      </c>
      <c r="H12" s="18">
        <v>1.243403</v>
      </c>
      <c r="I12" s="23">
        <f t="shared" si="1"/>
        <v>1182184.053295</v>
      </c>
      <c r="J12" s="24">
        <f>I12-I11</f>
        <v>303.39033199986443</v>
      </c>
      <c r="K12" s="22"/>
      <c r="L12" s="57"/>
      <c r="M12" s="58"/>
      <c r="N12" s="76"/>
      <c r="O12" s="71"/>
      <c r="P12" s="78"/>
      <c r="Q12" s="78"/>
      <c r="R12" s="78"/>
    </row>
    <row r="13" spans="2:18" s="30" customFormat="1" ht="11.25" customHeight="1" x14ac:dyDescent="0.25">
      <c r="D13" s="32">
        <v>44783</v>
      </c>
      <c r="E13" s="23">
        <v>775464</v>
      </c>
      <c r="F13" s="23">
        <v>175593</v>
      </c>
      <c r="G13" s="23">
        <f>E13+F13</f>
        <v>951057</v>
      </c>
      <c r="H13" s="18">
        <v>1.243403</v>
      </c>
      <c r="I13" s="23">
        <f>H13*G13</f>
        <v>1182547.1269710001</v>
      </c>
      <c r="J13" s="24">
        <f>I13-I12</f>
        <v>363.07367600011639</v>
      </c>
      <c r="K13" s="22"/>
      <c r="L13" s="57"/>
      <c r="M13" s="58"/>
      <c r="N13" s="76"/>
      <c r="O13" s="71"/>
      <c r="P13" s="78"/>
      <c r="Q13" s="78"/>
      <c r="R13" s="78"/>
    </row>
    <row r="14" spans="2:18" s="30" customFormat="1" ht="11.25" customHeight="1" x14ac:dyDescent="0.25">
      <c r="D14" s="32">
        <v>44784</v>
      </c>
      <c r="E14" s="23">
        <v>775670</v>
      </c>
      <c r="F14" s="23">
        <v>175672</v>
      </c>
      <c r="G14" s="23">
        <f t="shared" si="0"/>
        <v>951342</v>
      </c>
      <c r="H14" s="18">
        <v>1.243403</v>
      </c>
      <c r="I14" s="23">
        <f>H14*G14</f>
        <v>1182901.496826</v>
      </c>
      <c r="J14" s="24">
        <f>I14-I13</f>
        <v>354.36985499993898</v>
      </c>
      <c r="K14" s="22"/>
      <c r="L14" s="57"/>
      <c r="M14" s="58"/>
      <c r="N14" s="76"/>
      <c r="O14" s="71"/>
      <c r="P14" s="78"/>
      <c r="Q14" s="78"/>
      <c r="R14" s="78"/>
    </row>
    <row r="15" spans="2:18" s="30" customFormat="1" ht="11.25" customHeight="1" x14ac:dyDescent="0.25">
      <c r="D15" s="32">
        <v>44785</v>
      </c>
      <c r="E15" s="23">
        <v>775882</v>
      </c>
      <c r="F15" s="23">
        <v>175753</v>
      </c>
      <c r="G15" s="23">
        <f t="shared" si="0"/>
        <v>951635</v>
      </c>
      <c r="H15" s="18">
        <v>1.243403</v>
      </c>
      <c r="I15" s="23">
        <f t="shared" si="1"/>
        <v>1183265.813905</v>
      </c>
      <c r="J15" s="24">
        <f t="shared" si="2"/>
        <v>364.31707899994217</v>
      </c>
      <c r="K15" s="22"/>
      <c r="L15" s="57"/>
      <c r="M15" s="58"/>
      <c r="N15" s="76"/>
      <c r="O15" s="71"/>
      <c r="P15" s="78"/>
      <c r="Q15" s="78"/>
      <c r="R15" s="78"/>
    </row>
    <row r="16" spans="2:18" s="30" customFormat="1" ht="11.25" customHeight="1" x14ac:dyDescent="0.25">
      <c r="D16" s="32">
        <v>44786</v>
      </c>
      <c r="E16" s="23">
        <v>776081</v>
      </c>
      <c r="F16" s="23">
        <v>175853</v>
      </c>
      <c r="G16" s="23">
        <f t="shared" si="0"/>
        <v>951934</v>
      </c>
      <c r="H16" s="18">
        <v>1.243403</v>
      </c>
      <c r="I16" s="23">
        <f t="shared" si="1"/>
        <v>1183637.591402</v>
      </c>
      <c r="J16" s="24">
        <f t="shared" si="2"/>
        <v>371.77749700006098</v>
      </c>
      <c r="K16" s="22"/>
      <c r="L16" s="57"/>
      <c r="M16" s="58"/>
      <c r="N16" s="76"/>
      <c r="O16" s="71"/>
      <c r="P16" s="78"/>
      <c r="Q16" s="78"/>
      <c r="R16" s="78"/>
    </row>
    <row r="17" spans="4:18" s="30" customFormat="1" ht="11.25" customHeight="1" x14ac:dyDescent="0.25">
      <c r="D17" s="32">
        <v>44787</v>
      </c>
      <c r="E17" s="23">
        <v>776282</v>
      </c>
      <c r="F17" s="23">
        <v>175941</v>
      </c>
      <c r="G17" s="23">
        <f t="shared" si="0"/>
        <v>952223</v>
      </c>
      <c r="H17" s="18">
        <v>1.243403</v>
      </c>
      <c r="I17" s="23">
        <f t="shared" si="1"/>
        <v>1183996.934869</v>
      </c>
      <c r="J17" s="24">
        <f t="shared" si="2"/>
        <v>359.34346699994057</v>
      </c>
      <c r="K17" s="22"/>
      <c r="L17" s="57"/>
      <c r="M17" s="58"/>
      <c r="N17" s="76"/>
      <c r="O17" s="71"/>
      <c r="P17" s="78"/>
      <c r="Q17" s="78"/>
      <c r="R17" s="78"/>
    </row>
    <row r="18" spans="4:18" s="30" customFormat="1" ht="11.25" customHeight="1" x14ac:dyDescent="0.25">
      <c r="D18" s="32">
        <v>44788</v>
      </c>
      <c r="E18" s="23">
        <f>[2]Aug.2022!$E$18</f>
        <v>776493</v>
      </c>
      <c r="F18" s="23">
        <f>[2]Aug.2022!$F$18</f>
        <v>176018</v>
      </c>
      <c r="G18" s="23">
        <f t="shared" si="0"/>
        <v>952511</v>
      </c>
      <c r="H18" s="18">
        <v>1.243403</v>
      </c>
      <c r="I18" s="23">
        <f t="shared" si="1"/>
        <v>1184355.0349330001</v>
      </c>
      <c r="J18" s="24">
        <f t="shared" si="2"/>
        <v>358.1000640001148</v>
      </c>
      <c r="K18" s="22"/>
      <c r="L18" s="57"/>
      <c r="M18" s="58"/>
      <c r="N18" s="76"/>
      <c r="O18" s="71"/>
      <c r="P18" s="78"/>
      <c r="Q18" s="78"/>
      <c r="R18" s="78"/>
    </row>
    <row r="19" spans="4:18" s="30" customFormat="1" ht="11.25" customHeight="1" x14ac:dyDescent="0.25">
      <c r="D19" s="32">
        <v>44789</v>
      </c>
      <c r="E19" s="23">
        <f>[2]Aug.2022!$E$19</f>
        <v>776701</v>
      </c>
      <c r="F19" s="23">
        <f>[2]Aug.2022!$F$19</f>
        <v>176097</v>
      </c>
      <c r="G19" s="23">
        <f t="shared" si="0"/>
        <v>952798</v>
      </c>
      <c r="H19" s="18">
        <v>1.243403</v>
      </c>
      <c r="I19" s="23">
        <f>H19*G19</f>
        <v>1184711.8915939999</v>
      </c>
      <c r="J19" s="24">
        <f>I19-I18</f>
        <v>356.85666099982336</v>
      </c>
      <c r="K19" s="22"/>
      <c r="L19" s="57"/>
      <c r="M19" s="58"/>
      <c r="N19" s="76"/>
      <c r="O19" s="71"/>
      <c r="P19" s="78"/>
      <c r="Q19" s="78"/>
      <c r="R19" s="78"/>
    </row>
    <row r="20" spans="4:18" s="30" customFormat="1" ht="11.25" customHeight="1" x14ac:dyDescent="0.25">
      <c r="D20" s="32">
        <v>44790</v>
      </c>
      <c r="E20" s="23">
        <f>[2]Aug.2022!$E$20</f>
        <v>776890</v>
      </c>
      <c r="F20" s="23">
        <f>[2]Aug.2022!$F$20</f>
        <v>176176</v>
      </c>
      <c r="G20" s="23">
        <f t="shared" si="0"/>
        <v>953066</v>
      </c>
      <c r="H20" s="18">
        <v>1.243403</v>
      </c>
      <c r="I20" s="23">
        <f t="shared" si="1"/>
        <v>1185045.123598</v>
      </c>
      <c r="J20" s="24">
        <f t="shared" si="2"/>
        <v>333.23200400010683</v>
      </c>
      <c r="K20" s="22"/>
      <c r="L20" s="57"/>
      <c r="M20" s="58"/>
      <c r="N20" s="76"/>
      <c r="O20" s="71"/>
      <c r="P20" s="78"/>
      <c r="Q20" s="78"/>
      <c r="R20" s="78"/>
    </row>
    <row r="21" spans="4:18" s="30" customFormat="1" ht="11.25" customHeight="1" x14ac:dyDescent="0.25">
      <c r="D21" s="32">
        <v>44791</v>
      </c>
      <c r="E21" s="23">
        <f>[2]Aug.2022!$E$21</f>
        <v>0</v>
      </c>
      <c r="F21" s="23">
        <f>[2]Aug.2022!$F$21</f>
        <v>0</v>
      </c>
      <c r="G21" s="23">
        <f t="shared" si="0"/>
        <v>0</v>
      </c>
      <c r="H21" s="18">
        <v>1.243403</v>
      </c>
      <c r="I21" s="23">
        <f t="shared" si="1"/>
        <v>0</v>
      </c>
      <c r="J21" s="24">
        <f t="shared" si="2"/>
        <v>-1185045.123598</v>
      </c>
      <c r="K21" s="22"/>
      <c r="L21" s="57"/>
      <c r="M21" s="58"/>
      <c r="N21" s="76"/>
      <c r="O21" s="71"/>
      <c r="P21" s="78"/>
      <c r="Q21" s="78"/>
      <c r="R21" s="78"/>
    </row>
    <row r="22" spans="4:18" s="30" customFormat="1" ht="11.25" customHeight="1" x14ac:dyDescent="0.25">
      <c r="D22" s="32">
        <v>44792</v>
      </c>
      <c r="E22" s="23">
        <f>[2]Aug.2022!$E$22</f>
        <v>0</v>
      </c>
      <c r="F22" s="23">
        <f>[2]Aug.2022!$F$22</f>
        <v>0</v>
      </c>
      <c r="G22" s="23">
        <f t="shared" si="0"/>
        <v>0</v>
      </c>
      <c r="H22" s="18">
        <v>1.243403</v>
      </c>
      <c r="I22" s="23">
        <f t="shared" si="1"/>
        <v>0</v>
      </c>
      <c r="J22" s="24">
        <f t="shared" si="2"/>
        <v>0</v>
      </c>
      <c r="K22" s="22"/>
      <c r="L22" s="57"/>
      <c r="M22" s="58"/>
      <c r="N22" s="76"/>
      <c r="O22" s="71"/>
      <c r="P22" s="78"/>
      <c r="Q22" s="78"/>
      <c r="R22" s="78"/>
    </row>
    <row r="23" spans="4:18" s="30" customFormat="1" ht="11.25" customHeight="1" x14ac:dyDescent="0.25">
      <c r="D23" s="32">
        <v>44793</v>
      </c>
      <c r="E23" s="23">
        <f>[2]Aug.2022!$E$23</f>
        <v>0</v>
      </c>
      <c r="F23" s="23">
        <f>[2]Aug.2022!$F$23</f>
        <v>0</v>
      </c>
      <c r="G23" s="23">
        <f t="shared" si="0"/>
        <v>0</v>
      </c>
      <c r="H23" s="18">
        <v>1.243403</v>
      </c>
      <c r="I23" s="23">
        <f t="shared" si="1"/>
        <v>0</v>
      </c>
      <c r="J23" s="24">
        <f t="shared" si="2"/>
        <v>0</v>
      </c>
      <c r="K23" s="22"/>
      <c r="L23" s="57"/>
      <c r="M23" s="58"/>
      <c r="N23" s="76"/>
      <c r="O23" s="71"/>
      <c r="P23" s="78"/>
      <c r="Q23" s="78"/>
      <c r="R23" s="78"/>
    </row>
    <row r="24" spans="4:18" s="30" customFormat="1" ht="11.25" customHeight="1" x14ac:dyDescent="0.25">
      <c r="D24" s="32">
        <v>44794</v>
      </c>
      <c r="E24" s="23">
        <f>[2]Aug.2022!$E$24</f>
        <v>0</v>
      </c>
      <c r="F24" s="23">
        <f>[2]Aug.2022!$F$24</f>
        <v>0</v>
      </c>
      <c r="G24" s="23">
        <f t="shared" si="0"/>
        <v>0</v>
      </c>
      <c r="H24" s="18">
        <v>1.243403</v>
      </c>
      <c r="I24" s="23">
        <f t="shared" si="1"/>
        <v>0</v>
      </c>
      <c r="J24" s="24">
        <f t="shared" si="2"/>
        <v>0</v>
      </c>
      <c r="K24" s="22"/>
      <c r="L24" s="57"/>
      <c r="M24" s="58"/>
      <c r="N24" s="76"/>
      <c r="O24" s="71"/>
      <c r="P24" s="78"/>
      <c r="Q24" s="78"/>
      <c r="R24" s="78"/>
    </row>
    <row r="25" spans="4:18" s="30" customFormat="1" ht="11.25" customHeight="1" x14ac:dyDescent="0.25">
      <c r="D25" s="32">
        <v>44795</v>
      </c>
      <c r="E25" s="23">
        <f>[2]Aug.2022!$E$25</f>
        <v>0</v>
      </c>
      <c r="F25" s="23">
        <f>[2]Aug.2022!$F$25</f>
        <v>0</v>
      </c>
      <c r="G25" s="23">
        <f t="shared" si="0"/>
        <v>0</v>
      </c>
      <c r="H25" s="18">
        <v>1.243403</v>
      </c>
      <c r="I25" s="23">
        <f t="shared" si="1"/>
        <v>0</v>
      </c>
      <c r="J25" s="24">
        <f t="shared" si="2"/>
        <v>0</v>
      </c>
      <c r="K25" s="22"/>
      <c r="L25" s="57"/>
      <c r="M25" s="58"/>
      <c r="N25" s="76"/>
      <c r="O25" s="71"/>
      <c r="P25" s="78"/>
      <c r="Q25" s="78"/>
      <c r="R25" s="78"/>
    </row>
    <row r="26" spans="4:18" s="30" customFormat="1" ht="11.25" customHeight="1" x14ac:dyDescent="0.25">
      <c r="D26" s="32">
        <v>44796</v>
      </c>
      <c r="E26" s="23">
        <f>[2]Aug.2022!$E$26</f>
        <v>0</v>
      </c>
      <c r="F26" s="23">
        <f>[2]Aug.2022!$F$26</f>
        <v>0</v>
      </c>
      <c r="G26" s="23">
        <f t="shared" si="0"/>
        <v>0</v>
      </c>
      <c r="H26" s="18">
        <v>1.243403</v>
      </c>
      <c r="I26" s="23">
        <f t="shared" si="1"/>
        <v>0</v>
      </c>
      <c r="J26" s="24">
        <f t="shared" si="2"/>
        <v>0</v>
      </c>
      <c r="K26" s="22"/>
      <c r="L26" s="57"/>
      <c r="M26" s="58"/>
      <c r="N26" s="76"/>
      <c r="O26" s="71"/>
      <c r="P26" s="78"/>
      <c r="Q26" s="78"/>
      <c r="R26" s="78"/>
    </row>
    <row r="27" spans="4:18" s="30" customFormat="1" ht="11.25" customHeight="1" x14ac:dyDescent="0.25">
      <c r="D27" s="32">
        <v>44797</v>
      </c>
      <c r="E27" s="23">
        <f>[2]Aug.2022!$E$27</f>
        <v>0</v>
      </c>
      <c r="F27" s="23">
        <f>[2]Aug.2022!$F$26</f>
        <v>0</v>
      </c>
      <c r="G27" s="23">
        <f t="shared" si="0"/>
        <v>0</v>
      </c>
      <c r="H27" s="18">
        <v>1.243403</v>
      </c>
      <c r="I27" s="23">
        <f t="shared" si="1"/>
        <v>0</v>
      </c>
      <c r="J27" s="24">
        <f t="shared" si="2"/>
        <v>0</v>
      </c>
      <c r="K27" s="22"/>
      <c r="L27" s="57"/>
      <c r="M27" s="58"/>
      <c r="N27" s="76"/>
      <c r="O27" s="71"/>
      <c r="P27" s="78"/>
      <c r="Q27" s="78"/>
      <c r="R27" s="78"/>
    </row>
    <row r="28" spans="4:18" s="30" customFormat="1" ht="11.25" customHeight="1" x14ac:dyDescent="0.25">
      <c r="D28" s="32">
        <v>44798</v>
      </c>
      <c r="E28" s="23">
        <f>[2]Aug.2022!$E$28</f>
        <v>0</v>
      </c>
      <c r="F28" s="23">
        <f>[2]Aug.2022!$F$27</f>
        <v>0</v>
      </c>
      <c r="G28" s="23">
        <f t="shared" si="0"/>
        <v>0</v>
      </c>
      <c r="H28" s="18">
        <v>1.243403</v>
      </c>
      <c r="I28" s="23">
        <f t="shared" si="1"/>
        <v>0</v>
      </c>
      <c r="J28" s="24">
        <f t="shared" si="2"/>
        <v>0</v>
      </c>
      <c r="K28" s="22"/>
      <c r="L28" s="57"/>
      <c r="M28" s="58"/>
      <c r="N28" s="76"/>
      <c r="O28" s="71"/>
      <c r="P28" s="78"/>
      <c r="Q28" s="78"/>
      <c r="R28" s="78"/>
    </row>
    <row r="29" spans="4:18" s="30" customFormat="1" ht="11.25" customHeight="1" x14ac:dyDescent="0.25">
      <c r="D29" s="32">
        <v>44799</v>
      </c>
      <c r="E29" s="23">
        <f>[2]Aug.2022!$E$29</f>
        <v>0</v>
      </c>
      <c r="F29" s="23">
        <f>[2]Aug.2022!$F$28</f>
        <v>0</v>
      </c>
      <c r="G29" s="23">
        <f t="shared" si="0"/>
        <v>0</v>
      </c>
      <c r="H29" s="18">
        <v>1.243403</v>
      </c>
      <c r="I29" s="23">
        <f t="shared" si="1"/>
        <v>0</v>
      </c>
      <c r="J29" s="24">
        <f t="shared" si="2"/>
        <v>0</v>
      </c>
      <c r="K29" s="22"/>
      <c r="L29" s="57"/>
      <c r="M29" s="58"/>
      <c r="N29" s="76"/>
      <c r="O29" s="71"/>
      <c r="P29" s="78"/>
      <c r="Q29" s="78"/>
      <c r="R29" s="78"/>
    </row>
    <row r="30" spans="4:18" s="30" customFormat="1" ht="11.25" customHeight="1" x14ac:dyDescent="0.25">
      <c r="D30" s="32">
        <v>44800</v>
      </c>
      <c r="E30" s="23">
        <f>[2]Aug.2022!$E$30</f>
        <v>0</v>
      </c>
      <c r="F30" s="23">
        <f>[2]Aug.2022!$F$29</f>
        <v>0</v>
      </c>
      <c r="G30" s="23">
        <f t="shared" si="0"/>
        <v>0</v>
      </c>
      <c r="H30" s="18">
        <v>1.243403</v>
      </c>
      <c r="I30" s="23">
        <f t="shared" si="1"/>
        <v>0</v>
      </c>
      <c r="J30" s="24">
        <f t="shared" si="2"/>
        <v>0</v>
      </c>
      <c r="K30" s="22"/>
      <c r="L30" s="57"/>
      <c r="M30" s="58"/>
      <c r="N30" s="76"/>
      <c r="O30" s="71"/>
      <c r="P30" s="78"/>
      <c r="Q30" s="78"/>
      <c r="R30" s="78"/>
    </row>
    <row r="31" spans="4:18" s="30" customFormat="1" ht="11.25" customHeight="1" x14ac:dyDescent="0.25">
      <c r="D31" s="32">
        <v>44801</v>
      </c>
      <c r="E31" s="23">
        <f>[2]Aug.2022!$E$31</f>
        <v>0</v>
      </c>
      <c r="F31" s="23">
        <f>[2]Aug.2022!$F$30</f>
        <v>0</v>
      </c>
      <c r="G31" s="23">
        <f t="shared" si="0"/>
        <v>0</v>
      </c>
      <c r="H31" s="18">
        <v>1.243403</v>
      </c>
      <c r="I31" s="23">
        <f t="shared" si="1"/>
        <v>0</v>
      </c>
      <c r="J31" s="24">
        <f t="shared" si="2"/>
        <v>0</v>
      </c>
      <c r="K31" s="22"/>
      <c r="L31" s="57"/>
      <c r="M31" s="58"/>
      <c r="N31" s="76"/>
      <c r="O31" s="71"/>
      <c r="P31" s="78"/>
      <c r="Q31" s="78"/>
      <c r="R31" s="78"/>
    </row>
    <row r="32" spans="4:18" s="30" customFormat="1" ht="11.25" customHeight="1" x14ac:dyDescent="0.25">
      <c r="D32" s="32">
        <v>44802</v>
      </c>
      <c r="E32" s="23">
        <f>[2]Aug.2022!$E$32</f>
        <v>0</v>
      </c>
      <c r="F32" s="23">
        <f>[2]Aug.2022!$F$31</f>
        <v>0</v>
      </c>
      <c r="G32" s="23">
        <f t="shared" si="0"/>
        <v>0</v>
      </c>
      <c r="H32" s="18">
        <v>1.243403</v>
      </c>
      <c r="I32" s="23">
        <f t="shared" si="1"/>
        <v>0</v>
      </c>
      <c r="J32" s="24">
        <f t="shared" si="2"/>
        <v>0</v>
      </c>
      <c r="K32" s="22"/>
      <c r="L32" s="57"/>
      <c r="M32" s="58"/>
      <c r="N32" s="76"/>
      <c r="O32" s="71"/>
      <c r="P32" s="78"/>
      <c r="Q32" s="78"/>
      <c r="R32" s="78"/>
    </row>
    <row r="33" spans="4:18" s="30" customFormat="1" ht="11.25" customHeight="1" x14ac:dyDescent="0.25">
      <c r="D33" s="32">
        <v>44803</v>
      </c>
      <c r="E33" s="23">
        <f>[2]Aug.2022!$E$33</f>
        <v>0</v>
      </c>
      <c r="F33" s="23">
        <f>[2]Aug.2022!$F$32</f>
        <v>0</v>
      </c>
      <c r="G33" s="23">
        <f t="shared" si="0"/>
        <v>0</v>
      </c>
      <c r="H33" s="18">
        <v>1.243403</v>
      </c>
      <c r="I33" s="23">
        <f t="shared" si="1"/>
        <v>0</v>
      </c>
      <c r="J33" s="24">
        <f t="shared" si="2"/>
        <v>0</v>
      </c>
      <c r="K33" s="22"/>
      <c r="L33" s="57"/>
      <c r="M33" s="58"/>
      <c r="N33" s="76"/>
      <c r="O33" s="71"/>
      <c r="P33" s="78"/>
      <c r="Q33" s="78"/>
      <c r="R33" s="78"/>
    </row>
    <row r="34" spans="4:18" s="30" customFormat="1" ht="11.25" customHeight="1" x14ac:dyDescent="0.25">
      <c r="D34" s="32">
        <v>44804</v>
      </c>
      <c r="E34" s="23">
        <f>[2]Aug.2022!$E$34</f>
        <v>0</v>
      </c>
      <c r="F34" s="23">
        <f>[2]Aug.2022!$F$33</f>
        <v>0</v>
      </c>
      <c r="G34" s="23">
        <f t="shared" si="0"/>
        <v>0</v>
      </c>
      <c r="H34" s="18">
        <v>1.243403</v>
      </c>
      <c r="I34" s="23">
        <f t="shared" si="1"/>
        <v>0</v>
      </c>
      <c r="J34" s="24">
        <f t="shared" si="2"/>
        <v>0</v>
      </c>
      <c r="K34" s="22"/>
      <c r="L34" s="59"/>
      <c r="M34" s="60"/>
      <c r="N34" s="77"/>
      <c r="O34" s="79"/>
      <c r="P34" s="78"/>
      <c r="Q34" s="78"/>
      <c r="R34" s="78"/>
    </row>
    <row r="35" spans="4:18" ht="12" customHeight="1" x14ac:dyDescent="0.25">
      <c r="D35" s="34" t="s">
        <v>28</v>
      </c>
      <c r="E35" s="43"/>
      <c r="F35" s="43"/>
      <c r="G35" s="43"/>
      <c r="H35" s="43"/>
      <c r="I35" s="44"/>
      <c r="J35" s="36">
        <f>SUM(J4:J34)</f>
        <v>-1179096.683646</v>
      </c>
      <c r="K35" s="56"/>
      <c r="O35" s="80"/>
      <c r="P35" s="80"/>
      <c r="Q35" s="80"/>
      <c r="R35" s="80"/>
    </row>
    <row r="36" spans="4:18" ht="12.75" customHeight="1" x14ac:dyDescent="0.25">
      <c r="L36" s="37">
        <f>+AVERAGE(J4:J8)</f>
        <v>347.15811760001816</v>
      </c>
      <c r="M36" s="17">
        <f>+(L36*31)</f>
        <v>10761.901645600563</v>
      </c>
    </row>
    <row r="37" spans="4:18" ht="12.75" customHeight="1" x14ac:dyDescent="0.25"/>
    <row r="38" spans="4:18" ht="12.75" customHeight="1" x14ac:dyDescent="0.25">
      <c r="D38" s="38"/>
    </row>
    <row r="39" spans="4:18" ht="12.75" customHeight="1" x14ac:dyDescent="0.25"/>
    <row r="40" spans="4:18" ht="12.75" customHeight="1" x14ac:dyDescent="0.25"/>
    <row r="41" spans="4:18" ht="12.75" customHeight="1" x14ac:dyDescent="0.25"/>
    <row r="42" spans="4:18" ht="12.75" customHeight="1" x14ac:dyDescent="0.25"/>
    <row r="43" spans="4:18" ht="12.75" customHeight="1" x14ac:dyDescent="0.25"/>
    <row r="44" spans="4:18" ht="12.75" customHeight="1" x14ac:dyDescent="0.25"/>
    <row r="45" spans="4:18" ht="12.75" customHeight="1" x14ac:dyDescent="0.25"/>
    <row r="46" spans="4:18" ht="12.75" customHeight="1" x14ac:dyDescent="0.25"/>
    <row r="47" spans="4:18" ht="12.75" customHeight="1" x14ac:dyDescent="0.25"/>
    <row r="48" spans="4:18" ht="12.75" customHeight="1" x14ac:dyDescent="0.25"/>
    <row r="49" ht="12.75" customHeight="1" x14ac:dyDescent="0.25"/>
    <row r="50" ht="12.75" customHeight="1" x14ac:dyDescent="0.25"/>
    <row r="51" ht="12.75" customHeight="1" x14ac:dyDescent="0.25"/>
    <row r="52" ht="12.75" customHeight="1" x14ac:dyDescent="0.25"/>
    <row r="53" ht="12.75" customHeight="1" x14ac:dyDescent="0.25"/>
    <row r="54" ht="8.1" customHeight="1" x14ac:dyDescent="0.25"/>
    <row r="55" ht="12.75" customHeight="1" x14ac:dyDescent="0.25"/>
  </sheetData>
  <mergeCells count="1">
    <mergeCell ref="D1:K1"/>
  </mergeCells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C1:AY83"/>
  <sheetViews>
    <sheetView workbookViewId="0">
      <selection activeCell="P23" sqref="P23"/>
    </sheetView>
  </sheetViews>
  <sheetFormatPr defaultRowHeight="15" x14ac:dyDescent="0.25"/>
  <cols>
    <col min="2" max="2" width="3.140625" customWidth="1"/>
    <col min="3" max="3" width="9.140625" style="45" hidden="1" customWidth="1"/>
    <col min="4" max="4" width="7.7109375" style="45" hidden="1" customWidth="1"/>
    <col min="5" max="5" width="9.28515625" customWidth="1"/>
    <col min="6" max="6" width="10.85546875" bestFit="1" customWidth="1"/>
    <col min="8" max="8" width="10.42578125" customWidth="1"/>
    <col min="9" max="9" width="12.85546875" customWidth="1"/>
    <col min="10" max="12" width="9.7109375" customWidth="1"/>
    <col min="13" max="13" width="9.140625" customWidth="1"/>
    <col min="14" max="14" width="9.28515625" customWidth="1"/>
    <col min="15" max="16" width="9.140625" customWidth="1"/>
    <col min="17" max="17" width="10.85546875" customWidth="1"/>
    <col min="18" max="19" width="9.140625" customWidth="1"/>
    <col min="20" max="20" width="17.5703125" customWidth="1"/>
    <col min="21" max="21" width="12.28515625" customWidth="1"/>
    <col min="22" max="22" width="11.42578125" customWidth="1"/>
    <col min="23" max="25" width="9.140625" customWidth="1"/>
    <col min="26" max="26" width="10.85546875" customWidth="1"/>
    <col min="27" max="27" width="10" customWidth="1"/>
    <col min="28" max="28" width="9.140625" customWidth="1"/>
    <col min="29" max="29" width="10" customWidth="1"/>
    <col min="30" max="30" width="12.7109375" customWidth="1"/>
    <col min="31" max="31" width="10.5703125" customWidth="1"/>
    <col min="32" max="32" width="11.42578125" customWidth="1"/>
    <col min="33" max="34" width="9.140625" customWidth="1"/>
    <col min="35" max="35" width="10.5703125" customWidth="1"/>
    <col min="36" max="39" width="9.42578125" customWidth="1"/>
    <col min="40" max="40" width="9.140625" customWidth="1"/>
    <col min="41" max="41" width="10.140625" bestFit="1" customWidth="1"/>
    <col min="42" max="42" width="10.85546875" customWidth="1"/>
    <col min="43" max="43" width="10.140625" customWidth="1"/>
    <col min="44" max="44" width="10.28515625" customWidth="1"/>
    <col min="45" max="46" width="11" customWidth="1"/>
    <col min="47" max="47" width="11.28515625" customWidth="1"/>
    <col min="48" max="48" width="12.140625" customWidth="1"/>
    <col min="49" max="49" width="10.5703125" customWidth="1"/>
    <col min="50" max="50" width="9.140625" customWidth="1"/>
  </cols>
  <sheetData>
    <row r="1" spans="3:51" ht="23.25" customHeight="1" x14ac:dyDescent="0.25">
      <c r="E1" s="108" t="s">
        <v>38</v>
      </c>
      <c r="F1" s="108"/>
      <c r="G1" s="108"/>
      <c r="H1" s="108"/>
      <c r="I1" s="108"/>
      <c r="J1" s="108"/>
      <c r="K1" s="28"/>
      <c r="L1" s="28"/>
      <c r="M1" s="28"/>
      <c r="N1" s="28"/>
      <c r="O1" s="17"/>
      <c r="P1" s="17"/>
      <c r="Q1" s="109"/>
      <c r="R1" s="109"/>
      <c r="S1" s="109"/>
      <c r="T1" s="109"/>
      <c r="U1" s="109"/>
      <c r="V1" s="109"/>
      <c r="W1" s="109"/>
      <c r="X1" s="109"/>
      <c r="Y1" s="81"/>
      <c r="Z1" s="109"/>
      <c r="AA1" s="109"/>
      <c r="AB1" s="109"/>
      <c r="AC1" s="109"/>
      <c r="AD1" s="109"/>
      <c r="AE1" s="109"/>
      <c r="AF1" s="109"/>
      <c r="AG1" s="109"/>
      <c r="AH1" s="82"/>
      <c r="AI1" s="109"/>
      <c r="AJ1" s="109"/>
      <c r="AK1" s="109"/>
      <c r="AL1" s="109"/>
      <c r="AM1" s="109"/>
      <c r="AN1" s="109"/>
      <c r="AO1" s="109"/>
      <c r="AP1" s="109"/>
      <c r="AQ1" s="109"/>
      <c r="AR1" s="109"/>
      <c r="AS1" s="109"/>
      <c r="AT1" s="109"/>
      <c r="AU1" s="109"/>
      <c r="AV1" s="109"/>
      <c r="AW1" s="109"/>
      <c r="AX1" s="109"/>
      <c r="AY1" s="82"/>
    </row>
    <row r="2" spans="3:51" x14ac:dyDescent="0.25">
      <c r="E2" s="17"/>
      <c r="F2" s="17"/>
      <c r="G2" s="17"/>
      <c r="H2" s="17"/>
      <c r="I2" s="17"/>
      <c r="J2" s="17"/>
      <c r="K2" s="17"/>
      <c r="L2" s="17"/>
      <c r="M2" s="17"/>
      <c r="N2" s="17"/>
      <c r="O2" s="17"/>
      <c r="P2" s="17"/>
      <c r="Q2" s="81"/>
      <c r="R2" s="81"/>
      <c r="S2" s="81"/>
      <c r="T2" s="81"/>
      <c r="U2" s="81"/>
      <c r="V2" s="81"/>
      <c r="W2" s="81"/>
      <c r="X2" s="81"/>
      <c r="Y2" s="81"/>
      <c r="Z2" s="81"/>
      <c r="AA2" s="81"/>
      <c r="AB2" s="81"/>
      <c r="AC2" s="81"/>
      <c r="AD2" s="81"/>
      <c r="AE2" s="81"/>
      <c r="AF2" s="81"/>
      <c r="AG2" s="81"/>
      <c r="AH2" s="82"/>
      <c r="AI2" s="81"/>
      <c r="AJ2" s="81"/>
      <c r="AK2" s="81"/>
      <c r="AL2" s="81"/>
      <c r="AM2" s="81"/>
      <c r="AN2" s="81"/>
      <c r="AO2" s="81"/>
      <c r="AP2" s="81"/>
      <c r="AQ2" s="81"/>
      <c r="AR2" s="81"/>
      <c r="AS2" s="81"/>
      <c r="AT2" s="81"/>
      <c r="AU2" s="81"/>
      <c r="AV2" s="81"/>
      <c r="AW2" s="81"/>
      <c r="AX2" s="81"/>
      <c r="AY2" s="82"/>
    </row>
    <row r="3" spans="3:51" ht="45.75" customHeight="1" x14ac:dyDescent="0.25">
      <c r="C3" s="46" t="s">
        <v>31</v>
      </c>
      <c r="D3" s="46" t="s">
        <v>32</v>
      </c>
      <c r="E3" s="18" t="s">
        <v>11</v>
      </c>
      <c r="F3" s="19" t="s">
        <v>35</v>
      </c>
      <c r="G3" s="19" t="s">
        <v>12</v>
      </c>
      <c r="H3" s="19" t="s">
        <v>13</v>
      </c>
      <c r="I3" s="19" t="s">
        <v>14</v>
      </c>
      <c r="J3" s="19"/>
      <c r="K3" s="69"/>
      <c r="L3" s="69"/>
      <c r="M3" s="69"/>
      <c r="N3" s="69"/>
      <c r="O3" s="33"/>
      <c r="P3" s="30"/>
      <c r="Q3" s="64"/>
      <c r="R3" s="65"/>
      <c r="S3" s="65"/>
      <c r="T3" s="65"/>
      <c r="U3" s="65"/>
      <c r="V3" s="65"/>
      <c r="W3" s="65"/>
      <c r="X3" s="83"/>
      <c r="Y3" s="84"/>
      <c r="Z3" s="64"/>
      <c r="AA3" s="65"/>
      <c r="AB3" s="65"/>
      <c r="AC3" s="65"/>
      <c r="AD3" s="65"/>
      <c r="AE3" s="65"/>
      <c r="AF3" s="65"/>
      <c r="AG3" s="83"/>
      <c r="AH3" s="82"/>
      <c r="AI3" s="64"/>
      <c r="AJ3" s="65"/>
      <c r="AK3" s="83"/>
      <c r="AL3" s="83"/>
      <c r="AM3" s="83"/>
      <c r="AN3" s="65"/>
      <c r="AO3" s="110"/>
      <c r="AP3" s="111"/>
      <c r="AQ3" s="110"/>
      <c r="AR3" s="111"/>
      <c r="AS3" s="110"/>
      <c r="AT3" s="111"/>
      <c r="AU3" s="65"/>
      <c r="AV3" s="65"/>
      <c r="AW3" s="65"/>
      <c r="AX3" s="65"/>
      <c r="AY3" s="82"/>
    </row>
    <row r="4" spans="3:51" x14ac:dyDescent="0.25">
      <c r="C4" s="47">
        <v>1300</v>
      </c>
      <c r="D4" s="47">
        <v>3200</v>
      </c>
      <c r="E4" s="32">
        <v>44409</v>
      </c>
      <c r="F4" s="61">
        <f>'[3]Agustos 2022 '!$F$4</f>
        <v>5026.9620000000004</v>
      </c>
      <c r="G4" s="22">
        <v>2760</v>
      </c>
      <c r="H4" s="23">
        <f>G4*F4</f>
        <v>13874415.120000001</v>
      </c>
      <c r="I4" s="24">
        <f>+(H4-'[3]Temmuz 2022'!$H$34)</f>
        <v>10639.800000000745</v>
      </c>
      <c r="J4" s="36"/>
      <c r="K4" s="79"/>
      <c r="L4" s="71"/>
      <c r="M4" s="71"/>
      <c r="N4" s="71"/>
      <c r="O4" s="48"/>
      <c r="P4" s="49"/>
      <c r="Q4" s="66"/>
      <c r="R4" s="85"/>
      <c r="S4" s="85"/>
      <c r="T4" s="85"/>
      <c r="U4" s="68"/>
      <c r="V4" s="68"/>
      <c r="W4" s="86"/>
      <c r="X4" s="87"/>
      <c r="Y4" s="84"/>
      <c r="Z4" s="66"/>
      <c r="AA4" s="85"/>
      <c r="AB4" s="85"/>
      <c r="AC4" s="85"/>
      <c r="AD4" s="68"/>
      <c r="AE4" s="68"/>
      <c r="AF4" s="86"/>
      <c r="AG4" s="87"/>
      <c r="AH4" s="82"/>
      <c r="AI4" s="66"/>
      <c r="AJ4" s="88"/>
      <c r="AK4" s="88"/>
      <c r="AL4" s="88"/>
      <c r="AM4" s="88"/>
      <c r="AN4" s="89"/>
      <c r="AO4" s="89"/>
      <c r="AP4" s="90"/>
      <c r="AQ4" s="89"/>
      <c r="AR4" s="91"/>
      <c r="AS4" s="89"/>
      <c r="AT4" s="92"/>
      <c r="AU4" s="93"/>
      <c r="AV4" s="67"/>
      <c r="AW4" s="68"/>
      <c r="AX4" s="68"/>
      <c r="AY4" s="82"/>
    </row>
    <row r="5" spans="3:51" x14ac:dyDescent="0.25">
      <c r="C5" s="47">
        <v>1000</v>
      </c>
      <c r="D5" s="47">
        <v>3400</v>
      </c>
      <c r="E5" s="32">
        <v>44775</v>
      </c>
      <c r="F5" s="55">
        <f>'[3]Agustos 2022 '!$F$5</f>
        <v>5030.6189999999997</v>
      </c>
      <c r="G5" s="22">
        <v>2760</v>
      </c>
      <c r="H5" s="23">
        <f>G5*F5</f>
        <v>13884508.439999999</v>
      </c>
      <c r="I5" s="24">
        <f>+(H5-H4)</f>
        <v>10093.319999998435</v>
      </c>
      <c r="J5" s="36"/>
      <c r="K5" s="103"/>
      <c r="L5" s="71"/>
      <c r="M5" s="71"/>
      <c r="N5" s="71"/>
      <c r="O5" s="48"/>
      <c r="P5" s="49"/>
      <c r="Q5" s="66"/>
      <c r="R5" s="85"/>
      <c r="S5" s="85"/>
      <c r="T5" s="85"/>
      <c r="U5" s="68"/>
      <c r="V5" s="68"/>
      <c r="W5" s="86"/>
      <c r="X5" s="87"/>
      <c r="Y5" s="84"/>
      <c r="Z5" s="66"/>
      <c r="AA5" s="85"/>
      <c r="AB5" s="85"/>
      <c r="AC5" s="64"/>
      <c r="AD5" s="68"/>
      <c r="AE5" s="68"/>
      <c r="AF5" s="86"/>
      <c r="AG5" s="87"/>
      <c r="AH5" s="82"/>
      <c r="AI5" s="66"/>
      <c r="AJ5" s="88"/>
      <c r="AK5" s="88"/>
      <c r="AL5" s="88"/>
      <c r="AM5" s="88"/>
      <c r="AN5" s="89"/>
      <c r="AO5" s="89"/>
      <c r="AP5" s="90"/>
      <c r="AQ5" s="89"/>
      <c r="AR5" s="91"/>
      <c r="AS5" s="89"/>
      <c r="AT5" s="92"/>
      <c r="AU5" s="93"/>
      <c r="AV5" s="67"/>
      <c r="AW5" s="68"/>
      <c r="AX5" s="68"/>
      <c r="AY5" s="82"/>
    </row>
    <row r="6" spans="3:51" x14ac:dyDescent="0.25">
      <c r="C6" s="47">
        <v>1000</v>
      </c>
      <c r="D6" s="47">
        <v>3200</v>
      </c>
      <c r="E6" s="32">
        <v>44776</v>
      </c>
      <c r="F6" s="55">
        <f>'[3]Agustos 2022 '!$F$6</f>
        <v>5034.2030000000004</v>
      </c>
      <c r="G6" s="22">
        <v>2760</v>
      </c>
      <c r="H6" s="23">
        <f t="shared" ref="H6:H33" si="0">G6*F6</f>
        <v>13894400.280000001</v>
      </c>
      <c r="I6" s="24">
        <f t="shared" ref="I6:I33" si="1">+(H6-H5)</f>
        <v>9891.8400000017136</v>
      </c>
      <c r="J6" s="36"/>
      <c r="K6" s="103"/>
      <c r="L6" s="71"/>
      <c r="M6" s="71"/>
      <c r="N6" s="71"/>
      <c r="O6" s="48"/>
      <c r="P6" s="49"/>
      <c r="Q6" s="66"/>
      <c r="R6" s="85"/>
      <c r="S6" s="85"/>
      <c r="T6" s="85"/>
      <c r="U6" s="68"/>
      <c r="V6" s="68"/>
      <c r="W6" s="86"/>
      <c r="X6" s="87"/>
      <c r="Y6" s="84"/>
      <c r="Z6" s="66"/>
      <c r="AA6" s="85"/>
      <c r="AB6" s="85"/>
      <c r="AC6" s="85"/>
      <c r="AD6" s="68"/>
      <c r="AE6" s="68"/>
      <c r="AF6" s="86"/>
      <c r="AG6" s="87"/>
      <c r="AH6" s="82"/>
      <c r="AI6" s="66"/>
      <c r="AJ6" s="88"/>
      <c r="AK6" s="88"/>
      <c r="AL6" s="88"/>
      <c r="AM6" s="88"/>
      <c r="AN6" s="89"/>
      <c r="AO6" s="89"/>
      <c r="AP6" s="90"/>
      <c r="AQ6" s="89"/>
      <c r="AR6" s="91"/>
      <c r="AS6" s="89"/>
      <c r="AT6" s="92"/>
      <c r="AU6" s="93"/>
      <c r="AV6" s="67"/>
      <c r="AW6" s="68"/>
      <c r="AX6" s="68"/>
      <c r="AY6" s="82"/>
    </row>
    <row r="7" spans="3:51" x14ac:dyDescent="0.25">
      <c r="C7" s="47">
        <v>700</v>
      </c>
      <c r="D7" s="47">
        <v>3300</v>
      </c>
      <c r="E7" s="32">
        <v>44777</v>
      </c>
      <c r="F7" s="55">
        <v>5037.67</v>
      </c>
      <c r="G7" s="22">
        <v>2760</v>
      </c>
      <c r="H7" s="23">
        <f t="shared" si="0"/>
        <v>13903969.200000001</v>
      </c>
      <c r="I7" s="24">
        <f t="shared" si="1"/>
        <v>9568.9199999999255</v>
      </c>
      <c r="J7" s="36"/>
      <c r="K7" s="103"/>
      <c r="L7" s="71"/>
      <c r="M7" s="71"/>
      <c r="N7" s="71"/>
      <c r="O7" s="48"/>
      <c r="P7" s="49"/>
      <c r="Q7" s="66"/>
      <c r="R7" s="85"/>
      <c r="S7" s="85"/>
      <c r="T7" s="85"/>
      <c r="U7" s="68"/>
      <c r="V7" s="68"/>
      <c r="W7" s="86"/>
      <c r="X7" s="87"/>
      <c r="Y7" s="84"/>
      <c r="Z7" s="66"/>
      <c r="AA7" s="81"/>
      <c r="AB7" s="85"/>
      <c r="AC7" s="85"/>
      <c r="AD7" s="68"/>
      <c r="AE7" s="68"/>
      <c r="AF7" s="86"/>
      <c r="AG7" s="87"/>
      <c r="AH7" s="82"/>
      <c r="AI7" s="66"/>
      <c r="AJ7" s="88"/>
      <c r="AK7" s="88"/>
      <c r="AL7" s="88"/>
      <c r="AM7" s="88"/>
      <c r="AN7" s="89"/>
      <c r="AO7" s="89"/>
      <c r="AP7" s="90"/>
      <c r="AQ7" s="89"/>
      <c r="AR7" s="91"/>
      <c r="AS7" s="89"/>
      <c r="AT7" s="92"/>
      <c r="AU7" s="93"/>
      <c r="AV7" s="67"/>
      <c r="AW7" s="68"/>
      <c r="AX7" s="68"/>
      <c r="AY7" s="82"/>
    </row>
    <row r="8" spans="3:51" x14ac:dyDescent="0.25">
      <c r="C8" s="47">
        <v>700</v>
      </c>
      <c r="D8" s="47">
        <v>2900</v>
      </c>
      <c r="E8" s="32">
        <v>44778</v>
      </c>
      <c r="F8" s="55">
        <f>'[3]Agustos 2022 '!$F$8</f>
        <v>5041.098</v>
      </c>
      <c r="G8" s="22">
        <v>2760</v>
      </c>
      <c r="H8" s="23">
        <f>G8*F8</f>
        <v>13913430.48</v>
      </c>
      <c r="I8" s="24">
        <f t="shared" si="1"/>
        <v>9461.2799999993294</v>
      </c>
      <c r="J8" s="36"/>
      <c r="K8" s="103"/>
      <c r="L8" s="71"/>
      <c r="M8" s="71"/>
      <c r="N8" s="71"/>
      <c r="O8" s="48"/>
      <c r="P8" s="49"/>
      <c r="Q8" s="66"/>
      <c r="R8" s="85"/>
      <c r="S8" s="85"/>
      <c r="T8" s="85"/>
      <c r="U8" s="68"/>
      <c r="V8" s="68"/>
      <c r="W8" s="86"/>
      <c r="X8" s="87"/>
      <c r="Y8" s="84"/>
      <c r="Z8" s="66"/>
      <c r="AA8" s="81"/>
      <c r="AB8" s="85"/>
      <c r="AC8" s="85"/>
      <c r="AD8" s="68"/>
      <c r="AE8" s="68"/>
      <c r="AF8" s="86"/>
      <c r="AG8" s="87"/>
      <c r="AH8" s="82"/>
      <c r="AI8" s="66"/>
      <c r="AJ8" s="88"/>
      <c r="AK8" s="88"/>
      <c r="AL8" s="88"/>
      <c r="AM8" s="88"/>
      <c r="AN8" s="89"/>
      <c r="AO8" s="89"/>
      <c r="AP8" s="90"/>
      <c r="AQ8" s="89"/>
      <c r="AR8" s="91"/>
      <c r="AS8" s="89"/>
      <c r="AT8" s="92"/>
      <c r="AU8" s="93"/>
      <c r="AV8" s="67"/>
      <c r="AW8" s="68"/>
      <c r="AX8" s="68"/>
      <c r="AY8" s="82"/>
    </row>
    <row r="9" spans="3:51" x14ac:dyDescent="0.25">
      <c r="C9" s="47">
        <v>1500</v>
      </c>
      <c r="D9" s="47">
        <v>2600</v>
      </c>
      <c r="E9" s="32">
        <v>44779</v>
      </c>
      <c r="F9" s="55">
        <f>'[3]Agustos 2022 '!$F$9</f>
        <v>5044.9139999999998</v>
      </c>
      <c r="G9" s="22">
        <v>2760</v>
      </c>
      <c r="H9" s="23">
        <f t="shared" si="0"/>
        <v>13923962.639999999</v>
      </c>
      <c r="I9" s="24">
        <f t="shared" si="1"/>
        <v>10532.159999998286</v>
      </c>
      <c r="J9" s="36"/>
      <c r="K9" s="103"/>
      <c r="L9" s="71"/>
      <c r="M9" s="71"/>
      <c r="N9" s="71"/>
      <c r="O9" s="48"/>
      <c r="P9" s="49"/>
      <c r="Q9" s="66"/>
      <c r="R9" s="85"/>
      <c r="S9" s="85"/>
      <c r="T9" s="85"/>
      <c r="U9" s="68"/>
      <c r="V9" s="68"/>
      <c r="W9" s="86"/>
      <c r="X9" s="87"/>
      <c r="Y9" s="84"/>
      <c r="Z9" s="66"/>
      <c r="AA9" s="81"/>
      <c r="AB9" s="85"/>
      <c r="AC9" s="85"/>
      <c r="AD9" s="68"/>
      <c r="AE9" s="68"/>
      <c r="AF9" s="86"/>
      <c r="AG9" s="87"/>
      <c r="AH9" s="82"/>
      <c r="AI9" s="66"/>
      <c r="AJ9" s="88"/>
      <c r="AK9" s="88"/>
      <c r="AL9" s="88"/>
      <c r="AM9" s="88"/>
      <c r="AN9" s="89"/>
      <c r="AO9" s="89"/>
      <c r="AP9" s="90"/>
      <c r="AQ9" s="89"/>
      <c r="AR9" s="91"/>
      <c r="AS9" s="89"/>
      <c r="AT9" s="92"/>
      <c r="AU9" s="93"/>
      <c r="AV9" s="67"/>
      <c r="AW9" s="68"/>
      <c r="AX9" s="68"/>
      <c r="AY9" s="82"/>
    </row>
    <row r="10" spans="3:51" x14ac:dyDescent="0.25">
      <c r="C10" s="47">
        <v>1900</v>
      </c>
      <c r="D10" s="47">
        <v>2700</v>
      </c>
      <c r="E10" s="32">
        <v>44780</v>
      </c>
      <c r="F10" s="55">
        <f>'[3]Agustos 2022 '!$F$10</f>
        <v>5049.03</v>
      </c>
      <c r="G10" s="22">
        <v>2760</v>
      </c>
      <c r="H10" s="23">
        <f t="shared" si="0"/>
        <v>13935322.799999999</v>
      </c>
      <c r="I10" s="24">
        <f t="shared" si="1"/>
        <v>11360.160000000149</v>
      </c>
      <c r="J10" s="36"/>
      <c r="K10" s="103"/>
      <c r="L10" s="71"/>
      <c r="M10" s="71"/>
      <c r="N10" s="71"/>
      <c r="O10" s="48"/>
      <c r="P10" s="49"/>
      <c r="Q10" s="66"/>
      <c r="R10" s="85"/>
      <c r="S10" s="85"/>
      <c r="T10" s="85"/>
      <c r="U10" s="68"/>
      <c r="V10" s="68"/>
      <c r="W10" s="86"/>
      <c r="X10" s="87"/>
      <c r="Y10" s="84"/>
      <c r="Z10" s="66"/>
      <c r="AA10" s="81"/>
      <c r="AB10" s="85"/>
      <c r="AC10" s="85"/>
      <c r="AD10" s="68"/>
      <c r="AE10" s="68"/>
      <c r="AF10" s="86"/>
      <c r="AG10" s="87"/>
      <c r="AH10" s="82"/>
      <c r="AI10" s="66"/>
      <c r="AJ10" s="88"/>
      <c r="AK10" s="88"/>
      <c r="AL10" s="88"/>
      <c r="AM10" s="88"/>
      <c r="AN10" s="89"/>
      <c r="AO10" s="89"/>
      <c r="AP10" s="90"/>
      <c r="AQ10" s="89"/>
      <c r="AR10" s="91"/>
      <c r="AS10" s="89"/>
      <c r="AT10" s="92"/>
      <c r="AU10" s="93"/>
      <c r="AV10" s="67"/>
      <c r="AW10" s="68"/>
      <c r="AX10" s="68"/>
      <c r="AY10" s="82"/>
    </row>
    <row r="11" spans="3:51" x14ac:dyDescent="0.25">
      <c r="C11" s="47">
        <v>2200</v>
      </c>
      <c r="D11" s="47">
        <v>2700</v>
      </c>
      <c r="E11" s="32">
        <v>44781</v>
      </c>
      <c r="F11" s="55">
        <v>5053.4430000000002</v>
      </c>
      <c r="G11" s="22">
        <v>2760</v>
      </c>
      <c r="H11" s="23">
        <f t="shared" si="0"/>
        <v>13947502.68</v>
      </c>
      <c r="I11" s="24">
        <f t="shared" si="1"/>
        <v>12179.88000000082</v>
      </c>
      <c r="J11" s="36"/>
      <c r="K11" s="103"/>
      <c r="L11" s="71"/>
      <c r="M11" s="71"/>
      <c r="N11" s="71"/>
      <c r="O11" s="48"/>
      <c r="P11" s="49"/>
      <c r="Q11" s="66"/>
      <c r="R11" s="85"/>
      <c r="S11" s="85"/>
      <c r="T11" s="85"/>
      <c r="U11" s="68"/>
      <c r="V11" s="68"/>
      <c r="W11" s="86"/>
      <c r="X11" s="87"/>
      <c r="Y11" s="84"/>
      <c r="Z11" s="66"/>
      <c r="AA11" s="81"/>
      <c r="AB11" s="85"/>
      <c r="AC11" s="85"/>
      <c r="AD11" s="68"/>
      <c r="AE11" s="68"/>
      <c r="AF11" s="86"/>
      <c r="AG11" s="87"/>
      <c r="AH11" s="82"/>
      <c r="AI11" s="66"/>
      <c r="AJ11" s="88"/>
      <c r="AK11" s="88"/>
      <c r="AL11" s="88"/>
      <c r="AM11" s="88"/>
      <c r="AN11" s="89"/>
      <c r="AO11" s="89"/>
      <c r="AP11" s="90"/>
      <c r="AQ11" s="89"/>
      <c r="AR11" s="91"/>
      <c r="AS11" s="89"/>
      <c r="AT11" s="92"/>
      <c r="AU11" s="93"/>
      <c r="AV11" s="67"/>
      <c r="AW11" s="68"/>
      <c r="AX11" s="68"/>
      <c r="AY11" s="82"/>
    </row>
    <row r="12" spans="3:51" x14ac:dyDescent="0.25">
      <c r="C12" s="47">
        <v>2600</v>
      </c>
      <c r="D12" s="47">
        <v>2700</v>
      </c>
      <c r="E12" s="32">
        <v>44782</v>
      </c>
      <c r="F12" s="55">
        <v>5057.4399999999996</v>
      </c>
      <c r="G12" s="22">
        <v>2760</v>
      </c>
      <c r="H12" s="23">
        <f>G12*F12</f>
        <v>13958534.399999999</v>
      </c>
      <c r="I12" s="24">
        <f t="shared" si="1"/>
        <v>11031.719999998808</v>
      </c>
      <c r="J12" s="36"/>
      <c r="K12" s="103"/>
      <c r="L12" s="71"/>
      <c r="M12" s="71"/>
      <c r="N12" s="71"/>
      <c r="O12" s="48"/>
      <c r="P12" s="49"/>
      <c r="Q12" s="66"/>
      <c r="R12" s="85"/>
      <c r="S12" s="85"/>
      <c r="T12" s="85"/>
      <c r="U12" s="68"/>
      <c r="V12" s="68"/>
      <c r="W12" s="86"/>
      <c r="X12" s="87"/>
      <c r="Y12" s="84"/>
      <c r="Z12" s="66"/>
      <c r="AA12" s="94"/>
      <c r="AB12" s="85"/>
      <c r="AC12" s="85"/>
      <c r="AD12" s="68"/>
      <c r="AE12" s="68"/>
      <c r="AF12" s="86"/>
      <c r="AG12" s="87"/>
      <c r="AH12" s="82"/>
      <c r="AI12" s="66"/>
      <c r="AJ12" s="88"/>
      <c r="AK12" s="88"/>
      <c r="AL12" s="88"/>
      <c r="AM12" s="88"/>
      <c r="AN12" s="89"/>
      <c r="AO12" s="89"/>
      <c r="AP12" s="90"/>
      <c r="AQ12" s="89"/>
      <c r="AR12" s="91"/>
      <c r="AS12" s="89"/>
      <c r="AT12" s="92"/>
      <c r="AU12" s="93"/>
      <c r="AV12" s="67"/>
      <c r="AW12" s="68"/>
      <c r="AX12" s="68"/>
      <c r="AY12" s="82"/>
    </row>
    <row r="13" spans="3:51" x14ac:dyDescent="0.25">
      <c r="C13" s="47">
        <v>1500</v>
      </c>
      <c r="D13" s="47">
        <v>2700</v>
      </c>
      <c r="E13" s="32">
        <v>44783</v>
      </c>
      <c r="F13" s="55">
        <v>5061.8190000000004</v>
      </c>
      <c r="G13" s="22">
        <v>2760</v>
      </c>
      <c r="H13" s="23">
        <f t="shared" si="0"/>
        <v>13970620.440000001</v>
      </c>
      <c r="I13" s="24">
        <f t="shared" si="1"/>
        <v>12086.040000002831</v>
      </c>
      <c r="J13" s="36"/>
      <c r="K13" s="103"/>
      <c r="L13" s="71"/>
      <c r="M13" s="71"/>
      <c r="N13" s="71"/>
      <c r="O13" s="48"/>
      <c r="P13" s="49"/>
      <c r="Q13" s="66"/>
      <c r="R13" s="85"/>
      <c r="S13" s="85"/>
      <c r="T13" s="85"/>
      <c r="U13" s="68"/>
      <c r="V13" s="68"/>
      <c r="W13" s="86"/>
      <c r="X13" s="87"/>
      <c r="Y13" s="84"/>
      <c r="Z13" s="66"/>
      <c r="AA13" s="81"/>
      <c r="AB13" s="85"/>
      <c r="AC13" s="85"/>
      <c r="AD13" s="68"/>
      <c r="AE13" s="68"/>
      <c r="AF13" s="86"/>
      <c r="AG13" s="87"/>
      <c r="AH13" s="82"/>
      <c r="AI13" s="66"/>
      <c r="AJ13" s="88"/>
      <c r="AK13" s="88"/>
      <c r="AL13" s="88"/>
      <c r="AM13" s="88"/>
      <c r="AN13" s="89"/>
      <c r="AO13" s="89"/>
      <c r="AP13" s="90"/>
      <c r="AQ13" s="89"/>
      <c r="AR13" s="91"/>
      <c r="AS13" s="89"/>
      <c r="AT13" s="92"/>
      <c r="AU13" s="93"/>
      <c r="AV13" s="67"/>
      <c r="AW13" s="68"/>
      <c r="AX13" s="68"/>
      <c r="AY13" s="82"/>
    </row>
    <row r="14" spans="3:51" x14ac:dyDescent="0.25">
      <c r="C14" s="47">
        <v>1800</v>
      </c>
      <c r="D14" s="47">
        <v>2700</v>
      </c>
      <c r="E14" s="32">
        <v>44784</v>
      </c>
      <c r="F14" s="55">
        <v>5066.085</v>
      </c>
      <c r="G14" s="22">
        <v>2760</v>
      </c>
      <c r="H14" s="23">
        <f t="shared" si="0"/>
        <v>13982394.6</v>
      </c>
      <c r="I14" s="24">
        <f t="shared" si="1"/>
        <v>11774.159999998286</v>
      </c>
      <c r="J14" s="36"/>
      <c r="K14" s="103"/>
      <c r="L14" s="71"/>
      <c r="M14" s="71"/>
      <c r="N14" s="71"/>
      <c r="O14" s="48"/>
      <c r="P14" s="30"/>
      <c r="Q14" s="66"/>
      <c r="R14" s="85"/>
      <c r="S14" s="85"/>
      <c r="T14" s="85"/>
      <c r="U14" s="68"/>
      <c r="V14" s="68"/>
      <c r="W14" s="86"/>
      <c r="X14" s="87"/>
      <c r="Y14" s="84"/>
      <c r="Z14" s="66"/>
      <c r="AA14" s="81"/>
      <c r="AB14" s="85"/>
      <c r="AC14" s="85"/>
      <c r="AD14" s="68"/>
      <c r="AE14" s="68"/>
      <c r="AF14" s="86"/>
      <c r="AG14" s="87"/>
      <c r="AH14" s="82"/>
      <c r="AI14" s="66"/>
      <c r="AJ14" s="88"/>
      <c r="AK14" s="88"/>
      <c r="AL14" s="88"/>
      <c r="AM14" s="88"/>
      <c r="AN14" s="89"/>
      <c r="AO14" s="89"/>
      <c r="AP14" s="90"/>
      <c r="AQ14" s="89"/>
      <c r="AR14" s="91"/>
      <c r="AS14" s="89"/>
      <c r="AT14" s="92"/>
      <c r="AU14" s="93"/>
      <c r="AV14" s="67"/>
      <c r="AW14" s="68"/>
      <c r="AX14" s="68"/>
      <c r="AY14" s="82"/>
    </row>
    <row r="15" spans="3:51" x14ac:dyDescent="0.25">
      <c r="C15" s="47">
        <v>1400</v>
      </c>
      <c r="D15" s="47">
        <v>2800</v>
      </c>
      <c r="E15" s="32">
        <v>44785</v>
      </c>
      <c r="F15" s="55">
        <v>5069.799</v>
      </c>
      <c r="G15" s="22">
        <v>2760</v>
      </c>
      <c r="H15" s="23">
        <f t="shared" si="0"/>
        <v>13992645.24</v>
      </c>
      <c r="I15" s="24">
        <f t="shared" si="1"/>
        <v>10250.640000000596</v>
      </c>
      <c r="J15" s="36"/>
      <c r="K15" s="103"/>
      <c r="L15" s="71"/>
      <c r="M15" s="71"/>
      <c r="N15" s="71"/>
      <c r="O15" s="48"/>
      <c r="P15" s="30"/>
      <c r="Q15" s="66"/>
      <c r="R15" s="85"/>
      <c r="S15" s="85"/>
      <c r="T15" s="85"/>
      <c r="U15" s="68"/>
      <c r="V15" s="68"/>
      <c r="W15" s="95"/>
      <c r="X15" s="87"/>
      <c r="Y15" s="84"/>
      <c r="Z15" s="66"/>
      <c r="AA15" s="81"/>
      <c r="AB15" s="85"/>
      <c r="AC15" s="85"/>
      <c r="AD15" s="68"/>
      <c r="AE15" s="68"/>
      <c r="AF15" s="86"/>
      <c r="AG15" s="87"/>
      <c r="AH15" s="82"/>
      <c r="AI15" s="66"/>
      <c r="AJ15" s="88"/>
      <c r="AK15" s="88"/>
      <c r="AL15" s="88"/>
      <c r="AM15" s="88"/>
      <c r="AN15" s="89"/>
      <c r="AO15" s="89"/>
      <c r="AP15" s="90"/>
      <c r="AQ15" s="89"/>
      <c r="AR15" s="91"/>
      <c r="AS15" s="89"/>
      <c r="AT15" s="92"/>
      <c r="AU15" s="93"/>
      <c r="AV15" s="67"/>
      <c r="AW15" s="68"/>
      <c r="AX15" s="68"/>
      <c r="AY15" s="82"/>
    </row>
    <row r="16" spans="3:51" x14ac:dyDescent="0.25">
      <c r="C16" s="47">
        <v>1600</v>
      </c>
      <c r="D16" s="47">
        <v>2900</v>
      </c>
      <c r="E16" s="32">
        <v>44786</v>
      </c>
      <c r="F16" s="55">
        <v>5073.8159999999998</v>
      </c>
      <c r="G16" s="22">
        <v>2760</v>
      </c>
      <c r="H16" s="23">
        <f t="shared" si="0"/>
        <v>14003732.16</v>
      </c>
      <c r="I16" s="24">
        <f t="shared" si="1"/>
        <v>11086.919999999925</v>
      </c>
      <c r="J16" s="36"/>
      <c r="K16" s="103"/>
      <c r="L16" s="71"/>
      <c r="M16" s="71"/>
      <c r="N16" s="71"/>
      <c r="O16" s="48"/>
      <c r="P16" s="30"/>
      <c r="Q16" s="66"/>
      <c r="R16" s="85"/>
      <c r="S16" s="85"/>
      <c r="T16" s="85"/>
      <c r="U16" s="68"/>
      <c r="V16" s="68"/>
      <c r="W16" s="95"/>
      <c r="X16" s="87"/>
      <c r="Y16" s="84"/>
      <c r="Z16" s="66"/>
      <c r="AA16" s="81"/>
      <c r="AB16" s="85"/>
      <c r="AC16" s="85"/>
      <c r="AD16" s="68"/>
      <c r="AE16" s="68"/>
      <c r="AF16" s="86"/>
      <c r="AG16" s="87"/>
      <c r="AH16" s="82"/>
      <c r="AI16" s="66"/>
      <c r="AJ16" s="88"/>
      <c r="AK16" s="88"/>
      <c r="AL16" s="88"/>
      <c r="AM16" s="88"/>
      <c r="AN16" s="89"/>
      <c r="AO16" s="89"/>
      <c r="AP16" s="90"/>
      <c r="AQ16" s="89"/>
      <c r="AR16" s="91"/>
      <c r="AS16" s="89"/>
      <c r="AT16" s="92"/>
      <c r="AU16" s="93"/>
      <c r="AV16" s="67"/>
      <c r="AW16" s="68"/>
      <c r="AX16" s="68"/>
      <c r="AY16" s="82"/>
    </row>
    <row r="17" spans="3:51" x14ac:dyDescent="0.25">
      <c r="C17" s="47">
        <v>1700</v>
      </c>
      <c r="D17" s="47">
        <v>3000</v>
      </c>
      <c r="E17" s="32">
        <v>44787</v>
      </c>
      <c r="F17" s="55">
        <v>5077.9920000000002</v>
      </c>
      <c r="G17" s="22">
        <v>2760</v>
      </c>
      <c r="H17" s="23">
        <f t="shared" si="0"/>
        <v>14015257.92</v>
      </c>
      <c r="I17" s="24">
        <f t="shared" si="1"/>
        <v>11525.759999999776</v>
      </c>
      <c r="J17" s="36"/>
      <c r="K17" s="103"/>
      <c r="L17" s="71"/>
      <c r="M17" s="71"/>
      <c r="N17" s="71"/>
      <c r="O17" s="48"/>
      <c r="P17" s="30"/>
      <c r="Q17" s="66"/>
      <c r="R17" s="85"/>
      <c r="S17" s="85"/>
      <c r="T17" s="85"/>
      <c r="U17" s="68"/>
      <c r="V17" s="68"/>
      <c r="W17" s="86"/>
      <c r="X17" s="87"/>
      <c r="Y17" s="84"/>
      <c r="Z17" s="66"/>
      <c r="AA17" s="81"/>
      <c r="AB17" s="85"/>
      <c r="AC17" s="85"/>
      <c r="AD17" s="68"/>
      <c r="AE17" s="68"/>
      <c r="AF17" s="86"/>
      <c r="AG17" s="87"/>
      <c r="AH17" s="82"/>
      <c r="AI17" s="66"/>
      <c r="AJ17" s="88"/>
      <c r="AK17" s="88"/>
      <c r="AL17" s="88"/>
      <c r="AM17" s="88"/>
      <c r="AN17" s="89"/>
      <c r="AO17" s="89"/>
      <c r="AP17" s="90"/>
      <c r="AQ17" s="89"/>
      <c r="AR17" s="91"/>
      <c r="AS17" s="89"/>
      <c r="AT17" s="92"/>
      <c r="AU17" s="93"/>
      <c r="AV17" s="67"/>
      <c r="AW17" s="68"/>
      <c r="AX17" s="68"/>
      <c r="AY17" s="82"/>
    </row>
    <row r="18" spans="3:51" x14ac:dyDescent="0.25">
      <c r="C18" s="47">
        <v>1100</v>
      </c>
      <c r="D18" s="47">
        <v>3000</v>
      </c>
      <c r="E18" s="32">
        <v>44788</v>
      </c>
      <c r="F18" s="55">
        <f>'[3]Agustos 2022 '!$F$18</f>
        <v>5082.0649999999996</v>
      </c>
      <c r="G18" s="22">
        <v>2760</v>
      </c>
      <c r="H18" s="23">
        <f t="shared" si="0"/>
        <v>14026499.399999999</v>
      </c>
      <c r="I18" s="24">
        <f t="shared" si="1"/>
        <v>11241.479999998584</v>
      </c>
      <c r="J18" s="36"/>
      <c r="K18" s="103"/>
      <c r="L18" s="71"/>
      <c r="M18" s="71"/>
      <c r="N18" s="71"/>
      <c r="O18" s="48"/>
      <c r="P18" s="30"/>
      <c r="Q18" s="66"/>
      <c r="R18" s="85"/>
      <c r="S18" s="85"/>
      <c r="T18" s="85"/>
      <c r="U18" s="68"/>
      <c r="V18" s="68"/>
      <c r="W18" s="86"/>
      <c r="X18" s="87"/>
      <c r="Y18" s="84"/>
      <c r="Z18" s="66"/>
      <c r="AA18" s="81"/>
      <c r="AB18" s="85"/>
      <c r="AC18" s="85"/>
      <c r="AD18" s="68"/>
      <c r="AE18" s="68"/>
      <c r="AF18" s="86"/>
      <c r="AG18" s="87"/>
      <c r="AH18" s="82"/>
      <c r="AI18" s="66"/>
      <c r="AJ18" s="88"/>
      <c r="AK18" s="88"/>
      <c r="AL18" s="88"/>
      <c r="AM18" s="88"/>
      <c r="AN18" s="89"/>
      <c r="AO18" s="89"/>
      <c r="AP18" s="90"/>
      <c r="AQ18" s="89"/>
      <c r="AR18" s="91"/>
      <c r="AS18" s="89"/>
      <c r="AT18" s="92"/>
      <c r="AU18" s="93"/>
      <c r="AV18" s="67"/>
      <c r="AW18" s="68"/>
      <c r="AX18" s="68"/>
      <c r="AY18" s="82"/>
    </row>
    <row r="19" spans="3:51" x14ac:dyDescent="0.25">
      <c r="C19" s="47">
        <v>500</v>
      </c>
      <c r="D19" s="47">
        <v>3500</v>
      </c>
      <c r="E19" s="32">
        <v>44789</v>
      </c>
      <c r="F19" s="55">
        <f>'[3]Agustos 2022 '!$F$19</f>
        <v>5085.4530000000004</v>
      </c>
      <c r="G19" s="22">
        <v>2760</v>
      </c>
      <c r="H19" s="23">
        <f>G19*F19</f>
        <v>14035850.280000001</v>
      </c>
      <c r="I19" s="24">
        <f>+(H19-H18)</f>
        <v>9350.8800000026822</v>
      </c>
      <c r="J19" s="36"/>
      <c r="K19" s="103"/>
      <c r="L19" s="71"/>
      <c r="M19" s="71"/>
      <c r="N19" s="71"/>
      <c r="O19" s="48"/>
      <c r="P19" s="30"/>
      <c r="Q19" s="66"/>
      <c r="R19" s="85"/>
      <c r="S19" s="85"/>
      <c r="T19" s="85"/>
      <c r="U19" s="68"/>
      <c r="V19" s="68"/>
      <c r="W19" s="86"/>
      <c r="X19" s="87"/>
      <c r="Y19" s="84"/>
      <c r="Z19" s="66"/>
      <c r="AA19" s="81"/>
      <c r="AB19" s="85"/>
      <c r="AC19" s="85"/>
      <c r="AD19" s="68"/>
      <c r="AE19" s="68"/>
      <c r="AF19" s="86"/>
      <c r="AG19" s="87"/>
      <c r="AH19" s="82"/>
      <c r="AI19" s="66"/>
      <c r="AJ19" s="88"/>
      <c r="AK19" s="88"/>
      <c r="AL19" s="88"/>
      <c r="AM19" s="88"/>
      <c r="AN19" s="89"/>
      <c r="AO19" s="89"/>
      <c r="AP19" s="90"/>
      <c r="AQ19" s="89"/>
      <c r="AR19" s="91"/>
      <c r="AS19" s="89"/>
      <c r="AT19" s="92"/>
      <c r="AU19" s="93"/>
      <c r="AV19" s="67"/>
      <c r="AW19" s="68"/>
      <c r="AX19" s="68"/>
      <c r="AY19" s="82"/>
    </row>
    <row r="20" spans="3:51" x14ac:dyDescent="0.25">
      <c r="C20" s="47">
        <v>500</v>
      </c>
      <c r="D20" s="47">
        <v>2700</v>
      </c>
      <c r="E20" s="32">
        <v>44790</v>
      </c>
      <c r="F20" s="55">
        <f>'[3]Agustos 2022 '!$F$20</f>
        <v>5089.3810000000003</v>
      </c>
      <c r="G20" s="22">
        <v>2760</v>
      </c>
      <c r="H20" s="23">
        <f t="shared" si="0"/>
        <v>14046691.560000001</v>
      </c>
      <c r="I20" s="24">
        <f t="shared" si="1"/>
        <v>10841.279999999329</v>
      </c>
      <c r="J20" s="36"/>
      <c r="K20" s="103"/>
      <c r="L20" s="71"/>
      <c r="M20" s="71"/>
      <c r="N20" s="71"/>
      <c r="O20" s="48"/>
      <c r="P20" s="30"/>
      <c r="Q20" s="66"/>
      <c r="R20" s="85"/>
      <c r="S20" s="85"/>
      <c r="T20" s="85"/>
      <c r="U20" s="68"/>
      <c r="V20" s="68"/>
      <c r="W20" s="86"/>
      <c r="X20" s="87"/>
      <c r="Y20" s="84"/>
      <c r="Z20" s="66"/>
      <c r="AA20" s="81"/>
      <c r="AB20" s="85"/>
      <c r="AC20" s="85"/>
      <c r="AD20" s="68"/>
      <c r="AE20" s="68"/>
      <c r="AF20" s="86"/>
      <c r="AG20" s="87"/>
      <c r="AH20" s="82"/>
      <c r="AI20" s="66"/>
      <c r="AJ20" s="88"/>
      <c r="AK20" s="88"/>
      <c r="AL20" s="88"/>
      <c r="AM20" s="88"/>
      <c r="AN20" s="89"/>
      <c r="AO20" s="89"/>
      <c r="AP20" s="90"/>
      <c r="AQ20" s="89"/>
      <c r="AR20" s="91"/>
      <c r="AS20" s="89"/>
      <c r="AT20" s="92"/>
      <c r="AU20" s="93"/>
      <c r="AV20" s="67"/>
      <c r="AW20" s="68"/>
      <c r="AX20" s="68"/>
      <c r="AY20" s="82"/>
    </row>
    <row r="21" spans="3:51" x14ac:dyDescent="0.25">
      <c r="C21" s="47">
        <v>900</v>
      </c>
      <c r="D21" s="47">
        <v>2700</v>
      </c>
      <c r="E21" s="32">
        <v>44791</v>
      </c>
      <c r="F21" s="55">
        <f>'[3]Agustos 2022 '!$F$21</f>
        <v>0</v>
      </c>
      <c r="G21" s="22">
        <v>2760</v>
      </c>
      <c r="H21" s="23">
        <f t="shared" si="0"/>
        <v>0</v>
      </c>
      <c r="I21" s="24">
        <f>+(H21-H20)</f>
        <v>-14046691.560000001</v>
      </c>
      <c r="J21" s="36"/>
      <c r="K21" s="103"/>
      <c r="L21" s="71"/>
      <c r="M21" s="71"/>
      <c r="N21" s="71"/>
      <c r="O21" s="48"/>
      <c r="P21" s="30"/>
      <c r="Q21" s="66"/>
      <c r="R21" s="85"/>
      <c r="S21" s="85"/>
      <c r="T21" s="85"/>
      <c r="U21" s="68"/>
      <c r="V21" s="68"/>
      <c r="W21" s="86"/>
      <c r="X21" s="87"/>
      <c r="Y21" s="84"/>
      <c r="Z21" s="66"/>
      <c r="AA21" s="81"/>
      <c r="AB21" s="85"/>
      <c r="AC21" s="85"/>
      <c r="AD21" s="68"/>
      <c r="AE21" s="68"/>
      <c r="AF21" s="86"/>
      <c r="AG21" s="87"/>
      <c r="AH21" s="82"/>
      <c r="AI21" s="66"/>
      <c r="AJ21" s="88"/>
      <c r="AK21" s="88"/>
      <c r="AL21" s="88"/>
      <c r="AM21" s="88"/>
      <c r="AN21" s="89"/>
      <c r="AO21" s="89"/>
      <c r="AP21" s="90"/>
      <c r="AQ21" s="89"/>
      <c r="AR21" s="91"/>
      <c r="AS21" s="89"/>
      <c r="AT21" s="92"/>
      <c r="AU21" s="93"/>
      <c r="AV21" s="67"/>
      <c r="AW21" s="68"/>
      <c r="AX21" s="68"/>
      <c r="AY21" s="82"/>
    </row>
    <row r="22" spans="3:51" x14ac:dyDescent="0.25">
      <c r="C22" s="47">
        <v>300</v>
      </c>
      <c r="D22" s="47">
        <v>2700</v>
      </c>
      <c r="E22" s="32">
        <v>44792</v>
      </c>
      <c r="F22" s="55">
        <f>'[3]Agustos 2022 '!$F$22</f>
        <v>0</v>
      </c>
      <c r="G22" s="22">
        <v>2760</v>
      </c>
      <c r="H22" s="23">
        <f t="shared" si="0"/>
        <v>0</v>
      </c>
      <c r="I22" s="24">
        <f t="shared" si="1"/>
        <v>0</v>
      </c>
      <c r="J22" s="36"/>
      <c r="K22" s="103"/>
      <c r="L22" s="71"/>
      <c r="M22" s="71"/>
      <c r="N22" s="71"/>
      <c r="O22" s="48"/>
      <c r="P22" s="30"/>
      <c r="Q22" s="66"/>
      <c r="R22" s="85"/>
      <c r="S22" s="85"/>
      <c r="T22" s="85"/>
      <c r="U22" s="68"/>
      <c r="V22" s="68"/>
      <c r="W22" s="86"/>
      <c r="X22" s="87"/>
      <c r="Y22" s="84"/>
      <c r="Z22" s="66"/>
      <c r="AA22" s="81"/>
      <c r="AB22" s="85"/>
      <c r="AC22" s="85"/>
      <c r="AD22" s="68"/>
      <c r="AE22" s="68"/>
      <c r="AF22" s="86"/>
      <c r="AG22" s="87"/>
      <c r="AH22" s="82"/>
      <c r="AI22" s="66"/>
      <c r="AJ22" s="88"/>
      <c r="AK22" s="88"/>
      <c r="AL22" s="88"/>
      <c r="AM22" s="88"/>
      <c r="AN22" s="89"/>
      <c r="AO22" s="89"/>
      <c r="AP22" s="90"/>
      <c r="AQ22" s="89"/>
      <c r="AR22" s="91"/>
      <c r="AS22" s="89"/>
      <c r="AT22" s="92"/>
      <c r="AU22" s="93"/>
      <c r="AV22" s="67"/>
      <c r="AW22" s="68"/>
      <c r="AX22" s="68"/>
      <c r="AY22" s="82"/>
    </row>
    <row r="23" spans="3:51" x14ac:dyDescent="0.25">
      <c r="C23" s="47">
        <v>300</v>
      </c>
      <c r="D23" s="47">
        <v>2700</v>
      </c>
      <c r="E23" s="32">
        <v>44793</v>
      </c>
      <c r="F23" s="55">
        <f>'[3]Agustos 2022 '!$F$23</f>
        <v>0</v>
      </c>
      <c r="G23" s="22">
        <v>2760</v>
      </c>
      <c r="H23" s="23">
        <f t="shared" si="0"/>
        <v>0</v>
      </c>
      <c r="I23" s="24">
        <f t="shared" si="1"/>
        <v>0</v>
      </c>
      <c r="J23" s="36"/>
      <c r="K23" s="103"/>
      <c r="L23" s="71"/>
      <c r="M23" s="71"/>
      <c r="N23" s="71"/>
      <c r="O23" s="48"/>
      <c r="P23" s="30"/>
      <c r="Q23" s="66"/>
      <c r="R23" s="85"/>
      <c r="S23" s="85"/>
      <c r="T23" s="85"/>
      <c r="U23" s="68"/>
      <c r="V23" s="68"/>
      <c r="W23" s="86"/>
      <c r="X23" s="87"/>
      <c r="Y23" s="84"/>
      <c r="Z23" s="66"/>
      <c r="AA23" s="81"/>
      <c r="AB23" s="85"/>
      <c r="AC23" s="85"/>
      <c r="AD23" s="68"/>
      <c r="AE23" s="68"/>
      <c r="AF23" s="86"/>
      <c r="AG23" s="87"/>
      <c r="AH23" s="82"/>
      <c r="AI23" s="66"/>
      <c r="AJ23" s="88"/>
      <c r="AK23" s="88"/>
      <c r="AL23" s="88"/>
      <c r="AM23" s="88"/>
      <c r="AN23" s="89"/>
      <c r="AO23" s="89"/>
      <c r="AP23" s="90"/>
      <c r="AQ23" s="89"/>
      <c r="AR23" s="91"/>
      <c r="AS23" s="89"/>
      <c r="AT23" s="92"/>
      <c r="AU23" s="93"/>
      <c r="AV23" s="67"/>
      <c r="AW23" s="68"/>
      <c r="AX23" s="68"/>
      <c r="AY23" s="82"/>
    </row>
    <row r="24" spans="3:51" x14ac:dyDescent="0.25">
      <c r="C24" s="47">
        <v>1800</v>
      </c>
      <c r="D24" s="47">
        <v>2700</v>
      </c>
      <c r="E24" s="32">
        <v>44794</v>
      </c>
      <c r="F24" s="55">
        <f>'[3]Agustos 2022 '!$F$24</f>
        <v>0</v>
      </c>
      <c r="G24" s="22">
        <v>2760</v>
      </c>
      <c r="H24" s="23">
        <f t="shared" si="0"/>
        <v>0</v>
      </c>
      <c r="I24" s="24">
        <f t="shared" si="1"/>
        <v>0</v>
      </c>
      <c r="J24" s="36"/>
      <c r="K24" s="103"/>
      <c r="L24" s="71"/>
      <c r="M24" s="71"/>
      <c r="N24" s="71"/>
      <c r="O24" s="48"/>
      <c r="P24" s="30"/>
      <c r="Q24" s="66"/>
      <c r="R24" s="85"/>
      <c r="S24" s="85"/>
      <c r="T24" s="85"/>
      <c r="U24" s="68"/>
      <c r="V24" s="68"/>
      <c r="W24" s="86"/>
      <c r="X24" s="87"/>
      <c r="Y24" s="84"/>
      <c r="Z24" s="66"/>
      <c r="AA24" s="81"/>
      <c r="AB24" s="85"/>
      <c r="AC24" s="85"/>
      <c r="AD24" s="68"/>
      <c r="AE24" s="68"/>
      <c r="AF24" s="86"/>
      <c r="AG24" s="87"/>
      <c r="AH24" s="82"/>
      <c r="AI24" s="66"/>
      <c r="AJ24" s="88"/>
      <c r="AK24" s="88"/>
      <c r="AL24" s="88"/>
      <c r="AM24" s="88"/>
      <c r="AN24" s="89"/>
      <c r="AO24" s="89"/>
      <c r="AP24" s="90"/>
      <c r="AQ24" s="89"/>
      <c r="AR24" s="91"/>
      <c r="AS24" s="89"/>
      <c r="AT24" s="92"/>
      <c r="AU24" s="93"/>
      <c r="AV24" s="67"/>
      <c r="AW24" s="68"/>
      <c r="AX24" s="68"/>
      <c r="AY24" s="82"/>
    </row>
    <row r="25" spans="3:51" x14ac:dyDescent="0.25">
      <c r="C25" s="47">
        <v>600</v>
      </c>
      <c r="D25" s="47">
        <v>2700</v>
      </c>
      <c r="E25" s="32">
        <v>44795</v>
      </c>
      <c r="F25" s="55">
        <f>'[3]Agustos 2022 '!$F$25</f>
        <v>0</v>
      </c>
      <c r="G25" s="22">
        <v>2760</v>
      </c>
      <c r="H25" s="23">
        <f t="shared" si="0"/>
        <v>0</v>
      </c>
      <c r="I25" s="24">
        <f t="shared" si="1"/>
        <v>0</v>
      </c>
      <c r="J25" s="36"/>
      <c r="K25" s="103"/>
      <c r="L25" s="71"/>
      <c r="M25" s="71"/>
      <c r="N25" s="71"/>
      <c r="O25" s="48"/>
      <c r="P25" s="30"/>
      <c r="Q25" s="66"/>
      <c r="R25" s="85"/>
      <c r="S25" s="85"/>
      <c r="T25" s="85"/>
      <c r="U25" s="68"/>
      <c r="V25" s="68"/>
      <c r="W25" s="86"/>
      <c r="X25" s="87"/>
      <c r="Y25" s="84"/>
      <c r="Z25" s="66"/>
      <c r="AA25" s="81"/>
      <c r="AB25" s="85"/>
      <c r="AC25" s="85"/>
      <c r="AD25" s="68"/>
      <c r="AE25" s="68"/>
      <c r="AF25" s="86"/>
      <c r="AG25" s="87"/>
      <c r="AH25" s="82"/>
      <c r="AI25" s="66"/>
      <c r="AJ25" s="88"/>
      <c r="AK25" s="88"/>
      <c r="AL25" s="88"/>
      <c r="AM25" s="88"/>
      <c r="AN25" s="89"/>
      <c r="AO25" s="89"/>
      <c r="AP25" s="90"/>
      <c r="AQ25" s="89"/>
      <c r="AR25" s="91"/>
      <c r="AS25" s="89"/>
      <c r="AT25" s="92"/>
      <c r="AU25" s="93"/>
      <c r="AV25" s="67"/>
      <c r="AW25" s="68"/>
      <c r="AX25" s="68"/>
      <c r="AY25" s="82"/>
    </row>
    <row r="26" spans="3:51" x14ac:dyDescent="0.25">
      <c r="C26" s="47">
        <v>1100</v>
      </c>
      <c r="D26" s="47">
        <v>2700</v>
      </c>
      <c r="E26" s="32">
        <v>44796</v>
      </c>
      <c r="F26" s="55">
        <f>'[3]Agustos 2022 '!$F$26</f>
        <v>0</v>
      </c>
      <c r="G26" s="22">
        <v>2760</v>
      </c>
      <c r="H26" s="23">
        <f t="shared" si="0"/>
        <v>0</v>
      </c>
      <c r="I26" s="24">
        <f t="shared" si="1"/>
        <v>0</v>
      </c>
      <c r="J26" s="36"/>
      <c r="K26" s="103"/>
      <c r="L26" s="71"/>
      <c r="M26" s="71"/>
      <c r="N26" s="103"/>
      <c r="O26" s="50"/>
      <c r="P26" s="51"/>
      <c r="Q26" s="66"/>
      <c r="R26" s="85"/>
      <c r="S26" s="96"/>
      <c r="T26" s="85"/>
      <c r="U26" s="68"/>
      <c r="V26" s="97"/>
      <c r="W26" s="98"/>
      <c r="X26" s="87"/>
      <c r="Y26" s="84"/>
      <c r="Z26" s="66"/>
      <c r="AA26" s="81"/>
      <c r="AB26" s="85"/>
      <c r="AC26" s="85"/>
      <c r="AD26" s="68"/>
      <c r="AE26" s="68"/>
      <c r="AF26" s="98"/>
      <c r="AG26" s="87"/>
      <c r="AH26" s="82"/>
      <c r="AI26" s="66"/>
      <c r="AJ26" s="88"/>
      <c r="AK26" s="88"/>
      <c r="AL26" s="88"/>
      <c r="AM26" s="88"/>
      <c r="AN26" s="99"/>
      <c r="AO26" s="99"/>
      <c r="AP26" s="90"/>
      <c r="AQ26" s="99"/>
      <c r="AR26" s="91"/>
      <c r="AS26" s="99"/>
      <c r="AT26" s="92"/>
      <c r="AU26" s="93"/>
      <c r="AV26" s="100"/>
      <c r="AW26" s="68"/>
      <c r="AX26" s="68"/>
      <c r="AY26" s="82"/>
    </row>
    <row r="27" spans="3:51" x14ac:dyDescent="0.25">
      <c r="C27" s="47">
        <v>700</v>
      </c>
      <c r="D27" s="47">
        <v>3000</v>
      </c>
      <c r="E27" s="32">
        <v>44797</v>
      </c>
      <c r="F27" s="55">
        <f>'[3]Agustos 2022 '!$F$27</f>
        <v>0</v>
      </c>
      <c r="G27" s="22">
        <v>2760</v>
      </c>
      <c r="H27" s="23">
        <f t="shared" si="0"/>
        <v>0</v>
      </c>
      <c r="I27" s="24">
        <f t="shared" si="1"/>
        <v>0</v>
      </c>
      <c r="J27" s="36"/>
      <c r="K27" s="103"/>
      <c r="L27" s="71"/>
      <c r="M27" s="71"/>
      <c r="N27" s="103"/>
      <c r="O27" s="50"/>
      <c r="P27" s="51"/>
      <c r="Q27" s="66"/>
      <c r="R27" s="96"/>
      <c r="S27" s="96"/>
      <c r="T27" s="85"/>
      <c r="U27" s="68"/>
      <c r="V27" s="97"/>
      <c r="W27" s="98"/>
      <c r="X27" s="87"/>
      <c r="Y27" s="84"/>
      <c r="Z27" s="66"/>
      <c r="AA27" s="81"/>
      <c r="AB27" s="85"/>
      <c r="AC27" s="85"/>
      <c r="AD27" s="68"/>
      <c r="AE27" s="68"/>
      <c r="AF27" s="98"/>
      <c r="AG27" s="87"/>
      <c r="AH27" s="82"/>
      <c r="AI27" s="66"/>
      <c r="AJ27" s="88"/>
      <c r="AK27" s="88"/>
      <c r="AL27" s="101"/>
      <c r="AM27" s="101"/>
      <c r="AN27" s="99"/>
      <c r="AO27" s="99"/>
      <c r="AP27" s="90"/>
      <c r="AQ27" s="99"/>
      <c r="AR27" s="91"/>
      <c r="AS27" s="99"/>
      <c r="AT27" s="92"/>
      <c r="AU27" s="93"/>
      <c r="AV27" s="100"/>
      <c r="AW27" s="68"/>
      <c r="AX27" s="68"/>
      <c r="AY27" s="82"/>
    </row>
    <row r="28" spans="3:51" x14ac:dyDescent="0.25">
      <c r="C28" s="47">
        <v>700</v>
      </c>
      <c r="D28" s="47">
        <v>3000</v>
      </c>
      <c r="E28" s="32">
        <v>44798</v>
      </c>
      <c r="F28" s="55">
        <f>'[3]Agustos 2022 '!$F$28</f>
        <v>0</v>
      </c>
      <c r="G28" s="22">
        <v>2760</v>
      </c>
      <c r="H28" s="23">
        <f t="shared" si="0"/>
        <v>0</v>
      </c>
      <c r="I28" s="24">
        <f t="shared" si="1"/>
        <v>0</v>
      </c>
      <c r="J28" s="36"/>
      <c r="K28" s="103"/>
      <c r="L28" s="71"/>
      <c r="M28" s="71"/>
      <c r="N28" s="103"/>
      <c r="O28" s="50"/>
      <c r="P28" s="51"/>
      <c r="Q28" s="66"/>
      <c r="R28" s="96"/>
      <c r="S28" s="96"/>
      <c r="T28" s="85"/>
      <c r="U28" s="68"/>
      <c r="V28" s="97"/>
      <c r="W28" s="98"/>
      <c r="X28" s="87"/>
      <c r="Y28" s="84"/>
      <c r="Z28" s="66"/>
      <c r="AA28" s="81"/>
      <c r="AB28" s="85"/>
      <c r="AC28" s="85"/>
      <c r="AD28" s="68"/>
      <c r="AE28" s="68"/>
      <c r="AF28" s="98"/>
      <c r="AG28" s="87"/>
      <c r="AH28" s="82"/>
      <c r="AI28" s="66"/>
      <c r="AJ28" s="88"/>
      <c r="AK28" s="101"/>
      <c r="AL28" s="101"/>
      <c r="AM28" s="101"/>
      <c r="AN28" s="99"/>
      <c r="AO28" s="99"/>
      <c r="AP28" s="90"/>
      <c r="AQ28" s="99"/>
      <c r="AR28" s="91"/>
      <c r="AS28" s="99"/>
      <c r="AT28" s="92"/>
      <c r="AU28" s="93"/>
      <c r="AV28" s="100"/>
      <c r="AW28" s="68"/>
      <c r="AX28" s="68"/>
      <c r="AY28" s="82"/>
    </row>
    <row r="29" spans="3:51" x14ac:dyDescent="0.25">
      <c r="C29" s="47">
        <v>900</v>
      </c>
      <c r="D29" s="47">
        <v>3000</v>
      </c>
      <c r="E29" s="32">
        <v>44799</v>
      </c>
      <c r="F29" s="55">
        <f>'[3]Agustos 2022 '!$F$7</f>
        <v>5037.67</v>
      </c>
      <c r="G29" s="22">
        <v>2760</v>
      </c>
      <c r="H29" s="23">
        <f t="shared" si="0"/>
        <v>13903969.200000001</v>
      </c>
      <c r="I29" s="24">
        <f t="shared" si="1"/>
        <v>13903969.200000001</v>
      </c>
      <c r="J29" s="36"/>
      <c r="K29" s="103"/>
      <c r="L29" s="71"/>
      <c r="M29" s="71"/>
      <c r="N29" s="103"/>
      <c r="O29" s="50"/>
      <c r="P29" s="51"/>
      <c r="Q29" s="66"/>
      <c r="R29" s="96"/>
      <c r="S29" s="96"/>
      <c r="T29" s="85"/>
      <c r="U29" s="97"/>
      <c r="V29" s="97"/>
      <c r="W29" s="98"/>
      <c r="X29" s="87"/>
      <c r="Y29" s="84"/>
      <c r="Z29" s="66"/>
      <c r="AA29" s="81"/>
      <c r="AB29" s="85"/>
      <c r="AC29" s="85"/>
      <c r="AD29" s="68"/>
      <c r="AE29" s="68"/>
      <c r="AF29" s="98"/>
      <c r="AG29" s="87"/>
      <c r="AH29" s="82"/>
      <c r="AI29" s="66"/>
      <c r="AJ29" s="88"/>
      <c r="AK29" s="101"/>
      <c r="AL29" s="101"/>
      <c r="AM29" s="101"/>
      <c r="AN29" s="99"/>
      <c r="AO29" s="99"/>
      <c r="AP29" s="90"/>
      <c r="AQ29" s="99"/>
      <c r="AR29" s="91"/>
      <c r="AS29" s="99"/>
      <c r="AT29" s="92"/>
      <c r="AU29" s="93"/>
      <c r="AV29" s="100"/>
      <c r="AW29" s="68"/>
      <c r="AX29" s="68"/>
      <c r="AY29" s="82"/>
    </row>
    <row r="30" spans="3:51" x14ac:dyDescent="0.25">
      <c r="C30" s="47">
        <v>800</v>
      </c>
      <c r="D30" s="47">
        <v>3000</v>
      </c>
      <c r="E30" s="32">
        <v>44800</v>
      </c>
      <c r="F30" s="55">
        <f>'[3]Agustos 2022 '!$F$29</f>
        <v>0</v>
      </c>
      <c r="G30" s="22">
        <v>2760</v>
      </c>
      <c r="H30" s="23">
        <f t="shared" si="0"/>
        <v>0</v>
      </c>
      <c r="I30" s="24">
        <f t="shared" si="1"/>
        <v>-13903969.200000001</v>
      </c>
      <c r="J30" s="36"/>
      <c r="K30" s="103"/>
      <c r="L30" s="71"/>
      <c r="M30" s="71"/>
      <c r="N30" s="103"/>
      <c r="O30" s="50"/>
      <c r="P30" s="51"/>
      <c r="Q30" s="66"/>
      <c r="R30" s="96"/>
      <c r="S30" s="96"/>
      <c r="T30" s="85"/>
      <c r="U30" s="97"/>
      <c r="V30" s="97"/>
      <c r="W30" s="98"/>
      <c r="X30" s="87"/>
      <c r="Y30" s="84"/>
      <c r="Z30" s="66"/>
      <c r="AA30" s="81"/>
      <c r="AB30" s="85"/>
      <c r="AC30" s="85"/>
      <c r="AD30" s="68"/>
      <c r="AE30" s="68"/>
      <c r="AF30" s="98"/>
      <c r="AG30" s="87"/>
      <c r="AH30" s="82"/>
      <c r="AI30" s="66"/>
      <c r="AJ30" s="88"/>
      <c r="AK30" s="101"/>
      <c r="AL30" s="101"/>
      <c r="AM30" s="101"/>
      <c r="AN30" s="99"/>
      <c r="AO30" s="99"/>
      <c r="AP30" s="90"/>
      <c r="AQ30" s="99"/>
      <c r="AR30" s="91"/>
      <c r="AS30" s="99"/>
      <c r="AT30" s="92"/>
      <c r="AU30" s="93"/>
      <c r="AV30" s="100"/>
      <c r="AW30" s="68"/>
      <c r="AX30" s="68"/>
      <c r="AY30" s="82"/>
    </row>
    <row r="31" spans="3:51" x14ac:dyDescent="0.25">
      <c r="C31" s="47">
        <v>700</v>
      </c>
      <c r="D31" s="47">
        <v>3000</v>
      </c>
      <c r="E31" s="32">
        <v>44801</v>
      </c>
      <c r="F31" s="55">
        <f>'[3]Agustos 2022 '!$F$30</f>
        <v>0</v>
      </c>
      <c r="G31" s="22">
        <v>2760</v>
      </c>
      <c r="H31" s="23">
        <f t="shared" si="0"/>
        <v>0</v>
      </c>
      <c r="I31" s="24">
        <f t="shared" si="1"/>
        <v>0</v>
      </c>
      <c r="J31" s="36"/>
      <c r="K31" s="103"/>
      <c r="L31" s="71"/>
      <c r="M31" s="71"/>
      <c r="N31" s="103"/>
      <c r="O31" s="50"/>
      <c r="P31" s="51"/>
      <c r="Q31" s="66"/>
      <c r="R31" s="96"/>
      <c r="S31" s="96"/>
      <c r="T31" s="85"/>
      <c r="U31" s="97"/>
      <c r="V31" s="97"/>
      <c r="W31" s="98"/>
      <c r="X31" s="87"/>
      <c r="Y31" s="84"/>
      <c r="Z31" s="66"/>
      <c r="AA31" s="81"/>
      <c r="AB31" s="85"/>
      <c r="AC31" s="85"/>
      <c r="AD31" s="68"/>
      <c r="AE31" s="68"/>
      <c r="AF31" s="98"/>
      <c r="AG31" s="87"/>
      <c r="AH31" s="82"/>
      <c r="AI31" s="66"/>
      <c r="AJ31" s="88"/>
      <c r="AK31" s="101"/>
      <c r="AL31" s="101"/>
      <c r="AM31" s="101"/>
      <c r="AN31" s="99"/>
      <c r="AO31" s="99"/>
      <c r="AP31" s="90"/>
      <c r="AQ31" s="99"/>
      <c r="AR31" s="91"/>
      <c r="AS31" s="99"/>
      <c r="AT31" s="92"/>
      <c r="AU31" s="93"/>
      <c r="AV31" s="100"/>
      <c r="AW31" s="68"/>
      <c r="AX31" s="68"/>
      <c r="AY31" s="82"/>
    </row>
    <row r="32" spans="3:51" x14ac:dyDescent="0.25">
      <c r="C32" s="47">
        <v>800</v>
      </c>
      <c r="D32" s="47">
        <v>3000</v>
      </c>
      <c r="E32" s="32">
        <v>44802</v>
      </c>
      <c r="F32" s="55">
        <f>'[3]Agustos 2022 '!$F$31</f>
        <v>0</v>
      </c>
      <c r="G32" s="22">
        <v>2760</v>
      </c>
      <c r="H32" s="23">
        <f t="shared" si="0"/>
        <v>0</v>
      </c>
      <c r="I32" s="24">
        <f t="shared" si="1"/>
        <v>0</v>
      </c>
      <c r="J32" s="36"/>
      <c r="K32" s="103"/>
      <c r="L32" s="71"/>
      <c r="M32" s="71"/>
      <c r="N32" s="103"/>
      <c r="O32" s="50"/>
      <c r="P32" s="51"/>
      <c r="Q32" s="66"/>
      <c r="R32" s="96"/>
      <c r="S32" s="96"/>
      <c r="T32" s="85"/>
      <c r="U32" s="97"/>
      <c r="V32" s="97"/>
      <c r="W32" s="98"/>
      <c r="X32" s="87"/>
      <c r="Y32" s="84"/>
      <c r="Z32" s="66"/>
      <c r="AA32" s="81"/>
      <c r="AB32" s="85"/>
      <c r="AC32" s="85"/>
      <c r="AD32" s="68"/>
      <c r="AE32" s="68"/>
      <c r="AF32" s="98"/>
      <c r="AG32" s="87"/>
      <c r="AH32" s="82"/>
      <c r="AI32" s="66"/>
      <c r="AJ32" s="88"/>
      <c r="AK32" s="101"/>
      <c r="AL32" s="101"/>
      <c r="AM32" s="101"/>
      <c r="AN32" s="99"/>
      <c r="AO32" s="99"/>
      <c r="AP32" s="90"/>
      <c r="AQ32" s="99"/>
      <c r="AR32" s="91"/>
      <c r="AS32" s="99"/>
      <c r="AT32" s="92"/>
      <c r="AU32" s="93"/>
      <c r="AV32" s="100"/>
      <c r="AW32" s="68"/>
      <c r="AX32" s="68"/>
      <c r="AY32" s="82"/>
    </row>
    <row r="33" spans="3:51" x14ac:dyDescent="0.25">
      <c r="C33" s="47">
        <v>900</v>
      </c>
      <c r="D33" s="47">
        <v>3000</v>
      </c>
      <c r="E33" s="32">
        <v>44803</v>
      </c>
      <c r="F33" s="55">
        <f>'[3]Agustos 2022 '!$F$32</f>
        <v>0</v>
      </c>
      <c r="G33" s="22">
        <v>2760</v>
      </c>
      <c r="H33" s="23">
        <f t="shared" si="0"/>
        <v>0</v>
      </c>
      <c r="I33" s="24">
        <f t="shared" si="1"/>
        <v>0</v>
      </c>
      <c r="J33" s="36"/>
      <c r="K33" s="103"/>
      <c r="L33" s="71"/>
      <c r="M33" s="71"/>
      <c r="N33" s="103"/>
      <c r="O33" s="50"/>
      <c r="P33" s="51"/>
      <c r="Q33" s="66"/>
      <c r="R33" s="96"/>
      <c r="S33" s="96"/>
      <c r="T33" s="85"/>
      <c r="U33" s="97"/>
      <c r="V33" s="97"/>
      <c r="W33" s="98"/>
      <c r="X33" s="87"/>
      <c r="Y33" s="84"/>
      <c r="Z33" s="66"/>
      <c r="AA33" s="81"/>
      <c r="AB33" s="85"/>
      <c r="AC33" s="85"/>
      <c r="AD33" s="68"/>
      <c r="AE33" s="68"/>
      <c r="AF33" s="98"/>
      <c r="AG33" s="87"/>
      <c r="AH33" s="82"/>
      <c r="AI33" s="66"/>
      <c r="AJ33" s="88"/>
      <c r="AK33" s="101"/>
      <c r="AL33" s="101"/>
      <c r="AM33" s="101"/>
      <c r="AN33" s="99"/>
      <c r="AO33" s="99"/>
      <c r="AP33" s="90"/>
      <c r="AQ33" s="99"/>
      <c r="AR33" s="91"/>
      <c r="AS33" s="99"/>
      <c r="AT33" s="92"/>
      <c r="AU33" s="93"/>
      <c r="AV33" s="100"/>
      <c r="AW33" s="68"/>
      <c r="AX33" s="68"/>
      <c r="AY33" s="82"/>
    </row>
    <row r="34" spans="3:51" x14ac:dyDescent="0.25">
      <c r="C34" s="47"/>
      <c r="D34" s="47"/>
      <c r="E34" s="32"/>
      <c r="F34" s="55"/>
      <c r="G34" s="22"/>
      <c r="H34" s="23"/>
      <c r="I34" s="24"/>
      <c r="J34" s="36"/>
      <c r="K34" s="103"/>
      <c r="L34" s="71"/>
      <c r="M34" s="71"/>
      <c r="N34" s="103"/>
      <c r="O34" s="50"/>
      <c r="P34" s="51"/>
      <c r="Q34" s="66"/>
      <c r="R34" s="96"/>
      <c r="S34" s="96"/>
      <c r="T34" s="85"/>
      <c r="U34" s="97"/>
      <c r="V34" s="97"/>
      <c r="W34" s="98"/>
      <c r="X34" s="87"/>
      <c r="Y34" s="84"/>
      <c r="Z34" s="66"/>
      <c r="AA34" s="81"/>
      <c r="AB34" s="85"/>
      <c r="AC34" s="85"/>
      <c r="AD34" s="68"/>
      <c r="AE34" s="68"/>
      <c r="AF34" s="98"/>
      <c r="AG34" s="87"/>
      <c r="AH34" s="82"/>
      <c r="AI34" s="66"/>
      <c r="AJ34" s="88"/>
      <c r="AK34" s="101"/>
      <c r="AL34" s="101"/>
      <c r="AM34" s="101"/>
      <c r="AN34" s="99"/>
      <c r="AO34" s="99"/>
      <c r="AP34" s="90"/>
      <c r="AQ34" s="99"/>
      <c r="AR34" s="91"/>
      <c r="AS34" s="99"/>
      <c r="AT34" s="92"/>
      <c r="AU34" s="93"/>
      <c r="AV34" s="100"/>
      <c r="AW34" s="68"/>
      <c r="AX34" s="68"/>
      <c r="AY34" s="82"/>
    </row>
    <row r="35" spans="3:51" x14ac:dyDescent="0.25">
      <c r="E35" s="34" t="s">
        <v>28</v>
      </c>
      <c r="F35" s="35"/>
      <c r="G35" s="35"/>
      <c r="H35" s="26"/>
      <c r="I35" s="52">
        <f>SUM(I4:I34)</f>
        <v>-13863775.32</v>
      </c>
      <c r="J35" s="56"/>
      <c r="K35" s="17"/>
      <c r="L35" s="17"/>
      <c r="M35" s="17"/>
      <c r="N35" s="17"/>
      <c r="O35" s="17"/>
      <c r="P35" s="30"/>
      <c r="Q35" s="81"/>
      <c r="R35" s="81"/>
      <c r="S35" s="81"/>
      <c r="T35" s="81"/>
      <c r="U35" s="81"/>
      <c r="V35" s="81"/>
      <c r="W35" s="81"/>
      <c r="X35" s="81"/>
      <c r="Y35" s="84"/>
      <c r="Z35" s="81"/>
      <c r="AA35" s="81"/>
      <c r="AB35" s="81"/>
      <c r="AC35" s="82"/>
      <c r="AD35" s="82"/>
      <c r="AE35" s="68"/>
      <c r="AF35" s="82"/>
      <c r="AG35" s="82"/>
      <c r="AH35" s="82"/>
      <c r="AI35" s="81"/>
      <c r="AJ35" s="81"/>
      <c r="AK35" s="81"/>
      <c r="AL35" s="81"/>
      <c r="AM35" s="81"/>
      <c r="AN35" s="81"/>
      <c r="AO35" s="81"/>
      <c r="AP35" s="81"/>
      <c r="AQ35" s="81"/>
      <c r="AR35" s="81"/>
      <c r="AS35" s="81"/>
      <c r="AT35" s="81"/>
      <c r="AU35" s="81"/>
      <c r="AV35" s="81"/>
      <c r="AW35" s="102"/>
      <c r="AX35" s="81"/>
      <c r="AY35" s="82"/>
    </row>
    <row r="36" spans="3:51" x14ac:dyDescent="0.25">
      <c r="D36" s="38" t="s">
        <v>33</v>
      </c>
      <c r="E36" s="17"/>
      <c r="F36" s="17"/>
      <c r="G36" s="17"/>
      <c r="H36" s="17"/>
      <c r="I36" s="37"/>
      <c r="J36" s="17"/>
      <c r="N36" s="54"/>
      <c r="P36" s="30"/>
      <c r="Q36" s="17"/>
      <c r="R36" s="17"/>
      <c r="S36" s="17"/>
      <c r="T36" s="17"/>
      <c r="U36" s="17"/>
      <c r="V36" s="17"/>
      <c r="W36" s="17"/>
      <c r="X36" s="17"/>
      <c r="Y36" s="30"/>
      <c r="Z36" s="17"/>
      <c r="AI36" s="17"/>
      <c r="AJ36" s="38"/>
      <c r="AK36" s="38"/>
      <c r="AL36" s="38"/>
      <c r="AM36" s="38"/>
      <c r="AN36" s="17"/>
      <c r="AO36" s="17"/>
      <c r="AP36" s="17"/>
      <c r="AQ36" s="17"/>
      <c r="AR36" s="17"/>
      <c r="AS36" s="17"/>
      <c r="AT36" s="17"/>
      <c r="AU36" s="17"/>
      <c r="AV36" s="17"/>
      <c r="AW36" s="17"/>
      <c r="AX36" s="37"/>
    </row>
    <row r="37" spans="3:51" x14ac:dyDescent="0.25">
      <c r="E37" s="38"/>
      <c r="F37" s="53"/>
      <c r="G37" s="29"/>
      <c r="H37" s="17"/>
      <c r="I37" s="104"/>
      <c r="K37" s="37"/>
      <c r="L37" s="37"/>
      <c r="M37" s="37"/>
      <c r="N37" s="37"/>
      <c r="O37" s="17"/>
      <c r="P37" s="30"/>
      <c r="Q37" s="17"/>
      <c r="R37" s="17"/>
      <c r="S37" s="17"/>
      <c r="T37" s="17"/>
      <c r="U37" s="17"/>
      <c r="V37" s="17"/>
      <c r="W37" s="17"/>
      <c r="X37" s="17"/>
      <c r="Y37" s="30"/>
      <c r="Z37" s="17"/>
      <c r="AA37" s="17"/>
      <c r="AB37" s="17"/>
      <c r="AI37" s="17"/>
      <c r="AJ37" s="17"/>
      <c r="AK37" s="17"/>
      <c r="AL37" s="17"/>
      <c r="AM37" s="17"/>
      <c r="AN37" s="17"/>
      <c r="AO37" s="17"/>
      <c r="AP37" s="17"/>
      <c r="AQ37" s="17"/>
      <c r="AR37" s="17"/>
      <c r="AS37" s="17"/>
      <c r="AT37" s="17"/>
      <c r="AU37" s="17"/>
      <c r="AV37" s="17"/>
      <c r="AW37" s="17"/>
      <c r="AX37" s="17"/>
    </row>
    <row r="38" spans="3:51" x14ac:dyDescent="0.25">
      <c r="E38" s="38"/>
      <c r="F38" s="53"/>
      <c r="G38" s="29"/>
      <c r="H38" s="17"/>
      <c r="I38" s="104"/>
      <c r="J38" s="17"/>
      <c r="K38" s="17"/>
      <c r="L38" s="17"/>
      <c r="M38" s="17"/>
      <c r="N38" s="17"/>
      <c r="O38" s="17"/>
      <c r="P38" s="30"/>
      <c r="Q38" s="17"/>
      <c r="R38" s="17"/>
      <c r="S38" s="17"/>
      <c r="T38" s="17"/>
      <c r="U38" s="17"/>
      <c r="V38" s="17"/>
      <c r="W38" s="17"/>
      <c r="X38" s="17"/>
      <c r="Y38" s="30"/>
      <c r="Z38" s="17"/>
      <c r="AA38" s="17"/>
      <c r="AB38" s="17"/>
      <c r="AI38" s="17"/>
      <c r="AJ38" s="17"/>
      <c r="AK38" s="17"/>
      <c r="AL38" s="17"/>
      <c r="AM38" s="17"/>
      <c r="AN38" s="17"/>
      <c r="AO38" s="17"/>
      <c r="AP38" s="17"/>
      <c r="AQ38" s="17"/>
      <c r="AR38" s="17"/>
      <c r="AS38" s="17"/>
      <c r="AT38" s="17"/>
      <c r="AU38" s="17"/>
      <c r="AV38" s="17"/>
      <c r="AW38" s="17"/>
      <c r="AX38" s="17"/>
    </row>
    <row r="39" spans="3:51" x14ac:dyDescent="0.25">
      <c r="E39" s="17"/>
      <c r="F39" s="17"/>
      <c r="G39" s="17"/>
      <c r="H39" s="17"/>
      <c r="I39" s="17"/>
      <c r="J39" s="17"/>
      <c r="K39" s="17"/>
      <c r="L39" s="17"/>
      <c r="M39" s="17"/>
      <c r="N39" s="17"/>
      <c r="O39" s="17"/>
      <c r="P39" s="30"/>
      <c r="Q39" s="17"/>
      <c r="R39" s="17"/>
      <c r="S39" s="17"/>
      <c r="T39" s="17"/>
      <c r="U39" s="17"/>
      <c r="V39" s="17"/>
      <c r="W39" s="17"/>
      <c r="X39" s="17"/>
      <c r="Y39" s="30"/>
      <c r="Z39" s="17"/>
      <c r="AA39" s="17"/>
      <c r="AB39" s="17"/>
      <c r="AI39" s="17"/>
      <c r="AJ39" s="17"/>
      <c r="AK39" s="17"/>
      <c r="AL39" s="17"/>
      <c r="AM39" s="17"/>
      <c r="AN39" s="17"/>
      <c r="AO39" s="17"/>
      <c r="AP39" s="17"/>
      <c r="AQ39" s="17"/>
      <c r="AR39" s="17"/>
      <c r="AS39" s="17"/>
      <c r="AT39" s="17"/>
      <c r="AU39" s="17"/>
      <c r="AV39" s="17"/>
      <c r="AW39" s="17"/>
      <c r="AX39" s="17"/>
    </row>
    <row r="40" spans="3:51" x14ac:dyDescent="0.25">
      <c r="E40" s="17"/>
      <c r="F40" s="17"/>
      <c r="G40" s="17"/>
      <c r="H40" s="17"/>
      <c r="I40" s="17"/>
      <c r="J40" s="17"/>
      <c r="K40" s="17"/>
      <c r="L40" s="17"/>
      <c r="M40" s="17"/>
      <c r="N40" s="17"/>
      <c r="O40" s="17"/>
      <c r="P40" s="17"/>
      <c r="Q40" s="17"/>
      <c r="R40" s="17"/>
      <c r="S40" s="17"/>
      <c r="T40" s="17"/>
      <c r="U40" s="17"/>
      <c r="V40" s="17"/>
      <c r="W40" s="17"/>
      <c r="X40" s="17"/>
      <c r="Y40" s="17"/>
      <c r="Z40" s="17"/>
      <c r="AA40" s="17"/>
      <c r="AB40" s="17"/>
      <c r="AI40" s="17"/>
      <c r="AJ40" s="17"/>
      <c r="AK40" s="17"/>
      <c r="AL40" s="17"/>
      <c r="AM40" s="17"/>
      <c r="AN40" s="17"/>
      <c r="AO40" s="17"/>
      <c r="AP40" s="17"/>
      <c r="AQ40" s="17"/>
      <c r="AR40" s="17"/>
      <c r="AS40" s="17"/>
      <c r="AT40" s="17"/>
      <c r="AU40" s="17"/>
      <c r="AV40" s="17"/>
      <c r="AW40" s="17"/>
      <c r="AX40" s="17"/>
    </row>
    <row r="41" spans="3:51" x14ac:dyDescent="0.25">
      <c r="E41" s="17"/>
      <c r="F41" s="17"/>
      <c r="G41" s="17"/>
      <c r="H41" s="17"/>
      <c r="I41" s="17"/>
      <c r="J41" s="17"/>
      <c r="K41" s="17"/>
      <c r="L41" s="17"/>
      <c r="M41" s="17"/>
      <c r="N41" s="17"/>
      <c r="O41" s="17"/>
      <c r="P41" s="17"/>
      <c r="Q41" s="17"/>
      <c r="R41" s="17"/>
      <c r="S41" s="17"/>
      <c r="T41" s="17"/>
      <c r="Z41" s="17"/>
      <c r="AA41" s="17"/>
      <c r="AB41" s="17"/>
      <c r="AI41" s="17"/>
      <c r="AJ41" s="17"/>
      <c r="AK41" s="17"/>
      <c r="AL41" s="17"/>
      <c r="AM41" s="17"/>
      <c r="AN41" s="17"/>
      <c r="AO41" s="17"/>
      <c r="AP41" s="17"/>
      <c r="AQ41" s="17"/>
      <c r="AR41" s="17"/>
      <c r="AS41" s="17"/>
      <c r="AT41" s="17"/>
      <c r="AU41" s="17"/>
      <c r="AV41" s="17"/>
      <c r="AW41" s="17"/>
      <c r="AX41" s="17"/>
    </row>
    <row r="42" spans="3:51" x14ac:dyDescent="0.25">
      <c r="E42" s="17"/>
      <c r="F42" s="17"/>
      <c r="G42" s="17"/>
      <c r="H42" s="17"/>
      <c r="I42" s="17"/>
      <c r="J42" s="17"/>
      <c r="K42" s="17"/>
      <c r="L42" s="17"/>
      <c r="M42" s="17"/>
      <c r="N42" s="17"/>
      <c r="O42" s="17"/>
      <c r="P42" s="17"/>
      <c r="Q42" s="17"/>
      <c r="R42" s="17"/>
      <c r="S42" s="17"/>
      <c r="T42" s="17"/>
      <c r="Z42" s="17"/>
      <c r="AA42" s="17"/>
      <c r="AB42" s="17"/>
      <c r="AI42" s="17"/>
      <c r="AJ42" s="17"/>
      <c r="AK42" s="17"/>
      <c r="AL42" s="17"/>
      <c r="AM42" s="17"/>
      <c r="AN42" s="17"/>
      <c r="AO42" s="17"/>
      <c r="AP42" s="17"/>
      <c r="AQ42" s="17"/>
      <c r="AR42" s="17"/>
      <c r="AS42" s="17"/>
      <c r="AT42" s="17"/>
      <c r="AU42" s="17"/>
      <c r="AV42" s="17"/>
      <c r="AW42" s="17"/>
      <c r="AX42" s="17"/>
    </row>
    <row r="43" spans="3:51" x14ac:dyDescent="0.25">
      <c r="E43" s="17"/>
      <c r="F43" s="17"/>
      <c r="G43" s="17"/>
      <c r="H43" s="17"/>
      <c r="I43" s="17"/>
      <c r="J43" s="17"/>
      <c r="K43" s="17"/>
      <c r="L43" s="17"/>
      <c r="M43" s="17"/>
      <c r="N43" s="17"/>
      <c r="O43" s="17"/>
      <c r="P43" s="17"/>
      <c r="Q43" s="17"/>
      <c r="R43" s="17"/>
      <c r="S43" s="17"/>
      <c r="T43" s="17"/>
      <c r="U43" s="17"/>
      <c r="V43" s="17"/>
      <c r="W43" s="17"/>
      <c r="X43" s="17"/>
      <c r="Y43" s="17"/>
      <c r="Z43" s="17"/>
      <c r="AA43" s="17"/>
      <c r="AB43" s="17"/>
      <c r="AI43" s="17"/>
      <c r="AJ43" s="17"/>
      <c r="AK43" s="17"/>
      <c r="AL43" s="17"/>
      <c r="AM43" s="17"/>
      <c r="AN43" s="17"/>
      <c r="AO43" s="17"/>
      <c r="AP43" s="17"/>
      <c r="AQ43" s="17"/>
      <c r="AR43" s="17"/>
      <c r="AS43" s="17"/>
      <c r="AT43" s="17"/>
      <c r="AU43" s="17"/>
      <c r="AV43" s="17"/>
      <c r="AW43" s="17"/>
      <c r="AX43" s="17"/>
    </row>
    <row r="44" spans="3:51" x14ac:dyDescent="0.25">
      <c r="E44" s="17"/>
      <c r="F44" s="17"/>
      <c r="G44" s="17"/>
      <c r="H44" s="17"/>
      <c r="I44" s="17"/>
      <c r="J44" s="17"/>
      <c r="K44" s="17"/>
      <c r="L44" s="17"/>
      <c r="M44" s="17"/>
      <c r="N44" s="17"/>
      <c r="O44" s="17"/>
      <c r="P44" s="17"/>
      <c r="Q44" s="17"/>
      <c r="R44" s="17"/>
      <c r="S44" s="17"/>
      <c r="T44" s="17"/>
      <c r="U44" s="17"/>
      <c r="V44" s="17"/>
      <c r="W44" s="17"/>
      <c r="X44" s="17"/>
      <c r="Y44" s="17"/>
      <c r="Z44" s="17"/>
      <c r="AA44" s="17"/>
      <c r="AB44" s="17"/>
      <c r="AI44" s="17"/>
      <c r="AJ44" s="17"/>
      <c r="AK44" s="17"/>
      <c r="AL44" s="17"/>
      <c r="AM44" s="17"/>
      <c r="AN44" s="17"/>
      <c r="AO44" s="17"/>
      <c r="AP44" s="17"/>
      <c r="AQ44" s="17"/>
      <c r="AR44" s="17"/>
      <c r="AS44" s="17"/>
      <c r="AT44" s="17"/>
      <c r="AU44" s="17"/>
      <c r="AV44" s="17"/>
      <c r="AW44" s="17"/>
      <c r="AX44" s="17"/>
    </row>
    <row r="45" spans="3:51" x14ac:dyDescent="0.25">
      <c r="E45" s="17"/>
      <c r="F45" s="17"/>
      <c r="G45" s="17"/>
      <c r="H45" s="17"/>
      <c r="I45" s="17"/>
      <c r="J45" s="17"/>
      <c r="K45" s="17"/>
      <c r="L45" s="17"/>
      <c r="M45" s="17"/>
      <c r="N45" s="17"/>
      <c r="O45" s="17"/>
      <c r="P45" s="17"/>
      <c r="Q45" s="17"/>
      <c r="R45" s="17"/>
      <c r="S45" s="17"/>
      <c r="T45" s="17"/>
      <c r="U45" s="17"/>
      <c r="V45" s="17"/>
      <c r="W45" s="17"/>
      <c r="X45" s="17"/>
      <c r="Y45" s="17"/>
      <c r="Z45" s="17"/>
      <c r="AA45" s="17"/>
      <c r="AB45" s="17"/>
      <c r="AI45" s="17"/>
      <c r="AJ45" s="17"/>
      <c r="AK45" s="17"/>
      <c r="AL45" s="17"/>
      <c r="AM45" s="17"/>
      <c r="AN45" s="17"/>
      <c r="AO45" s="17"/>
      <c r="AP45" s="17"/>
      <c r="AQ45" s="17"/>
      <c r="AR45" s="17"/>
      <c r="AS45" s="17"/>
      <c r="AT45" s="17"/>
      <c r="AU45" s="17"/>
      <c r="AV45" s="17"/>
      <c r="AW45" s="17"/>
      <c r="AX45" s="17"/>
    </row>
    <row r="46" spans="3:51" x14ac:dyDescent="0.25">
      <c r="E46" s="17"/>
      <c r="F46" s="17"/>
      <c r="G46" s="17"/>
      <c r="H46" s="17"/>
      <c r="I46" s="17"/>
      <c r="J46" s="17"/>
      <c r="K46" s="17"/>
      <c r="L46" s="17"/>
      <c r="M46" s="17"/>
      <c r="N46" s="17"/>
      <c r="O46" s="17"/>
      <c r="P46" s="17"/>
      <c r="Q46" s="17"/>
      <c r="R46" s="17"/>
      <c r="S46" s="17"/>
      <c r="T46" s="17"/>
      <c r="U46" s="17"/>
      <c r="V46" s="17"/>
      <c r="W46" s="17"/>
      <c r="X46" s="17"/>
      <c r="Y46" s="17"/>
      <c r="Z46" s="17"/>
      <c r="AA46" s="17"/>
      <c r="AB46" s="17"/>
      <c r="AI46" s="17"/>
      <c r="AJ46" s="17"/>
      <c r="AK46" s="17"/>
      <c r="AL46" s="17"/>
      <c r="AM46" s="17"/>
      <c r="AN46" s="17"/>
      <c r="AO46" s="17"/>
      <c r="AP46" s="17"/>
      <c r="AQ46" s="17"/>
      <c r="AR46" s="17"/>
      <c r="AS46" s="17"/>
      <c r="AT46" s="17"/>
      <c r="AU46" s="17"/>
      <c r="AV46" s="17"/>
      <c r="AW46" s="17"/>
      <c r="AX46" s="17"/>
    </row>
    <row r="47" spans="3:51" x14ac:dyDescent="0.25">
      <c r="E47" s="17"/>
      <c r="F47" s="17"/>
      <c r="G47" s="17"/>
      <c r="H47" s="17"/>
      <c r="I47" s="17"/>
      <c r="J47" s="17"/>
      <c r="K47" s="17"/>
      <c r="L47" s="17"/>
      <c r="M47" s="17"/>
      <c r="N47" s="17"/>
      <c r="O47" s="17"/>
      <c r="P47" s="17"/>
      <c r="Q47" s="17"/>
      <c r="R47" s="17"/>
      <c r="S47" s="17"/>
      <c r="T47" s="17"/>
      <c r="U47" s="17"/>
      <c r="V47" s="17"/>
      <c r="W47" s="17"/>
      <c r="X47" s="17"/>
      <c r="Y47" s="17"/>
      <c r="Z47" s="17"/>
      <c r="AA47" s="17"/>
      <c r="AB47" s="17"/>
      <c r="AI47" s="17"/>
      <c r="AJ47" s="17"/>
      <c r="AK47" s="17"/>
      <c r="AL47" s="17"/>
      <c r="AM47" s="17"/>
      <c r="AN47" s="17"/>
      <c r="AO47" s="17"/>
      <c r="AP47" s="17"/>
      <c r="AQ47" s="17"/>
      <c r="AR47" s="17"/>
      <c r="AS47" s="17"/>
      <c r="AT47" s="17"/>
      <c r="AU47" s="17"/>
      <c r="AV47" s="17"/>
      <c r="AW47" s="17"/>
      <c r="AX47" s="17"/>
    </row>
    <row r="48" spans="3:51" x14ac:dyDescent="0.25">
      <c r="E48" s="17"/>
      <c r="F48" s="17"/>
      <c r="G48" s="17"/>
      <c r="H48" s="17"/>
      <c r="I48" s="17"/>
      <c r="J48" s="17"/>
      <c r="K48" s="17"/>
      <c r="L48" s="17"/>
      <c r="M48" s="17"/>
      <c r="N48" s="17"/>
      <c r="O48" s="17"/>
      <c r="P48" s="17"/>
      <c r="Q48" s="17"/>
      <c r="R48" s="17"/>
      <c r="S48" s="17"/>
      <c r="T48" s="17"/>
      <c r="U48" s="17"/>
      <c r="V48" s="17"/>
      <c r="W48" s="17"/>
      <c r="X48" s="17"/>
      <c r="Y48" s="17"/>
      <c r="Z48" s="17"/>
      <c r="AA48" s="17"/>
      <c r="AB48" s="17"/>
      <c r="AI48" s="17"/>
      <c r="AJ48" s="17"/>
      <c r="AK48" s="17"/>
      <c r="AL48" s="17"/>
      <c r="AM48" s="17"/>
      <c r="AN48" s="17"/>
      <c r="AO48" s="17"/>
      <c r="AP48" s="17"/>
      <c r="AQ48" s="17"/>
      <c r="AR48" s="17"/>
      <c r="AS48" s="17"/>
      <c r="AT48" s="17"/>
      <c r="AU48" s="17"/>
      <c r="AV48" s="17"/>
      <c r="AW48" s="17"/>
      <c r="AX48" s="17"/>
    </row>
    <row r="49" spans="5:50" x14ac:dyDescent="0.25">
      <c r="E49" s="17"/>
      <c r="F49" s="17"/>
      <c r="G49" s="17"/>
      <c r="H49" s="17"/>
      <c r="I49" s="17"/>
      <c r="J49" s="17"/>
      <c r="K49" s="17"/>
      <c r="L49" s="17"/>
      <c r="M49" s="17"/>
      <c r="N49" s="17"/>
      <c r="O49" s="17"/>
      <c r="P49" s="17"/>
      <c r="Q49" s="17"/>
      <c r="R49" s="17"/>
      <c r="S49" s="17"/>
      <c r="T49" s="17"/>
      <c r="U49" s="17"/>
      <c r="V49" s="17"/>
      <c r="W49" s="17"/>
      <c r="X49" s="17"/>
      <c r="Y49" s="17"/>
      <c r="Z49" s="17"/>
      <c r="AA49" s="17"/>
      <c r="AB49" s="17"/>
      <c r="AI49" s="17"/>
      <c r="AJ49" s="17"/>
      <c r="AK49" s="17"/>
      <c r="AL49" s="17"/>
      <c r="AM49" s="17"/>
      <c r="AN49" s="17"/>
      <c r="AO49" s="17"/>
      <c r="AP49" s="17"/>
      <c r="AQ49" s="17"/>
      <c r="AR49" s="17"/>
      <c r="AS49" s="17"/>
      <c r="AT49" s="17"/>
      <c r="AU49" s="17"/>
      <c r="AV49" s="17"/>
      <c r="AW49" s="17"/>
      <c r="AX49" s="17"/>
    </row>
    <row r="50" spans="5:50" x14ac:dyDescent="0.25">
      <c r="E50" s="17"/>
      <c r="F50" s="17"/>
      <c r="G50" s="17"/>
      <c r="H50" s="17"/>
      <c r="I50" s="17"/>
      <c r="J50" s="17"/>
      <c r="K50" s="17"/>
      <c r="L50" s="17"/>
      <c r="M50" s="17"/>
      <c r="N50" s="17"/>
      <c r="O50" s="17"/>
      <c r="P50" s="17"/>
      <c r="Q50" s="17"/>
      <c r="R50" s="17"/>
      <c r="S50" s="17"/>
      <c r="T50" s="17"/>
      <c r="U50" s="17"/>
      <c r="V50" s="17"/>
      <c r="W50" s="17"/>
      <c r="X50" s="17"/>
      <c r="Y50" s="17"/>
      <c r="Z50" s="17"/>
      <c r="AA50" s="17"/>
      <c r="AB50" s="17"/>
      <c r="AI50" s="17"/>
      <c r="AJ50" s="17"/>
      <c r="AK50" s="17"/>
      <c r="AL50" s="17"/>
      <c r="AM50" s="17"/>
      <c r="AN50" s="17"/>
      <c r="AO50" s="17"/>
      <c r="AP50" s="17"/>
      <c r="AQ50" s="17"/>
      <c r="AR50" s="17"/>
      <c r="AS50" s="17"/>
      <c r="AT50" s="17"/>
      <c r="AU50" s="17"/>
      <c r="AV50" s="17"/>
      <c r="AW50" s="17"/>
      <c r="AX50" s="17"/>
    </row>
    <row r="51" spans="5:50" x14ac:dyDescent="0.25">
      <c r="E51" s="17"/>
      <c r="F51" s="17"/>
      <c r="G51" s="17"/>
      <c r="H51" s="17"/>
      <c r="I51" s="17"/>
      <c r="J51" s="17"/>
      <c r="K51" s="17"/>
      <c r="L51" s="17"/>
      <c r="M51" s="17"/>
      <c r="N51" s="17"/>
      <c r="O51" s="17"/>
      <c r="P51" s="17"/>
      <c r="Q51" s="17"/>
      <c r="R51" s="17"/>
      <c r="S51" s="17"/>
      <c r="T51" s="17"/>
      <c r="U51" s="17"/>
      <c r="V51" s="17"/>
      <c r="W51" s="17"/>
      <c r="X51" s="17"/>
      <c r="Y51" s="17"/>
      <c r="Z51" s="17"/>
      <c r="AA51" s="17"/>
      <c r="AB51" s="17"/>
      <c r="AI51" s="17"/>
      <c r="AJ51" s="17"/>
      <c r="AK51" s="17"/>
      <c r="AL51" s="17"/>
      <c r="AM51" s="17"/>
      <c r="AN51" s="17"/>
      <c r="AO51" s="17"/>
      <c r="AP51" s="17"/>
      <c r="AQ51" s="17"/>
      <c r="AR51" s="17"/>
      <c r="AS51" s="17"/>
      <c r="AT51" s="17"/>
      <c r="AU51" s="17"/>
      <c r="AV51" s="17"/>
      <c r="AW51" s="17"/>
      <c r="AX51" s="17"/>
    </row>
    <row r="52" spans="5:50" x14ac:dyDescent="0.25">
      <c r="E52" s="17"/>
      <c r="F52" s="17"/>
      <c r="G52" s="17"/>
      <c r="H52" s="17"/>
      <c r="I52" s="17"/>
      <c r="J52" s="17"/>
      <c r="K52" s="17"/>
      <c r="L52" s="17"/>
      <c r="M52" s="17"/>
      <c r="N52" s="17"/>
      <c r="O52" s="17"/>
      <c r="P52" s="17"/>
      <c r="Q52" s="17"/>
      <c r="R52" s="17"/>
      <c r="S52" s="17"/>
      <c r="T52" s="17"/>
      <c r="U52" s="17"/>
      <c r="V52" s="17"/>
      <c r="W52" s="17"/>
      <c r="X52" s="17"/>
      <c r="Y52" s="17"/>
      <c r="Z52" s="17"/>
      <c r="AA52" s="17"/>
      <c r="AB52" s="17"/>
      <c r="AI52" s="17"/>
      <c r="AJ52" s="17"/>
      <c r="AK52" s="17"/>
      <c r="AL52" s="17"/>
      <c r="AM52" s="17"/>
      <c r="AN52" s="17"/>
      <c r="AO52" s="17"/>
      <c r="AP52" s="17"/>
      <c r="AQ52" s="17"/>
      <c r="AR52" s="17"/>
      <c r="AS52" s="17"/>
      <c r="AT52" s="17"/>
      <c r="AU52" s="17"/>
      <c r="AV52" s="17"/>
      <c r="AW52" s="17"/>
      <c r="AX52" s="17"/>
    </row>
    <row r="53" spans="5:50" x14ac:dyDescent="0.25">
      <c r="E53" s="17"/>
      <c r="F53" s="17"/>
      <c r="G53" s="17"/>
      <c r="H53" s="17"/>
      <c r="I53" s="17"/>
      <c r="J53" s="17"/>
      <c r="K53" s="17"/>
      <c r="L53" s="17"/>
      <c r="M53" s="17"/>
      <c r="N53" s="17"/>
      <c r="O53" s="17"/>
      <c r="P53" s="17"/>
      <c r="Q53" s="17"/>
      <c r="R53" s="17"/>
      <c r="S53" s="17"/>
      <c r="T53" s="17"/>
      <c r="U53" s="17"/>
      <c r="V53" s="17"/>
      <c r="W53" s="17"/>
      <c r="X53" s="17"/>
      <c r="Y53" s="17"/>
      <c r="Z53" s="17"/>
      <c r="AA53" s="17"/>
      <c r="AB53" s="17"/>
      <c r="AI53" s="17"/>
      <c r="AJ53" s="17"/>
      <c r="AK53" s="17"/>
      <c r="AL53" s="17"/>
      <c r="AM53" s="17"/>
      <c r="AN53" s="17"/>
      <c r="AO53" s="17"/>
      <c r="AP53" s="17"/>
      <c r="AQ53" s="17"/>
      <c r="AR53" s="17"/>
      <c r="AS53" s="17"/>
      <c r="AT53" s="17"/>
      <c r="AU53" s="17"/>
      <c r="AV53" s="17"/>
      <c r="AW53" s="17"/>
      <c r="AX53" s="17"/>
    </row>
    <row r="54" spans="5:50" x14ac:dyDescent="0.25">
      <c r="E54" s="17"/>
      <c r="F54" s="17"/>
      <c r="G54" s="17"/>
      <c r="H54" s="17"/>
      <c r="I54" s="17"/>
      <c r="J54" s="17"/>
      <c r="K54" s="17"/>
      <c r="L54" s="17"/>
      <c r="M54" s="17"/>
      <c r="N54" s="17"/>
      <c r="O54" s="17"/>
      <c r="P54" s="17"/>
      <c r="Q54" s="17"/>
      <c r="R54" s="17"/>
      <c r="S54" s="17"/>
      <c r="T54" s="17"/>
      <c r="U54" s="17"/>
      <c r="V54" s="17"/>
      <c r="W54" s="17"/>
      <c r="X54" s="17"/>
      <c r="Y54" s="17"/>
      <c r="Z54" s="17"/>
      <c r="AA54" s="17"/>
      <c r="AB54" s="17"/>
      <c r="AI54" s="17"/>
      <c r="AJ54" s="17"/>
      <c r="AK54" s="17"/>
      <c r="AL54" s="17"/>
      <c r="AM54" s="17"/>
      <c r="AN54" s="17"/>
      <c r="AO54" s="17"/>
      <c r="AP54" s="17"/>
      <c r="AQ54" s="17"/>
      <c r="AR54" s="17"/>
      <c r="AS54" s="17"/>
      <c r="AT54" s="17"/>
      <c r="AU54" s="17"/>
      <c r="AV54" s="17"/>
      <c r="AW54" s="17"/>
      <c r="AX54" s="17"/>
    </row>
    <row r="55" spans="5:50" x14ac:dyDescent="0.25">
      <c r="E55" s="17"/>
      <c r="F55" s="17"/>
      <c r="G55" s="17"/>
      <c r="H55" s="17"/>
      <c r="I55" s="17"/>
      <c r="J55" s="17"/>
      <c r="K55" s="17"/>
      <c r="L55" s="17"/>
      <c r="M55" s="17"/>
      <c r="N55" s="17"/>
      <c r="O55" s="17"/>
      <c r="P55" s="17"/>
      <c r="Q55" s="17"/>
      <c r="R55" s="17"/>
      <c r="S55" s="17"/>
      <c r="T55" s="17"/>
      <c r="U55" s="17"/>
      <c r="V55" s="17"/>
      <c r="W55" s="17"/>
      <c r="X55" s="17"/>
      <c r="Y55" s="17"/>
      <c r="Z55" s="17"/>
      <c r="AA55" s="17"/>
      <c r="AB55" s="17"/>
      <c r="AI55" s="17"/>
      <c r="AJ55" s="17"/>
      <c r="AK55" s="17"/>
      <c r="AL55" s="17"/>
      <c r="AM55" s="17"/>
      <c r="AN55" s="17"/>
      <c r="AO55" s="17"/>
      <c r="AP55" s="17"/>
      <c r="AQ55" s="17"/>
      <c r="AR55" s="17"/>
      <c r="AS55" s="17"/>
      <c r="AT55" s="17"/>
      <c r="AU55" s="17"/>
      <c r="AV55" s="17"/>
      <c r="AW55" s="17"/>
      <c r="AX55" s="17"/>
    </row>
    <row r="56" spans="5:50" x14ac:dyDescent="0.25">
      <c r="E56" s="39"/>
      <c r="F56" s="17"/>
      <c r="G56" s="17"/>
      <c r="H56" s="17"/>
      <c r="I56" s="17"/>
      <c r="J56" s="17"/>
      <c r="K56" s="17"/>
      <c r="L56" s="17"/>
      <c r="M56" s="17"/>
      <c r="N56" s="17"/>
      <c r="O56" s="17"/>
      <c r="P56" s="17"/>
      <c r="Q56" s="17"/>
      <c r="R56" s="17"/>
      <c r="S56" s="17"/>
      <c r="T56" s="17"/>
      <c r="U56" s="17"/>
      <c r="V56" s="17"/>
      <c r="W56" s="17"/>
      <c r="X56" s="17"/>
      <c r="Y56" s="17"/>
      <c r="Z56" s="17"/>
      <c r="AA56" s="17"/>
      <c r="AB56" s="17"/>
      <c r="AI56" s="39"/>
      <c r="AJ56" s="17"/>
      <c r="AK56" s="17"/>
      <c r="AL56" s="17"/>
      <c r="AM56" s="17"/>
      <c r="AN56" s="17"/>
      <c r="AO56" s="17"/>
      <c r="AP56" s="17"/>
      <c r="AQ56" s="17"/>
      <c r="AR56" s="17"/>
      <c r="AS56" s="17"/>
      <c r="AT56" s="17"/>
      <c r="AU56" s="17"/>
      <c r="AV56" s="17"/>
      <c r="AW56" s="17"/>
      <c r="AX56" s="17"/>
    </row>
    <row r="57" spans="5:50" x14ac:dyDescent="0.25">
      <c r="E57" s="17"/>
      <c r="F57" s="17"/>
      <c r="G57" s="17"/>
      <c r="H57" s="17"/>
      <c r="I57" s="17"/>
      <c r="J57" s="17"/>
      <c r="K57" s="17"/>
      <c r="L57" s="17"/>
      <c r="M57" s="17"/>
      <c r="N57" s="17"/>
      <c r="O57" s="17"/>
      <c r="P57" s="17"/>
      <c r="Q57" s="17"/>
      <c r="R57" s="17"/>
      <c r="S57" s="17"/>
      <c r="T57" s="17"/>
      <c r="U57" s="17"/>
      <c r="V57" s="17"/>
      <c r="W57" s="17"/>
      <c r="X57" s="17"/>
      <c r="Y57" s="17"/>
      <c r="Z57" s="17"/>
      <c r="AA57" s="17"/>
      <c r="AB57" s="17"/>
      <c r="AI57" s="17"/>
      <c r="AJ57" s="17"/>
      <c r="AK57" s="17"/>
      <c r="AL57" s="17"/>
      <c r="AM57" s="17"/>
      <c r="AN57" s="17"/>
      <c r="AO57" s="17"/>
      <c r="AP57" s="17"/>
      <c r="AQ57" s="17"/>
      <c r="AR57" s="17"/>
      <c r="AS57" s="17"/>
      <c r="AT57" s="17"/>
      <c r="AU57" s="17"/>
      <c r="AV57" s="17"/>
      <c r="AW57" s="17"/>
      <c r="AX57" s="17"/>
    </row>
    <row r="58" spans="5:50" x14ac:dyDescent="0.25">
      <c r="E58" s="17"/>
      <c r="G58" s="17"/>
      <c r="H58" s="17"/>
      <c r="I58" s="17"/>
      <c r="J58" s="17"/>
      <c r="K58" s="17"/>
      <c r="L58" s="17"/>
      <c r="M58" s="17"/>
      <c r="N58" s="17"/>
      <c r="O58" s="17"/>
      <c r="P58" s="17"/>
      <c r="Q58" s="17"/>
      <c r="R58" s="17"/>
      <c r="S58" s="17"/>
      <c r="T58" s="17"/>
      <c r="U58" s="17"/>
      <c r="V58" s="17"/>
      <c r="W58" s="17"/>
      <c r="X58" s="17"/>
      <c r="Y58" s="17"/>
      <c r="Z58" s="17"/>
      <c r="AA58" s="17"/>
      <c r="AB58" s="17"/>
      <c r="AI58" s="17"/>
      <c r="AN58" s="17"/>
      <c r="AO58" s="17"/>
      <c r="AP58" s="17"/>
      <c r="AQ58" s="17"/>
      <c r="AR58" s="17"/>
      <c r="AS58" s="17"/>
      <c r="AT58" s="17"/>
      <c r="AU58" s="17"/>
      <c r="AV58" s="17"/>
      <c r="AW58" s="17"/>
      <c r="AX58" s="17"/>
    </row>
    <row r="59" spans="5:50" x14ac:dyDescent="0.25">
      <c r="E59" s="17"/>
      <c r="F59" s="17"/>
      <c r="G59" s="17"/>
      <c r="H59" s="17"/>
      <c r="I59" s="17"/>
      <c r="J59" s="17"/>
      <c r="K59" s="17"/>
      <c r="L59" s="17"/>
      <c r="M59" s="17"/>
      <c r="N59" s="17"/>
      <c r="O59" s="17"/>
      <c r="P59" s="17"/>
      <c r="Q59" s="17"/>
      <c r="R59" s="17"/>
      <c r="S59" s="17"/>
      <c r="T59" s="17"/>
      <c r="U59" s="17"/>
      <c r="V59" s="17"/>
      <c r="W59" s="17"/>
      <c r="X59" s="17"/>
      <c r="Y59" s="17"/>
      <c r="Z59" s="17"/>
      <c r="AA59" s="17"/>
      <c r="AB59" s="17"/>
      <c r="AI59" s="17"/>
      <c r="AJ59" s="17"/>
      <c r="AK59" s="17"/>
      <c r="AL59" s="17"/>
      <c r="AM59" s="17"/>
      <c r="AN59" s="17"/>
      <c r="AO59" s="17"/>
      <c r="AP59" s="17"/>
      <c r="AQ59" s="17"/>
      <c r="AR59" s="17"/>
      <c r="AS59" s="17"/>
      <c r="AT59" s="17"/>
      <c r="AU59" s="17"/>
      <c r="AV59" s="17"/>
      <c r="AW59" s="17"/>
      <c r="AX59" s="17"/>
    </row>
    <row r="60" spans="5:50" x14ac:dyDescent="0.25">
      <c r="E60" s="17"/>
      <c r="F60" s="17"/>
      <c r="G60" s="17"/>
      <c r="H60" s="17"/>
      <c r="I60" s="17"/>
      <c r="J60" s="17"/>
      <c r="K60" s="17"/>
      <c r="L60" s="17"/>
      <c r="M60" s="17"/>
      <c r="N60" s="17"/>
      <c r="O60" s="17"/>
      <c r="P60" s="17"/>
      <c r="Q60" s="17"/>
      <c r="R60" s="17"/>
      <c r="S60" s="17"/>
      <c r="T60" s="17"/>
      <c r="U60" s="17"/>
      <c r="V60" s="17"/>
      <c r="W60" s="17"/>
      <c r="X60" s="17"/>
      <c r="Y60" s="17"/>
      <c r="Z60" s="17"/>
      <c r="AA60" s="17"/>
      <c r="AB60" s="17"/>
      <c r="AI60" s="17"/>
      <c r="AJ60" s="17"/>
      <c r="AK60" s="17"/>
      <c r="AL60" s="17"/>
      <c r="AM60" s="17"/>
      <c r="AN60" s="17"/>
      <c r="AO60" s="17"/>
      <c r="AP60" s="17"/>
      <c r="AQ60" s="17"/>
      <c r="AR60" s="17"/>
      <c r="AS60" s="17"/>
      <c r="AT60" s="17"/>
      <c r="AU60" s="17"/>
      <c r="AV60" s="17"/>
      <c r="AW60" s="17"/>
      <c r="AX60" s="17"/>
    </row>
    <row r="61" spans="5:50" x14ac:dyDescent="0.25">
      <c r="E61" s="17"/>
      <c r="F61" s="17"/>
      <c r="G61" s="17"/>
      <c r="H61" s="17"/>
      <c r="I61" s="17"/>
      <c r="J61" s="17"/>
      <c r="K61" s="17"/>
      <c r="L61" s="17"/>
      <c r="M61" s="17"/>
      <c r="N61" s="17"/>
      <c r="O61" s="17"/>
      <c r="P61" s="17"/>
      <c r="Q61" s="17"/>
      <c r="R61" s="17"/>
      <c r="S61" s="17"/>
      <c r="T61" s="17"/>
      <c r="U61" s="17"/>
      <c r="V61" s="17"/>
      <c r="W61" s="17"/>
      <c r="X61" s="17"/>
      <c r="Y61" s="17"/>
      <c r="Z61" s="17"/>
      <c r="AA61" s="17"/>
      <c r="AB61" s="17"/>
      <c r="AI61" s="17"/>
      <c r="AJ61" s="17"/>
      <c r="AK61" s="17"/>
      <c r="AL61" s="17"/>
      <c r="AM61" s="17"/>
      <c r="AN61" s="17"/>
      <c r="AO61" s="17"/>
      <c r="AP61" s="17"/>
      <c r="AQ61" s="17"/>
      <c r="AR61" s="17"/>
      <c r="AS61" s="17"/>
      <c r="AT61" s="17"/>
      <c r="AU61" s="17"/>
      <c r="AV61" s="17"/>
      <c r="AW61" s="17"/>
      <c r="AX61" s="17"/>
    </row>
    <row r="62" spans="5:50" x14ac:dyDescent="0.25">
      <c r="E62" s="17"/>
      <c r="F62" s="17"/>
      <c r="G62" s="17"/>
      <c r="H62" s="17"/>
      <c r="I62" s="17"/>
      <c r="J62" s="17"/>
      <c r="K62" s="17"/>
      <c r="L62" s="17"/>
      <c r="M62" s="17"/>
      <c r="N62" s="17"/>
      <c r="O62" s="17"/>
      <c r="P62" s="17"/>
      <c r="Q62" s="17"/>
      <c r="R62" s="17"/>
      <c r="S62" s="17"/>
      <c r="T62" s="17"/>
      <c r="U62" s="17"/>
      <c r="V62" s="17"/>
      <c r="W62" s="17"/>
      <c r="X62" s="17"/>
      <c r="Y62" s="17"/>
      <c r="Z62" s="17"/>
      <c r="AA62" s="17"/>
      <c r="AB62" s="17"/>
      <c r="AI62" s="17"/>
      <c r="AJ62" s="17"/>
      <c r="AK62" s="17"/>
      <c r="AL62" s="17"/>
      <c r="AM62" s="17"/>
      <c r="AN62" s="17"/>
      <c r="AO62" s="17"/>
      <c r="AP62" s="17"/>
      <c r="AQ62" s="17"/>
      <c r="AR62" s="17"/>
      <c r="AS62" s="17"/>
      <c r="AT62" s="17"/>
      <c r="AU62" s="17"/>
      <c r="AV62" s="17"/>
      <c r="AW62" s="17"/>
      <c r="AX62" s="17"/>
    </row>
    <row r="63" spans="5:50" x14ac:dyDescent="0.25">
      <c r="E63" s="17"/>
      <c r="F63" s="17"/>
      <c r="G63" s="17"/>
      <c r="H63" s="17"/>
      <c r="I63" s="17"/>
      <c r="J63" s="17"/>
      <c r="K63" s="17"/>
      <c r="L63" s="17"/>
      <c r="M63" s="17"/>
      <c r="N63" s="17"/>
      <c r="O63" s="17"/>
      <c r="P63" s="17"/>
      <c r="Q63" s="17"/>
      <c r="R63" s="17"/>
      <c r="S63" s="17"/>
      <c r="T63" s="17"/>
      <c r="U63" s="17"/>
      <c r="V63" s="17"/>
      <c r="W63" s="17"/>
      <c r="X63" s="17"/>
      <c r="Y63" s="17"/>
      <c r="Z63" s="17"/>
      <c r="AA63" s="17"/>
      <c r="AB63" s="17"/>
      <c r="AI63" s="17"/>
      <c r="AJ63" s="17"/>
      <c r="AK63" s="17"/>
      <c r="AL63" s="17"/>
      <c r="AM63" s="17"/>
      <c r="AN63" s="17"/>
      <c r="AO63" s="17"/>
      <c r="AP63" s="17"/>
      <c r="AQ63" s="17"/>
      <c r="AR63" s="17"/>
      <c r="AS63" s="17"/>
      <c r="AT63" s="17"/>
      <c r="AU63" s="17"/>
      <c r="AV63" s="17"/>
      <c r="AW63" s="17"/>
      <c r="AX63" s="17"/>
    </row>
    <row r="64" spans="5:50" x14ac:dyDescent="0.25">
      <c r="E64" s="39"/>
      <c r="F64" s="17"/>
      <c r="G64" s="17"/>
      <c r="H64" s="17"/>
      <c r="I64" s="17"/>
      <c r="J64" s="17"/>
      <c r="K64" s="17"/>
      <c r="L64" s="17"/>
      <c r="M64" s="17"/>
      <c r="N64" s="17"/>
      <c r="O64" s="17"/>
      <c r="P64" s="17"/>
      <c r="Q64" s="39"/>
      <c r="R64" s="17"/>
      <c r="S64" s="17"/>
      <c r="T64" s="17"/>
      <c r="U64" s="17"/>
      <c r="V64" s="17"/>
      <c r="W64" s="17"/>
      <c r="X64" s="17"/>
      <c r="Y64" s="17"/>
      <c r="Z64" s="17"/>
      <c r="AA64" s="17"/>
      <c r="AB64" s="17"/>
      <c r="AI64" s="39"/>
      <c r="AJ64" s="17"/>
      <c r="AK64" s="17"/>
      <c r="AL64" s="17"/>
      <c r="AM64" s="17"/>
      <c r="AN64" s="17"/>
      <c r="AO64" s="17"/>
      <c r="AP64" s="17"/>
      <c r="AQ64" s="17"/>
      <c r="AR64" s="17"/>
      <c r="AS64" s="17"/>
      <c r="AT64" s="17"/>
      <c r="AU64" s="17"/>
      <c r="AV64" s="17"/>
      <c r="AW64" s="17"/>
      <c r="AX64" s="17"/>
    </row>
    <row r="65" spans="5:50" x14ac:dyDescent="0.25">
      <c r="E65" s="17"/>
      <c r="F65" s="17"/>
      <c r="G65" s="17"/>
      <c r="H65" s="17"/>
      <c r="I65" s="17"/>
      <c r="J65" s="17"/>
      <c r="K65" s="17"/>
      <c r="L65" s="17"/>
      <c r="M65" s="17"/>
      <c r="N65" s="17"/>
      <c r="O65" s="17"/>
      <c r="P65" s="17"/>
      <c r="Q65" s="17"/>
      <c r="R65" s="17"/>
      <c r="S65" s="17"/>
      <c r="T65" s="17"/>
      <c r="U65" s="17"/>
      <c r="V65" s="17"/>
      <c r="W65" s="17"/>
      <c r="X65" s="17"/>
      <c r="Y65" s="17"/>
      <c r="Z65" s="17"/>
      <c r="AA65" s="17"/>
      <c r="AB65" s="17"/>
      <c r="AI65" s="17"/>
      <c r="AJ65" s="17"/>
      <c r="AK65" s="17"/>
      <c r="AL65" s="17"/>
      <c r="AM65" s="17"/>
      <c r="AN65" s="17"/>
      <c r="AO65" s="17"/>
      <c r="AP65" s="17"/>
      <c r="AQ65" s="17"/>
      <c r="AR65" s="17"/>
      <c r="AS65" s="17"/>
      <c r="AT65" s="17"/>
      <c r="AU65" s="17"/>
      <c r="AV65" s="17"/>
      <c r="AW65" s="17"/>
      <c r="AX65" s="17"/>
    </row>
    <row r="66" spans="5:50" x14ac:dyDescent="0.25">
      <c r="E66" s="39"/>
      <c r="F66" s="17"/>
      <c r="G66" s="17"/>
      <c r="H66" s="17"/>
      <c r="I66" s="17"/>
      <c r="J66" s="17"/>
      <c r="K66" s="17"/>
      <c r="L66" s="17"/>
      <c r="M66" s="17"/>
      <c r="N66" s="17"/>
      <c r="O66" s="17"/>
      <c r="P66" s="17"/>
      <c r="Q66" s="39"/>
      <c r="R66" s="17"/>
      <c r="S66" s="17"/>
      <c r="T66" s="17"/>
      <c r="U66" s="17"/>
      <c r="V66" s="17"/>
      <c r="W66" s="17"/>
      <c r="X66" s="17"/>
      <c r="Y66" s="17"/>
      <c r="Z66" s="17"/>
      <c r="AA66" s="17"/>
      <c r="AB66" s="17"/>
      <c r="AI66" s="39"/>
      <c r="AJ66" s="17"/>
      <c r="AK66" s="17"/>
      <c r="AL66" s="17"/>
      <c r="AM66" s="17"/>
      <c r="AN66" s="17"/>
      <c r="AO66" s="17"/>
      <c r="AP66" s="17"/>
      <c r="AQ66" s="17"/>
      <c r="AR66" s="17"/>
      <c r="AS66" s="17"/>
      <c r="AT66" s="17"/>
      <c r="AU66" s="17"/>
      <c r="AV66" s="17"/>
      <c r="AW66" s="17"/>
      <c r="AX66" s="17"/>
    </row>
    <row r="67" spans="5:50" x14ac:dyDescent="0.25">
      <c r="E67" s="17"/>
      <c r="F67" s="17"/>
      <c r="G67" s="17"/>
      <c r="H67" s="17"/>
      <c r="I67" s="17"/>
      <c r="J67" s="17"/>
      <c r="K67" s="17"/>
      <c r="L67" s="17"/>
      <c r="M67" s="17"/>
      <c r="N67" s="17"/>
      <c r="O67" s="17"/>
      <c r="P67" s="17"/>
      <c r="Q67" s="17"/>
      <c r="R67" s="17"/>
      <c r="S67" s="17"/>
      <c r="T67" s="17"/>
      <c r="U67" s="17"/>
      <c r="V67" s="17"/>
      <c r="W67" s="17"/>
      <c r="X67" s="17"/>
      <c r="Y67" s="17"/>
      <c r="Z67" s="17"/>
      <c r="AA67" s="17"/>
      <c r="AB67" s="17"/>
      <c r="AI67" s="17"/>
      <c r="AJ67" s="17"/>
      <c r="AK67" s="17"/>
      <c r="AL67" s="17"/>
      <c r="AM67" s="17"/>
      <c r="AN67" s="17"/>
      <c r="AO67" s="17"/>
      <c r="AP67" s="17"/>
      <c r="AQ67" s="17"/>
      <c r="AR67" s="17"/>
      <c r="AS67" s="17"/>
      <c r="AT67" s="17"/>
      <c r="AU67" s="17"/>
      <c r="AV67" s="17"/>
      <c r="AW67" s="17"/>
      <c r="AX67" s="17"/>
    </row>
    <row r="68" spans="5:50" x14ac:dyDescent="0.25">
      <c r="E68" s="17"/>
      <c r="F68" s="17"/>
      <c r="G68" s="17"/>
      <c r="H68" s="17"/>
      <c r="I68" s="17"/>
      <c r="J68" s="17"/>
      <c r="K68" s="17"/>
      <c r="L68" s="17"/>
      <c r="M68" s="17"/>
      <c r="N68" s="17"/>
      <c r="O68" s="17"/>
      <c r="P68" s="17"/>
      <c r="Q68" s="17"/>
      <c r="R68" s="17"/>
      <c r="S68" s="17"/>
      <c r="T68" s="17"/>
      <c r="U68" s="17"/>
      <c r="V68" s="17"/>
      <c r="W68" s="17"/>
      <c r="X68" s="17"/>
      <c r="Y68" s="17"/>
      <c r="Z68" s="17"/>
      <c r="AA68" s="17"/>
      <c r="AB68" s="17"/>
      <c r="AI68" s="17"/>
      <c r="AJ68" s="17"/>
      <c r="AK68" s="17"/>
      <c r="AL68" s="17"/>
      <c r="AM68" s="17"/>
      <c r="AN68" s="17"/>
      <c r="AO68" s="17"/>
      <c r="AP68" s="17"/>
      <c r="AQ68" s="17"/>
      <c r="AR68" s="17"/>
      <c r="AS68" s="17"/>
      <c r="AT68" s="17"/>
      <c r="AU68" s="17"/>
      <c r="AV68" s="17"/>
      <c r="AW68" s="17"/>
      <c r="AX68" s="17"/>
    </row>
    <row r="69" spans="5:50" x14ac:dyDescent="0.25">
      <c r="E69" s="17"/>
      <c r="G69" s="17"/>
      <c r="H69" s="17"/>
      <c r="I69" s="17"/>
      <c r="J69" s="17"/>
      <c r="K69" s="17"/>
      <c r="L69" s="17"/>
      <c r="M69" s="17"/>
      <c r="N69" s="17"/>
      <c r="O69" s="17"/>
      <c r="P69" s="17"/>
      <c r="Q69" s="17"/>
      <c r="R69" s="17"/>
      <c r="S69" s="17"/>
      <c r="T69" s="17"/>
      <c r="U69" s="17"/>
      <c r="V69" s="17"/>
      <c r="W69" s="17"/>
      <c r="X69" s="17"/>
      <c r="Y69" s="17"/>
      <c r="Z69" s="17"/>
      <c r="AA69" s="17"/>
      <c r="AB69" s="17"/>
      <c r="AI69" s="17"/>
      <c r="AN69" s="17"/>
      <c r="AO69" s="17"/>
      <c r="AP69" s="17"/>
      <c r="AQ69" s="17"/>
      <c r="AR69" s="17"/>
      <c r="AS69" s="17"/>
      <c r="AT69" s="17"/>
      <c r="AU69" s="17"/>
      <c r="AV69" s="17"/>
      <c r="AW69" s="17"/>
      <c r="AX69" s="17"/>
    </row>
    <row r="70" spans="5:50" x14ac:dyDescent="0.25">
      <c r="E70" s="17"/>
      <c r="F70" s="17"/>
      <c r="G70" s="17"/>
      <c r="H70" s="17"/>
      <c r="I70" s="17"/>
      <c r="J70" s="17"/>
      <c r="K70" s="17"/>
      <c r="L70" s="17"/>
      <c r="M70" s="17"/>
      <c r="N70" s="17"/>
      <c r="O70" s="17"/>
      <c r="P70" s="17"/>
      <c r="Q70" s="17"/>
      <c r="R70" s="17"/>
      <c r="S70" s="17"/>
      <c r="T70" s="17"/>
      <c r="U70" s="17"/>
      <c r="V70" s="17"/>
      <c r="W70" s="17"/>
      <c r="X70" s="17"/>
      <c r="Y70" s="17"/>
      <c r="Z70" s="17"/>
      <c r="AA70" s="17"/>
      <c r="AB70" s="17"/>
      <c r="AI70" s="17"/>
      <c r="AJ70" s="17"/>
      <c r="AK70" s="17"/>
      <c r="AL70" s="17"/>
      <c r="AM70" s="17"/>
      <c r="AN70" s="17"/>
      <c r="AO70" s="17"/>
      <c r="AP70" s="17"/>
      <c r="AQ70" s="17"/>
      <c r="AR70" s="17"/>
      <c r="AS70" s="17"/>
      <c r="AT70" s="17"/>
      <c r="AU70" s="17"/>
      <c r="AV70" s="17"/>
      <c r="AW70" s="17"/>
      <c r="AX70" s="17"/>
    </row>
    <row r="71" spans="5:50" x14ac:dyDescent="0.25">
      <c r="E71" s="17"/>
      <c r="F71" s="17"/>
      <c r="G71" s="17"/>
      <c r="H71" s="17"/>
      <c r="I71" s="17"/>
      <c r="J71" s="17"/>
      <c r="K71" s="17"/>
      <c r="L71" s="17"/>
      <c r="M71" s="17"/>
      <c r="N71" s="17"/>
      <c r="O71" s="17"/>
      <c r="P71" s="17"/>
      <c r="Q71" s="17"/>
      <c r="R71" s="17"/>
      <c r="S71" s="17"/>
      <c r="T71" s="17"/>
      <c r="U71" s="17"/>
      <c r="V71" s="17"/>
      <c r="W71" s="17"/>
      <c r="X71" s="17"/>
      <c r="Y71" s="17"/>
      <c r="Z71" s="17"/>
      <c r="AA71" s="17"/>
      <c r="AB71" s="17"/>
      <c r="AI71" s="17"/>
      <c r="AJ71" s="17"/>
      <c r="AK71" s="17"/>
      <c r="AL71" s="17"/>
      <c r="AM71" s="17"/>
      <c r="AN71" s="17"/>
      <c r="AO71" s="17"/>
      <c r="AP71" s="17"/>
      <c r="AQ71" s="17"/>
      <c r="AR71" s="17"/>
      <c r="AS71" s="17"/>
      <c r="AT71" s="17"/>
      <c r="AU71" s="17"/>
      <c r="AV71" s="17"/>
      <c r="AW71" s="17"/>
      <c r="AX71" s="17"/>
    </row>
    <row r="72" spans="5:50" x14ac:dyDescent="0.25">
      <c r="E72" s="17"/>
      <c r="F72" s="17"/>
      <c r="G72" s="17"/>
      <c r="H72" s="17"/>
      <c r="I72" s="17"/>
      <c r="J72" s="17"/>
      <c r="K72" s="17"/>
      <c r="L72" s="17"/>
      <c r="M72" s="17"/>
      <c r="N72" s="17"/>
      <c r="O72" s="17"/>
      <c r="P72" s="17"/>
      <c r="Q72" s="17"/>
      <c r="R72" s="17"/>
      <c r="S72" s="17"/>
      <c r="T72" s="17"/>
      <c r="U72" s="17"/>
      <c r="V72" s="17"/>
      <c r="W72" s="17"/>
      <c r="X72" s="17"/>
      <c r="Y72" s="17"/>
      <c r="Z72" s="17"/>
      <c r="AA72" s="17"/>
      <c r="AB72" s="17"/>
      <c r="AI72" s="17"/>
      <c r="AJ72" s="17"/>
      <c r="AK72" s="17"/>
      <c r="AL72" s="17"/>
      <c r="AM72" s="17"/>
      <c r="AN72" s="17"/>
      <c r="AO72" s="17"/>
      <c r="AP72" s="17"/>
      <c r="AQ72" s="17"/>
      <c r="AR72" s="17"/>
      <c r="AS72" s="17"/>
      <c r="AT72" s="17"/>
      <c r="AU72" s="17"/>
      <c r="AV72" s="17"/>
      <c r="AW72" s="17"/>
      <c r="AX72" s="17"/>
    </row>
    <row r="73" spans="5:50" x14ac:dyDescent="0.25">
      <c r="E73" s="17"/>
      <c r="F73" s="17"/>
      <c r="G73" s="17"/>
      <c r="H73" s="17"/>
      <c r="I73" s="17"/>
      <c r="J73" s="17"/>
      <c r="K73" s="17"/>
      <c r="L73" s="17"/>
      <c r="M73" s="17"/>
      <c r="N73" s="17"/>
      <c r="O73" s="17"/>
      <c r="P73" s="17"/>
      <c r="Q73" s="17"/>
      <c r="R73" s="17"/>
      <c r="S73" s="17"/>
      <c r="T73" s="17"/>
      <c r="U73" s="17"/>
      <c r="V73" s="17"/>
      <c r="W73" s="17"/>
      <c r="X73" s="17"/>
      <c r="Y73" s="17"/>
      <c r="Z73" s="17"/>
      <c r="AA73" s="17"/>
      <c r="AB73" s="17"/>
      <c r="AI73" s="17"/>
      <c r="AJ73" s="17"/>
      <c r="AK73" s="17"/>
      <c r="AL73" s="17"/>
      <c r="AM73" s="17"/>
      <c r="AN73" s="17"/>
      <c r="AO73" s="17"/>
      <c r="AP73" s="17"/>
      <c r="AQ73" s="17"/>
      <c r="AR73" s="17"/>
      <c r="AS73" s="17"/>
      <c r="AT73" s="17"/>
      <c r="AU73" s="17"/>
      <c r="AV73" s="17"/>
      <c r="AW73" s="17"/>
      <c r="AX73" s="17"/>
    </row>
    <row r="74" spans="5:50" x14ac:dyDescent="0.25">
      <c r="E74" s="17"/>
      <c r="F74" s="17"/>
      <c r="G74" s="17"/>
      <c r="H74" s="17"/>
      <c r="I74" s="17"/>
      <c r="J74" s="17"/>
      <c r="K74" s="17"/>
      <c r="L74" s="17"/>
      <c r="M74" s="17"/>
      <c r="N74" s="17"/>
      <c r="O74" s="17"/>
      <c r="P74" s="17"/>
      <c r="Q74" s="17"/>
      <c r="R74" s="17"/>
      <c r="S74" s="17"/>
      <c r="T74" s="17"/>
      <c r="U74" s="17"/>
      <c r="V74" s="17"/>
      <c r="W74" s="17"/>
      <c r="X74" s="17"/>
      <c r="Y74" s="17"/>
      <c r="Z74" s="17"/>
      <c r="AA74" s="17"/>
      <c r="AB74" s="17"/>
      <c r="AI74" s="17"/>
      <c r="AJ74" s="17"/>
      <c r="AK74" s="17"/>
      <c r="AL74" s="17"/>
      <c r="AM74" s="17"/>
      <c r="AN74" s="17"/>
      <c r="AO74" s="17"/>
      <c r="AP74" s="17"/>
      <c r="AQ74" s="17"/>
      <c r="AR74" s="17"/>
      <c r="AS74" s="17"/>
      <c r="AT74" s="17"/>
      <c r="AU74" s="17"/>
      <c r="AV74" s="17"/>
      <c r="AW74" s="17"/>
      <c r="AX74" s="17"/>
    </row>
    <row r="75" spans="5:50" x14ac:dyDescent="0.25">
      <c r="E75" s="17"/>
      <c r="F75" s="17"/>
      <c r="G75" s="17"/>
      <c r="H75" s="17"/>
      <c r="I75" s="17"/>
      <c r="J75" s="17"/>
      <c r="K75" s="17"/>
      <c r="L75" s="17"/>
      <c r="M75" s="17"/>
      <c r="N75" s="17"/>
      <c r="O75" s="17"/>
      <c r="P75" s="17"/>
      <c r="Q75" s="17"/>
      <c r="R75" s="17"/>
      <c r="S75" s="17"/>
      <c r="T75" s="17"/>
      <c r="U75" s="17"/>
      <c r="V75" s="17"/>
      <c r="W75" s="17"/>
      <c r="X75" s="17"/>
      <c r="Y75" s="17"/>
      <c r="Z75" s="17"/>
      <c r="AA75" s="17"/>
      <c r="AB75" s="17"/>
      <c r="AI75" s="17"/>
      <c r="AJ75" s="17"/>
      <c r="AK75" s="17"/>
      <c r="AL75" s="17"/>
      <c r="AM75" s="17"/>
      <c r="AN75" s="17"/>
      <c r="AO75" s="17"/>
      <c r="AP75" s="17"/>
      <c r="AQ75" s="17"/>
      <c r="AR75" s="17"/>
      <c r="AS75" s="17"/>
      <c r="AT75" s="17"/>
      <c r="AU75" s="17"/>
      <c r="AV75" s="17"/>
      <c r="AW75" s="17"/>
      <c r="AX75" s="17"/>
    </row>
    <row r="76" spans="5:50" x14ac:dyDescent="0.25">
      <c r="E76" s="17"/>
      <c r="F76" s="17"/>
      <c r="G76" s="17"/>
      <c r="H76" s="17"/>
      <c r="I76" s="17"/>
      <c r="J76" s="17"/>
      <c r="K76" s="17"/>
      <c r="L76" s="17"/>
      <c r="M76" s="17"/>
      <c r="N76" s="17"/>
      <c r="O76" s="17"/>
      <c r="P76" s="17"/>
      <c r="Q76" s="17"/>
      <c r="R76" s="17"/>
      <c r="S76" s="17"/>
      <c r="T76" s="17"/>
      <c r="U76" s="17"/>
      <c r="V76" s="17"/>
      <c r="W76" s="17"/>
      <c r="X76" s="17"/>
      <c r="Y76" s="17"/>
      <c r="Z76" s="17"/>
      <c r="AA76" s="17"/>
      <c r="AB76" s="17"/>
      <c r="AI76" s="17"/>
      <c r="AJ76" s="17"/>
      <c r="AK76" s="17"/>
      <c r="AL76" s="17"/>
      <c r="AM76" s="17"/>
      <c r="AN76" s="17"/>
      <c r="AO76" s="17"/>
      <c r="AP76" s="17"/>
      <c r="AQ76" s="17"/>
      <c r="AR76" s="17"/>
      <c r="AS76" s="17"/>
      <c r="AT76" s="17"/>
      <c r="AU76" s="17"/>
      <c r="AV76" s="17"/>
      <c r="AW76" s="17"/>
      <c r="AX76" s="17"/>
    </row>
    <row r="77" spans="5:50" x14ac:dyDescent="0.25">
      <c r="E77" s="17"/>
      <c r="F77" s="17"/>
      <c r="G77" s="17"/>
      <c r="H77" s="17"/>
      <c r="I77" s="17"/>
      <c r="J77" s="17"/>
      <c r="K77" s="17"/>
      <c r="L77" s="17"/>
      <c r="M77" s="17"/>
      <c r="N77" s="17"/>
      <c r="O77" s="17"/>
      <c r="P77" s="17"/>
      <c r="Q77" s="17"/>
      <c r="R77" s="17"/>
      <c r="S77" s="17"/>
      <c r="T77" s="17"/>
      <c r="U77" s="17"/>
      <c r="V77" s="17"/>
      <c r="W77" s="17"/>
      <c r="X77" s="17"/>
      <c r="Y77" s="17"/>
      <c r="Z77" s="17"/>
      <c r="AA77" s="17"/>
      <c r="AB77" s="17"/>
      <c r="AI77" s="17"/>
      <c r="AJ77" s="17"/>
      <c r="AK77" s="17"/>
      <c r="AL77" s="17"/>
      <c r="AM77" s="17"/>
      <c r="AN77" s="17"/>
      <c r="AO77" s="17"/>
      <c r="AP77" s="17"/>
      <c r="AQ77" s="17"/>
      <c r="AR77" s="17"/>
      <c r="AS77" s="17"/>
      <c r="AT77" s="17"/>
      <c r="AU77" s="17"/>
      <c r="AV77" s="17"/>
      <c r="AW77" s="17"/>
      <c r="AX77" s="17"/>
    </row>
    <row r="78" spans="5:50" x14ac:dyDescent="0.25">
      <c r="E78" s="17"/>
      <c r="F78" s="17"/>
      <c r="G78" s="17"/>
      <c r="H78" s="17"/>
      <c r="I78" s="17"/>
      <c r="J78" s="17"/>
      <c r="K78" s="17"/>
      <c r="L78" s="17"/>
      <c r="M78" s="17"/>
      <c r="N78" s="17"/>
      <c r="O78" s="17"/>
      <c r="P78" s="17"/>
      <c r="Q78" s="17"/>
      <c r="R78" s="17"/>
      <c r="S78" s="17"/>
      <c r="T78" s="17"/>
      <c r="U78" s="17"/>
      <c r="V78" s="17"/>
      <c r="W78" s="17"/>
      <c r="X78" s="17"/>
      <c r="Y78" s="17"/>
      <c r="Z78" s="17"/>
      <c r="AA78" s="17"/>
      <c r="AB78" s="17"/>
      <c r="AI78" s="17"/>
      <c r="AJ78" s="17"/>
      <c r="AK78" s="17"/>
      <c r="AL78" s="17"/>
      <c r="AM78" s="17"/>
      <c r="AN78" s="17"/>
      <c r="AO78" s="17"/>
      <c r="AP78" s="17"/>
      <c r="AQ78" s="17"/>
      <c r="AR78" s="17"/>
      <c r="AS78" s="17"/>
      <c r="AT78" s="17"/>
      <c r="AU78" s="17"/>
      <c r="AV78" s="17"/>
      <c r="AW78" s="17"/>
      <c r="AX78" s="17"/>
    </row>
    <row r="79" spans="5:50" x14ac:dyDescent="0.25">
      <c r="E79" s="17"/>
      <c r="F79" s="17"/>
      <c r="G79" s="17"/>
      <c r="H79" s="17"/>
      <c r="I79" s="17"/>
      <c r="J79" s="17"/>
      <c r="K79" s="17"/>
      <c r="L79" s="17"/>
      <c r="M79" s="17"/>
      <c r="N79" s="17"/>
      <c r="O79" s="17"/>
      <c r="P79" s="17"/>
      <c r="Q79" s="17"/>
      <c r="R79" s="17"/>
      <c r="S79" s="17"/>
      <c r="T79" s="17"/>
      <c r="U79" s="17"/>
      <c r="V79" s="17"/>
      <c r="W79" s="17"/>
      <c r="X79" s="17"/>
      <c r="Y79" s="17"/>
      <c r="Z79" s="17"/>
      <c r="AA79" s="17"/>
      <c r="AB79" s="17"/>
      <c r="AI79" s="17"/>
      <c r="AJ79" s="17"/>
      <c r="AK79" s="17"/>
      <c r="AL79" s="17"/>
      <c r="AM79" s="17"/>
      <c r="AN79" s="17"/>
      <c r="AO79" s="17"/>
      <c r="AP79" s="17"/>
      <c r="AQ79" s="17"/>
      <c r="AR79" s="17"/>
      <c r="AS79" s="17"/>
      <c r="AT79" s="17"/>
      <c r="AU79" s="17"/>
      <c r="AV79" s="17"/>
      <c r="AW79" s="17"/>
      <c r="AX79" s="17"/>
    </row>
    <row r="80" spans="5:50" x14ac:dyDescent="0.25">
      <c r="E80" s="17"/>
      <c r="F80" s="17"/>
      <c r="G80" s="17"/>
      <c r="H80" s="17"/>
      <c r="I80" s="17"/>
      <c r="J80" s="17"/>
      <c r="K80" s="17"/>
      <c r="L80" s="17"/>
      <c r="M80" s="17"/>
      <c r="N80" s="17"/>
      <c r="O80" s="17"/>
      <c r="P80" s="17"/>
      <c r="Q80" s="17"/>
      <c r="R80" s="17"/>
      <c r="S80" s="17"/>
      <c r="T80" s="17"/>
      <c r="U80" s="17"/>
      <c r="V80" s="17"/>
      <c r="W80" s="17"/>
      <c r="X80" s="17"/>
      <c r="Y80" s="17"/>
      <c r="Z80" s="17"/>
      <c r="AA80" s="17"/>
      <c r="AB80" s="17"/>
      <c r="AI80" s="17"/>
      <c r="AJ80" s="17"/>
      <c r="AK80" s="17"/>
      <c r="AL80" s="17"/>
      <c r="AM80" s="17"/>
      <c r="AN80" s="17"/>
      <c r="AO80" s="17"/>
      <c r="AP80" s="17"/>
      <c r="AQ80" s="17"/>
      <c r="AR80" s="17"/>
      <c r="AS80" s="17"/>
      <c r="AT80" s="17"/>
      <c r="AU80" s="17"/>
      <c r="AV80" s="17"/>
      <c r="AW80" s="17"/>
      <c r="AX80" s="17"/>
    </row>
    <row r="81" spans="5:50" x14ac:dyDescent="0.25">
      <c r="E81" s="17"/>
      <c r="F81" s="17"/>
      <c r="G81" s="17"/>
      <c r="H81" s="17"/>
      <c r="I81" s="17"/>
      <c r="J81" s="17"/>
      <c r="K81" s="17"/>
      <c r="L81" s="17"/>
      <c r="M81" s="17"/>
      <c r="N81" s="17"/>
      <c r="O81" s="17"/>
      <c r="P81" s="17"/>
      <c r="Q81" s="17"/>
      <c r="R81" s="17"/>
      <c r="S81" s="17"/>
      <c r="T81" s="17"/>
      <c r="U81" s="17"/>
      <c r="V81" s="17"/>
      <c r="W81" s="17"/>
      <c r="X81" s="17"/>
      <c r="Y81" s="17"/>
      <c r="Z81" s="17"/>
      <c r="AA81" s="17"/>
      <c r="AB81" s="17"/>
      <c r="AI81" s="17"/>
      <c r="AJ81" s="17"/>
      <c r="AK81" s="17"/>
      <c r="AL81" s="17"/>
      <c r="AM81" s="17"/>
      <c r="AN81" s="17"/>
      <c r="AO81" s="17"/>
      <c r="AP81" s="17"/>
      <c r="AQ81" s="17"/>
      <c r="AR81" s="17"/>
      <c r="AS81" s="17"/>
      <c r="AT81" s="17"/>
      <c r="AU81" s="17"/>
      <c r="AV81" s="17"/>
      <c r="AW81" s="17"/>
      <c r="AX81" s="17"/>
    </row>
    <row r="82" spans="5:50" x14ac:dyDescent="0.25">
      <c r="E82" s="17"/>
      <c r="F82" s="17"/>
      <c r="G82" s="17"/>
      <c r="H82" s="17"/>
      <c r="I82" s="17"/>
      <c r="J82" s="17"/>
      <c r="K82" s="17"/>
      <c r="L82" s="17"/>
      <c r="M82" s="17"/>
      <c r="N82" s="17"/>
      <c r="O82" s="17"/>
      <c r="P82" s="17"/>
      <c r="Q82" s="17"/>
      <c r="R82" s="17"/>
      <c r="S82" s="17"/>
      <c r="T82" s="17"/>
      <c r="U82" s="17"/>
      <c r="V82" s="17"/>
      <c r="W82" s="17"/>
      <c r="X82" s="17"/>
      <c r="Y82" s="17"/>
      <c r="Z82" s="17"/>
      <c r="AA82" s="17"/>
      <c r="AB82" s="17"/>
      <c r="AI82" s="17"/>
      <c r="AJ82" s="17"/>
      <c r="AK82" s="17"/>
      <c r="AL82" s="17"/>
      <c r="AM82" s="17"/>
      <c r="AN82" s="17"/>
      <c r="AO82" s="17"/>
      <c r="AP82" s="17"/>
      <c r="AQ82" s="17"/>
      <c r="AR82" s="17"/>
      <c r="AS82" s="17"/>
      <c r="AT82" s="17"/>
      <c r="AU82" s="17"/>
      <c r="AV82" s="17"/>
      <c r="AW82" s="17"/>
      <c r="AX82" s="17"/>
    </row>
    <row r="83" spans="5:50" x14ac:dyDescent="0.25">
      <c r="E83" s="17"/>
      <c r="F83" s="17"/>
      <c r="G83" s="17"/>
      <c r="H83" s="17"/>
      <c r="I83" s="17"/>
      <c r="J83" s="17"/>
      <c r="K83" s="17"/>
      <c r="L83" s="17"/>
      <c r="M83" s="17"/>
      <c r="N83" s="17"/>
      <c r="O83" s="17"/>
      <c r="P83" s="17"/>
      <c r="Q83" s="17"/>
      <c r="R83" s="17"/>
      <c r="S83" s="17"/>
      <c r="T83" s="17"/>
      <c r="U83" s="17"/>
      <c r="V83" s="17"/>
      <c r="W83" s="17"/>
      <c r="X83" s="17"/>
      <c r="Y83" s="17"/>
      <c r="Z83" s="17"/>
      <c r="AA83" s="17"/>
      <c r="AB83" s="17"/>
      <c r="AI83" s="17"/>
      <c r="AJ83" s="17"/>
      <c r="AK83" s="17"/>
      <c r="AL83" s="17"/>
      <c r="AM83" s="17"/>
      <c r="AN83" s="17"/>
      <c r="AO83" s="17"/>
      <c r="AP83" s="17"/>
      <c r="AQ83" s="17"/>
      <c r="AR83" s="17"/>
      <c r="AS83" s="17"/>
      <c r="AT83" s="17"/>
      <c r="AU83" s="17"/>
      <c r="AV83" s="17"/>
      <c r="AW83" s="17"/>
      <c r="AX83" s="17"/>
    </row>
  </sheetData>
  <mergeCells count="7">
    <mergeCell ref="E1:J1"/>
    <mergeCell ref="Q1:X1"/>
    <mergeCell ref="Z1:AG1"/>
    <mergeCell ref="AI1:AX1"/>
    <mergeCell ref="AO3:AP3"/>
    <mergeCell ref="AQ3:AR3"/>
    <mergeCell ref="AS3:AT3"/>
  </mergeCells>
  <pageMargins left="0.7" right="0.7" top="0.75" bottom="0.75" header="0.3" footer="0.3"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4</vt:i4>
      </vt:variant>
    </vt:vector>
  </HeadingPairs>
  <TitlesOfParts>
    <vt:vector size="4" baseType="lpstr">
      <vt:lpstr>TOTAL</vt:lpstr>
      <vt:lpstr>Water</vt:lpstr>
      <vt:lpstr>Gas</vt:lpstr>
      <vt:lpstr>Electricity</vt:lpstr>
    </vt:vector>
  </TitlesOfParts>
  <Company>Hewlett-Packard Company</Company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Barbara Laudato</dc:creator>
  <cp:lastModifiedBy>Gokhan Gunay</cp:lastModifiedBy>
  <dcterms:created xsi:type="dcterms:W3CDTF">2017-05-22T13:08:25Z</dcterms:created>
  <dcterms:modified xsi:type="dcterms:W3CDTF">2022-08-17T04:21:38Z</dcterms:modified>
</cp:coreProperties>
</file>