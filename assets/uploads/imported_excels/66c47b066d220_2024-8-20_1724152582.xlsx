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DDEA1E68-B369-43A4-ABF1-7C5AEB9A8AE8}" xr6:coauthVersionLast="47" xr6:coauthVersionMax="47" xr10:uidLastSave="{00000000-0000-0000-0000-000000000000}"/>
  <bookViews>
    <workbookView xWindow="10608" yWindow="0" windowWidth="20530" windowHeight="10793" tabRatio="193" activeTab="1" xr2:uid="{00000000-000D-0000-FFFF-FFFF00000000}"/>
  </bookViews>
  <sheets>
    <sheet name="JULY" sheetId="1" r:id="rId1"/>
    <sheet name="AUGUST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34" i="2" l="1"/>
  <c r="AC34" i="2"/>
  <c r="AA34" i="2"/>
  <c r="T34" i="2"/>
  <c r="N34" i="2"/>
  <c r="S33" i="2"/>
  <c r="K33" i="2"/>
  <c r="AB32" i="2"/>
  <c r="Y32" i="2"/>
  <c r="W32" i="2"/>
  <c r="S32" i="2"/>
  <c r="U32" i="2" s="1"/>
  <c r="K32" i="2"/>
  <c r="G32" i="2"/>
  <c r="E32" i="2"/>
  <c r="C32" i="2"/>
  <c r="AB31" i="2"/>
  <c r="Y31" i="2"/>
  <c r="W31" i="2"/>
  <c r="S31" i="2"/>
  <c r="U31" i="2" s="1"/>
  <c r="K31" i="2"/>
  <c r="G31" i="2"/>
  <c r="E31" i="2"/>
  <c r="C31" i="2"/>
  <c r="H31" i="2" s="1"/>
  <c r="I31" i="2" s="1"/>
  <c r="AB30" i="2"/>
  <c r="Y30" i="2"/>
  <c r="W30" i="2"/>
  <c r="U30" i="2"/>
  <c r="S30" i="2"/>
  <c r="K30" i="2"/>
  <c r="G30" i="2"/>
  <c r="E30" i="2"/>
  <c r="C30" i="2"/>
  <c r="AB29" i="2"/>
  <c r="Y29" i="2"/>
  <c r="W29" i="2"/>
  <c r="U29" i="2"/>
  <c r="S29" i="2"/>
  <c r="K29" i="2"/>
  <c r="G29" i="2"/>
  <c r="E29" i="2"/>
  <c r="C29" i="2"/>
  <c r="H29" i="2" s="1"/>
  <c r="AB28" i="2"/>
  <c r="Y28" i="2"/>
  <c r="W28" i="2"/>
  <c r="S28" i="2"/>
  <c r="U28" i="2" s="1"/>
  <c r="K28" i="2"/>
  <c r="G28" i="2"/>
  <c r="E28" i="2"/>
  <c r="C28" i="2"/>
  <c r="AB27" i="2"/>
  <c r="Y27" i="2"/>
  <c r="W27" i="2"/>
  <c r="S27" i="2"/>
  <c r="U27" i="2" s="1"/>
  <c r="K27" i="2"/>
  <c r="G27" i="2"/>
  <c r="E27" i="2"/>
  <c r="C27" i="2"/>
  <c r="H27" i="2" s="1"/>
  <c r="I27" i="2" s="1"/>
  <c r="AB26" i="2"/>
  <c r="Y26" i="2"/>
  <c r="W26" i="2"/>
  <c r="U26" i="2"/>
  <c r="S26" i="2"/>
  <c r="K26" i="2"/>
  <c r="G26" i="2"/>
  <c r="E26" i="2"/>
  <c r="C26" i="2"/>
  <c r="AB25" i="2"/>
  <c r="Y25" i="2"/>
  <c r="W25" i="2"/>
  <c r="U25" i="2"/>
  <c r="S25" i="2"/>
  <c r="K25" i="2"/>
  <c r="G25" i="2"/>
  <c r="E25" i="2"/>
  <c r="C25" i="2"/>
  <c r="H25" i="2" s="1"/>
  <c r="AB24" i="2"/>
  <c r="Y24" i="2"/>
  <c r="W24" i="2"/>
  <c r="S24" i="2"/>
  <c r="U24" i="2" s="1"/>
  <c r="K24" i="2"/>
  <c r="G24" i="2"/>
  <c r="E24" i="2"/>
  <c r="C24" i="2"/>
  <c r="AB23" i="2"/>
  <c r="Y23" i="2"/>
  <c r="W23" i="2"/>
  <c r="S23" i="2"/>
  <c r="U23" i="2" s="1"/>
  <c r="K23" i="2"/>
  <c r="G23" i="2"/>
  <c r="E23" i="2"/>
  <c r="C23" i="2"/>
  <c r="H23" i="2" s="1"/>
  <c r="I23" i="2" s="1"/>
  <c r="AB22" i="2"/>
  <c r="Y22" i="2"/>
  <c r="W22" i="2"/>
  <c r="U22" i="2"/>
  <c r="S22" i="2"/>
  <c r="K22" i="2"/>
  <c r="G22" i="2"/>
  <c r="E22" i="2"/>
  <c r="C22" i="2"/>
  <c r="AB21" i="2"/>
  <c r="Y21" i="2"/>
  <c r="W21" i="2"/>
  <c r="S21" i="2"/>
  <c r="U21" i="2" s="1"/>
  <c r="K21" i="2"/>
  <c r="G21" i="2"/>
  <c r="E21" i="2"/>
  <c r="C21" i="2"/>
  <c r="AB20" i="2"/>
  <c r="Y20" i="2"/>
  <c r="W20" i="2"/>
  <c r="S20" i="2"/>
  <c r="K20" i="2"/>
  <c r="G20" i="2"/>
  <c r="E20" i="2"/>
  <c r="C20" i="2"/>
  <c r="AB19" i="2"/>
  <c r="Y19" i="2"/>
  <c r="W19" i="2"/>
  <c r="S19" i="2"/>
  <c r="K19" i="2"/>
  <c r="G19" i="2"/>
  <c r="E19" i="2"/>
  <c r="C19" i="2"/>
  <c r="AB18" i="2"/>
  <c r="Y18" i="2"/>
  <c r="W18" i="2"/>
  <c r="S18" i="2"/>
  <c r="K18" i="2"/>
  <c r="G18" i="2"/>
  <c r="E18" i="2"/>
  <c r="C18" i="2"/>
  <c r="AB17" i="2"/>
  <c r="Y17" i="2"/>
  <c r="W17" i="2"/>
  <c r="S17" i="2"/>
  <c r="K17" i="2"/>
  <c r="G17" i="2"/>
  <c r="E17" i="2"/>
  <c r="C17" i="2"/>
  <c r="AB16" i="2"/>
  <c r="Y16" i="2"/>
  <c r="W16" i="2"/>
  <c r="S16" i="2"/>
  <c r="K16" i="2"/>
  <c r="G16" i="2"/>
  <c r="E16" i="2"/>
  <c r="C16" i="2"/>
  <c r="AB15" i="2"/>
  <c r="Y15" i="2"/>
  <c r="W15" i="2"/>
  <c r="S15" i="2"/>
  <c r="K15" i="2"/>
  <c r="G15" i="2"/>
  <c r="E15" i="2"/>
  <c r="C15" i="2"/>
  <c r="AB14" i="2"/>
  <c r="Y14" i="2"/>
  <c r="W14" i="2"/>
  <c r="S14" i="2"/>
  <c r="K14" i="2"/>
  <c r="G14" i="2"/>
  <c r="E14" i="2"/>
  <c r="C14" i="2"/>
  <c r="AB13" i="2"/>
  <c r="Y13" i="2"/>
  <c r="W13" i="2"/>
  <c r="S13" i="2"/>
  <c r="K13" i="2"/>
  <c r="G13" i="2"/>
  <c r="E13" i="2"/>
  <c r="C13" i="2"/>
  <c r="AB12" i="2"/>
  <c r="Y12" i="2"/>
  <c r="W12" i="2"/>
  <c r="S12" i="2"/>
  <c r="K12" i="2"/>
  <c r="G12" i="2"/>
  <c r="E12" i="2"/>
  <c r="C12" i="2"/>
  <c r="AB11" i="2"/>
  <c r="Y11" i="2"/>
  <c r="W11" i="2"/>
  <c r="S11" i="2"/>
  <c r="K11" i="2"/>
  <c r="G11" i="2"/>
  <c r="E11" i="2"/>
  <c r="C11" i="2"/>
  <c r="AB10" i="2"/>
  <c r="Y10" i="2"/>
  <c r="W10" i="2"/>
  <c r="S10" i="2"/>
  <c r="K10" i="2"/>
  <c r="G10" i="2"/>
  <c r="E10" i="2"/>
  <c r="C10" i="2"/>
  <c r="H10" i="2" s="1"/>
  <c r="AB9" i="2"/>
  <c r="Y9" i="2"/>
  <c r="W9" i="2"/>
  <c r="S9" i="2"/>
  <c r="K9" i="2"/>
  <c r="G9" i="2"/>
  <c r="E9" i="2"/>
  <c r="C9" i="2"/>
  <c r="AB8" i="2"/>
  <c r="Y8" i="2"/>
  <c r="W8" i="2"/>
  <c r="S8" i="2"/>
  <c r="K8" i="2"/>
  <c r="G8" i="2"/>
  <c r="E8" i="2"/>
  <c r="C8" i="2"/>
  <c r="AB7" i="2"/>
  <c r="Y7" i="2"/>
  <c r="W7" i="2"/>
  <c r="S7" i="2"/>
  <c r="K7" i="2"/>
  <c r="G7" i="2"/>
  <c r="E7" i="2"/>
  <c r="C7" i="2"/>
  <c r="AB6" i="2"/>
  <c r="Y6" i="2"/>
  <c r="W6" i="2"/>
  <c r="S6" i="2"/>
  <c r="K6" i="2"/>
  <c r="G6" i="2"/>
  <c r="E6" i="2"/>
  <c r="C6" i="2"/>
  <c r="AB5" i="2"/>
  <c r="Y5" i="2"/>
  <c r="W5" i="2"/>
  <c r="S5" i="2"/>
  <c r="K5" i="2"/>
  <c r="G5" i="2"/>
  <c r="E5" i="2"/>
  <c r="C5" i="2"/>
  <c r="AB4" i="2"/>
  <c r="Y4" i="2"/>
  <c r="W4" i="2"/>
  <c r="S4" i="2"/>
  <c r="K4" i="2"/>
  <c r="G4" i="2"/>
  <c r="E4" i="2"/>
  <c r="C4" i="2"/>
  <c r="AB3" i="2"/>
  <c r="Y3" i="2"/>
  <c r="W3" i="2"/>
  <c r="S3" i="2"/>
  <c r="K3" i="2"/>
  <c r="G3" i="2"/>
  <c r="E3" i="2"/>
  <c r="C3" i="2"/>
  <c r="AB2" i="2"/>
  <c r="Y2" i="2"/>
  <c r="W2" i="2"/>
  <c r="S2" i="2"/>
  <c r="K2" i="2"/>
  <c r="G2" i="2"/>
  <c r="G34" i="2" s="1"/>
  <c r="E2" i="2"/>
  <c r="C2" i="2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AB3" i="1"/>
  <c r="AB2" i="1"/>
  <c r="U20" i="2" l="1"/>
  <c r="H21" i="2"/>
  <c r="U19" i="2"/>
  <c r="H19" i="2"/>
  <c r="I19" i="2" s="1"/>
  <c r="U17" i="2"/>
  <c r="U16" i="2"/>
  <c r="H15" i="2"/>
  <c r="U13" i="2"/>
  <c r="U14" i="2"/>
  <c r="U12" i="2"/>
  <c r="H11" i="2"/>
  <c r="I11" i="2" s="1"/>
  <c r="U9" i="2"/>
  <c r="U10" i="2"/>
  <c r="U8" i="2"/>
  <c r="H9" i="2"/>
  <c r="U7" i="2"/>
  <c r="H7" i="2"/>
  <c r="U5" i="2"/>
  <c r="H6" i="2"/>
  <c r="H5" i="2"/>
  <c r="U4" i="2"/>
  <c r="U3" i="2"/>
  <c r="H3" i="2"/>
  <c r="I3" i="2" s="1"/>
  <c r="U2" i="2"/>
  <c r="AB34" i="2"/>
  <c r="Y34" i="2"/>
  <c r="W34" i="2"/>
  <c r="U18" i="2"/>
  <c r="U6" i="2"/>
  <c r="U11" i="2"/>
  <c r="U15" i="2"/>
  <c r="H2" i="2"/>
  <c r="H32" i="2"/>
  <c r="I32" i="2" s="1"/>
  <c r="J32" i="2" s="1"/>
  <c r="H30" i="2"/>
  <c r="H20" i="2"/>
  <c r="H24" i="2"/>
  <c r="H28" i="2"/>
  <c r="H22" i="2"/>
  <c r="I22" i="2" s="1"/>
  <c r="J22" i="2" s="1"/>
  <c r="H26" i="2"/>
  <c r="H16" i="2"/>
  <c r="H17" i="2"/>
  <c r="I17" i="2" s="1"/>
  <c r="H13" i="2"/>
  <c r="H14" i="2"/>
  <c r="I14" i="2" s="1"/>
  <c r="H18" i="2"/>
  <c r="I18" i="2" s="1"/>
  <c r="E34" i="2"/>
  <c r="H4" i="2"/>
  <c r="I4" i="2" s="1"/>
  <c r="H8" i="2"/>
  <c r="I8" i="2" s="1"/>
  <c r="H12" i="2"/>
  <c r="I12" i="2" s="1"/>
  <c r="J11" i="2" s="1"/>
  <c r="I30" i="2"/>
  <c r="J30" i="2" s="1"/>
  <c r="I29" i="2"/>
  <c r="I28" i="2"/>
  <c r="J27" i="2" s="1"/>
  <c r="I26" i="2"/>
  <c r="J26" i="2" s="1"/>
  <c r="I25" i="2"/>
  <c r="I24" i="2"/>
  <c r="I21" i="2"/>
  <c r="I20" i="2"/>
  <c r="J20" i="2" s="1"/>
  <c r="I16" i="2"/>
  <c r="I15" i="2"/>
  <c r="I13" i="2"/>
  <c r="I10" i="2"/>
  <c r="J10" i="2" s="1"/>
  <c r="I9" i="2"/>
  <c r="I7" i="2"/>
  <c r="I6" i="2"/>
  <c r="I5" i="2"/>
  <c r="J23" i="2"/>
  <c r="I2" i="2"/>
  <c r="C34" i="2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J13" i="2" l="1"/>
  <c r="J4" i="2"/>
  <c r="U34" i="2"/>
  <c r="J29" i="2"/>
  <c r="J17" i="2"/>
  <c r="J7" i="2"/>
  <c r="J31" i="2"/>
  <c r="J28" i="2"/>
  <c r="J24" i="2"/>
  <c r="J15" i="2"/>
  <c r="H34" i="2"/>
  <c r="J19" i="2"/>
  <c r="J16" i="2"/>
  <c r="J3" i="2"/>
  <c r="J12" i="2"/>
  <c r="J6" i="2"/>
  <c r="J25" i="2"/>
  <c r="J5" i="2"/>
  <c r="J8" i="2"/>
  <c r="J18" i="2"/>
  <c r="J9" i="2"/>
  <c r="I34" i="2"/>
  <c r="J21" i="2"/>
  <c r="J14" i="2"/>
  <c r="J2" i="2"/>
  <c r="AD34" i="1"/>
  <c r="S33" i="1"/>
  <c r="S32" i="1"/>
  <c r="U32" i="1" s="1"/>
  <c r="S31" i="1"/>
  <c r="S30" i="1"/>
  <c r="S29" i="1"/>
  <c r="S28" i="1"/>
  <c r="S27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S26" i="1"/>
  <c r="U26" i="1" s="1"/>
  <c r="N34" i="1"/>
  <c r="T34" i="1"/>
  <c r="AA34" i="1"/>
  <c r="AC34" i="1"/>
  <c r="S25" i="1"/>
  <c r="U25" i="1" s="1"/>
  <c r="S24" i="1"/>
  <c r="U24" i="1" s="1"/>
  <c r="S23" i="1"/>
  <c r="U22" i="1" s="1"/>
  <c r="S22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W2" i="1"/>
  <c r="J4" i="1"/>
  <c r="K4" i="1"/>
  <c r="S4" i="1"/>
  <c r="U4" i="1"/>
  <c r="J5" i="1"/>
  <c r="K5" i="1"/>
  <c r="S5" i="1"/>
  <c r="U5" i="1"/>
  <c r="J6" i="1"/>
  <c r="K6" i="1"/>
  <c r="S6" i="1"/>
  <c r="U6" i="1"/>
  <c r="J7" i="1"/>
  <c r="K7" i="1"/>
  <c r="S7" i="1"/>
  <c r="J8" i="1"/>
  <c r="K8" i="1"/>
  <c r="S8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U8" i="1" s="1"/>
  <c r="S3" i="1"/>
  <c r="S2" i="1"/>
  <c r="U30" i="1"/>
  <c r="U29" i="1"/>
  <c r="U28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3" i="1"/>
  <c r="J34" i="2" l="1"/>
  <c r="H2" i="1"/>
  <c r="U7" i="1"/>
  <c r="U31" i="1"/>
  <c r="C34" i="1"/>
  <c r="W34" i="1"/>
  <c r="Y34" i="1"/>
  <c r="U27" i="1"/>
  <c r="E34" i="1"/>
  <c r="AB34" i="1"/>
  <c r="G34" i="1"/>
  <c r="U23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3" i="1"/>
  <c r="U2" i="1"/>
  <c r="U34" i="1" s="1"/>
  <c r="H34" i="1" l="1"/>
  <c r="I2" i="1"/>
  <c r="K2" i="1"/>
  <c r="K3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J2" i="1" l="1"/>
  <c r="J34" i="1" s="1"/>
  <c r="I34" i="1"/>
  <c r="K33" i="1"/>
  <c r="K32" i="1"/>
</calcChain>
</file>

<file path=xl/sharedStrings.xml><?xml version="1.0" encoding="utf-8"?>
<sst xmlns="http://schemas.openxmlformats.org/spreadsheetml/2006/main" count="60" uniqueCount="24">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</sst>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dddd\ dd/mm/yyyy"/>
  </numFmts>
  <fonts count="28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164" fontId="0" fillId="4" borderId="16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3" fontId="14" fillId="2" borderId="9" xfId="0" applyNumberFormat="1" applyFont="1" applyFill="1" applyBorder="1" applyAlignment="1">
      <alignment horizontal="center" vertical="center" textRotation="90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1" fontId="5" fillId="4" borderId="1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20" xfId="0" applyNumberFormat="1" applyFont="1" applyFill="1" applyBorder="1" applyAlignment="1">
      <alignment horizontal="center" vertical="center" textRotation="90" wrapText="1"/>
    </xf>
    <xf numFmtId="1" fontId="7" fillId="0" borderId="17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24" xfId="0" applyNumberFormat="1" applyFont="1" applyBorder="1" applyAlignment="1">
      <alignment horizontal="center" vertical="center"/>
    </xf>
    <xf numFmtId="1" fontId="5" fillId="0" borderId="25" xfId="0" applyNumberFormat="1" applyFont="1" applyBorder="1" applyAlignment="1">
      <alignment horizontal="center"/>
    </xf>
    <xf numFmtId="1" fontId="8" fillId="0" borderId="25" xfId="0" applyNumberFormat="1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3" fontId="3" fillId="0" borderId="26" xfId="0" applyNumberFormat="1" applyFont="1" applyBorder="1" applyAlignment="1">
      <alignment horizontal="center"/>
    </xf>
    <xf numFmtId="0" fontId="0" fillId="0" borderId="30" xfId="0" applyBorder="1" applyAlignment="1">
      <alignment horizontal="center" vertical="center"/>
    </xf>
    <xf numFmtId="1" fontId="8" fillId="0" borderId="19" xfId="0" applyNumberFormat="1" applyFont="1" applyBorder="1" applyAlignment="1">
      <alignment horizontal="center" vertical="center"/>
    </xf>
    <xf numFmtId="3" fontId="3" fillId="2" borderId="27" xfId="0" applyNumberFormat="1" applyFont="1" applyFill="1" applyBorder="1" applyAlignment="1">
      <alignment horizontal="center"/>
    </xf>
    <xf numFmtId="1" fontId="9" fillId="0" borderId="23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64" fontId="0" fillId="4" borderId="32" xfId="0" applyNumberFormat="1" applyFill="1" applyBorder="1" applyAlignment="1">
      <alignment horizontal="right" vertical="center"/>
    </xf>
    <xf numFmtId="1" fontId="6" fillId="0" borderId="23" xfId="0" applyNumberFormat="1" applyFont="1" applyBorder="1" applyAlignment="1">
      <alignment horizontal="center"/>
    </xf>
    <xf numFmtId="3" fontId="3" fillId="0" borderId="31" xfId="0" applyNumberFormat="1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1" fontId="7" fillId="0" borderId="25" xfId="0" applyNumberFormat="1" applyFont="1" applyBorder="1" applyAlignment="1">
      <alignment horizontal="center"/>
    </xf>
    <xf numFmtId="3" fontId="10" fillId="2" borderId="21" xfId="0" applyNumberFormat="1" applyFont="1" applyFill="1" applyBorder="1" applyAlignment="1">
      <alignment horizontal="center" vertical="center" textRotation="90" wrapText="1"/>
    </xf>
    <xf numFmtId="3" fontId="3" fillId="2" borderId="22" xfId="0" applyNumberFormat="1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 wrapText="1"/>
    </xf>
    <xf numFmtId="1" fontId="12" fillId="3" borderId="35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30" xfId="0" applyFont="1" applyBorder="1" applyAlignment="1">
      <alignment horizontal="center"/>
    </xf>
    <xf numFmtId="0" fontId="11" fillId="5" borderId="34" xfId="0" applyFont="1" applyFill="1" applyBorder="1" applyAlignment="1">
      <alignment horizontal="center" vertical="center" wrapText="1"/>
    </xf>
    <xf numFmtId="1" fontId="12" fillId="5" borderId="35" xfId="0" applyNumberFormat="1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8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9" xfId="0" applyNumberFormat="1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76"/>
  <sheetViews>
    <sheetView view="pageLayout" topLeftCell="N1" zoomScaleNormal="85" workbookViewId="0">
      <selection activeCell="B2" sqref="B2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0.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7.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5.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6.6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6" t="s">
        <v>1</v>
      </c>
      <c r="B1" s="27" t="s">
        <v>10</v>
      </c>
      <c r="C1" s="23" t="s">
        <v>8</v>
      </c>
      <c r="D1" s="22" t="s">
        <v>11</v>
      </c>
      <c r="E1" s="16" t="s">
        <v>6</v>
      </c>
      <c r="F1" s="22" t="s">
        <v>12</v>
      </c>
      <c r="G1" s="74" t="s">
        <v>7</v>
      </c>
      <c r="H1" s="76" t="s">
        <v>18</v>
      </c>
      <c r="I1" s="80" t="s">
        <v>17</v>
      </c>
      <c r="J1" s="52" t="s">
        <v>5</v>
      </c>
      <c r="K1" s="26" t="s">
        <v>1</v>
      </c>
      <c r="L1" s="29" t="s">
        <v>2</v>
      </c>
      <c r="M1" s="82" t="s">
        <v>14</v>
      </c>
      <c r="N1" s="30" t="s">
        <v>5</v>
      </c>
      <c r="O1" s="90" t="s">
        <v>20</v>
      </c>
      <c r="P1" s="90" t="s">
        <v>21</v>
      </c>
      <c r="Q1" s="90" t="s">
        <v>22</v>
      </c>
      <c r="R1" s="90" t="s">
        <v>23</v>
      </c>
      <c r="S1" s="38" t="s">
        <v>19</v>
      </c>
      <c r="T1" s="37" t="s">
        <v>13</v>
      </c>
      <c r="U1" s="30" t="s">
        <v>5</v>
      </c>
      <c r="V1" s="43" t="s">
        <v>4</v>
      </c>
      <c r="W1" s="30" t="s">
        <v>5</v>
      </c>
      <c r="X1" s="46" t="s">
        <v>3</v>
      </c>
      <c r="Y1" s="30" t="s">
        <v>5</v>
      </c>
      <c r="Z1" s="49" t="s">
        <v>15</v>
      </c>
      <c r="AA1" s="55" t="s">
        <v>16</v>
      </c>
      <c r="AB1" s="30" t="s">
        <v>5</v>
      </c>
      <c r="AC1" s="24" t="s">
        <v>0</v>
      </c>
      <c r="AD1" s="25" t="s">
        <v>9</v>
      </c>
    </row>
    <row r="2" spans="1:30" ht="20.7" customHeight="1" x14ac:dyDescent="0.2">
      <c r="A2" s="19">
        <v>45474</v>
      </c>
      <c r="B2" s="8">
        <v>12049907</v>
      </c>
      <c r="C2" s="14">
        <f>B3-B2</f>
        <v>10607</v>
      </c>
      <c r="D2" s="9">
        <v>432127</v>
      </c>
      <c r="E2" s="14">
        <f>D3-D2</f>
        <v>1904</v>
      </c>
      <c r="F2" s="28">
        <v>1704</v>
      </c>
      <c r="G2" s="75">
        <f>F3-F2</f>
        <v>0</v>
      </c>
      <c r="H2" s="77">
        <f>C2+E2-G2</f>
        <v>12511</v>
      </c>
      <c r="I2" s="81">
        <f>H2-K2-M2-O2-Q2</f>
        <v>-32964.29</v>
      </c>
      <c r="J2" s="33">
        <f t="shared" ref="J2:J32" si="0">I3-I2</f>
        <v>-303.36000000000058</v>
      </c>
      <c r="K2" s="19">
        <f t="shared" ref="K2:K33" si="1">A2</f>
        <v>45474</v>
      </c>
      <c r="L2" s="31">
        <v>5660</v>
      </c>
      <c r="M2" s="32">
        <v>0</v>
      </c>
      <c r="N2" s="33">
        <v>0</v>
      </c>
      <c r="O2" s="91">
        <v>0.67</v>
      </c>
      <c r="P2" s="92">
        <v>0.71</v>
      </c>
      <c r="Q2" s="91">
        <v>0.62</v>
      </c>
      <c r="R2" s="92">
        <v>0.59</v>
      </c>
      <c r="S2" s="40">
        <f>(2500*O2)+(2500*P2)+(500*Q2)+(500*R2)</f>
        <v>4055</v>
      </c>
      <c r="T2" s="39">
        <v>784</v>
      </c>
      <c r="U2" s="33">
        <f>S2+T2-S3</f>
        <v>104</v>
      </c>
      <c r="V2" s="44">
        <v>105961</v>
      </c>
      <c r="W2" s="33">
        <f t="shared" ref="W2:W32" si="2">V3-V2</f>
        <v>97</v>
      </c>
      <c r="X2" s="47">
        <v>59827</v>
      </c>
      <c r="Y2" s="33">
        <f>X3-X2</f>
        <v>13</v>
      </c>
      <c r="Z2" s="50">
        <v>6810</v>
      </c>
      <c r="AA2" s="56">
        <v>0</v>
      </c>
      <c r="AB2" s="33">
        <f>Z3-AA2-Z2</f>
        <v>-225</v>
      </c>
      <c r="AC2" s="12">
        <v>199</v>
      </c>
      <c r="AD2" s="17">
        <v>400</v>
      </c>
    </row>
    <row r="3" spans="1:30" ht="20.7" customHeight="1" x14ac:dyDescent="0.2">
      <c r="A3" s="20">
        <v>45475</v>
      </c>
      <c r="B3" s="10">
        <v>12060514</v>
      </c>
      <c r="C3" s="14">
        <f t="shared" ref="C3:C32" si="3">B4-B3</f>
        <v>10618</v>
      </c>
      <c r="D3" s="11">
        <v>434031</v>
      </c>
      <c r="E3" s="14">
        <f t="shared" ref="E3:E32" si="4">D4-D3</f>
        <v>1591</v>
      </c>
      <c r="F3" s="28">
        <v>1704</v>
      </c>
      <c r="G3" s="75">
        <f t="shared" ref="G3:G32" si="5">F4-F3</f>
        <v>0</v>
      </c>
      <c r="H3" s="77">
        <f t="shared" ref="H3:H32" si="6">C3+E3-G3</f>
        <v>12209</v>
      </c>
      <c r="I3" s="81">
        <f t="shared" ref="I3:I32" si="7">H3-K3-M3-O3-Q3</f>
        <v>-33267.65</v>
      </c>
      <c r="J3" s="33">
        <f t="shared" si="0"/>
        <v>-455.94999999999709</v>
      </c>
      <c r="K3" s="20">
        <f t="shared" si="1"/>
        <v>45475</v>
      </c>
      <c r="L3" s="34">
        <v>5660</v>
      </c>
      <c r="M3" s="35">
        <v>0</v>
      </c>
      <c r="N3" s="36">
        <v>0</v>
      </c>
      <c r="O3" s="93">
        <v>0.8</v>
      </c>
      <c r="P3" s="94">
        <v>0.77</v>
      </c>
      <c r="Q3" s="93">
        <v>0.85</v>
      </c>
      <c r="R3" s="94">
        <v>0.77</v>
      </c>
      <c r="S3" s="40">
        <f t="shared" ref="S3:S33" si="8">(2500*O3)+(2500*P3)+(500*Q3)+(500*R3)</f>
        <v>4735</v>
      </c>
      <c r="T3" s="39"/>
      <c r="U3" s="33">
        <f>S3+T3-S4</f>
        <v>130</v>
      </c>
      <c r="V3" s="45">
        <v>106058</v>
      </c>
      <c r="W3" s="33">
        <f t="shared" si="2"/>
        <v>115</v>
      </c>
      <c r="X3" s="48">
        <v>59840</v>
      </c>
      <c r="Y3" s="33">
        <f t="shared" ref="Y3:Y32" si="9">X4-X3</f>
        <v>12</v>
      </c>
      <c r="Z3" s="51">
        <v>6585</v>
      </c>
      <c r="AA3" s="57">
        <v>0</v>
      </c>
      <c r="AB3" s="33">
        <f t="shared" ref="AB3:AB32" si="10">Z4-AA3-Z3</f>
        <v>-295</v>
      </c>
      <c r="AC3" s="13">
        <v>217</v>
      </c>
      <c r="AD3" s="18">
        <v>433</v>
      </c>
    </row>
    <row r="4" spans="1:30" ht="20.7" customHeight="1" x14ac:dyDescent="0.2">
      <c r="A4" s="20">
        <v>45476</v>
      </c>
      <c r="B4" s="10">
        <v>12071132</v>
      </c>
      <c r="C4" s="14">
        <f t="shared" si="3"/>
        <v>10219</v>
      </c>
      <c r="D4" s="11">
        <v>435622</v>
      </c>
      <c r="E4" s="14">
        <f t="shared" si="4"/>
        <v>1535</v>
      </c>
      <c r="F4" s="28">
        <v>1704</v>
      </c>
      <c r="G4" s="75">
        <f t="shared" si="5"/>
        <v>0</v>
      </c>
      <c r="H4" s="77">
        <f t="shared" si="6"/>
        <v>11754</v>
      </c>
      <c r="I4" s="81">
        <f t="shared" si="7"/>
        <v>-33723.599999999999</v>
      </c>
      <c r="J4" s="33">
        <f t="shared" si="0"/>
        <v>-423.9800000000032</v>
      </c>
      <c r="K4" s="20">
        <f t="shared" si="1"/>
        <v>45476</v>
      </c>
      <c r="L4" s="34">
        <v>5660</v>
      </c>
      <c r="M4" s="35">
        <v>0</v>
      </c>
      <c r="N4" s="36">
        <v>0</v>
      </c>
      <c r="O4" s="93">
        <v>0.78</v>
      </c>
      <c r="P4" s="94">
        <v>0.75</v>
      </c>
      <c r="Q4" s="93">
        <v>0.82</v>
      </c>
      <c r="R4" s="94">
        <v>0.74</v>
      </c>
      <c r="S4" s="40">
        <f t="shared" si="8"/>
        <v>4605</v>
      </c>
      <c r="T4" s="39"/>
      <c r="U4" s="33">
        <f t="shared" ref="U4:U8" si="11">S4+T4-S5</f>
        <v>30</v>
      </c>
      <c r="V4" s="45">
        <v>106173</v>
      </c>
      <c r="W4" s="33">
        <f t="shared" si="2"/>
        <v>124</v>
      </c>
      <c r="X4" s="48">
        <v>59852</v>
      </c>
      <c r="Y4" s="33">
        <f t="shared" si="9"/>
        <v>3</v>
      </c>
      <c r="Z4" s="51">
        <v>6290</v>
      </c>
      <c r="AA4" s="57">
        <v>0</v>
      </c>
      <c r="AB4" s="33">
        <f t="shared" si="10"/>
        <v>-335</v>
      </c>
      <c r="AC4" s="13">
        <v>209</v>
      </c>
      <c r="AD4" s="18">
        <v>422</v>
      </c>
    </row>
    <row r="5" spans="1:30" ht="20.7" customHeight="1" x14ac:dyDescent="0.2">
      <c r="A5" s="20">
        <v>45477</v>
      </c>
      <c r="B5" s="10">
        <v>12081351</v>
      </c>
      <c r="C5" s="14">
        <f t="shared" si="3"/>
        <v>9769</v>
      </c>
      <c r="D5" s="11">
        <v>437157</v>
      </c>
      <c r="E5" s="14">
        <f t="shared" si="4"/>
        <v>1562</v>
      </c>
      <c r="F5" s="28">
        <v>1704</v>
      </c>
      <c r="G5" s="75">
        <f t="shared" si="5"/>
        <v>0</v>
      </c>
      <c r="H5" s="77">
        <f t="shared" si="6"/>
        <v>11331</v>
      </c>
      <c r="I5" s="81">
        <f t="shared" si="7"/>
        <v>-34147.58</v>
      </c>
      <c r="J5" s="33">
        <f t="shared" si="0"/>
        <v>-664.90999999999622</v>
      </c>
      <c r="K5" s="20">
        <f t="shared" si="1"/>
        <v>45477</v>
      </c>
      <c r="L5" s="34">
        <v>5660</v>
      </c>
      <c r="M5" s="35">
        <v>0</v>
      </c>
      <c r="N5" s="36">
        <v>0</v>
      </c>
      <c r="O5" s="93">
        <v>0.78</v>
      </c>
      <c r="P5" s="94">
        <v>0.75</v>
      </c>
      <c r="Q5" s="93">
        <v>0.8</v>
      </c>
      <c r="R5" s="94">
        <v>0.7</v>
      </c>
      <c r="S5" s="40">
        <f t="shared" si="8"/>
        <v>4575</v>
      </c>
      <c r="T5" s="39"/>
      <c r="U5" s="33">
        <f t="shared" si="11"/>
        <v>165</v>
      </c>
      <c r="V5" s="45">
        <v>106297</v>
      </c>
      <c r="W5" s="33">
        <f t="shared" si="2"/>
        <v>124</v>
      </c>
      <c r="X5" s="48">
        <v>59855</v>
      </c>
      <c r="Y5" s="33">
        <f t="shared" si="9"/>
        <v>1</v>
      </c>
      <c r="Z5" s="51">
        <v>5955</v>
      </c>
      <c r="AA5" s="57">
        <v>0</v>
      </c>
      <c r="AB5" s="33">
        <f t="shared" si="10"/>
        <v>-305</v>
      </c>
      <c r="AC5" s="13">
        <v>215</v>
      </c>
      <c r="AD5" s="18">
        <v>442</v>
      </c>
    </row>
    <row r="6" spans="1:30" ht="20.7" customHeight="1" x14ac:dyDescent="0.2">
      <c r="A6" s="20">
        <v>45478</v>
      </c>
      <c r="B6" s="10">
        <v>12091120</v>
      </c>
      <c r="C6" s="14">
        <f t="shared" si="3"/>
        <v>9104</v>
      </c>
      <c r="D6" s="11">
        <v>438719</v>
      </c>
      <c r="E6" s="14">
        <f t="shared" si="4"/>
        <v>1563</v>
      </c>
      <c r="F6" s="28">
        <v>1704</v>
      </c>
      <c r="G6" s="75">
        <f t="shared" si="5"/>
        <v>0</v>
      </c>
      <c r="H6" s="77">
        <f t="shared" si="6"/>
        <v>10667</v>
      </c>
      <c r="I6" s="81">
        <f t="shared" si="7"/>
        <v>-34812.49</v>
      </c>
      <c r="J6" s="33">
        <f t="shared" si="0"/>
        <v>-208.89000000000669</v>
      </c>
      <c r="K6" s="20">
        <f t="shared" si="1"/>
        <v>45478</v>
      </c>
      <c r="L6" s="34">
        <v>5660</v>
      </c>
      <c r="M6" s="35">
        <v>0</v>
      </c>
      <c r="N6" s="36">
        <v>0</v>
      </c>
      <c r="O6" s="93">
        <v>0.74</v>
      </c>
      <c r="P6" s="94">
        <v>0.74</v>
      </c>
      <c r="Q6" s="93">
        <v>0.75</v>
      </c>
      <c r="R6" s="94">
        <v>0.67</v>
      </c>
      <c r="S6" s="40">
        <f t="shared" si="8"/>
        <v>4410</v>
      </c>
      <c r="T6" s="39"/>
      <c r="U6" s="33">
        <f t="shared" si="11"/>
        <v>115</v>
      </c>
      <c r="V6" s="45">
        <v>106421</v>
      </c>
      <c r="W6" s="33">
        <f t="shared" si="2"/>
        <v>134</v>
      </c>
      <c r="X6" s="48">
        <v>59856</v>
      </c>
      <c r="Y6" s="33">
        <f t="shared" si="9"/>
        <v>1</v>
      </c>
      <c r="Z6" s="51">
        <v>5650</v>
      </c>
      <c r="AA6" s="57">
        <v>0</v>
      </c>
      <c r="AB6" s="33">
        <f t="shared" si="10"/>
        <v>-275</v>
      </c>
      <c r="AC6" s="13">
        <v>219</v>
      </c>
      <c r="AD6" s="18">
        <v>448</v>
      </c>
    </row>
    <row r="7" spans="1:30" ht="20.7" customHeight="1" x14ac:dyDescent="0.2">
      <c r="A7" s="20">
        <v>45479</v>
      </c>
      <c r="B7" s="10">
        <v>12100224</v>
      </c>
      <c r="C7" s="14">
        <f t="shared" si="3"/>
        <v>8923</v>
      </c>
      <c r="D7" s="11">
        <v>440282</v>
      </c>
      <c r="E7" s="14">
        <f t="shared" si="4"/>
        <v>1536</v>
      </c>
      <c r="F7" s="28">
        <v>1704</v>
      </c>
      <c r="G7" s="75">
        <f t="shared" si="5"/>
        <v>0</v>
      </c>
      <c r="H7" s="77">
        <f t="shared" si="6"/>
        <v>10459</v>
      </c>
      <c r="I7" s="81">
        <f t="shared" si="7"/>
        <v>-35021.380000000005</v>
      </c>
      <c r="J7" s="33">
        <f t="shared" si="0"/>
        <v>1641.0600000000049</v>
      </c>
      <c r="K7" s="20">
        <f t="shared" si="1"/>
        <v>45479</v>
      </c>
      <c r="L7" s="34">
        <v>5660</v>
      </c>
      <c r="M7" s="35">
        <v>0</v>
      </c>
      <c r="N7" s="36">
        <v>0</v>
      </c>
      <c r="O7" s="93">
        <v>0.72</v>
      </c>
      <c r="P7" s="94">
        <v>0.74</v>
      </c>
      <c r="Q7" s="93">
        <v>0.66</v>
      </c>
      <c r="R7" s="94">
        <v>0.63</v>
      </c>
      <c r="S7" s="40">
        <f t="shared" si="8"/>
        <v>4295</v>
      </c>
      <c r="T7" s="39"/>
      <c r="U7" s="33">
        <f t="shared" si="11"/>
        <v>95</v>
      </c>
      <c r="V7" s="45">
        <v>106555</v>
      </c>
      <c r="W7" s="33">
        <f t="shared" si="2"/>
        <v>124</v>
      </c>
      <c r="X7" s="48">
        <v>59857</v>
      </c>
      <c r="Y7" s="33">
        <f t="shared" si="9"/>
        <v>0</v>
      </c>
      <c r="Z7" s="51">
        <v>5375</v>
      </c>
      <c r="AA7" s="57">
        <v>0</v>
      </c>
      <c r="AB7" s="33">
        <f t="shared" si="10"/>
        <v>-225</v>
      </c>
      <c r="AC7" s="13">
        <v>215</v>
      </c>
      <c r="AD7" s="18">
        <v>440</v>
      </c>
    </row>
    <row r="8" spans="1:30" ht="20.7" customHeight="1" x14ac:dyDescent="0.2">
      <c r="A8" s="20">
        <v>45480</v>
      </c>
      <c r="B8" s="10">
        <v>12109147</v>
      </c>
      <c r="C8" s="14">
        <f t="shared" si="3"/>
        <v>10550</v>
      </c>
      <c r="D8" s="11">
        <v>441818</v>
      </c>
      <c r="E8" s="14">
        <f t="shared" si="4"/>
        <v>1551</v>
      </c>
      <c r="F8" s="28">
        <v>1704</v>
      </c>
      <c r="G8" s="75">
        <f t="shared" si="5"/>
        <v>0</v>
      </c>
      <c r="H8" s="77">
        <f t="shared" si="6"/>
        <v>12101</v>
      </c>
      <c r="I8" s="81">
        <f t="shared" si="7"/>
        <v>-33380.32</v>
      </c>
      <c r="J8" s="33">
        <f t="shared" si="0"/>
        <v>-794.93999999999505</v>
      </c>
      <c r="K8" s="20">
        <f t="shared" si="1"/>
        <v>45480</v>
      </c>
      <c r="L8" s="34">
        <v>5660</v>
      </c>
      <c r="M8" s="35">
        <v>0</v>
      </c>
      <c r="N8" s="36">
        <v>0</v>
      </c>
      <c r="O8" s="93">
        <v>0.71</v>
      </c>
      <c r="P8" s="94">
        <v>0.73</v>
      </c>
      <c r="Q8" s="93">
        <v>0.61</v>
      </c>
      <c r="R8" s="94">
        <v>0.59</v>
      </c>
      <c r="S8" s="40">
        <f t="shared" si="8"/>
        <v>4200</v>
      </c>
      <c r="T8" s="39"/>
      <c r="U8" s="33">
        <f t="shared" si="11"/>
        <v>125</v>
      </c>
      <c r="V8" s="45">
        <v>106679</v>
      </c>
      <c r="W8" s="33">
        <f t="shared" si="2"/>
        <v>122</v>
      </c>
      <c r="X8" s="48">
        <v>59857</v>
      </c>
      <c r="Y8" s="33">
        <f t="shared" si="9"/>
        <v>0</v>
      </c>
      <c r="Z8" s="51">
        <v>5150</v>
      </c>
      <c r="AA8" s="57">
        <v>0</v>
      </c>
      <c r="AB8" s="33">
        <f t="shared" si="10"/>
        <v>-245</v>
      </c>
      <c r="AC8" s="13">
        <v>194</v>
      </c>
      <c r="AD8" s="18">
        <v>403</v>
      </c>
    </row>
    <row r="9" spans="1:30" ht="20.7" customHeight="1" x14ac:dyDescent="0.2">
      <c r="A9" s="20">
        <v>45481</v>
      </c>
      <c r="B9" s="10">
        <v>12119697</v>
      </c>
      <c r="C9" s="14">
        <f t="shared" si="3"/>
        <v>9790</v>
      </c>
      <c r="D9" s="11">
        <v>443369</v>
      </c>
      <c r="E9" s="14">
        <f t="shared" si="4"/>
        <v>1517</v>
      </c>
      <c r="F9" s="28">
        <v>1704</v>
      </c>
      <c r="G9" s="75">
        <f t="shared" si="5"/>
        <v>0</v>
      </c>
      <c r="H9" s="77">
        <f t="shared" si="6"/>
        <v>11307</v>
      </c>
      <c r="I9" s="81">
        <f t="shared" si="7"/>
        <v>-34175.259999999995</v>
      </c>
      <c r="J9" s="33">
        <f t="shared" si="0"/>
        <v>185.60999999999331</v>
      </c>
      <c r="K9" s="20">
        <f t="shared" si="1"/>
        <v>45481</v>
      </c>
      <c r="L9" s="34">
        <v>5660</v>
      </c>
      <c r="M9" s="35">
        <v>0</v>
      </c>
      <c r="N9" s="36">
        <v>0</v>
      </c>
      <c r="O9" s="93">
        <v>0.7</v>
      </c>
      <c r="P9" s="94">
        <v>0.71</v>
      </c>
      <c r="Q9" s="93">
        <v>0.56000000000000005</v>
      </c>
      <c r="R9" s="94">
        <v>0.54</v>
      </c>
      <c r="S9" s="40">
        <f t="shared" si="8"/>
        <v>4075</v>
      </c>
      <c r="T9" s="39">
        <v>767</v>
      </c>
      <c r="U9" s="33">
        <f t="shared" ref="U9:U32" si="12">S9+T9-S10</f>
        <v>92</v>
      </c>
      <c r="V9" s="45">
        <v>106801</v>
      </c>
      <c r="W9" s="33">
        <f t="shared" si="2"/>
        <v>116</v>
      </c>
      <c r="X9" s="48">
        <v>59857</v>
      </c>
      <c r="Y9" s="33">
        <f t="shared" si="9"/>
        <v>14</v>
      </c>
      <c r="Z9" s="51">
        <v>4905</v>
      </c>
      <c r="AA9" s="57">
        <v>0</v>
      </c>
      <c r="AB9" s="33">
        <f t="shared" si="10"/>
        <v>-230</v>
      </c>
      <c r="AC9" s="13">
        <v>198</v>
      </c>
      <c r="AD9" s="18">
        <v>418</v>
      </c>
    </row>
    <row r="10" spans="1:30" ht="20.7" customHeight="1" x14ac:dyDescent="0.2">
      <c r="A10" s="20">
        <v>45482</v>
      </c>
      <c r="B10" s="10">
        <v>12129487</v>
      </c>
      <c r="C10" s="14">
        <f t="shared" si="3"/>
        <v>9981</v>
      </c>
      <c r="D10" s="11">
        <v>444886</v>
      </c>
      <c r="E10" s="14">
        <f t="shared" si="4"/>
        <v>1513</v>
      </c>
      <c r="F10" s="28">
        <v>1704</v>
      </c>
      <c r="G10" s="75">
        <f t="shared" si="5"/>
        <v>0</v>
      </c>
      <c r="H10" s="77">
        <f t="shared" si="6"/>
        <v>11494</v>
      </c>
      <c r="I10" s="81">
        <f t="shared" si="7"/>
        <v>-33989.65</v>
      </c>
      <c r="J10" s="33">
        <f t="shared" si="0"/>
        <v>540.05000000000291</v>
      </c>
      <c r="K10" s="20">
        <f t="shared" si="1"/>
        <v>45482</v>
      </c>
      <c r="L10" s="34">
        <v>5660</v>
      </c>
      <c r="M10" s="35">
        <v>0</v>
      </c>
      <c r="N10" s="36">
        <v>0</v>
      </c>
      <c r="O10" s="93">
        <v>0.8</v>
      </c>
      <c r="P10" s="94">
        <v>0.78</v>
      </c>
      <c r="Q10" s="93">
        <v>0.85</v>
      </c>
      <c r="R10" s="94">
        <v>0.75</v>
      </c>
      <c r="S10" s="40">
        <f t="shared" si="8"/>
        <v>4750</v>
      </c>
      <c r="T10" s="39"/>
      <c r="U10" s="33">
        <f t="shared" si="12"/>
        <v>120</v>
      </c>
      <c r="V10" s="45">
        <v>106917</v>
      </c>
      <c r="W10" s="33">
        <f t="shared" si="2"/>
        <v>90</v>
      </c>
      <c r="X10" s="48">
        <v>59871</v>
      </c>
      <c r="Y10" s="33">
        <f t="shared" si="9"/>
        <v>18</v>
      </c>
      <c r="Z10" s="51">
        <v>4675</v>
      </c>
      <c r="AA10" s="57">
        <v>0</v>
      </c>
      <c r="AB10" s="33">
        <f t="shared" si="10"/>
        <v>-230</v>
      </c>
      <c r="AC10" s="13">
        <v>175</v>
      </c>
      <c r="AD10" s="18">
        <v>364</v>
      </c>
    </row>
    <row r="11" spans="1:30" ht="20.7" customHeight="1" x14ac:dyDescent="0.2">
      <c r="A11" s="20">
        <v>45483</v>
      </c>
      <c r="B11" s="10">
        <v>12139468</v>
      </c>
      <c r="C11" s="14">
        <f t="shared" si="3"/>
        <v>10562</v>
      </c>
      <c r="D11" s="11">
        <v>446399</v>
      </c>
      <c r="E11" s="14">
        <f t="shared" si="4"/>
        <v>1473</v>
      </c>
      <c r="F11" s="28">
        <v>1704</v>
      </c>
      <c r="G11" s="75">
        <f t="shared" si="5"/>
        <v>0</v>
      </c>
      <c r="H11" s="77">
        <f t="shared" si="6"/>
        <v>12035</v>
      </c>
      <c r="I11" s="81">
        <f t="shared" si="7"/>
        <v>-33449.599999999999</v>
      </c>
      <c r="J11" s="33">
        <f t="shared" si="0"/>
        <v>-4.9600000000064028</v>
      </c>
      <c r="K11" s="20">
        <f t="shared" si="1"/>
        <v>45483</v>
      </c>
      <c r="L11" s="34">
        <v>5660</v>
      </c>
      <c r="M11" s="35">
        <v>0</v>
      </c>
      <c r="N11" s="36">
        <v>0</v>
      </c>
      <c r="O11" s="93">
        <v>0.78</v>
      </c>
      <c r="P11" s="94">
        <v>0.76</v>
      </c>
      <c r="Q11" s="93">
        <v>0.82</v>
      </c>
      <c r="R11" s="94">
        <v>0.74</v>
      </c>
      <c r="S11" s="40">
        <f t="shared" si="8"/>
        <v>4630</v>
      </c>
      <c r="T11" s="39"/>
      <c r="U11" s="33">
        <f t="shared" si="12"/>
        <v>105</v>
      </c>
      <c r="V11" s="45">
        <v>107007</v>
      </c>
      <c r="W11" s="33">
        <f t="shared" si="2"/>
        <v>111</v>
      </c>
      <c r="X11" s="48">
        <v>59889</v>
      </c>
      <c r="Y11" s="33">
        <f t="shared" si="9"/>
        <v>8</v>
      </c>
      <c r="Z11" s="51">
        <v>4445</v>
      </c>
      <c r="AA11" s="57">
        <v>0</v>
      </c>
      <c r="AB11" s="33">
        <f t="shared" si="10"/>
        <v>-240</v>
      </c>
      <c r="AC11" s="13">
        <v>185</v>
      </c>
      <c r="AD11" s="18">
        <v>371</v>
      </c>
    </row>
    <row r="12" spans="1:30" ht="20.7" customHeight="1" x14ac:dyDescent="0.2">
      <c r="A12" s="20">
        <v>45484</v>
      </c>
      <c r="B12" s="10">
        <v>12150030</v>
      </c>
      <c r="C12" s="14">
        <f t="shared" si="3"/>
        <v>10554</v>
      </c>
      <c r="D12" s="11">
        <v>447872</v>
      </c>
      <c r="E12" s="14">
        <f t="shared" si="4"/>
        <v>1477</v>
      </c>
      <c r="F12" s="28">
        <v>1704</v>
      </c>
      <c r="G12" s="75">
        <f t="shared" si="5"/>
        <v>0</v>
      </c>
      <c r="H12" s="77">
        <f t="shared" si="6"/>
        <v>12031</v>
      </c>
      <c r="I12" s="81">
        <f t="shared" si="7"/>
        <v>-33454.560000000005</v>
      </c>
      <c r="J12" s="33">
        <f t="shared" si="0"/>
        <v>-4.9599999999991269</v>
      </c>
      <c r="K12" s="20">
        <f t="shared" si="1"/>
        <v>45484</v>
      </c>
      <c r="L12" s="34">
        <v>5660</v>
      </c>
      <c r="M12" s="35">
        <v>0</v>
      </c>
      <c r="N12" s="36">
        <v>0</v>
      </c>
      <c r="O12" s="93">
        <v>0.76</v>
      </c>
      <c r="P12" s="94">
        <v>0.75</v>
      </c>
      <c r="Q12" s="93">
        <v>0.8</v>
      </c>
      <c r="R12" s="94">
        <v>0.7</v>
      </c>
      <c r="S12" s="40">
        <f t="shared" si="8"/>
        <v>4525</v>
      </c>
      <c r="T12" s="39"/>
      <c r="U12" s="33">
        <f t="shared" si="12"/>
        <v>45</v>
      </c>
      <c r="V12" s="45">
        <v>107118</v>
      </c>
      <c r="W12" s="33">
        <f t="shared" si="2"/>
        <v>127</v>
      </c>
      <c r="X12" s="48">
        <v>59897</v>
      </c>
      <c r="Y12" s="33">
        <f t="shared" si="9"/>
        <v>17</v>
      </c>
      <c r="Z12" s="51">
        <v>4205</v>
      </c>
      <c r="AA12" s="57">
        <v>0</v>
      </c>
      <c r="AB12" s="33">
        <f t="shared" si="10"/>
        <v>-215</v>
      </c>
      <c r="AC12" s="13">
        <v>172</v>
      </c>
      <c r="AD12" s="18">
        <v>347</v>
      </c>
    </row>
    <row r="13" spans="1:30" ht="20.7" customHeight="1" x14ac:dyDescent="0.2">
      <c r="A13" s="20">
        <v>45485</v>
      </c>
      <c r="B13" s="10">
        <v>12160584</v>
      </c>
      <c r="C13" s="14">
        <f t="shared" si="3"/>
        <v>10496</v>
      </c>
      <c r="D13" s="11">
        <v>449349</v>
      </c>
      <c r="E13" s="14">
        <f t="shared" si="4"/>
        <v>1531</v>
      </c>
      <c r="F13" s="28">
        <v>1704</v>
      </c>
      <c r="G13" s="75">
        <f t="shared" si="5"/>
        <v>0</v>
      </c>
      <c r="H13" s="77">
        <f t="shared" si="6"/>
        <v>12027</v>
      </c>
      <c r="I13" s="81">
        <f t="shared" si="7"/>
        <v>-33459.520000000004</v>
      </c>
      <c r="J13" s="33">
        <f t="shared" si="0"/>
        <v>-671.87999999999738</v>
      </c>
      <c r="K13" s="20">
        <f t="shared" si="1"/>
        <v>45485</v>
      </c>
      <c r="L13" s="34">
        <v>5660</v>
      </c>
      <c r="M13" s="35">
        <v>0</v>
      </c>
      <c r="N13" s="36">
        <v>0</v>
      </c>
      <c r="O13" s="93">
        <v>0.76</v>
      </c>
      <c r="P13" s="94">
        <v>0.75</v>
      </c>
      <c r="Q13" s="93">
        <v>0.76</v>
      </c>
      <c r="R13" s="94">
        <v>0.65</v>
      </c>
      <c r="S13" s="40">
        <f t="shared" si="8"/>
        <v>4480</v>
      </c>
      <c r="T13" s="39"/>
      <c r="U13" s="33">
        <f t="shared" si="12"/>
        <v>150</v>
      </c>
      <c r="V13" s="45">
        <v>107245</v>
      </c>
      <c r="W13" s="33">
        <f t="shared" si="2"/>
        <v>142</v>
      </c>
      <c r="X13" s="48">
        <v>59914</v>
      </c>
      <c r="Y13" s="33">
        <f t="shared" si="9"/>
        <v>15</v>
      </c>
      <c r="Z13" s="51">
        <v>3990</v>
      </c>
      <c r="AA13" s="57">
        <v>0</v>
      </c>
      <c r="AB13" s="33">
        <f t="shared" si="10"/>
        <v>-200</v>
      </c>
      <c r="AC13" s="13">
        <v>205</v>
      </c>
      <c r="AD13" s="18">
        <v>418</v>
      </c>
    </row>
    <row r="14" spans="1:30" ht="20.7" customHeight="1" x14ac:dyDescent="0.2">
      <c r="A14" s="20">
        <v>45486</v>
      </c>
      <c r="B14" s="10">
        <v>12171080</v>
      </c>
      <c r="C14" s="14">
        <f t="shared" si="3"/>
        <v>9889</v>
      </c>
      <c r="D14" s="11">
        <v>450880</v>
      </c>
      <c r="E14" s="14">
        <f t="shared" si="4"/>
        <v>1467</v>
      </c>
      <c r="F14" s="28">
        <v>1704</v>
      </c>
      <c r="G14" s="75">
        <f t="shared" si="5"/>
        <v>0</v>
      </c>
      <c r="H14" s="77">
        <f t="shared" si="6"/>
        <v>11356</v>
      </c>
      <c r="I14" s="81">
        <f t="shared" si="7"/>
        <v>-34131.4</v>
      </c>
      <c r="J14" s="33">
        <f t="shared" si="0"/>
        <v>-307.90999999999622</v>
      </c>
      <c r="K14" s="20">
        <f t="shared" si="1"/>
        <v>45486</v>
      </c>
      <c r="L14" s="34">
        <v>5660</v>
      </c>
      <c r="M14" s="35">
        <v>0</v>
      </c>
      <c r="N14" s="36">
        <v>0</v>
      </c>
      <c r="O14" s="93">
        <v>0.74</v>
      </c>
      <c r="P14" s="94">
        <v>0.74</v>
      </c>
      <c r="Q14" s="93">
        <v>0.66</v>
      </c>
      <c r="R14" s="94">
        <v>0.6</v>
      </c>
      <c r="S14" s="40">
        <f t="shared" si="8"/>
        <v>4330</v>
      </c>
      <c r="T14" s="39"/>
      <c r="U14" s="33">
        <f t="shared" si="12"/>
        <v>150</v>
      </c>
      <c r="V14" s="45">
        <v>107387</v>
      </c>
      <c r="W14" s="33">
        <f t="shared" si="2"/>
        <v>148</v>
      </c>
      <c r="X14" s="48">
        <v>59929</v>
      </c>
      <c r="Y14" s="33">
        <f t="shared" si="9"/>
        <v>12</v>
      </c>
      <c r="Z14" s="51">
        <v>3790</v>
      </c>
      <c r="AA14" s="57">
        <v>0</v>
      </c>
      <c r="AB14" s="33">
        <f t="shared" si="10"/>
        <v>-245</v>
      </c>
      <c r="AC14" s="13">
        <v>200</v>
      </c>
      <c r="AD14" s="18">
        <v>418</v>
      </c>
    </row>
    <row r="15" spans="1:30" ht="20.7" customHeight="1" x14ac:dyDescent="0.2">
      <c r="A15" s="20">
        <v>45487</v>
      </c>
      <c r="B15" s="10">
        <v>12180969</v>
      </c>
      <c r="C15" s="14">
        <f t="shared" si="3"/>
        <v>9543</v>
      </c>
      <c r="D15" s="11">
        <v>452347</v>
      </c>
      <c r="E15" s="14">
        <f t="shared" si="4"/>
        <v>1506</v>
      </c>
      <c r="F15" s="28">
        <v>1704</v>
      </c>
      <c r="G15" s="75">
        <f t="shared" si="5"/>
        <v>0</v>
      </c>
      <c r="H15" s="77">
        <f t="shared" si="6"/>
        <v>11049</v>
      </c>
      <c r="I15" s="81">
        <f t="shared" si="7"/>
        <v>-34439.31</v>
      </c>
      <c r="J15" s="33">
        <f t="shared" si="0"/>
        <v>1029.1100000000006</v>
      </c>
      <c r="K15" s="20">
        <f t="shared" si="1"/>
        <v>45487</v>
      </c>
      <c r="L15" s="34">
        <v>5660</v>
      </c>
      <c r="M15" s="35">
        <v>0</v>
      </c>
      <c r="N15" s="36">
        <v>0</v>
      </c>
      <c r="O15" s="93">
        <v>0.71</v>
      </c>
      <c r="P15" s="94">
        <v>0.73</v>
      </c>
      <c r="Q15" s="93">
        <v>0.6</v>
      </c>
      <c r="R15" s="94">
        <v>0.56000000000000005</v>
      </c>
      <c r="S15" s="40">
        <f t="shared" si="8"/>
        <v>4180</v>
      </c>
      <c r="T15" s="39"/>
      <c r="U15" s="33">
        <f t="shared" si="12"/>
        <v>115</v>
      </c>
      <c r="V15" s="45">
        <v>107535</v>
      </c>
      <c r="W15" s="33">
        <f t="shared" si="2"/>
        <v>114</v>
      </c>
      <c r="X15" s="48">
        <v>59941</v>
      </c>
      <c r="Y15" s="33">
        <f t="shared" si="9"/>
        <v>7</v>
      </c>
      <c r="Z15" s="51">
        <v>3545</v>
      </c>
      <c r="AA15" s="57">
        <v>0</v>
      </c>
      <c r="AB15" s="33">
        <f t="shared" si="10"/>
        <v>-215</v>
      </c>
      <c r="AC15" s="13">
        <v>182</v>
      </c>
      <c r="AD15" s="18">
        <v>387</v>
      </c>
    </row>
    <row r="16" spans="1:30" ht="20.7" customHeight="1" x14ac:dyDescent="0.2">
      <c r="A16" s="20">
        <v>45488</v>
      </c>
      <c r="B16" s="10">
        <v>12190512</v>
      </c>
      <c r="C16" s="14">
        <f t="shared" si="3"/>
        <v>10600</v>
      </c>
      <c r="D16" s="11">
        <v>453853</v>
      </c>
      <c r="E16" s="14">
        <f t="shared" si="4"/>
        <v>1479</v>
      </c>
      <c r="F16" s="28">
        <v>1704</v>
      </c>
      <c r="G16" s="75">
        <f t="shared" si="5"/>
        <v>0</v>
      </c>
      <c r="H16" s="77">
        <f t="shared" si="6"/>
        <v>12079</v>
      </c>
      <c r="I16" s="81">
        <f t="shared" si="7"/>
        <v>-33410.199999999997</v>
      </c>
      <c r="J16" s="33">
        <f t="shared" si="0"/>
        <v>-922.31000000000495</v>
      </c>
      <c r="K16" s="20">
        <f t="shared" si="1"/>
        <v>45488</v>
      </c>
      <c r="L16" s="34">
        <v>5660</v>
      </c>
      <c r="M16" s="35">
        <v>0</v>
      </c>
      <c r="N16" s="36">
        <v>0</v>
      </c>
      <c r="O16" s="93">
        <v>0.7</v>
      </c>
      <c r="P16" s="94">
        <v>0.72</v>
      </c>
      <c r="Q16" s="93">
        <v>0.5</v>
      </c>
      <c r="R16" s="94">
        <v>0.53</v>
      </c>
      <c r="S16" s="40">
        <f t="shared" si="8"/>
        <v>4065</v>
      </c>
      <c r="T16" s="39">
        <v>270</v>
      </c>
      <c r="U16" s="33">
        <f t="shared" si="12"/>
        <v>145</v>
      </c>
      <c r="V16" s="45">
        <v>107649</v>
      </c>
      <c r="W16" s="33">
        <f t="shared" si="2"/>
        <v>122</v>
      </c>
      <c r="X16" s="48">
        <v>59948</v>
      </c>
      <c r="Y16" s="33">
        <f t="shared" si="9"/>
        <v>15</v>
      </c>
      <c r="Z16" s="51">
        <v>3330</v>
      </c>
      <c r="AA16" s="57">
        <v>0</v>
      </c>
      <c r="AB16" s="33">
        <f t="shared" si="10"/>
        <v>-210</v>
      </c>
      <c r="AC16" s="13">
        <v>181</v>
      </c>
      <c r="AD16" s="18">
        <v>377</v>
      </c>
    </row>
    <row r="17" spans="1:30" ht="20.7" customHeight="1" x14ac:dyDescent="0.2">
      <c r="A17" s="20">
        <v>45489</v>
      </c>
      <c r="B17" s="10">
        <v>12201112</v>
      </c>
      <c r="C17" s="14">
        <f t="shared" si="3"/>
        <v>9650</v>
      </c>
      <c r="D17" s="11">
        <v>455332</v>
      </c>
      <c r="E17" s="14">
        <f t="shared" si="4"/>
        <v>1508</v>
      </c>
      <c r="F17" s="28">
        <v>1704</v>
      </c>
      <c r="G17" s="75">
        <f t="shared" si="5"/>
        <v>0</v>
      </c>
      <c r="H17" s="77">
        <f t="shared" si="6"/>
        <v>11158</v>
      </c>
      <c r="I17" s="81">
        <f t="shared" si="7"/>
        <v>-34332.51</v>
      </c>
      <c r="J17" s="33">
        <f t="shared" si="0"/>
        <v>490.06999999999971</v>
      </c>
      <c r="K17" s="20">
        <f t="shared" si="1"/>
        <v>45489</v>
      </c>
      <c r="L17" s="34">
        <v>5660</v>
      </c>
      <c r="M17" s="35">
        <v>0</v>
      </c>
      <c r="N17" s="36">
        <v>0</v>
      </c>
      <c r="O17" s="93">
        <v>0.68</v>
      </c>
      <c r="P17" s="94">
        <v>0.68</v>
      </c>
      <c r="Q17" s="93">
        <v>0.83</v>
      </c>
      <c r="R17" s="94">
        <v>0.75</v>
      </c>
      <c r="S17" s="40">
        <f t="shared" si="8"/>
        <v>4190</v>
      </c>
      <c r="T17" s="39"/>
      <c r="U17" s="33">
        <f t="shared" si="12"/>
        <v>110</v>
      </c>
      <c r="V17" s="45">
        <v>107771</v>
      </c>
      <c r="W17" s="33">
        <f t="shared" si="2"/>
        <v>115</v>
      </c>
      <c r="X17" s="48">
        <v>59963</v>
      </c>
      <c r="Y17" s="33">
        <f t="shared" si="9"/>
        <v>17</v>
      </c>
      <c r="Z17" s="51">
        <v>3120</v>
      </c>
      <c r="AA17" s="57">
        <v>0</v>
      </c>
      <c r="AB17" s="33">
        <f t="shared" si="10"/>
        <v>-200</v>
      </c>
      <c r="AC17" s="13">
        <v>187</v>
      </c>
      <c r="AD17" s="18">
        <v>395</v>
      </c>
    </row>
    <row r="18" spans="1:30" ht="20.7" customHeight="1" x14ac:dyDescent="0.2">
      <c r="A18" s="20">
        <v>45490</v>
      </c>
      <c r="B18" s="10">
        <v>12210762</v>
      </c>
      <c r="C18" s="14">
        <f t="shared" si="3"/>
        <v>10142</v>
      </c>
      <c r="D18" s="11">
        <v>456840</v>
      </c>
      <c r="E18" s="14">
        <f t="shared" si="4"/>
        <v>1507</v>
      </c>
      <c r="F18" s="28">
        <v>1704</v>
      </c>
      <c r="G18" s="75">
        <f t="shared" si="5"/>
        <v>0</v>
      </c>
      <c r="H18" s="77">
        <f t="shared" si="6"/>
        <v>11649</v>
      </c>
      <c r="I18" s="81">
        <f t="shared" si="7"/>
        <v>-33842.44</v>
      </c>
      <c r="J18" s="33">
        <f t="shared" si="0"/>
        <v>-372.93999999999505</v>
      </c>
      <c r="K18" s="20">
        <f t="shared" si="1"/>
        <v>45490</v>
      </c>
      <c r="L18" s="34">
        <v>5660</v>
      </c>
      <c r="M18" s="35">
        <v>0</v>
      </c>
      <c r="N18" s="36">
        <v>0</v>
      </c>
      <c r="O18" s="93">
        <v>0.66</v>
      </c>
      <c r="P18" s="94">
        <v>0.68</v>
      </c>
      <c r="Q18" s="93">
        <v>0.78</v>
      </c>
      <c r="R18" s="94">
        <v>0.68</v>
      </c>
      <c r="S18" s="40">
        <f t="shared" si="8"/>
        <v>4080</v>
      </c>
      <c r="T18" s="39"/>
      <c r="U18" s="33">
        <f t="shared" si="12"/>
        <v>120</v>
      </c>
      <c r="V18" s="45">
        <v>107886</v>
      </c>
      <c r="W18" s="33">
        <f t="shared" si="2"/>
        <v>114</v>
      </c>
      <c r="X18" s="48">
        <v>59980</v>
      </c>
      <c r="Y18" s="33">
        <f t="shared" si="9"/>
        <v>9</v>
      </c>
      <c r="Z18" s="51">
        <v>2920</v>
      </c>
      <c r="AA18" s="57">
        <v>0</v>
      </c>
      <c r="AB18" s="33">
        <f t="shared" si="10"/>
        <v>-205</v>
      </c>
      <c r="AC18" s="13">
        <v>166</v>
      </c>
      <c r="AD18" s="18">
        <v>355</v>
      </c>
    </row>
    <row r="19" spans="1:30" ht="20.7" customHeight="1" x14ac:dyDescent="0.2">
      <c r="A19" s="20">
        <v>45491</v>
      </c>
      <c r="B19" s="10">
        <v>12220904</v>
      </c>
      <c r="C19" s="14">
        <f t="shared" si="3"/>
        <v>9779</v>
      </c>
      <c r="D19" s="11">
        <v>458347</v>
      </c>
      <c r="E19" s="14">
        <f t="shared" si="4"/>
        <v>1498</v>
      </c>
      <c r="F19" s="28">
        <v>1704</v>
      </c>
      <c r="G19" s="75">
        <f t="shared" si="5"/>
        <v>0</v>
      </c>
      <c r="H19" s="77">
        <f t="shared" si="6"/>
        <v>11277</v>
      </c>
      <c r="I19" s="81">
        <f t="shared" si="7"/>
        <v>-34215.379999999997</v>
      </c>
      <c r="J19" s="33">
        <f t="shared" si="0"/>
        <v>575.0199999999968</v>
      </c>
      <c r="K19" s="20">
        <f t="shared" si="1"/>
        <v>45491</v>
      </c>
      <c r="L19" s="34">
        <v>5660</v>
      </c>
      <c r="M19" s="35">
        <v>0</v>
      </c>
      <c r="N19" s="36">
        <v>0</v>
      </c>
      <c r="O19" s="93">
        <v>0.63</v>
      </c>
      <c r="P19" s="94">
        <v>0.67</v>
      </c>
      <c r="Q19" s="93">
        <v>0.75</v>
      </c>
      <c r="R19" s="94">
        <v>0.67</v>
      </c>
      <c r="S19" s="40">
        <f t="shared" si="8"/>
        <v>3960</v>
      </c>
      <c r="T19" s="39"/>
      <c r="U19" s="33">
        <f t="shared" si="12"/>
        <v>60</v>
      </c>
      <c r="V19" s="45">
        <v>108000</v>
      </c>
      <c r="W19" s="33">
        <f t="shared" si="2"/>
        <v>134</v>
      </c>
      <c r="X19" s="48">
        <v>59989</v>
      </c>
      <c r="Y19" s="33">
        <f t="shared" si="9"/>
        <v>14</v>
      </c>
      <c r="Z19" s="51">
        <v>2715</v>
      </c>
      <c r="AA19" s="57">
        <v>0</v>
      </c>
      <c r="AB19" s="33">
        <f t="shared" si="10"/>
        <v>-185</v>
      </c>
      <c r="AC19" s="13">
        <v>179</v>
      </c>
      <c r="AD19" s="18">
        <v>391</v>
      </c>
    </row>
    <row r="20" spans="1:30" ht="20.7" customHeight="1" x14ac:dyDescent="0.2">
      <c r="A20" s="20">
        <v>45492</v>
      </c>
      <c r="B20" s="10">
        <v>12230683</v>
      </c>
      <c r="C20" s="14">
        <f t="shared" si="3"/>
        <v>10381</v>
      </c>
      <c r="D20" s="11">
        <v>459845</v>
      </c>
      <c r="E20" s="14">
        <f t="shared" si="4"/>
        <v>1472</v>
      </c>
      <c r="F20" s="28">
        <v>1704</v>
      </c>
      <c r="G20" s="75">
        <f t="shared" si="5"/>
        <v>0</v>
      </c>
      <c r="H20" s="77">
        <f t="shared" si="6"/>
        <v>11853</v>
      </c>
      <c r="I20" s="81">
        <f t="shared" si="7"/>
        <v>-33640.36</v>
      </c>
      <c r="J20" s="33">
        <f t="shared" si="0"/>
        <v>-236.95999999999913</v>
      </c>
      <c r="K20" s="20">
        <f t="shared" si="1"/>
        <v>45492</v>
      </c>
      <c r="L20" s="34">
        <v>5661</v>
      </c>
      <c r="M20" s="35">
        <v>0</v>
      </c>
      <c r="N20" s="36">
        <v>0</v>
      </c>
      <c r="O20" s="93">
        <v>0.62</v>
      </c>
      <c r="P20" s="94">
        <v>0.66</v>
      </c>
      <c r="Q20" s="93">
        <v>0.74</v>
      </c>
      <c r="R20" s="94">
        <v>0.66</v>
      </c>
      <c r="S20" s="40">
        <f t="shared" si="8"/>
        <v>3900</v>
      </c>
      <c r="T20" s="39"/>
      <c r="U20" s="33">
        <f t="shared" si="12"/>
        <v>110</v>
      </c>
      <c r="V20" s="45">
        <v>108134</v>
      </c>
      <c r="W20" s="33">
        <f t="shared" si="2"/>
        <v>129</v>
      </c>
      <c r="X20" s="48">
        <v>60003</v>
      </c>
      <c r="Y20" s="33">
        <f t="shared" si="9"/>
        <v>6</v>
      </c>
      <c r="Z20" s="51">
        <v>2530</v>
      </c>
      <c r="AA20" s="57">
        <v>0</v>
      </c>
      <c r="AB20" s="33">
        <f t="shared" si="10"/>
        <v>-215</v>
      </c>
      <c r="AC20" s="13">
        <v>194</v>
      </c>
      <c r="AD20" s="18">
        <v>432</v>
      </c>
    </row>
    <row r="21" spans="1:30" ht="20.7" customHeight="1" x14ac:dyDescent="0.2">
      <c r="A21" s="20">
        <v>45493</v>
      </c>
      <c r="B21" s="10">
        <v>12241064</v>
      </c>
      <c r="C21" s="14">
        <f t="shared" si="3"/>
        <v>10114</v>
      </c>
      <c r="D21" s="11">
        <v>461317</v>
      </c>
      <c r="E21" s="14">
        <f t="shared" si="4"/>
        <v>1503</v>
      </c>
      <c r="F21" s="28">
        <v>1704</v>
      </c>
      <c r="G21" s="75">
        <f t="shared" si="5"/>
        <v>0</v>
      </c>
      <c r="H21" s="77">
        <f t="shared" si="6"/>
        <v>11617</v>
      </c>
      <c r="I21" s="81">
        <f t="shared" si="7"/>
        <v>-33877.32</v>
      </c>
      <c r="J21" s="33">
        <f t="shared" si="0"/>
        <v>1152.1100000000006</v>
      </c>
      <c r="K21" s="20">
        <f t="shared" si="1"/>
        <v>45493</v>
      </c>
      <c r="L21" s="34">
        <v>5660</v>
      </c>
      <c r="M21" s="35">
        <v>0</v>
      </c>
      <c r="N21" s="36">
        <v>0</v>
      </c>
      <c r="O21" s="93">
        <v>0.61</v>
      </c>
      <c r="P21" s="94">
        <v>0.64</v>
      </c>
      <c r="Q21" s="93">
        <v>0.71</v>
      </c>
      <c r="R21" s="94">
        <v>0.62</v>
      </c>
      <c r="S21" s="41">
        <f t="shared" si="8"/>
        <v>3790</v>
      </c>
      <c r="T21" s="39"/>
      <c r="U21" s="33">
        <f t="shared" si="12"/>
        <v>70</v>
      </c>
      <c r="V21" s="45">
        <v>108263</v>
      </c>
      <c r="W21" s="33">
        <f t="shared" si="2"/>
        <v>135</v>
      </c>
      <c r="X21" s="48">
        <v>60009</v>
      </c>
      <c r="Y21" s="33">
        <f t="shared" si="9"/>
        <v>13</v>
      </c>
      <c r="Z21" s="51">
        <v>2315</v>
      </c>
      <c r="AA21" s="57">
        <v>0</v>
      </c>
      <c r="AB21" s="33">
        <f t="shared" si="10"/>
        <v>-205</v>
      </c>
      <c r="AC21" s="13">
        <v>198</v>
      </c>
      <c r="AD21" s="18">
        <v>444</v>
      </c>
    </row>
    <row r="22" spans="1:30" ht="20.7" customHeight="1" x14ac:dyDescent="0.2">
      <c r="A22" s="20">
        <v>45494</v>
      </c>
      <c r="B22" s="10">
        <v>12251178</v>
      </c>
      <c r="C22" s="14">
        <f t="shared" si="3"/>
        <v>11280</v>
      </c>
      <c r="D22" s="11">
        <v>462820</v>
      </c>
      <c r="E22" s="14">
        <f t="shared" si="4"/>
        <v>1490</v>
      </c>
      <c r="F22" s="28">
        <v>1704</v>
      </c>
      <c r="G22" s="75">
        <f t="shared" si="5"/>
        <v>0</v>
      </c>
      <c r="H22" s="77">
        <f t="shared" si="6"/>
        <v>12770</v>
      </c>
      <c r="I22" s="81">
        <f t="shared" si="7"/>
        <v>-32725.21</v>
      </c>
      <c r="J22" s="33">
        <f t="shared" si="0"/>
        <v>-246.91000000000349</v>
      </c>
      <c r="K22" s="20">
        <f t="shared" si="1"/>
        <v>45494</v>
      </c>
      <c r="L22" s="34">
        <v>5660</v>
      </c>
      <c r="M22" s="35">
        <v>0</v>
      </c>
      <c r="N22" s="36">
        <v>0</v>
      </c>
      <c r="O22" s="93">
        <v>0.61</v>
      </c>
      <c r="P22" s="94">
        <v>0.64</v>
      </c>
      <c r="Q22" s="93">
        <v>0.6</v>
      </c>
      <c r="R22" s="94">
        <v>0.59</v>
      </c>
      <c r="S22" s="41">
        <f t="shared" si="8"/>
        <v>3720</v>
      </c>
      <c r="T22" s="39"/>
      <c r="U22" s="33">
        <f t="shared" si="12"/>
        <v>75</v>
      </c>
      <c r="V22" s="45">
        <v>108398</v>
      </c>
      <c r="W22" s="33">
        <f t="shared" si="2"/>
        <v>135</v>
      </c>
      <c r="X22" s="48">
        <v>60022</v>
      </c>
      <c r="Y22" s="33">
        <f t="shared" si="9"/>
        <v>7</v>
      </c>
      <c r="Z22" s="51">
        <v>2110</v>
      </c>
      <c r="AA22" s="57">
        <v>0</v>
      </c>
      <c r="AB22" s="33">
        <f t="shared" si="10"/>
        <v>-200</v>
      </c>
      <c r="AC22" s="13">
        <v>178</v>
      </c>
      <c r="AD22" s="18">
        <v>395</v>
      </c>
    </row>
    <row r="23" spans="1:30" ht="20.7" customHeight="1" x14ac:dyDescent="0.2">
      <c r="A23" s="20">
        <v>45495</v>
      </c>
      <c r="B23" s="10">
        <v>12262458</v>
      </c>
      <c r="C23" s="14">
        <f t="shared" si="3"/>
        <v>11030</v>
      </c>
      <c r="D23" s="11">
        <v>464310</v>
      </c>
      <c r="E23" s="14">
        <f t="shared" si="4"/>
        <v>1494</v>
      </c>
      <c r="F23" s="28">
        <v>1704</v>
      </c>
      <c r="G23" s="75">
        <f t="shared" si="5"/>
        <v>0</v>
      </c>
      <c r="H23" s="77">
        <f t="shared" si="6"/>
        <v>12524</v>
      </c>
      <c r="I23" s="81">
        <f t="shared" si="7"/>
        <v>-32972.120000000003</v>
      </c>
      <c r="J23" s="33">
        <f t="shared" si="0"/>
        <v>-1392.510000000002</v>
      </c>
      <c r="K23" s="20">
        <f t="shared" si="1"/>
        <v>45495</v>
      </c>
      <c r="L23" s="34">
        <v>5660</v>
      </c>
      <c r="M23" s="35">
        <v>0</v>
      </c>
      <c r="N23" s="36">
        <v>0</v>
      </c>
      <c r="O23" s="93">
        <v>0.61</v>
      </c>
      <c r="P23" s="94">
        <v>0.64</v>
      </c>
      <c r="Q23" s="93">
        <v>0.51</v>
      </c>
      <c r="R23" s="94">
        <v>0.53</v>
      </c>
      <c r="S23" s="41">
        <f t="shared" si="8"/>
        <v>3645</v>
      </c>
      <c r="T23" s="39">
        <v>1246</v>
      </c>
      <c r="U23" s="33">
        <f t="shared" si="12"/>
        <v>176</v>
      </c>
      <c r="V23" s="45">
        <v>108533</v>
      </c>
      <c r="W23" s="33">
        <f t="shared" si="2"/>
        <v>111</v>
      </c>
      <c r="X23" s="48">
        <v>60029</v>
      </c>
      <c r="Y23" s="33">
        <f t="shared" si="9"/>
        <v>12</v>
      </c>
      <c r="Z23" s="51">
        <v>1910</v>
      </c>
      <c r="AA23" s="57">
        <v>0</v>
      </c>
      <c r="AB23" s="33">
        <f t="shared" si="10"/>
        <v>-205</v>
      </c>
      <c r="AC23" s="13">
        <v>174</v>
      </c>
      <c r="AD23" s="18">
        <v>391</v>
      </c>
    </row>
    <row r="24" spans="1:30" ht="20.7" customHeight="1" x14ac:dyDescent="0.2">
      <c r="A24" s="20">
        <v>45496</v>
      </c>
      <c r="B24" s="10">
        <v>12273488</v>
      </c>
      <c r="C24" s="14">
        <f t="shared" si="3"/>
        <v>9687</v>
      </c>
      <c r="D24" s="11">
        <v>465804</v>
      </c>
      <c r="E24" s="14">
        <f t="shared" si="4"/>
        <v>1446</v>
      </c>
      <c r="F24" s="28">
        <v>1704</v>
      </c>
      <c r="G24" s="75">
        <f t="shared" si="5"/>
        <v>0</v>
      </c>
      <c r="H24" s="77">
        <f t="shared" si="6"/>
        <v>11133</v>
      </c>
      <c r="I24" s="81">
        <f t="shared" si="7"/>
        <v>-34364.630000000005</v>
      </c>
      <c r="J24" s="33">
        <f t="shared" si="0"/>
        <v>1048.0300000000061</v>
      </c>
      <c r="K24" s="20">
        <f t="shared" si="1"/>
        <v>45496</v>
      </c>
      <c r="L24" s="34">
        <v>5660</v>
      </c>
      <c r="M24" s="35">
        <v>0</v>
      </c>
      <c r="N24" s="36">
        <v>0</v>
      </c>
      <c r="O24" s="93">
        <v>0.8</v>
      </c>
      <c r="P24" s="94">
        <v>0.77</v>
      </c>
      <c r="Q24" s="93">
        <v>0.83</v>
      </c>
      <c r="R24" s="94">
        <v>0.75</v>
      </c>
      <c r="S24" s="41">
        <f t="shared" si="8"/>
        <v>4715</v>
      </c>
      <c r="T24" s="39"/>
      <c r="U24" s="33">
        <f t="shared" si="12"/>
        <v>75</v>
      </c>
      <c r="V24" s="45">
        <v>108644</v>
      </c>
      <c r="W24" s="33">
        <f t="shared" si="2"/>
        <v>89</v>
      </c>
      <c r="X24" s="48">
        <v>60041</v>
      </c>
      <c r="Y24" s="33">
        <f t="shared" si="9"/>
        <v>5</v>
      </c>
      <c r="Z24" s="51">
        <v>1705</v>
      </c>
      <c r="AA24" s="57">
        <v>0</v>
      </c>
      <c r="AB24" s="33">
        <f t="shared" si="10"/>
        <v>-220</v>
      </c>
      <c r="AC24" s="13">
        <v>175</v>
      </c>
      <c r="AD24" s="18">
        <v>380</v>
      </c>
    </row>
    <row r="25" spans="1:30" ht="20.7" customHeight="1" x14ac:dyDescent="0.2">
      <c r="A25" s="20">
        <v>45497</v>
      </c>
      <c r="B25" s="10">
        <v>12283175</v>
      </c>
      <c r="C25" s="14">
        <f t="shared" si="3"/>
        <v>10732</v>
      </c>
      <c r="D25" s="11">
        <v>467250</v>
      </c>
      <c r="E25" s="14">
        <f t="shared" si="4"/>
        <v>1450</v>
      </c>
      <c r="F25" s="28">
        <v>1704</v>
      </c>
      <c r="G25" s="75">
        <f t="shared" si="5"/>
        <v>0</v>
      </c>
      <c r="H25" s="77">
        <f t="shared" si="6"/>
        <v>12182</v>
      </c>
      <c r="I25" s="81">
        <f t="shared" si="7"/>
        <v>-33316.6</v>
      </c>
      <c r="J25" s="33">
        <f t="shared" si="0"/>
        <v>-757.93000000000029</v>
      </c>
      <c r="K25" s="20">
        <f t="shared" si="1"/>
        <v>45497</v>
      </c>
      <c r="L25" s="34">
        <v>5660</v>
      </c>
      <c r="M25" s="35">
        <v>0</v>
      </c>
      <c r="N25" s="36">
        <v>0</v>
      </c>
      <c r="O25" s="93">
        <v>0.79</v>
      </c>
      <c r="P25" s="94">
        <v>0.76</v>
      </c>
      <c r="Q25" s="93">
        <v>0.81</v>
      </c>
      <c r="R25" s="94">
        <v>0.72</v>
      </c>
      <c r="S25" s="41">
        <f t="shared" si="8"/>
        <v>4640</v>
      </c>
      <c r="T25" s="39"/>
      <c r="U25" s="33">
        <f t="shared" si="12"/>
        <v>160</v>
      </c>
      <c r="V25" s="45">
        <v>108733</v>
      </c>
      <c r="W25" s="33">
        <f t="shared" si="2"/>
        <v>122</v>
      </c>
      <c r="X25" s="48">
        <v>60046</v>
      </c>
      <c r="Y25" s="33">
        <f t="shared" si="9"/>
        <v>13</v>
      </c>
      <c r="Z25" s="51">
        <v>1485</v>
      </c>
      <c r="AA25" s="57">
        <v>0</v>
      </c>
      <c r="AB25" s="33">
        <f t="shared" si="10"/>
        <v>-230</v>
      </c>
      <c r="AC25" s="13">
        <v>175</v>
      </c>
      <c r="AD25" s="18">
        <v>379</v>
      </c>
    </row>
    <row r="26" spans="1:30" ht="20.7" customHeight="1" x14ac:dyDescent="0.2">
      <c r="A26" s="20">
        <v>45498</v>
      </c>
      <c r="B26" s="10">
        <v>12293907</v>
      </c>
      <c r="C26" s="14">
        <f t="shared" si="3"/>
        <v>9945</v>
      </c>
      <c r="D26" s="11">
        <v>468700</v>
      </c>
      <c r="E26" s="14">
        <f t="shared" si="4"/>
        <v>1480</v>
      </c>
      <c r="F26" s="28">
        <v>1704</v>
      </c>
      <c r="G26" s="75">
        <f t="shared" si="5"/>
        <v>0</v>
      </c>
      <c r="H26" s="77">
        <f t="shared" si="6"/>
        <v>11425</v>
      </c>
      <c r="I26" s="81">
        <f t="shared" si="7"/>
        <v>-34074.53</v>
      </c>
      <c r="J26" s="33">
        <f t="shared" si="0"/>
        <v>559.06999999999971</v>
      </c>
      <c r="K26" s="20">
        <f t="shared" si="1"/>
        <v>45498</v>
      </c>
      <c r="L26" s="34">
        <v>5660</v>
      </c>
      <c r="M26" s="35">
        <v>0</v>
      </c>
      <c r="N26" s="36">
        <v>0</v>
      </c>
      <c r="O26" s="93">
        <v>0.77</v>
      </c>
      <c r="P26" s="94">
        <v>0.74</v>
      </c>
      <c r="Q26" s="93">
        <v>0.76</v>
      </c>
      <c r="R26" s="94">
        <v>0.65</v>
      </c>
      <c r="S26" s="41">
        <f t="shared" si="8"/>
        <v>4480</v>
      </c>
      <c r="T26" s="39"/>
      <c r="U26" s="33">
        <f t="shared" si="12"/>
        <v>120</v>
      </c>
      <c r="V26" s="45">
        <v>108855</v>
      </c>
      <c r="W26" s="33">
        <f t="shared" si="2"/>
        <v>109</v>
      </c>
      <c r="X26" s="48">
        <v>60059</v>
      </c>
      <c r="Y26" s="33">
        <f t="shared" si="9"/>
        <v>13</v>
      </c>
      <c r="Z26" s="51">
        <v>1255</v>
      </c>
      <c r="AA26" s="57">
        <v>0</v>
      </c>
      <c r="AB26" s="33">
        <f t="shared" si="10"/>
        <v>-170</v>
      </c>
      <c r="AC26" s="13">
        <v>191</v>
      </c>
      <c r="AD26" s="18">
        <v>417</v>
      </c>
    </row>
    <row r="27" spans="1:30" ht="20.7" customHeight="1" x14ac:dyDescent="0.2">
      <c r="A27" s="20">
        <v>45499</v>
      </c>
      <c r="B27" s="10">
        <v>12303852</v>
      </c>
      <c r="C27" s="14">
        <f t="shared" si="3"/>
        <v>10604</v>
      </c>
      <c r="D27" s="11">
        <v>470180</v>
      </c>
      <c r="E27" s="14">
        <f t="shared" si="4"/>
        <v>1381</v>
      </c>
      <c r="F27" s="28">
        <v>1704</v>
      </c>
      <c r="G27" s="75">
        <f t="shared" si="5"/>
        <v>0</v>
      </c>
      <c r="H27" s="77">
        <f t="shared" si="6"/>
        <v>11985</v>
      </c>
      <c r="I27" s="81">
        <f t="shared" si="7"/>
        <v>-33515.46</v>
      </c>
      <c r="J27" s="33">
        <f t="shared" si="0"/>
        <v>916.06999999999607</v>
      </c>
      <c r="K27" s="20">
        <f t="shared" si="1"/>
        <v>45499</v>
      </c>
      <c r="L27" s="34">
        <v>5660</v>
      </c>
      <c r="M27" s="35">
        <v>0</v>
      </c>
      <c r="N27" s="36">
        <v>0</v>
      </c>
      <c r="O27" s="93">
        <v>0.74</v>
      </c>
      <c r="P27" s="94">
        <v>0.73</v>
      </c>
      <c r="Q27" s="93">
        <v>0.72</v>
      </c>
      <c r="R27" s="94">
        <v>0.65</v>
      </c>
      <c r="S27" s="41">
        <f t="shared" si="8"/>
        <v>4360</v>
      </c>
      <c r="T27" s="39"/>
      <c r="U27" s="33">
        <f t="shared" si="12"/>
        <v>70</v>
      </c>
      <c r="V27" s="45">
        <v>108964</v>
      </c>
      <c r="W27" s="33">
        <f t="shared" si="2"/>
        <v>137</v>
      </c>
      <c r="X27" s="48">
        <v>60072</v>
      </c>
      <c r="Y27" s="33">
        <f t="shared" si="9"/>
        <v>9</v>
      </c>
      <c r="Z27" s="51">
        <v>1085</v>
      </c>
      <c r="AA27" s="57">
        <v>0</v>
      </c>
      <c r="AB27" s="33">
        <f t="shared" si="10"/>
        <v>-245</v>
      </c>
      <c r="AC27" s="13">
        <v>214</v>
      </c>
      <c r="AD27" s="18">
        <v>475</v>
      </c>
    </row>
    <row r="28" spans="1:30" ht="20.7" customHeight="1" x14ac:dyDescent="0.2">
      <c r="A28" s="20">
        <v>45500</v>
      </c>
      <c r="B28" s="10">
        <v>12314456</v>
      </c>
      <c r="C28" s="14">
        <f t="shared" si="3"/>
        <v>11493</v>
      </c>
      <c r="D28" s="11">
        <v>471561</v>
      </c>
      <c r="E28" s="14">
        <f t="shared" si="4"/>
        <v>1409</v>
      </c>
      <c r="F28" s="28">
        <v>1704</v>
      </c>
      <c r="G28" s="75">
        <f t="shared" si="5"/>
        <v>0</v>
      </c>
      <c r="H28" s="77">
        <f t="shared" si="6"/>
        <v>12902</v>
      </c>
      <c r="I28" s="81">
        <f t="shared" si="7"/>
        <v>-32599.390000000003</v>
      </c>
      <c r="J28" s="33">
        <f t="shared" si="0"/>
        <v>-827.0099999999984</v>
      </c>
      <c r="K28" s="20">
        <f t="shared" si="1"/>
        <v>45500</v>
      </c>
      <c r="L28" s="34">
        <v>5660</v>
      </c>
      <c r="M28" s="35">
        <v>0</v>
      </c>
      <c r="N28" s="36">
        <v>0</v>
      </c>
      <c r="O28" s="93">
        <v>0.74</v>
      </c>
      <c r="P28" s="94">
        <v>0.72</v>
      </c>
      <c r="Q28" s="93">
        <v>0.65</v>
      </c>
      <c r="R28" s="94">
        <v>0.63</v>
      </c>
      <c r="S28" s="41">
        <f t="shared" si="8"/>
        <v>4290</v>
      </c>
      <c r="T28" s="39"/>
      <c r="U28" s="33">
        <f t="shared" si="12"/>
        <v>95</v>
      </c>
      <c r="V28" s="45">
        <v>109101</v>
      </c>
      <c r="W28" s="33">
        <f t="shared" si="2"/>
        <v>151</v>
      </c>
      <c r="X28" s="48">
        <v>60081</v>
      </c>
      <c r="Y28" s="33">
        <f t="shared" si="9"/>
        <v>12</v>
      </c>
      <c r="Z28" s="51">
        <v>840</v>
      </c>
      <c r="AA28" s="57">
        <v>0</v>
      </c>
      <c r="AB28" s="33">
        <f t="shared" si="10"/>
        <v>-235</v>
      </c>
      <c r="AC28" s="13">
        <v>222</v>
      </c>
      <c r="AD28" s="18">
        <v>498</v>
      </c>
    </row>
    <row r="29" spans="1:30" ht="20.7" customHeight="1" x14ac:dyDescent="0.2">
      <c r="A29" s="20">
        <v>45501</v>
      </c>
      <c r="B29" s="10">
        <v>12325949</v>
      </c>
      <c r="C29" s="14">
        <f t="shared" si="3"/>
        <v>10556</v>
      </c>
      <c r="D29" s="11">
        <v>472970</v>
      </c>
      <c r="E29" s="14">
        <f t="shared" si="4"/>
        <v>1520</v>
      </c>
      <c r="F29" s="28">
        <v>1704</v>
      </c>
      <c r="G29" s="75">
        <f t="shared" si="5"/>
        <v>0</v>
      </c>
      <c r="H29" s="77">
        <f t="shared" si="6"/>
        <v>12076</v>
      </c>
      <c r="I29" s="81">
        <f t="shared" si="7"/>
        <v>-33426.400000000001</v>
      </c>
      <c r="J29" s="33">
        <f t="shared" si="0"/>
        <v>779.20000000000437</v>
      </c>
      <c r="K29" s="20">
        <f t="shared" si="1"/>
        <v>45501</v>
      </c>
      <c r="L29" s="34">
        <v>5660</v>
      </c>
      <c r="M29" s="35">
        <v>0</v>
      </c>
      <c r="N29" s="36">
        <v>0</v>
      </c>
      <c r="O29" s="93">
        <v>0.71</v>
      </c>
      <c r="P29" s="94">
        <v>0.72</v>
      </c>
      <c r="Q29" s="93">
        <v>0.69</v>
      </c>
      <c r="R29" s="94">
        <v>0.55000000000000004</v>
      </c>
      <c r="S29" s="41">
        <f t="shared" si="8"/>
        <v>4195</v>
      </c>
      <c r="T29" s="39"/>
      <c r="U29" s="33">
        <f t="shared" si="12"/>
        <v>210</v>
      </c>
      <c r="V29" s="45">
        <v>109252</v>
      </c>
      <c r="W29" s="33">
        <f t="shared" si="2"/>
        <v>146</v>
      </c>
      <c r="X29" s="48">
        <v>60093</v>
      </c>
      <c r="Y29" s="33">
        <f t="shared" si="9"/>
        <v>7</v>
      </c>
      <c r="Z29" s="51">
        <v>605</v>
      </c>
      <c r="AA29" s="57">
        <v>0</v>
      </c>
      <c r="AB29" s="33">
        <f t="shared" si="10"/>
        <v>-250</v>
      </c>
      <c r="AC29" s="13">
        <v>207</v>
      </c>
      <c r="AD29" s="18">
        <v>460</v>
      </c>
    </row>
    <row r="30" spans="1:30" ht="20.7" customHeight="1" x14ac:dyDescent="0.2">
      <c r="A30" s="20">
        <v>45502</v>
      </c>
      <c r="B30" s="10">
        <v>12336505</v>
      </c>
      <c r="C30" s="14">
        <f t="shared" si="3"/>
        <v>11359</v>
      </c>
      <c r="D30" s="11">
        <v>474490</v>
      </c>
      <c r="E30" s="14">
        <f t="shared" si="4"/>
        <v>1497</v>
      </c>
      <c r="F30" s="28">
        <v>1704</v>
      </c>
      <c r="G30" s="75">
        <f t="shared" si="5"/>
        <v>0</v>
      </c>
      <c r="H30" s="77">
        <f t="shared" si="6"/>
        <v>12856</v>
      </c>
      <c r="I30" s="81">
        <f t="shared" si="7"/>
        <v>-32647.199999999997</v>
      </c>
      <c r="J30" s="33">
        <f t="shared" si="0"/>
        <v>-1730.4100000000035</v>
      </c>
      <c r="K30" s="20">
        <f t="shared" si="1"/>
        <v>45502</v>
      </c>
      <c r="L30" s="34">
        <v>5660</v>
      </c>
      <c r="M30" s="35">
        <v>0</v>
      </c>
      <c r="N30" s="36">
        <v>0</v>
      </c>
      <c r="O30" s="93">
        <v>0.69</v>
      </c>
      <c r="P30" s="94">
        <v>0.71</v>
      </c>
      <c r="Q30" s="93">
        <v>0.51</v>
      </c>
      <c r="R30" s="94">
        <v>0.46</v>
      </c>
      <c r="S30" s="41">
        <f t="shared" si="8"/>
        <v>3985</v>
      </c>
      <c r="T30" s="39">
        <v>823</v>
      </c>
      <c r="U30" s="33">
        <f t="shared" si="12"/>
        <v>103</v>
      </c>
      <c r="V30" s="45">
        <v>109398</v>
      </c>
      <c r="W30" s="33">
        <f t="shared" si="2"/>
        <v>136</v>
      </c>
      <c r="X30" s="48">
        <v>60100</v>
      </c>
      <c r="Y30" s="33">
        <f t="shared" si="9"/>
        <v>11</v>
      </c>
      <c r="Z30" s="51">
        <v>355</v>
      </c>
      <c r="AA30" s="57">
        <v>8160</v>
      </c>
      <c r="AB30" s="33">
        <f t="shared" si="10"/>
        <v>-100</v>
      </c>
      <c r="AC30" s="13">
        <v>185</v>
      </c>
      <c r="AD30" s="18">
        <v>406</v>
      </c>
    </row>
    <row r="31" spans="1:30" ht="20.7" customHeight="1" x14ac:dyDescent="0.2">
      <c r="A31" s="20">
        <v>45503</v>
      </c>
      <c r="B31" s="10">
        <v>12347864</v>
      </c>
      <c r="C31" s="14">
        <f t="shared" si="3"/>
        <v>9644</v>
      </c>
      <c r="D31" s="11">
        <v>475987</v>
      </c>
      <c r="E31" s="14">
        <f t="shared" si="4"/>
        <v>1483</v>
      </c>
      <c r="F31" s="28">
        <v>1704</v>
      </c>
      <c r="G31" s="75">
        <f t="shared" si="5"/>
        <v>0</v>
      </c>
      <c r="H31" s="77">
        <f t="shared" si="6"/>
        <v>11127</v>
      </c>
      <c r="I31" s="81">
        <f t="shared" si="7"/>
        <v>-34377.61</v>
      </c>
      <c r="J31" s="33">
        <f t="shared" si="0"/>
        <v>227.06000000000495</v>
      </c>
      <c r="K31" s="20">
        <f t="shared" si="1"/>
        <v>45503</v>
      </c>
      <c r="L31" s="34">
        <v>5660</v>
      </c>
      <c r="M31" s="35">
        <v>0</v>
      </c>
      <c r="N31" s="36">
        <v>0</v>
      </c>
      <c r="O31" s="93">
        <v>0.8</v>
      </c>
      <c r="P31" s="94">
        <v>0.77</v>
      </c>
      <c r="Q31" s="93">
        <v>0.81</v>
      </c>
      <c r="R31" s="94">
        <v>0.75</v>
      </c>
      <c r="S31" s="41">
        <f t="shared" si="8"/>
        <v>4705</v>
      </c>
      <c r="T31" s="39"/>
      <c r="U31" s="33">
        <f t="shared" si="12"/>
        <v>110</v>
      </c>
      <c r="V31" s="45">
        <v>109534</v>
      </c>
      <c r="W31" s="33">
        <f t="shared" si="2"/>
        <v>134</v>
      </c>
      <c r="X31" s="48">
        <v>60111</v>
      </c>
      <c r="Y31" s="33">
        <f t="shared" si="9"/>
        <v>10</v>
      </c>
      <c r="Z31" s="51">
        <v>8415</v>
      </c>
      <c r="AA31" s="57">
        <v>0</v>
      </c>
      <c r="AB31" s="33">
        <f t="shared" si="10"/>
        <v>-185</v>
      </c>
      <c r="AC31" s="13">
        <v>168</v>
      </c>
      <c r="AD31" s="18">
        <v>367</v>
      </c>
    </row>
    <row r="32" spans="1:30" ht="20.7" customHeight="1" thickBot="1" x14ac:dyDescent="0.25">
      <c r="A32" s="20">
        <v>45504</v>
      </c>
      <c r="B32" s="10">
        <v>12357508</v>
      </c>
      <c r="C32" s="14">
        <f t="shared" si="3"/>
        <v>9919</v>
      </c>
      <c r="D32" s="11">
        <v>477470</v>
      </c>
      <c r="E32" s="14">
        <f t="shared" si="4"/>
        <v>1436</v>
      </c>
      <c r="F32" s="28">
        <v>1704</v>
      </c>
      <c r="G32" s="75">
        <f t="shared" si="5"/>
        <v>0</v>
      </c>
      <c r="H32" s="77">
        <f t="shared" si="6"/>
        <v>11355</v>
      </c>
      <c r="I32" s="81">
        <f t="shared" si="7"/>
        <v>-34150.549999999996</v>
      </c>
      <c r="J32" s="33">
        <f t="shared" si="0"/>
        <v>34150.549999999996</v>
      </c>
      <c r="K32" s="20">
        <f t="shared" si="1"/>
        <v>45504</v>
      </c>
      <c r="L32" s="34">
        <v>5660</v>
      </c>
      <c r="M32" s="35">
        <v>0</v>
      </c>
      <c r="N32" s="66">
        <v>0</v>
      </c>
      <c r="O32" s="93">
        <v>0.77</v>
      </c>
      <c r="P32" s="94">
        <v>0.77</v>
      </c>
      <c r="Q32" s="93">
        <v>0.78</v>
      </c>
      <c r="R32" s="94">
        <v>0.71</v>
      </c>
      <c r="S32" s="41">
        <f t="shared" si="8"/>
        <v>4595</v>
      </c>
      <c r="T32" s="39"/>
      <c r="U32" s="33">
        <f t="shared" si="12"/>
        <v>85</v>
      </c>
      <c r="V32" s="45">
        <v>109668</v>
      </c>
      <c r="W32" s="33">
        <f t="shared" si="2"/>
        <v>124</v>
      </c>
      <c r="X32" s="48">
        <v>60121</v>
      </c>
      <c r="Y32" s="33">
        <f t="shared" si="9"/>
        <v>6</v>
      </c>
      <c r="Z32" s="51">
        <v>8230</v>
      </c>
      <c r="AA32" s="57">
        <v>0</v>
      </c>
      <c r="AB32" s="33">
        <f t="shared" si="10"/>
        <v>-170</v>
      </c>
      <c r="AC32" s="61">
        <v>181</v>
      </c>
      <c r="AD32" s="62">
        <v>384</v>
      </c>
    </row>
    <row r="33" spans="1:30" ht="20.7" customHeight="1" thickTop="1" thickBot="1" x14ac:dyDescent="0.25">
      <c r="A33" s="21">
        <v>45505</v>
      </c>
      <c r="B33" s="58">
        <v>12367427</v>
      </c>
      <c r="C33" s="71"/>
      <c r="D33" s="70">
        <v>478906</v>
      </c>
      <c r="E33" s="71"/>
      <c r="F33" s="28">
        <v>1704</v>
      </c>
      <c r="G33" s="63"/>
      <c r="H33" s="79"/>
      <c r="I33" s="72"/>
      <c r="J33" s="71"/>
      <c r="K33" s="69">
        <f t="shared" si="1"/>
        <v>45505</v>
      </c>
      <c r="L33" s="53">
        <v>5660</v>
      </c>
      <c r="M33" s="73">
        <v>0</v>
      </c>
      <c r="N33" s="71"/>
      <c r="O33" s="95">
        <v>0.76</v>
      </c>
      <c r="P33" s="96">
        <v>0.76</v>
      </c>
      <c r="Q33" s="95">
        <v>0.74</v>
      </c>
      <c r="R33" s="96">
        <v>0.68</v>
      </c>
      <c r="S33" s="42">
        <f t="shared" si="8"/>
        <v>4510</v>
      </c>
      <c r="T33" s="59"/>
      <c r="U33" s="71"/>
      <c r="V33" s="68">
        <v>109792</v>
      </c>
      <c r="W33" s="71"/>
      <c r="X33" s="67">
        <v>60127</v>
      </c>
      <c r="Y33" s="71"/>
      <c r="Z33" s="65">
        <v>8060</v>
      </c>
      <c r="AA33" s="60">
        <v>0</v>
      </c>
      <c r="AB33" s="63"/>
      <c r="AC33" s="64">
        <v>174</v>
      </c>
      <c r="AD33" s="64">
        <v>370</v>
      </c>
    </row>
    <row r="34" spans="1:30" s="89" customFormat="1" ht="10.7" thickTop="1" x14ac:dyDescent="0.2">
      <c r="A34" s="83"/>
      <c r="B34" s="83"/>
      <c r="C34" s="84">
        <f>SUM(C2:C33)</f>
        <v>317520</v>
      </c>
      <c r="D34" s="85"/>
      <c r="E34" s="84">
        <f>SUM(E2:E33)</f>
        <v>46779</v>
      </c>
      <c r="F34" s="86"/>
      <c r="G34" s="84">
        <f>SUM(G2:G33)</f>
        <v>0</v>
      </c>
      <c r="H34" s="85">
        <f>SUM(H2:H33)</f>
        <v>364299</v>
      </c>
      <c r="I34" s="84">
        <f>SUM(I2:I32)</f>
        <v>-1045904.5199999999</v>
      </c>
      <c r="J34" s="84">
        <f>SUM(J2:J33)</f>
        <v>32964.29</v>
      </c>
      <c r="K34" s="83"/>
      <c r="L34" s="85"/>
      <c r="M34" s="85"/>
      <c r="N34" s="84">
        <f>SUM(N2:N33)</f>
        <v>0</v>
      </c>
      <c r="O34" s="83"/>
      <c r="P34" s="83"/>
      <c r="Q34" s="83"/>
      <c r="R34" s="83"/>
      <c r="S34" s="83"/>
      <c r="T34" s="85">
        <f>SUM(T2:T33)</f>
        <v>3890</v>
      </c>
      <c r="U34" s="84">
        <f>SUM(U2:U33)</f>
        <v>3435</v>
      </c>
      <c r="V34" s="83"/>
      <c r="W34" s="84">
        <f>SUM(W2:W33)</f>
        <v>3831</v>
      </c>
      <c r="X34" s="83"/>
      <c r="Y34" s="84">
        <f>SUM(Y2:Y33)</f>
        <v>300</v>
      </c>
      <c r="Z34" s="83"/>
      <c r="AA34" s="83">
        <f>SUM(AA2:AA33)</f>
        <v>8160</v>
      </c>
      <c r="AB34" s="84">
        <f>SUM(AB2:AB33)</f>
        <v>-6910</v>
      </c>
      <c r="AC34" s="87">
        <f>SUM(AC2:AC33)</f>
        <v>6134</v>
      </c>
      <c r="AD34" s="88">
        <f>SUM(AD2:AD33)</f>
        <v>13027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8"/>
      <c r="I37" s="78"/>
      <c r="J37" s="5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3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topLeftCell="K6" zoomScale="85" zoomScaleNormal="85" workbookViewId="0">
      <selection activeCell="AD20" sqref="AD20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5.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6.6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6" t="s">
        <v>1</v>
      </c>
      <c r="B1" s="27" t="s">
        <v>10</v>
      </c>
      <c r="C1" s="23" t="s">
        <v>8</v>
      </c>
      <c r="D1" s="22" t="s">
        <v>11</v>
      </c>
      <c r="E1" s="16" t="s">
        <v>6</v>
      </c>
      <c r="F1" s="22" t="s">
        <v>12</v>
      </c>
      <c r="G1" s="74" t="s">
        <v>7</v>
      </c>
      <c r="H1" s="76" t="s">
        <v>18</v>
      </c>
      <c r="I1" s="80" t="s">
        <v>17</v>
      </c>
      <c r="J1" s="52" t="s">
        <v>5</v>
      </c>
      <c r="K1" s="26" t="s">
        <v>1</v>
      </c>
      <c r="L1" s="29" t="s">
        <v>2</v>
      </c>
      <c r="M1" s="82" t="s">
        <v>14</v>
      </c>
      <c r="N1" s="30" t="s">
        <v>5</v>
      </c>
      <c r="O1" s="90" t="s">
        <v>20</v>
      </c>
      <c r="P1" s="90" t="s">
        <v>21</v>
      </c>
      <c r="Q1" s="90" t="s">
        <v>22</v>
      </c>
      <c r="R1" s="90" t="s">
        <v>23</v>
      </c>
      <c r="S1" s="38" t="s">
        <v>19</v>
      </c>
      <c r="T1" s="37" t="s">
        <v>13</v>
      </c>
      <c r="U1" s="30" t="s">
        <v>5</v>
      </c>
      <c r="V1" s="43" t="s">
        <v>4</v>
      </c>
      <c r="W1" s="30" t="s">
        <v>5</v>
      </c>
      <c r="X1" s="46" t="s">
        <v>3</v>
      </c>
      <c r="Y1" s="30" t="s">
        <v>5</v>
      </c>
      <c r="Z1" s="49" t="s">
        <v>15</v>
      </c>
      <c r="AA1" s="55" t="s">
        <v>16</v>
      </c>
      <c r="AB1" s="30" t="s">
        <v>5</v>
      </c>
      <c r="AC1" s="24" t="s">
        <v>0</v>
      </c>
      <c r="AD1" s="25" t="s">
        <v>9</v>
      </c>
    </row>
    <row r="2" spans="1:30" ht="20.7" customHeight="1" x14ac:dyDescent="0.2">
      <c r="A2" s="19">
        <v>45505</v>
      </c>
      <c r="B2" s="8">
        <v>12367427</v>
      </c>
      <c r="C2" s="14">
        <f>B3-B2</f>
        <v>10141</v>
      </c>
      <c r="D2" s="9">
        <v>478906</v>
      </c>
      <c r="E2" s="14">
        <f>D3-D2</f>
        <v>1464</v>
      </c>
      <c r="F2" s="28">
        <v>1704</v>
      </c>
      <c r="G2" s="75">
        <f>F3-F2</f>
        <v>0</v>
      </c>
      <c r="H2" s="77">
        <f>C2+E2-G2</f>
        <v>11605</v>
      </c>
      <c r="I2" s="81">
        <f>H2-K2-M2-O2-Q2</f>
        <v>-33901.5</v>
      </c>
      <c r="J2" s="33">
        <f t="shared" ref="J2:J32" si="0">I3-I2</f>
        <v>-594.94999999999709</v>
      </c>
      <c r="K2" s="19">
        <f t="shared" ref="K2:K33" si="1">A2</f>
        <v>45505</v>
      </c>
      <c r="L2" s="31">
        <v>5660</v>
      </c>
      <c r="M2" s="32">
        <v>0</v>
      </c>
      <c r="N2" s="33">
        <v>0</v>
      </c>
      <c r="O2" s="91">
        <v>0.76</v>
      </c>
      <c r="P2" s="92">
        <v>0.76</v>
      </c>
      <c r="Q2" s="91">
        <v>0.74</v>
      </c>
      <c r="R2" s="92">
        <v>0.68</v>
      </c>
      <c r="S2" s="40">
        <f>(2500*O2)+(2500*P2)+(500*Q2)+(500*R2)</f>
        <v>4510</v>
      </c>
      <c r="T2" s="39"/>
      <c r="U2" s="33">
        <f>S2+T2-S3</f>
        <v>85</v>
      </c>
      <c r="V2" s="44">
        <v>109792</v>
      </c>
      <c r="W2" s="33">
        <f t="shared" ref="W2:W32" si="2">V3-V2</f>
        <v>131</v>
      </c>
      <c r="X2" s="47">
        <v>60127</v>
      </c>
      <c r="Y2" s="33">
        <f>X3-X2</f>
        <v>13</v>
      </c>
      <c r="Z2" s="50">
        <v>8060</v>
      </c>
      <c r="AA2" s="56">
        <v>0</v>
      </c>
      <c r="AB2" s="33">
        <f>Z3-AA2-Z2</f>
        <v>-210</v>
      </c>
      <c r="AC2" s="12">
        <v>179</v>
      </c>
      <c r="AD2" s="17">
        <v>375</v>
      </c>
    </row>
    <row r="3" spans="1:30" ht="20.7" customHeight="1" x14ac:dyDescent="0.2">
      <c r="A3" s="20">
        <v>45506</v>
      </c>
      <c r="B3" s="10">
        <v>12377568</v>
      </c>
      <c r="C3" s="14">
        <f t="shared" ref="C3:C32" si="3">B4-B3</f>
        <v>9521</v>
      </c>
      <c r="D3" s="11">
        <v>480370</v>
      </c>
      <c r="E3" s="14">
        <f t="shared" ref="E3:E32" si="4">D4-D3</f>
        <v>1490</v>
      </c>
      <c r="F3" s="28">
        <v>1704</v>
      </c>
      <c r="G3" s="75">
        <f t="shared" ref="G3:G32" si="5">F4-F3</f>
        <v>0</v>
      </c>
      <c r="H3" s="77">
        <f t="shared" ref="H3:H32" si="6">C3+E3-G3</f>
        <v>11011</v>
      </c>
      <c r="I3" s="81">
        <f t="shared" ref="I3:I32" si="7">H3-K3-M3-O3-Q3</f>
        <v>-34496.449999999997</v>
      </c>
      <c r="J3" s="33">
        <f t="shared" si="0"/>
        <v>-261.91000000000349</v>
      </c>
      <c r="K3" s="20">
        <f t="shared" si="1"/>
        <v>45506</v>
      </c>
      <c r="L3" s="34">
        <v>5660</v>
      </c>
      <c r="M3" s="35">
        <v>0</v>
      </c>
      <c r="N3" s="36">
        <v>0</v>
      </c>
      <c r="O3" s="93">
        <v>0.75</v>
      </c>
      <c r="P3" s="94">
        <v>0.75</v>
      </c>
      <c r="Q3" s="93">
        <v>0.7</v>
      </c>
      <c r="R3" s="94">
        <v>0.65</v>
      </c>
      <c r="S3" s="40">
        <f t="shared" ref="S3:S33" si="8">(2500*O3)+(2500*P3)+(500*Q3)+(500*R3)</f>
        <v>4425</v>
      </c>
      <c r="T3" s="39"/>
      <c r="U3" s="33">
        <f>S3+T3-S4</f>
        <v>125</v>
      </c>
      <c r="V3" s="45">
        <v>109923</v>
      </c>
      <c r="W3" s="33">
        <f t="shared" si="2"/>
        <v>111</v>
      </c>
      <c r="X3" s="48">
        <v>60140</v>
      </c>
      <c r="Y3" s="33">
        <f t="shared" ref="Y3:Y32" si="9">X4-X3</f>
        <v>16</v>
      </c>
      <c r="Z3" s="51">
        <v>7850</v>
      </c>
      <c r="AA3" s="57">
        <v>0</v>
      </c>
      <c r="AB3" s="33">
        <f t="shared" ref="AB3:AB32" si="10">Z4-AA3-Z3</f>
        <v>-185</v>
      </c>
      <c r="AC3" s="13">
        <v>212</v>
      </c>
      <c r="AD3" s="18">
        <v>442</v>
      </c>
    </row>
    <row r="4" spans="1:30" ht="20.7" customHeight="1" x14ac:dyDescent="0.2">
      <c r="A4" s="20">
        <v>45507</v>
      </c>
      <c r="B4" s="10">
        <v>12387089</v>
      </c>
      <c r="C4" s="14">
        <f t="shared" si="3"/>
        <v>9365</v>
      </c>
      <c r="D4" s="11">
        <v>481860</v>
      </c>
      <c r="E4" s="14">
        <f t="shared" si="4"/>
        <v>1385</v>
      </c>
      <c r="F4" s="28">
        <v>1704</v>
      </c>
      <c r="G4" s="75">
        <f t="shared" si="5"/>
        <v>0</v>
      </c>
      <c r="H4" s="77">
        <f t="shared" si="6"/>
        <v>10750</v>
      </c>
      <c r="I4" s="81">
        <f t="shared" si="7"/>
        <v>-34758.36</v>
      </c>
      <c r="J4" s="33">
        <f t="shared" si="0"/>
        <v>457.08000000000175</v>
      </c>
      <c r="K4" s="20">
        <f t="shared" si="1"/>
        <v>45507</v>
      </c>
      <c r="L4" s="34">
        <v>5660</v>
      </c>
      <c r="M4" s="35">
        <v>0</v>
      </c>
      <c r="N4" s="36">
        <v>0</v>
      </c>
      <c r="O4" s="93">
        <v>0.73</v>
      </c>
      <c r="P4" s="94">
        <v>0.74</v>
      </c>
      <c r="Q4" s="93">
        <v>0.63</v>
      </c>
      <c r="R4" s="94">
        <v>0.62</v>
      </c>
      <c r="S4" s="40">
        <f t="shared" si="8"/>
        <v>4300</v>
      </c>
      <c r="T4" s="39"/>
      <c r="U4" s="33">
        <f t="shared" ref="U4:U32" si="11">S4+T4-S5</f>
        <v>90</v>
      </c>
      <c r="V4" s="45">
        <v>110034</v>
      </c>
      <c r="W4" s="33">
        <f t="shared" si="2"/>
        <v>138</v>
      </c>
      <c r="X4" s="48">
        <v>60156</v>
      </c>
      <c r="Y4" s="33">
        <f t="shared" si="9"/>
        <v>26</v>
      </c>
      <c r="Z4" s="51">
        <v>7665</v>
      </c>
      <c r="AA4" s="57">
        <v>0</v>
      </c>
      <c r="AB4" s="33">
        <f t="shared" si="10"/>
        <v>-190</v>
      </c>
      <c r="AC4" s="13">
        <v>222</v>
      </c>
      <c r="AD4" s="18">
        <v>467</v>
      </c>
    </row>
    <row r="5" spans="1:30" ht="20.7" customHeight="1" x14ac:dyDescent="0.2">
      <c r="A5" s="20">
        <v>45508</v>
      </c>
      <c r="B5" s="10">
        <v>12396454</v>
      </c>
      <c r="C5" s="14">
        <f t="shared" si="3"/>
        <v>9764</v>
      </c>
      <c r="D5" s="11">
        <v>483245</v>
      </c>
      <c r="E5" s="14">
        <f t="shared" si="4"/>
        <v>1444</v>
      </c>
      <c r="F5" s="28">
        <v>1704</v>
      </c>
      <c r="G5" s="75">
        <f t="shared" si="5"/>
        <v>0</v>
      </c>
      <c r="H5" s="77">
        <f t="shared" si="6"/>
        <v>11208</v>
      </c>
      <c r="I5" s="81">
        <f t="shared" si="7"/>
        <v>-34301.279999999999</v>
      </c>
      <c r="J5" s="33">
        <f t="shared" si="0"/>
        <v>4.0800000000017462</v>
      </c>
      <c r="K5" s="20">
        <f t="shared" si="1"/>
        <v>45508</v>
      </c>
      <c r="L5" s="34">
        <v>5660</v>
      </c>
      <c r="M5" s="35">
        <v>0</v>
      </c>
      <c r="N5" s="36">
        <v>0</v>
      </c>
      <c r="O5" s="93">
        <v>0.72</v>
      </c>
      <c r="P5" s="94">
        <v>0.74</v>
      </c>
      <c r="Q5" s="93">
        <v>0.56000000000000005</v>
      </c>
      <c r="R5" s="94">
        <v>0.56000000000000005</v>
      </c>
      <c r="S5" s="40">
        <f t="shared" si="8"/>
        <v>4210</v>
      </c>
      <c r="T5" s="39"/>
      <c r="U5" s="33">
        <f t="shared" si="11"/>
        <v>150</v>
      </c>
      <c r="V5" s="45">
        <v>110172</v>
      </c>
      <c r="W5" s="33">
        <f t="shared" si="2"/>
        <v>126</v>
      </c>
      <c r="X5" s="48">
        <v>60182</v>
      </c>
      <c r="Y5" s="33">
        <f t="shared" si="9"/>
        <v>7</v>
      </c>
      <c r="Z5" s="51">
        <v>7475</v>
      </c>
      <c r="AA5" s="57">
        <v>0</v>
      </c>
      <c r="AB5" s="33">
        <f t="shared" si="10"/>
        <v>-220</v>
      </c>
      <c r="AC5" s="13">
        <v>202</v>
      </c>
      <c r="AD5" s="18">
        <v>431</v>
      </c>
    </row>
    <row r="6" spans="1:30" ht="20.7" customHeight="1" x14ac:dyDescent="0.2">
      <c r="A6" s="20">
        <v>45509</v>
      </c>
      <c r="B6" s="10">
        <v>12406218</v>
      </c>
      <c r="C6" s="14">
        <f t="shared" si="3"/>
        <v>9719</v>
      </c>
      <c r="D6" s="11">
        <v>484689</v>
      </c>
      <c r="E6" s="14">
        <f t="shared" si="4"/>
        <v>1494</v>
      </c>
      <c r="F6" s="28">
        <v>1704</v>
      </c>
      <c r="G6" s="75">
        <f t="shared" si="5"/>
        <v>0</v>
      </c>
      <c r="H6" s="77">
        <f t="shared" si="6"/>
        <v>11213</v>
      </c>
      <c r="I6" s="81">
        <f t="shared" si="7"/>
        <v>-34297.199999999997</v>
      </c>
      <c r="J6" s="33">
        <f t="shared" si="0"/>
        <v>-433.34999999999854</v>
      </c>
      <c r="K6" s="20">
        <f t="shared" si="1"/>
        <v>45509</v>
      </c>
      <c r="L6" s="34">
        <v>5660</v>
      </c>
      <c r="M6" s="35">
        <v>0</v>
      </c>
      <c r="N6" s="36">
        <v>0</v>
      </c>
      <c r="O6" s="93">
        <v>0.7</v>
      </c>
      <c r="P6" s="94">
        <v>0.72</v>
      </c>
      <c r="Q6" s="93">
        <v>0.5</v>
      </c>
      <c r="R6" s="94">
        <v>0.52</v>
      </c>
      <c r="S6" s="40">
        <f t="shared" si="8"/>
        <v>4060</v>
      </c>
      <c r="T6" s="39">
        <v>804</v>
      </c>
      <c r="U6" s="33">
        <f t="shared" si="11"/>
        <v>74</v>
      </c>
      <c r="V6" s="45">
        <v>110298</v>
      </c>
      <c r="W6" s="33">
        <f t="shared" si="2"/>
        <v>134</v>
      </c>
      <c r="X6" s="48">
        <v>60189</v>
      </c>
      <c r="Y6" s="33">
        <f t="shared" si="9"/>
        <v>-30</v>
      </c>
      <c r="Z6" s="51">
        <v>7255</v>
      </c>
      <c r="AA6" s="57">
        <v>0</v>
      </c>
      <c r="AB6" s="33">
        <f t="shared" si="10"/>
        <v>-220</v>
      </c>
      <c r="AC6" s="13">
        <v>223</v>
      </c>
      <c r="AD6" s="18">
        <v>483</v>
      </c>
    </row>
    <row r="7" spans="1:30" ht="20.7" customHeight="1" x14ac:dyDescent="0.2">
      <c r="A7" s="20">
        <v>45510</v>
      </c>
      <c r="B7" s="10">
        <v>12415937</v>
      </c>
      <c r="C7" s="14">
        <f t="shared" si="3"/>
        <v>9305</v>
      </c>
      <c r="D7" s="11">
        <v>486183</v>
      </c>
      <c r="E7" s="14">
        <f t="shared" si="4"/>
        <v>1476</v>
      </c>
      <c r="F7" s="28">
        <v>1704</v>
      </c>
      <c r="G7" s="75">
        <f t="shared" si="5"/>
        <v>0</v>
      </c>
      <c r="H7" s="77">
        <f t="shared" si="6"/>
        <v>10781</v>
      </c>
      <c r="I7" s="81">
        <f t="shared" si="7"/>
        <v>-34730.549999999996</v>
      </c>
      <c r="J7" s="33">
        <f t="shared" si="0"/>
        <v>647.97999999999593</v>
      </c>
      <c r="K7" s="20">
        <f t="shared" si="1"/>
        <v>45510</v>
      </c>
      <c r="L7" s="34">
        <v>5660</v>
      </c>
      <c r="M7" s="35">
        <v>0</v>
      </c>
      <c r="N7" s="36">
        <v>0</v>
      </c>
      <c r="O7" s="93">
        <v>0.77</v>
      </c>
      <c r="P7" s="94">
        <v>0.82</v>
      </c>
      <c r="Q7" s="93">
        <v>0.78</v>
      </c>
      <c r="R7" s="94">
        <v>0.85</v>
      </c>
      <c r="S7" s="40">
        <f t="shared" si="8"/>
        <v>4790</v>
      </c>
      <c r="T7" s="39"/>
      <c r="U7" s="33">
        <f t="shared" si="11"/>
        <v>155</v>
      </c>
      <c r="V7" s="45">
        <v>110432</v>
      </c>
      <c r="W7" s="33">
        <f t="shared" si="2"/>
        <v>135</v>
      </c>
      <c r="X7" s="48">
        <v>60159</v>
      </c>
      <c r="Y7" s="33">
        <f t="shared" si="9"/>
        <v>46</v>
      </c>
      <c r="Z7" s="51">
        <v>7035</v>
      </c>
      <c r="AA7" s="57">
        <v>0</v>
      </c>
      <c r="AB7" s="33">
        <f t="shared" si="10"/>
        <v>-240</v>
      </c>
      <c r="AC7" s="13">
        <v>212</v>
      </c>
      <c r="AD7" s="18">
        <v>464</v>
      </c>
    </row>
    <row r="8" spans="1:30" ht="20.7" customHeight="1" x14ac:dyDescent="0.2">
      <c r="A8" s="20">
        <v>45511</v>
      </c>
      <c r="B8" s="10">
        <v>12425242</v>
      </c>
      <c r="C8" s="14">
        <f t="shared" si="3"/>
        <v>9973</v>
      </c>
      <c r="D8" s="11">
        <v>487659</v>
      </c>
      <c r="E8" s="14">
        <f t="shared" si="4"/>
        <v>1457</v>
      </c>
      <c r="F8" s="28">
        <v>1704</v>
      </c>
      <c r="G8" s="75">
        <f t="shared" si="5"/>
        <v>0</v>
      </c>
      <c r="H8" s="77">
        <f t="shared" si="6"/>
        <v>11430</v>
      </c>
      <c r="I8" s="81">
        <f t="shared" si="7"/>
        <v>-34082.57</v>
      </c>
      <c r="J8" s="33">
        <f t="shared" si="0"/>
        <v>-179.9800000000032</v>
      </c>
      <c r="K8" s="20">
        <f t="shared" si="1"/>
        <v>45511</v>
      </c>
      <c r="L8" s="34">
        <v>5660</v>
      </c>
      <c r="M8" s="35">
        <v>0</v>
      </c>
      <c r="N8" s="36">
        <v>0</v>
      </c>
      <c r="O8" s="93">
        <v>0.77</v>
      </c>
      <c r="P8" s="94">
        <v>0.79</v>
      </c>
      <c r="Q8" s="93">
        <v>0.8</v>
      </c>
      <c r="R8" s="94">
        <v>0.67</v>
      </c>
      <c r="S8" s="40">
        <f t="shared" si="8"/>
        <v>4635</v>
      </c>
      <c r="T8" s="39"/>
      <c r="U8" s="33">
        <f t="shared" si="11"/>
        <v>85</v>
      </c>
      <c r="V8" s="45">
        <v>110567</v>
      </c>
      <c r="W8" s="33">
        <f t="shared" si="2"/>
        <v>126</v>
      </c>
      <c r="X8" s="48">
        <v>60205</v>
      </c>
      <c r="Y8" s="33">
        <f t="shared" si="9"/>
        <v>11</v>
      </c>
      <c r="Z8" s="51">
        <v>6795</v>
      </c>
      <c r="AA8" s="57">
        <v>0</v>
      </c>
      <c r="AB8" s="33">
        <f t="shared" si="10"/>
        <v>-225</v>
      </c>
      <c r="AC8" s="13">
        <v>205</v>
      </c>
      <c r="AD8" s="18">
        <v>467</v>
      </c>
    </row>
    <row r="9" spans="1:30" ht="20.7" customHeight="1" x14ac:dyDescent="0.2">
      <c r="A9" s="20">
        <v>45512</v>
      </c>
      <c r="B9" s="10">
        <v>12435215</v>
      </c>
      <c r="C9" s="14">
        <f t="shared" si="3"/>
        <v>9781</v>
      </c>
      <c r="D9" s="11">
        <v>489116</v>
      </c>
      <c r="E9" s="14">
        <f t="shared" si="4"/>
        <v>1470</v>
      </c>
      <c r="F9" s="28">
        <v>1704</v>
      </c>
      <c r="G9" s="75">
        <f t="shared" si="5"/>
        <v>0</v>
      </c>
      <c r="H9" s="77">
        <f t="shared" si="6"/>
        <v>11251</v>
      </c>
      <c r="I9" s="81">
        <f t="shared" si="7"/>
        <v>-34262.550000000003</v>
      </c>
      <c r="J9" s="33">
        <f t="shared" si="0"/>
        <v>-95.959999999999127</v>
      </c>
      <c r="K9" s="20">
        <f t="shared" si="1"/>
        <v>45512</v>
      </c>
      <c r="L9" s="34">
        <v>5660</v>
      </c>
      <c r="M9" s="35">
        <v>0</v>
      </c>
      <c r="N9" s="36">
        <v>0</v>
      </c>
      <c r="O9" s="93">
        <v>0.76</v>
      </c>
      <c r="P9" s="94">
        <v>0.77</v>
      </c>
      <c r="Q9" s="93">
        <v>0.79</v>
      </c>
      <c r="R9" s="94">
        <v>0.66</v>
      </c>
      <c r="S9" s="40">
        <f t="shared" si="8"/>
        <v>4550</v>
      </c>
      <c r="T9" s="39"/>
      <c r="U9" s="33">
        <f t="shared" si="11"/>
        <v>45</v>
      </c>
      <c r="V9" s="45">
        <v>110693</v>
      </c>
      <c r="W9" s="33">
        <f t="shared" si="2"/>
        <v>137</v>
      </c>
      <c r="X9" s="48">
        <v>60216</v>
      </c>
      <c r="Y9" s="33">
        <f t="shared" si="9"/>
        <v>10</v>
      </c>
      <c r="Z9" s="51">
        <v>6570</v>
      </c>
      <c r="AA9" s="57">
        <v>0</v>
      </c>
      <c r="AB9" s="33">
        <f t="shared" si="10"/>
        <v>-225</v>
      </c>
      <c r="AC9" s="13">
        <v>215</v>
      </c>
      <c r="AD9" s="18">
        <v>461</v>
      </c>
    </row>
    <row r="10" spans="1:30" ht="20.7" customHeight="1" x14ac:dyDescent="0.2">
      <c r="A10" s="20">
        <v>45513</v>
      </c>
      <c r="B10" s="10">
        <v>12444996</v>
      </c>
      <c r="C10" s="14">
        <f t="shared" si="3"/>
        <v>9720</v>
      </c>
      <c r="D10" s="11">
        <v>490586</v>
      </c>
      <c r="E10" s="14">
        <f t="shared" si="4"/>
        <v>1436</v>
      </c>
      <c r="F10" s="28">
        <v>1704</v>
      </c>
      <c r="G10" s="75">
        <f t="shared" si="5"/>
        <v>0</v>
      </c>
      <c r="H10" s="77">
        <f t="shared" si="6"/>
        <v>11156</v>
      </c>
      <c r="I10" s="81">
        <f t="shared" si="7"/>
        <v>-34358.51</v>
      </c>
      <c r="J10" s="33">
        <f t="shared" si="0"/>
        <v>-168.88000000000466</v>
      </c>
      <c r="K10" s="20">
        <f t="shared" si="1"/>
        <v>45513</v>
      </c>
      <c r="L10" s="34">
        <v>5660</v>
      </c>
      <c r="M10" s="35">
        <v>0</v>
      </c>
      <c r="N10" s="36">
        <v>0</v>
      </c>
      <c r="O10" s="93">
        <v>0.76</v>
      </c>
      <c r="P10" s="94">
        <v>0.76</v>
      </c>
      <c r="Q10" s="93">
        <v>0.75</v>
      </c>
      <c r="R10" s="94">
        <v>0.66</v>
      </c>
      <c r="S10" s="40">
        <f t="shared" si="8"/>
        <v>4505</v>
      </c>
      <c r="T10" s="39"/>
      <c r="U10" s="33">
        <f t="shared" si="11"/>
        <v>190</v>
      </c>
      <c r="V10" s="45">
        <v>110830</v>
      </c>
      <c r="W10" s="33">
        <f t="shared" si="2"/>
        <v>130</v>
      </c>
      <c r="X10" s="48">
        <v>60226</v>
      </c>
      <c r="Y10" s="33">
        <f t="shared" si="9"/>
        <v>16</v>
      </c>
      <c r="Z10" s="51">
        <v>6345</v>
      </c>
      <c r="AA10" s="57">
        <v>0</v>
      </c>
      <c r="AB10" s="33">
        <f t="shared" si="10"/>
        <v>-240</v>
      </c>
      <c r="AC10" s="13">
        <v>215</v>
      </c>
      <c r="AD10" s="18">
        <v>489</v>
      </c>
    </row>
    <row r="11" spans="1:30" ht="20.7" customHeight="1" x14ac:dyDescent="0.2">
      <c r="A11" s="20">
        <v>45514</v>
      </c>
      <c r="B11" s="10">
        <v>12454716</v>
      </c>
      <c r="C11" s="14">
        <f t="shared" si="3"/>
        <v>9564</v>
      </c>
      <c r="D11" s="11">
        <v>492022</v>
      </c>
      <c r="E11" s="14">
        <f t="shared" si="4"/>
        <v>1424</v>
      </c>
      <c r="F11" s="28">
        <v>1704</v>
      </c>
      <c r="G11" s="75">
        <f t="shared" si="5"/>
        <v>0</v>
      </c>
      <c r="H11" s="77">
        <f t="shared" si="6"/>
        <v>10988</v>
      </c>
      <c r="I11" s="81">
        <f t="shared" si="7"/>
        <v>-34527.390000000007</v>
      </c>
      <c r="J11" s="33">
        <f t="shared" si="0"/>
        <v>986.10000000000582</v>
      </c>
      <c r="K11" s="20">
        <f t="shared" si="1"/>
        <v>45514</v>
      </c>
      <c r="L11" s="34">
        <v>5660</v>
      </c>
      <c r="M11" s="35">
        <v>0</v>
      </c>
      <c r="N11" s="36">
        <v>0</v>
      </c>
      <c r="O11" s="93">
        <v>0.73</v>
      </c>
      <c r="P11" s="94">
        <v>0.74</v>
      </c>
      <c r="Q11" s="93">
        <v>0.66</v>
      </c>
      <c r="R11" s="94">
        <v>0.62</v>
      </c>
      <c r="S11" s="40">
        <f t="shared" si="8"/>
        <v>4315</v>
      </c>
      <c r="T11" s="39"/>
      <c r="U11" s="33">
        <f t="shared" si="11"/>
        <v>130</v>
      </c>
      <c r="V11" s="45">
        <v>110960</v>
      </c>
      <c r="W11" s="33">
        <f t="shared" si="2"/>
        <v>143</v>
      </c>
      <c r="X11" s="48">
        <v>60242</v>
      </c>
      <c r="Y11" s="33">
        <f t="shared" si="9"/>
        <v>9</v>
      </c>
      <c r="Z11" s="51">
        <v>6105</v>
      </c>
      <c r="AA11" s="57">
        <v>0</v>
      </c>
      <c r="AB11" s="33">
        <f t="shared" si="10"/>
        <v>-230</v>
      </c>
      <c r="AC11" s="13">
        <v>221</v>
      </c>
      <c r="AD11" s="18">
        <v>504</v>
      </c>
    </row>
    <row r="12" spans="1:30" ht="20.7" customHeight="1" x14ac:dyDescent="0.2">
      <c r="A12" s="20">
        <v>45515</v>
      </c>
      <c r="B12" s="10">
        <v>12464280</v>
      </c>
      <c r="C12" s="14">
        <f t="shared" si="3"/>
        <v>10574</v>
      </c>
      <c r="D12" s="11">
        <v>493446</v>
      </c>
      <c r="E12" s="14">
        <f t="shared" si="4"/>
        <v>1401</v>
      </c>
      <c r="F12" s="28">
        <v>1704</v>
      </c>
      <c r="G12" s="75">
        <f t="shared" si="5"/>
        <v>0</v>
      </c>
      <c r="H12" s="77">
        <f t="shared" si="6"/>
        <v>11975</v>
      </c>
      <c r="I12" s="81">
        <f t="shared" si="7"/>
        <v>-33541.29</v>
      </c>
      <c r="J12" s="33">
        <f t="shared" si="0"/>
        <v>-240.93000000000029</v>
      </c>
      <c r="K12" s="20">
        <f t="shared" si="1"/>
        <v>45515</v>
      </c>
      <c r="L12" s="34">
        <v>5660</v>
      </c>
      <c r="M12" s="35">
        <v>0</v>
      </c>
      <c r="N12" s="36">
        <v>0</v>
      </c>
      <c r="O12" s="93">
        <v>0.71</v>
      </c>
      <c r="P12" s="94">
        <v>0.73</v>
      </c>
      <c r="Q12" s="93">
        <v>0.57999999999999996</v>
      </c>
      <c r="R12" s="94">
        <v>0.59</v>
      </c>
      <c r="S12" s="40">
        <f t="shared" si="8"/>
        <v>4185</v>
      </c>
      <c r="T12" s="39"/>
      <c r="U12" s="33">
        <f t="shared" si="11"/>
        <v>95</v>
      </c>
      <c r="V12" s="45">
        <v>111103</v>
      </c>
      <c r="W12" s="33">
        <f t="shared" si="2"/>
        <v>134</v>
      </c>
      <c r="X12" s="48">
        <v>60251</v>
      </c>
      <c r="Y12" s="33">
        <f t="shared" si="9"/>
        <v>6</v>
      </c>
      <c r="Z12" s="51">
        <v>5875</v>
      </c>
      <c r="AA12" s="57">
        <v>0</v>
      </c>
      <c r="AB12" s="33">
        <f t="shared" si="10"/>
        <v>-250</v>
      </c>
      <c r="AC12" s="13">
        <v>225</v>
      </c>
      <c r="AD12" s="18">
        <v>517</v>
      </c>
    </row>
    <row r="13" spans="1:30" ht="20.7" customHeight="1" x14ac:dyDescent="0.2">
      <c r="A13" s="20">
        <v>45516</v>
      </c>
      <c r="B13" s="10">
        <v>12474854</v>
      </c>
      <c r="C13" s="14">
        <f t="shared" si="3"/>
        <v>10328</v>
      </c>
      <c r="D13" s="11">
        <v>494847</v>
      </c>
      <c r="E13" s="14">
        <f t="shared" si="4"/>
        <v>1407</v>
      </c>
      <c r="F13" s="28">
        <v>1704</v>
      </c>
      <c r="G13" s="75">
        <f t="shared" si="5"/>
        <v>0</v>
      </c>
      <c r="H13" s="77">
        <f t="shared" si="6"/>
        <v>11735</v>
      </c>
      <c r="I13" s="81">
        <f t="shared" si="7"/>
        <v>-33782.22</v>
      </c>
      <c r="J13" s="33">
        <f t="shared" si="0"/>
        <v>1111.5400000000009</v>
      </c>
      <c r="K13" s="20">
        <f t="shared" si="1"/>
        <v>45516</v>
      </c>
      <c r="L13" s="34">
        <v>5660</v>
      </c>
      <c r="M13" s="35">
        <v>0</v>
      </c>
      <c r="N13" s="36">
        <v>0</v>
      </c>
      <c r="O13" s="93">
        <v>0.71</v>
      </c>
      <c r="P13" s="94">
        <v>0.72</v>
      </c>
      <c r="Q13" s="93">
        <v>0.51</v>
      </c>
      <c r="R13" s="94">
        <v>0.52</v>
      </c>
      <c r="S13" s="40">
        <f t="shared" si="8"/>
        <v>4090</v>
      </c>
      <c r="T13" s="39">
        <v>806</v>
      </c>
      <c r="U13" s="33">
        <f t="shared" si="11"/>
        <v>136</v>
      </c>
      <c r="V13" s="45">
        <v>111237</v>
      </c>
      <c r="W13" s="33">
        <f t="shared" si="2"/>
        <v>158</v>
      </c>
      <c r="X13" s="48">
        <v>60257</v>
      </c>
      <c r="Y13" s="33">
        <f t="shared" si="9"/>
        <v>13</v>
      </c>
      <c r="Z13" s="51">
        <v>5625</v>
      </c>
      <c r="AA13" s="57">
        <v>0</v>
      </c>
      <c r="AB13" s="33">
        <f t="shared" si="10"/>
        <v>-220</v>
      </c>
      <c r="AC13" s="13">
        <v>235</v>
      </c>
      <c r="AD13" s="18">
        <v>557</v>
      </c>
    </row>
    <row r="14" spans="1:30" ht="20.7" customHeight="1" x14ac:dyDescent="0.2">
      <c r="A14" s="20">
        <v>45517</v>
      </c>
      <c r="B14" s="10">
        <v>12485182</v>
      </c>
      <c r="C14" s="14">
        <f t="shared" si="3"/>
        <v>11439</v>
      </c>
      <c r="D14" s="11">
        <v>496254</v>
      </c>
      <c r="E14" s="14">
        <f t="shared" si="4"/>
        <v>1409</v>
      </c>
      <c r="F14" s="28">
        <v>1704</v>
      </c>
      <c r="G14" s="75">
        <f t="shared" si="5"/>
        <v>0</v>
      </c>
      <c r="H14" s="77">
        <f t="shared" si="6"/>
        <v>12848</v>
      </c>
      <c r="I14" s="81">
        <f t="shared" si="7"/>
        <v>-32670.68</v>
      </c>
      <c r="J14" s="33">
        <f t="shared" si="0"/>
        <v>-357.88999999999942</v>
      </c>
      <c r="K14" s="20">
        <f t="shared" si="1"/>
        <v>45517</v>
      </c>
      <c r="L14" s="34">
        <v>5660</v>
      </c>
      <c r="M14" s="35">
        <v>0</v>
      </c>
      <c r="N14" s="36">
        <v>0</v>
      </c>
      <c r="O14" s="93">
        <v>0.8</v>
      </c>
      <c r="P14" s="94">
        <v>0.77</v>
      </c>
      <c r="Q14" s="93">
        <v>0.88</v>
      </c>
      <c r="R14" s="94">
        <v>0.79</v>
      </c>
      <c r="S14" s="40">
        <f t="shared" si="8"/>
        <v>4760</v>
      </c>
      <c r="T14" s="39"/>
      <c r="U14" s="33">
        <f t="shared" si="11"/>
        <v>160</v>
      </c>
      <c r="V14" s="45">
        <v>111395</v>
      </c>
      <c r="W14" s="33">
        <f t="shared" si="2"/>
        <v>134</v>
      </c>
      <c r="X14" s="48">
        <v>60270</v>
      </c>
      <c r="Y14" s="33">
        <f t="shared" si="9"/>
        <v>14</v>
      </c>
      <c r="Z14" s="51">
        <v>5405</v>
      </c>
      <c r="AA14" s="57">
        <v>0</v>
      </c>
      <c r="AB14" s="33">
        <f t="shared" si="10"/>
        <v>-210</v>
      </c>
      <c r="AC14" s="13">
        <v>223</v>
      </c>
      <c r="AD14" s="18">
        <v>516</v>
      </c>
    </row>
    <row r="15" spans="1:30" ht="20.7" customHeight="1" x14ac:dyDescent="0.2">
      <c r="A15" s="20">
        <v>45518</v>
      </c>
      <c r="B15" s="10">
        <v>12496621</v>
      </c>
      <c r="C15" s="14">
        <f t="shared" si="3"/>
        <v>11112</v>
      </c>
      <c r="D15" s="11">
        <v>497663</v>
      </c>
      <c r="E15" s="14">
        <f t="shared" si="4"/>
        <v>1379</v>
      </c>
      <c r="F15" s="28">
        <v>1704</v>
      </c>
      <c r="G15" s="75">
        <f t="shared" si="5"/>
        <v>0</v>
      </c>
      <c r="H15" s="77">
        <f t="shared" si="6"/>
        <v>12491</v>
      </c>
      <c r="I15" s="81">
        <f t="shared" si="7"/>
        <v>-33028.57</v>
      </c>
      <c r="J15" s="33">
        <f t="shared" si="0"/>
        <v>525.02000000000044</v>
      </c>
      <c r="K15" s="20">
        <f t="shared" si="1"/>
        <v>45518</v>
      </c>
      <c r="L15" s="34">
        <v>5660</v>
      </c>
      <c r="M15" s="35">
        <v>0</v>
      </c>
      <c r="N15" s="36">
        <v>0</v>
      </c>
      <c r="O15" s="93">
        <v>0.77</v>
      </c>
      <c r="P15" s="94">
        <v>0.76</v>
      </c>
      <c r="Q15" s="93">
        <v>0.8</v>
      </c>
      <c r="R15" s="94">
        <v>0.75</v>
      </c>
      <c r="S15" s="40">
        <f t="shared" si="8"/>
        <v>4600</v>
      </c>
      <c r="T15" s="39"/>
      <c r="U15" s="33">
        <f t="shared" si="11"/>
        <v>105</v>
      </c>
      <c r="V15" s="45">
        <v>111529</v>
      </c>
      <c r="W15" s="33">
        <f t="shared" si="2"/>
        <v>139</v>
      </c>
      <c r="X15" s="48">
        <v>60284</v>
      </c>
      <c r="Y15" s="33">
        <f t="shared" si="9"/>
        <v>8</v>
      </c>
      <c r="Z15" s="51">
        <v>5195</v>
      </c>
      <c r="AA15" s="57">
        <v>0</v>
      </c>
      <c r="AB15" s="33">
        <f t="shared" si="10"/>
        <v>-225</v>
      </c>
      <c r="AC15" s="13">
        <v>225</v>
      </c>
      <c r="AD15" s="18">
        <v>518</v>
      </c>
    </row>
    <row r="16" spans="1:30" ht="20.7" customHeight="1" x14ac:dyDescent="0.2">
      <c r="A16" s="20">
        <v>45519</v>
      </c>
      <c r="B16" s="10">
        <v>12507733</v>
      </c>
      <c r="C16" s="14">
        <f t="shared" si="3"/>
        <v>11629</v>
      </c>
      <c r="D16" s="11">
        <v>499042</v>
      </c>
      <c r="E16" s="14">
        <f t="shared" si="4"/>
        <v>1388</v>
      </c>
      <c r="F16" s="28">
        <v>1704</v>
      </c>
      <c r="G16" s="75">
        <f t="shared" si="5"/>
        <v>0</v>
      </c>
      <c r="H16" s="77">
        <f t="shared" si="6"/>
        <v>13017</v>
      </c>
      <c r="I16" s="81">
        <f t="shared" si="7"/>
        <v>-32503.55</v>
      </c>
      <c r="J16" s="33">
        <f t="shared" si="0"/>
        <v>50.020000000000437</v>
      </c>
      <c r="K16" s="20">
        <f t="shared" si="1"/>
        <v>45519</v>
      </c>
      <c r="L16" s="34">
        <v>5660</v>
      </c>
      <c r="M16" s="35">
        <v>0</v>
      </c>
      <c r="N16" s="36">
        <v>0</v>
      </c>
      <c r="O16" s="93">
        <v>0.75</v>
      </c>
      <c r="P16" s="94">
        <v>0.74</v>
      </c>
      <c r="Q16" s="93">
        <v>0.8</v>
      </c>
      <c r="R16" s="94">
        <v>0.74</v>
      </c>
      <c r="S16" s="40">
        <f t="shared" si="8"/>
        <v>4495</v>
      </c>
      <c r="T16" s="39"/>
      <c r="U16" s="33">
        <f t="shared" si="11"/>
        <v>75</v>
      </c>
      <c r="V16" s="45">
        <v>111668</v>
      </c>
      <c r="W16" s="33">
        <f t="shared" si="2"/>
        <v>170</v>
      </c>
      <c r="X16" s="48">
        <v>60292</v>
      </c>
      <c r="Y16" s="33">
        <f t="shared" si="9"/>
        <v>3</v>
      </c>
      <c r="Z16" s="51">
        <v>4970</v>
      </c>
      <c r="AA16" s="57">
        <v>0</v>
      </c>
      <c r="AB16" s="33">
        <f t="shared" si="10"/>
        <v>-220</v>
      </c>
      <c r="AC16" s="13">
        <v>234</v>
      </c>
      <c r="AD16" s="18">
        <v>551</v>
      </c>
    </row>
    <row r="17" spans="1:30" ht="20.7" customHeight="1" x14ac:dyDescent="0.2">
      <c r="A17" s="20">
        <v>45520</v>
      </c>
      <c r="B17" s="10">
        <v>12519362</v>
      </c>
      <c r="C17" s="14">
        <f t="shared" si="3"/>
        <v>11693</v>
      </c>
      <c r="D17" s="11">
        <v>500430</v>
      </c>
      <c r="E17" s="14">
        <f t="shared" si="4"/>
        <v>1375</v>
      </c>
      <c r="F17" s="28">
        <v>1704</v>
      </c>
      <c r="G17" s="75">
        <f t="shared" si="5"/>
        <v>0</v>
      </c>
      <c r="H17" s="77">
        <f t="shared" si="6"/>
        <v>13068</v>
      </c>
      <c r="I17" s="81">
        <f t="shared" si="7"/>
        <v>-32453.53</v>
      </c>
      <c r="J17" s="33">
        <f t="shared" si="0"/>
        <v>148.15999999999985</v>
      </c>
      <c r="K17" s="20">
        <f t="shared" si="1"/>
        <v>45520</v>
      </c>
      <c r="L17" s="34">
        <v>5660</v>
      </c>
      <c r="M17" s="35">
        <v>0</v>
      </c>
      <c r="N17" s="36">
        <v>0</v>
      </c>
      <c r="O17" s="93">
        <v>0.75</v>
      </c>
      <c r="P17" s="94">
        <v>0.72</v>
      </c>
      <c r="Q17" s="93">
        <v>0.78</v>
      </c>
      <c r="R17" s="94">
        <v>0.71</v>
      </c>
      <c r="S17" s="40">
        <f t="shared" si="8"/>
        <v>4420</v>
      </c>
      <c r="T17" s="39"/>
      <c r="U17" s="33">
        <f t="shared" si="11"/>
        <v>285</v>
      </c>
      <c r="V17" s="45">
        <v>111838</v>
      </c>
      <c r="W17" s="33">
        <f t="shared" si="2"/>
        <v>137</v>
      </c>
      <c r="X17" s="48">
        <v>60295</v>
      </c>
      <c r="Y17" s="33">
        <f t="shared" si="9"/>
        <v>11</v>
      </c>
      <c r="Z17" s="51">
        <v>4750</v>
      </c>
      <c r="AA17" s="57">
        <v>0</v>
      </c>
      <c r="AB17" s="33">
        <f t="shared" si="10"/>
        <v>-235</v>
      </c>
      <c r="AC17" s="13">
        <v>242</v>
      </c>
      <c r="AD17" s="18">
        <v>567</v>
      </c>
    </row>
    <row r="18" spans="1:30" ht="20.7" customHeight="1" x14ac:dyDescent="0.2">
      <c r="A18" s="20">
        <v>45521</v>
      </c>
      <c r="B18" s="10">
        <v>12531055</v>
      </c>
      <c r="C18" s="14">
        <f t="shared" si="3"/>
        <v>11824</v>
      </c>
      <c r="D18" s="11">
        <v>501805</v>
      </c>
      <c r="E18" s="14">
        <f t="shared" si="4"/>
        <v>1393</v>
      </c>
      <c r="F18" s="28">
        <v>1704</v>
      </c>
      <c r="G18" s="75">
        <f t="shared" si="5"/>
        <v>0</v>
      </c>
      <c r="H18" s="77">
        <f t="shared" si="6"/>
        <v>13217</v>
      </c>
      <c r="I18" s="81">
        <f t="shared" si="7"/>
        <v>-32305.37</v>
      </c>
      <c r="J18" s="33">
        <f t="shared" si="0"/>
        <v>-987.95000000000073</v>
      </c>
      <c r="K18" s="20">
        <f t="shared" si="1"/>
        <v>45521</v>
      </c>
      <c r="L18" s="34">
        <v>5660</v>
      </c>
      <c r="M18" s="35">
        <v>0</v>
      </c>
      <c r="N18" s="36">
        <v>0</v>
      </c>
      <c r="O18" s="93">
        <v>0.7</v>
      </c>
      <c r="P18" s="94">
        <v>0.69</v>
      </c>
      <c r="Q18" s="93">
        <v>0.67</v>
      </c>
      <c r="R18" s="94">
        <v>0.65</v>
      </c>
      <c r="S18" s="40">
        <f t="shared" si="8"/>
        <v>4135</v>
      </c>
      <c r="T18" s="39"/>
      <c r="U18" s="33">
        <f t="shared" si="11"/>
        <v>90</v>
      </c>
      <c r="V18" s="45">
        <v>111975</v>
      </c>
      <c r="W18" s="33">
        <f t="shared" si="2"/>
        <v>157</v>
      </c>
      <c r="X18" s="48">
        <v>60306</v>
      </c>
      <c r="Y18" s="33">
        <f t="shared" si="9"/>
        <v>13</v>
      </c>
      <c r="Z18" s="51">
        <v>4515</v>
      </c>
      <c r="AA18" s="57">
        <v>0</v>
      </c>
      <c r="AB18" s="33">
        <f t="shared" si="10"/>
        <v>-235</v>
      </c>
      <c r="AC18" s="13">
        <v>229</v>
      </c>
      <c r="AD18" s="18">
        <v>544</v>
      </c>
    </row>
    <row r="19" spans="1:30" ht="20.7" customHeight="1" x14ac:dyDescent="0.2">
      <c r="A19" s="20">
        <v>45522</v>
      </c>
      <c r="B19" s="10">
        <v>12542879</v>
      </c>
      <c r="C19" s="14">
        <f t="shared" si="3"/>
        <v>10811</v>
      </c>
      <c r="D19" s="11">
        <v>503198</v>
      </c>
      <c r="E19" s="14">
        <f t="shared" si="4"/>
        <v>1419</v>
      </c>
      <c r="F19" s="28">
        <v>1704</v>
      </c>
      <c r="G19" s="75">
        <f t="shared" si="5"/>
        <v>0</v>
      </c>
      <c r="H19" s="77">
        <f t="shared" si="6"/>
        <v>12230</v>
      </c>
      <c r="I19" s="81">
        <f t="shared" si="7"/>
        <v>-33293.32</v>
      </c>
      <c r="J19" s="33">
        <f t="shared" si="0"/>
        <v>-335.89000000000669</v>
      </c>
      <c r="K19" s="20">
        <f t="shared" si="1"/>
        <v>45522</v>
      </c>
      <c r="L19" s="34">
        <v>5660</v>
      </c>
      <c r="M19" s="35">
        <v>0</v>
      </c>
      <c r="N19" s="36">
        <v>0</v>
      </c>
      <c r="O19" s="93">
        <v>0.68</v>
      </c>
      <c r="P19" s="94">
        <v>0.69</v>
      </c>
      <c r="Q19" s="93">
        <v>0.64</v>
      </c>
      <c r="R19" s="94">
        <v>0.6</v>
      </c>
      <c r="S19" s="40">
        <f t="shared" si="8"/>
        <v>4045</v>
      </c>
      <c r="T19" s="39"/>
      <c r="U19" s="33">
        <f t="shared" si="11"/>
        <v>145</v>
      </c>
      <c r="V19" s="45">
        <v>112132</v>
      </c>
      <c r="W19" s="33">
        <f t="shared" si="2"/>
        <v>137</v>
      </c>
      <c r="X19" s="48">
        <v>60319</v>
      </c>
      <c r="Y19" s="33">
        <f t="shared" si="9"/>
        <v>2</v>
      </c>
      <c r="Z19" s="51">
        <v>4280</v>
      </c>
      <c r="AA19" s="57">
        <v>0</v>
      </c>
      <c r="AB19" s="33">
        <f t="shared" si="10"/>
        <v>-220</v>
      </c>
      <c r="AC19" s="13">
        <v>218</v>
      </c>
      <c r="AD19" s="18">
        <v>501</v>
      </c>
    </row>
    <row r="20" spans="1:30" ht="20.7" customHeight="1" x14ac:dyDescent="0.2">
      <c r="A20" s="20">
        <v>45523</v>
      </c>
      <c r="B20" s="10">
        <v>12553690</v>
      </c>
      <c r="C20" s="14">
        <f t="shared" si="3"/>
        <v>10476</v>
      </c>
      <c r="D20" s="11">
        <v>504617</v>
      </c>
      <c r="E20" s="14">
        <f t="shared" si="4"/>
        <v>1419</v>
      </c>
      <c r="F20" s="28">
        <v>1704</v>
      </c>
      <c r="G20" s="75">
        <f t="shared" si="5"/>
        <v>0</v>
      </c>
      <c r="H20" s="77">
        <f t="shared" si="6"/>
        <v>11895</v>
      </c>
      <c r="I20" s="81">
        <f t="shared" si="7"/>
        <v>-33629.210000000006</v>
      </c>
      <c r="J20" s="33">
        <f t="shared" si="0"/>
        <v>-13082098.209999999</v>
      </c>
      <c r="K20" s="20">
        <f t="shared" si="1"/>
        <v>45523</v>
      </c>
      <c r="L20" s="34">
        <v>5661</v>
      </c>
      <c r="M20" s="35">
        <v>0</v>
      </c>
      <c r="N20" s="36">
        <v>0</v>
      </c>
      <c r="O20" s="93">
        <v>0.66</v>
      </c>
      <c r="P20" s="94">
        <v>0.68</v>
      </c>
      <c r="Q20" s="93">
        <v>0.55000000000000004</v>
      </c>
      <c r="R20" s="94">
        <v>0.55000000000000004</v>
      </c>
      <c r="S20" s="40">
        <f t="shared" si="8"/>
        <v>3900</v>
      </c>
      <c r="T20" s="39"/>
      <c r="U20" s="33">
        <f t="shared" si="11"/>
        <v>-170</v>
      </c>
      <c r="V20" s="45">
        <v>112269</v>
      </c>
      <c r="W20" s="33">
        <f t="shared" si="2"/>
        <v>142</v>
      </c>
      <c r="X20" s="48">
        <v>60321</v>
      </c>
      <c r="Y20" s="33">
        <f t="shared" si="9"/>
        <v>28</v>
      </c>
      <c r="Z20" s="51">
        <v>4060</v>
      </c>
      <c r="AA20" s="57">
        <v>0</v>
      </c>
      <c r="AB20" s="33">
        <f t="shared" si="10"/>
        <v>-245</v>
      </c>
      <c r="AC20" s="13">
        <v>221</v>
      </c>
      <c r="AD20" s="18">
        <v>510</v>
      </c>
    </row>
    <row r="21" spans="1:30" ht="20.7" customHeight="1" x14ac:dyDescent="0.2">
      <c r="A21" s="20">
        <v>45524</v>
      </c>
      <c r="B21" s="10">
        <v>12564166</v>
      </c>
      <c r="C21" s="14">
        <f t="shared" si="3"/>
        <v>-12564166</v>
      </c>
      <c r="D21" s="11">
        <v>506036</v>
      </c>
      <c r="E21" s="14">
        <f t="shared" si="4"/>
        <v>-506036</v>
      </c>
      <c r="F21" s="28">
        <v>1704</v>
      </c>
      <c r="G21" s="75">
        <f t="shared" si="5"/>
        <v>0</v>
      </c>
      <c r="H21" s="77">
        <f t="shared" si="6"/>
        <v>-13070202</v>
      </c>
      <c r="I21" s="81">
        <f t="shared" si="7"/>
        <v>-13115727.42</v>
      </c>
      <c r="J21" s="33">
        <f t="shared" si="0"/>
        <v>13070202.42</v>
      </c>
      <c r="K21" s="20">
        <f t="shared" si="1"/>
        <v>45524</v>
      </c>
      <c r="L21" s="34">
        <v>5660</v>
      </c>
      <c r="M21" s="35">
        <v>0</v>
      </c>
      <c r="N21" s="36">
        <v>0</v>
      </c>
      <c r="O21" s="93">
        <v>0.65</v>
      </c>
      <c r="P21" s="94">
        <v>0.68</v>
      </c>
      <c r="Q21" s="93">
        <v>0.77</v>
      </c>
      <c r="R21" s="94">
        <v>0.72</v>
      </c>
      <c r="S21" s="41">
        <f t="shared" si="8"/>
        <v>4070</v>
      </c>
      <c r="T21" s="39"/>
      <c r="U21" s="33">
        <f t="shared" si="11"/>
        <v>4070</v>
      </c>
      <c r="V21" s="45">
        <v>112411</v>
      </c>
      <c r="W21" s="33">
        <f t="shared" si="2"/>
        <v>-112411</v>
      </c>
      <c r="X21" s="48">
        <v>60349</v>
      </c>
      <c r="Y21" s="33">
        <f t="shared" si="9"/>
        <v>-60349</v>
      </c>
      <c r="Z21" s="51">
        <v>3815</v>
      </c>
      <c r="AA21" s="57">
        <v>0</v>
      </c>
      <c r="AB21" s="33">
        <f t="shared" si="10"/>
        <v>-3815</v>
      </c>
      <c r="AC21" s="13"/>
      <c r="AD21" s="18"/>
    </row>
    <row r="22" spans="1:30" ht="20.7" customHeight="1" x14ac:dyDescent="0.2">
      <c r="A22" s="20">
        <v>45525</v>
      </c>
      <c r="B22" s="10"/>
      <c r="C22" s="14">
        <f t="shared" si="3"/>
        <v>0</v>
      </c>
      <c r="D22" s="11"/>
      <c r="E22" s="14">
        <f t="shared" si="4"/>
        <v>0</v>
      </c>
      <c r="F22" s="28">
        <v>1704</v>
      </c>
      <c r="G22" s="75">
        <f t="shared" si="5"/>
        <v>0</v>
      </c>
      <c r="H22" s="77">
        <f t="shared" si="6"/>
        <v>0</v>
      </c>
      <c r="I22" s="81">
        <f t="shared" si="7"/>
        <v>-45525</v>
      </c>
      <c r="J22" s="33">
        <f t="shared" si="0"/>
        <v>-1</v>
      </c>
      <c r="K22" s="20">
        <f t="shared" si="1"/>
        <v>45525</v>
      </c>
      <c r="L22" s="34">
        <v>5660</v>
      </c>
      <c r="M22" s="35">
        <v>0</v>
      </c>
      <c r="N22" s="36">
        <v>0</v>
      </c>
      <c r="O22" s="93"/>
      <c r="P22" s="94"/>
      <c r="Q22" s="93"/>
      <c r="R22" s="94"/>
      <c r="S22" s="41">
        <f t="shared" si="8"/>
        <v>0</v>
      </c>
      <c r="T22" s="39"/>
      <c r="U22" s="33">
        <f t="shared" si="11"/>
        <v>0</v>
      </c>
      <c r="V22" s="45"/>
      <c r="W22" s="33">
        <f t="shared" si="2"/>
        <v>0</v>
      </c>
      <c r="X22" s="48"/>
      <c r="Y22" s="33">
        <f t="shared" si="9"/>
        <v>0</v>
      </c>
      <c r="Z22" s="51"/>
      <c r="AA22" s="57">
        <v>0</v>
      </c>
      <c r="AB22" s="33">
        <f t="shared" si="10"/>
        <v>0</v>
      </c>
      <c r="AC22" s="13"/>
      <c r="AD22" s="18"/>
    </row>
    <row r="23" spans="1:30" ht="20.7" customHeight="1" x14ac:dyDescent="0.2">
      <c r="A23" s="20">
        <v>45526</v>
      </c>
      <c r="B23" s="10"/>
      <c r="C23" s="14">
        <f t="shared" si="3"/>
        <v>0</v>
      </c>
      <c r="D23" s="11"/>
      <c r="E23" s="14">
        <f t="shared" si="4"/>
        <v>0</v>
      </c>
      <c r="F23" s="28">
        <v>1704</v>
      </c>
      <c r="G23" s="75">
        <f t="shared" si="5"/>
        <v>0</v>
      </c>
      <c r="H23" s="77">
        <f t="shared" si="6"/>
        <v>0</v>
      </c>
      <c r="I23" s="81">
        <f t="shared" si="7"/>
        <v>-45526</v>
      </c>
      <c r="J23" s="33">
        <f t="shared" si="0"/>
        <v>-1</v>
      </c>
      <c r="K23" s="20">
        <f t="shared" si="1"/>
        <v>45526</v>
      </c>
      <c r="L23" s="34">
        <v>5660</v>
      </c>
      <c r="M23" s="35">
        <v>0</v>
      </c>
      <c r="N23" s="36">
        <v>0</v>
      </c>
      <c r="O23" s="93"/>
      <c r="P23" s="94"/>
      <c r="Q23" s="93"/>
      <c r="R23" s="94"/>
      <c r="S23" s="41">
        <f t="shared" si="8"/>
        <v>0</v>
      </c>
      <c r="T23" s="39"/>
      <c r="U23" s="33">
        <f t="shared" si="11"/>
        <v>0</v>
      </c>
      <c r="V23" s="45"/>
      <c r="W23" s="33">
        <f t="shared" si="2"/>
        <v>0</v>
      </c>
      <c r="X23" s="48"/>
      <c r="Y23" s="33">
        <f t="shared" si="9"/>
        <v>0</v>
      </c>
      <c r="Z23" s="51"/>
      <c r="AA23" s="57">
        <v>0</v>
      </c>
      <c r="AB23" s="33">
        <f t="shared" si="10"/>
        <v>0</v>
      </c>
      <c r="AC23" s="13"/>
      <c r="AD23" s="18"/>
    </row>
    <row r="24" spans="1:30" ht="20.7" customHeight="1" x14ac:dyDescent="0.2">
      <c r="A24" s="20">
        <v>45527</v>
      </c>
      <c r="B24" s="10"/>
      <c r="C24" s="14">
        <f t="shared" si="3"/>
        <v>0</v>
      </c>
      <c r="D24" s="11"/>
      <c r="E24" s="14">
        <f t="shared" si="4"/>
        <v>0</v>
      </c>
      <c r="F24" s="28">
        <v>1704</v>
      </c>
      <c r="G24" s="75">
        <f t="shared" si="5"/>
        <v>0</v>
      </c>
      <c r="H24" s="77">
        <f t="shared" si="6"/>
        <v>0</v>
      </c>
      <c r="I24" s="81">
        <f t="shared" si="7"/>
        <v>-45527</v>
      </c>
      <c r="J24" s="33">
        <f t="shared" si="0"/>
        <v>-1</v>
      </c>
      <c r="K24" s="20">
        <f t="shared" si="1"/>
        <v>45527</v>
      </c>
      <c r="L24" s="34">
        <v>5660</v>
      </c>
      <c r="M24" s="35">
        <v>0</v>
      </c>
      <c r="N24" s="36">
        <v>0</v>
      </c>
      <c r="O24" s="93"/>
      <c r="P24" s="94"/>
      <c r="Q24" s="93"/>
      <c r="R24" s="94"/>
      <c r="S24" s="41">
        <f t="shared" si="8"/>
        <v>0</v>
      </c>
      <c r="T24" s="39"/>
      <c r="U24" s="33">
        <f t="shared" si="11"/>
        <v>0</v>
      </c>
      <c r="V24" s="45"/>
      <c r="W24" s="33">
        <f t="shared" si="2"/>
        <v>0</v>
      </c>
      <c r="X24" s="48"/>
      <c r="Y24" s="33">
        <f t="shared" si="9"/>
        <v>0</v>
      </c>
      <c r="Z24" s="51"/>
      <c r="AA24" s="57">
        <v>0</v>
      </c>
      <c r="AB24" s="33">
        <f t="shared" si="10"/>
        <v>0</v>
      </c>
      <c r="AC24" s="13"/>
      <c r="AD24" s="18"/>
    </row>
    <row r="25" spans="1:30" ht="20.7" customHeight="1" x14ac:dyDescent="0.2">
      <c r="A25" s="20">
        <v>45528</v>
      </c>
      <c r="B25" s="10"/>
      <c r="C25" s="14">
        <f t="shared" si="3"/>
        <v>0</v>
      </c>
      <c r="D25" s="11"/>
      <c r="E25" s="14">
        <f t="shared" si="4"/>
        <v>0</v>
      </c>
      <c r="F25" s="28">
        <v>1704</v>
      </c>
      <c r="G25" s="75">
        <f t="shared" si="5"/>
        <v>0</v>
      </c>
      <c r="H25" s="77">
        <f t="shared" si="6"/>
        <v>0</v>
      </c>
      <c r="I25" s="81">
        <f t="shared" si="7"/>
        <v>-45528</v>
      </c>
      <c r="J25" s="33">
        <f t="shared" si="0"/>
        <v>-1</v>
      </c>
      <c r="K25" s="20">
        <f t="shared" si="1"/>
        <v>45528</v>
      </c>
      <c r="L25" s="34">
        <v>5660</v>
      </c>
      <c r="M25" s="35">
        <v>0</v>
      </c>
      <c r="N25" s="36">
        <v>0</v>
      </c>
      <c r="O25" s="93"/>
      <c r="P25" s="94"/>
      <c r="Q25" s="93"/>
      <c r="R25" s="94"/>
      <c r="S25" s="41">
        <f t="shared" si="8"/>
        <v>0</v>
      </c>
      <c r="T25" s="39"/>
      <c r="U25" s="33">
        <f t="shared" si="11"/>
        <v>0</v>
      </c>
      <c r="V25" s="45"/>
      <c r="W25" s="33">
        <f t="shared" si="2"/>
        <v>0</v>
      </c>
      <c r="X25" s="48"/>
      <c r="Y25" s="33">
        <f t="shared" si="9"/>
        <v>0</v>
      </c>
      <c r="Z25" s="51"/>
      <c r="AA25" s="57">
        <v>0</v>
      </c>
      <c r="AB25" s="33">
        <f t="shared" si="10"/>
        <v>0</v>
      </c>
      <c r="AC25" s="13"/>
      <c r="AD25" s="18"/>
    </row>
    <row r="26" spans="1:30" ht="20.7" customHeight="1" x14ac:dyDescent="0.2">
      <c r="A26" s="20">
        <v>45529</v>
      </c>
      <c r="B26" s="10"/>
      <c r="C26" s="14">
        <f t="shared" si="3"/>
        <v>0</v>
      </c>
      <c r="D26" s="11"/>
      <c r="E26" s="14">
        <f t="shared" si="4"/>
        <v>0</v>
      </c>
      <c r="F26" s="28">
        <v>1704</v>
      </c>
      <c r="G26" s="75">
        <f t="shared" si="5"/>
        <v>0</v>
      </c>
      <c r="H26" s="77">
        <f t="shared" si="6"/>
        <v>0</v>
      </c>
      <c r="I26" s="81">
        <f t="shared" si="7"/>
        <v>-45529</v>
      </c>
      <c r="J26" s="33">
        <f t="shared" si="0"/>
        <v>-1</v>
      </c>
      <c r="K26" s="20">
        <f t="shared" si="1"/>
        <v>45529</v>
      </c>
      <c r="L26" s="34">
        <v>5660</v>
      </c>
      <c r="M26" s="35">
        <v>0</v>
      </c>
      <c r="N26" s="36">
        <v>0</v>
      </c>
      <c r="O26" s="93"/>
      <c r="P26" s="94"/>
      <c r="Q26" s="93"/>
      <c r="R26" s="94"/>
      <c r="S26" s="41">
        <f t="shared" si="8"/>
        <v>0</v>
      </c>
      <c r="T26" s="39"/>
      <c r="U26" s="33">
        <f t="shared" si="11"/>
        <v>0</v>
      </c>
      <c r="V26" s="45"/>
      <c r="W26" s="33">
        <f t="shared" si="2"/>
        <v>0</v>
      </c>
      <c r="X26" s="48"/>
      <c r="Y26" s="33">
        <f t="shared" si="9"/>
        <v>0</v>
      </c>
      <c r="Z26" s="51"/>
      <c r="AA26" s="57">
        <v>0</v>
      </c>
      <c r="AB26" s="33">
        <f t="shared" si="10"/>
        <v>0</v>
      </c>
      <c r="AC26" s="13"/>
      <c r="AD26" s="18"/>
    </row>
    <row r="27" spans="1:30" ht="20.7" customHeight="1" x14ac:dyDescent="0.2">
      <c r="A27" s="20">
        <v>45530</v>
      </c>
      <c r="B27" s="10"/>
      <c r="C27" s="14">
        <f t="shared" si="3"/>
        <v>0</v>
      </c>
      <c r="D27" s="11"/>
      <c r="E27" s="14">
        <f t="shared" si="4"/>
        <v>0</v>
      </c>
      <c r="F27" s="28">
        <v>1704</v>
      </c>
      <c r="G27" s="75">
        <f t="shared" si="5"/>
        <v>0</v>
      </c>
      <c r="H27" s="77">
        <f t="shared" si="6"/>
        <v>0</v>
      </c>
      <c r="I27" s="81">
        <f t="shared" si="7"/>
        <v>-45530</v>
      </c>
      <c r="J27" s="33">
        <f t="shared" si="0"/>
        <v>-1</v>
      </c>
      <c r="K27" s="20">
        <f t="shared" si="1"/>
        <v>45530</v>
      </c>
      <c r="L27" s="34">
        <v>5660</v>
      </c>
      <c r="M27" s="35">
        <v>0</v>
      </c>
      <c r="N27" s="36">
        <v>0</v>
      </c>
      <c r="O27" s="93"/>
      <c r="P27" s="94"/>
      <c r="Q27" s="93"/>
      <c r="R27" s="94"/>
      <c r="S27" s="41">
        <f t="shared" si="8"/>
        <v>0</v>
      </c>
      <c r="T27" s="39"/>
      <c r="U27" s="33">
        <f t="shared" si="11"/>
        <v>0</v>
      </c>
      <c r="V27" s="45"/>
      <c r="W27" s="33">
        <f t="shared" si="2"/>
        <v>0</v>
      </c>
      <c r="X27" s="48"/>
      <c r="Y27" s="33">
        <f t="shared" si="9"/>
        <v>0</v>
      </c>
      <c r="Z27" s="51"/>
      <c r="AA27" s="57">
        <v>0</v>
      </c>
      <c r="AB27" s="33">
        <f t="shared" si="10"/>
        <v>0</v>
      </c>
      <c r="AC27" s="13"/>
      <c r="AD27" s="18"/>
    </row>
    <row r="28" spans="1:30" ht="20.7" customHeight="1" x14ac:dyDescent="0.2">
      <c r="A28" s="20">
        <v>45531</v>
      </c>
      <c r="B28" s="10"/>
      <c r="C28" s="14">
        <f t="shared" si="3"/>
        <v>0</v>
      </c>
      <c r="D28" s="11"/>
      <c r="E28" s="14">
        <f t="shared" si="4"/>
        <v>0</v>
      </c>
      <c r="F28" s="28">
        <v>1704</v>
      </c>
      <c r="G28" s="75">
        <f t="shared" si="5"/>
        <v>0</v>
      </c>
      <c r="H28" s="77">
        <f t="shared" si="6"/>
        <v>0</v>
      </c>
      <c r="I28" s="81">
        <f t="shared" si="7"/>
        <v>-45531</v>
      </c>
      <c r="J28" s="33">
        <f t="shared" si="0"/>
        <v>-1</v>
      </c>
      <c r="K28" s="20">
        <f t="shared" si="1"/>
        <v>45531</v>
      </c>
      <c r="L28" s="34">
        <v>5660</v>
      </c>
      <c r="M28" s="35">
        <v>0</v>
      </c>
      <c r="N28" s="36">
        <v>0</v>
      </c>
      <c r="O28" s="93"/>
      <c r="P28" s="94"/>
      <c r="Q28" s="93"/>
      <c r="R28" s="94"/>
      <c r="S28" s="41">
        <f t="shared" si="8"/>
        <v>0</v>
      </c>
      <c r="T28" s="39"/>
      <c r="U28" s="33">
        <f t="shared" si="11"/>
        <v>0</v>
      </c>
      <c r="V28" s="45"/>
      <c r="W28" s="33">
        <f t="shared" si="2"/>
        <v>0</v>
      </c>
      <c r="X28" s="48"/>
      <c r="Y28" s="33">
        <f t="shared" si="9"/>
        <v>0</v>
      </c>
      <c r="Z28" s="51"/>
      <c r="AA28" s="57">
        <v>0</v>
      </c>
      <c r="AB28" s="33">
        <f t="shared" si="10"/>
        <v>0</v>
      </c>
      <c r="AC28" s="13"/>
      <c r="AD28" s="18"/>
    </row>
    <row r="29" spans="1:30" ht="20.7" customHeight="1" x14ac:dyDescent="0.2">
      <c r="A29" s="20">
        <v>45532</v>
      </c>
      <c r="B29" s="10"/>
      <c r="C29" s="14">
        <f t="shared" si="3"/>
        <v>0</v>
      </c>
      <c r="D29" s="11"/>
      <c r="E29" s="14">
        <f t="shared" si="4"/>
        <v>0</v>
      </c>
      <c r="F29" s="28">
        <v>1704</v>
      </c>
      <c r="G29" s="75">
        <f t="shared" si="5"/>
        <v>0</v>
      </c>
      <c r="H29" s="77">
        <f t="shared" si="6"/>
        <v>0</v>
      </c>
      <c r="I29" s="81">
        <f t="shared" si="7"/>
        <v>-45532</v>
      </c>
      <c r="J29" s="33">
        <f t="shared" si="0"/>
        <v>-1</v>
      </c>
      <c r="K29" s="20">
        <f t="shared" si="1"/>
        <v>45532</v>
      </c>
      <c r="L29" s="34">
        <v>5660</v>
      </c>
      <c r="M29" s="35">
        <v>0</v>
      </c>
      <c r="N29" s="36">
        <v>0</v>
      </c>
      <c r="O29" s="93"/>
      <c r="P29" s="94"/>
      <c r="Q29" s="93"/>
      <c r="R29" s="94"/>
      <c r="S29" s="41">
        <f t="shared" si="8"/>
        <v>0</v>
      </c>
      <c r="T29" s="39"/>
      <c r="U29" s="33">
        <f t="shared" si="11"/>
        <v>0</v>
      </c>
      <c r="V29" s="45"/>
      <c r="W29" s="33">
        <f t="shared" si="2"/>
        <v>0</v>
      </c>
      <c r="X29" s="48"/>
      <c r="Y29" s="33">
        <f t="shared" si="9"/>
        <v>0</v>
      </c>
      <c r="Z29" s="51"/>
      <c r="AA29" s="57">
        <v>0</v>
      </c>
      <c r="AB29" s="33">
        <f t="shared" si="10"/>
        <v>0</v>
      </c>
      <c r="AC29" s="13"/>
      <c r="AD29" s="18"/>
    </row>
    <row r="30" spans="1:30" ht="20.7" customHeight="1" x14ac:dyDescent="0.2">
      <c r="A30" s="20">
        <v>45533</v>
      </c>
      <c r="B30" s="10"/>
      <c r="C30" s="14">
        <f t="shared" si="3"/>
        <v>0</v>
      </c>
      <c r="D30" s="11"/>
      <c r="E30" s="14">
        <f t="shared" si="4"/>
        <v>0</v>
      </c>
      <c r="F30" s="28">
        <v>1704</v>
      </c>
      <c r="G30" s="75">
        <f t="shared" si="5"/>
        <v>0</v>
      </c>
      <c r="H30" s="77">
        <f t="shared" si="6"/>
        <v>0</v>
      </c>
      <c r="I30" s="81">
        <f t="shared" si="7"/>
        <v>-45533</v>
      </c>
      <c r="J30" s="33">
        <f t="shared" si="0"/>
        <v>-1</v>
      </c>
      <c r="K30" s="20">
        <f t="shared" si="1"/>
        <v>45533</v>
      </c>
      <c r="L30" s="34">
        <v>5660</v>
      </c>
      <c r="M30" s="35">
        <v>0</v>
      </c>
      <c r="N30" s="36">
        <v>0</v>
      </c>
      <c r="O30" s="93"/>
      <c r="P30" s="94"/>
      <c r="Q30" s="93"/>
      <c r="R30" s="94"/>
      <c r="S30" s="41">
        <f t="shared" si="8"/>
        <v>0</v>
      </c>
      <c r="T30" s="39"/>
      <c r="U30" s="33">
        <f t="shared" si="11"/>
        <v>0</v>
      </c>
      <c r="V30" s="45"/>
      <c r="W30" s="33">
        <f t="shared" si="2"/>
        <v>0</v>
      </c>
      <c r="X30" s="48"/>
      <c r="Y30" s="33">
        <f t="shared" si="9"/>
        <v>0</v>
      </c>
      <c r="Z30" s="51"/>
      <c r="AA30" s="57">
        <v>0</v>
      </c>
      <c r="AB30" s="33">
        <f t="shared" si="10"/>
        <v>0</v>
      </c>
      <c r="AC30" s="13"/>
      <c r="AD30" s="18"/>
    </row>
    <row r="31" spans="1:30" ht="20.7" customHeight="1" x14ac:dyDescent="0.2">
      <c r="A31" s="20">
        <v>45534</v>
      </c>
      <c r="B31" s="10"/>
      <c r="C31" s="14">
        <f t="shared" si="3"/>
        <v>0</v>
      </c>
      <c r="D31" s="11"/>
      <c r="E31" s="14">
        <f t="shared" si="4"/>
        <v>0</v>
      </c>
      <c r="F31" s="28">
        <v>1704</v>
      </c>
      <c r="G31" s="75">
        <f t="shared" si="5"/>
        <v>0</v>
      </c>
      <c r="H31" s="77">
        <f t="shared" si="6"/>
        <v>0</v>
      </c>
      <c r="I31" s="81">
        <f t="shared" si="7"/>
        <v>-45534</v>
      </c>
      <c r="J31" s="33">
        <f t="shared" si="0"/>
        <v>-1</v>
      </c>
      <c r="K31" s="20">
        <f t="shared" si="1"/>
        <v>45534</v>
      </c>
      <c r="L31" s="34">
        <v>5660</v>
      </c>
      <c r="M31" s="35">
        <v>0</v>
      </c>
      <c r="N31" s="36">
        <v>0</v>
      </c>
      <c r="O31" s="93"/>
      <c r="P31" s="94"/>
      <c r="Q31" s="93"/>
      <c r="R31" s="94"/>
      <c r="S31" s="41">
        <f t="shared" si="8"/>
        <v>0</v>
      </c>
      <c r="T31" s="39"/>
      <c r="U31" s="33">
        <f t="shared" si="11"/>
        <v>0</v>
      </c>
      <c r="V31" s="45"/>
      <c r="W31" s="33">
        <f t="shared" si="2"/>
        <v>0</v>
      </c>
      <c r="X31" s="48"/>
      <c r="Y31" s="33">
        <f t="shared" si="9"/>
        <v>0</v>
      </c>
      <c r="Z31" s="51"/>
      <c r="AA31" s="57">
        <v>0</v>
      </c>
      <c r="AB31" s="33">
        <f t="shared" si="10"/>
        <v>0</v>
      </c>
      <c r="AC31" s="13"/>
      <c r="AD31" s="18"/>
    </row>
    <row r="32" spans="1:30" ht="20.7" customHeight="1" thickBot="1" x14ac:dyDescent="0.25">
      <c r="A32" s="20">
        <v>45535</v>
      </c>
      <c r="B32" s="10"/>
      <c r="C32" s="14">
        <f t="shared" si="3"/>
        <v>0</v>
      </c>
      <c r="D32" s="11"/>
      <c r="E32" s="14">
        <f t="shared" si="4"/>
        <v>0</v>
      </c>
      <c r="F32" s="28">
        <v>1704</v>
      </c>
      <c r="G32" s="75">
        <f t="shared" si="5"/>
        <v>0</v>
      </c>
      <c r="H32" s="77">
        <f t="shared" si="6"/>
        <v>0</v>
      </c>
      <c r="I32" s="81">
        <f t="shared" si="7"/>
        <v>-45535</v>
      </c>
      <c r="J32" s="33">
        <f t="shared" si="0"/>
        <v>45535</v>
      </c>
      <c r="K32" s="20">
        <f t="shared" si="1"/>
        <v>45535</v>
      </c>
      <c r="L32" s="34">
        <v>5660</v>
      </c>
      <c r="M32" s="35">
        <v>0</v>
      </c>
      <c r="N32" s="66">
        <v>0</v>
      </c>
      <c r="O32" s="93"/>
      <c r="P32" s="94"/>
      <c r="Q32" s="93"/>
      <c r="R32" s="94"/>
      <c r="S32" s="41">
        <f t="shared" si="8"/>
        <v>0</v>
      </c>
      <c r="T32" s="39"/>
      <c r="U32" s="33">
        <f t="shared" si="11"/>
        <v>0</v>
      </c>
      <c r="V32" s="45"/>
      <c r="W32" s="33">
        <f t="shared" si="2"/>
        <v>0</v>
      </c>
      <c r="X32" s="48"/>
      <c r="Y32" s="33">
        <f t="shared" si="9"/>
        <v>0</v>
      </c>
      <c r="Z32" s="51"/>
      <c r="AA32" s="57">
        <v>0</v>
      </c>
      <c r="AB32" s="33">
        <f t="shared" si="10"/>
        <v>0</v>
      </c>
      <c r="AC32" s="61"/>
      <c r="AD32" s="62"/>
    </row>
    <row r="33" spans="1:30" ht="20.7" customHeight="1" thickTop="1" thickBot="1" x14ac:dyDescent="0.25">
      <c r="A33" s="21">
        <v>45536</v>
      </c>
      <c r="B33" s="58"/>
      <c r="C33" s="71"/>
      <c r="D33" s="70"/>
      <c r="E33" s="71"/>
      <c r="F33" s="28">
        <v>1704</v>
      </c>
      <c r="G33" s="63"/>
      <c r="H33" s="79"/>
      <c r="I33" s="72"/>
      <c r="J33" s="71"/>
      <c r="K33" s="69">
        <f t="shared" si="1"/>
        <v>45536</v>
      </c>
      <c r="L33" s="53">
        <v>5660</v>
      </c>
      <c r="M33" s="73">
        <v>0</v>
      </c>
      <c r="N33" s="71"/>
      <c r="O33" s="95"/>
      <c r="P33" s="96"/>
      <c r="Q33" s="95"/>
      <c r="R33" s="96"/>
      <c r="S33" s="42">
        <f t="shared" si="8"/>
        <v>0</v>
      </c>
      <c r="T33" s="59"/>
      <c r="U33" s="71"/>
      <c r="V33" s="68"/>
      <c r="W33" s="71"/>
      <c r="X33" s="67"/>
      <c r="Y33" s="71"/>
      <c r="Z33" s="65"/>
      <c r="AA33" s="60">
        <v>0</v>
      </c>
      <c r="AB33" s="63"/>
      <c r="AC33" s="64">
        <v>174</v>
      </c>
      <c r="AD33" s="64">
        <v>370</v>
      </c>
    </row>
    <row r="34" spans="1:30" s="89" customFormat="1" ht="10.7" thickTop="1" x14ac:dyDescent="0.2">
      <c r="A34" s="83"/>
      <c r="B34" s="83"/>
      <c r="C34" s="84">
        <f>SUM(C2:C33)</f>
        <v>-12367427</v>
      </c>
      <c r="D34" s="85"/>
      <c r="E34" s="84">
        <f>SUM(E2:E33)</f>
        <v>-478906</v>
      </c>
      <c r="F34" s="86"/>
      <c r="G34" s="84">
        <f>SUM(G2:G33)</f>
        <v>0</v>
      </c>
      <c r="H34" s="85">
        <f>SUM(H2:H33)</f>
        <v>-12846333</v>
      </c>
      <c r="I34" s="84">
        <f>SUM(I2:I32)</f>
        <v>-14257481.52</v>
      </c>
      <c r="J34" s="84">
        <f>SUM(J2:J33)</f>
        <v>33901.5</v>
      </c>
      <c r="K34" s="83"/>
      <c r="L34" s="85"/>
      <c r="M34" s="85"/>
      <c r="N34" s="84">
        <f>SUM(N2:N33)</f>
        <v>0</v>
      </c>
      <c r="O34" s="83"/>
      <c r="P34" s="83"/>
      <c r="Q34" s="83"/>
      <c r="R34" s="83"/>
      <c r="S34" s="83"/>
      <c r="T34" s="85">
        <f>SUM(T2:T33)</f>
        <v>1610</v>
      </c>
      <c r="U34" s="84">
        <f>SUM(U2:U33)</f>
        <v>6120</v>
      </c>
      <c r="V34" s="83"/>
      <c r="W34" s="84">
        <f>SUM(W2:W33)</f>
        <v>-109792</v>
      </c>
      <c r="X34" s="83"/>
      <c r="Y34" s="84">
        <f>SUM(Y2:Y33)</f>
        <v>-60127</v>
      </c>
      <c r="Z34" s="83"/>
      <c r="AA34" s="83">
        <f>SUM(AA2:AA33)</f>
        <v>0</v>
      </c>
      <c r="AB34" s="84">
        <f>SUM(AB2:AB33)</f>
        <v>-8060</v>
      </c>
      <c r="AC34" s="87">
        <f>SUM(AC2:AC33)</f>
        <v>4332</v>
      </c>
      <c r="AD34" s="88">
        <f>SUM(AD2:AD33)</f>
        <v>9734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8"/>
      <c r="I37" s="78"/>
      <c r="J37" s="5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JULY</vt:lpstr>
      <vt:lpstr>AUGUST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2024-08-20T11:12:59Z</dcterms:modified>
  <cp:category/>
  <cp:contentStatus/>
</cp:coreProperties>
</file>