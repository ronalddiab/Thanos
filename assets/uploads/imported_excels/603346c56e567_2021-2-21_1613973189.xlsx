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576" tabRatio="762"/>
  </bookViews>
  <sheets>
    <sheet name="TOTAL" sheetId="11" r:id="rId1"/>
    <sheet name="FS Jimbaran February 2021" sheetId="14" r:id="rId2"/>
    <sheet name="RNs &amp; Covers January 2021" sheetId="10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1" l="1"/>
  <c r="AH32" i="14"/>
  <c r="AH31" i="14"/>
  <c r="AH30" i="14"/>
  <c r="AH29" i="14"/>
  <c r="AH28" i="14"/>
  <c r="AH27" i="14"/>
  <c r="AH26" i="14"/>
  <c r="AH25" i="14"/>
  <c r="AH24" i="14"/>
  <c r="AH23" i="14"/>
  <c r="AH22" i="14"/>
  <c r="AH21" i="14"/>
  <c r="AH20" i="14"/>
  <c r="AH19" i="14"/>
  <c r="AH18" i="14"/>
  <c r="AH17" i="14"/>
  <c r="AH16" i="14"/>
  <c r="AH15" i="14"/>
  <c r="AH14" i="14"/>
  <c r="AH13" i="14"/>
  <c r="AH12" i="14"/>
  <c r="V24" i="14"/>
  <c r="U47" i="14"/>
  <c r="T47" i="14"/>
  <c r="S47" i="14"/>
  <c r="S17" i="14"/>
  <c r="T32" i="14"/>
  <c r="U32" i="14" s="1"/>
  <c r="S32" i="14"/>
  <c r="U31" i="14"/>
  <c r="T31" i="14"/>
  <c r="S31" i="14"/>
  <c r="T30" i="14"/>
  <c r="U30" i="14" s="1"/>
  <c r="S30" i="14"/>
  <c r="U29" i="14"/>
  <c r="T29" i="14"/>
  <c r="S29" i="14"/>
  <c r="T28" i="14"/>
  <c r="U28" i="14" s="1"/>
  <c r="S28" i="14"/>
  <c r="U27" i="14"/>
  <c r="T27" i="14"/>
  <c r="S27" i="14"/>
  <c r="T26" i="14"/>
  <c r="U26" i="14" s="1"/>
  <c r="S26" i="14"/>
  <c r="U25" i="14"/>
  <c r="T25" i="14"/>
  <c r="S25" i="14"/>
  <c r="T24" i="14"/>
  <c r="U24" i="14" s="1"/>
  <c r="S24" i="14"/>
  <c r="U23" i="14"/>
  <c r="T23" i="14"/>
  <c r="S23" i="14"/>
  <c r="T22" i="14"/>
  <c r="U22" i="14" s="1"/>
  <c r="S22" i="14"/>
  <c r="U21" i="14"/>
  <c r="T21" i="14"/>
  <c r="S21" i="14"/>
  <c r="T20" i="14"/>
  <c r="U20" i="14" s="1"/>
  <c r="S20" i="14"/>
  <c r="U19" i="14"/>
  <c r="T19" i="14"/>
  <c r="S19" i="14"/>
  <c r="T18" i="14"/>
  <c r="U18" i="14" s="1"/>
  <c r="S18" i="14"/>
  <c r="U17" i="14"/>
  <c r="T17" i="14"/>
  <c r="T16" i="14"/>
  <c r="U16" i="14" s="1"/>
  <c r="S16" i="14"/>
  <c r="U15" i="14"/>
  <c r="T15" i="14"/>
  <c r="S15" i="14"/>
  <c r="T14" i="14"/>
  <c r="U14" i="14" s="1"/>
  <c r="S14" i="14"/>
  <c r="U13" i="14"/>
  <c r="T13" i="14"/>
  <c r="S13" i="14"/>
  <c r="T12" i="14"/>
  <c r="U12" i="14" s="1"/>
  <c r="S12" i="14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AG31" i="14"/>
  <c r="AG32" i="14"/>
  <c r="AG33" i="14"/>
  <c r="AG34" i="14"/>
  <c r="AG35" i="14"/>
  <c r="AG36" i="14"/>
  <c r="AG37" i="14"/>
  <c r="AG38" i="14"/>
  <c r="AG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1" i="14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N31" i="14"/>
  <c r="N32" i="14"/>
  <c r="N33" i="14"/>
  <c r="N34" i="14"/>
  <c r="N35" i="14"/>
  <c r="N36" i="14"/>
  <c r="N37" i="14"/>
  <c r="N38" i="14"/>
  <c r="N39" i="14"/>
  <c r="I39" i="14"/>
  <c r="O39" i="14" s="1"/>
  <c r="I38" i="14"/>
  <c r="I37" i="14"/>
  <c r="O37" i="14" s="1"/>
  <c r="I36" i="14"/>
  <c r="I35" i="14"/>
  <c r="O35" i="14" s="1"/>
  <c r="I34" i="14"/>
  <c r="I33" i="14"/>
  <c r="O33" i="14" s="1"/>
  <c r="I32" i="14"/>
  <c r="O32" i="14" s="1"/>
  <c r="I31" i="14"/>
  <c r="O34" i="14" l="1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E21" i="11" s="1"/>
  <c r="P32" i="14"/>
  <c r="E22" i="11" s="1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F28" i="11" l="1"/>
  <c r="F26" i="11"/>
  <c r="F24" i="11"/>
  <c r="F22" i="11"/>
  <c r="F29" i="11"/>
  <c r="F27" i="11"/>
  <c r="F25" i="11"/>
  <c r="F23" i="11"/>
  <c r="F21" i="11"/>
  <c r="C38" i="10"/>
  <c r="B38" i="10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AG30" i="14"/>
  <c r="N30" i="14"/>
  <c r="I30" i="14"/>
  <c r="AL29" i="14"/>
  <c r="AG29" i="14"/>
  <c r="N29" i="14"/>
  <c r="I29" i="14"/>
  <c r="AL28" i="14"/>
  <c r="AG28" i="14"/>
  <c r="N28" i="14"/>
  <c r="I28" i="14"/>
  <c r="AG27" i="14"/>
  <c r="N27" i="14"/>
  <c r="I27" i="14"/>
  <c r="AL26" i="14"/>
  <c r="AI26" i="14"/>
  <c r="AG26" i="14"/>
  <c r="I26" i="14"/>
  <c r="AL25" i="14"/>
  <c r="I15" i="11"/>
  <c r="AG25" i="14"/>
  <c r="N25" i="14"/>
  <c r="P25" i="14"/>
  <c r="E15" i="11" s="1"/>
  <c r="AL24" i="14"/>
  <c r="AG24" i="14"/>
  <c r="K14" i="11"/>
  <c r="N24" i="14"/>
  <c r="I24" i="14"/>
  <c r="AL23" i="14"/>
  <c r="AG23" i="14"/>
  <c r="H13" i="11" s="1"/>
  <c r="P23" i="14"/>
  <c r="E13" i="11" s="1"/>
  <c r="N23" i="14"/>
  <c r="AG22" i="14"/>
  <c r="N22" i="14"/>
  <c r="I22" i="14"/>
  <c r="AG21" i="14"/>
  <c r="H11" i="11" s="1"/>
  <c r="P21" i="14"/>
  <c r="E11" i="11" s="1"/>
  <c r="N21" i="14"/>
  <c r="AL20" i="14"/>
  <c r="AG20" i="14"/>
  <c r="AA20" i="14"/>
  <c r="AB20" i="14" s="1"/>
  <c r="N20" i="14"/>
  <c r="I20" i="14"/>
  <c r="I9" i="11"/>
  <c r="AG19" i="14"/>
  <c r="AA19" i="14"/>
  <c r="AB19" i="14" s="1"/>
  <c r="N19" i="14"/>
  <c r="AL18" i="14"/>
  <c r="AG18" i="14"/>
  <c r="P18" i="14"/>
  <c r="E8" i="11" s="1"/>
  <c r="I18" i="14"/>
  <c r="AL17" i="14"/>
  <c r="I7" i="11"/>
  <c r="AG17" i="14"/>
  <c r="H7" i="11" s="1"/>
  <c r="P17" i="14"/>
  <c r="E7" i="11" s="1"/>
  <c r="N17" i="14"/>
  <c r="AL16" i="14"/>
  <c r="AG16" i="14"/>
  <c r="K6" i="11"/>
  <c r="N16" i="14"/>
  <c r="I16" i="14"/>
  <c r="AL15" i="14"/>
  <c r="AG15" i="14"/>
  <c r="H5" i="11" s="1"/>
  <c r="P15" i="14"/>
  <c r="E5" i="11" s="1"/>
  <c r="N15" i="14"/>
  <c r="AG14" i="14"/>
  <c r="N14" i="14"/>
  <c r="AL13" i="14"/>
  <c r="AG13" i="14"/>
  <c r="H3" i="11" s="1"/>
  <c r="N13" i="14"/>
  <c r="AG12" i="14"/>
  <c r="G2" i="11" s="1"/>
  <c r="K2" i="11"/>
  <c r="I12" i="14"/>
  <c r="G8" i="11" l="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AA13" i="14"/>
  <c r="AA15" i="14"/>
  <c r="AA17" i="14"/>
  <c r="AA23" i="14"/>
  <c r="O24" i="14"/>
  <c r="P27" i="14"/>
  <c r="E17" i="11" s="1"/>
  <c r="P29" i="14"/>
  <c r="E19" i="11" s="1"/>
  <c r="P30" i="14"/>
  <c r="E20" i="11" s="1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E4" i="11" s="1"/>
  <c r="P20" i="14"/>
  <c r="E10" i="11" s="1"/>
  <c r="P22" i="14"/>
  <c r="E12" i="11" s="1"/>
  <c r="AA29" i="14"/>
  <c r="G19" i="11"/>
  <c r="I17" i="11"/>
  <c r="K15" i="11"/>
  <c r="K7" i="11"/>
  <c r="L10" i="11"/>
  <c r="P13" i="14"/>
  <c r="E3" i="11" s="1"/>
  <c r="AF47" i="14"/>
  <c r="I10" i="11"/>
  <c r="M47" i="14"/>
  <c r="P16" i="14"/>
  <c r="E6" i="11" s="1"/>
  <c r="I17" i="14"/>
  <c r="N18" i="14"/>
  <c r="O18" i="14" s="1"/>
  <c r="F8" i="11" s="1"/>
  <c r="I21" i="14"/>
  <c r="O21" i="14" s="1"/>
  <c r="F11" i="11" s="1"/>
  <c r="AA27" i="14"/>
  <c r="G18" i="11"/>
  <c r="G10" i="11"/>
  <c r="I16" i="11"/>
  <c r="I8" i="11"/>
  <c r="J19" i="11"/>
  <c r="J3" i="11"/>
  <c r="L9" i="11"/>
  <c r="K47" i="14"/>
  <c r="O22" i="14"/>
  <c r="F12" i="11" s="1"/>
  <c r="AA24" i="14"/>
  <c r="P26" i="14"/>
  <c r="E16" i="11" s="1"/>
  <c r="E47" i="14"/>
  <c r="I13" i="14"/>
  <c r="O13" i="14" s="1"/>
  <c r="I15" i="14"/>
  <c r="O15" i="14" s="1"/>
  <c r="O16" i="14"/>
  <c r="P19" i="14"/>
  <c r="E9" i="11" s="1"/>
  <c r="AA21" i="14"/>
  <c r="I23" i="14"/>
  <c r="O23" i="14" s="1"/>
  <c r="F13" i="11" s="1"/>
  <c r="P28" i="14"/>
  <c r="E18" i="11" s="1"/>
  <c r="G17" i="11"/>
  <c r="J18" i="11"/>
  <c r="J10" i="11"/>
  <c r="K13" i="11"/>
  <c r="K5" i="11"/>
  <c r="AA25" i="14"/>
  <c r="F47" i="14"/>
  <c r="V47" i="14"/>
  <c r="I14" i="14"/>
  <c r="O14" i="14" s="1"/>
  <c r="AA14" i="14"/>
  <c r="P24" i="14"/>
  <c r="E14" i="11" s="1"/>
  <c r="I25" i="14"/>
  <c r="O25" i="14" s="1"/>
  <c r="F15" i="11" s="1"/>
  <c r="N26" i="14"/>
  <c r="O26" i="14" s="1"/>
  <c r="I14" i="11"/>
  <c r="I6" i="11"/>
  <c r="K12" i="11"/>
  <c r="K4" i="11"/>
  <c r="AA12" i="14"/>
  <c r="L2" i="11" s="1"/>
  <c r="H2" i="11"/>
  <c r="AA18" i="14"/>
  <c r="AA26" i="14"/>
  <c r="AA22" i="14"/>
  <c r="N12" i="14"/>
  <c r="AA30" i="14"/>
  <c r="H47" i="14"/>
  <c r="P12" i="14"/>
  <c r="E2" i="11" s="1"/>
  <c r="AA28" i="14"/>
  <c r="J2" i="11"/>
  <c r="AC47" i="14"/>
  <c r="F6" i="11" l="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F7" i="11" s="1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 s="1"/>
  <c r="AL12" i="14"/>
  <c r="AA16" i="14"/>
  <c r="AA47" i="14" s="1"/>
  <c r="AB47" i="14" s="1"/>
  <c r="AH47" i="14"/>
  <c r="AI47" i="14" s="1"/>
  <c r="AI12" i="14"/>
  <c r="N47" i="14"/>
  <c r="O12" i="14"/>
  <c r="F2" i="11" s="1"/>
  <c r="P47" i="14"/>
  <c r="Z47" i="14"/>
  <c r="AB12" i="14"/>
  <c r="AB16" i="14" l="1"/>
  <c r="L6" i="11"/>
  <c r="O47" i="14"/>
  <c r="U48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</calcChain>
</file>

<file path=xl/sharedStrings.xml><?xml version="1.0" encoding="utf-8"?>
<sst xmlns="http://schemas.openxmlformats.org/spreadsheetml/2006/main" count="104" uniqueCount="55">
  <si>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</si>
  <si>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</si>
  <si>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</si>
  <si>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</si>
  <si>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</si>
  <si>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</si>
  <si>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</si>
  <si>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</si>
  <si>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</si>
  <si>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</si>
  <si>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</si>
  <si>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</si>
  <si>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</si>
  <si>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</si>
  <si>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</si>
  <si>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</si>
  <si>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</si>
  <si>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</si>
  <si>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</si>
  <si>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</si>
  <si>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</si>
  <si>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</si>
  <si>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</si>
  <si>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</si>
  <si>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</si>
  <si>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</si>
  <si>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</si>
  <si>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</si>
  <si>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</si>
  <si>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</si>
  <si>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</si>
  <si>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</si>
  <si>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</si>
  <si>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</si>
  <si>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</si>
  <si>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</si>
  <si>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</si>
  <si>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</si>
  <si>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</si>
  <si>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</si>
  <si>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</si>
  <si>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</si>
  <si>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</si>
  <si>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</si>
  <si>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</si>
  <si>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</si>
  <si>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</si>
  <si>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</si>
  <si>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</si>
  <si>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</si>
  <si>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</si>
  <si>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</si>
  <si>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</si>
  <si>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 xml:space="preserve"> -   </t>
  </si>
  <si>
    <t>FEBRUARY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</si>
</sst>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&quot;$&quot;#,##0.00_);\(&quot;$&quot;#,##0.00\)"/>
    <numFmt numFmtId="166" formatCode="_(&quot;$&quot;* #,##0.00_);_(&quot;$&quot;* \(#,##0.00\);_(&quot;$&quot;* &quot;-&quot;??_);_(@_)"/>
    <numFmt numFmtId="167" formatCode="_-* #,##0_-;\-* #,##0_-;_-* &quot;-&quot;??_-;_-@_-"/>
    <numFmt numFmtId="168" formatCode="_(* #,##0_);_(* \(#,##0\);_(* &quot;-&quot;??_);_(@_)"/>
    <numFmt numFmtId="169" formatCode="&quot;$&quot;#,##0"/>
    <numFmt numFmtId="170" formatCode="_-* #,##0.0_-;\-* #,##0.0_-;_-* &quot;-&quot;??_-;_-@_-"/>
    <numFmt numFmtId="171" formatCode="0.0%"/>
    <numFmt numFmtId="172" formatCode="_-* #,##0.000_-;\-* #,##0.000_-;_-* &quot;-&quot;??_-;_-@_-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</cellStyleXfs>
  <cellXfs count="282">
    <xf numFmtId="0" fontId="0" fillId="0" borderId="0" xfId="0"/>
    <xf numFmtId="0" fontId="0" fillId="0" borderId="0" xfId="0" applyBorder="1"/>
    <xf numFmtId="0" fontId="0" fillId="0" borderId="8" xfId="0" applyBorder="1"/>
    <xf numFmtId="167" fontId="0" fillId="0" borderId="8" xfId="2" applyNumberFormat="1" applyFont="1" applyBorder="1"/>
    <xf numFmtId="167" fontId="0" fillId="0" borderId="0" xfId="2" applyNumberFormat="1" applyFont="1"/>
    <xf numFmtId="167" fontId="0" fillId="0" borderId="0" xfId="2" applyNumberFormat="1" applyFont="1" applyBorder="1"/>
    <xf numFmtId="167" fontId="1" fillId="0" borderId="0" xfId="2" applyNumberFormat="1" applyFont="1"/>
    <xf numFmtId="167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 applyBorder="1"/>
    <xf numFmtId="167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164" fontId="0" fillId="3" borderId="0" xfId="0" applyNumberFormat="1" applyFill="1" applyBorder="1"/>
    <xf numFmtId="167" fontId="4" fillId="0" borderId="0" xfId="2" applyNumberFormat="1" applyFont="1" applyBorder="1"/>
    <xf numFmtId="0" fontId="0" fillId="0" borderId="9" xfId="0" applyBorder="1"/>
    <xf numFmtId="167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7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7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7" fontId="0" fillId="0" borderId="9" xfId="0" applyNumberFormat="1" applyBorder="1"/>
    <xf numFmtId="0" fontId="0" fillId="3" borderId="5" xfId="0" applyFill="1" applyBorder="1"/>
    <xf numFmtId="167" fontId="0" fillId="3" borderId="0" xfId="2" applyNumberFormat="1" applyFont="1" applyFill="1" applyBorder="1" applyAlignment="1">
      <alignment horizontal="right"/>
    </xf>
    <xf numFmtId="167" fontId="6" fillId="3" borderId="0" xfId="2" applyNumberFormat="1" applyFont="1" applyFill="1" applyBorder="1" applyAlignment="1"/>
    <xf numFmtId="168" fontId="0" fillId="0" borderId="8" xfId="2" applyNumberFormat="1" applyFont="1" applyBorder="1"/>
    <xf numFmtId="0" fontId="1" fillId="4" borderId="37" xfId="0" applyFont="1" applyFill="1" applyBorder="1" applyAlignment="1">
      <alignment horizontal="center" vertical="center"/>
    </xf>
    <xf numFmtId="169" fontId="6" fillId="3" borderId="0" xfId="0" applyNumberFormat="1" applyFont="1" applyFill="1" applyBorder="1" applyAlignment="1"/>
    <xf numFmtId="169" fontId="1" fillId="4" borderId="4" xfId="0" applyNumberFormat="1" applyFont="1" applyFill="1" applyBorder="1" applyAlignment="1">
      <alignment horizontal="center" vertical="center"/>
    </xf>
    <xf numFmtId="169" fontId="0" fillId="0" borderId="21" xfId="2" applyNumberFormat="1" applyFont="1" applyBorder="1"/>
    <xf numFmtId="169" fontId="0" fillId="3" borderId="5" xfId="0" applyNumberFormat="1" applyFill="1" applyBorder="1"/>
    <xf numFmtId="169" fontId="0" fillId="0" borderId="0" xfId="0" applyNumberFormat="1"/>
    <xf numFmtId="0" fontId="0" fillId="0" borderId="13" xfId="0" applyBorder="1" applyAlignment="1">
      <alignment horizontal="center" vertical="center" wrapText="1"/>
    </xf>
    <xf numFmtId="169" fontId="0" fillId="0" borderId="9" xfId="2" applyNumberFormat="1" applyFont="1" applyBorder="1"/>
    <xf numFmtId="164" fontId="0" fillId="3" borderId="23" xfId="0" applyNumberFormat="1" applyFill="1" applyBorder="1"/>
    <xf numFmtId="167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7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69" fontId="0" fillId="0" borderId="26" xfId="0" applyNumberFormat="1" applyBorder="1" applyAlignment="1">
      <alignment horizontal="center" vertical="center" wrapText="1"/>
    </xf>
    <xf numFmtId="169" fontId="0" fillId="0" borderId="44" xfId="0" applyNumberFormat="1" applyBorder="1" applyAlignment="1">
      <alignment horizontal="center" vertical="center" wrapText="1"/>
    </xf>
    <xf numFmtId="167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1" fillId="11" borderId="45" xfId="0" applyFont="1" applyFill="1" applyBorder="1" applyAlignment="1">
      <alignment horizontal="center" vertical="center" shrinkToFit="1"/>
    </xf>
    <xf numFmtId="0" fontId="11" fillId="11" borderId="46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7" fontId="9" fillId="3" borderId="0" xfId="2" applyNumberFormat="1" applyFont="1" applyFill="1" applyBorder="1" applyAlignment="1"/>
    <xf numFmtId="167" fontId="8" fillId="3" borderId="0" xfId="2" applyNumberFormat="1" applyFont="1" applyFill="1" applyBorder="1"/>
    <xf numFmtId="167" fontId="12" fillId="0" borderId="0" xfId="2" applyNumberFormat="1" applyFont="1" applyBorder="1"/>
    <xf numFmtId="167" fontId="8" fillId="0" borderId="0" xfId="2" applyNumberFormat="1" applyFont="1"/>
    <xf numFmtId="167" fontId="0" fillId="3" borderId="40" xfId="0" applyNumberFormat="1" applyFill="1" applyBorder="1"/>
    <xf numFmtId="167" fontId="1" fillId="0" borderId="40" xfId="0" applyNumberFormat="1" applyFont="1" applyBorder="1"/>
    <xf numFmtId="0" fontId="0" fillId="3" borderId="48" xfId="0" applyFill="1" applyBorder="1"/>
    <xf numFmtId="167" fontId="0" fillId="3" borderId="48" xfId="2" applyNumberFormat="1" applyFont="1" applyFill="1" applyBorder="1"/>
    <xf numFmtId="164" fontId="8" fillId="3" borderId="48" xfId="2" applyFont="1" applyFill="1" applyBorder="1"/>
    <xf numFmtId="167" fontId="8" fillId="3" borderId="48" xfId="2" applyNumberFormat="1" applyFont="1" applyFill="1" applyBorder="1"/>
    <xf numFmtId="164" fontId="0" fillId="3" borderId="48" xfId="0" applyNumberFormat="1" applyFill="1" applyBorder="1"/>
    <xf numFmtId="0" fontId="0" fillId="3" borderId="50" xfId="0" applyFill="1" applyBorder="1"/>
    <xf numFmtId="43" fontId="0" fillId="3" borderId="48" xfId="0" applyNumberFormat="1" applyFill="1" applyBorder="1"/>
    <xf numFmtId="167" fontId="0" fillId="3" borderId="48" xfId="0" applyNumberFormat="1" applyFill="1" applyBorder="1"/>
    <xf numFmtId="167" fontId="0" fillId="0" borderId="48" xfId="2" applyNumberFormat="1" applyFont="1" applyBorder="1"/>
    <xf numFmtId="169" fontId="0" fillId="3" borderId="50" xfId="0" applyNumberFormat="1" applyFill="1" applyBorder="1"/>
    <xf numFmtId="167" fontId="0" fillId="0" borderId="0" xfId="2" applyNumberFormat="1" applyFont="1" applyBorder="1" applyAlignment="1">
      <alignment horizontal="right"/>
    </xf>
    <xf numFmtId="167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0" fontId="6" fillId="3" borderId="0" xfId="2" applyNumberFormat="1" applyFont="1" applyFill="1" applyBorder="1" applyAlignment="1"/>
    <xf numFmtId="170" fontId="0" fillId="3" borderId="0" xfId="2" applyNumberFormat="1" applyFont="1" applyFill="1" applyBorder="1"/>
    <xf numFmtId="170" fontId="0" fillId="3" borderId="48" xfId="2" applyNumberFormat="1" applyFont="1" applyFill="1" applyBorder="1"/>
    <xf numFmtId="170" fontId="0" fillId="0" borderId="0" xfId="2" applyNumberFormat="1" applyFont="1" applyBorder="1"/>
    <xf numFmtId="170" fontId="0" fillId="0" borderId="0" xfId="2" applyNumberFormat="1" applyFont="1"/>
    <xf numFmtId="167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7" fontId="9" fillId="0" borderId="54" xfId="2" applyNumberFormat="1" applyFont="1" applyBorder="1" applyAlignment="1">
      <alignment horizontal="center" vertical="center" wrapText="1"/>
    </xf>
    <xf numFmtId="167" fontId="8" fillId="0" borderId="55" xfId="2" applyNumberFormat="1" applyFont="1" applyBorder="1" applyAlignment="1">
      <alignment horizontal="center" vertical="center" wrapText="1"/>
    </xf>
    <xf numFmtId="167" fontId="8" fillId="0" borderId="21" xfId="2" applyNumberFormat="1" applyFont="1" applyBorder="1"/>
    <xf numFmtId="0" fontId="0" fillId="0" borderId="29" xfId="0" applyBorder="1"/>
    <xf numFmtId="167" fontId="0" fillId="0" borderId="29" xfId="2" applyNumberFormat="1" applyFont="1" applyBorder="1"/>
    <xf numFmtId="164" fontId="8" fillId="0" borderId="29" xfId="2" applyFont="1" applyBorder="1"/>
    <xf numFmtId="167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7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164" fontId="0" fillId="0" borderId="21" xfId="0" applyNumberFormat="1" applyBorder="1"/>
    <xf numFmtId="167" fontId="0" fillId="0" borderId="57" xfId="2" applyNumberFormat="1" applyFont="1" applyBorder="1"/>
    <xf numFmtId="0" fontId="0" fillId="0" borderId="32" xfId="0" applyBorder="1"/>
    <xf numFmtId="167" fontId="0" fillId="0" borderId="10" xfId="2" applyNumberFormat="1" applyFont="1" applyBorder="1"/>
    <xf numFmtId="0" fontId="0" fillId="0" borderId="58" xfId="0" applyBorder="1"/>
    <xf numFmtId="164" fontId="0" fillId="0" borderId="46" xfId="2" applyFont="1" applyBorder="1"/>
    <xf numFmtId="164" fontId="0" fillId="0" borderId="59" xfId="2" applyFont="1" applyBorder="1"/>
    <xf numFmtId="167" fontId="8" fillId="0" borderId="45" xfId="2" applyNumberFormat="1" applyFont="1" applyBorder="1" applyAlignment="1">
      <alignment horizontal="center" vertical="center" wrapText="1"/>
    </xf>
    <xf numFmtId="167" fontId="8" fillId="0" borderId="46" xfId="2" applyNumberFormat="1" applyFont="1" applyBorder="1"/>
    <xf numFmtId="167" fontId="8" fillId="0" borderId="59" xfId="2" applyNumberFormat="1" applyFont="1" applyBorder="1"/>
    <xf numFmtId="170" fontId="0" fillId="0" borderId="35" xfId="2" applyNumberFormat="1" applyFont="1" applyBorder="1" applyAlignment="1">
      <alignment horizontal="center" vertical="center" wrapText="1"/>
    </xf>
    <xf numFmtId="170" fontId="4" fillId="0" borderId="0" xfId="2" applyNumberFormat="1" applyFont="1" applyBorder="1"/>
    <xf numFmtId="167" fontId="9" fillId="6" borderId="23" xfId="0" applyNumberFormat="1" applyFont="1" applyFill="1" applyBorder="1"/>
    <xf numFmtId="167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7" fontId="0" fillId="3" borderId="49" xfId="2" applyNumberFormat="1" applyFont="1" applyFill="1" applyBorder="1"/>
    <xf numFmtId="0" fontId="11" fillId="11" borderId="59" xfId="0" applyFont="1" applyFill="1" applyBorder="1" applyAlignment="1">
      <alignment horizontal="center" vertical="center" shrinkToFit="1"/>
    </xf>
    <xf numFmtId="167" fontId="1" fillId="0" borderId="23" xfId="2" applyNumberFormat="1" applyFont="1" applyBorder="1"/>
    <xf numFmtId="169" fontId="1" fillId="3" borderId="7" xfId="0" applyNumberFormat="1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7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43" fontId="0" fillId="3" borderId="5" xfId="0" applyNumberFormat="1" applyFill="1" applyBorder="1"/>
    <xf numFmtId="0" fontId="0" fillId="3" borderId="66" xfId="0" applyFill="1" applyBorder="1"/>
    <xf numFmtId="167" fontId="1" fillId="0" borderId="12" xfId="2" applyNumberFormat="1" applyFont="1" applyBorder="1" applyAlignment="1">
      <alignment horizontal="center" vertical="center" wrapText="1"/>
    </xf>
    <xf numFmtId="167" fontId="14" fillId="3" borderId="8" xfId="2" applyNumberFormat="1" applyFont="1" applyFill="1" applyBorder="1" applyProtection="1">
      <protection locked="0"/>
    </xf>
    <xf numFmtId="0" fontId="0" fillId="3" borderId="53" xfId="0" applyFill="1" applyBorder="1" applyAlignment="1">
      <alignment wrapText="1"/>
    </xf>
    <xf numFmtId="167" fontId="1" fillId="12" borderId="6" xfId="0" applyNumberFormat="1" applyFont="1" applyFill="1" applyBorder="1"/>
    <xf numFmtId="166" fontId="9" fillId="12" borderId="7" xfId="1" applyFont="1" applyFill="1" applyBorder="1"/>
    <xf numFmtId="167" fontId="0" fillId="3" borderId="23" xfId="2" applyNumberFormat="1" applyFont="1" applyFill="1" applyBorder="1"/>
    <xf numFmtId="43" fontId="0" fillId="0" borderId="0" xfId="0" applyNumberFormat="1" applyBorder="1"/>
    <xf numFmtId="170" fontId="1" fillId="4" borderId="3" xfId="2" applyNumberFormat="1" applyFont="1" applyFill="1" applyBorder="1" applyAlignment="1">
      <alignment horizontal="center" vertical="center"/>
    </xf>
    <xf numFmtId="170" fontId="0" fillId="0" borderId="42" xfId="2" applyNumberFormat="1" applyFont="1" applyBorder="1" applyAlignment="1">
      <alignment horizontal="center" vertical="center" wrapText="1"/>
    </xf>
    <xf numFmtId="170" fontId="0" fillId="0" borderId="25" xfId="2" applyNumberFormat="1" applyFont="1" applyBorder="1" applyAlignment="1">
      <alignment horizontal="center" vertical="center" wrapText="1"/>
    </xf>
    <xf numFmtId="170" fontId="0" fillId="0" borderId="22" xfId="2" applyNumberFormat="1" applyFont="1" applyBorder="1"/>
    <xf numFmtId="170" fontId="0" fillId="0" borderId="48" xfId="2" applyNumberFormat="1" applyFont="1" applyBorder="1"/>
    <xf numFmtId="170" fontId="0" fillId="0" borderId="6" xfId="2" applyNumberFormat="1" applyFont="1" applyBorder="1"/>
    <xf numFmtId="167" fontId="1" fillId="12" borderId="6" xfId="2" applyNumberFormat="1" applyFont="1" applyFill="1" applyBorder="1"/>
    <xf numFmtId="169" fontId="1" fillId="12" borderId="7" xfId="0" applyNumberFormat="1" applyFont="1" applyFill="1" applyBorder="1"/>
    <xf numFmtId="167" fontId="1" fillId="12" borderId="31" xfId="2" applyNumberFormat="1" applyFont="1" applyFill="1" applyBorder="1"/>
    <xf numFmtId="169" fontId="1" fillId="12" borderId="33" xfId="2" applyNumberFormat="1" applyFont="1" applyFill="1" applyBorder="1"/>
    <xf numFmtId="164" fontId="5" fillId="0" borderId="0" xfId="2" applyFont="1" applyBorder="1"/>
    <xf numFmtId="167" fontId="14" fillId="3" borderId="67" xfId="2" applyNumberFormat="1" applyFont="1" applyFill="1" applyBorder="1" applyProtection="1">
      <protection locked="0"/>
    </xf>
    <xf numFmtId="168" fontId="0" fillId="0" borderId="56" xfId="2" applyNumberFormat="1" applyFont="1" applyBorder="1"/>
    <xf numFmtId="167" fontId="14" fillId="3" borderId="46" xfId="2" applyNumberFormat="1" applyFont="1" applyFill="1" applyBorder="1" applyProtection="1">
      <protection locked="0"/>
    </xf>
    <xf numFmtId="167" fontId="0" fillId="0" borderId="59" xfId="2" applyNumberFormat="1" applyFont="1" applyBorder="1"/>
    <xf numFmtId="165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7" fontId="14" fillId="3" borderId="64" xfId="2" applyNumberFormat="1" applyFont="1" applyFill="1" applyBorder="1" applyProtection="1">
      <protection locked="0"/>
    </xf>
    <xf numFmtId="167" fontId="14" fillId="3" borderId="47" xfId="2" applyNumberFormat="1" applyFont="1" applyFill="1" applyBorder="1" applyProtection="1">
      <protection locked="0"/>
    </xf>
    <xf numFmtId="0" fontId="7" fillId="0" borderId="68" xfId="4" quotePrefix="1" applyBorder="1"/>
    <xf numFmtId="167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7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7" fontId="2" fillId="0" borderId="8" xfId="2" applyNumberFormat="1" applyFont="1" applyBorder="1"/>
    <xf numFmtId="164" fontId="2" fillId="0" borderId="8" xfId="2" applyFont="1" applyBorder="1"/>
    <xf numFmtId="167" fontId="1" fillId="0" borderId="10" xfId="2" applyNumberFormat="1" applyFont="1" applyBorder="1"/>
    <xf numFmtId="164" fontId="0" fillId="3" borderId="50" xfId="0" applyNumberFormat="1" applyFill="1" applyBorder="1"/>
    <xf numFmtId="164" fontId="1" fillId="6" borderId="23" xfId="2" applyNumberFormat="1" applyFont="1" applyFill="1" applyBorder="1"/>
    <xf numFmtId="167" fontId="4" fillId="3" borderId="0" xfId="0" applyNumberFormat="1" applyFont="1" applyFill="1" applyBorder="1"/>
    <xf numFmtId="167" fontId="4" fillId="0" borderId="0" xfId="0" applyNumberFormat="1" applyFont="1" applyBorder="1"/>
    <xf numFmtId="166" fontId="4" fillId="0" borderId="0" xfId="1" applyNumberFormat="1" applyFont="1" applyBorder="1"/>
    <xf numFmtId="171" fontId="4" fillId="0" borderId="0" xfId="5" applyNumberFormat="1" applyFont="1" applyBorder="1"/>
    <xf numFmtId="169" fontId="4" fillId="0" borderId="0" xfId="0" applyNumberFormat="1" applyFont="1" applyBorder="1"/>
    <xf numFmtId="0" fontId="4" fillId="0" borderId="0" xfId="0" applyFont="1" applyBorder="1"/>
    <xf numFmtId="0" fontId="0" fillId="3" borderId="61" xfId="0" applyFill="1" applyBorder="1" applyAlignment="1">
      <alignment wrapText="1"/>
    </xf>
    <xf numFmtId="170" fontId="0" fillId="0" borderId="54" xfId="2" applyNumberFormat="1" applyFont="1" applyBorder="1"/>
    <xf numFmtId="170" fontId="0" fillId="0" borderId="38" xfId="2" applyNumberFormat="1" applyFont="1" applyBorder="1"/>
    <xf numFmtId="170" fontId="7" fillId="3" borderId="38" xfId="2" applyNumberFormat="1" applyFont="1" applyFill="1" applyBorder="1" applyAlignment="1">
      <alignment vertical="top" wrapText="1"/>
    </xf>
    <xf numFmtId="0" fontId="7" fillId="3" borderId="38" xfId="4" applyFill="1" applyBorder="1" applyAlignment="1">
      <alignment vertical="top" wrapText="1"/>
    </xf>
    <xf numFmtId="0" fontId="7" fillId="0" borderId="70" xfId="4" quotePrefix="1" applyBorder="1"/>
    <xf numFmtId="164" fontId="0" fillId="3" borderId="39" xfId="2" applyFont="1" applyFill="1" applyBorder="1"/>
    <xf numFmtId="164" fontId="0" fillId="3" borderId="40" xfId="2" applyFont="1" applyFill="1" applyBorder="1"/>
    <xf numFmtId="164" fontId="0" fillId="3" borderId="61" xfId="2" applyFont="1" applyFill="1" applyBorder="1"/>
    <xf numFmtId="164" fontId="0" fillId="3" borderId="68" xfId="2" applyFont="1" applyFill="1" applyBorder="1"/>
    <xf numFmtId="164" fontId="0" fillId="3" borderId="38" xfId="2" applyFont="1" applyFill="1" applyBorder="1"/>
    <xf numFmtId="164" fontId="0" fillId="3" borderId="70" xfId="2" applyFont="1" applyFill="1" applyBorder="1"/>
    <xf numFmtId="0" fontId="7" fillId="3" borderId="61" xfId="4" quotePrefix="1" applyFill="1" applyBorder="1" applyAlignment="1"/>
    <xf numFmtId="170" fontId="17" fillId="3" borderId="38" xfId="2" applyNumberFormat="1" applyFont="1" applyFill="1" applyBorder="1" applyAlignment="1">
      <alignment vertical="top" wrapText="1"/>
    </xf>
    <xf numFmtId="170" fontId="7" fillId="3" borderId="38" xfId="4" quotePrefix="1" applyNumberFormat="1" applyFill="1" applyBorder="1" applyAlignment="1">
      <alignment vertical="top"/>
    </xf>
    <xf numFmtId="167" fontId="19" fillId="3" borderId="0" xfId="2" applyNumberFormat="1" applyFont="1" applyFill="1" applyBorder="1"/>
    <xf numFmtId="167" fontId="19" fillId="0" borderId="0" xfId="2" applyNumberFormat="1" applyFont="1" applyBorder="1"/>
    <xf numFmtId="3" fontId="19" fillId="0" borderId="0" xfId="0" applyNumberFormat="1" applyFont="1"/>
    <xf numFmtId="172" fontId="19" fillId="0" borderId="0" xfId="2" applyNumberFormat="1" applyFont="1"/>
    <xf numFmtId="10" fontId="19" fillId="0" borderId="0" xfId="5" applyNumberFormat="1" applyFont="1"/>
    <xf numFmtId="166" fontId="19" fillId="0" borderId="0" xfId="1" applyFont="1" applyBorder="1"/>
    <xf numFmtId="167" fontId="20" fillId="0" borderId="0" xfId="2" applyNumberFormat="1" applyFont="1" applyBorder="1"/>
    <xf numFmtId="170" fontId="19" fillId="0" borderId="0" xfId="2" applyNumberFormat="1" applyFont="1" applyBorder="1"/>
    <xf numFmtId="167" fontId="19" fillId="0" borderId="0" xfId="2" applyNumberFormat="1" applyFont="1" applyBorder="1" applyAlignment="1">
      <alignment horizontal="right"/>
    </xf>
    <xf numFmtId="171" fontId="19" fillId="0" borderId="0" xfId="5" applyNumberFormat="1" applyFont="1" applyBorder="1"/>
    <xf numFmtId="167" fontId="21" fillId="0" borderId="0" xfId="2" applyNumberFormat="1" applyFont="1" applyBorder="1"/>
    <xf numFmtId="0" fontId="19" fillId="0" borderId="0" xfId="0" applyFont="1"/>
    <xf numFmtId="169" fontId="19" fillId="0" borderId="0" xfId="2" applyNumberFormat="1" applyFont="1" applyBorder="1"/>
    <xf numFmtId="0" fontId="17" fillId="3" borderId="0" xfId="0" applyFont="1" applyFill="1" applyBorder="1"/>
    <xf numFmtId="167" fontId="17" fillId="0" borderId="0" xfId="2" applyNumberFormat="1" applyFont="1"/>
    <xf numFmtId="0" fontId="17" fillId="0" borderId="0" xfId="0" applyFont="1"/>
    <xf numFmtId="164" fontId="18" fillId="0" borderId="0" xfId="2" applyFont="1"/>
    <xf numFmtId="167" fontId="18" fillId="0" borderId="0" xfId="2" applyNumberFormat="1" applyFont="1"/>
    <xf numFmtId="170" fontId="17" fillId="0" borderId="0" xfId="2" applyNumberFormat="1" applyFont="1"/>
    <xf numFmtId="169" fontId="17" fillId="0" borderId="0" xfId="0" applyNumberFormat="1" applyFont="1"/>
    <xf numFmtId="0" fontId="1" fillId="0" borderId="69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170" fontId="1" fillId="0" borderId="35" xfId="2" applyNumberFormat="1" applyFont="1" applyBorder="1" applyAlignment="1">
      <alignment horizontal="center" vertical="center" wrapText="1"/>
    </xf>
    <xf numFmtId="170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0" fontId="10" fillId="10" borderId="40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164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7" fontId="9" fillId="0" borderId="27" xfId="2" applyNumberFormat="1" applyFont="1" applyBorder="1" applyAlignment="1">
      <alignment horizontal="center" vertical="center" wrapText="1"/>
    </xf>
    <xf numFmtId="167" fontId="9" fillId="0" borderId="40" xfId="2" applyNumberFormat="1" applyFont="1" applyBorder="1" applyAlignment="1">
      <alignment horizontal="center" vertical="center" wrapText="1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164" fontId="0" fillId="3" borderId="46" xfId="2" applyFont="1" applyFill="1" applyBorder="1"/>
    <xf numFmtId="164" fontId="0" fillId="3" borderId="10" xfId="2" applyFont="1" applyFill="1" applyBorder="1"/>
    <xf numFmtId="164" fontId="0" fillId="3" borderId="21" xfId="2" applyFont="1" applyFill="1" applyBorder="1"/>
  </cellXfs>
  <cellStyles count="10">
    <cellStyle name="Comma" xfId="2" builtinId="3"/>
    <cellStyle name="Comma [0] 2" xfId="8"/>
    <cellStyle name="Comma 10" xfId="3"/>
    <cellStyle name="Comma 2" xfId="6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29"/>
  <sheetViews>
    <sheetView tabSelected="1" workbookViewId="0">
      <selection activeCell="G5" sqref="G5"/>
    </sheetView>
  </sheetViews>
  <sheetFormatPr defaultColWidth="11.5546875" defaultRowHeight="14.4" x14ac:dyDescent="0.3"/>
  <cols>
    <col min="1" max="1" width="18.44140625" style="171" customWidth="1"/>
    <col min="2" max="2" width="11.5546875" style="172"/>
    <col min="3" max="3" width="11.5546875" style="173"/>
    <col min="4" max="4" width="13.44140625" style="172" customWidth="1"/>
    <col min="5" max="5" width="12.5546875" style="170" customWidth="1"/>
    <col min="6" max="6" width="12.5546875" style="174" customWidth="1"/>
    <col min="7" max="7" width="11.5546875" style="170"/>
    <col min="8" max="8" width="11.5546875" style="174"/>
    <col min="9" max="9" width="11.5546875" style="175"/>
    <col min="10" max="10" width="11.5546875" style="176"/>
    <col min="11" max="11" width="11.5546875" style="170"/>
    <col min="12" max="12" width="11.5546875" style="176"/>
    <col min="13" max="26" width="11.5546875" style="170"/>
  </cols>
  <sheetData>
    <row r="1" spans="1:15" s="164" customFormat="1" ht="43.2" x14ac:dyDescent="0.3">
      <c r="A1" s="160" t="s">
        <v>37</v>
      </c>
      <c r="B1" s="160" t="s">
        <v>38</v>
      </c>
      <c r="C1" s="161" t="s">
        <v>39</v>
      </c>
      <c r="D1" s="160" t="s">
        <v>40</v>
      </c>
      <c r="E1" s="159" t="s">
        <v>41</v>
      </c>
      <c r="F1" s="162" t="s">
        <v>42</v>
      </c>
      <c r="G1" s="159" t="s">
        <v>47</v>
      </c>
      <c r="H1" s="162" t="s">
        <v>48</v>
      </c>
      <c r="I1" s="178" t="s">
        <v>50</v>
      </c>
      <c r="J1" s="162" t="s">
        <v>51</v>
      </c>
      <c r="K1" s="159" t="s">
        <v>43</v>
      </c>
      <c r="L1" s="163" t="s">
        <v>44</v>
      </c>
      <c r="M1" s="159" t="s">
        <v>45</v>
      </c>
      <c r="N1" s="159" t="s">
        <v>3</v>
      </c>
    </row>
    <row r="2" spans="1:15" x14ac:dyDescent="0.3">
      <c r="A2" s="165" t="s">
        <v>49</v>
      </c>
      <c r="B2" s="166">
        <v>1</v>
      </c>
      <c r="C2" s="167">
        <v>2</v>
      </c>
      <c r="D2" s="166">
        <v>2021</v>
      </c>
      <c r="E2" s="168">
        <f>'FS Jimbaran February 2021'!P12</f>
        <v>14019.999999999862</v>
      </c>
      <c r="F2" s="177">
        <f>'FS Jimbaran February 2021'!O12/'FS Jimbaran February 2021'!P12</f>
        <v>1177.5533109843091</v>
      </c>
      <c r="G2" s="168">
        <f>'FS Jimbaran February 2021'!AG12</f>
        <v>62</v>
      </c>
      <c r="H2" s="177">
        <f>'FS Jimbaran February 2021'!AH12/'FS Jimbaran February 2021'!AG12</f>
        <v>11094.539999999999</v>
      </c>
      <c r="I2" s="168">
        <f>'FS Jimbaran February 2021'!AJ12</f>
        <v>182.40999999999985</v>
      </c>
      <c r="J2" s="169">
        <f>'FS Jimbaran February 2021'!AK12/'FS Jimbaran February 2021'!AJ12</f>
        <v>8600</v>
      </c>
      <c r="K2" s="168">
        <f>'FS Jimbaran February 2021'!V12</f>
        <v>965</v>
      </c>
      <c r="L2" s="177">
        <f>'FS Jimbaran February 2021'!AA12/'FS Jimbaran February 2021'!V12</f>
        <v>1839.5699481865286</v>
      </c>
      <c r="M2" s="168">
        <v>42</v>
      </c>
      <c r="N2" s="168">
        <v>423</v>
      </c>
    </row>
    <row r="3" spans="1:15" x14ac:dyDescent="0.3">
      <c r="A3" s="165" t="s">
        <v>49</v>
      </c>
      <c r="B3" s="166">
        <f>B2+1</f>
        <v>2</v>
      </c>
      <c r="C3" s="167">
        <v>2</v>
      </c>
      <c r="D3" s="166">
        <v>2021</v>
      </c>
      <c r="E3" s="179">
        <f>'FS Jimbaran February 2021'!P13</f>
        <v>13680.000000000018</v>
      </c>
      <c r="F3" s="177">
        <f>'FS Jimbaran February 2021'!O13/'FS Jimbaran February 2021'!P13</f>
        <v>1183.7647960526319</v>
      </c>
      <c r="G3" s="179">
        <f>'FS Jimbaran February 2021'!AG13</f>
        <v>62</v>
      </c>
      <c r="H3" s="177">
        <f>'FS Jimbaran February 2021'!AH13/'FS Jimbaran February 2021'!AG13</f>
        <v>11094.539999999999</v>
      </c>
      <c r="I3" s="179">
        <f>'FS Jimbaran February 2021'!AJ13</f>
        <v>148.09000000000606</v>
      </c>
      <c r="J3" s="169">
        <f>'FS Jimbaran February 2021'!AK13/'FS Jimbaran February 2021'!AJ13</f>
        <v>8600</v>
      </c>
      <c r="K3" s="179">
        <f>'FS Jimbaran February 2021'!V13</f>
        <v>903</v>
      </c>
      <c r="L3" s="177">
        <f>'FS Jimbaran February 2021'!AA13/'FS Jimbaran February 2021'!V13</f>
        <v>7496.9091915836098</v>
      </c>
      <c r="M3" s="179">
        <v>37</v>
      </c>
      <c r="N3" s="179">
        <v>341</v>
      </c>
    </row>
    <row r="4" spans="1:15" x14ac:dyDescent="0.3">
      <c r="A4" s="165" t="s">
        <v>49</v>
      </c>
      <c r="B4" s="166">
        <f t="shared" ref="B4:B29" si="0">B3+1</f>
        <v>3</v>
      </c>
      <c r="C4" s="167">
        <v>2</v>
      </c>
      <c r="D4" s="166">
        <v>2021</v>
      </c>
      <c r="E4" s="179">
        <f>'FS Jimbaran February 2021'!P14</f>
        <v>17780.000000000004</v>
      </c>
      <c r="F4" s="177">
        <f>'FS Jimbaran February 2021'!O14/'FS Jimbaran February 2021'!P14</f>
        <v>1157.9123267716536</v>
      </c>
      <c r="G4" s="179">
        <f>'FS Jimbaran February 2021'!AG14</f>
        <v>50</v>
      </c>
      <c r="H4" s="177">
        <f>'FS Jimbaran February 2021'!AH14/'FS Jimbaran February 2021'!AG14</f>
        <v>11094.54</v>
      </c>
      <c r="I4" s="179">
        <f>'FS Jimbaran February 2021'!AJ14</f>
        <v>125.36999999999989</v>
      </c>
      <c r="J4" s="169">
        <f>'FS Jimbaran February 2021'!AK14/'FS Jimbaran February 2021'!AJ14</f>
        <v>8600</v>
      </c>
      <c r="K4" s="179">
        <f>'FS Jimbaran February 2021'!V14</f>
        <v>952</v>
      </c>
      <c r="L4" s="177">
        <f>'FS Jimbaran February 2021'!AA14/'FS Jimbaran February 2021'!V14</f>
        <v>828.38445378151266</v>
      </c>
      <c r="M4" s="179">
        <v>29</v>
      </c>
      <c r="N4" s="179">
        <v>252</v>
      </c>
    </row>
    <row r="5" spans="1:15" x14ac:dyDescent="0.3">
      <c r="A5" s="165" t="s">
        <v>49</v>
      </c>
      <c r="B5" s="166">
        <f t="shared" si="0"/>
        <v>4</v>
      </c>
      <c r="C5" s="167">
        <v>2</v>
      </c>
      <c r="D5" s="166">
        <v>2021</v>
      </c>
      <c r="E5" s="179">
        <f>'FS Jimbaran February 2021'!P15</f>
        <v>11539.999999999993</v>
      </c>
      <c r="F5" s="177">
        <f>'FS Jimbaran February 2021'!O15/'FS Jimbaran February 2021'!P15</f>
        <v>1196.8913604852683</v>
      </c>
      <c r="G5" s="179">
        <f>'FS Jimbaran February 2021'!AG15</f>
        <v>50</v>
      </c>
      <c r="H5" s="177">
        <f>'FS Jimbaran February 2021'!AH15/'FS Jimbaran February 2021'!AG15</f>
        <v>11094.54</v>
      </c>
      <c r="I5" s="179">
        <f>'FS Jimbaran February 2021'!AJ15</f>
        <v>115.98000000000002</v>
      </c>
      <c r="J5" s="169">
        <f>'FS Jimbaran February 2021'!AK15/'FS Jimbaran February 2021'!AJ15</f>
        <v>8600</v>
      </c>
      <c r="K5" s="179">
        <f>'FS Jimbaran February 2021'!V15</f>
        <v>942</v>
      </c>
      <c r="L5" s="177">
        <f>'FS Jimbaran February 2021'!AA15/'FS Jimbaran February 2021'!V15</f>
        <v>8321.3906581740976</v>
      </c>
      <c r="M5" s="179">
        <v>23</v>
      </c>
      <c r="N5" s="179">
        <v>199</v>
      </c>
    </row>
    <row r="6" spans="1:15" x14ac:dyDescent="0.3">
      <c r="A6" s="165" t="s">
        <v>49</v>
      </c>
      <c r="B6" s="166">
        <f t="shared" si="0"/>
        <v>5</v>
      </c>
      <c r="C6" s="167">
        <v>2</v>
      </c>
      <c r="D6" s="166">
        <v>2021</v>
      </c>
      <c r="E6" s="179">
        <f>'FS Jimbaran February 2021'!P16</f>
        <v>10920.000000000091</v>
      </c>
      <c r="F6" s="177">
        <f>'FS Jimbaran February 2021'!O16/'FS Jimbaran February 2021'!P16</f>
        <v>1202.1023653846144</v>
      </c>
      <c r="G6" s="179">
        <f>'FS Jimbaran February 2021'!AG16</f>
        <v>62</v>
      </c>
      <c r="H6" s="177">
        <f>'FS Jimbaran February 2021'!AH16/'FS Jimbaran February 2021'!AG16</f>
        <v>11094.539999999999</v>
      </c>
      <c r="I6" s="179">
        <f>'FS Jimbaran February 2021'!AJ16</f>
        <v>246.95000000000027</v>
      </c>
      <c r="J6" s="169">
        <f>'FS Jimbaran February 2021'!AK16/'FS Jimbaran February 2021'!AJ16</f>
        <v>8600</v>
      </c>
      <c r="K6" s="179">
        <f>'FS Jimbaran February 2021'!V16</f>
        <v>926</v>
      </c>
      <c r="L6" s="177">
        <f>'FS Jimbaran February 2021'!AA16/'FS Jimbaran February 2021'!V16</f>
        <v>9874.7688984881206</v>
      </c>
      <c r="M6" s="179">
        <v>18</v>
      </c>
      <c r="N6" s="179">
        <v>137</v>
      </c>
    </row>
    <row r="7" spans="1:15" x14ac:dyDescent="0.3">
      <c r="A7" s="165" t="s">
        <v>49</v>
      </c>
      <c r="B7" s="166">
        <f t="shared" si="0"/>
        <v>6</v>
      </c>
      <c r="C7" s="167">
        <v>2</v>
      </c>
      <c r="D7" s="166">
        <v>2021</v>
      </c>
      <c r="E7" s="179">
        <f>'FS Jimbaran February 2021'!P17</f>
        <v>12919.999999999998</v>
      </c>
      <c r="F7" s="177">
        <f>'FS Jimbaran February 2021'!O17/'FS Jimbaran February 2021'!P17</f>
        <v>1180.1638839009283</v>
      </c>
      <c r="G7" s="179">
        <f>'FS Jimbaran February 2021'!AG17</f>
        <v>62</v>
      </c>
      <c r="H7" s="177">
        <f>'FS Jimbaran February 2021'!AH17/'FS Jimbaran February 2021'!AG17</f>
        <v>11094.539999999999</v>
      </c>
      <c r="I7" s="179">
        <f>'FS Jimbaran February 2021'!AJ17</f>
        <v>97.089999999999691</v>
      </c>
      <c r="J7" s="169">
        <f>'FS Jimbaran February 2021'!AK17/'FS Jimbaran February 2021'!AJ17</f>
        <v>8600</v>
      </c>
      <c r="K7" s="179">
        <f>'FS Jimbaran February 2021'!V17</f>
        <v>927</v>
      </c>
      <c r="L7" s="177">
        <f>'FS Jimbaran February 2021'!AA17/'FS Jimbaran February 2021'!V17</f>
        <v>10015.709816612729</v>
      </c>
      <c r="M7" s="179">
        <v>14</v>
      </c>
      <c r="N7" s="179">
        <v>168</v>
      </c>
    </row>
    <row r="8" spans="1:15" x14ac:dyDescent="0.3">
      <c r="A8" s="165" t="s">
        <v>49</v>
      </c>
      <c r="B8" s="166">
        <f t="shared" si="0"/>
        <v>7</v>
      </c>
      <c r="C8" s="167">
        <v>2</v>
      </c>
      <c r="D8" s="166">
        <v>2021</v>
      </c>
      <c r="E8" s="179">
        <f>'FS Jimbaran February 2021'!P18</f>
        <v>13399.999999999953</v>
      </c>
      <c r="F8" s="177">
        <f>'FS Jimbaran February 2021'!O18/'FS Jimbaran February 2021'!P18</f>
        <v>1180.9051455223885</v>
      </c>
      <c r="G8" s="179">
        <f>'FS Jimbaran February 2021'!AG18</f>
        <v>50</v>
      </c>
      <c r="H8" s="177">
        <f>'FS Jimbaran February 2021'!AH18/'FS Jimbaran February 2021'!AG18</f>
        <v>11094.54</v>
      </c>
      <c r="I8" s="179">
        <f>'FS Jimbaran February 2021'!AJ18</f>
        <v>87.400000000000091</v>
      </c>
      <c r="J8" s="169">
        <f>'FS Jimbaran February 2021'!AK18/'FS Jimbaran February 2021'!AJ18</f>
        <v>8600</v>
      </c>
      <c r="K8" s="179">
        <f>'FS Jimbaran February 2021'!V18</f>
        <v>934</v>
      </c>
      <c r="L8" s="177">
        <f>'FS Jimbaran February 2021'!AA18/'FS Jimbaran February 2021'!V18</f>
        <v>5764.5374732334049</v>
      </c>
      <c r="M8" s="179">
        <v>14</v>
      </c>
      <c r="N8" s="179">
        <v>131</v>
      </c>
    </row>
    <row r="9" spans="1:15" x14ac:dyDescent="0.3">
      <c r="A9" s="165" t="s">
        <v>49</v>
      </c>
      <c r="B9" s="166">
        <f t="shared" si="0"/>
        <v>8</v>
      </c>
      <c r="C9" s="167">
        <v>2</v>
      </c>
      <c r="D9" s="166">
        <v>2021</v>
      </c>
      <c r="E9" s="179">
        <f>'FS Jimbaran February 2021'!P19</f>
        <v>13200.000000000042</v>
      </c>
      <c r="F9" s="177">
        <f>'FS Jimbaran February 2021'!O19/'FS Jimbaran February 2021'!P19</f>
        <v>1182.3193295454546</v>
      </c>
      <c r="G9" s="179">
        <f>'FS Jimbaran February 2021'!AG19</f>
        <v>62</v>
      </c>
      <c r="H9" s="177">
        <f>'FS Jimbaran February 2021'!AH19/'FS Jimbaran February 2021'!AG19</f>
        <v>11094.539999999999</v>
      </c>
      <c r="I9" s="179">
        <f>'FS Jimbaran February 2021'!AJ19</f>
        <v>240.70999999999412</v>
      </c>
      <c r="J9" s="169">
        <f>'FS Jimbaran February 2021'!AK19/'FS Jimbaran February 2021'!AJ19</f>
        <v>8600</v>
      </c>
      <c r="K9" s="179">
        <f>'FS Jimbaran February 2021'!V19</f>
        <v>974</v>
      </c>
      <c r="L9" s="177">
        <f>'FS Jimbaran February 2021'!AA19/'FS Jimbaran February 2021'!V19</f>
        <v>712.65297741273105</v>
      </c>
      <c r="M9" s="179">
        <v>13</v>
      </c>
      <c r="N9" s="179">
        <v>125</v>
      </c>
      <c r="O9" s="170" t="s">
        <v>46</v>
      </c>
    </row>
    <row r="10" spans="1:15" x14ac:dyDescent="0.3">
      <c r="A10" s="165" t="s">
        <v>49</v>
      </c>
      <c r="B10" s="166">
        <f t="shared" si="0"/>
        <v>9</v>
      </c>
      <c r="C10" s="167">
        <v>2</v>
      </c>
      <c r="D10" s="166">
        <v>2021</v>
      </c>
      <c r="E10" s="179">
        <f>'FS Jimbaran February 2021'!P20</f>
        <v>13640.000000000096</v>
      </c>
      <c r="F10" s="177">
        <f>'FS Jimbaran February 2021'!O20/'FS Jimbaran February 2021'!P20</f>
        <v>1182.4522192082102</v>
      </c>
      <c r="G10" s="179">
        <f>'FS Jimbaran February 2021'!AG20</f>
        <v>112</v>
      </c>
      <c r="H10" s="177">
        <f>'FS Jimbaran February 2021'!AH20/'FS Jimbaran February 2021'!AG20</f>
        <v>11094.539999999999</v>
      </c>
      <c r="I10" s="179">
        <f>'FS Jimbaran February 2021'!AJ20</f>
        <v>103.75</v>
      </c>
      <c r="J10" s="169">
        <f>'FS Jimbaran February 2021'!AK20/'FS Jimbaran February 2021'!AJ20</f>
        <v>8600</v>
      </c>
      <c r="K10" s="179">
        <f>'FS Jimbaran February 2021'!V20</f>
        <v>949</v>
      </c>
      <c r="L10" s="177">
        <f>'FS Jimbaran February 2021'!AA20/'FS Jimbaran February 2021'!V20</f>
        <v>9351.9041095890407</v>
      </c>
      <c r="M10" s="179">
        <v>11</v>
      </c>
      <c r="N10" s="179">
        <v>146</v>
      </c>
    </row>
    <row r="11" spans="1:15" x14ac:dyDescent="0.3">
      <c r="A11" s="165" t="s">
        <v>49</v>
      </c>
      <c r="B11" s="166">
        <f t="shared" si="0"/>
        <v>10</v>
      </c>
      <c r="C11" s="167">
        <v>2</v>
      </c>
      <c r="D11" s="166">
        <v>2021</v>
      </c>
      <c r="E11" s="179">
        <f>'FS Jimbaran February 2021'!P21</f>
        <v>13219.999999999956</v>
      </c>
      <c r="F11" s="177">
        <f>'FS Jimbaran February 2021'!O21/'FS Jimbaran February 2021'!P21</f>
        <v>1179.7079773071112</v>
      </c>
      <c r="G11" s="179">
        <f>'FS Jimbaran February 2021'!AG21</f>
        <v>62</v>
      </c>
      <c r="H11" s="177">
        <f>'FS Jimbaran February 2021'!AH21/'FS Jimbaran February 2021'!AG21</f>
        <v>11094.539999999999</v>
      </c>
      <c r="I11" s="179">
        <f>'FS Jimbaran February 2021'!AJ21</f>
        <v>198.97000000000025</v>
      </c>
      <c r="J11" s="169">
        <f>'FS Jimbaran February 2021'!AK21/'FS Jimbaran February 2021'!AJ21</f>
        <v>8600</v>
      </c>
      <c r="K11" s="179">
        <f>'FS Jimbaran February 2021'!V21</f>
        <v>946</v>
      </c>
      <c r="L11" s="177">
        <f>'FS Jimbaran February 2021'!AA21/'FS Jimbaran February 2021'!V21</f>
        <v>9879.6849894291754</v>
      </c>
      <c r="M11" s="179">
        <v>10</v>
      </c>
      <c r="N11" s="179">
        <v>116</v>
      </c>
    </row>
    <row r="12" spans="1:15" x14ac:dyDescent="0.3">
      <c r="A12" s="165" t="s">
        <v>49</v>
      </c>
      <c r="B12" s="166">
        <f t="shared" si="0"/>
        <v>11</v>
      </c>
      <c r="C12" s="167">
        <v>2</v>
      </c>
      <c r="D12" s="166">
        <v>2021</v>
      </c>
      <c r="E12" s="179">
        <f>'FS Jimbaran February 2021'!P22</f>
        <v>13179.999999999993</v>
      </c>
      <c r="F12" s="177">
        <f>'FS Jimbaran February 2021'!O22/'FS Jimbaran February 2021'!P22</f>
        <v>1183.2882746585735</v>
      </c>
      <c r="G12" s="179">
        <f>'FS Jimbaran February 2021'!AG22</f>
        <v>62</v>
      </c>
      <c r="H12" s="177">
        <f>'FS Jimbaran February 2021'!AH22/'FS Jimbaran February 2021'!AG22</f>
        <v>11094.539999999999</v>
      </c>
      <c r="I12" s="179">
        <f>'FS Jimbaran February 2021'!AJ22</f>
        <v>123.97999999999956</v>
      </c>
      <c r="J12" s="169">
        <f>'FS Jimbaran February 2021'!AK22/'FS Jimbaran February 2021'!AJ22</f>
        <v>8600</v>
      </c>
      <c r="K12" s="179">
        <f>'FS Jimbaran February 2021'!V22</f>
        <v>963</v>
      </c>
      <c r="L12" s="177">
        <f>'FS Jimbaran February 2021'!AA22/'FS Jimbaran February 2021'!V22</f>
        <v>9604.6614745586703</v>
      </c>
      <c r="M12" s="179">
        <v>11</v>
      </c>
      <c r="N12" s="179">
        <v>79</v>
      </c>
    </row>
    <row r="13" spans="1:15" x14ac:dyDescent="0.3">
      <c r="A13" s="165" t="s">
        <v>49</v>
      </c>
      <c r="B13" s="166">
        <f t="shared" si="0"/>
        <v>12</v>
      </c>
      <c r="C13" s="167">
        <v>2</v>
      </c>
      <c r="D13" s="166">
        <v>2021</v>
      </c>
      <c r="E13" s="179">
        <f>'FS Jimbaran February 2021'!P23</f>
        <v>13159.999999999884</v>
      </c>
      <c r="F13" s="177">
        <f>'FS Jimbaran February 2021'!O23/'FS Jimbaran February 2021'!P23</f>
        <v>1173.5167021276604</v>
      </c>
      <c r="G13" s="179">
        <f>'FS Jimbaran February 2021'!AG23</f>
        <v>112</v>
      </c>
      <c r="H13" s="177">
        <f>'FS Jimbaran February 2021'!AH23/'FS Jimbaran February 2021'!AG23</f>
        <v>11094.539999999999</v>
      </c>
      <c r="I13" s="179">
        <f>'FS Jimbaran February 2021'!AJ23</f>
        <v>292.69000000000051</v>
      </c>
      <c r="J13" s="169">
        <f>'FS Jimbaran February 2021'!AK23/'FS Jimbaran February 2021'!AJ23</f>
        <v>8600</v>
      </c>
      <c r="K13" s="179">
        <f>'FS Jimbaran February 2021'!V23</f>
        <v>968</v>
      </c>
      <c r="L13" s="177">
        <f>'FS Jimbaran February 2021'!AA23/'FS Jimbaran February 2021'!V23</f>
        <v>9702.2024793388427</v>
      </c>
      <c r="M13" s="179">
        <v>10</v>
      </c>
      <c r="N13" s="179">
        <v>85</v>
      </c>
    </row>
    <row r="14" spans="1:15" x14ac:dyDescent="0.3">
      <c r="A14" s="165" t="s">
        <v>49</v>
      </c>
      <c r="B14" s="166">
        <f t="shared" si="0"/>
        <v>13</v>
      </c>
      <c r="C14" s="167">
        <v>2</v>
      </c>
      <c r="D14" s="166">
        <v>2021</v>
      </c>
      <c r="E14" s="179">
        <f>'FS Jimbaran February 2021'!P24</f>
        <v>14520.000000000098</v>
      </c>
      <c r="F14" s="177">
        <f>'FS Jimbaran February 2021'!O24/'FS Jimbaran February 2021'!P24</f>
        <v>1190.1839814049586</v>
      </c>
      <c r="G14" s="179">
        <f>'FS Jimbaran February 2021'!AG24</f>
        <v>112</v>
      </c>
      <c r="H14" s="177">
        <f>'FS Jimbaran February 2021'!AH24/'FS Jimbaran February 2021'!AG24</f>
        <v>11094.539999999999</v>
      </c>
      <c r="I14" s="179">
        <f>'FS Jimbaran February 2021'!AJ24</f>
        <v>0</v>
      </c>
      <c r="J14" s="169" t="e">
        <f>'FS Jimbaran February 2021'!AK24/'FS Jimbaran February 2021'!AJ24</f>
        <v>#DIV/0!</v>
      </c>
      <c r="K14" s="179">
        <f>'FS Jimbaran February 2021'!V24</f>
        <v>987</v>
      </c>
      <c r="L14" s="177">
        <f>'FS Jimbaran February 2021'!AA24/'FS Jimbaran February 2021'!V24</f>
        <v>9276.3414387031407</v>
      </c>
      <c r="M14" s="179">
        <v>10</v>
      </c>
      <c r="N14" s="179">
        <v>81</v>
      </c>
    </row>
    <row r="15" spans="1:15" x14ac:dyDescent="0.3">
      <c r="A15" s="165" t="s">
        <v>49</v>
      </c>
      <c r="B15" s="166">
        <f t="shared" si="0"/>
        <v>14</v>
      </c>
      <c r="C15" s="167">
        <v>2</v>
      </c>
      <c r="D15" s="166">
        <v>2021</v>
      </c>
      <c r="E15" s="179">
        <f>'FS Jimbaran February 2021'!P25</f>
        <v>13800.000000000029</v>
      </c>
      <c r="F15" s="177">
        <f>'FS Jimbaran February 2021'!O25/'FS Jimbaran February 2021'!P25</f>
        <v>1187.6568717391301</v>
      </c>
      <c r="G15" s="179">
        <f>'FS Jimbaran February 2021'!AG25</f>
        <v>112</v>
      </c>
      <c r="H15" s="177">
        <f>'FS Jimbaran February 2021'!AH25/'FS Jimbaran February 2021'!AG25</f>
        <v>11094.539999999999</v>
      </c>
      <c r="I15" s="179">
        <f>'FS Jimbaran February 2021'!AJ25</f>
        <v>116.46999999999935</v>
      </c>
      <c r="J15" s="169">
        <f>'FS Jimbaran February 2021'!AK25/'FS Jimbaran February 2021'!AJ25</f>
        <v>8600</v>
      </c>
      <c r="K15" s="179">
        <f>'FS Jimbaran February 2021'!V25</f>
        <v>981</v>
      </c>
      <c r="L15" s="177">
        <f>'FS Jimbaran February 2021'!AA25/'FS Jimbaran February 2021'!V25</f>
        <v>9383.6829765545353</v>
      </c>
      <c r="M15" s="179">
        <v>9</v>
      </c>
      <c r="N15" s="179">
        <v>82</v>
      </c>
    </row>
    <row r="16" spans="1:15" x14ac:dyDescent="0.3">
      <c r="A16" s="165" t="s">
        <v>49</v>
      </c>
      <c r="B16" s="166">
        <f t="shared" si="0"/>
        <v>15</v>
      </c>
      <c r="C16" s="167">
        <v>2</v>
      </c>
      <c r="D16" s="166">
        <v>2021</v>
      </c>
      <c r="E16" s="179">
        <f>'FS Jimbaran February 2021'!P26</f>
        <v>13259.999999999873</v>
      </c>
      <c r="F16" s="177">
        <f>'FS Jimbaran February 2021'!O26/'FS Jimbaran February 2021'!P26</f>
        <v>1181.8905950226256</v>
      </c>
      <c r="G16" s="179">
        <f>'FS Jimbaran February 2021'!AG26</f>
        <v>62</v>
      </c>
      <c r="H16" s="177">
        <f>'FS Jimbaran February 2021'!AH26/'FS Jimbaran February 2021'!AG26</f>
        <v>11094.539999999999</v>
      </c>
      <c r="I16" s="179">
        <f>'FS Jimbaran February 2021'!AJ26</f>
        <v>201.71000000000004</v>
      </c>
      <c r="J16" s="169">
        <f>'FS Jimbaran February 2021'!AK26/'FS Jimbaran February 2021'!AJ26</f>
        <v>8600</v>
      </c>
      <c r="K16" s="179">
        <f>'FS Jimbaran February 2021'!V26</f>
        <v>966</v>
      </c>
      <c r="L16" s="177">
        <f>'FS Jimbaran February 2021'!AA26/'FS Jimbaran February 2021'!V26</f>
        <v>7981.5714285714284</v>
      </c>
      <c r="M16" s="179">
        <v>9</v>
      </c>
      <c r="N16" s="179">
        <v>52</v>
      </c>
    </row>
    <row r="17" spans="1:14" x14ac:dyDescent="0.3">
      <c r="A17" s="165" t="s">
        <v>49</v>
      </c>
      <c r="B17" s="166">
        <f t="shared" si="0"/>
        <v>16</v>
      </c>
      <c r="C17" s="167">
        <v>2</v>
      </c>
      <c r="D17" s="166">
        <v>2021</v>
      </c>
      <c r="E17" s="179">
        <f>'FS Jimbaran February 2021'!P27</f>
        <v>13879.999999999975</v>
      </c>
      <c r="F17" s="177">
        <f>'FS Jimbaran February 2021'!O27/'FS Jimbaran February 2021'!P27</f>
        <v>1185.5128940922184</v>
      </c>
      <c r="G17" s="179">
        <f>'FS Jimbaran February 2021'!AG27</f>
        <v>62</v>
      </c>
      <c r="H17" s="177">
        <f>'FS Jimbaran February 2021'!AH27/'FS Jimbaran February 2021'!AG27</f>
        <v>11094.539999999999</v>
      </c>
      <c r="I17" s="179">
        <f>'FS Jimbaran February 2021'!AJ27</f>
        <v>92.630000000000109</v>
      </c>
      <c r="J17" s="169">
        <f>'FS Jimbaran February 2021'!AK27/'FS Jimbaran February 2021'!AJ27</f>
        <v>8600</v>
      </c>
      <c r="K17" s="179">
        <f>'FS Jimbaran February 2021'!V27</f>
        <v>1016</v>
      </c>
      <c r="L17" s="177">
        <f>'FS Jimbaran February 2021'!AA27/'FS Jimbaran February 2021'!V27</f>
        <v>8732.320866141732</v>
      </c>
      <c r="M17" s="179">
        <v>8</v>
      </c>
      <c r="N17" s="179">
        <v>68</v>
      </c>
    </row>
    <row r="18" spans="1:14" x14ac:dyDescent="0.3">
      <c r="A18" s="165" t="s">
        <v>49</v>
      </c>
      <c r="B18" s="166">
        <f t="shared" si="0"/>
        <v>17</v>
      </c>
      <c r="C18" s="167">
        <v>2</v>
      </c>
      <c r="D18" s="166">
        <v>2021</v>
      </c>
      <c r="E18" s="179">
        <f>'FS Jimbaran February 2021'!P28</f>
        <v>14440.00000000004</v>
      </c>
      <c r="F18" s="177">
        <f>'FS Jimbaran February 2021'!O28/'FS Jimbaran February 2021'!P28</f>
        <v>1180.2081876731309</v>
      </c>
      <c r="G18" s="179">
        <f>'FS Jimbaran February 2021'!AG28</f>
        <v>62</v>
      </c>
      <c r="H18" s="177">
        <f>'FS Jimbaran February 2021'!AH28/'FS Jimbaran February 2021'!AG28</f>
        <v>11094.539999999999</v>
      </c>
      <c r="I18" s="179">
        <f>'FS Jimbaran February 2021'!AJ28</f>
        <v>266.69000000000051</v>
      </c>
      <c r="J18" s="169">
        <f>'FS Jimbaran February 2021'!AK28/'FS Jimbaran February 2021'!AJ28</f>
        <v>8600</v>
      </c>
      <c r="K18" s="179">
        <f>'FS Jimbaran February 2021'!V28</f>
        <v>1046</v>
      </c>
      <c r="L18" s="177">
        <f>'FS Jimbaran February 2021'!AA28/'FS Jimbaran February 2021'!V28</f>
        <v>7139.9827915869982</v>
      </c>
      <c r="M18" s="179">
        <v>5</v>
      </c>
      <c r="N18" s="179">
        <v>83</v>
      </c>
    </row>
    <row r="19" spans="1:14" x14ac:dyDescent="0.3">
      <c r="A19" s="165" t="s">
        <v>49</v>
      </c>
      <c r="B19" s="166">
        <f t="shared" si="0"/>
        <v>18</v>
      </c>
      <c r="C19" s="167">
        <v>2</v>
      </c>
      <c r="D19" s="166">
        <v>2021</v>
      </c>
      <c r="E19" s="179">
        <f>'FS Jimbaran February 2021'!P29</f>
        <v>13300.000000000015</v>
      </c>
      <c r="F19" s="177">
        <f>'FS Jimbaran February 2021'!O29/'FS Jimbaran February 2021'!P29</f>
        <v>1184.8778052631574</v>
      </c>
      <c r="G19" s="179">
        <f>'FS Jimbaran February 2021'!AG29</f>
        <v>62</v>
      </c>
      <c r="H19" s="177">
        <f>'FS Jimbaran February 2021'!AH29/'FS Jimbaran February 2021'!AG29</f>
        <v>11094.539999999999</v>
      </c>
      <c r="I19" s="179">
        <f>'FS Jimbaran February 2021'!AJ29</f>
        <v>198.6899999999996</v>
      </c>
      <c r="J19" s="169">
        <f>'FS Jimbaran February 2021'!AK29/'FS Jimbaran February 2021'!AJ29</f>
        <v>8600</v>
      </c>
      <c r="K19" s="179">
        <f>'FS Jimbaran February 2021'!V29</f>
        <v>984</v>
      </c>
      <c r="L19" s="177">
        <f>'FS Jimbaran February 2021'!AA29/'FS Jimbaran February 2021'!V29</f>
        <v>9481.0691056910564</v>
      </c>
      <c r="M19" s="179">
        <v>5</v>
      </c>
      <c r="N19" s="179">
        <v>63</v>
      </c>
    </row>
    <row r="20" spans="1:14" x14ac:dyDescent="0.3">
      <c r="A20" s="165" t="s">
        <v>49</v>
      </c>
      <c r="B20" s="166">
        <f t="shared" si="0"/>
        <v>19</v>
      </c>
      <c r="C20" s="167">
        <v>2</v>
      </c>
      <c r="D20" s="166">
        <v>2021</v>
      </c>
      <c r="E20" s="179">
        <f>'FS Jimbaran February 2021'!P30</f>
        <v>13599.999999999942</v>
      </c>
      <c r="F20" s="177">
        <f>'FS Jimbaran February 2021'!O30/'FS Jimbaran February 2021'!P30</f>
        <v>1176.3338227941188</v>
      </c>
      <c r="G20" s="179">
        <f>'FS Jimbaran February 2021'!AG30</f>
        <v>50</v>
      </c>
      <c r="H20" s="177">
        <f>'FS Jimbaran February 2021'!AH30/'FS Jimbaran February 2021'!AG30</f>
        <v>11094.54</v>
      </c>
      <c r="I20" s="179">
        <f>'FS Jimbaran February 2021'!AJ30</f>
        <v>127.28999999999996</v>
      </c>
      <c r="J20" s="169">
        <f>'FS Jimbaran February 2021'!AK30/'FS Jimbaran February 2021'!AJ30</f>
        <v>8600</v>
      </c>
      <c r="K20" s="179">
        <f>'FS Jimbaran February 2021'!V30</f>
        <v>981</v>
      </c>
      <c r="L20" s="177">
        <f>'FS Jimbaran February 2021'!AA30/'FS Jimbaran February 2021'!V30</f>
        <v>6064.5025484199796</v>
      </c>
      <c r="M20" s="179">
        <v>4</v>
      </c>
      <c r="N20" s="179">
        <v>26</v>
      </c>
    </row>
    <row r="21" spans="1:14" x14ac:dyDescent="0.3">
      <c r="A21" s="165" t="s">
        <v>49</v>
      </c>
      <c r="B21" s="166">
        <f t="shared" si="0"/>
        <v>20</v>
      </c>
      <c r="C21" s="167">
        <v>2</v>
      </c>
      <c r="D21" s="166">
        <v>2021</v>
      </c>
      <c r="E21" s="179">
        <f>'FS Jimbaran February 2021'!P31</f>
        <v>13340.000000000198</v>
      </c>
      <c r="F21" s="177">
        <f>'FS Jimbaran February 2021'!O31/'FS Jimbaran February 2021'!P31</f>
        <v>1181.3249482758602</v>
      </c>
      <c r="G21" s="179">
        <f>'FS Jimbaran February 2021'!AG31</f>
        <v>50</v>
      </c>
      <c r="H21" s="177">
        <f>'FS Jimbaran February 2021'!AH31/'FS Jimbaran February 2021'!AG31</f>
        <v>11094.54</v>
      </c>
      <c r="I21" s="179">
        <f>'FS Jimbaran February 2021'!AJ31</f>
        <v>145.43000000000029</v>
      </c>
      <c r="J21" s="169">
        <f>'FS Jimbaran February 2021'!AK31/'FS Jimbaran February 2021'!AJ31</f>
        <v>8600</v>
      </c>
      <c r="K21" s="179">
        <f>'FS Jimbaran February 2021'!V31</f>
        <v>1011</v>
      </c>
      <c r="L21" s="177">
        <f>'FS Jimbaran February 2021'!AA31/'FS Jimbaran February 2021'!V31</f>
        <v>7128.1632047477742</v>
      </c>
      <c r="M21" s="179">
        <v>0</v>
      </c>
      <c r="N21" s="179">
        <v>24</v>
      </c>
    </row>
    <row r="22" spans="1:14" x14ac:dyDescent="0.3">
      <c r="A22" s="165" t="s">
        <v>49</v>
      </c>
      <c r="B22" s="166">
        <f t="shared" si="0"/>
        <v>21</v>
      </c>
      <c r="C22" s="167">
        <v>2</v>
      </c>
      <c r="D22" s="166">
        <v>2021</v>
      </c>
      <c r="E22" s="179">
        <f>'FS Jimbaran February 2021'!P32</f>
        <v>12719.999999999924</v>
      </c>
      <c r="F22" s="177">
        <f>'FS Jimbaran February 2021'!O32/'FS Jimbaran February 2021'!P32</f>
        <v>1185.8948136792476</v>
      </c>
      <c r="G22" s="179">
        <f>'FS Jimbaran February 2021'!AG32</f>
        <v>62</v>
      </c>
      <c r="H22" s="177">
        <f>'FS Jimbaran February 2021'!AH32/'FS Jimbaran February 2021'!AG32</f>
        <v>11094.539999999999</v>
      </c>
      <c r="I22" s="179">
        <f>'FS Jimbaran February 2021'!AJ32</f>
        <v>92.739999999999782</v>
      </c>
      <c r="J22" s="169">
        <f>'FS Jimbaran February 2021'!AK32/'FS Jimbaran February 2021'!AJ32</f>
        <v>8600</v>
      </c>
      <c r="K22" s="179">
        <f>'FS Jimbaran February 2021'!V32</f>
        <v>1000</v>
      </c>
      <c r="L22" s="177">
        <f>'FS Jimbaran February 2021'!AA32/'FS Jimbaran February 2021'!V32</f>
        <v>6956.22</v>
      </c>
      <c r="M22" s="179">
        <v>2</v>
      </c>
      <c r="N22" s="179">
        <v>28</v>
      </c>
    </row>
    <row r="23" spans="1:14" x14ac:dyDescent="0.3">
      <c r="A23" s="165" t="s">
        <v>49</v>
      </c>
      <c r="B23" s="166">
        <f t="shared" si="0"/>
        <v>22</v>
      </c>
      <c r="C23" s="167">
        <v>2</v>
      </c>
      <c r="D23" s="166">
        <v>2021</v>
      </c>
      <c r="E23" s="179">
        <f>'FS Jimbaran February 2021'!P33</f>
        <v>0</v>
      </c>
      <c r="F23" s="177" t="e">
        <f>'FS Jimbaran February 2021'!O33/'FS Jimbaran February 2021'!P33</f>
        <v>#DIV/0!</v>
      </c>
      <c r="G23" s="179">
        <f>'FS Jimbaran February 2021'!AG33</f>
        <v>0</v>
      </c>
      <c r="H23" s="177" t="e">
        <f>'FS Jimbaran February 2021'!AH33/'FS Jimbaran February 2021'!AG33</f>
        <v>#DIV/0!</v>
      </c>
      <c r="I23" s="179">
        <f>'FS Jimbaran February 2021'!AJ33</f>
        <v>0</v>
      </c>
      <c r="J23" s="169" t="e">
        <f>'FS Jimbaran February 2021'!AK33/'FS Jimbaran February 2021'!AJ33</f>
        <v>#DIV/0!</v>
      </c>
      <c r="K23" s="179">
        <f>'FS Jimbaran February 2021'!V33</f>
        <v>0</v>
      </c>
      <c r="L23" s="177" t="e">
        <f>'FS Jimbaran February 2021'!AA33/'FS Jimbaran February 2021'!V33</f>
        <v>#DIV/0!</v>
      </c>
      <c r="M23" s="179"/>
      <c r="N23" s="179"/>
    </row>
    <row r="24" spans="1:14" x14ac:dyDescent="0.3">
      <c r="A24" s="165" t="s">
        <v>49</v>
      </c>
      <c r="B24" s="166">
        <f t="shared" si="0"/>
        <v>23</v>
      </c>
      <c r="C24" s="167">
        <v>2</v>
      </c>
      <c r="D24" s="166">
        <v>2021</v>
      </c>
      <c r="E24" s="179">
        <f>'FS Jimbaran February 2021'!P34</f>
        <v>0</v>
      </c>
      <c r="F24" s="177" t="e">
        <f>'FS Jimbaran February 2021'!O34/'FS Jimbaran February 2021'!P34</f>
        <v>#DIV/0!</v>
      </c>
      <c r="G24" s="179">
        <f>'FS Jimbaran February 2021'!AG34</f>
        <v>0</v>
      </c>
      <c r="H24" s="177" t="e">
        <f>'FS Jimbaran February 2021'!AH34/'FS Jimbaran February 2021'!AG34</f>
        <v>#DIV/0!</v>
      </c>
      <c r="I24" s="179">
        <f>'FS Jimbaran February 2021'!AJ34</f>
        <v>0</v>
      </c>
      <c r="J24" s="169" t="e">
        <f>'FS Jimbaran February 2021'!AK34/'FS Jimbaran February 2021'!AJ34</f>
        <v>#DIV/0!</v>
      </c>
      <c r="K24" s="179">
        <f>'FS Jimbaran February 2021'!V34</f>
        <v>0</v>
      </c>
      <c r="L24" s="177" t="e">
        <f>'FS Jimbaran February 2021'!AA34/'FS Jimbaran February 2021'!V34</f>
        <v>#DIV/0!</v>
      </c>
      <c r="M24" s="179"/>
      <c r="N24" s="179"/>
    </row>
    <row r="25" spans="1:14" x14ac:dyDescent="0.3">
      <c r="A25" s="165" t="s">
        <v>49</v>
      </c>
      <c r="B25" s="166">
        <f t="shared" si="0"/>
        <v>24</v>
      </c>
      <c r="C25" s="167">
        <v>2</v>
      </c>
      <c r="D25" s="166">
        <v>2021</v>
      </c>
      <c r="E25" s="179">
        <f>'FS Jimbaran February 2021'!P35</f>
        <v>0</v>
      </c>
      <c r="F25" s="177" t="e">
        <f>'FS Jimbaran February 2021'!O35/'FS Jimbaran February 2021'!P35</f>
        <v>#DIV/0!</v>
      </c>
      <c r="G25" s="179">
        <f>'FS Jimbaran February 2021'!AG35</f>
        <v>0</v>
      </c>
      <c r="H25" s="177" t="e">
        <f>'FS Jimbaran February 2021'!AH35/'FS Jimbaran February 2021'!AG35</f>
        <v>#DIV/0!</v>
      </c>
      <c r="I25" s="179">
        <f>'FS Jimbaran February 2021'!AJ35</f>
        <v>0</v>
      </c>
      <c r="J25" s="169" t="e">
        <f>'FS Jimbaran February 2021'!AK35/'FS Jimbaran February 2021'!AJ35</f>
        <v>#DIV/0!</v>
      </c>
      <c r="K25" s="179">
        <f>'FS Jimbaran February 2021'!V35</f>
        <v>0</v>
      </c>
      <c r="L25" s="177" t="e">
        <f>'FS Jimbaran February 2021'!AA35/'FS Jimbaran February 2021'!V35</f>
        <v>#DIV/0!</v>
      </c>
      <c r="M25" s="179"/>
      <c r="N25" s="179"/>
    </row>
    <row r="26" spans="1:14" x14ac:dyDescent="0.3">
      <c r="A26" s="165" t="s">
        <v>49</v>
      </c>
      <c r="B26" s="166">
        <f>B25+1</f>
        <v>25</v>
      </c>
      <c r="C26" s="167">
        <v>2</v>
      </c>
      <c r="D26" s="166">
        <v>2021</v>
      </c>
      <c r="E26" s="179">
        <f>'FS Jimbaran February 2021'!P36</f>
        <v>0</v>
      </c>
      <c r="F26" s="177" t="e">
        <f>'FS Jimbaran February 2021'!O36/'FS Jimbaran February 2021'!P36</f>
        <v>#DIV/0!</v>
      </c>
      <c r="G26" s="179">
        <f>'FS Jimbaran February 2021'!AG36</f>
        <v>0</v>
      </c>
      <c r="H26" s="177" t="e">
        <f>'FS Jimbaran February 2021'!AH36/'FS Jimbaran February 2021'!AG36</f>
        <v>#DIV/0!</v>
      </c>
      <c r="I26" s="179">
        <f>'FS Jimbaran February 2021'!AJ36</f>
        <v>0</v>
      </c>
      <c r="J26" s="169" t="e">
        <f>'FS Jimbaran February 2021'!AK36/'FS Jimbaran February 2021'!AJ36</f>
        <v>#DIV/0!</v>
      </c>
      <c r="K26" s="179">
        <f>'FS Jimbaran February 2021'!V36</f>
        <v>0</v>
      </c>
      <c r="L26" s="177" t="e">
        <f>'FS Jimbaran February 2021'!AA36/'FS Jimbaran February 2021'!V36</f>
        <v>#DIV/0!</v>
      </c>
      <c r="M26" s="179"/>
      <c r="N26" s="179"/>
    </row>
    <row r="27" spans="1:14" x14ac:dyDescent="0.3">
      <c r="A27" s="165" t="s">
        <v>49</v>
      </c>
      <c r="B27" s="166">
        <f t="shared" si="0"/>
        <v>26</v>
      </c>
      <c r="C27" s="167">
        <v>2</v>
      </c>
      <c r="D27" s="166">
        <v>2021</v>
      </c>
      <c r="E27" s="179">
        <f>'FS Jimbaran February 2021'!P37</f>
        <v>0</v>
      </c>
      <c r="F27" s="177" t="e">
        <f>'FS Jimbaran February 2021'!O37/'FS Jimbaran February 2021'!P37</f>
        <v>#DIV/0!</v>
      </c>
      <c r="G27" s="179">
        <f>'FS Jimbaran February 2021'!AG37</f>
        <v>0</v>
      </c>
      <c r="H27" s="177" t="e">
        <f>'FS Jimbaran February 2021'!AH37/'FS Jimbaran February 2021'!AG37</f>
        <v>#DIV/0!</v>
      </c>
      <c r="I27" s="179">
        <f>'FS Jimbaran February 2021'!AJ37</f>
        <v>0</v>
      </c>
      <c r="J27" s="169" t="e">
        <f>'FS Jimbaran February 2021'!AK37/'FS Jimbaran February 2021'!AJ37</f>
        <v>#DIV/0!</v>
      </c>
      <c r="K27" s="179">
        <f>'FS Jimbaran February 2021'!V37</f>
        <v>0</v>
      </c>
      <c r="L27" s="177" t="e">
        <f>'FS Jimbaran February 2021'!AA37/'FS Jimbaran February 2021'!V37</f>
        <v>#DIV/0!</v>
      </c>
      <c r="M27" s="179"/>
      <c r="N27" s="179"/>
    </row>
    <row r="28" spans="1:14" x14ac:dyDescent="0.3">
      <c r="A28" s="165" t="s">
        <v>49</v>
      </c>
      <c r="B28" s="166">
        <f t="shared" si="0"/>
        <v>27</v>
      </c>
      <c r="C28" s="167">
        <v>2</v>
      </c>
      <c r="D28" s="166">
        <v>2021</v>
      </c>
      <c r="E28" s="179">
        <f>'FS Jimbaran February 2021'!P38</f>
        <v>0</v>
      </c>
      <c r="F28" s="177" t="e">
        <f>'FS Jimbaran February 2021'!O38/'FS Jimbaran February 2021'!P38</f>
        <v>#DIV/0!</v>
      </c>
      <c r="G28" s="179">
        <f>'FS Jimbaran February 2021'!AG38</f>
        <v>0</v>
      </c>
      <c r="H28" s="177" t="e">
        <f>'FS Jimbaran February 2021'!AH38/'FS Jimbaran February 2021'!AG38</f>
        <v>#DIV/0!</v>
      </c>
      <c r="I28" s="179">
        <f>'FS Jimbaran February 2021'!AJ38</f>
        <v>0</v>
      </c>
      <c r="J28" s="169" t="e">
        <f>'FS Jimbaran February 2021'!AK38/'FS Jimbaran February 2021'!AJ38</f>
        <v>#DIV/0!</v>
      </c>
      <c r="K28" s="179">
        <f>'FS Jimbaran February 2021'!V38</f>
        <v>0</v>
      </c>
      <c r="L28" s="177" t="e">
        <f>'FS Jimbaran February 2021'!AA38/'FS Jimbaran February 2021'!V38</f>
        <v>#DIV/0!</v>
      </c>
      <c r="M28" s="179"/>
      <c r="N28" s="179"/>
    </row>
    <row r="29" spans="1:14" x14ac:dyDescent="0.3">
      <c r="A29" s="165" t="s">
        <v>49</v>
      </c>
      <c r="B29" s="166">
        <f t="shared" si="0"/>
        <v>28</v>
      </c>
      <c r="C29" s="167">
        <v>2</v>
      </c>
      <c r="D29" s="166">
        <v>2021</v>
      </c>
      <c r="E29" s="179">
        <f>'FS Jimbaran February 2021'!P39</f>
        <v>0</v>
      </c>
      <c r="F29" s="177" t="e">
        <f>'FS Jimbaran February 2021'!O39/'FS Jimbaran February 2021'!P39</f>
        <v>#DIV/0!</v>
      </c>
      <c r="G29" s="179">
        <f>'FS Jimbaran February 2021'!AG39</f>
        <v>0</v>
      </c>
      <c r="H29" s="177" t="e">
        <f>'FS Jimbaran February 2021'!AH39/'FS Jimbaran February 2021'!AG39</f>
        <v>#DIV/0!</v>
      </c>
      <c r="I29" s="179">
        <f>'FS Jimbaran February 2021'!AJ39</f>
        <v>0</v>
      </c>
      <c r="J29" s="169" t="e">
        <f>'FS Jimbaran February 2021'!AK39/'FS Jimbaran February 2021'!AJ39</f>
        <v>#DIV/0!</v>
      </c>
      <c r="K29" s="179">
        <f>'FS Jimbaran February 2021'!V39</f>
        <v>0</v>
      </c>
      <c r="L29" s="177" t="e">
        <f>'FS Jimbaran February 2021'!AA39/'FS Jimbaran February 2021'!V39</f>
        <v>#DIV/0!</v>
      </c>
      <c r="M29" s="179"/>
      <c r="N29" s="17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113"/>
  <sheetViews>
    <sheetView zoomScale="62" zoomScaleNormal="62" workbookViewId="0">
      <pane xSplit="4" ySplit="10" topLeftCell="T11" activePane="bottomRight" state="frozen"/>
      <selection pane="topRight" activeCell="E1" sqref="E1"/>
      <selection pane="bottomLeft" activeCell="A11" sqref="A11"/>
      <selection pane="bottomRight" activeCell="C12" sqref="C12:D32"/>
    </sheetView>
  </sheetViews>
  <sheetFormatPr defaultRowHeight="15.6" x14ac:dyDescent="0.3"/>
  <cols>
    <col min="1" max="1" width="3.6640625" style="15" customWidth="1"/>
    <col min="2" max="2" width="8.6640625" style="15" customWidth="1"/>
    <col min="3" max="3" width="8.6640625" style="4" customWidth="1"/>
    <col min="4" max="4" width="9.109375" customWidth="1"/>
    <col min="5" max="5" width="14.6640625" style="4" customWidth="1"/>
    <col min="6" max="6" width="17.6640625" style="4" customWidth="1"/>
    <col min="7" max="7" width="14.88671875" customWidth="1"/>
    <col min="8" max="8" width="17.109375" style="4" customWidth="1"/>
    <col min="9" max="9" width="17" customWidth="1"/>
    <col min="10" max="10" width="14" customWidth="1"/>
    <col min="11" max="11" width="17.44140625" customWidth="1"/>
    <col min="12" max="12" width="14.109375" style="4" customWidth="1"/>
    <col min="13" max="13" width="18.33203125" style="67" bestFit="1" customWidth="1"/>
    <col min="14" max="14" width="20.44140625" style="71" customWidth="1"/>
    <col min="15" max="15" width="18.88671875" customWidth="1"/>
    <col min="16" max="16" width="15.109375" style="71" customWidth="1"/>
    <col min="17" max="17" width="19.6640625" customWidth="1"/>
    <col min="18" max="18" width="18.109375" style="92" customWidth="1"/>
    <col min="19" max="19" width="22.88671875" customWidth="1"/>
    <col min="20" max="20" width="17.109375" customWidth="1"/>
    <col min="21" max="21" width="18.88671875" customWidth="1"/>
    <col min="22" max="22" width="17.44140625" bestFit="1" customWidth="1"/>
    <col min="23" max="24" width="21.109375" bestFit="1" customWidth="1"/>
    <col min="25" max="25" width="19.6640625" bestFit="1" customWidth="1"/>
    <col min="26" max="26" width="21.33203125" bestFit="1" customWidth="1"/>
    <col min="27" max="27" width="16" bestFit="1" customWidth="1"/>
    <col min="28" max="28" width="9.88671875" customWidth="1"/>
    <col min="29" max="29" width="15.88671875" bestFit="1" customWidth="1"/>
    <col min="30" max="30" width="12.88671875" style="4" bestFit="1" customWidth="1"/>
    <col min="31" max="31" width="14.88671875" customWidth="1"/>
    <col min="32" max="32" width="12.33203125" bestFit="1" customWidth="1"/>
    <col min="33" max="33" width="10.6640625" bestFit="1" customWidth="1"/>
    <col min="34" max="34" width="19" style="4" customWidth="1"/>
    <col min="35" max="35" width="10.5546875" customWidth="1"/>
    <col min="36" max="36" width="13.33203125" style="92" bestFit="1" customWidth="1"/>
    <col min="37" max="37" width="20.6640625" bestFit="1" customWidth="1"/>
    <col min="38" max="38" width="9.44140625" style="44" bestFit="1" customWidth="1"/>
    <col min="39" max="39" width="2.33203125" style="15" customWidth="1"/>
  </cols>
  <sheetData>
    <row r="5" spans="1:39" x14ac:dyDescent="0.3">
      <c r="N5" s="180"/>
      <c r="X5" s="181"/>
    </row>
    <row r="6" spans="1:39" s="28" customFormat="1" ht="18.600000000000001" thickBot="1" x14ac:dyDescent="0.4">
      <c r="B6" s="28" t="s">
        <v>28</v>
      </c>
      <c r="C6" s="37"/>
      <c r="E6" s="37"/>
      <c r="F6" s="37"/>
      <c r="H6" s="37"/>
      <c r="L6" s="37"/>
      <c r="M6" s="62"/>
      <c r="N6" s="68"/>
      <c r="P6" s="68"/>
      <c r="R6" s="88"/>
      <c r="AD6" s="37"/>
      <c r="AH6" s="37"/>
      <c r="AJ6" s="88"/>
      <c r="AL6" s="40"/>
    </row>
    <row r="7" spans="1:39" s="12" customFormat="1" ht="16.2" thickBot="1" x14ac:dyDescent="0.35">
      <c r="A7" s="33"/>
      <c r="B7" s="249" t="s">
        <v>54</v>
      </c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1"/>
      <c r="AM7" s="33"/>
    </row>
    <row r="8" spans="1:39" s="8" customFormat="1" ht="15.75" customHeight="1" thickBot="1" x14ac:dyDescent="0.35">
      <c r="A8" s="29"/>
      <c r="B8" s="252" t="s">
        <v>1</v>
      </c>
      <c r="C8" s="255" t="s">
        <v>2</v>
      </c>
      <c r="D8" s="258" t="s">
        <v>3</v>
      </c>
      <c r="E8" s="261" t="s">
        <v>34</v>
      </c>
      <c r="F8" s="261"/>
      <c r="G8" s="261"/>
      <c r="H8" s="261"/>
      <c r="I8" s="261"/>
      <c r="J8" s="261"/>
      <c r="K8" s="261"/>
      <c r="L8" s="261"/>
      <c r="M8" s="261"/>
      <c r="N8" s="261"/>
      <c r="O8" s="261"/>
      <c r="P8" s="261"/>
      <c r="Q8" s="261"/>
      <c r="R8" s="261"/>
      <c r="S8" s="261"/>
      <c r="T8" s="261"/>
      <c r="U8" s="262"/>
      <c r="V8" s="263" t="s">
        <v>19</v>
      </c>
      <c r="W8" s="264"/>
      <c r="X8" s="264"/>
      <c r="Y8" s="264"/>
      <c r="Z8" s="264"/>
      <c r="AA8" s="264"/>
      <c r="AB8" s="265"/>
      <c r="AC8" s="266" t="s">
        <v>24</v>
      </c>
      <c r="AD8" s="266"/>
      <c r="AE8" s="266"/>
      <c r="AF8" s="266"/>
      <c r="AG8" s="266"/>
      <c r="AH8" s="266"/>
      <c r="AI8" s="266"/>
      <c r="AJ8" s="266"/>
      <c r="AK8" s="266"/>
      <c r="AL8" s="267"/>
      <c r="AM8" s="31"/>
    </row>
    <row r="9" spans="1:39" ht="15" customHeight="1" thickBot="1" x14ac:dyDescent="0.35">
      <c r="A9" s="32"/>
      <c r="B9" s="253"/>
      <c r="C9" s="256"/>
      <c r="D9" s="259"/>
      <c r="E9" s="268" t="s">
        <v>33</v>
      </c>
      <c r="F9" s="269"/>
      <c r="G9" s="269"/>
      <c r="H9" s="269"/>
      <c r="I9" s="270"/>
      <c r="J9" s="271" t="s">
        <v>5</v>
      </c>
      <c r="K9" s="271"/>
      <c r="L9" s="271"/>
      <c r="M9" s="271"/>
      <c r="N9" s="272"/>
      <c r="O9" s="258" t="s">
        <v>12</v>
      </c>
      <c r="P9" s="273" t="s">
        <v>32</v>
      </c>
      <c r="Q9" s="239" t="s">
        <v>52</v>
      </c>
      <c r="R9" s="241" t="s">
        <v>21</v>
      </c>
      <c r="S9" s="243" t="s">
        <v>13</v>
      </c>
      <c r="T9" s="245" t="s">
        <v>18</v>
      </c>
      <c r="U9" s="246"/>
      <c r="V9" s="56"/>
      <c r="W9" s="56" t="s">
        <v>4</v>
      </c>
      <c r="X9" s="56"/>
      <c r="Y9" s="57"/>
      <c r="Z9" s="186"/>
      <c r="AA9" s="247" t="s">
        <v>27</v>
      </c>
      <c r="AB9" s="248"/>
      <c r="AC9" s="266" t="s">
        <v>22</v>
      </c>
      <c r="AD9" s="266"/>
      <c r="AE9" s="266"/>
      <c r="AF9" s="266"/>
      <c r="AG9" s="266"/>
      <c r="AH9" s="266"/>
      <c r="AI9" s="267"/>
      <c r="AJ9" s="143" t="s">
        <v>20</v>
      </c>
      <c r="AK9" s="39"/>
      <c r="AL9" s="41"/>
      <c r="AM9" s="32"/>
    </row>
    <row r="10" spans="1:39" ht="61.5" customHeight="1" thickBot="1" x14ac:dyDescent="0.35">
      <c r="A10" s="30"/>
      <c r="B10" s="254"/>
      <c r="C10" s="257"/>
      <c r="D10" s="260"/>
      <c r="E10" s="102" t="s">
        <v>35</v>
      </c>
      <c r="F10" s="86" t="s">
        <v>6</v>
      </c>
      <c r="G10" s="136" t="s">
        <v>36</v>
      </c>
      <c r="H10" s="19" t="s">
        <v>6</v>
      </c>
      <c r="I10" s="103" t="s">
        <v>14</v>
      </c>
      <c r="J10" s="102" t="s">
        <v>35</v>
      </c>
      <c r="K10" s="87" t="s">
        <v>6</v>
      </c>
      <c r="L10" s="136" t="s">
        <v>36</v>
      </c>
      <c r="M10" s="63" t="s">
        <v>6</v>
      </c>
      <c r="N10" s="95" t="s">
        <v>15</v>
      </c>
      <c r="O10" s="260"/>
      <c r="P10" s="274"/>
      <c r="Q10" s="240"/>
      <c r="R10" s="242"/>
      <c r="S10" s="244"/>
      <c r="T10" s="187" t="s">
        <v>16</v>
      </c>
      <c r="U10" s="25" t="s">
        <v>17</v>
      </c>
      <c r="V10" s="188" t="s">
        <v>8</v>
      </c>
      <c r="W10" s="58" t="s">
        <v>0</v>
      </c>
      <c r="X10" s="58" t="s">
        <v>26</v>
      </c>
      <c r="Y10" s="24" t="s">
        <v>10</v>
      </c>
      <c r="Z10" s="24" t="s">
        <v>30</v>
      </c>
      <c r="AA10" s="24" t="s">
        <v>16</v>
      </c>
      <c r="AB10" s="13" t="s">
        <v>17</v>
      </c>
      <c r="AC10" s="128" t="s">
        <v>7</v>
      </c>
      <c r="AD10" s="51" t="s">
        <v>31</v>
      </c>
      <c r="AE10" s="50" t="s">
        <v>11</v>
      </c>
      <c r="AF10" s="50" t="s">
        <v>9</v>
      </c>
      <c r="AG10" s="50" t="s">
        <v>25</v>
      </c>
      <c r="AH10" s="51" t="s">
        <v>16</v>
      </c>
      <c r="AI10" s="52" t="s">
        <v>17</v>
      </c>
      <c r="AJ10" s="144" t="s">
        <v>23</v>
      </c>
      <c r="AK10" s="50" t="s">
        <v>16</v>
      </c>
      <c r="AL10" s="54" t="s">
        <v>17</v>
      </c>
      <c r="AM10" s="30"/>
    </row>
    <row r="11" spans="1:39" x14ac:dyDescent="0.3">
      <c r="A11" s="30"/>
      <c r="B11" s="60"/>
      <c r="C11" s="104"/>
      <c r="D11" s="189"/>
      <c r="E11" s="190"/>
      <c r="F11" s="93"/>
      <c r="G11" s="20"/>
      <c r="H11" s="21"/>
      <c r="I11" s="105"/>
      <c r="J11" s="94"/>
      <c r="K11" s="20"/>
      <c r="L11" s="21"/>
      <c r="M11" s="64"/>
      <c r="N11" s="96"/>
      <c r="O11" s="59"/>
      <c r="P11" s="113"/>
      <c r="Q11" s="191"/>
      <c r="R11" s="116"/>
      <c r="S11" s="192"/>
      <c r="T11" s="23"/>
      <c r="U11" s="26"/>
      <c r="V11" s="94"/>
      <c r="W11" s="20"/>
      <c r="X11" s="20"/>
      <c r="Y11" s="22"/>
      <c r="Z11" s="22"/>
      <c r="AA11" s="22"/>
      <c r="AB11" s="105"/>
      <c r="AC11" s="129"/>
      <c r="AD11" s="48"/>
      <c r="AE11" s="45"/>
      <c r="AF11" s="45"/>
      <c r="AG11" s="45"/>
      <c r="AH11" s="48"/>
      <c r="AI11" s="49"/>
      <c r="AJ11" s="145"/>
      <c r="AK11" s="45"/>
      <c r="AL11" s="53"/>
      <c r="AM11" s="30"/>
    </row>
    <row r="12" spans="1:39" x14ac:dyDescent="0.3">
      <c r="A12" s="36"/>
      <c r="B12" s="61">
        <v>1</v>
      </c>
      <c r="C12" s="154" t="s">
        <v>53</v>
      </c>
      <c r="D12" s="156">
        <v>38</v>
      </c>
      <c r="E12" s="109">
        <v>10399.999999999864</v>
      </c>
      <c r="F12" s="3">
        <v>11310717.599999852</v>
      </c>
      <c r="G12" s="38">
        <v>2000</v>
      </c>
      <c r="H12" s="3">
        <v>3262707</v>
      </c>
      <c r="I12" s="106">
        <f>F12+H12</f>
        <v>14573424.599999852</v>
      </c>
      <c r="J12" s="109">
        <v>1299.9999999999973</v>
      </c>
      <c r="K12" s="3">
        <v>1413839.6999999972</v>
      </c>
      <c r="L12" s="193">
        <v>320.00000000000028</v>
      </c>
      <c r="M12" s="194">
        <v>522033.1200000004</v>
      </c>
      <c r="N12" s="97">
        <f>K12+M12</f>
        <v>1935872.8199999975</v>
      </c>
      <c r="O12" s="111">
        <f>N12+I12</f>
        <v>16509297.419999849</v>
      </c>
      <c r="P12" s="114">
        <f>L12+J12+G12+E12</f>
        <v>14019.999999999862</v>
      </c>
      <c r="Q12" s="138"/>
      <c r="R12" s="205"/>
      <c r="S12" s="279">
        <f>P12+Q12</f>
        <v>14019.999999999862</v>
      </c>
      <c r="T12" s="280">
        <f>O12+R12</f>
        <v>16509297.419999849</v>
      </c>
      <c r="U12" s="281">
        <f>T12/AL48</f>
        <v>1272.2859829116358</v>
      </c>
      <c r="V12" s="195">
        <f>Y12+W12</f>
        <v>965</v>
      </c>
      <c r="W12" s="3">
        <v>75</v>
      </c>
      <c r="X12" s="3">
        <v>1348875</v>
      </c>
      <c r="Y12" s="34">
        <v>890</v>
      </c>
      <c r="Z12" s="34">
        <v>426310</v>
      </c>
      <c r="AA12" s="34">
        <f t="shared" ref="AA12:AA42" si="0">Z12+X12</f>
        <v>1775185</v>
      </c>
      <c r="AB12" s="131">
        <f t="shared" ref="AB12:AB42" si="1">AA12/$AL$48</f>
        <v>136.80430699848722</v>
      </c>
      <c r="AC12" s="137">
        <v>0</v>
      </c>
      <c r="AD12" s="3">
        <v>0</v>
      </c>
      <c r="AE12" s="3">
        <v>50</v>
      </c>
      <c r="AF12" s="3">
        <v>12</v>
      </c>
      <c r="AG12" s="3">
        <f>SUM(AC12:AF12)</f>
        <v>62</v>
      </c>
      <c r="AH12" s="3">
        <f>(AG12*10877)*1.02</f>
        <v>687861.48</v>
      </c>
      <c r="AI12" s="46">
        <f t="shared" ref="AI12:AI42" si="2">AH12/$AL$48</f>
        <v>53.009919012583914</v>
      </c>
      <c r="AJ12" s="146">
        <v>182.40999999999985</v>
      </c>
      <c r="AK12" s="3">
        <v>1568725.9999999988</v>
      </c>
      <c r="AL12" s="42">
        <f t="shared" ref="AL12:AL42" si="3">AK12/$AL$48</f>
        <v>120.8935819649832</v>
      </c>
      <c r="AM12" s="7"/>
    </row>
    <row r="13" spans="1:39" x14ac:dyDescent="0.3">
      <c r="A13" s="36"/>
      <c r="B13" s="61">
        <v>2</v>
      </c>
      <c r="C13" s="154">
        <v>1</v>
      </c>
      <c r="D13" s="156">
        <v>44</v>
      </c>
      <c r="E13" s="109">
        <v>10000</v>
      </c>
      <c r="F13" s="3">
        <v>10875690</v>
      </c>
      <c r="G13" s="38">
        <v>2080.0000000000127</v>
      </c>
      <c r="H13" s="3">
        <v>3393215.2800000212</v>
      </c>
      <c r="I13" s="106">
        <f t="shared" ref="I13:I42" si="4">F13+H13</f>
        <v>14268905.280000022</v>
      </c>
      <c r="J13" s="109">
        <v>1260.000000000005</v>
      </c>
      <c r="K13" s="3">
        <v>1370336.9400000055</v>
      </c>
      <c r="L13" s="193">
        <v>339.99999999999989</v>
      </c>
      <c r="M13" s="194">
        <v>554660.18999999983</v>
      </c>
      <c r="N13" s="97">
        <f t="shared" ref="N13:N42" si="5">K13+M13</f>
        <v>1924997.1300000055</v>
      </c>
      <c r="O13" s="111">
        <f t="shared" ref="O13:O42" si="6">N13+I13</f>
        <v>16193902.410000026</v>
      </c>
      <c r="P13" s="114">
        <f t="shared" ref="P13:P42" si="7">L13+J13+G13+E13</f>
        <v>13680.000000000018</v>
      </c>
      <c r="Q13" s="204"/>
      <c r="R13" s="206"/>
      <c r="S13" s="279">
        <f t="shared" ref="S13:S32" si="8">P13+Q13</f>
        <v>13680.000000000018</v>
      </c>
      <c r="T13" s="280">
        <f t="shared" ref="T13:T32" si="9">O13+R13</f>
        <v>16193902.410000026</v>
      </c>
      <c r="U13" s="281">
        <f>T13/$AL$48</f>
        <v>1247.9801242130739</v>
      </c>
      <c r="V13" s="195">
        <f t="shared" ref="V13:V42" si="10">Y13+W13</f>
        <v>903</v>
      </c>
      <c r="W13" s="3">
        <v>362</v>
      </c>
      <c r="X13" s="3">
        <v>6510570</v>
      </c>
      <c r="Y13" s="34">
        <v>541</v>
      </c>
      <c r="Z13" s="34">
        <v>259139</v>
      </c>
      <c r="AA13" s="34">
        <f t="shared" si="0"/>
        <v>6769709</v>
      </c>
      <c r="AB13" s="131">
        <f t="shared" si="1"/>
        <v>521.70638458888618</v>
      </c>
      <c r="AC13" s="137">
        <v>0</v>
      </c>
      <c r="AD13" s="3">
        <v>0</v>
      </c>
      <c r="AE13" s="3">
        <v>50</v>
      </c>
      <c r="AF13" s="3">
        <v>12</v>
      </c>
      <c r="AG13" s="3">
        <f t="shared" ref="AG13:AG42" si="11">SUM(AC13:AF13)</f>
        <v>62</v>
      </c>
      <c r="AH13" s="3">
        <f t="shared" ref="AH13:AH32" si="12">(AG13*10877)*1.02</f>
        <v>687861.48</v>
      </c>
      <c r="AI13" s="46">
        <f t="shared" si="2"/>
        <v>53.009919012583914</v>
      </c>
      <c r="AJ13" s="146">
        <v>148.09000000000606</v>
      </c>
      <c r="AK13" s="3">
        <v>1273574.0000000522</v>
      </c>
      <c r="AL13" s="42">
        <f t="shared" si="3"/>
        <v>98.147747125679004</v>
      </c>
      <c r="AM13" s="7"/>
    </row>
    <row r="14" spans="1:39" x14ac:dyDescent="0.3">
      <c r="A14" s="36"/>
      <c r="B14" s="61">
        <v>3</v>
      </c>
      <c r="C14" s="154">
        <v>1</v>
      </c>
      <c r="D14" s="156">
        <v>27</v>
      </c>
      <c r="E14" s="109">
        <v>14240.000000000009</v>
      </c>
      <c r="F14" s="3">
        <v>15486982.56000001</v>
      </c>
      <c r="G14" s="38">
        <v>2000</v>
      </c>
      <c r="H14" s="3">
        <v>3262707</v>
      </c>
      <c r="I14" s="106">
        <f t="shared" si="4"/>
        <v>18749689.56000001</v>
      </c>
      <c r="J14" s="109">
        <v>1239.999999999995</v>
      </c>
      <c r="K14" s="3">
        <v>1348585.5599999947</v>
      </c>
      <c r="L14" s="193">
        <v>300.00000000000068</v>
      </c>
      <c r="M14" s="194">
        <v>489406.05000000109</v>
      </c>
      <c r="N14" s="97">
        <f t="shared" si="5"/>
        <v>1837991.6099999957</v>
      </c>
      <c r="O14" s="111">
        <f t="shared" si="6"/>
        <v>20587681.170000006</v>
      </c>
      <c r="P14" s="114">
        <f t="shared" si="7"/>
        <v>17780.000000000004</v>
      </c>
      <c r="Q14" s="204"/>
      <c r="R14" s="206"/>
      <c r="S14" s="279">
        <f t="shared" si="8"/>
        <v>17780.000000000004</v>
      </c>
      <c r="T14" s="280">
        <f t="shared" si="9"/>
        <v>20587681.170000006</v>
      </c>
      <c r="U14" s="281">
        <f t="shared" ref="U14:U32" si="13">T14/$AL$48</f>
        <v>1586.5858798759878</v>
      </c>
      <c r="V14" s="195">
        <f t="shared" si="10"/>
        <v>952</v>
      </c>
      <c r="W14" s="3">
        <v>19</v>
      </c>
      <c r="X14" s="3">
        <v>341715</v>
      </c>
      <c r="Y14" s="34">
        <v>933</v>
      </c>
      <c r="Z14" s="34">
        <v>446907</v>
      </c>
      <c r="AA14" s="34">
        <f t="shared" si="0"/>
        <v>788622</v>
      </c>
      <c r="AB14" s="131">
        <f t="shared" si="1"/>
        <v>60.775010037692404</v>
      </c>
      <c r="AC14" s="137">
        <v>0</v>
      </c>
      <c r="AD14" s="3">
        <v>0</v>
      </c>
      <c r="AE14" s="3">
        <v>50</v>
      </c>
      <c r="AF14" s="3">
        <v>0</v>
      </c>
      <c r="AG14" s="3">
        <f t="shared" si="11"/>
        <v>50</v>
      </c>
      <c r="AH14" s="3">
        <f t="shared" si="12"/>
        <v>554727</v>
      </c>
      <c r="AI14" s="46">
        <f t="shared" si="2"/>
        <v>42.749934687567674</v>
      </c>
      <c r="AJ14" s="146">
        <v>125.36999999999989</v>
      </c>
      <c r="AK14" s="3">
        <v>1078181.9999999991</v>
      </c>
      <c r="AL14" s="42">
        <f t="shared" si="3"/>
        <v>83.08989842086477</v>
      </c>
      <c r="AM14" s="7"/>
    </row>
    <row r="15" spans="1:39" x14ac:dyDescent="0.3">
      <c r="A15" s="36"/>
      <c r="B15" s="61">
        <v>4</v>
      </c>
      <c r="C15" s="154">
        <v>1</v>
      </c>
      <c r="D15" s="156">
        <v>11</v>
      </c>
      <c r="E15" s="109">
        <v>8000</v>
      </c>
      <c r="F15" s="3">
        <v>8700552</v>
      </c>
      <c r="G15" s="38">
        <v>2039.999999999992</v>
      </c>
      <c r="H15" s="3">
        <v>3327961.1399999871</v>
      </c>
      <c r="I15" s="106">
        <f t="shared" si="4"/>
        <v>12028513.139999988</v>
      </c>
      <c r="J15" s="109">
        <v>1219.9999999999989</v>
      </c>
      <c r="K15" s="3">
        <v>1326834.1799999988</v>
      </c>
      <c r="L15" s="193">
        <v>280.00000000000114</v>
      </c>
      <c r="M15" s="194">
        <v>456778.9800000019</v>
      </c>
      <c r="N15" s="97">
        <f t="shared" si="5"/>
        <v>1783613.1600000006</v>
      </c>
      <c r="O15" s="111">
        <f t="shared" si="6"/>
        <v>13812126.299999988</v>
      </c>
      <c r="P15" s="114">
        <f t="shared" si="7"/>
        <v>11539.999999999993</v>
      </c>
      <c r="Q15" s="204"/>
      <c r="R15" s="206"/>
      <c r="S15" s="279">
        <f t="shared" si="8"/>
        <v>11539.999999999993</v>
      </c>
      <c r="T15" s="280">
        <f t="shared" si="9"/>
        <v>13812126.299999988</v>
      </c>
      <c r="U15" s="281">
        <f t="shared" si="13"/>
        <v>1064.4289843858965</v>
      </c>
      <c r="V15" s="195">
        <f t="shared" si="10"/>
        <v>942</v>
      </c>
      <c r="W15" s="3">
        <v>422</v>
      </c>
      <c r="X15" s="3">
        <v>7589670</v>
      </c>
      <c r="Y15" s="34">
        <v>520</v>
      </c>
      <c r="Z15" s="34">
        <v>249080</v>
      </c>
      <c r="AA15" s="34">
        <f t="shared" si="0"/>
        <v>7838750</v>
      </c>
      <c r="AB15" s="131">
        <f t="shared" si="1"/>
        <v>604.09183351841727</v>
      </c>
      <c r="AC15" s="137">
        <v>0</v>
      </c>
      <c r="AD15" s="3">
        <v>0</v>
      </c>
      <c r="AE15" s="3">
        <v>50</v>
      </c>
      <c r="AF15" s="3">
        <v>0</v>
      </c>
      <c r="AG15" s="3">
        <f t="shared" si="11"/>
        <v>50</v>
      </c>
      <c r="AH15" s="3">
        <f t="shared" si="12"/>
        <v>554727</v>
      </c>
      <c r="AI15" s="46">
        <f t="shared" si="2"/>
        <v>42.749934687567674</v>
      </c>
      <c r="AJ15" s="146">
        <v>115.98000000000002</v>
      </c>
      <c r="AK15" s="3">
        <v>997428.00000000012</v>
      </c>
      <c r="AL15" s="42">
        <f t="shared" si="3"/>
        <v>76.866606196473683</v>
      </c>
      <c r="AM15" s="7"/>
    </row>
    <row r="16" spans="1:39" x14ac:dyDescent="0.3">
      <c r="A16" s="36"/>
      <c r="B16" s="61">
        <v>5</v>
      </c>
      <c r="C16" s="154">
        <v>1</v>
      </c>
      <c r="D16" s="156">
        <v>46</v>
      </c>
      <c r="E16" s="109">
        <v>7160.0000000000819</v>
      </c>
      <c r="F16" s="3">
        <v>7786994.0400000894</v>
      </c>
      <c r="G16" s="38">
        <v>2000</v>
      </c>
      <c r="H16" s="3">
        <v>3262707</v>
      </c>
      <c r="I16" s="106">
        <f t="shared" si="4"/>
        <v>11049701.040000089</v>
      </c>
      <c r="J16" s="109">
        <v>1460.000000000008</v>
      </c>
      <c r="K16" s="3">
        <v>1587850.7400000086</v>
      </c>
      <c r="L16" s="193">
        <v>300.00000000000068</v>
      </c>
      <c r="M16" s="194">
        <v>489406.05000000109</v>
      </c>
      <c r="N16" s="97">
        <f t="shared" si="5"/>
        <v>2077256.7900000098</v>
      </c>
      <c r="O16" s="111">
        <f t="shared" si="6"/>
        <v>13126957.830000099</v>
      </c>
      <c r="P16" s="114">
        <f t="shared" si="7"/>
        <v>10920.000000000091</v>
      </c>
      <c r="Q16" s="204"/>
      <c r="R16" s="206"/>
      <c r="S16" s="279">
        <f t="shared" si="8"/>
        <v>10920.000000000091</v>
      </c>
      <c r="T16" s="280">
        <f t="shared" si="9"/>
        <v>13126957.830000099</v>
      </c>
      <c r="U16" s="281">
        <f t="shared" si="13"/>
        <v>1011.6266016958959</v>
      </c>
      <c r="V16" s="195">
        <f t="shared" si="10"/>
        <v>926</v>
      </c>
      <c r="W16" s="3">
        <v>497</v>
      </c>
      <c r="X16" s="3">
        <v>8938545</v>
      </c>
      <c r="Y16" s="34">
        <v>429</v>
      </c>
      <c r="Z16" s="34">
        <v>205491</v>
      </c>
      <c r="AA16" s="34">
        <f t="shared" si="0"/>
        <v>9144036</v>
      </c>
      <c r="AB16" s="131">
        <f t="shared" si="1"/>
        <v>704.68346011780125</v>
      </c>
      <c r="AC16" s="137">
        <v>0</v>
      </c>
      <c r="AD16" s="3">
        <v>0</v>
      </c>
      <c r="AE16" s="3">
        <v>50</v>
      </c>
      <c r="AF16" s="3">
        <v>12</v>
      </c>
      <c r="AG16" s="3">
        <f t="shared" si="11"/>
        <v>62</v>
      </c>
      <c r="AH16" s="3">
        <f t="shared" si="12"/>
        <v>687861.48</v>
      </c>
      <c r="AI16" s="46">
        <f t="shared" si="2"/>
        <v>53.009919012583914</v>
      </c>
      <c r="AJ16" s="146">
        <v>246.95000000000027</v>
      </c>
      <c r="AK16" s="3">
        <v>2123770.0000000023</v>
      </c>
      <c r="AL16" s="42">
        <f t="shared" si="3"/>
        <v>163.6679461995102</v>
      </c>
      <c r="AM16" s="7"/>
    </row>
    <row r="17" spans="1:39" x14ac:dyDescent="0.3">
      <c r="A17" s="36"/>
      <c r="B17" s="61">
        <v>6</v>
      </c>
      <c r="C17" s="154" t="s">
        <v>53</v>
      </c>
      <c r="D17" s="156">
        <v>27</v>
      </c>
      <c r="E17" s="109">
        <v>9480.0000000000182</v>
      </c>
      <c r="F17" s="3">
        <v>10310154.12000002</v>
      </c>
      <c r="G17" s="38">
        <v>1919.9999999999875</v>
      </c>
      <c r="H17" s="3">
        <v>3132198.7199999802</v>
      </c>
      <c r="I17" s="106">
        <f t="shared" si="4"/>
        <v>13442352.84</v>
      </c>
      <c r="J17" s="109">
        <v>1239.999999999995</v>
      </c>
      <c r="K17" s="3">
        <v>1348585.5599999947</v>
      </c>
      <c r="L17" s="193">
        <v>279.99999999999761</v>
      </c>
      <c r="M17" s="194">
        <v>456778.97999999608</v>
      </c>
      <c r="N17" s="97">
        <f t="shared" si="5"/>
        <v>1805364.5399999907</v>
      </c>
      <c r="O17" s="111">
        <f t="shared" si="6"/>
        <v>15247717.379999992</v>
      </c>
      <c r="P17" s="114">
        <f t="shared" si="7"/>
        <v>12919.999999999998</v>
      </c>
      <c r="Q17" s="204"/>
      <c r="R17" s="206"/>
      <c r="S17" s="279">
        <f>P17+Q17</f>
        <v>12919.999999999998</v>
      </c>
      <c r="T17" s="280">
        <f t="shared" si="9"/>
        <v>15247717.379999992</v>
      </c>
      <c r="U17" s="281">
        <f t="shared" si="13"/>
        <v>1175.0625481173445</v>
      </c>
      <c r="V17" s="195">
        <f t="shared" si="10"/>
        <v>927</v>
      </c>
      <c r="W17" s="3">
        <v>505</v>
      </c>
      <c r="X17" s="3">
        <v>9082425</v>
      </c>
      <c r="Y17" s="34">
        <v>422</v>
      </c>
      <c r="Z17" s="34">
        <v>202138</v>
      </c>
      <c r="AA17" s="34">
        <f t="shared" si="0"/>
        <v>9284563</v>
      </c>
      <c r="AB17" s="131">
        <f t="shared" si="1"/>
        <v>715.51314764308813</v>
      </c>
      <c r="AC17" s="137">
        <v>0</v>
      </c>
      <c r="AD17" s="3">
        <v>0</v>
      </c>
      <c r="AE17" s="3">
        <v>50</v>
      </c>
      <c r="AF17" s="3">
        <v>12</v>
      </c>
      <c r="AG17" s="3">
        <f t="shared" si="11"/>
        <v>62</v>
      </c>
      <c r="AH17" s="3">
        <f t="shared" si="12"/>
        <v>687861.48</v>
      </c>
      <c r="AI17" s="46">
        <f t="shared" si="2"/>
        <v>53.009919012583914</v>
      </c>
      <c r="AJ17" s="146">
        <v>97.089999999999691</v>
      </c>
      <c r="AK17" s="3">
        <v>834973.99999999732</v>
      </c>
      <c r="AL17" s="42">
        <f t="shared" si="3"/>
        <v>64.347118430898462</v>
      </c>
      <c r="AM17" s="7"/>
    </row>
    <row r="18" spans="1:39" x14ac:dyDescent="0.3">
      <c r="A18" s="36"/>
      <c r="B18" s="61">
        <v>7</v>
      </c>
      <c r="C18" s="154" t="s">
        <v>53</v>
      </c>
      <c r="D18" s="156">
        <v>61</v>
      </c>
      <c r="E18" s="109">
        <v>9799.9999999999545</v>
      </c>
      <c r="F18" s="3">
        <v>10658176.199999951</v>
      </c>
      <c r="G18" s="38">
        <v>2000</v>
      </c>
      <c r="H18" s="3">
        <v>3262707</v>
      </c>
      <c r="I18" s="106">
        <f t="shared" si="4"/>
        <v>13920883.199999951</v>
      </c>
      <c r="J18" s="109">
        <v>1299.9999999999973</v>
      </c>
      <c r="K18" s="3">
        <v>1413839.6999999972</v>
      </c>
      <c r="L18" s="193">
        <v>300.00000000000068</v>
      </c>
      <c r="M18" s="194">
        <v>489406.05000000109</v>
      </c>
      <c r="N18" s="97">
        <f t="shared" si="5"/>
        <v>1903245.7499999981</v>
      </c>
      <c r="O18" s="111">
        <f t="shared" si="6"/>
        <v>15824128.949999949</v>
      </c>
      <c r="P18" s="114">
        <f t="shared" si="7"/>
        <v>13399.999999999953</v>
      </c>
      <c r="Q18" s="204"/>
      <c r="R18" s="206"/>
      <c r="S18" s="279">
        <f t="shared" si="8"/>
        <v>13399.999999999953</v>
      </c>
      <c r="T18" s="280">
        <f t="shared" si="9"/>
        <v>15824128.949999949</v>
      </c>
      <c r="U18" s="281">
        <f t="shared" si="13"/>
        <v>1219.4836002216346</v>
      </c>
      <c r="V18" s="195">
        <f t="shared" si="10"/>
        <v>934</v>
      </c>
      <c r="W18" s="3">
        <v>282</v>
      </c>
      <c r="X18" s="3">
        <v>5071770</v>
      </c>
      <c r="Y18" s="34">
        <v>652</v>
      </c>
      <c r="Z18" s="34">
        <v>312308</v>
      </c>
      <c r="AA18" s="34">
        <f t="shared" si="0"/>
        <v>5384078</v>
      </c>
      <c r="AB18" s="131">
        <f t="shared" si="1"/>
        <v>414.92298527522541</v>
      </c>
      <c r="AC18" s="137">
        <v>0</v>
      </c>
      <c r="AD18" s="3">
        <v>0</v>
      </c>
      <c r="AE18" s="3">
        <v>50</v>
      </c>
      <c r="AF18" s="3">
        <v>0</v>
      </c>
      <c r="AG18" s="3">
        <f t="shared" si="11"/>
        <v>50</v>
      </c>
      <c r="AH18" s="3">
        <f t="shared" si="12"/>
        <v>554727</v>
      </c>
      <c r="AI18" s="46">
        <f t="shared" si="2"/>
        <v>42.749934687567674</v>
      </c>
      <c r="AJ18" s="146">
        <v>87.400000000000091</v>
      </c>
      <c r="AK18" s="3">
        <v>751640.00000000081</v>
      </c>
      <c r="AL18" s="42">
        <f t="shared" si="3"/>
        <v>57.924998978891239</v>
      </c>
      <c r="AM18" s="7"/>
    </row>
    <row r="19" spans="1:39" x14ac:dyDescent="0.3">
      <c r="A19" s="36"/>
      <c r="B19" s="61">
        <v>8</v>
      </c>
      <c r="C19" s="154">
        <v>1</v>
      </c>
      <c r="D19" s="156">
        <v>27</v>
      </c>
      <c r="E19" s="109">
        <v>9720.0000000000273</v>
      </c>
      <c r="F19" s="3">
        <v>10571170.68000003</v>
      </c>
      <c r="G19" s="38">
        <v>1960.000000000008</v>
      </c>
      <c r="H19" s="3">
        <v>3197452.8600000129</v>
      </c>
      <c r="I19" s="106">
        <f t="shared" si="4"/>
        <v>13768623.540000042</v>
      </c>
      <c r="J19" s="109">
        <v>1180.0000000000068</v>
      </c>
      <c r="K19" s="3">
        <v>1283331.4200000076</v>
      </c>
      <c r="L19" s="193">
        <v>339.99999999999989</v>
      </c>
      <c r="M19" s="194">
        <v>554660.18999999983</v>
      </c>
      <c r="N19" s="97">
        <f t="shared" si="5"/>
        <v>1837991.6100000073</v>
      </c>
      <c r="O19" s="111">
        <f t="shared" si="6"/>
        <v>15606615.150000049</v>
      </c>
      <c r="P19" s="114">
        <f t="shared" si="7"/>
        <v>13200.000000000042</v>
      </c>
      <c r="Q19" s="204"/>
      <c r="R19" s="206"/>
      <c r="S19" s="279">
        <f t="shared" si="8"/>
        <v>13200.000000000042</v>
      </c>
      <c r="T19" s="280">
        <f t="shared" si="9"/>
        <v>15606615.150000049</v>
      </c>
      <c r="U19" s="281">
        <f t="shared" si="13"/>
        <v>1202.7209390502107</v>
      </c>
      <c r="V19" s="195">
        <f t="shared" si="10"/>
        <v>974</v>
      </c>
      <c r="W19" s="3">
        <v>13</v>
      </c>
      <c r="X19" s="3">
        <v>233805</v>
      </c>
      <c r="Y19" s="34">
        <v>961</v>
      </c>
      <c r="Z19" s="34">
        <v>460319</v>
      </c>
      <c r="AA19" s="34">
        <f t="shared" si="0"/>
        <v>694124</v>
      </c>
      <c r="AB19" s="131">
        <f t="shared" si="1"/>
        <v>53.492538969751287</v>
      </c>
      <c r="AC19" s="137">
        <v>0</v>
      </c>
      <c r="AD19" s="3">
        <v>0</v>
      </c>
      <c r="AE19" s="3">
        <v>50</v>
      </c>
      <c r="AF19" s="3">
        <v>12</v>
      </c>
      <c r="AG19" s="3">
        <f t="shared" si="11"/>
        <v>62</v>
      </c>
      <c r="AH19" s="3">
        <f t="shared" si="12"/>
        <v>687861.48</v>
      </c>
      <c r="AI19" s="46">
        <f t="shared" si="2"/>
        <v>53.009919012583914</v>
      </c>
      <c r="AJ19" s="146">
        <v>240.70999999999412</v>
      </c>
      <c r="AK19" s="3">
        <v>2070105.9999999495</v>
      </c>
      <c r="AL19" s="42">
        <f t="shared" si="3"/>
        <v>159.53233986508644</v>
      </c>
      <c r="AM19" s="7"/>
    </row>
    <row r="20" spans="1:39" x14ac:dyDescent="0.3">
      <c r="A20" s="36"/>
      <c r="B20" s="61">
        <v>9</v>
      </c>
      <c r="C20" s="154">
        <v>1</v>
      </c>
      <c r="D20" s="156">
        <v>47</v>
      </c>
      <c r="E20" s="109">
        <v>9880.0000000001091</v>
      </c>
      <c r="F20" s="3">
        <v>10745181.720000118</v>
      </c>
      <c r="G20" s="38">
        <v>2039.999999999992</v>
      </c>
      <c r="H20" s="3">
        <v>3327961.1399999871</v>
      </c>
      <c r="I20" s="106">
        <f t="shared" si="4"/>
        <v>14073142.860000106</v>
      </c>
      <c r="J20" s="109">
        <v>1379.9999999999955</v>
      </c>
      <c r="K20" s="3">
        <v>1500845.2199999951</v>
      </c>
      <c r="L20" s="193">
        <v>339.99999999999989</v>
      </c>
      <c r="M20" s="194">
        <v>554660.18999999983</v>
      </c>
      <c r="N20" s="97">
        <f t="shared" si="5"/>
        <v>2055505.409999995</v>
      </c>
      <c r="O20" s="111">
        <f t="shared" si="6"/>
        <v>16128648.2700001</v>
      </c>
      <c r="P20" s="114">
        <f t="shared" si="7"/>
        <v>13640.000000000096</v>
      </c>
      <c r="Q20" s="204"/>
      <c r="R20" s="206"/>
      <c r="S20" s="279">
        <f t="shared" si="8"/>
        <v>13640.000000000096</v>
      </c>
      <c r="T20" s="280">
        <f t="shared" si="9"/>
        <v>16128648.2700001</v>
      </c>
      <c r="U20" s="281">
        <f t="shared" si="13"/>
        <v>1242.95132586165</v>
      </c>
      <c r="V20" s="195">
        <f t="shared" si="10"/>
        <v>949</v>
      </c>
      <c r="W20" s="3">
        <v>481</v>
      </c>
      <c r="X20" s="3">
        <v>8650785</v>
      </c>
      <c r="Y20" s="34">
        <v>468</v>
      </c>
      <c r="Z20" s="34">
        <v>224172</v>
      </c>
      <c r="AA20" s="34">
        <f t="shared" si="0"/>
        <v>8874957</v>
      </c>
      <c r="AB20" s="131">
        <f t="shared" si="1"/>
        <v>683.94693624967147</v>
      </c>
      <c r="AC20" s="137">
        <v>0</v>
      </c>
      <c r="AD20" s="3">
        <v>0</v>
      </c>
      <c r="AE20" s="3">
        <v>100</v>
      </c>
      <c r="AF20" s="3">
        <v>12</v>
      </c>
      <c r="AG20" s="3">
        <f t="shared" si="11"/>
        <v>112</v>
      </c>
      <c r="AH20" s="3">
        <f t="shared" si="12"/>
        <v>1242588.48</v>
      </c>
      <c r="AI20" s="46">
        <f t="shared" si="2"/>
        <v>95.759853700151581</v>
      </c>
      <c r="AJ20" s="146">
        <v>103.75</v>
      </c>
      <c r="AK20" s="3">
        <v>892250</v>
      </c>
      <c r="AL20" s="42">
        <f t="shared" si="3"/>
        <v>68.761082883981231</v>
      </c>
      <c r="AM20" s="7"/>
    </row>
    <row r="21" spans="1:39" x14ac:dyDescent="0.3">
      <c r="A21" s="36"/>
      <c r="B21" s="61">
        <v>10</v>
      </c>
      <c r="C21" s="154">
        <v>3</v>
      </c>
      <c r="D21" s="156">
        <v>26</v>
      </c>
      <c r="E21" s="109">
        <v>9799.9999999999545</v>
      </c>
      <c r="F21" s="3">
        <v>10658176.199999951</v>
      </c>
      <c r="G21" s="38">
        <v>1960.000000000008</v>
      </c>
      <c r="H21" s="3">
        <v>3197452.8600000129</v>
      </c>
      <c r="I21" s="106">
        <f t="shared" si="4"/>
        <v>13855629.059999963</v>
      </c>
      <c r="J21" s="109">
        <v>1179.9999999999927</v>
      </c>
      <c r="K21" s="3">
        <v>1283331.4199999922</v>
      </c>
      <c r="L21" s="193">
        <v>280.00000000000114</v>
      </c>
      <c r="M21" s="194">
        <v>456778.9800000019</v>
      </c>
      <c r="N21" s="97">
        <f t="shared" si="5"/>
        <v>1740110.3999999941</v>
      </c>
      <c r="O21" s="111">
        <f t="shared" si="6"/>
        <v>15595739.459999958</v>
      </c>
      <c r="P21" s="114">
        <f t="shared" si="7"/>
        <v>13219.999999999956</v>
      </c>
      <c r="Q21" s="204"/>
      <c r="R21" s="206"/>
      <c r="S21" s="279">
        <f t="shared" si="8"/>
        <v>13219.999999999956</v>
      </c>
      <c r="T21" s="280">
        <f t="shared" si="9"/>
        <v>15595739.459999958</v>
      </c>
      <c r="U21" s="281">
        <f t="shared" si="13"/>
        <v>1201.882805991632</v>
      </c>
      <c r="V21" s="195">
        <f t="shared" si="10"/>
        <v>946</v>
      </c>
      <c r="W21" s="3">
        <v>508</v>
      </c>
      <c r="X21" s="3">
        <v>9136380</v>
      </c>
      <c r="Y21" s="34">
        <v>438</v>
      </c>
      <c r="Z21" s="34">
        <v>209802</v>
      </c>
      <c r="AA21" s="34">
        <f t="shared" si="0"/>
        <v>9346182</v>
      </c>
      <c r="AB21" s="131">
        <f t="shared" si="1"/>
        <v>720.26180459599152</v>
      </c>
      <c r="AC21" s="137">
        <v>0</v>
      </c>
      <c r="AD21" s="3">
        <v>0</v>
      </c>
      <c r="AE21" s="3">
        <v>50</v>
      </c>
      <c r="AF21" s="3">
        <v>12</v>
      </c>
      <c r="AG21" s="3">
        <f t="shared" si="11"/>
        <v>62</v>
      </c>
      <c r="AH21" s="3">
        <f t="shared" si="12"/>
        <v>687861.48</v>
      </c>
      <c r="AI21" s="46">
        <f t="shared" si="2"/>
        <v>53.009919012583914</v>
      </c>
      <c r="AJ21" s="146">
        <v>198.97000000000025</v>
      </c>
      <c r="AK21" s="3">
        <v>1711142.0000000021</v>
      </c>
      <c r="AL21" s="42">
        <f t="shared" si="3"/>
        <v>131.86884492940493</v>
      </c>
      <c r="AM21" s="7"/>
    </row>
    <row r="22" spans="1:39" x14ac:dyDescent="0.3">
      <c r="A22" s="36"/>
      <c r="B22" s="61">
        <v>11</v>
      </c>
      <c r="C22" s="154">
        <v>3</v>
      </c>
      <c r="D22" s="156">
        <v>27</v>
      </c>
      <c r="E22" s="109">
        <v>9759.9999999999909</v>
      </c>
      <c r="F22" s="3">
        <v>10614673.43999999</v>
      </c>
      <c r="G22" s="38">
        <v>2039.999999999992</v>
      </c>
      <c r="H22" s="3">
        <v>3327961.1399999899</v>
      </c>
      <c r="I22" s="106">
        <f t="shared" si="4"/>
        <v>13942634.57999998</v>
      </c>
      <c r="J22" s="109">
        <v>1100.0000000000086</v>
      </c>
      <c r="K22" s="3">
        <v>1196325.9000000095</v>
      </c>
      <c r="L22" s="193">
        <v>280.00000000000114</v>
      </c>
      <c r="M22" s="194">
        <v>456778.9800000019</v>
      </c>
      <c r="N22" s="97">
        <f t="shared" si="5"/>
        <v>1653104.8800000113</v>
      </c>
      <c r="O22" s="111">
        <f t="shared" si="6"/>
        <v>15595739.459999992</v>
      </c>
      <c r="P22" s="114">
        <f t="shared" si="7"/>
        <v>13179.999999999993</v>
      </c>
      <c r="Q22" s="204"/>
      <c r="R22" s="206"/>
      <c r="S22" s="279">
        <f t="shared" si="8"/>
        <v>13179.999999999993</v>
      </c>
      <c r="T22" s="280">
        <f t="shared" si="9"/>
        <v>15595739.459999992</v>
      </c>
      <c r="U22" s="281">
        <f t="shared" si="13"/>
        <v>1201.8828059916348</v>
      </c>
      <c r="V22" s="195">
        <f t="shared" si="10"/>
        <v>963</v>
      </c>
      <c r="W22" s="3">
        <v>502</v>
      </c>
      <c r="X22" s="3">
        <v>9028470</v>
      </c>
      <c r="Y22" s="34">
        <v>461</v>
      </c>
      <c r="Z22" s="34">
        <v>220819</v>
      </c>
      <c r="AA22" s="34">
        <f t="shared" si="0"/>
        <v>9249289</v>
      </c>
      <c r="AB22" s="131">
        <f t="shared" si="1"/>
        <v>712.79476329156159</v>
      </c>
      <c r="AC22" s="137">
        <v>0</v>
      </c>
      <c r="AD22" s="3">
        <v>0</v>
      </c>
      <c r="AE22" s="3">
        <v>50</v>
      </c>
      <c r="AF22" s="3">
        <v>12</v>
      </c>
      <c r="AG22" s="3">
        <f t="shared" si="11"/>
        <v>62</v>
      </c>
      <c r="AH22" s="3">
        <f t="shared" si="12"/>
        <v>687861.48</v>
      </c>
      <c r="AI22" s="46">
        <f t="shared" si="2"/>
        <v>53.009919012583914</v>
      </c>
      <c r="AJ22" s="146">
        <v>123.97999999999956</v>
      </c>
      <c r="AK22" s="3">
        <v>1066227.9999999963</v>
      </c>
      <c r="AL22" s="42">
        <f t="shared" si="3"/>
        <v>82.168665599575547</v>
      </c>
      <c r="AM22" s="7"/>
    </row>
    <row r="23" spans="1:39" x14ac:dyDescent="0.3">
      <c r="A23" s="36"/>
      <c r="B23" s="61">
        <v>12</v>
      </c>
      <c r="C23" s="154">
        <v>3</v>
      </c>
      <c r="D23" s="156">
        <v>53</v>
      </c>
      <c r="E23" s="109">
        <v>9879.9999999998818</v>
      </c>
      <c r="F23" s="3">
        <v>10745181.719999872</v>
      </c>
      <c r="G23" s="38">
        <v>1719.9999999999989</v>
      </c>
      <c r="H23" s="3">
        <v>2805928.0199999986</v>
      </c>
      <c r="I23" s="106">
        <f t="shared" si="4"/>
        <v>13551109.739999872</v>
      </c>
      <c r="J23" s="109">
        <v>1200.0000000000027</v>
      </c>
      <c r="K23" s="3">
        <v>1305082.8000000031</v>
      </c>
      <c r="L23" s="193">
        <v>359.99999999999943</v>
      </c>
      <c r="M23" s="194">
        <v>587287.25999999908</v>
      </c>
      <c r="N23" s="97">
        <f t="shared" si="5"/>
        <v>1892370.0600000022</v>
      </c>
      <c r="O23" s="111">
        <f t="shared" si="6"/>
        <v>15443479.799999874</v>
      </c>
      <c r="P23" s="114">
        <f t="shared" si="7"/>
        <v>13159.999999999884</v>
      </c>
      <c r="Q23" s="204"/>
      <c r="R23" s="206"/>
      <c r="S23" s="279">
        <f t="shared" si="8"/>
        <v>13159.999999999884</v>
      </c>
      <c r="T23" s="280">
        <f t="shared" si="9"/>
        <v>15443479.799999874</v>
      </c>
      <c r="U23" s="281">
        <f t="shared" si="13"/>
        <v>1190.1489431716236</v>
      </c>
      <c r="V23" s="195">
        <f t="shared" si="10"/>
        <v>968</v>
      </c>
      <c r="W23" s="3">
        <v>510</v>
      </c>
      <c r="X23" s="3">
        <v>9172350</v>
      </c>
      <c r="Y23" s="34">
        <v>458</v>
      </c>
      <c r="Z23" s="34">
        <v>219382</v>
      </c>
      <c r="AA23" s="34">
        <f t="shared" si="0"/>
        <v>9391732</v>
      </c>
      <c r="AB23" s="131">
        <f t="shared" si="1"/>
        <v>723.7721070060395</v>
      </c>
      <c r="AC23" s="137">
        <v>0</v>
      </c>
      <c r="AD23" s="3">
        <v>0</v>
      </c>
      <c r="AE23" s="3">
        <v>100</v>
      </c>
      <c r="AF23" s="3">
        <v>12</v>
      </c>
      <c r="AG23" s="3">
        <f t="shared" si="11"/>
        <v>112</v>
      </c>
      <c r="AH23" s="3">
        <f t="shared" si="12"/>
        <v>1242588.48</v>
      </c>
      <c r="AI23" s="46">
        <f t="shared" si="2"/>
        <v>95.759853700151581</v>
      </c>
      <c r="AJ23" s="146">
        <v>292.69000000000051</v>
      </c>
      <c r="AK23" s="3">
        <v>2517134.0000000042</v>
      </c>
      <c r="AL23" s="42">
        <f t="shared" si="3"/>
        <v>193.98247083674698</v>
      </c>
      <c r="AM23" s="7"/>
    </row>
    <row r="24" spans="1:39" x14ac:dyDescent="0.3">
      <c r="A24" s="36"/>
      <c r="B24" s="61">
        <v>13</v>
      </c>
      <c r="C24" s="154">
        <v>3</v>
      </c>
      <c r="D24" s="156">
        <v>69</v>
      </c>
      <c r="E24" s="109">
        <v>10400.000000000091</v>
      </c>
      <c r="F24" s="3">
        <v>11310717.600000098</v>
      </c>
      <c r="G24" s="38">
        <v>2360.0000000000136</v>
      </c>
      <c r="H24" s="3">
        <v>3849994.2600000221</v>
      </c>
      <c r="I24" s="106">
        <f t="shared" si="4"/>
        <v>15160711.86000012</v>
      </c>
      <c r="J24" s="109">
        <v>1379.9999999999955</v>
      </c>
      <c r="K24" s="3">
        <v>1500845.2199999951</v>
      </c>
      <c r="L24" s="193">
        <v>379.99999999999898</v>
      </c>
      <c r="M24" s="194">
        <v>619914.32999999833</v>
      </c>
      <c r="N24" s="97">
        <f t="shared" si="5"/>
        <v>2120759.5499999933</v>
      </c>
      <c r="O24" s="111">
        <f t="shared" si="6"/>
        <v>17281471.410000116</v>
      </c>
      <c r="P24" s="114">
        <f t="shared" si="7"/>
        <v>14520.000000000098</v>
      </c>
      <c r="Q24" s="204"/>
      <c r="R24" s="206"/>
      <c r="S24" s="279">
        <f t="shared" si="8"/>
        <v>14520.000000000098</v>
      </c>
      <c r="T24" s="280">
        <f t="shared" si="9"/>
        <v>17281471.410000116</v>
      </c>
      <c r="U24" s="281">
        <f t="shared" si="13"/>
        <v>1331.7934300702382</v>
      </c>
      <c r="V24" s="195">
        <f>Y24+W24</f>
        <v>987</v>
      </c>
      <c r="W24" s="3">
        <v>496</v>
      </c>
      <c r="X24" s="3">
        <v>8920560</v>
      </c>
      <c r="Y24" s="34">
        <v>491</v>
      </c>
      <c r="Z24" s="34">
        <v>235189</v>
      </c>
      <c r="AA24" s="34">
        <f t="shared" si="0"/>
        <v>9155749</v>
      </c>
      <c r="AB24" s="131">
        <f t="shared" si="1"/>
        <v>705.58612031821599</v>
      </c>
      <c r="AC24" s="137">
        <v>0</v>
      </c>
      <c r="AD24" s="3">
        <v>0</v>
      </c>
      <c r="AE24" s="3">
        <v>100</v>
      </c>
      <c r="AF24" s="3">
        <v>12</v>
      </c>
      <c r="AG24" s="3">
        <f t="shared" si="11"/>
        <v>112</v>
      </c>
      <c r="AH24" s="3">
        <f t="shared" si="12"/>
        <v>1242588.48</v>
      </c>
      <c r="AI24" s="46">
        <f t="shared" si="2"/>
        <v>95.759853700151581</v>
      </c>
      <c r="AJ24" s="146">
        <v>0</v>
      </c>
      <c r="AK24" s="3">
        <v>0</v>
      </c>
      <c r="AL24" s="42">
        <f t="shared" si="3"/>
        <v>0</v>
      </c>
      <c r="AM24" s="7"/>
    </row>
    <row r="25" spans="1:39" x14ac:dyDescent="0.3">
      <c r="A25" s="36"/>
      <c r="B25" s="61">
        <v>14</v>
      </c>
      <c r="C25" s="154">
        <v>3</v>
      </c>
      <c r="D25" s="156">
        <v>125</v>
      </c>
      <c r="E25" s="109">
        <v>9720.0000000000273</v>
      </c>
      <c r="F25" s="3">
        <v>10571170.68000003</v>
      </c>
      <c r="G25" s="38">
        <v>2159.9999999999964</v>
      </c>
      <c r="H25" s="3">
        <v>3523723.5599999945</v>
      </c>
      <c r="I25" s="106">
        <f t="shared" si="4"/>
        <v>14094894.240000024</v>
      </c>
      <c r="J25" s="109">
        <v>1540.0000000000064</v>
      </c>
      <c r="K25" s="3">
        <v>1674856.2600000068</v>
      </c>
      <c r="L25" s="193">
        <v>379.99999999999898</v>
      </c>
      <c r="M25" s="194">
        <v>619914.32999999833</v>
      </c>
      <c r="N25" s="97">
        <f t="shared" si="5"/>
        <v>2294770.590000005</v>
      </c>
      <c r="O25" s="111">
        <f t="shared" si="6"/>
        <v>16389664.83000003</v>
      </c>
      <c r="P25" s="114">
        <f t="shared" si="7"/>
        <v>13800.000000000029</v>
      </c>
      <c r="Q25" s="204"/>
      <c r="R25" s="206"/>
      <c r="S25" s="279">
        <f t="shared" si="8"/>
        <v>13800.000000000029</v>
      </c>
      <c r="T25" s="280">
        <f t="shared" si="9"/>
        <v>16389664.83000003</v>
      </c>
      <c r="U25" s="281">
        <f t="shared" si="13"/>
        <v>1263.0665192673625</v>
      </c>
      <c r="V25" s="195">
        <f t="shared" si="10"/>
        <v>981</v>
      </c>
      <c r="W25" s="3">
        <v>499</v>
      </c>
      <c r="X25" s="3">
        <v>8974515</v>
      </c>
      <c r="Y25" s="34">
        <v>482</v>
      </c>
      <c r="Z25" s="34">
        <v>230878</v>
      </c>
      <c r="AA25" s="34">
        <f t="shared" si="0"/>
        <v>9205393</v>
      </c>
      <c r="AB25" s="131">
        <f t="shared" si="1"/>
        <v>709.41192608867539</v>
      </c>
      <c r="AC25" s="137">
        <v>0</v>
      </c>
      <c r="AD25" s="3">
        <v>0</v>
      </c>
      <c r="AE25" s="3">
        <v>100</v>
      </c>
      <c r="AF25" s="3">
        <v>12</v>
      </c>
      <c r="AG25" s="3">
        <f t="shared" si="11"/>
        <v>112</v>
      </c>
      <c r="AH25" s="3">
        <f t="shared" si="12"/>
        <v>1242588.48</v>
      </c>
      <c r="AI25" s="46">
        <f t="shared" si="2"/>
        <v>95.759853700151581</v>
      </c>
      <c r="AJ25" s="146">
        <v>116.46999999999935</v>
      </c>
      <c r="AK25" s="3">
        <v>1001641.9999999944</v>
      </c>
      <c r="AL25" s="42">
        <f t="shared" si="3"/>
        <v>77.191357334913249</v>
      </c>
      <c r="AM25" s="7"/>
    </row>
    <row r="26" spans="1:39" x14ac:dyDescent="0.3">
      <c r="A26" s="36"/>
      <c r="B26" s="61">
        <v>15</v>
      </c>
      <c r="C26" s="154">
        <v>3</v>
      </c>
      <c r="D26" s="156">
        <v>40</v>
      </c>
      <c r="E26" s="109">
        <v>9639.9999999998727</v>
      </c>
      <c r="F26" s="3">
        <v>10484165.15999986</v>
      </c>
      <c r="G26" s="38">
        <v>1960.000000000008</v>
      </c>
      <c r="H26" s="3">
        <v>3197452.8600000129</v>
      </c>
      <c r="I26" s="106">
        <f t="shared" si="4"/>
        <v>13681618.019999873</v>
      </c>
      <c r="J26" s="109">
        <v>1319.9999999999932</v>
      </c>
      <c r="K26" s="3">
        <v>1435591.0799999926</v>
      </c>
      <c r="L26" s="193">
        <v>339.99999999999989</v>
      </c>
      <c r="M26" s="194">
        <v>554660.18999999983</v>
      </c>
      <c r="N26" s="97">
        <f t="shared" si="5"/>
        <v>1990251.2699999926</v>
      </c>
      <c r="O26" s="111">
        <f t="shared" si="6"/>
        <v>15671869.289999865</v>
      </c>
      <c r="P26" s="114">
        <f t="shared" si="7"/>
        <v>13259.999999999873</v>
      </c>
      <c r="Q26" s="204"/>
      <c r="R26" s="206"/>
      <c r="S26" s="279">
        <f t="shared" si="8"/>
        <v>13259.999999999873</v>
      </c>
      <c r="T26" s="280">
        <f t="shared" si="9"/>
        <v>15671869.289999865</v>
      </c>
      <c r="U26" s="281">
        <f t="shared" si="13"/>
        <v>1207.7497374016259</v>
      </c>
      <c r="V26" s="195">
        <f t="shared" si="10"/>
        <v>966</v>
      </c>
      <c r="W26" s="3">
        <v>414</v>
      </c>
      <c r="X26" s="3">
        <v>7445790</v>
      </c>
      <c r="Y26" s="34">
        <v>552</v>
      </c>
      <c r="Z26" s="34">
        <v>264408</v>
      </c>
      <c r="AA26" s="34">
        <f t="shared" si="0"/>
        <v>7710198</v>
      </c>
      <c r="AB26" s="131">
        <f t="shared" si="1"/>
        <v>594.18499717557449</v>
      </c>
      <c r="AC26" s="137">
        <v>0</v>
      </c>
      <c r="AD26" s="3">
        <v>0</v>
      </c>
      <c r="AE26" s="3">
        <v>50</v>
      </c>
      <c r="AF26" s="3">
        <v>12</v>
      </c>
      <c r="AG26" s="3">
        <f t="shared" si="11"/>
        <v>62</v>
      </c>
      <c r="AH26" s="3">
        <f t="shared" si="12"/>
        <v>687861.48</v>
      </c>
      <c r="AI26" s="46">
        <f t="shared" si="2"/>
        <v>53.009919012583914</v>
      </c>
      <c r="AJ26" s="146">
        <v>201.71000000000004</v>
      </c>
      <c r="AK26" s="3">
        <v>1734706.0000000002</v>
      </c>
      <c r="AL26" s="42">
        <f t="shared" si="3"/>
        <v>133.68480027496727</v>
      </c>
      <c r="AM26" s="7"/>
    </row>
    <row r="27" spans="1:39" x14ac:dyDescent="0.3">
      <c r="A27" s="36"/>
      <c r="B27" s="61">
        <v>16</v>
      </c>
      <c r="C27" s="154">
        <v>3</v>
      </c>
      <c r="D27" s="156">
        <v>45</v>
      </c>
      <c r="E27" s="109">
        <v>10000</v>
      </c>
      <c r="F27" s="3">
        <v>10875690</v>
      </c>
      <c r="G27" s="38">
        <v>2119.9999999999764</v>
      </c>
      <c r="H27" s="3">
        <v>3458469.4199999617</v>
      </c>
      <c r="I27" s="106">
        <f t="shared" si="4"/>
        <v>14334159.419999961</v>
      </c>
      <c r="J27" s="109">
        <v>1379.9999999999955</v>
      </c>
      <c r="K27" s="3">
        <v>1500845.2199999951</v>
      </c>
      <c r="L27" s="193">
        <v>380.00000000000256</v>
      </c>
      <c r="M27" s="194">
        <v>619914.33000000415</v>
      </c>
      <c r="N27" s="97">
        <f t="shared" si="5"/>
        <v>2120759.5499999993</v>
      </c>
      <c r="O27" s="111">
        <f t="shared" si="6"/>
        <v>16454918.96999996</v>
      </c>
      <c r="P27" s="114">
        <f t="shared" si="7"/>
        <v>13879.999999999975</v>
      </c>
      <c r="Q27" s="204"/>
      <c r="R27" s="206"/>
      <c r="S27" s="279">
        <f t="shared" si="8"/>
        <v>13879.999999999975</v>
      </c>
      <c r="T27" s="280">
        <f t="shared" si="9"/>
        <v>16454918.96999996</v>
      </c>
      <c r="U27" s="281">
        <f t="shared" si="13"/>
        <v>1268.0953176187866</v>
      </c>
      <c r="V27" s="195">
        <f t="shared" si="10"/>
        <v>1016</v>
      </c>
      <c r="W27" s="3">
        <v>479</v>
      </c>
      <c r="X27" s="3">
        <v>8614815</v>
      </c>
      <c r="Y27" s="34">
        <v>537</v>
      </c>
      <c r="Z27" s="34">
        <v>257223</v>
      </c>
      <c r="AA27" s="34">
        <f t="shared" si="0"/>
        <v>8872038</v>
      </c>
      <c r="AB27" s="131">
        <f t="shared" si="1"/>
        <v>683.72198404912422</v>
      </c>
      <c r="AC27" s="137">
        <v>0</v>
      </c>
      <c r="AD27" s="3">
        <v>0</v>
      </c>
      <c r="AE27" s="3">
        <v>50</v>
      </c>
      <c r="AF27" s="3">
        <v>12</v>
      </c>
      <c r="AG27" s="3">
        <f t="shared" si="11"/>
        <v>62</v>
      </c>
      <c r="AH27" s="3">
        <f t="shared" si="12"/>
        <v>687861.48</v>
      </c>
      <c r="AI27" s="46">
        <f t="shared" si="2"/>
        <v>53.009919012583914</v>
      </c>
      <c r="AJ27" s="146">
        <v>92.630000000000109</v>
      </c>
      <c r="AK27" s="3">
        <v>796618.00000000093</v>
      </c>
      <c r="AL27" s="42">
        <f t="shared" si="3"/>
        <v>61.391220313669287</v>
      </c>
      <c r="AM27" s="7"/>
    </row>
    <row r="28" spans="1:39" x14ac:dyDescent="0.3">
      <c r="A28" s="36"/>
      <c r="B28" s="61">
        <v>17</v>
      </c>
      <c r="C28" s="154">
        <v>3</v>
      </c>
      <c r="D28" s="156">
        <v>31</v>
      </c>
      <c r="E28" s="109">
        <v>10480.000000000018</v>
      </c>
      <c r="F28" s="3">
        <v>11397723.12000002</v>
      </c>
      <c r="G28" s="38">
        <v>2160.000000000025</v>
      </c>
      <c r="H28" s="3">
        <v>3523723.560000041</v>
      </c>
      <c r="I28" s="106">
        <f t="shared" si="4"/>
        <v>14921446.680000061</v>
      </c>
      <c r="J28" s="109">
        <v>1500</v>
      </c>
      <c r="K28" s="3">
        <v>1631353.5</v>
      </c>
      <c r="L28" s="193">
        <v>299.99999999999716</v>
      </c>
      <c r="M28" s="194">
        <v>489406.04999999539</v>
      </c>
      <c r="N28" s="97">
        <f t="shared" si="5"/>
        <v>2120759.5499999952</v>
      </c>
      <c r="O28" s="111">
        <f t="shared" si="6"/>
        <v>17042206.230000056</v>
      </c>
      <c r="P28" s="114">
        <f t="shared" si="7"/>
        <v>14440.00000000004</v>
      </c>
      <c r="Q28" s="204"/>
      <c r="R28" s="206"/>
      <c r="S28" s="279">
        <f t="shared" si="8"/>
        <v>14440.00000000004</v>
      </c>
      <c r="T28" s="280">
        <f t="shared" si="9"/>
        <v>17042206.230000056</v>
      </c>
      <c r="U28" s="281">
        <f t="shared" si="13"/>
        <v>1313.354502781659</v>
      </c>
      <c r="V28" s="195">
        <f t="shared" si="10"/>
        <v>1046</v>
      </c>
      <c r="W28" s="3">
        <v>398</v>
      </c>
      <c r="X28" s="3">
        <v>7158030</v>
      </c>
      <c r="Y28" s="34">
        <v>648</v>
      </c>
      <c r="Z28" s="34">
        <v>310392</v>
      </c>
      <c r="AA28" s="34">
        <f t="shared" si="0"/>
        <v>7468422</v>
      </c>
      <c r="AB28" s="131">
        <f t="shared" si="1"/>
        <v>575.55257400341702</v>
      </c>
      <c r="AC28" s="137">
        <v>0</v>
      </c>
      <c r="AD28" s="3">
        <v>0</v>
      </c>
      <c r="AE28" s="3">
        <v>50</v>
      </c>
      <c r="AF28" s="3">
        <v>12</v>
      </c>
      <c r="AG28" s="3">
        <f t="shared" si="11"/>
        <v>62</v>
      </c>
      <c r="AH28" s="3">
        <f t="shared" si="12"/>
        <v>687861.48</v>
      </c>
      <c r="AI28" s="46">
        <f t="shared" si="2"/>
        <v>53.009919012583914</v>
      </c>
      <c r="AJ28" s="146">
        <v>266.69000000000051</v>
      </c>
      <c r="AK28" s="3">
        <v>2293534.0000000042</v>
      </c>
      <c r="AL28" s="42">
        <f t="shared" si="3"/>
        <v>176.75077777666493</v>
      </c>
      <c r="AM28" s="7"/>
    </row>
    <row r="29" spans="1:39" x14ac:dyDescent="0.3">
      <c r="A29" s="36"/>
      <c r="B29" s="61">
        <v>18</v>
      </c>
      <c r="C29" s="154">
        <v>2</v>
      </c>
      <c r="D29" s="156">
        <v>28</v>
      </c>
      <c r="E29" s="109">
        <v>9720.0000000000273</v>
      </c>
      <c r="F29" s="3">
        <v>10571170.68000003</v>
      </c>
      <c r="G29" s="38">
        <v>2079.9999999999841</v>
      </c>
      <c r="H29" s="3">
        <v>3393215.2799999742</v>
      </c>
      <c r="I29" s="106">
        <f t="shared" si="4"/>
        <v>13964385.960000005</v>
      </c>
      <c r="J29" s="109">
        <v>1200.0000000000027</v>
      </c>
      <c r="K29" s="3">
        <v>1305082.8000000031</v>
      </c>
      <c r="L29" s="193">
        <v>300.00000000000068</v>
      </c>
      <c r="M29" s="194">
        <v>489406.05000000109</v>
      </c>
      <c r="N29" s="97">
        <f t="shared" si="5"/>
        <v>1794488.8500000043</v>
      </c>
      <c r="O29" s="111">
        <f t="shared" si="6"/>
        <v>15758874.81000001</v>
      </c>
      <c r="P29" s="114">
        <f t="shared" si="7"/>
        <v>13300.000000000015</v>
      </c>
      <c r="Q29" s="204"/>
      <c r="R29" s="206"/>
      <c r="S29" s="279">
        <f t="shared" si="8"/>
        <v>13300.000000000015</v>
      </c>
      <c r="T29" s="280">
        <f t="shared" si="9"/>
        <v>15758874.81000001</v>
      </c>
      <c r="U29" s="281">
        <f t="shared" si="13"/>
        <v>1214.4548018702096</v>
      </c>
      <c r="V29" s="195">
        <f t="shared" si="10"/>
        <v>984</v>
      </c>
      <c r="W29" s="3">
        <v>506</v>
      </c>
      <c r="X29" s="3">
        <v>9100410</v>
      </c>
      <c r="Y29" s="34">
        <v>478</v>
      </c>
      <c r="Z29" s="34">
        <v>228962</v>
      </c>
      <c r="AA29" s="34">
        <f t="shared" si="0"/>
        <v>9329372</v>
      </c>
      <c r="AB29" s="131">
        <f t="shared" si="1"/>
        <v>718.96634502380914</v>
      </c>
      <c r="AC29" s="137">
        <v>0</v>
      </c>
      <c r="AD29" s="3">
        <v>0</v>
      </c>
      <c r="AE29" s="3">
        <v>50</v>
      </c>
      <c r="AF29" s="3">
        <v>12</v>
      </c>
      <c r="AG29" s="3">
        <f t="shared" si="11"/>
        <v>62</v>
      </c>
      <c r="AH29" s="3">
        <f t="shared" si="12"/>
        <v>687861.48</v>
      </c>
      <c r="AI29" s="46">
        <f t="shared" si="2"/>
        <v>53.009919012583914</v>
      </c>
      <c r="AJ29" s="146">
        <v>198.6899999999996</v>
      </c>
      <c r="AK29" s="3">
        <v>1708733.9999999965</v>
      </c>
      <c r="AL29" s="42">
        <f t="shared" si="3"/>
        <v>131.68327285029594</v>
      </c>
      <c r="AM29" s="7"/>
    </row>
    <row r="30" spans="1:39" x14ac:dyDescent="0.3">
      <c r="A30" s="36"/>
      <c r="B30" s="61">
        <v>19</v>
      </c>
      <c r="C30" s="154">
        <v>2</v>
      </c>
      <c r="D30" s="156">
        <v>31</v>
      </c>
      <c r="E30" s="109">
        <v>10079.999999999927</v>
      </c>
      <c r="F30" s="3">
        <v>10962695.519999921</v>
      </c>
      <c r="G30" s="38">
        <v>1920.0000000000159</v>
      </c>
      <c r="H30" s="3">
        <v>3132198.7200000263</v>
      </c>
      <c r="I30" s="106">
        <f t="shared" si="4"/>
        <v>14094894.239999948</v>
      </c>
      <c r="J30" s="109">
        <v>1299.9999999999973</v>
      </c>
      <c r="K30" s="3">
        <v>1413839.6999999972</v>
      </c>
      <c r="L30" s="193">
        <v>300.00000000000068</v>
      </c>
      <c r="M30" s="194">
        <v>489406.05000000109</v>
      </c>
      <c r="N30" s="97">
        <f t="shared" si="5"/>
        <v>1903245.7499999981</v>
      </c>
      <c r="O30" s="111">
        <f t="shared" si="6"/>
        <v>15998139.989999946</v>
      </c>
      <c r="P30" s="114">
        <f t="shared" si="7"/>
        <v>13599.999999999942</v>
      </c>
      <c r="Q30" s="204"/>
      <c r="R30" s="206"/>
      <c r="S30" s="279">
        <f t="shared" si="8"/>
        <v>13599.999999999942</v>
      </c>
      <c r="T30" s="280">
        <f t="shared" si="9"/>
        <v>15998139.989999946</v>
      </c>
      <c r="U30" s="281">
        <f t="shared" si="13"/>
        <v>1232.8937291587795</v>
      </c>
      <c r="V30" s="195">
        <f t="shared" si="10"/>
        <v>981</v>
      </c>
      <c r="W30" s="3">
        <v>313</v>
      </c>
      <c r="X30" s="3">
        <v>5629305</v>
      </c>
      <c r="Y30" s="34">
        <v>668</v>
      </c>
      <c r="Z30" s="34">
        <v>319972</v>
      </c>
      <c r="AA30" s="34">
        <f t="shared" si="0"/>
        <v>5949277</v>
      </c>
      <c r="AB30" s="131">
        <f t="shared" si="1"/>
        <v>458.47994272542809</v>
      </c>
      <c r="AC30" s="137">
        <v>0</v>
      </c>
      <c r="AD30" s="3">
        <v>0</v>
      </c>
      <c r="AE30" s="3">
        <v>50</v>
      </c>
      <c r="AF30" s="3">
        <v>0</v>
      </c>
      <c r="AG30" s="3">
        <f t="shared" si="11"/>
        <v>50</v>
      </c>
      <c r="AH30" s="3">
        <f t="shared" si="12"/>
        <v>554727</v>
      </c>
      <c r="AI30" s="46">
        <f t="shared" si="2"/>
        <v>42.749934687567674</v>
      </c>
      <c r="AJ30" s="146">
        <v>127.28999999999996</v>
      </c>
      <c r="AK30" s="3">
        <v>1094693.9999999998</v>
      </c>
      <c r="AL30" s="42">
        <f t="shared" si="3"/>
        <v>84.362392677609336</v>
      </c>
      <c r="AM30" s="7"/>
    </row>
    <row r="31" spans="1:39" x14ac:dyDescent="0.3">
      <c r="A31" s="36"/>
      <c r="B31" s="61">
        <v>20</v>
      </c>
      <c r="C31" s="154">
        <v>2</v>
      </c>
      <c r="D31" s="156">
        <v>55</v>
      </c>
      <c r="E31" s="109">
        <v>9760.0000000002183</v>
      </c>
      <c r="F31" s="3">
        <v>10614673.440000238</v>
      </c>
      <c r="G31" s="38">
        <v>1959.9999999999795</v>
      </c>
      <c r="H31" s="3">
        <v>3197452.8599999673</v>
      </c>
      <c r="I31" s="106">
        <f t="shared" si="4"/>
        <v>13812126.300000206</v>
      </c>
      <c r="J31" s="109">
        <v>1280.0000000000011</v>
      </c>
      <c r="K31" s="3">
        <v>1392088.3200000012</v>
      </c>
      <c r="L31" s="193">
        <v>339.99999999999989</v>
      </c>
      <c r="M31" s="194">
        <v>554660.18999999983</v>
      </c>
      <c r="N31" s="97">
        <f t="shared" si="5"/>
        <v>1946748.5100000012</v>
      </c>
      <c r="O31" s="111">
        <f t="shared" si="6"/>
        <v>15758874.810000207</v>
      </c>
      <c r="P31" s="114">
        <f t="shared" si="7"/>
        <v>13340.000000000198</v>
      </c>
      <c r="Q31" s="204"/>
      <c r="R31" s="207"/>
      <c r="S31" s="279">
        <f t="shared" si="8"/>
        <v>13340.000000000198</v>
      </c>
      <c r="T31" s="280">
        <f t="shared" si="9"/>
        <v>15758874.810000207</v>
      </c>
      <c r="U31" s="281">
        <f t="shared" si="13"/>
        <v>1214.4548018702249</v>
      </c>
      <c r="V31" s="195">
        <f t="shared" si="10"/>
        <v>1011</v>
      </c>
      <c r="W31" s="3">
        <v>384</v>
      </c>
      <c r="X31" s="3">
        <v>6906240</v>
      </c>
      <c r="Y31" s="34">
        <v>627</v>
      </c>
      <c r="Z31" s="34">
        <v>300333</v>
      </c>
      <c r="AA31" s="34">
        <f t="shared" si="0"/>
        <v>7206573</v>
      </c>
      <c r="AB31" s="131">
        <f t="shared" si="1"/>
        <v>555.3732287615145</v>
      </c>
      <c r="AC31" s="137">
        <v>0</v>
      </c>
      <c r="AD31" s="3">
        <v>0</v>
      </c>
      <c r="AE31" s="3">
        <v>50</v>
      </c>
      <c r="AF31" s="3">
        <v>0</v>
      </c>
      <c r="AG31" s="3">
        <f t="shared" si="11"/>
        <v>50</v>
      </c>
      <c r="AH31" s="3">
        <f t="shared" si="12"/>
        <v>554727</v>
      </c>
      <c r="AI31" s="46">
        <f t="shared" si="2"/>
        <v>42.749934687567674</v>
      </c>
      <c r="AJ31" s="146">
        <v>145.43000000000029</v>
      </c>
      <c r="AK31" s="3">
        <v>1250698.0000000026</v>
      </c>
      <c r="AL31" s="42">
        <f t="shared" si="3"/>
        <v>96.384812374143721</v>
      </c>
      <c r="AM31" s="7"/>
    </row>
    <row r="32" spans="1:39" x14ac:dyDescent="0.3">
      <c r="A32" s="36"/>
      <c r="B32" s="61">
        <v>21</v>
      </c>
      <c r="C32" s="154">
        <v>2</v>
      </c>
      <c r="D32" s="156">
        <v>68</v>
      </c>
      <c r="E32" s="109">
        <v>9879.9999999998818</v>
      </c>
      <c r="F32" s="3">
        <v>10745181.719999872</v>
      </c>
      <c r="G32" s="38">
        <v>1960.0000000000364</v>
      </c>
      <c r="H32" s="3">
        <v>3197452.8600000595</v>
      </c>
      <c r="I32" s="106">
        <f t="shared" si="4"/>
        <v>13942634.579999931</v>
      </c>
      <c r="J32" s="109">
        <v>540.00000000000625</v>
      </c>
      <c r="K32" s="3">
        <v>587287.26000000688</v>
      </c>
      <c r="L32" s="193">
        <v>339.99999999999989</v>
      </c>
      <c r="M32" s="194">
        <v>554660.18999999983</v>
      </c>
      <c r="N32" s="97">
        <f t="shared" si="5"/>
        <v>1141947.4500000067</v>
      </c>
      <c r="O32" s="111">
        <f t="shared" si="6"/>
        <v>15084582.029999938</v>
      </c>
      <c r="P32" s="114">
        <f t="shared" si="7"/>
        <v>12719.999999999924</v>
      </c>
      <c r="Q32" s="204"/>
      <c r="R32" s="207"/>
      <c r="S32" s="279">
        <f t="shared" si="8"/>
        <v>12719.999999999924</v>
      </c>
      <c r="T32" s="280">
        <f t="shared" si="9"/>
        <v>15084582.029999938</v>
      </c>
      <c r="U32" s="281">
        <f t="shared" si="13"/>
        <v>1162.4905522387667</v>
      </c>
      <c r="V32" s="195">
        <f t="shared" si="10"/>
        <v>1000</v>
      </c>
      <c r="W32" s="3">
        <v>370</v>
      </c>
      <c r="X32" s="3">
        <v>6654450</v>
      </c>
      <c r="Y32" s="34">
        <v>630</v>
      </c>
      <c r="Z32" s="34">
        <v>301770</v>
      </c>
      <c r="AA32" s="34">
        <f t="shared" si="0"/>
        <v>6956220</v>
      </c>
      <c r="AB32" s="131">
        <f t="shared" si="1"/>
        <v>536.07982065475812</v>
      </c>
      <c r="AC32" s="137">
        <v>0</v>
      </c>
      <c r="AD32" s="3">
        <v>0</v>
      </c>
      <c r="AE32" s="3">
        <v>50</v>
      </c>
      <c r="AF32" s="3">
        <v>12</v>
      </c>
      <c r="AG32" s="3">
        <f t="shared" si="11"/>
        <v>62</v>
      </c>
      <c r="AH32" s="3">
        <f t="shared" si="12"/>
        <v>687861.48</v>
      </c>
      <c r="AI32" s="46">
        <f t="shared" si="2"/>
        <v>53.009919012583914</v>
      </c>
      <c r="AJ32" s="146">
        <v>92.739999999999782</v>
      </c>
      <c r="AK32" s="3">
        <v>797563.99999999814</v>
      </c>
      <c r="AL32" s="42">
        <f t="shared" si="3"/>
        <v>61.464123630461728</v>
      </c>
      <c r="AM32" s="7"/>
    </row>
    <row r="33" spans="1:39" x14ac:dyDescent="0.3">
      <c r="A33" s="36"/>
      <c r="B33" s="61">
        <v>22</v>
      </c>
      <c r="C33" s="154"/>
      <c r="D33" s="156"/>
      <c r="E33" s="109"/>
      <c r="F33" s="3"/>
      <c r="G33" s="38"/>
      <c r="H33" s="3"/>
      <c r="I33" s="106">
        <f t="shared" si="4"/>
        <v>0</v>
      </c>
      <c r="J33" s="109"/>
      <c r="K33" s="3"/>
      <c r="L33" s="193"/>
      <c r="M33" s="194"/>
      <c r="N33" s="97">
        <f t="shared" si="5"/>
        <v>0</v>
      </c>
      <c r="O33" s="111">
        <f t="shared" si="6"/>
        <v>0</v>
      </c>
      <c r="P33" s="114">
        <f t="shared" si="7"/>
        <v>0</v>
      </c>
      <c r="Q33" s="204"/>
      <c r="R33" s="207"/>
      <c r="S33" s="210"/>
      <c r="T33" s="212"/>
      <c r="U33" s="214"/>
      <c r="V33" s="195"/>
      <c r="W33" s="3"/>
      <c r="X33" s="3"/>
      <c r="Y33" s="34"/>
      <c r="Z33" s="34"/>
      <c r="AA33" s="34">
        <f t="shared" si="0"/>
        <v>0</v>
      </c>
      <c r="AB33" s="131">
        <f t="shared" si="1"/>
        <v>0</v>
      </c>
      <c r="AC33" s="137"/>
      <c r="AD33" s="3"/>
      <c r="AE33" s="3"/>
      <c r="AF33" s="3"/>
      <c r="AG33" s="3">
        <f t="shared" si="11"/>
        <v>0</v>
      </c>
      <c r="AH33" s="3"/>
      <c r="AI33" s="46">
        <f t="shared" si="2"/>
        <v>0</v>
      </c>
      <c r="AJ33" s="146"/>
      <c r="AK33" s="3"/>
      <c r="AL33" s="42">
        <f t="shared" si="3"/>
        <v>0</v>
      </c>
      <c r="AM33" s="7"/>
    </row>
    <row r="34" spans="1:39" x14ac:dyDescent="0.3">
      <c r="A34" s="36"/>
      <c r="B34" s="61">
        <v>23</v>
      </c>
      <c r="C34" s="154"/>
      <c r="D34" s="156"/>
      <c r="E34" s="109"/>
      <c r="F34" s="3"/>
      <c r="G34" s="38"/>
      <c r="H34" s="3"/>
      <c r="I34" s="106">
        <f t="shared" si="4"/>
        <v>0</v>
      </c>
      <c r="J34" s="109"/>
      <c r="K34" s="3"/>
      <c r="L34" s="193"/>
      <c r="M34" s="194"/>
      <c r="N34" s="97">
        <f t="shared" si="5"/>
        <v>0</v>
      </c>
      <c r="O34" s="111">
        <f t="shared" si="6"/>
        <v>0</v>
      </c>
      <c r="P34" s="114">
        <f t="shared" si="7"/>
        <v>0</v>
      </c>
      <c r="Q34" s="204"/>
      <c r="R34" s="207"/>
      <c r="S34" s="210"/>
      <c r="T34" s="212"/>
      <c r="U34" s="214"/>
      <c r="V34" s="195"/>
      <c r="W34" s="3"/>
      <c r="X34" s="3"/>
      <c r="Y34" s="34"/>
      <c r="Z34" s="34"/>
      <c r="AA34" s="34">
        <f t="shared" si="0"/>
        <v>0</v>
      </c>
      <c r="AB34" s="131">
        <f t="shared" si="1"/>
        <v>0</v>
      </c>
      <c r="AC34" s="137"/>
      <c r="AD34" s="3"/>
      <c r="AE34" s="3"/>
      <c r="AF34" s="3"/>
      <c r="AG34" s="3">
        <f t="shared" si="11"/>
        <v>0</v>
      </c>
      <c r="AH34" s="3"/>
      <c r="AI34" s="46">
        <f t="shared" si="2"/>
        <v>0</v>
      </c>
      <c r="AJ34" s="146"/>
      <c r="AK34" s="3"/>
      <c r="AL34" s="42">
        <f t="shared" si="3"/>
        <v>0</v>
      </c>
      <c r="AM34" s="7"/>
    </row>
    <row r="35" spans="1:39" x14ac:dyDescent="0.3">
      <c r="A35" s="36"/>
      <c r="B35" s="61">
        <v>24</v>
      </c>
      <c r="C35" s="154"/>
      <c r="D35" s="156"/>
      <c r="E35" s="109"/>
      <c r="F35" s="3"/>
      <c r="G35" s="38"/>
      <c r="H35" s="3"/>
      <c r="I35" s="106">
        <f t="shared" si="4"/>
        <v>0</v>
      </c>
      <c r="J35" s="109"/>
      <c r="K35" s="3"/>
      <c r="L35" s="193"/>
      <c r="M35" s="194"/>
      <c r="N35" s="97">
        <f t="shared" si="5"/>
        <v>0</v>
      </c>
      <c r="O35" s="111">
        <f t="shared" si="6"/>
        <v>0</v>
      </c>
      <c r="P35" s="114">
        <f t="shared" si="7"/>
        <v>0</v>
      </c>
      <c r="Q35" s="204"/>
      <c r="R35" s="207"/>
      <c r="S35" s="210"/>
      <c r="T35" s="212"/>
      <c r="U35" s="214"/>
      <c r="V35" s="195"/>
      <c r="W35" s="3"/>
      <c r="X35" s="3"/>
      <c r="Y35" s="34"/>
      <c r="Z35" s="34"/>
      <c r="AA35" s="34">
        <f t="shared" si="0"/>
        <v>0</v>
      </c>
      <c r="AB35" s="131">
        <f t="shared" si="1"/>
        <v>0</v>
      </c>
      <c r="AC35" s="137"/>
      <c r="AD35" s="3"/>
      <c r="AE35" s="3"/>
      <c r="AF35" s="3"/>
      <c r="AG35" s="3">
        <f t="shared" si="11"/>
        <v>0</v>
      </c>
      <c r="AH35" s="3"/>
      <c r="AI35" s="46">
        <f t="shared" si="2"/>
        <v>0</v>
      </c>
      <c r="AJ35" s="146"/>
      <c r="AK35" s="3"/>
      <c r="AL35" s="42">
        <f t="shared" si="3"/>
        <v>0</v>
      </c>
      <c r="AM35" s="7"/>
    </row>
    <row r="36" spans="1:39" x14ac:dyDescent="0.3">
      <c r="A36" s="36"/>
      <c r="B36" s="61">
        <v>25</v>
      </c>
      <c r="C36" s="154"/>
      <c r="D36" s="156"/>
      <c r="E36" s="109"/>
      <c r="F36" s="3"/>
      <c r="G36" s="38"/>
      <c r="H36" s="3"/>
      <c r="I36" s="106">
        <f t="shared" si="4"/>
        <v>0</v>
      </c>
      <c r="J36" s="109"/>
      <c r="K36" s="3"/>
      <c r="L36" s="193"/>
      <c r="M36" s="194"/>
      <c r="N36" s="97">
        <f t="shared" si="5"/>
        <v>0</v>
      </c>
      <c r="O36" s="111">
        <f t="shared" si="6"/>
        <v>0</v>
      </c>
      <c r="P36" s="114">
        <f t="shared" si="7"/>
        <v>0</v>
      </c>
      <c r="Q36" s="204"/>
      <c r="R36" s="207"/>
      <c r="S36" s="210"/>
      <c r="T36" s="212"/>
      <c r="U36" s="214"/>
      <c r="V36" s="195"/>
      <c r="W36" s="3"/>
      <c r="X36" s="3"/>
      <c r="Y36" s="34"/>
      <c r="Z36" s="34"/>
      <c r="AA36" s="34">
        <f t="shared" si="0"/>
        <v>0</v>
      </c>
      <c r="AB36" s="131">
        <f t="shared" si="1"/>
        <v>0</v>
      </c>
      <c r="AC36" s="137"/>
      <c r="AD36" s="3"/>
      <c r="AE36" s="3"/>
      <c r="AF36" s="3"/>
      <c r="AG36" s="3">
        <f t="shared" si="11"/>
        <v>0</v>
      </c>
      <c r="AH36" s="3"/>
      <c r="AI36" s="46">
        <f t="shared" si="2"/>
        <v>0</v>
      </c>
      <c r="AJ36" s="146"/>
      <c r="AK36" s="3"/>
      <c r="AL36" s="42">
        <f t="shared" si="3"/>
        <v>0</v>
      </c>
      <c r="AM36" s="7"/>
    </row>
    <row r="37" spans="1:39" x14ac:dyDescent="0.3">
      <c r="A37" s="36"/>
      <c r="B37" s="61">
        <v>26</v>
      </c>
      <c r="C37" s="154"/>
      <c r="D37" s="156"/>
      <c r="E37" s="109"/>
      <c r="F37" s="3"/>
      <c r="G37" s="38"/>
      <c r="H37" s="3"/>
      <c r="I37" s="106">
        <f t="shared" si="4"/>
        <v>0</v>
      </c>
      <c r="J37" s="109"/>
      <c r="K37" s="3"/>
      <c r="L37" s="193"/>
      <c r="M37" s="194"/>
      <c r="N37" s="97">
        <f t="shared" si="5"/>
        <v>0</v>
      </c>
      <c r="O37" s="111">
        <f t="shared" si="6"/>
        <v>0</v>
      </c>
      <c r="P37" s="114">
        <f t="shared" si="7"/>
        <v>0</v>
      </c>
      <c r="Q37" s="204"/>
      <c r="R37" s="207"/>
      <c r="S37" s="210"/>
      <c r="T37" s="212"/>
      <c r="U37" s="214"/>
      <c r="V37" s="195"/>
      <c r="W37" s="3"/>
      <c r="X37" s="3"/>
      <c r="Y37" s="34"/>
      <c r="Z37" s="34"/>
      <c r="AA37" s="34">
        <f t="shared" si="0"/>
        <v>0</v>
      </c>
      <c r="AB37" s="131">
        <f t="shared" si="1"/>
        <v>0</v>
      </c>
      <c r="AC37" s="137"/>
      <c r="AD37" s="3"/>
      <c r="AE37" s="3"/>
      <c r="AF37" s="3"/>
      <c r="AG37" s="3">
        <f t="shared" si="11"/>
        <v>0</v>
      </c>
      <c r="AH37" s="3"/>
      <c r="AI37" s="46">
        <f t="shared" si="2"/>
        <v>0</v>
      </c>
      <c r="AJ37" s="146"/>
      <c r="AK37" s="3"/>
      <c r="AL37" s="42">
        <f t="shared" si="3"/>
        <v>0</v>
      </c>
      <c r="AM37" s="7"/>
    </row>
    <row r="38" spans="1:39" x14ac:dyDescent="0.3">
      <c r="A38" s="36"/>
      <c r="B38" s="61">
        <v>27</v>
      </c>
      <c r="C38" s="154"/>
      <c r="D38" s="156"/>
      <c r="E38" s="109"/>
      <c r="F38" s="3"/>
      <c r="G38" s="38"/>
      <c r="H38" s="3"/>
      <c r="I38" s="106">
        <f t="shared" si="4"/>
        <v>0</v>
      </c>
      <c r="J38" s="109"/>
      <c r="K38" s="3"/>
      <c r="L38" s="193"/>
      <c r="M38" s="194"/>
      <c r="N38" s="97">
        <f t="shared" si="5"/>
        <v>0</v>
      </c>
      <c r="O38" s="111">
        <f t="shared" si="6"/>
        <v>0</v>
      </c>
      <c r="P38" s="114">
        <f t="shared" si="7"/>
        <v>0</v>
      </c>
      <c r="Q38" s="204"/>
      <c r="R38" s="207"/>
      <c r="S38" s="210"/>
      <c r="T38" s="212"/>
      <c r="U38" s="214"/>
      <c r="V38" s="195"/>
      <c r="W38" s="3"/>
      <c r="X38" s="3"/>
      <c r="Y38" s="34"/>
      <c r="Z38" s="34"/>
      <c r="AA38" s="34">
        <f t="shared" si="0"/>
        <v>0</v>
      </c>
      <c r="AB38" s="131">
        <f t="shared" si="1"/>
        <v>0</v>
      </c>
      <c r="AC38" s="137"/>
      <c r="AD38" s="3"/>
      <c r="AE38" s="3"/>
      <c r="AF38" s="3"/>
      <c r="AG38" s="3">
        <f t="shared" si="11"/>
        <v>0</v>
      </c>
      <c r="AH38" s="3"/>
      <c r="AI38" s="46">
        <f t="shared" si="2"/>
        <v>0</v>
      </c>
      <c r="AJ38" s="146"/>
      <c r="AK38" s="3"/>
      <c r="AL38" s="42">
        <f t="shared" si="3"/>
        <v>0</v>
      </c>
      <c r="AM38" s="7"/>
    </row>
    <row r="39" spans="1:39" x14ac:dyDescent="0.3">
      <c r="A39" s="36"/>
      <c r="B39" s="61">
        <v>28</v>
      </c>
      <c r="C39" s="154"/>
      <c r="D39" s="156"/>
      <c r="E39" s="109"/>
      <c r="F39" s="3"/>
      <c r="G39" s="38"/>
      <c r="H39" s="3"/>
      <c r="I39" s="106">
        <f t="shared" si="4"/>
        <v>0</v>
      </c>
      <c r="J39" s="109"/>
      <c r="K39" s="3"/>
      <c r="L39" s="193"/>
      <c r="M39" s="194"/>
      <c r="N39" s="97">
        <f t="shared" si="5"/>
        <v>0</v>
      </c>
      <c r="O39" s="111">
        <f t="shared" si="6"/>
        <v>0</v>
      </c>
      <c r="P39" s="114">
        <f t="shared" si="7"/>
        <v>0</v>
      </c>
      <c r="Q39" s="204"/>
      <c r="R39" s="217"/>
      <c r="S39" s="210"/>
      <c r="T39" s="212"/>
      <c r="U39" s="214"/>
      <c r="V39" s="195"/>
      <c r="W39" s="3"/>
      <c r="X39" s="3"/>
      <c r="Y39" s="34"/>
      <c r="Z39" s="34"/>
      <c r="AA39" s="34">
        <f t="shared" si="0"/>
        <v>0</v>
      </c>
      <c r="AB39" s="131">
        <f t="shared" si="1"/>
        <v>0</v>
      </c>
      <c r="AC39" s="137"/>
      <c r="AD39" s="3"/>
      <c r="AE39" s="3"/>
      <c r="AF39" s="3"/>
      <c r="AG39" s="3">
        <f t="shared" si="11"/>
        <v>0</v>
      </c>
      <c r="AH39" s="3"/>
      <c r="AI39" s="46">
        <f t="shared" si="2"/>
        <v>0</v>
      </c>
      <c r="AJ39" s="146"/>
      <c r="AK39" s="3"/>
      <c r="AL39" s="42">
        <f t="shared" si="3"/>
        <v>0</v>
      </c>
      <c r="AM39" s="7"/>
    </row>
    <row r="40" spans="1:39" x14ac:dyDescent="0.3">
      <c r="A40" s="36"/>
      <c r="B40" s="61"/>
      <c r="C40" s="154"/>
      <c r="D40" s="156"/>
      <c r="E40" s="109"/>
      <c r="F40" s="3"/>
      <c r="G40" s="38"/>
      <c r="H40" s="3"/>
      <c r="I40" s="106"/>
      <c r="J40" s="109"/>
      <c r="K40" s="3"/>
      <c r="L40" s="193"/>
      <c r="M40" s="194"/>
      <c r="N40" s="97"/>
      <c r="O40" s="111"/>
      <c r="P40" s="114"/>
      <c r="Q40" s="216"/>
      <c r="R40" s="218"/>
      <c r="S40" s="210"/>
      <c r="T40" s="212"/>
      <c r="U40" s="214"/>
      <c r="V40" s="195"/>
      <c r="W40" s="3"/>
      <c r="X40" s="3"/>
      <c r="Y40" s="34"/>
      <c r="Z40" s="34"/>
      <c r="AA40" s="34"/>
      <c r="AB40" s="131"/>
      <c r="AC40" s="137"/>
      <c r="AD40" s="3"/>
      <c r="AE40" s="3"/>
      <c r="AF40" s="3"/>
      <c r="AG40" s="3"/>
      <c r="AH40" s="3"/>
      <c r="AI40" s="46"/>
      <c r="AJ40" s="146"/>
      <c r="AK40" s="3"/>
      <c r="AL40" s="42"/>
      <c r="AM40" s="7"/>
    </row>
    <row r="41" spans="1:39" x14ac:dyDescent="0.3">
      <c r="A41" s="36"/>
      <c r="B41" s="61"/>
      <c r="C41" s="154"/>
      <c r="D41" s="156"/>
      <c r="E41" s="109"/>
      <c r="F41" s="3"/>
      <c r="G41" s="38"/>
      <c r="H41" s="3"/>
      <c r="I41" s="106"/>
      <c r="J41" s="109"/>
      <c r="K41" s="3"/>
      <c r="L41" s="193"/>
      <c r="M41" s="194"/>
      <c r="N41" s="97"/>
      <c r="O41" s="111"/>
      <c r="P41" s="114"/>
      <c r="Q41" s="204"/>
      <c r="R41" s="208"/>
      <c r="S41" s="210"/>
      <c r="T41" s="212"/>
      <c r="U41" s="214"/>
      <c r="V41" s="195"/>
      <c r="W41" s="3"/>
      <c r="X41" s="3"/>
      <c r="Y41" s="34"/>
      <c r="Z41" s="34"/>
      <c r="AA41" s="34"/>
      <c r="AB41" s="131"/>
      <c r="AC41" s="137"/>
      <c r="AD41" s="3"/>
      <c r="AE41" s="3"/>
      <c r="AF41" s="3"/>
      <c r="AG41" s="3"/>
      <c r="AH41" s="3"/>
      <c r="AI41" s="46"/>
      <c r="AJ41" s="146"/>
      <c r="AK41" s="3"/>
      <c r="AL41" s="42"/>
      <c r="AM41" s="7"/>
    </row>
    <row r="42" spans="1:39" x14ac:dyDescent="0.3">
      <c r="A42" s="36"/>
      <c r="B42" s="61"/>
      <c r="C42" s="182"/>
      <c r="D42" s="183"/>
      <c r="E42" s="109"/>
      <c r="F42" s="3"/>
      <c r="G42" s="38"/>
      <c r="H42" s="3"/>
      <c r="I42" s="106"/>
      <c r="J42" s="109"/>
      <c r="K42" s="3"/>
      <c r="L42" s="193"/>
      <c r="M42" s="194"/>
      <c r="N42" s="97"/>
      <c r="O42" s="111"/>
      <c r="P42" s="114"/>
      <c r="Q42" s="204"/>
      <c r="R42" s="208"/>
      <c r="S42" s="210"/>
      <c r="T42" s="212"/>
      <c r="U42" s="214"/>
      <c r="V42" s="195"/>
      <c r="W42" s="3"/>
      <c r="X42" s="3"/>
      <c r="Y42" s="34"/>
      <c r="Z42" s="34"/>
      <c r="AA42" s="34"/>
      <c r="AB42" s="131"/>
      <c r="AC42" s="137"/>
      <c r="AD42" s="3"/>
      <c r="AE42" s="3"/>
      <c r="AF42" s="3"/>
      <c r="AG42" s="3"/>
      <c r="AH42" s="3"/>
      <c r="AI42" s="46"/>
      <c r="AJ42" s="146"/>
      <c r="AK42" s="3"/>
      <c r="AL42" s="42"/>
      <c r="AM42" s="7"/>
    </row>
    <row r="43" spans="1:39" ht="16.2" thickBot="1" x14ac:dyDescent="0.35">
      <c r="A43" s="36"/>
      <c r="B43" s="125"/>
      <c r="C43" s="155"/>
      <c r="D43" s="157"/>
      <c r="E43" s="107"/>
      <c r="F43" s="107"/>
      <c r="G43" s="98"/>
      <c r="H43" s="99"/>
      <c r="I43" s="108"/>
      <c r="J43" s="110"/>
      <c r="K43" s="98"/>
      <c r="L43" s="99"/>
      <c r="M43" s="100"/>
      <c r="N43" s="101"/>
      <c r="O43" s="112"/>
      <c r="P43" s="115"/>
      <c r="Q43" s="184"/>
      <c r="R43" s="209"/>
      <c r="S43" s="211"/>
      <c r="T43" s="213"/>
      <c r="U43" s="215"/>
      <c r="V43" s="195"/>
      <c r="W43" s="3"/>
      <c r="X43" s="3"/>
      <c r="Y43" s="34"/>
      <c r="Z43" s="34"/>
      <c r="AA43" s="18"/>
      <c r="AB43" s="132"/>
      <c r="AC43" s="130"/>
      <c r="AD43" s="3"/>
      <c r="AE43" s="2"/>
      <c r="AF43" s="2"/>
      <c r="AG43" s="2"/>
      <c r="AH43" s="3"/>
      <c r="AI43" s="46"/>
      <c r="AJ43" s="146"/>
      <c r="AK43" s="3"/>
      <c r="AL43" s="42"/>
      <c r="AM43" s="7"/>
    </row>
    <row r="44" spans="1:39" s="8" customFormat="1" ht="4.5" customHeight="1" x14ac:dyDescent="0.3">
      <c r="A44" s="15"/>
      <c r="B44" s="120"/>
      <c r="C44" s="121"/>
      <c r="D44" s="121"/>
      <c r="E44" s="119"/>
      <c r="F44" s="7"/>
      <c r="G44" s="15"/>
      <c r="H44" s="7"/>
      <c r="I44" s="15"/>
      <c r="J44" s="15"/>
      <c r="K44" s="15"/>
      <c r="L44" s="7"/>
      <c r="M44" s="65"/>
      <c r="N44" s="69"/>
      <c r="O44" s="15"/>
      <c r="P44" s="69"/>
      <c r="Q44" s="15"/>
      <c r="R44" s="89"/>
      <c r="S44" s="7"/>
      <c r="T44" s="15"/>
      <c r="U44" s="35"/>
      <c r="V44" s="133"/>
      <c r="W44" s="15"/>
      <c r="X44" s="15"/>
      <c r="Y44" s="15"/>
      <c r="Z44" s="15"/>
      <c r="AA44" s="15"/>
      <c r="AB44" s="35"/>
      <c r="AC44" s="15"/>
      <c r="AD44" s="7"/>
      <c r="AE44" s="15"/>
      <c r="AF44" s="15"/>
      <c r="AG44" s="15"/>
      <c r="AH44" s="15"/>
      <c r="AI44" s="15"/>
      <c r="AJ44" s="89"/>
      <c r="AK44" s="15"/>
      <c r="AL44" s="35"/>
      <c r="AM44" s="15"/>
    </row>
    <row r="45" spans="1:39" s="8" customFormat="1" ht="6" customHeight="1" x14ac:dyDescent="0.3">
      <c r="A45" s="15"/>
      <c r="B45" s="120"/>
      <c r="C45" s="121"/>
      <c r="D45" s="121"/>
      <c r="E45" s="119"/>
      <c r="F45" s="7"/>
      <c r="G45" s="15"/>
      <c r="H45" s="7"/>
      <c r="I45" s="15"/>
      <c r="J45" s="15"/>
      <c r="K45" s="15"/>
      <c r="L45" s="7"/>
      <c r="M45" s="65"/>
      <c r="N45" s="69"/>
      <c r="O45" s="15"/>
      <c r="P45" s="69"/>
      <c r="Q45" s="15"/>
      <c r="R45" s="89"/>
      <c r="S45" s="16"/>
      <c r="T45" s="16"/>
      <c r="U45" s="35"/>
      <c r="V45" s="133"/>
      <c r="W45" s="15"/>
      <c r="X45" s="15"/>
      <c r="Y45" s="15"/>
      <c r="Z45" s="15"/>
      <c r="AA45" s="15"/>
      <c r="AB45" s="134"/>
      <c r="AC45" s="15"/>
      <c r="AD45" s="7"/>
      <c r="AE45" s="15"/>
      <c r="AF45" s="15"/>
      <c r="AG45" s="15"/>
      <c r="AH45" s="7"/>
      <c r="AI45" s="15"/>
      <c r="AJ45" s="91"/>
      <c r="AK45" s="5"/>
      <c r="AL45" s="43"/>
      <c r="AM45" s="15"/>
    </row>
    <row r="46" spans="1:39" s="8" customFormat="1" ht="16.2" thickBot="1" x14ac:dyDescent="0.35">
      <c r="A46" s="15"/>
      <c r="B46" s="122"/>
      <c r="C46" s="123"/>
      <c r="D46" s="123"/>
      <c r="E46" s="124"/>
      <c r="F46" s="75"/>
      <c r="G46" s="74"/>
      <c r="H46" s="75"/>
      <c r="I46" s="74"/>
      <c r="J46" s="74"/>
      <c r="K46" s="74"/>
      <c r="L46" s="75"/>
      <c r="M46" s="76"/>
      <c r="N46" s="77"/>
      <c r="O46" s="74"/>
      <c r="P46" s="77"/>
      <c r="Q46" s="74"/>
      <c r="R46" s="90"/>
      <c r="S46" s="78"/>
      <c r="T46" s="74"/>
      <c r="U46" s="196"/>
      <c r="V46" s="135"/>
      <c r="W46" s="80"/>
      <c r="X46" s="74"/>
      <c r="Y46" s="74"/>
      <c r="Z46" s="74"/>
      <c r="AA46" s="74"/>
      <c r="AB46" s="79"/>
      <c r="AC46" s="81"/>
      <c r="AD46" s="75"/>
      <c r="AE46" s="81"/>
      <c r="AF46" s="81"/>
      <c r="AG46" s="81"/>
      <c r="AH46" s="75"/>
      <c r="AI46" s="74"/>
      <c r="AJ46" s="147"/>
      <c r="AK46" s="82"/>
      <c r="AL46" s="83"/>
      <c r="AM46" s="15"/>
    </row>
    <row r="47" spans="1:39" ht="16.8" thickTop="1" thickBot="1" x14ac:dyDescent="0.35">
      <c r="A47" s="27"/>
      <c r="B47" s="72"/>
      <c r="C47" s="73">
        <f>SUM(C12:C43)</f>
        <v>38</v>
      </c>
      <c r="D47" s="73">
        <f>SUM(D12:D43)</f>
        <v>926</v>
      </c>
      <c r="E47" s="73">
        <f>SUM(E12:E43)</f>
        <v>207800</v>
      </c>
      <c r="F47" s="73">
        <f>SUM(F12:F43)</f>
        <v>225996838.19999999</v>
      </c>
      <c r="G47" s="73">
        <f>SUM(G12:G43)</f>
        <v>42440.000000000022</v>
      </c>
      <c r="H47" s="73">
        <f t="shared" ref="H47:O47" si="14">SUM(H12:H43)</f>
        <v>69234642.540000051</v>
      </c>
      <c r="I47" s="73">
        <f t="shared" si="14"/>
        <v>295231480.74000001</v>
      </c>
      <c r="J47" s="73">
        <f t="shared" si="14"/>
        <v>26500.000000000004</v>
      </c>
      <c r="K47" s="73">
        <f t="shared" si="14"/>
        <v>28820578.499999996</v>
      </c>
      <c r="L47" s="73">
        <f t="shared" si="14"/>
        <v>6780.0000000000018</v>
      </c>
      <c r="M47" s="73">
        <f t="shared" si="14"/>
        <v>11060576.73</v>
      </c>
      <c r="N47" s="73">
        <f t="shared" si="14"/>
        <v>39881155.230000004</v>
      </c>
      <c r="O47" s="73">
        <f t="shared" si="14"/>
        <v>335112635.96999997</v>
      </c>
      <c r="P47" s="85">
        <f>SUM(P12:P43)</f>
        <v>283520</v>
      </c>
      <c r="Q47" s="197"/>
      <c r="R47" s="126"/>
      <c r="S47" s="118">
        <f>SUM(S12:S43)</f>
        <v>283520</v>
      </c>
      <c r="T47" s="118">
        <f>SUM(T12:T43)</f>
        <v>335112635.96999997</v>
      </c>
      <c r="U47" s="140">
        <f>T47/AL48</f>
        <v>25825.39393376587</v>
      </c>
      <c r="V47" s="185">
        <f>SUM(V12:V42)</f>
        <v>20321</v>
      </c>
      <c r="W47" s="55">
        <f>SUM(W12:W42)</f>
        <v>8035</v>
      </c>
      <c r="X47" s="55">
        <f t="shared" ref="X47:Z47" si="15">SUM(X12:X42)</f>
        <v>144509475</v>
      </c>
      <c r="Y47" s="55">
        <f t="shared" si="15"/>
        <v>12286</v>
      </c>
      <c r="Z47" s="55">
        <f t="shared" si="15"/>
        <v>5884994</v>
      </c>
      <c r="AA47" s="139">
        <f>SUM(AA12:AA42)</f>
        <v>150394469</v>
      </c>
      <c r="AB47" s="127">
        <f>AA47/$AL$48</f>
        <v>11590.122217093131</v>
      </c>
      <c r="AC47" s="47">
        <f>SUM(AC12:AC41)</f>
        <v>0</v>
      </c>
      <c r="AD47" s="141">
        <f>SUM(AD12:AD41)</f>
        <v>0</v>
      </c>
      <c r="AE47" s="47">
        <f>SUM(AE12:AE42)</f>
        <v>1250</v>
      </c>
      <c r="AF47" s="47">
        <f>SUM(AF12:AF42)</f>
        <v>192</v>
      </c>
      <c r="AG47" s="47">
        <f>SUM(AG12:AG42)</f>
        <v>1442</v>
      </c>
      <c r="AH47" s="151">
        <f>SUM(AH12:AH43)</f>
        <v>15998326.680000005</v>
      </c>
      <c r="AI47" s="152">
        <f>AH47/$AL$48</f>
        <v>1232.9081163894521</v>
      </c>
      <c r="AJ47" s="148">
        <f>SUM(AJ12:AJ43)</f>
        <v>3205.04</v>
      </c>
      <c r="AK47" s="149">
        <f>SUM(AK12:AK43)</f>
        <v>27563344</v>
      </c>
      <c r="AL47" s="150">
        <f>AK47/AL48</f>
        <v>2124.1640586648214</v>
      </c>
      <c r="AM47" s="27"/>
    </row>
    <row r="48" spans="1:39" s="1" customFormat="1" x14ac:dyDescent="0.3">
      <c r="A48" s="27"/>
      <c r="B48" s="27"/>
      <c r="C48" s="5"/>
      <c r="D48" s="11"/>
      <c r="E48" s="5"/>
      <c r="F48" s="5"/>
      <c r="G48" s="11"/>
      <c r="H48" s="5"/>
      <c r="I48" s="9"/>
      <c r="J48" s="9"/>
      <c r="K48" s="9"/>
      <c r="L48" s="17"/>
      <c r="M48" s="66"/>
      <c r="N48" s="70"/>
      <c r="O48" s="10"/>
      <c r="P48" s="70"/>
      <c r="Q48" s="10"/>
      <c r="R48" s="117"/>
      <c r="S48" s="14"/>
      <c r="T48" s="84" t="s">
        <v>29</v>
      </c>
      <c r="U48" s="158">
        <f>U47/S47</f>
        <v>9.1088437971804007E-2</v>
      </c>
      <c r="V48" s="11"/>
      <c r="W48" s="11"/>
      <c r="X48" s="11"/>
      <c r="Y48" s="142"/>
      <c r="Z48" s="11"/>
      <c r="AA48" s="11"/>
      <c r="AB48" s="11"/>
      <c r="AC48" s="16"/>
      <c r="AD48" s="7"/>
      <c r="AE48" s="16"/>
      <c r="AF48" s="16"/>
      <c r="AG48" s="7"/>
      <c r="AH48" s="5"/>
      <c r="AI48" s="11"/>
      <c r="AJ48" s="91"/>
      <c r="AK48" s="11"/>
      <c r="AL48" s="153">
        <v>12976.09</v>
      </c>
      <c r="AM48" s="27"/>
    </row>
    <row r="49" spans="1:39" s="203" customFormat="1" x14ac:dyDescent="0.3">
      <c r="A49" s="198"/>
      <c r="B49" s="198"/>
      <c r="C49" s="17"/>
      <c r="D49" s="199"/>
      <c r="E49" s="17"/>
      <c r="F49" s="17"/>
      <c r="G49" s="199"/>
      <c r="H49" s="17"/>
      <c r="I49" s="9"/>
      <c r="J49" s="9"/>
      <c r="K49" s="9"/>
      <c r="L49" s="17"/>
      <c r="M49" s="70"/>
      <c r="N49" s="70"/>
      <c r="O49" s="10"/>
      <c r="P49" s="70"/>
      <c r="Q49" s="10"/>
      <c r="R49" s="117"/>
      <c r="S49" s="14"/>
      <c r="T49" s="17"/>
      <c r="U49" s="200"/>
      <c r="V49" s="199"/>
      <c r="W49" s="199"/>
      <c r="X49" s="199"/>
      <c r="Y49" s="201"/>
      <c r="Z49" s="17"/>
      <c r="AA49" s="199"/>
      <c r="AB49" s="199"/>
      <c r="AC49" s="199"/>
      <c r="AD49" s="17"/>
      <c r="AE49" s="199"/>
      <c r="AF49" s="199"/>
      <c r="AG49" s="17"/>
      <c r="AH49" s="17"/>
      <c r="AI49" s="199"/>
      <c r="AJ49" s="117"/>
      <c r="AK49" s="199"/>
      <c r="AL49" s="202"/>
      <c r="AM49" s="198"/>
    </row>
    <row r="50" spans="1:39" s="220" customFormat="1" x14ac:dyDescent="0.3">
      <c r="A50" s="219"/>
      <c r="B50" s="219"/>
      <c r="E50" s="221"/>
      <c r="F50" s="222"/>
      <c r="G50" s="221"/>
      <c r="I50" s="221"/>
      <c r="J50" s="221"/>
      <c r="K50" s="221"/>
      <c r="L50" s="221"/>
      <c r="M50" s="221"/>
      <c r="N50" s="223"/>
      <c r="O50" s="224"/>
      <c r="P50" s="225"/>
      <c r="R50" s="226"/>
      <c r="S50" s="227"/>
      <c r="Y50" s="228"/>
      <c r="Z50" s="229"/>
      <c r="AB50" s="230"/>
      <c r="AJ50" s="226"/>
      <c r="AL50" s="231"/>
      <c r="AM50" s="219"/>
    </row>
    <row r="51" spans="1:39" s="234" customFormat="1" x14ac:dyDescent="0.3">
      <c r="A51" s="232"/>
      <c r="B51" s="232"/>
      <c r="C51" s="233"/>
      <c r="E51" s="233"/>
      <c r="F51" s="233"/>
      <c r="H51" s="233"/>
      <c r="L51" s="233"/>
      <c r="M51" s="235"/>
      <c r="N51" s="236"/>
      <c r="P51" s="236"/>
      <c r="R51" s="237"/>
      <c r="AD51" s="233"/>
      <c r="AH51" s="233"/>
      <c r="AJ51" s="237"/>
      <c r="AL51" s="238"/>
      <c r="AM51" s="232"/>
    </row>
    <row r="52" spans="1:39" s="234" customFormat="1" x14ac:dyDescent="0.3">
      <c r="A52" s="232"/>
      <c r="B52" s="232"/>
      <c r="C52" s="233"/>
      <c r="E52" s="233"/>
      <c r="F52" s="233"/>
      <c r="H52" s="233"/>
      <c r="L52" s="233"/>
      <c r="M52" s="235"/>
      <c r="N52" s="236"/>
      <c r="P52" s="236"/>
      <c r="R52" s="237"/>
      <c r="AD52" s="233"/>
      <c r="AH52" s="233"/>
      <c r="AJ52" s="237"/>
      <c r="AL52" s="238"/>
      <c r="AM52" s="232"/>
    </row>
    <row r="53" spans="1:39" s="234" customFormat="1" x14ac:dyDescent="0.3">
      <c r="A53" s="232"/>
      <c r="B53" s="232"/>
      <c r="C53" s="233"/>
      <c r="E53" s="233"/>
      <c r="F53" s="233"/>
      <c r="H53" s="233"/>
      <c r="L53" s="233"/>
      <c r="M53" s="235"/>
      <c r="N53" s="236" t="s">
        <v>46</v>
      </c>
      <c r="P53" s="236"/>
      <c r="R53" s="237"/>
      <c r="AD53" s="233"/>
      <c r="AH53" s="233"/>
      <c r="AJ53" s="237"/>
      <c r="AL53" s="238"/>
      <c r="AM53" s="232"/>
    </row>
    <row r="54" spans="1:39" s="234" customFormat="1" x14ac:dyDescent="0.3">
      <c r="A54" s="232"/>
      <c r="B54" s="232"/>
      <c r="C54" s="233"/>
      <c r="E54" s="233"/>
      <c r="F54" s="233"/>
      <c r="H54" s="233"/>
      <c r="L54" s="233"/>
      <c r="M54" s="235"/>
      <c r="N54" s="236"/>
      <c r="P54" s="236"/>
      <c r="R54" s="237"/>
      <c r="AD54" s="233"/>
      <c r="AH54" s="233"/>
      <c r="AJ54" s="237"/>
      <c r="AL54" s="238"/>
      <c r="AM54" s="232"/>
    </row>
    <row r="55" spans="1:39" s="234" customFormat="1" x14ac:dyDescent="0.3">
      <c r="A55" s="232"/>
      <c r="B55" s="232"/>
      <c r="C55" s="233"/>
      <c r="E55" s="233"/>
      <c r="F55" s="233"/>
      <c r="H55" s="233"/>
      <c r="L55" s="233"/>
      <c r="M55" s="235"/>
      <c r="N55" s="236"/>
      <c r="P55" s="236"/>
      <c r="R55" s="237"/>
      <c r="AD55" s="233"/>
      <c r="AH55" s="233"/>
      <c r="AJ55" s="237"/>
      <c r="AL55" s="238"/>
      <c r="AM55" s="232"/>
    </row>
    <row r="56" spans="1:39" s="234" customFormat="1" x14ac:dyDescent="0.3">
      <c r="A56" s="232"/>
      <c r="B56" s="232"/>
      <c r="C56" s="233"/>
      <c r="E56" s="233"/>
      <c r="F56" s="233"/>
      <c r="H56" s="233"/>
      <c r="L56" s="233"/>
      <c r="M56" s="235"/>
      <c r="N56" s="236"/>
      <c r="P56" s="236"/>
      <c r="R56" s="237"/>
      <c r="AD56" s="233"/>
      <c r="AH56" s="233"/>
      <c r="AJ56" s="237"/>
      <c r="AL56" s="238"/>
      <c r="AM56" s="232"/>
    </row>
    <row r="57" spans="1:39" s="234" customFormat="1" x14ac:dyDescent="0.3">
      <c r="A57" s="232"/>
      <c r="B57" s="232"/>
      <c r="C57" s="233"/>
      <c r="E57" s="233"/>
      <c r="F57" s="233"/>
      <c r="H57" s="233"/>
      <c r="L57" s="233"/>
      <c r="M57" s="235"/>
      <c r="N57" s="236"/>
      <c r="P57" s="236"/>
      <c r="R57" s="237"/>
      <c r="AD57" s="233"/>
      <c r="AH57" s="233"/>
      <c r="AJ57" s="237"/>
      <c r="AL57" s="238"/>
      <c r="AM57" s="232"/>
    </row>
    <row r="58" spans="1:39" s="234" customFormat="1" x14ac:dyDescent="0.3">
      <c r="A58" s="232"/>
      <c r="B58" s="232"/>
      <c r="C58" s="233"/>
      <c r="E58" s="233"/>
      <c r="F58" s="233"/>
      <c r="H58" s="233"/>
      <c r="L58" s="233"/>
      <c r="M58" s="235"/>
      <c r="N58" s="236"/>
      <c r="P58" s="236"/>
      <c r="R58" s="237"/>
      <c r="AD58" s="233"/>
      <c r="AH58" s="233"/>
      <c r="AJ58" s="237"/>
      <c r="AL58" s="238"/>
      <c r="AM58" s="232"/>
    </row>
    <row r="59" spans="1:39" s="234" customFormat="1" x14ac:dyDescent="0.3">
      <c r="A59" s="232"/>
      <c r="B59" s="232"/>
      <c r="C59" s="233"/>
      <c r="E59" s="233"/>
      <c r="F59" s="233"/>
      <c r="H59" s="233"/>
      <c r="L59" s="233"/>
      <c r="M59" s="235"/>
      <c r="N59" s="236"/>
      <c r="P59" s="236"/>
      <c r="R59" s="237"/>
      <c r="AD59" s="233"/>
      <c r="AH59" s="233"/>
      <c r="AJ59" s="237"/>
      <c r="AL59" s="238"/>
      <c r="AM59" s="232"/>
    </row>
    <row r="60" spans="1:39" s="234" customFormat="1" x14ac:dyDescent="0.3">
      <c r="A60" s="232"/>
      <c r="B60" s="232"/>
      <c r="C60" s="233"/>
      <c r="E60" s="233"/>
      <c r="F60" s="233"/>
      <c r="H60" s="233"/>
      <c r="L60" s="233"/>
      <c r="M60" s="235"/>
      <c r="N60" s="236"/>
      <c r="P60" s="236"/>
      <c r="R60" s="237"/>
      <c r="AD60" s="233"/>
      <c r="AH60" s="233"/>
      <c r="AJ60" s="237"/>
      <c r="AL60" s="238"/>
      <c r="AM60" s="232"/>
    </row>
    <row r="61" spans="1:39" s="234" customFormat="1" x14ac:dyDescent="0.3">
      <c r="A61" s="232"/>
      <c r="B61" s="232"/>
      <c r="C61" s="233"/>
      <c r="E61" s="233"/>
      <c r="F61" s="233"/>
      <c r="H61" s="233"/>
      <c r="L61" s="233"/>
      <c r="M61" s="235"/>
      <c r="N61" s="236"/>
      <c r="P61" s="236"/>
      <c r="R61" s="237"/>
      <c r="AD61" s="233"/>
      <c r="AH61" s="233"/>
      <c r="AJ61" s="237"/>
      <c r="AL61" s="238"/>
      <c r="AM61" s="232"/>
    </row>
    <row r="62" spans="1:39" s="234" customFormat="1" x14ac:dyDescent="0.3">
      <c r="A62" s="232"/>
      <c r="B62" s="232"/>
      <c r="C62" s="233"/>
      <c r="E62" s="233"/>
      <c r="F62" s="233"/>
      <c r="H62" s="233"/>
      <c r="L62" s="233"/>
      <c r="M62" s="235"/>
      <c r="N62" s="236"/>
      <c r="P62" s="236"/>
      <c r="R62" s="237"/>
      <c r="AD62" s="233"/>
      <c r="AH62" s="233"/>
      <c r="AJ62" s="237"/>
      <c r="AL62" s="238"/>
      <c r="AM62" s="232"/>
    </row>
    <row r="63" spans="1:39" s="234" customFormat="1" x14ac:dyDescent="0.3">
      <c r="A63" s="232"/>
      <c r="B63" s="232"/>
      <c r="C63" s="233"/>
      <c r="E63" s="233"/>
      <c r="F63" s="233"/>
      <c r="H63" s="233"/>
      <c r="L63" s="233"/>
      <c r="M63" s="235"/>
      <c r="N63" s="236"/>
      <c r="P63" s="236"/>
      <c r="R63" s="237"/>
      <c r="AD63" s="233"/>
      <c r="AH63" s="233"/>
      <c r="AJ63" s="237"/>
      <c r="AL63" s="238"/>
      <c r="AM63" s="232"/>
    </row>
    <row r="64" spans="1:39" s="234" customFormat="1" x14ac:dyDescent="0.3">
      <c r="A64" s="232"/>
      <c r="B64" s="232"/>
      <c r="C64" s="233"/>
      <c r="E64" s="233"/>
      <c r="F64" s="233"/>
      <c r="H64" s="233"/>
      <c r="L64" s="233"/>
      <c r="M64" s="235"/>
      <c r="N64" s="236"/>
      <c r="P64" s="236"/>
      <c r="R64" s="237"/>
      <c r="AD64" s="233"/>
      <c r="AH64" s="233"/>
      <c r="AJ64" s="237"/>
      <c r="AL64" s="238"/>
      <c r="AM64" s="232"/>
    </row>
    <row r="65" spans="1:39" s="234" customFormat="1" x14ac:dyDescent="0.3">
      <c r="A65" s="232"/>
      <c r="B65" s="232"/>
      <c r="C65" s="233"/>
      <c r="E65" s="233"/>
      <c r="F65" s="233"/>
      <c r="H65" s="233"/>
      <c r="L65" s="233"/>
      <c r="M65" s="235"/>
      <c r="N65" s="236"/>
      <c r="P65" s="236"/>
      <c r="R65" s="237"/>
      <c r="AD65" s="233"/>
      <c r="AH65" s="233"/>
      <c r="AJ65" s="237"/>
      <c r="AL65" s="238"/>
      <c r="AM65" s="232"/>
    </row>
    <row r="66" spans="1:39" s="234" customFormat="1" x14ac:dyDescent="0.3">
      <c r="A66" s="232"/>
      <c r="B66" s="232"/>
      <c r="C66" s="233"/>
      <c r="E66" s="233"/>
      <c r="F66" s="233"/>
      <c r="H66" s="233"/>
      <c r="L66" s="233"/>
      <c r="M66" s="235"/>
      <c r="N66" s="236"/>
      <c r="P66" s="236"/>
      <c r="R66" s="237"/>
      <c r="AD66" s="233"/>
      <c r="AH66" s="233"/>
      <c r="AJ66" s="237"/>
      <c r="AL66" s="238"/>
      <c r="AM66" s="232"/>
    </row>
    <row r="67" spans="1:39" s="234" customFormat="1" x14ac:dyDescent="0.3">
      <c r="A67" s="232"/>
      <c r="B67" s="232"/>
      <c r="C67" s="233"/>
      <c r="E67" s="233"/>
      <c r="F67" s="233"/>
      <c r="H67" s="233"/>
      <c r="L67" s="233"/>
      <c r="M67" s="235"/>
      <c r="N67" s="236"/>
      <c r="P67" s="236"/>
      <c r="R67" s="237"/>
      <c r="AD67" s="233"/>
      <c r="AH67" s="233"/>
      <c r="AJ67" s="237"/>
      <c r="AL67" s="238"/>
      <c r="AM67" s="232"/>
    </row>
    <row r="68" spans="1:39" s="234" customFormat="1" x14ac:dyDescent="0.3">
      <c r="A68" s="232"/>
      <c r="B68" s="232"/>
      <c r="C68" s="233"/>
      <c r="E68" s="233"/>
      <c r="F68" s="233"/>
      <c r="H68" s="233"/>
      <c r="L68" s="233"/>
      <c r="M68" s="235"/>
      <c r="N68" s="236"/>
      <c r="P68" s="236"/>
      <c r="R68" s="237"/>
      <c r="AD68" s="233"/>
      <c r="AH68" s="233"/>
      <c r="AJ68" s="237"/>
      <c r="AL68" s="238"/>
      <c r="AM68" s="232"/>
    </row>
    <row r="69" spans="1:39" s="234" customFormat="1" x14ac:dyDescent="0.3">
      <c r="A69" s="232"/>
      <c r="B69" s="232"/>
      <c r="C69" s="233"/>
      <c r="E69" s="233"/>
      <c r="F69" s="233"/>
      <c r="H69" s="233"/>
      <c r="L69" s="233"/>
      <c r="M69" s="235"/>
      <c r="N69" s="236"/>
      <c r="P69" s="236"/>
      <c r="R69" s="237"/>
      <c r="AD69" s="233"/>
      <c r="AH69" s="233"/>
      <c r="AJ69" s="237"/>
      <c r="AL69" s="238"/>
      <c r="AM69" s="232"/>
    </row>
    <row r="70" spans="1:39" s="234" customFormat="1" x14ac:dyDescent="0.3">
      <c r="A70" s="232"/>
      <c r="B70" s="232"/>
      <c r="C70" s="233"/>
      <c r="E70" s="233"/>
      <c r="F70" s="233"/>
      <c r="H70" s="233"/>
      <c r="L70" s="233"/>
      <c r="M70" s="235"/>
      <c r="N70" s="236"/>
      <c r="P70" s="236"/>
      <c r="R70" s="237"/>
      <c r="AD70" s="233"/>
      <c r="AH70" s="233"/>
      <c r="AJ70" s="237"/>
      <c r="AL70" s="238"/>
      <c r="AM70" s="232"/>
    </row>
    <row r="71" spans="1:39" s="234" customFormat="1" x14ac:dyDescent="0.3">
      <c r="A71" s="232"/>
      <c r="B71" s="232"/>
      <c r="C71" s="233"/>
      <c r="E71" s="233"/>
      <c r="F71" s="233"/>
      <c r="H71" s="233"/>
      <c r="L71" s="233"/>
      <c r="M71" s="235"/>
      <c r="N71" s="236"/>
      <c r="P71" s="236"/>
      <c r="R71" s="237"/>
      <c r="AD71" s="233"/>
      <c r="AH71" s="233"/>
      <c r="AJ71" s="237"/>
      <c r="AL71" s="238"/>
      <c r="AM71" s="232"/>
    </row>
    <row r="72" spans="1:39" s="234" customFormat="1" x14ac:dyDescent="0.3">
      <c r="A72" s="232"/>
      <c r="B72" s="232"/>
      <c r="C72" s="233"/>
      <c r="E72" s="233"/>
      <c r="F72" s="233"/>
      <c r="H72" s="233"/>
      <c r="L72" s="233"/>
      <c r="M72" s="235"/>
      <c r="N72" s="236"/>
      <c r="P72" s="236"/>
      <c r="R72" s="237"/>
      <c r="AD72" s="233"/>
      <c r="AH72" s="233"/>
      <c r="AJ72" s="237"/>
      <c r="AL72" s="238"/>
      <c r="AM72" s="232"/>
    </row>
    <row r="73" spans="1:39" s="234" customFormat="1" x14ac:dyDescent="0.3">
      <c r="A73" s="232"/>
      <c r="B73" s="232"/>
      <c r="C73" s="233"/>
      <c r="E73" s="233"/>
      <c r="F73" s="233"/>
      <c r="H73" s="233"/>
      <c r="L73" s="233"/>
      <c r="M73" s="235"/>
      <c r="N73" s="236"/>
      <c r="P73" s="236"/>
      <c r="R73" s="237"/>
      <c r="AD73" s="233"/>
      <c r="AH73" s="233"/>
      <c r="AJ73" s="237"/>
      <c r="AL73" s="238"/>
      <c r="AM73" s="232"/>
    </row>
    <row r="74" spans="1:39" s="234" customFormat="1" x14ac:dyDescent="0.3">
      <c r="A74" s="232"/>
      <c r="B74" s="232"/>
      <c r="C74" s="233"/>
      <c r="E74" s="233"/>
      <c r="F74" s="233"/>
      <c r="H74" s="233"/>
      <c r="L74" s="233"/>
      <c r="M74" s="235"/>
      <c r="N74" s="236"/>
      <c r="P74" s="236"/>
      <c r="R74" s="237"/>
      <c r="AD74" s="233"/>
      <c r="AH74" s="233"/>
      <c r="AJ74" s="237"/>
      <c r="AL74" s="238"/>
      <c r="AM74" s="232"/>
    </row>
    <row r="75" spans="1:39" s="234" customFormat="1" x14ac:dyDescent="0.3">
      <c r="A75" s="232"/>
      <c r="B75" s="232"/>
      <c r="C75" s="233"/>
      <c r="E75" s="233"/>
      <c r="F75" s="233"/>
      <c r="H75" s="233"/>
      <c r="L75" s="233"/>
      <c r="M75" s="235"/>
      <c r="N75" s="236"/>
      <c r="P75" s="236"/>
      <c r="R75" s="237"/>
      <c r="AD75" s="233"/>
      <c r="AH75" s="233"/>
      <c r="AJ75" s="237"/>
      <c r="AL75" s="238"/>
      <c r="AM75" s="232"/>
    </row>
    <row r="76" spans="1:39" s="234" customFormat="1" x14ac:dyDescent="0.3">
      <c r="A76" s="232"/>
      <c r="B76" s="232"/>
      <c r="C76" s="233"/>
      <c r="E76" s="233"/>
      <c r="F76" s="233"/>
      <c r="H76" s="233"/>
      <c r="L76" s="233"/>
      <c r="M76" s="235"/>
      <c r="N76" s="236"/>
      <c r="P76" s="236"/>
      <c r="R76" s="237"/>
      <c r="AD76" s="233"/>
      <c r="AH76" s="233"/>
      <c r="AJ76" s="237"/>
      <c r="AL76" s="238"/>
      <c r="AM76" s="232"/>
    </row>
    <row r="77" spans="1:39" s="234" customFormat="1" x14ac:dyDescent="0.3">
      <c r="A77" s="232"/>
      <c r="B77" s="232"/>
      <c r="C77" s="233"/>
      <c r="E77" s="233"/>
      <c r="F77" s="233"/>
      <c r="H77" s="233"/>
      <c r="L77" s="233"/>
      <c r="M77" s="235"/>
      <c r="N77" s="236"/>
      <c r="P77" s="236"/>
      <c r="R77" s="237"/>
      <c r="AD77" s="233"/>
      <c r="AH77" s="233"/>
      <c r="AJ77" s="237"/>
      <c r="AL77" s="238"/>
      <c r="AM77" s="232"/>
    </row>
    <row r="78" spans="1:39" s="234" customFormat="1" x14ac:dyDescent="0.3">
      <c r="A78" s="232"/>
      <c r="B78" s="232"/>
      <c r="C78" s="233"/>
      <c r="E78" s="233"/>
      <c r="F78" s="233"/>
      <c r="H78" s="233"/>
      <c r="L78" s="233"/>
      <c r="M78" s="235"/>
      <c r="N78" s="236"/>
      <c r="P78" s="236"/>
      <c r="R78" s="237"/>
      <c r="AD78" s="233"/>
      <c r="AH78" s="233"/>
      <c r="AJ78" s="237"/>
      <c r="AL78" s="238"/>
      <c r="AM78" s="232"/>
    </row>
    <row r="79" spans="1:39" s="234" customFormat="1" x14ac:dyDescent="0.3">
      <c r="A79" s="232"/>
      <c r="B79" s="232"/>
      <c r="C79" s="233"/>
      <c r="E79" s="233"/>
      <c r="F79" s="233"/>
      <c r="H79" s="233"/>
      <c r="L79" s="233"/>
      <c r="M79" s="235"/>
      <c r="N79" s="236"/>
      <c r="P79" s="236"/>
      <c r="R79" s="237"/>
      <c r="AD79" s="233"/>
      <c r="AH79" s="233"/>
      <c r="AJ79" s="237"/>
      <c r="AL79" s="238"/>
      <c r="AM79" s="232"/>
    </row>
    <row r="80" spans="1:39" s="234" customFormat="1" x14ac:dyDescent="0.3">
      <c r="A80" s="232"/>
      <c r="B80" s="232"/>
      <c r="C80" s="233"/>
      <c r="E80" s="233"/>
      <c r="F80" s="233"/>
      <c r="H80" s="233"/>
      <c r="L80" s="233"/>
      <c r="M80" s="235"/>
      <c r="N80" s="236"/>
      <c r="P80" s="236"/>
      <c r="R80" s="237"/>
      <c r="AD80" s="233"/>
      <c r="AH80" s="233"/>
      <c r="AJ80" s="237"/>
      <c r="AL80" s="238"/>
      <c r="AM80" s="232"/>
    </row>
    <row r="81" spans="1:39" s="234" customFormat="1" x14ac:dyDescent="0.3">
      <c r="A81" s="232"/>
      <c r="B81" s="232"/>
      <c r="C81" s="233"/>
      <c r="E81" s="233"/>
      <c r="F81" s="233"/>
      <c r="H81" s="233"/>
      <c r="L81" s="233"/>
      <c r="M81" s="235"/>
      <c r="N81" s="236"/>
      <c r="P81" s="236"/>
      <c r="R81" s="237"/>
      <c r="AD81" s="233"/>
      <c r="AH81" s="233"/>
      <c r="AJ81" s="237"/>
      <c r="AL81" s="238"/>
      <c r="AM81" s="232"/>
    </row>
    <row r="82" spans="1:39" s="234" customFormat="1" x14ac:dyDescent="0.3">
      <c r="A82" s="232"/>
      <c r="B82" s="232"/>
      <c r="C82" s="233"/>
      <c r="E82" s="233"/>
      <c r="F82" s="233"/>
      <c r="H82" s="233"/>
      <c r="L82" s="233"/>
      <c r="M82" s="235"/>
      <c r="N82" s="236"/>
      <c r="P82" s="236"/>
      <c r="R82" s="237"/>
      <c r="AD82" s="233"/>
      <c r="AH82" s="233"/>
      <c r="AJ82" s="237"/>
      <c r="AL82" s="238"/>
      <c r="AM82" s="232"/>
    </row>
    <row r="83" spans="1:39" s="234" customFormat="1" x14ac:dyDescent="0.3">
      <c r="A83" s="232"/>
      <c r="B83" s="232"/>
      <c r="C83" s="233"/>
      <c r="E83" s="233"/>
      <c r="F83" s="233"/>
      <c r="H83" s="233"/>
      <c r="L83" s="233"/>
      <c r="M83" s="235"/>
      <c r="N83" s="236"/>
      <c r="P83" s="236"/>
      <c r="R83" s="237"/>
      <c r="AD83" s="233"/>
      <c r="AH83" s="233"/>
      <c r="AJ83" s="237"/>
      <c r="AL83" s="238"/>
      <c r="AM83" s="232"/>
    </row>
    <row r="84" spans="1:39" s="234" customFormat="1" x14ac:dyDescent="0.3">
      <c r="A84" s="232"/>
      <c r="B84" s="232"/>
      <c r="C84" s="233"/>
      <c r="E84" s="233"/>
      <c r="F84" s="233"/>
      <c r="H84" s="233"/>
      <c r="L84" s="233"/>
      <c r="M84" s="235"/>
      <c r="N84" s="236"/>
      <c r="P84" s="236"/>
      <c r="R84" s="237"/>
      <c r="AD84" s="233"/>
      <c r="AH84" s="233"/>
      <c r="AJ84" s="237"/>
      <c r="AL84" s="238"/>
      <c r="AM84" s="232"/>
    </row>
    <row r="85" spans="1:39" s="234" customFormat="1" x14ac:dyDescent="0.3">
      <c r="A85" s="232"/>
      <c r="B85" s="232"/>
      <c r="C85" s="233"/>
      <c r="E85" s="233"/>
      <c r="F85" s="233"/>
      <c r="H85" s="233"/>
      <c r="L85" s="233"/>
      <c r="M85" s="235"/>
      <c r="N85" s="236"/>
      <c r="P85" s="236"/>
      <c r="R85" s="237"/>
      <c r="AD85" s="233"/>
      <c r="AH85" s="233"/>
      <c r="AJ85" s="237"/>
      <c r="AL85" s="238"/>
      <c r="AM85" s="232"/>
    </row>
    <row r="86" spans="1:39" s="234" customFormat="1" x14ac:dyDescent="0.3">
      <c r="A86" s="232"/>
      <c r="B86" s="232"/>
      <c r="C86" s="233"/>
      <c r="E86" s="233"/>
      <c r="F86" s="233"/>
      <c r="H86" s="233"/>
      <c r="L86" s="233"/>
      <c r="M86" s="235"/>
      <c r="N86" s="236"/>
      <c r="P86" s="236"/>
      <c r="R86" s="237"/>
      <c r="AD86" s="233"/>
      <c r="AH86" s="233"/>
      <c r="AJ86" s="237"/>
      <c r="AL86" s="238"/>
      <c r="AM86" s="232"/>
    </row>
    <row r="87" spans="1:39" s="234" customFormat="1" x14ac:dyDescent="0.3">
      <c r="A87" s="232"/>
      <c r="B87" s="232"/>
      <c r="C87" s="233"/>
      <c r="E87" s="233"/>
      <c r="F87" s="233"/>
      <c r="H87" s="233"/>
      <c r="L87" s="233"/>
      <c r="M87" s="235"/>
      <c r="N87" s="236"/>
      <c r="P87" s="236"/>
      <c r="R87" s="237"/>
      <c r="AD87" s="233"/>
      <c r="AH87" s="233"/>
      <c r="AJ87" s="237"/>
      <c r="AL87" s="238"/>
      <c r="AM87" s="232"/>
    </row>
    <row r="88" spans="1:39" s="234" customFormat="1" x14ac:dyDescent="0.3">
      <c r="A88" s="232"/>
      <c r="B88" s="232"/>
      <c r="C88" s="233"/>
      <c r="E88" s="233"/>
      <c r="F88" s="233"/>
      <c r="H88" s="233"/>
      <c r="L88" s="233"/>
      <c r="M88" s="235"/>
      <c r="N88" s="236"/>
      <c r="P88" s="236"/>
      <c r="R88" s="237"/>
      <c r="AD88" s="233"/>
      <c r="AH88" s="233"/>
      <c r="AJ88" s="237"/>
      <c r="AL88" s="238"/>
      <c r="AM88" s="232"/>
    </row>
    <row r="89" spans="1:39" s="234" customFormat="1" x14ac:dyDescent="0.3">
      <c r="A89" s="232"/>
      <c r="B89" s="232"/>
      <c r="C89" s="233"/>
      <c r="E89" s="233"/>
      <c r="F89" s="233"/>
      <c r="H89" s="233"/>
      <c r="L89" s="233"/>
      <c r="M89" s="235"/>
      <c r="N89" s="236"/>
      <c r="P89" s="236"/>
      <c r="R89" s="237"/>
      <c r="AD89" s="233"/>
      <c r="AH89" s="233"/>
      <c r="AJ89" s="237"/>
      <c r="AL89" s="238"/>
      <c r="AM89" s="232"/>
    </row>
    <row r="90" spans="1:39" s="234" customFormat="1" x14ac:dyDescent="0.3">
      <c r="A90" s="232"/>
      <c r="B90" s="232"/>
      <c r="C90" s="233"/>
      <c r="E90" s="233"/>
      <c r="F90" s="233"/>
      <c r="H90" s="233"/>
      <c r="L90" s="233"/>
      <c r="M90" s="235"/>
      <c r="N90" s="236"/>
      <c r="P90" s="236"/>
      <c r="R90" s="237"/>
      <c r="AD90" s="233"/>
      <c r="AH90" s="233"/>
      <c r="AJ90" s="237"/>
      <c r="AL90" s="238"/>
      <c r="AM90" s="232"/>
    </row>
    <row r="91" spans="1:39" s="234" customFormat="1" x14ac:dyDescent="0.3">
      <c r="A91" s="232"/>
      <c r="B91" s="232"/>
      <c r="C91" s="233"/>
      <c r="E91" s="233"/>
      <c r="F91" s="233"/>
      <c r="H91" s="233"/>
      <c r="L91" s="233"/>
      <c r="M91" s="235"/>
      <c r="N91" s="236"/>
      <c r="P91" s="236"/>
      <c r="R91" s="237"/>
      <c r="AD91" s="233"/>
      <c r="AH91" s="233"/>
      <c r="AJ91" s="237"/>
      <c r="AL91" s="238"/>
      <c r="AM91" s="232"/>
    </row>
    <row r="92" spans="1:39" s="234" customFormat="1" x14ac:dyDescent="0.3">
      <c r="A92" s="232"/>
      <c r="B92" s="232"/>
      <c r="C92" s="233"/>
      <c r="E92" s="233"/>
      <c r="F92" s="233"/>
      <c r="H92" s="233"/>
      <c r="L92" s="233"/>
      <c r="M92" s="235"/>
      <c r="N92" s="236"/>
      <c r="P92" s="236"/>
      <c r="R92" s="237"/>
      <c r="AD92" s="233"/>
      <c r="AH92" s="233"/>
      <c r="AJ92" s="237"/>
      <c r="AL92" s="238"/>
      <c r="AM92" s="232"/>
    </row>
    <row r="93" spans="1:39" s="234" customFormat="1" x14ac:dyDescent="0.3">
      <c r="A93" s="232"/>
      <c r="B93" s="232"/>
      <c r="C93" s="233"/>
      <c r="E93" s="233"/>
      <c r="F93" s="233"/>
      <c r="H93" s="233"/>
      <c r="L93" s="233"/>
      <c r="M93" s="235"/>
      <c r="N93" s="236"/>
      <c r="P93" s="236"/>
      <c r="R93" s="237"/>
      <c r="AD93" s="233"/>
      <c r="AH93" s="233"/>
      <c r="AJ93" s="237"/>
      <c r="AL93" s="238"/>
      <c r="AM93" s="232"/>
    </row>
    <row r="94" spans="1:39" s="234" customFormat="1" x14ac:dyDescent="0.3">
      <c r="A94" s="232"/>
      <c r="B94" s="232"/>
      <c r="C94" s="233"/>
      <c r="E94" s="233"/>
      <c r="F94" s="233"/>
      <c r="H94" s="233"/>
      <c r="L94" s="233"/>
      <c r="M94" s="235"/>
      <c r="N94" s="236"/>
      <c r="P94" s="236"/>
      <c r="R94" s="237"/>
      <c r="AD94" s="233"/>
      <c r="AH94" s="233"/>
      <c r="AJ94" s="237"/>
      <c r="AL94" s="238"/>
      <c r="AM94" s="232"/>
    </row>
    <row r="95" spans="1:39" s="234" customFormat="1" x14ac:dyDescent="0.3">
      <c r="A95" s="232"/>
      <c r="B95" s="232"/>
      <c r="C95" s="233"/>
      <c r="E95" s="233"/>
      <c r="F95" s="233"/>
      <c r="H95" s="233"/>
      <c r="L95" s="233"/>
      <c r="M95" s="235"/>
      <c r="N95" s="236"/>
      <c r="P95" s="236"/>
      <c r="R95" s="237"/>
      <c r="AD95" s="233"/>
      <c r="AH95" s="233"/>
      <c r="AJ95" s="237"/>
      <c r="AL95" s="238"/>
      <c r="AM95" s="232"/>
    </row>
    <row r="96" spans="1:39" s="234" customFormat="1" x14ac:dyDescent="0.3">
      <c r="A96" s="232"/>
      <c r="B96" s="232"/>
      <c r="C96" s="233"/>
      <c r="E96" s="233"/>
      <c r="F96" s="233"/>
      <c r="H96" s="233"/>
      <c r="L96" s="233"/>
      <c r="M96" s="235"/>
      <c r="N96" s="236"/>
      <c r="P96" s="236"/>
      <c r="R96" s="237"/>
      <c r="AD96" s="233"/>
      <c r="AH96" s="233"/>
      <c r="AJ96" s="237"/>
      <c r="AL96" s="238"/>
      <c r="AM96" s="232"/>
    </row>
    <row r="97" spans="1:39" s="234" customFormat="1" x14ac:dyDescent="0.3">
      <c r="A97" s="232"/>
      <c r="B97" s="232"/>
      <c r="C97" s="233"/>
      <c r="E97" s="233"/>
      <c r="F97" s="233"/>
      <c r="H97" s="233"/>
      <c r="L97" s="233"/>
      <c r="M97" s="235"/>
      <c r="N97" s="236"/>
      <c r="P97" s="236"/>
      <c r="R97" s="237"/>
      <c r="AD97" s="233"/>
      <c r="AH97" s="233"/>
      <c r="AJ97" s="237"/>
      <c r="AL97" s="238"/>
      <c r="AM97" s="232"/>
    </row>
    <row r="98" spans="1:39" s="234" customFormat="1" x14ac:dyDescent="0.3">
      <c r="A98" s="232"/>
      <c r="B98" s="232"/>
      <c r="C98" s="233"/>
      <c r="E98" s="233"/>
      <c r="F98" s="233"/>
      <c r="H98" s="233"/>
      <c r="L98" s="233"/>
      <c r="M98" s="235"/>
      <c r="N98" s="236"/>
      <c r="P98" s="236"/>
      <c r="R98" s="237"/>
      <c r="AD98" s="233"/>
      <c r="AH98" s="233"/>
      <c r="AJ98" s="237"/>
      <c r="AL98" s="238"/>
      <c r="AM98" s="232"/>
    </row>
    <row r="99" spans="1:39" s="234" customFormat="1" x14ac:dyDescent="0.3">
      <c r="A99" s="232"/>
      <c r="B99" s="232"/>
      <c r="C99" s="233"/>
      <c r="E99" s="233"/>
      <c r="F99" s="233"/>
      <c r="H99" s="233"/>
      <c r="L99" s="233"/>
      <c r="M99" s="235"/>
      <c r="N99" s="236"/>
      <c r="P99" s="236"/>
      <c r="R99" s="237"/>
      <c r="AD99" s="233"/>
      <c r="AH99" s="233"/>
      <c r="AJ99" s="237"/>
      <c r="AL99" s="238"/>
      <c r="AM99" s="232"/>
    </row>
    <row r="100" spans="1:39" s="234" customFormat="1" x14ac:dyDescent="0.3">
      <c r="A100" s="232"/>
      <c r="B100" s="232"/>
      <c r="C100" s="233"/>
      <c r="E100" s="233"/>
      <c r="F100" s="233"/>
      <c r="H100" s="233"/>
      <c r="L100" s="233"/>
      <c r="M100" s="235"/>
      <c r="N100" s="236"/>
      <c r="P100" s="236"/>
      <c r="R100" s="237"/>
      <c r="AD100" s="233"/>
      <c r="AH100" s="233"/>
      <c r="AJ100" s="237"/>
      <c r="AL100" s="238"/>
      <c r="AM100" s="232"/>
    </row>
    <row r="101" spans="1:39" s="234" customFormat="1" x14ac:dyDescent="0.3">
      <c r="A101" s="232"/>
      <c r="B101" s="232"/>
      <c r="C101" s="233"/>
      <c r="E101" s="233"/>
      <c r="F101" s="233"/>
      <c r="H101" s="233"/>
      <c r="L101" s="233"/>
      <c r="M101" s="235"/>
      <c r="N101" s="236"/>
      <c r="P101" s="236"/>
      <c r="R101" s="237"/>
      <c r="AD101" s="233"/>
      <c r="AH101" s="233"/>
      <c r="AJ101" s="237"/>
      <c r="AL101" s="238"/>
      <c r="AM101" s="232"/>
    </row>
    <row r="102" spans="1:39" s="234" customFormat="1" x14ac:dyDescent="0.3">
      <c r="A102" s="232"/>
      <c r="B102" s="232"/>
      <c r="C102" s="233"/>
      <c r="E102" s="233"/>
      <c r="F102" s="233"/>
      <c r="H102" s="233"/>
      <c r="L102" s="233"/>
      <c r="M102" s="235"/>
      <c r="N102" s="236"/>
      <c r="P102" s="236"/>
      <c r="R102" s="237"/>
      <c r="AD102" s="233"/>
      <c r="AH102" s="233"/>
      <c r="AJ102" s="237"/>
      <c r="AL102" s="238"/>
      <c r="AM102" s="232"/>
    </row>
    <row r="103" spans="1:39" s="234" customFormat="1" x14ac:dyDescent="0.3">
      <c r="A103" s="232"/>
      <c r="B103" s="232"/>
      <c r="C103" s="233"/>
      <c r="E103" s="233"/>
      <c r="F103" s="233"/>
      <c r="H103" s="233"/>
      <c r="L103" s="233"/>
      <c r="M103" s="235"/>
      <c r="N103" s="236"/>
      <c r="P103" s="236"/>
      <c r="R103" s="237"/>
      <c r="AD103" s="233"/>
      <c r="AH103" s="233"/>
      <c r="AJ103" s="237"/>
      <c r="AL103" s="238"/>
      <c r="AM103" s="232"/>
    </row>
    <row r="104" spans="1:39" s="234" customFormat="1" x14ac:dyDescent="0.3">
      <c r="A104" s="232"/>
      <c r="B104" s="232"/>
      <c r="C104" s="233"/>
      <c r="E104" s="233"/>
      <c r="F104" s="233"/>
      <c r="H104" s="233"/>
      <c r="L104" s="233"/>
      <c r="M104" s="235"/>
      <c r="N104" s="236"/>
      <c r="P104" s="236"/>
      <c r="R104" s="237"/>
      <c r="AD104" s="233"/>
      <c r="AH104" s="233"/>
      <c r="AJ104" s="237"/>
      <c r="AL104" s="238"/>
      <c r="AM104" s="232"/>
    </row>
    <row r="105" spans="1:39" s="234" customFormat="1" x14ac:dyDescent="0.3">
      <c r="A105" s="232"/>
      <c r="B105" s="232"/>
      <c r="C105" s="233"/>
      <c r="E105" s="233"/>
      <c r="F105" s="233"/>
      <c r="H105" s="233"/>
      <c r="L105" s="233"/>
      <c r="M105" s="235"/>
      <c r="N105" s="236"/>
      <c r="P105" s="236"/>
      <c r="R105" s="237"/>
      <c r="AD105" s="233"/>
      <c r="AH105" s="233"/>
      <c r="AJ105" s="237"/>
      <c r="AL105" s="238"/>
      <c r="AM105" s="232"/>
    </row>
    <row r="106" spans="1:39" s="234" customFormat="1" x14ac:dyDescent="0.3">
      <c r="A106" s="232"/>
      <c r="B106" s="232"/>
      <c r="C106" s="233"/>
      <c r="E106" s="233"/>
      <c r="F106" s="233"/>
      <c r="H106" s="233"/>
      <c r="L106" s="233"/>
      <c r="M106" s="235"/>
      <c r="N106" s="236"/>
      <c r="P106" s="236"/>
      <c r="R106" s="237"/>
      <c r="AD106" s="233"/>
      <c r="AH106" s="233"/>
      <c r="AJ106" s="237"/>
      <c r="AL106" s="238"/>
      <c r="AM106" s="232"/>
    </row>
    <row r="107" spans="1:39" s="234" customFormat="1" x14ac:dyDescent="0.3">
      <c r="A107" s="232"/>
      <c r="B107" s="232"/>
      <c r="C107" s="233"/>
      <c r="E107" s="233"/>
      <c r="F107" s="233"/>
      <c r="H107" s="233"/>
      <c r="L107" s="233"/>
      <c r="M107" s="235"/>
      <c r="N107" s="236"/>
      <c r="P107" s="236"/>
      <c r="R107" s="237"/>
      <c r="AD107" s="233"/>
      <c r="AH107" s="233"/>
      <c r="AJ107" s="237"/>
      <c r="AL107" s="238"/>
      <c r="AM107" s="232"/>
    </row>
    <row r="108" spans="1:39" s="234" customFormat="1" x14ac:dyDescent="0.3">
      <c r="A108" s="232"/>
      <c r="B108" s="232"/>
      <c r="C108" s="233"/>
      <c r="E108" s="233"/>
      <c r="F108" s="233"/>
      <c r="H108" s="233"/>
      <c r="L108" s="233"/>
      <c r="M108" s="235"/>
      <c r="N108" s="236"/>
      <c r="P108" s="236"/>
      <c r="R108" s="237"/>
      <c r="AD108" s="233"/>
      <c r="AH108" s="233"/>
      <c r="AJ108" s="237"/>
      <c r="AL108" s="238"/>
      <c r="AM108" s="232"/>
    </row>
    <row r="109" spans="1:39" s="234" customFormat="1" x14ac:dyDescent="0.3">
      <c r="A109" s="232"/>
      <c r="B109" s="232"/>
      <c r="C109" s="233"/>
      <c r="E109" s="233"/>
      <c r="F109" s="233"/>
      <c r="H109" s="233"/>
      <c r="L109" s="233"/>
      <c r="M109" s="235"/>
      <c r="N109" s="236"/>
      <c r="P109" s="236"/>
      <c r="R109" s="237"/>
      <c r="AD109" s="233"/>
      <c r="AH109" s="233"/>
      <c r="AJ109" s="237"/>
      <c r="AL109" s="238"/>
      <c r="AM109" s="232"/>
    </row>
    <row r="110" spans="1:39" s="234" customFormat="1" x14ac:dyDescent="0.3">
      <c r="A110" s="232"/>
      <c r="B110" s="232"/>
      <c r="C110" s="233"/>
      <c r="E110" s="233"/>
      <c r="F110" s="233"/>
      <c r="H110" s="233"/>
      <c r="L110" s="233"/>
      <c r="M110" s="235"/>
      <c r="N110" s="236"/>
      <c r="P110" s="236"/>
      <c r="R110" s="237"/>
      <c r="AD110" s="233"/>
      <c r="AH110" s="233"/>
      <c r="AJ110" s="237"/>
      <c r="AL110" s="238"/>
      <c r="AM110" s="232"/>
    </row>
    <row r="111" spans="1:39" s="234" customFormat="1" x14ac:dyDescent="0.3">
      <c r="A111" s="232"/>
      <c r="B111" s="232"/>
      <c r="C111" s="233"/>
      <c r="E111" s="233"/>
      <c r="F111" s="233"/>
      <c r="H111" s="233"/>
      <c r="L111" s="233"/>
      <c r="M111" s="235"/>
      <c r="N111" s="236"/>
      <c r="P111" s="236"/>
      <c r="R111" s="237"/>
      <c r="AD111" s="233"/>
      <c r="AH111" s="233"/>
      <c r="AJ111" s="237"/>
      <c r="AL111" s="238"/>
      <c r="AM111" s="232"/>
    </row>
    <row r="112" spans="1:39" s="234" customFormat="1" x14ac:dyDescent="0.3">
      <c r="A112" s="232"/>
      <c r="B112" s="232"/>
      <c r="C112" s="233"/>
      <c r="E112" s="233"/>
      <c r="F112" s="233"/>
      <c r="H112" s="233"/>
      <c r="L112" s="233"/>
      <c r="M112" s="235"/>
      <c r="N112" s="236"/>
      <c r="P112" s="236"/>
      <c r="R112" s="237"/>
      <c r="AD112" s="233"/>
      <c r="AH112" s="233"/>
      <c r="AJ112" s="237"/>
      <c r="AL112" s="238"/>
      <c r="AM112" s="232"/>
    </row>
    <row r="113" spans="1:39" s="234" customFormat="1" x14ac:dyDescent="0.3">
      <c r="A113" s="232"/>
      <c r="B113" s="232"/>
      <c r="C113" s="233"/>
      <c r="E113" s="233"/>
      <c r="F113" s="233"/>
      <c r="H113" s="233"/>
      <c r="L113" s="233"/>
      <c r="M113" s="235"/>
      <c r="N113" s="236"/>
      <c r="P113" s="236"/>
      <c r="R113" s="237"/>
      <c r="AD113" s="233"/>
      <c r="AH113" s="233"/>
      <c r="AJ113" s="237"/>
      <c r="AL113" s="238"/>
      <c r="AM113" s="232"/>
    </row>
  </sheetData>
  <mergeCells count="17"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R9:R10"/>
    <mergeCell ref="S9:S10"/>
    <mergeCell ref="T9:U9"/>
    <mergeCell ref="AA9:AB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3" sqref="C3:C5"/>
    </sheetView>
  </sheetViews>
  <sheetFormatPr defaultRowHeight="14.4" x14ac:dyDescent="0.3"/>
  <cols>
    <col min="1" max="1" width="9.5546875" bestFit="1" customWidth="1"/>
    <col min="2" max="2" width="9.33203125" bestFit="1" customWidth="1"/>
    <col min="3" max="3" width="9.5546875" bestFit="1" customWidth="1"/>
  </cols>
  <sheetData>
    <row r="1" spans="1:3" ht="18" x14ac:dyDescent="0.35">
      <c r="A1" s="28" t="s">
        <v>28</v>
      </c>
    </row>
    <row r="2" spans="1:3" ht="18" x14ac:dyDescent="0.35">
      <c r="A2" s="275">
        <v>44228</v>
      </c>
      <c r="B2" s="276"/>
      <c r="C2" s="276"/>
    </row>
    <row r="3" spans="1:3" x14ac:dyDescent="0.3">
      <c r="A3" s="278" t="s">
        <v>1</v>
      </c>
      <c r="B3" s="277" t="s">
        <v>2</v>
      </c>
      <c r="C3" s="277" t="s">
        <v>3</v>
      </c>
    </row>
    <row r="4" spans="1:3" x14ac:dyDescent="0.3">
      <c r="A4" s="278"/>
      <c r="B4" s="277"/>
      <c r="C4" s="277"/>
    </row>
    <row r="5" spans="1:3" x14ac:dyDescent="0.3">
      <c r="A5" s="278"/>
      <c r="B5" s="277"/>
      <c r="C5" s="277"/>
    </row>
    <row r="6" spans="1:3" x14ac:dyDescent="0.3">
      <c r="A6" s="2">
        <v>1</v>
      </c>
      <c r="B6" s="2" t="s">
        <v>53</v>
      </c>
      <c r="C6" s="2">
        <v>38</v>
      </c>
    </row>
    <row r="7" spans="1:3" x14ac:dyDescent="0.3">
      <c r="A7" s="2">
        <v>2</v>
      </c>
      <c r="B7" s="2">
        <v>1</v>
      </c>
      <c r="C7" s="2">
        <v>44</v>
      </c>
    </row>
    <row r="8" spans="1:3" x14ac:dyDescent="0.3">
      <c r="A8" s="2">
        <f>A7+1</f>
        <v>3</v>
      </c>
      <c r="B8" s="2">
        <v>1</v>
      </c>
      <c r="C8" s="2">
        <v>27</v>
      </c>
    </row>
    <row r="9" spans="1:3" x14ac:dyDescent="0.3">
      <c r="A9" s="2">
        <f>A8+1</f>
        <v>4</v>
      </c>
      <c r="B9" s="2">
        <v>1</v>
      </c>
      <c r="C9" s="2">
        <v>11</v>
      </c>
    </row>
    <row r="10" spans="1:3" x14ac:dyDescent="0.3">
      <c r="A10" s="2">
        <f t="shared" ref="A10:A36" si="0">A9+1</f>
        <v>5</v>
      </c>
      <c r="B10" s="2">
        <v>1</v>
      </c>
      <c r="C10" s="2">
        <v>46</v>
      </c>
    </row>
    <row r="11" spans="1:3" x14ac:dyDescent="0.3">
      <c r="A11" s="2">
        <f t="shared" si="0"/>
        <v>6</v>
      </c>
      <c r="B11" s="2" t="s">
        <v>53</v>
      </c>
      <c r="C11" s="2">
        <v>27</v>
      </c>
    </row>
    <row r="12" spans="1:3" x14ac:dyDescent="0.3">
      <c r="A12" s="2">
        <f t="shared" si="0"/>
        <v>7</v>
      </c>
      <c r="B12" s="2" t="s">
        <v>53</v>
      </c>
      <c r="C12" s="2">
        <v>61</v>
      </c>
    </row>
    <row r="13" spans="1:3" x14ac:dyDescent="0.3">
      <c r="A13" s="2">
        <f t="shared" si="0"/>
        <v>8</v>
      </c>
      <c r="B13" s="2">
        <v>1</v>
      </c>
      <c r="C13" s="2">
        <v>27</v>
      </c>
    </row>
    <row r="14" spans="1:3" x14ac:dyDescent="0.3">
      <c r="A14" s="2">
        <f t="shared" si="0"/>
        <v>9</v>
      </c>
      <c r="B14" s="2">
        <v>1</v>
      </c>
      <c r="C14" s="2">
        <v>47</v>
      </c>
    </row>
    <row r="15" spans="1:3" x14ac:dyDescent="0.3">
      <c r="A15" s="2">
        <f t="shared" si="0"/>
        <v>10</v>
      </c>
      <c r="B15" s="2">
        <v>3</v>
      </c>
      <c r="C15" s="2">
        <v>26</v>
      </c>
    </row>
    <row r="16" spans="1:3" x14ac:dyDescent="0.3">
      <c r="A16" s="2">
        <f t="shared" si="0"/>
        <v>11</v>
      </c>
      <c r="B16" s="2">
        <v>3</v>
      </c>
      <c r="C16" s="2">
        <v>27</v>
      </c>
    </row>
    <row r="17" spans="1:3" x14ac:dyDescent="0.3">
      <c r="A17" s="2">
        <f t="shared" si="0"/>
        <v>12</v>
      </c>
      <c r="B17" s="2">
        <v>3</v>
      </c>
      <c r="C17" s="2">
        <v>53</v>
      </c>
    </row>
    <row r="18" spans="1:3" x14ac:dyDescent="0.3">
      <c r="A18" s="2">
        <f t="shared" si="0"/>
        <v>13</v>
      </c>
      <c r="B18" s="2">
        <v>3</v>
      </c>
      <c r="C18" s="2">
        <v>69</v>
      </c>
    </row>
    <row r="19" spans="1:3" x14ac:dyDescent="0.3">
      <c r="A19" s="2">
        <f t="shared" si="0"/>
        <v>14</v>
      </c>
      <c r="B19" s="2">
        <v>3</v>
      </c>
      <c r="C19" s="2">
        <v>125</v>
      </c>
    </row>
    <row r="20" spans="1:3" x14ac:dyDescent="0.3">
      <c r="A20" s="2">
        <f t="shared" si="0"/>
        <v>15</v>
      </c>
      <c r="B20" s="2">
        <v>3</v>
      </c>
      <c r="C20" s="2">
        <v>40</v>
      </c>
    </row>
    <row r="21" spans="1:3" x14ac:dyDescent="0.3">
      <c r="A21" s="2">
        <f t="shared" si="0"/>
        <v>16</v>
      </c>
      <c r="B21" s="2">
        <v>3</v>
      </c>
      <c r="C21" s="2">
        <v>45</v>
      </c>
    </row>
    <row r="22" spans="1:3" x14ac:dyDescent="0.3">
      <c r="A22" s="2">
        <f t="shared" si="0"/>
        <v>17</v>
      </c>
      <c r="B22" s="2">
        <v>3</v>
      </c>
      <c r="C22" s="2">
        <v>31</v>
      </c>
    </row>
    <row r="23" spans="1:3" x14ac:dyDescent="0.3">
      <c r="A23" s="2">
        <f t="shared" si="0"/>
        <v>18</v>
      </c>
      <c r="B23" s="2">
        <v>2</v>
      </c>
      <c r="C23" s="2">
        <v>28</v>
      </c>
    </row>
    <row r="24" spans="1:3" x14ac:dyDescent="0.3">
      <c r="A24" s="2">
        <f t="shared" si="0"/>
        <v>19</v>
      </c>
      <c r="B24" s="2">
        <v>2</v>
      </c>
      <c r="C24" s="2">
        <v>31</v>
      </c>
    </row>
    <row r="25" spans="1:3" x14ac:dyDescent="0.3">
      <c r="A25" s="2">
        <f t="shared" si="0"/>
        <v>20</v>
      </c>
      <c r="B25" s="2">
        <v>2</v>
      </c>
      <c r="C25" s="2">
        <v>55</v>
      </c>
    </row>
    <row r="26" spans="1:3" x14ac:dyDescent="0.3">
      <c r="A26" s="2">
        <f t="shared" si="0"/>
        <v>21</v>
      </c>
      <c r="B26" s="2">
        <v>2</v>
      </c>
      <c r="C26" s="2">
        <v>68</v>
      </c>
    </row>
    <row r="27" spans="1:3" x14ac:dyDescent="0.3">
      <c r="A27" s="2">
        <f t="shared" si="0"/>
        <v>22</v>
      </c>
      <c r="B27" s="2"/>
      <c r="C27" s="2"/>
    </row>
    <row r="28" spans="1:3" x14ac:dyDescent="0.3">
      <c r="A28" s="2">
        <f t="shared" si="0"/>
        <v>23</v>
      </c>
      <c r="B28" s="2"/>
      <c r="C28" s="2"/>
    </row>
    <row r="29" spans="1:3" x14ac:dyDescent="0.3">
      <c r="A29" s="2">
        <f t="shared" si="0"/>
        <v>24</v>
      </c>
      <c r="B29" s="2"/>
      <c r="C29" s="2"/>
    </row>
    <row r="30" spans="1:3" x14ac:dyDescent="0.3">
      <c r="A30" s="2">
        <f t="shared" si="0"/>
        <v>25</v>
      </c>
      <c r="B30" s="2"/>
      <c r="C30" s="2"/>
    </row>
    <row r="31" spans="1:3" x14ac:dyDescent="0.3">
      <c r="A31" s="2">
        <f t="shared" si="0"/>
        <v>26</v>
      </c>
      <c r="B31" s="2"/>
      <c r="C31" s="2"/>
    </row>
    <row r="32" spans="1:3" x14ac:dyDescent="0.3">
      <c r="A32" s="2">
        <f t="shared" si="0"/>
        <v>27</v>
      </c>
      <c r="B32" s="2"/>
      <c r="C32" s="2"/>
    </row>
    <row r="33" spans="1:3" x14ac:dyDescent="0.3">
      <c r="A33" s="2">
        <f t="shared" si="0"/>
        <v>28</v>
      </c>
      <c r="B33" s="2"/>
      <c r="C33" s="2"/>
    </row>
    <row r="34" spans="1:3" x14ac:dyDescent="0.3">
      <c r="A34" s="2"/>
      <c r="B34" s="2"/>
      <c r="C34" s="2"/>
    </row>
    <row r="35" spans="1:3" x14ac:dyDescent="0.3">
      <c r="A35" s="2"/>
      <c r="B35" s="2"/>
      <c r="C35" s="2"/>
    </row>
    <row r="36" spans="1:3" x14ac:dyDescent="0.3">
      <c r="A36" s="2"/>
      <c r="B36" s="2"/>
      <c r="C36" s="2"/>
    </row>
    <row r="38" spans="1:3" x14ac:dyDescent="0.3">
      <c r="B38" s="6">
        <f>SUM(B6:B36)</f>
        <v>38</v>
      </c>
      <c r="C38" s="6">
        <f>SUM(C6:C36)</f>
        <v>926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63AC17-9EFD-48DA-BB12-4FD1F7102A5E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ed2f2222-2bff-489f-89bb-9539c67e7b9c"/>
    <ds:schemaRef ds:uri="http://purl.org/dc/terms/"/>
    <ds:schemaRef ds:uri="http://schemas.openxmlformats.org/package/2006/metadata/core-properties"/>
    <ds:schemaRef ds:uri="77842aba-bda6-4832-96cd-e75cb532429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February 2021</vt:lpstr>
      <vt:lpstr>RNs &amp; Covers January 2021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USER</cp:lastModifiedBy>
  <cp:lastPrinted>2020-11-17T04:34:44Z</cp:lastPrinted>
  <dcterms:created xsi:type="dcterms:W3CDTF">2020-09-16T08:52:25Z</dcterms:created>
  <dcterms:modified xsi:type="dcterms:W3CDTF">2021-02-22T05:50:52Z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