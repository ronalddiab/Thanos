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18" i="2" l="1"/>
  <c r="AG18" i="2"/>
  <c r="AF18" i="2"/>
  <c r="AH17" i="2"/>
  <c r="AG17" i="2"/>
  <c r="AF17" i="2"/>
  <c r="AH16" i="2"/>
  <c r="AG16" i="2"/>
  <c r="AF16" i="2"/>
  <c r="AH15" i="2"/>
  <c r="AG15" i="2"/>
  <c r="AF15" i="2"/>
  <c r="AH14" i="2"/>
  <c r="AG14" i="2"/>
  <c r="AF14" i="2"/>
  <c r="W18" i="2"/>
  <c r="V18" i="2"/>
  <c r="W17" i="2"/>
  <c r="V17" i="2"/>
  <c r="W16" i="2"/>
  <c r="V16" i="2"/>
  <c r="W15" i="2"/>
  <c r="V15" i="2"/>
  <c r="W14" i="2"/>
  <c r="V14" i="2"/>
  <c r="W13" i="2"/>
  <c r="V13" i="2"/>
  <c r="W12" i="2"/>
  <c r="V12" i="2"/>
  <c r="W11" i="2"/>
  <c r="V11" i="2"/>
  <c r="W10" i="2"/>
  <c r="V10" i="2"/>
  <c r="W9" i="2"/>
  <c r="V9" i="2"/>
  <c r="W8" i="2"/>
  <c r="V8" i="2"/>
  <c r="W7" i="2"/>
  <c r="V7" i="2"/>
  <c r="W6" i="2"/>
  <c r="V6" i="2"/>
  <c r="Q18" i="2" l="1"/>
  <c r="P18" i="2"/>
  <c r="Q17" i="2"/>
  <c r="P17" i="2"/>
  <c r="Q16" i="2"/>
  <c r="P16" i="2"/>
  <c r="Q15" i="2"/>
  <c r="P15" i="2"/>
  <c r="Q14" i="2"/>
  <c r="P14" i="2"/>
  <c r="Q13" i="2"/>
  <c r="P13" i="2"/>
  <c r="Q12" i="2"/>
  <c r="P12" i="2"/>
  <c r="Q11" i="2"/>
  <c r="P11" i="2"/>
  <c r="Q10" i="2"/>
  <c r="P10" i="2"/>
  <c r="Q9" i="2"/>
  <c r="P9" i="2"/>
  <c r="Q8" i="2"/>
  <c r="P8" i="2"/>
  <c r="Q7" i="2"/>
  <c r="P7" i="2"/>
  <c r="Q6" i="2"/>
  <c r="P6" i="2"/>
  <c r="O18" i="2"/>
  <c r="N18" i="2"/>
  <c r="M18" i="2"/>
  <c r="O17" i="2"/>
  <c r="N17" i="2"/>
  <c r="M17" i="2"/>
  <c r="O16" i="2"/>
  <c r="N16" i="2"/>
  <c r="M1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J18" i="2" l="1"/>
  <c r="I18" i="2"/>
  <c r="H18" i="2"/>
  <c r="G18" i="2"/>
  <c r="F18" i="2"/>
  <c r="E18" i="2"/>
  <c r="D18" i="2"/>
  <c r="C18" i="2"/>
  <c r="B18" i="2"/>
  <c r="J17" i="2"/>
  <c r="I17" i="2"/>
  <c r="H17" i="2"/>
  <c r="G17" i="2"/>
  <c r="F17" i="2"/>
  <c r="E17" i="2"/>
  <c r="D17" i="2"/>
  <c r="C17" i="2"/>
  <c r="B17" i="2"/>
  <c r="J16" i="2"/>
  <c r="I16" i="2"/>
  <c r="H16" i="2"/>
  <c r="G16" i="2"/>
  <c r="F16" i="2"/>
  <c r="E16" i="2"/>
  <c r="D16" i="2"/>
  <c r="C16" i="2"/>
  <c r="B16" i="2"/>
  <c r="J15" i="2"/>
  <c r="I15" i="2"/>
  <c r="H15" i="2"/>
  <c r="G15" i="2"/>
  <c r="F15" i="2"/>
  <c r="E15" i="2"/>
  <c r="D15" i="2"/>
  <c r="C15" i="2"/>
  <c r="B15" i="2"/>
  <c r="J14" i="2"/>
  <c r="I14" i="2"/>
  <c r="H14" i="2"/>
  <c r="G14" i="2"/>
  <c r="F14" i="2"/>
  <c r="E14" i="2"/>
  <c r="D14" i="2"/>
  <c r="C14" i="2"/>
  <c r="B14" i="2"/>
  <c r="J13" i="2"/>
  <c r="I13" i="2"/>
  <c r="H13" i="2"/>
  <c r="G13" i="2"/>
  <c r="F13" i="2"/>
  <c r="E13" i="2"/>
  <c r="D13" i="2"/>
  <c r="C13" i="2"/>
  <c r="B13" i="2"/>
  <c r="J12" i="2"/>
  <c r="I12" i="2"/>
  <c r="H12" i="2"/>
  <c r="G12" i="2"/>
  <c r="F12" i="2"/>
  <c r="E12" i="2"/>
  <c r="D12" i="2"/>
  <c r="C12" i="2"/>
  <c r="B12" i="2"/>
  <c r="J11" i="2"/>
  <c r="I11" i="2"/>
  <c r="H11" i="2"/>
  <c r="G11" i="2"/>
  <c r="F11" i="2"/>
  <c r="E11" i="2"/>
  <c r="D11" i="2"/>
  <c r="C11" i="2"/>
  <c r="B11" i="2"/>
  <c r="J10" i="2"/>
  <c r="I10" i="2"/>
  <c r="H10" i="2"/>
  <c r="G10" i="2"/>
  <c r="F10" i="2"/>
  <c r="E10" i="2"/>
  <c r="D10" i="2"/>
  <c r="C10" i="2"/>
  <c r="B10" i="2"/>
  <c r="J9" i="2"/>
  <c r="I9" i="2"/>
  <c r="H9" i="2"/>
  <c r="G9" i="2"/>
  <c r="F9" i="2"/>
  <c r="E9" i="2"/>
  <c r="D9" i="2"/>
  <c r="C9" i="2"/>
  <c r="B9" i="2"/>
  <c r="J8" i="2"/>
  <c r="I8" i="2"/>
  <c r="H8" i="2"/>
  <c r="G8" i="2"/>
  <c r="F8" i="2"/>
  <c r="E8" i="2"/>
  <c r="D8" i="2"/>
  <c r="C8" i="2"/>
  <c r="B8" i="2"/>
  <c r="J7" i="2"/>
  <c r="I7" i="2"/>
  <c r="H7" i="2"/>
  <c r="G7" i="2"/>
  <c r="F7" i="2"/>
  <c r="E7" i="2"/>
  <c r="D7" i="2"/>
  <c r="C7" i="2"/>
  <c r="B7" i="2"/>
  <c r="J6" i="2"/>
  <c r="I6" i="2"/>
  <c r="H6" i="2"/>
  <c r="G6" i="2"/>
  <c r="F6" i="2"/>
  <c r="E6" i="2"/>
  <c r="D6" i="2"/>
  <c r="C6" i="2"/>
  <c r="B6" i="2"/>
  <c r="AH13" i="2" l="1"/>
  <c r="AG12" i="2"/>
  <c r="AH12" i="2"/>
  <c r="AF13" i="2"/>
  <c r="AF12" i="2"/>
  <c r="AH11" i="2"/>
  <c r="AF11" i="2"/>
  <c r="AG13" i="2"/>
  <c r="AG11" i="2"/>
  <c r="R11" i="2"/>
  <c r="R12" i="2"/>
  <c r="R13" i="2"/>
  <c r="R10" i="2" l="1"/>
  <c r="AH10" i="2"/>
  <c r="AF10" i="2"/>
  <c r="AH9" i="2"/>
  <c r="AF9" i="2"/>
  <c r="AH7" i="2"/>
  <c r="AF7" i="2"/>
  <c r="AH8" i="2"/>
  <c r="AG8" i="2"/>
  <c r="AF8" i="2"/>
  <c r="AG10" i="2"/>
  <c r="AG9" i="2"/>
  <c r="AG7" i="2"/>
  <c r="AG6" i="2"/>
  <c r="AH6" i="2"/>
  <c r="AF6" i="2"/>
  <c r="Z8" i="2"/>
  <c r="Z9" i="2"/>
  <c r="Z10" i="2"/>
  <c r="Z11" i="2"/>
  <c r="Z12" i="2"/>
  <c r="Z13" i="2"/>
  <c r="Z14" i="2"/>
  <c r="Z15" i="2"/>
  <c r="Z16" i="2"/>
  <c r="Z17" i="2"/>
  <c r="Z18" i="2"/>
  <c r="Z19" i="2"/>
  <c r="Z20" i="2"/>
  <c r="Z21" i="2"/>
  <c r="Z22" i="2"/>
  <c r="Z23" i="2"/>
  <c r="Z24" i="2"/>
  <c r="Z25" i="2"/>
  <c r="Z26" i="2"/>
  <c r="Z27" i="2"/>
  <c r="Z28" i="2"/>
  <c r="Z29" i="2"/>
  <c r="Z30" i="2"/>
  <c r="Z31" i="2"/>
  <c r="Z32" i="2"/>
  <c r="Z33" i="2"/>
  <c r="Z34" i="2"/>
  <c r="H37" i="2" l="1"/>
  <c r="J37" i="2"/>
  <c r="I37" i="2"/>
  <c r="M31" i="1" l="1"/>
  <c r="N31" i="1"/>
  <c r="M32" i="1"/>
  <c r="N32" i="1"/>
  <c r="B31" i="1"/>
  <c r="B32" i="1"/>
  <c r="U31" i="3"/>
  <c r="V31" i="3"/>
  <c r="W31" i="3"/>
  <c r="Y31" i="3"/>
  <c r="U32" i="3"/>
  <c r="V32" i="3"/>
  <c r="W32" i="3"/>
  <c r="Y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C36" i="2"/>
  <c r="AD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I32" i="1" s="1"/>
  <c r="AE36" i="2"/>
  <c r="T31" i="3"/>
  <c r="AE35" i="2"/>
  <c r="AO35" i="2" s="1"/>
  <c r="P32" i="3"/>
  <c r="G32" i="1" s="1"/>
  <c r="P31" i="3"/>
  <c r="G31" i="1" s="1"/>
  <c r="S32" i="3"/>
  <c r="S31" i="3"/>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I31" i="1" l="1"/>
  <c r="AI6" i="2"/>
  <c r="AC6" i="2"/>
  <c r="AN37" i="2" l="1"/>
  <c r="AH37" i="2"/>
  <c r="AG37" i="2"/>
  <c r="AF37" i="2"/>
  <c r="G37" i="2"/>
  <c r="D37" i="2"/>
  <c r="Z33" i="3"/>
  <c r="Z7" i="2"/>
  <c r="K6" i="2" l="1"/>
  <c r="L6" i="2" l="1"/>
  <c r="Y12" i="3"/>
  <c r="M12" i="1" s="1"/>
  <c r="Y13" i="3"/>
  <c r="M13" i="1" s="1"/>
  <c r="Y14" i="3"/>
  <c r="M14" i="1" s="1"/>
  <c r="Y15" i="3"/>
  <c r="M15" i="1" s="1"/>
  <c r="Y16" i="3"/>
  <c r="M16" i="1" s="1"/>
  <c r="Y17" i="3"/>
  <c r="M17" i="1" s="1"/>
  <c r="Y18" i="3"/>
  <c r="M18" i="1" s="1"/>
  <c r="Y19" i="3"/>
  <c r="M19" i="1" s="1"/>
  <c r="Y20" i="3"/>
  <c r="M20" i="1" s="1"/>
  <c r="Y21" i="3"/>
  <c r="M21" i="1" s="1"/>
  <c r="Y22" i="3"/>
  <c r="M22" i="1" s="1"/>
  <c r="Y23" i="3"/>
  <c r="M23" i="1" s="1"/>
  <c r="Y24" i="3"/>
  <c r="M24" i="1" s="1"/>
  <c r="Y25" i="3"/>
  <c r="M25" i="1" s="1"/>
  <c r="Y26" i="3"/>
  <c r="M26" i="1" s="1"/>
  <c r="Y27" i="3"/>
  <c r="Y28" i="3"/>
  <c r="M28" i="1" s="1"/>
  <c r="Y29" i="3"/>
  <c r="M29" i="1" s="1"/>
  <c r="Y30" i="3"/>
  <c r="M30" i="1" s="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27" i="1"/>
  <c r="N33" i="1" l="1"/>
  <c r="P5" i="3"/>
  <c r="G5" i="1" s="1"/>
  <c r="AA10" i="2"/>
  <c r="AA11" i="2"/>
  <c r="AA13" i="2"/>
  <c r="AA14" i="2"/>
  <c r="AA15" i="2"/>
  <c r="AA16" i="2"/>
  <c r="AD17" i="2"/>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O6" i="3"/>
  <c r="O7" i="3"/>
  <c r="O8" i="3"/>
  <c r="O9" i="3"/>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AA20" i="2"/>
  <c r="AA21" i="2"/>
  <c r="AA22" i="2"/>
  <c r="AA23" i="2"/>
  <c r="P21" i="3"/>
  <c r="P22" i="3"/>
  <c r="G22" i="1" s="1"/>
  <c r="P23" i="3"/>
  <c r="G23" i="1" s="1"/>
  <c r="AA28" i="2"/>
  <c r="AA29" i="2"/>
  <c r="AA30" i="2"/>
  <c r="AA31" i="2"/>
  <c r="AA32" i="2"/>
  <c r="AA33" i="2"/>
  <c r="P30" i="3"/>
  <c r="G30" i="1" s="1"/>
  <c r="P3" i="3"/>
  <c r="AA8" i="2"/>
  <c r="P13" i="3"/>
  <c r="P14" i="3"/>
  <c r="G14" i="1" s="1"/>
  <c r="AA19" i="2"/>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24" i="3"/>
  <c r="N3" i="3"/>
  <c r="P28" i="3" l="1"/>
  <c r="G28" i="1" s="1"/>
  <c r="K28" i="1"/>
  <c r="U32" i="2"/>
  <c r="T23" i="3"/>
  <c r="AL25" i="2"/>
  <c r="AM25" i="2" s="1"/>
  <c r="P17" i="3"/>
  <c r="G17" i="1" s="1"/>
  <c r="U19" i="2"/>
  <c r="P15" i="3"/>
  <c r="S15" i="3" s="1"/>
  <c r="U15" i="2"/>
  <c r="P9" i="3"/>
  <c r="G9" i="1" s="1"/>
  <c r="P27" i="3"/>
  <c r="S27" i="3" s="1"/>
  <c r="P19" i="3"/>
  <c r="G19" i="1" s="1"/>
  <c r="T28" i="3"/>
  <c r="AE32" i="2"/>
  <c r="T27" i="3"/>
  <c r="N19" i="3"/>
  <c r="T12" i="3"/>
  <c r="T22" i="3"/>
  <c r="I22" i="1" s="1"/>
  <c r="T21" i="3"/>
  <c r="I21" i="1" s="1"/>
  <c r="AE25" i="2"/>
  <c r="T13" i="3"/>
  <c r="AE17" i="2"/>
  <c r="T30" i="3"/>
  <c r="P11" i="3"/>
  <c r="G11" i="1" s="1"/>
  <c r="X18" i="3"/>
  <c r="T17" i="3"/>
  <c r="I17" i="1" s="1"/>
  <c r="X9" i="3"/>
  <c r="N10" i="3"/>
  <c r="K10" i="1" s="1"/>
  <c r="U11" i="2"/>
  <c r="AO11" i="2" s="1"/>
  <c r="P26" i="3"/>
  <c r="G26" i="1" s="1"/>
  <c r="U17" i="2"/>
  <c r="T3" i="3"/>
  <c r="P24" i="3"/>
  <c r="G24" i="1" s="1"/>
  <c r="U16" i="2"/>
  <c r="AO16" i="2" s="1"/>
  <c r="U30" i="2"/>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S17" i="3"/>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S28" i="3"/>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X15" i="3"/>
  <c r="U10" i="2"/>
  <c r="AO10" i="2" s="1"/>
  <c r="AL18" i="2"/>
  <c r="AM18" i="2" s="1"/>
  <c r="P6" i="3"/>
  <c r="P16" i="3"/>
  <c r="AA27" i="2"/>
  <c r="AO27" i="2" s="1"/>
  <c r="G15" i="1" l="1"/>
  <c r="AO9" i="2"/>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<sst xmlns="http://schemas.openxmlformats.org/spreadsheetml/2006/main" count="220" uniqueCount="103">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</sst>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3">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C9" sqref="C9"/>
    </sheetView>
  </sheetViews>
  <sheetFormatPr defaultColWidth="11.5703125" defaultRowHeight="15" x14ac:dyDescent="0.25"/>
  <cols>
    <col min="1" max="1" width="18.42578125" style="3" customWidth="1"/>
    <col min="2" max="2" width="11.5703125" style="2"/>
    <col min="3" max="3" width="11.5703125" style="59"/>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0" t="s">
        <v>0</v>
      </c>
      <c r="B1" s="111" t="s">
        <v>1</v>
      </c>
      <c r="C1" s="112" t="s">
        <v>2</v>
      </c>
      <c r="D1" s="111" t="s">
        <v>3</v>
      </c>
      <c r="E1" s="113" t="s">
        <v>4</v>
      </c>
      <c r="F1" s="114" t="s">
        <v>5</v>
      </c>
      <c r="G1" s="113" t="s">
        <v>10</v>
      </c>
      <c r="H1" s="114" t="s">
        <v>11</v>
      </c>
      <c r="I1" s="115" t="s">
        <v>82</v>
      </c>
      <c r="J1" s="116" t="s">
        <v>83</v>
      </c>
      <c r="K1" s="113" t="s">
        <v>6</v>
      </c>
      <c r="L1" s="117" t="s">
        <v>7</v>
      </c>
      <c r="M1" s="113" t="s">
        <v>8</v>
      </c>
      <c r="N1" s="118" t="s">
        <v>9</v>
      </c>
    </row>
    <row r="2" spans="1:15" x14ac:dyDescent="0.25">
      <c r="A2" s="105" t="s">
        <v>80</v>
      </c>
      <c r="B2" s="106">
        <v>1</v>
      </c>
      <c r="C2" s="107">
        <v>5</v>
      </c>
      <c r="D2" s="106">
        <v>2022</v>
      </c>
      <c r="E2" s="100">
        <f>Submetering!E2+Submetering!F2+Submetering!G2+Submetering!H2+Submetering!I2+Submetering!J2+Submetering!K2</f>
        <v>37734</v>
      </c>
      <c r="F2" s="108">
        <v>0.2</v>
      </c>
      <c r="G2" s="100">
        <f>Submetering!P2</f>
        <v>709</v>
      </c>
      <c r="H2" s="108">
        <v>6.47</v>
      </c>
      <c r="I2" s="100">
        <f>Submetering!T2-Submetering!T2*15%-Submetering!X2</f>
        <v>35588.842399998539</v>
      </c>
      <c r="J2" s="99">
        <v>0.21</v>
      </c>
      <c r="K2" s="100">
        <f>Submetering!N2-Submetering!O2</f>
        <v>114.90899999999874</v>
      </c>
      <c r="L2" s="108">
        <v>7.84</v>
      </c>
      <c r="M2" s="100"/>
      <c r="N2" s="101">
        <f>Submetering!Z2</f>
        <v>130</v>
      </c>
    </row>
    <row r="3" spans="1:15" x14ac:dyDescent="0.25">
      <c r="A3" s="109" t="s">
        <v>80</v>
      </c>
      <c r="B3" s="71">
        <f>B2+1</f>
        <v>2</v>
      </c>
      <c r="C3" s="72">
        <v>5</v>
      </c>
      <c r="D3" s="71">
        <v>2022</v>
      </c>
      <c r="E3" s="70">
        <f>Submetering!E3+Submetering!F3+Submetering!G3+Submetering!H3+Submetering!I3+Submetering!J3+Submetering!K3</f>
        <v>36013</v>
      </c>
      <c r="F3" s="73">
        <v>0.2</v>
      </c>
      <c r="G3" s="70">
        <f>Submetering!P3</f>
        <v>664</v>
      </c>
      <c r="H3" s="73">
        <v>6.47</v>
      </c>
      <c r="I3" s="70">
        <f>Submetering!T3-Submetering!T3*15%-Submetering!X3</f>
        <v>33252.579000004371</v>
      </c>
      <c r="J3" s="69">
        <v>0.21</v>
      </c>
      <c r="K3" s="70">
        <f>Submetering!N3-Submetering!O3</f>
        <v>81.568999999998596</v>
      </c>
      <c r="L3" s="73">
        <v>7.84</v>
      </c>
      <c r="M3" s="70"/>
      <c r="N3" s="103">
        <f>Submetering!Z3</f>
        <v>201</v>
      </c>
    </row>
    <row r="4" spans="1:15" x14ac:dyDescent="0.25">
      <c r="A4" s="109" t="s">
        <v>80</v>
      </c>
      <c r="B4" s="71">
        <f t="shared" ref="B4:B32" si="0">B3+1</f>
        <v>3</v>
      </c>
      <c r="C4" s="72">
        <v>5</v>
      </c>
      <c r="D4" s="71">
        <v>2022</v>
      </c>
      <c r="E4" s="70">
        <f>Submetering!E4+Submetering!F4+Submetering!G4+Submetering!H4+Submetering!I4+Submetering!J4+Submetering!K4</f>
        <v>38592</v>
      </c>
      <c r="F4" s="73">
        <v>0.2</v>
      </c>
      <c r="G4" s="70">
        <f>Submetering!P4</f>
        <v>700</v>
      </c>
      <c r="H4" s="73">
        <v>6.47</v>
      </c>
      <c r="I4" s="70">
        <f>Submetering!T4-Submetering!T4*15%-Submetering!X4</f>
        <v>34254.940999997096</v>
      </c>
      <c r="J4" s="69">
        <v>0.21</v>
      </c>
      <c r="K4" s="70">
        <f>Submetering!N4-Submetering!O4</f>
        <v>98.199000000002343</v>
      </c>
      <c r="L4" s="73">
        <v>7.84</v>
      </c>
      <c r="M4" s="70"/>
      <c r="N4" s="103">
        <f>Submetering!Z4</f>
        <v>265</v>
      </c>
    </row>
    <row r="5" spans="1:15" x14ac:dyDescent="0.25">
      <c r="A5" s="109" t="s">
        <v>80</v>
      </c>
      <c r="B5" s="71">
        <f t="shared" si="0"/>
        <v>4</v>
      </c>
      <c r="C5" s="72">
        <v>5</v>
      </c>
      <c r="D5" s="71">
        <v>2022</v>
      </c>
      <c r="E5" s="70">
        <f>Submetering!E5+Submetering!F5+Submetering!G5+Submetering!H5+Submetering!I5+Submetering!J5+Submetering!K5</f>
        <v>37038</v>
      </c>
      <c r="F5" s="73">
        <v>0.2</v>
      </c>
      <c r="G5" s="70">
        <f>Submetering!P5</f>
        <v>754</v>
      </c>
      <c r="H5" s="73">
        <v>6.47</v>
      </c>
      <c r="I5" s="70">
        <f>Submetering!T5-Submetering!T5*15%-Submetering!X5</f>
        <v>40180.903400002906</v>
      </c>
      <c r="J5" s="69">
        <v>0.21</v>
      </c>
      <c r="K5" s="80">
        <f>Submetering!N5-Submetering!O5</f>
        <v>132.86999999999716</v>
      </c>
      <c r="L5" s="73">
        <v>7.84</v>
      </c>
      <c r="M5" s="70"/>
      <c r="N5" s="103">
        <f>Submetering!Z5</f>
        <v>252</v>
      </c>
    </row>
    <row r="6" spans="1:15" x14ac:dyDescent="0.25">
      <c r="A6" s="109" t="s">
        <v>80</v>
      </c>
      <c r="B6" s="71">
        <f t="shared" si="0"/>
        <v>5</v>
      </c>
      <c r="C6" s="72">
        <v>5</v>
      </c>
      <c r="D6" s="71">
        <v>2022</v>
      </c>
      <c r="E6" s="70">
        <f>Submetering!E6+Submetering!F6+Submetering!G6+Submetering!H6+Submetering!I6+Submetering!J6+Submetering!K6</f>
        <v>37206</v>
      </c>
      <c r="F6" s="73">
        <v>0.2</v>
      </c>
      <c r="G6" s="70">
        <f>Submetering!P6</f>
        <v>697</v>
      </c>
      <c r="H6" s="73">
        <v>6.47</v>
      </c>
      <c r="I6" s="70">
        <f>Submetering!T6-Submetering!T6*15%-Submetering!X6</f>
        <v>34399.924199997091</v>
      </c>
      <c r="J6" s="69">
        <v>0.21</v>
      </c>
      <c r="K6" s="70">
        <f>Submetering!N6-Submetering!O6</f>
        <v>131.15999999999894</v>
      </c>
      <c r="L6" s="73">
        <v>7.84</v>
      </c>
      <c r="M6" s="70"/>
      <c r="N6" s="103">
        <f>Submetering!Z6</f>
        <v>245</v>
      </c>
    </row>
    <row r="7" spans="1:15" x14ac:dyDescent="0.25">
      <c r="A7" s="109" t="s">
        <v>80</v>
      </c>
      <c r="B7" s="71">
        <f t="shared" si="0"/>
        <v>6</v>
      </c>
      <c r="C7" s="72">
        <v>5</v>
      </c>
      <c r="D7" s="71">
        <v>2022</v>
      </c>
      <c r="E7" s="70">
        <f>Submetering!E7+Submetering!F7+Submetering!G7+Submetering!H7+Submetering!I7+Submetering!J7+Submetering!K7</f>
        <v>37073</v>
      </c>
      <c r="F7" s="73">
        <v>0.2</v>
      </c>
      <c r="G7" s="70">
        <f>Submetering!P7</f>
        <v>728</v>
      </c>
      <c r="H7" s="73">
        <v>6.47</v>
      </c>
      <c r="I7" s="70">
        <f>Submetering!T7-Submetering!T7*15%-Submetering!X7</f>
        <v>36881.170799998537</v>
      </c>
      <c r="J7" s="69">
        <v>0.21</v>
      </c>
      <c r="K7" s="70">
        <f>Submetering!N7-Submetering!O7</f>
        <v>121.40700000000106</v>
      </c>
      <c r="L7" s="73">
        <v>7.84</v>
      </c>
      <c r="M7" s="70"/>
      <c r="N7" s="103">
        <f>Submetering!Z7</f>
        <v>227</v>
      </c>
    </row>
    <row r="8" spans="1:15" x14ac:dyDescent="0.25">
      <c r="A8" s="109" t="s">
        <v>80</v>
      </c>
      <c r="B8" s="71">
        <f t="shared" si="0"/>
        <v>7</v>
      </c>
      <c r="C8" s="72">
        <v>5</v>
      </c>
      <c r="D8" s="71">
        <v>2022</v>
      </c>
      <c r="E8" s="70">
        <f>Submetering!E8+Submetering!F8+Submetering!G8+Submetering!H8+Submetering!I8+Submetering!J8+Submetering!K8</f>
        <v>36298</v>
      </c>
      <c r="F8" s="73">
        <v>0.2</v>
      </c>
      <c r="G8" s="70">
        <f>Submetering!P8</f>
        <v>797</v>
      </c>
      <c r="H8" s="73">
        <v>6.47</v>
      </c>
      <c r="I8" s="70">
        <f>Submetering!T8-Submetering!T8*15%-Submetering!X8</f>
        <v>44856.409000004365</v>
      </c>
      <c r="J8" s="69">
        <v>0.21</v>
      </c>
      <c r="K8" s="70">
        <f>Submetering!N8-Submetering!O8</f>
        <v>122.05900000000202</v>
      </c>
      <c r="L8" s="73">
        <v>7.84</v>
      </c>
      <c r="M8" s="70"/>
      <c r="N8" s="103">
        <f>Submetering!Z8</f>
        <v>139</v>
      </c>
    </row>
    <row r="9" spans="1:15" x14ac:dyDescent="0.25">
      <c r="A9" s="109" t="s">
        <v>80</v>
      </c>
      <c r="B9" s="71">
        <f t="shared" si="0"/>
        <v>8</v>
      </c>
      <c r="C9" s="72">
        <v>5</v>
      </c>
      <c r="D9" s="71">
        <v>2022</v>
      </c>
      <c r="E9" s="70">
        <f>Submetering!E9+Submetering!F9+Submetering!G9+Submetering!H9+Submetering!I9+Submetering!J9+Submetering!K9</f>
        <v>34360</v>
      </c>
      <c r="F9" s="73">
        <v>0.2</v>
      </c>
      <c r="G9" s="70">
        <f>Submetering!P9</f>
        <v>809</v>
      </c>
      <c r="H9" s="73">
        <v>6.47</v>
      </c>
      <c r="I9" s="70">
        <f>Submetering!T9-Submetering!T9*15%-Submetering!X9</f>
        <v>40534.184799995623</v>
      </c>
      <c r="J9" s="69">
        <v>0.21</v>
      </c>
      <c r="K9" s="70">
        <f>Submetering!N9-Submetering!O9</f>
        <v>129.33400000000074</v>
      </c>
      <c r="L9" s="73">
        <v>7.84</v>
      </c>
      <c r="M9" s="70"/>
      <c r="N9" s="103">
        <f>Submetering!Z9</f>
        <v>128</v>
      </c>
      <c r="O9" s="1" t="s">
        <v>12</v>
      </c>
    </row>
    <row r="10" spans="1:15" x14ac:dyDescent="0.25">
      <c r="A10" s="109" t="s">
        <v>80</v>
      </c>
      <c r="B10" s="71">
        <f t="shared" si="0"/>
        <v>9</v>
      </c>
      <c r="C10" s="72">
        <v>5</v>
      </c>
      <c r="D10" s="71">
        <v>2022</v>
      </c>
      <c r="E10" s="70">
        <f>Submetering!E10+Submetering!F10+Submetering!G10+Submetering!H10+Submetering!I10+Submetering!J10+Submetering!K10</f>
        <v>36434</v>
      </c>
      <c r="F10" s="73">
        <v>0.2</v>
      </c>
      <c r="G10" s="70">
        <f>Submetering!P10</f>
        <v>811</v>
      </c>
      <c r="H10" s="73">
        <v>6.47</v>
      </c>
      <c r="I10" s="70">
        <f>Submetering!T10-Submetering!T10*15%-Submetering!X10</f>
        <v>38641.815400000007</v>
      </c>
      <c r="J10" s="69">
        <v>0.21</v>
      </c>
      <c r="K10" s="70">
        <f>Submetering!N10-Submetering!O10</f>
        <v>119.43499999999949</v>
      </c>
      <c r="L10" s="73">
        <v>7.84</v>
      </c>
      <c r="M10" s="70"/>
      <c r="N10" s="103">
        <f>Submetering!Z10</f>
        <v>156</v>
      </c>
    </row>
    <row r="11" spans="1:15" x14ac:dyDescent="0.25">
      <c r="A11" s="109" t="s">
        <v>80</v>
      </c>
      <c r="B11" s="71">
        <f t="shared" si="0"/>
        <v>10</v>
      </c>
      <c r="C11" s="72">
        <v>5</v>
      </c>
      <c r="D11" s="71">
        <v>2022</v>
      </c>
      <c r="E11" s="70">
        <f>Submetering!E11+Submetering!F11+Submetering!G11+Submetering!H11+Submetering!I11+Submetering!J11+Submetering!K11</f>
        <v>37981</v>
      </c>
      <c r="F11" s="73">
        <v>0.2</v>
      </c>
      <c r="G11" s="70">
        <f>Submetering!P11</f>
        <v>715</v>
      </c>
      <c r="H11" s="73">
        <v>6.47</v>
      </c>
      <c r="I11" s="70">
        <f>Submetering!T11-Submetering!T11*15%-Submetering!X11</f>
        <v>36331.740800004365</v>
      </c>
      <c r="J11" s="69">
        <v>0.21</v>
      </c>
      <c r="K11" s="70">
        <f>Submetering!N11-Submetering!O11</f>
        <v>129.19200000000274</v>
      </c>
      <c r="L11" s="73">
        <v>7.84</v>
      </c>
      <c r="M11" s="70"/>
      <c r="N11" s="103">
        <f>Submetering!Z11</f>
        <v>209</v>
      </c>
    </row>
    <row r="12" spans="1:15" x14ac:dyDescent="0.25">
      <c r="A12" s="109" t="s">
        <v>80</v>
      </c>
      <c r="B12" s="71">
        <f t="shared" si="0"/>
        <v>11</v>
      </c>
      <c r="C12" s="72">
        <v>5</v>
      </c>
      <c r="D12" s="71">
        <v>2022</v>
      </c>
      <c r="E12" s="70">
        <f>Submetering!E12+Submetering!F12+Submetering!G12+Submetering!H12+Submetering!I12+Submetering!J12+Submetering!K12</f>
        <v>38287</v>
      </c>
      <c r="F12" s="73">
        <v>0.2</v>
      </c>
      <c r="G12" s="70">
        <f>Submetering!P12</f>
        <v>714</v>
      </c>
      <c r="H12" s="73">
        <v>6.47</v>
      </c>
      <c r="I12" s="70">
        <f>Submetering!T12-Submetering!T12*15%-Submetering!X12</f>
        <v>34875.429799994192</v>
      </c>
      <c r="J12" s="69">
        <v>0.21</v>
      </c>
      <c r="K12" s="70">
        <f>Submetering!N12-Submetering!O12</f>
        <v>159.95799999999872</v>
      </c>
      <c r="L12" s="73">
        <v>7.84</v>
      </c>
      <c r="M12" s="70">
        <f>Submetering!Y12</f>
        <v>0</v>
      </c>
      <c r="N12" s="103">
        <f>Submetering!Z12</f>
        <v>0</v>
      </c>
    </row>
    <row r="13" spans="1:15" x14ac:dyDescent="0.25">
      <c r="A13" s="109" t="s">
        <v>80</v>
      </c>
      <c r="B13" s="71">
        <f t="shared" si="0"/>
        <v>12</v>
      </c>
      <c r="C13" s="72">
        <v>5</v>
      </c>
      <c r="D13" s="71">
        <v>2022</v>
      </c>
      <c r="E13" s="70">
        <f>Submetering!E13+Submetering!F13+Submetering!G13+Submetering!H13+Submetering!I13+Submetering!J13+Submetering!K13</f>
        <v>37639</v>
      </c>
      <c r="F13" s="73">
        <v>0.2</v>
      </c>
      <c r="G13" s="70">
        <f>Submetering!P13</f>
        <v>786</v>
      </c>
      <c r="H13" s="73">
        <v>6.47</v>
      </c>
      <c r="I13" s="70">
        <f>Submetering!T13-Submetering!T13*15%-Submetering!X13</f>
        <v>50077.061800002921</v>
      </c>
      <c r="J13" s="69">
        <v>0.21</v>
      </c>
      <c r="K13" s="70">
        <f>Submetering!N13-Submetering!O13</f>
        <v>162.57299999999941</v>
      </c>
      <c r="L13" s="73">
        <v>7.84</v>
      </c>
      <c r="M13" s="70">
        <f>Submetering!Y13</f>
        <v>0</v>
      </c>
      <c r="N13" s="103">
        <f>Submetering!Z13</f>
        <v>0</v>
      </c>
    </row>
    <row r="14" spans="1:15" x14ac:dyDescent="0.25">
      <c r="A14" s="109" t="s">
        <v>80</v>
      </c>
      <c r="B14" s="71">
        <f t="shared" si="0"/>
        <v>13</v>
      </c>
      <c r="C14" s="72">
        <v>5</v>
      </c>
      <c r="D14" s="71">
        <v>2022</v>
      </c>
      <c r="E14" s="70">
        <f>Submetering!E14+Submetering!F14+Submetering!G14+Submetering!H14+Submetering!I14+Submetering!J14+Submetering!K14</f>
        <v>37192</v>
      </c>
      <c r="F14" s="73">
        <v>0.2</v>
      </c>
      <c r="G14" s="70">
        <f>Submetering!P14</f>
        <v>852</v>
      </c>
      <c r="H14" s="73">
        <v>6.47</v>
      </c>
      <c r="I14" s="70">
        <f>Submetering!T14-Submetering!T14*15%-Submetering!X14</f>
        <v>39004.257799998537</v>
      </c>
      <c r="J14" s="69">
        <v>0.21</v>
      </c>
      <c r="K14" s="70">
        <f>Submetering!N14-Submetering!O14</f>
        <v>53.350999999995111</v>
      </c>
      <c r="L14" s="73">
        <v>7.84</v>
      </c>
      <c r="M14" s="70">
        <f>Submetering!Y14</f>
        <v>0</v>
      </c>
      <c r="N14" s="103">
        <f>Submetering!Z14</f>
        <v>0</v>
      </c>
    </row>
    <row r="15" spans="1:15" x14ac:dyDescent="0.25">
      <c r="A15" s="109" t="s">
        <v>80</v>
      </c>
      <c r="B15" s="71">
        <f t="shared" si="0"/>
        <v>14</v>
      </c>
      <c r="C15" s="72">
        <v>5</v>
      </c>
      <c r="D15" s="71">
        <v>2022</v>
      </c>
      <c r="E15" s="70">
        <f>Submetering!E15+Submetering!F15+Submetering!G15+Submetering!H15+Submetering!I15+Submetering!J15+Submetering!K15</f>
        <v>0</v>
      </c>
      <c r="F15" s="73">
        <v>0.2</v>
      </c>
      <c r="G15" s="70" t="str">
        <f>Submetering!P15</f>
        <v>0</v>
      </c>
      <c r="H15" s="73">
        <v>6.47</v>
      </c>
      <c r="I15" s="70">
        <f>Submetering!T15-Submetering!T15*15%-Submetering!X15</f>
        <v>0</v>
      </c>
      <c r="J15" s="69">
        <v>0.21</v>
      </c>
      <c r="K15" s="80">
        <f>Submetering!N15-Submetering!O15</f>
        <v>0</v>
      </c>
      <c r="L15" s="73">
        <v>7.84</v>
      </c>
      <c r="M15" s="70">
        <f>Submetering!Y15</f>
        <v>0</v>
      </c>
      <c r="N15" s="103">
        <f>Submetering!Z15</f>
        <v>0</v>
      </c>
    </row>
    <row r="16" spans="1:15" x14ac:dyDescent="0.25">
      <c r="A16" s="109" t="s">
        <v>80</v>
      </c>
      <c r="B16" s="71">
        <f t="shared" si="0"/>
        <v>15</v>
      </c>
      <c r="C16" s="72">
        <v>5</v>
      </c>
      <c r="D16" s="71">
        <v>2022</v>
      </c>
      <c r="E16" s="70">
        <f>Submetering!E16+Submetering!F16+Submetering!G16+Submetering!H16+Submetering!I16+Submetering!J16+Submetering!K16</f>
        <v>0</v>
      </c>
      <c r="F16" s="73">
        <v>0.2</v>
      </c>
      <c r="G16" s="70">
        <f>Submetering!P16</f>
        <v>0</v>
      </c>
      <c r="H16" s="73">
        <v>6.47</v>
      </c>
      <c r="I16" s="70">
        <f>Submetering!T16-Submetering!T16*15%-Submetering!X16</f>
        <v>0</v>
      </c>
      <c r="J16" s="69">
        <v>0.21</v>
      </c>
      <c r="K16" s="70">
        <f>Submetering!N16-Submetering!O16</f>
        <v>0</v>
      </c>
      <c r="L16" s="73">
        <v>7.84</v>
      </c>
      <c r="M16" s="70">
        <f>Submetering!Y16</f>
        <v>0</v>
      </c>
      <c r="N16" s="103">
        <f>Submetering!Z16</f>
        <v>0</v>
      </c>
    </row>
    <row r="17" spans="1:14" x14ac:dyDescent="0.25">
      <c r="A17" s="109" t="s">
        <v>80</v>
      </c>
      <c r="B17" s="71">
        <f t="shared" si="0"/>
        <v>16</v>
      </c>
      <c r="C17" s="72">
        <v>5</v>
      </c>
      <c r="D17" s="71">
        <v>2022</v>
      </c>
      <c r="E17" s="70">
        <f>Submetering!E17+Submetering!F17+Submetering!G17+Submetering!H17+Submetering!I17+Submetering!J17+Submetering!K17</f>
        <v>0</v>
      </c>
      <c r="F17" s="73">
        <v>0.2</v>
      </c>
      <c r="G17" s="70">
        <f>Submetering!P17</f>
        <v>0</v>
      </c>
      <c r="H17" s="73">
        <v>6.47</v>
      </c>
      <c r="I17" s="70">
        <f>Submetering!T17-Submetering!T17*15%-Submetering!X17</f>
        <v>0</v>
      </c>
      <c r="J17" s="69">
        <v>0.21</v>
      </c>
      <c r="K17" s="70">
        <f>Submetering!N17-Submetering!O17</f>
        <v>0</v>
      </c>
      <c r="L17" s="73">
        <v>7.84</v>
      </c>
      <c r="M17" s="70">
        <f>Submetering!Y17</f>
        <v>0</v>
      </c>
      <c r="N17" s="103">
        <f>Submetering!Z17</f>
        <v>0</v>
      </c>
    </row>
    <row r="18" spans="1:14" x14ac:dyDescent="0.25">
      <c r="A18" s="109" t="s">
        <v>80</v>
      </c>
      <c r="B18" s="71">
        <f t="shared" si="0"/>
        <v>17</v>
      </c>
      <c r="C18" s="72">
        <v>5</v>
      </c>
      <c r="D18" s="71">
        <v>2022</v>
      </c>
      <c r="E18" s="70">
        <f>Submetering!E18+Submetering!F18+Submetering!G18+Submetering!H18+Submetering!I18+Submetering!J18+Submetering!K18</f>
        <v>0</v>
      </c>
      <c r="F18" s="73">
        <v>0.2</v>
      </c>
      <c r="G18" s="70">
        <f>Submetering!P18</f>
        <v>0</v>
      </c>
      <c r="H18" s="73">
        <v>6.47</v>
      </c>
      <c r="I18" s="70">
        <f>Submetering!T18-Submetering!T18*15%-Submetering!X18</f>
        <v>0</v>
      </c>
      <c r="J18" s="69">
        <v>0.21</v>
      </c>
      <c r="K18" s="70">
        <f>Submetering!N18-Submetering!O18</f>
        <v>0</v>
      </c>
      <c r="L18" s="73">
        <v>7.84</v>
      </c>
      <c r="M18" s="70">
        <f>Submetering!Y18</f>
        <v>0</v>
      </c>
      <c r="N18" s="103">
        <f>Submetering!Z18</f>
        <v>0</v>
      </c>
    </row>
    <row r="19" spans="1:14" x14ac:dyDescent="0.25">
      <c r="A19" s="109" t="s">
        <v>80</v>
      </c>
      <c r="B19" s="71">
        <f t="shared" si="0"/>
        <v>18</v>
      </c>
      <c r="C19" s="72">
        <v>5</v>
      </c>
      <c r="D19" s="71">
        <v>2022</v>
      </c>
      <c r="E19" s="70">
        <f>Submetering!E19+Submetering!F19+Submetering!G19+Submetering!H19+Submetering!I19+Submetering!J19+Submetering!K19</f>
        <v>0</v>
      </c>
      <c r="F19" s="73">
        <v>0.2</v>
      </c>
      <c r="G19" s="70">
        <f>Submetering!P19</f>
        <v>0</v>
      </c>
      <c r="H19" s="73">
        <v>6.47</v>
      </c>
      <c r="I19" s="70">
        <f>Submetering!T19-Submetering!T19*15%-Submetering!X19</f>
        <v>0</v>
      </c>
      <c r="J19" s="69">
        <v>0.21</v>
      </c>
      <c r="K19" s="70">
        <f>Submetering!N19-Submetering!O19</f>
        <v>0</v>
      </c>
      <c r="L19" s="73">
        <v>7.84</v>
      </c>
      <c r="M19" s="70">
        <f>Submetering!Y19</f>
        <v>0</v>
      </c>
      <c r="N19" s="103">
        <f>Submetering!Z19</f>
        <v>0</v>
      </c>
    </row>
    <row r="20" spans="1:14" x14ac:dyDescent="0.25">
      <c r="A20" s="109" t="s">
        <v>80</v>
      </c>
      <c r="B20" s="71">
        <f t="shared" si="0"/>
        <v>19</v>
      </c>
      <c r="C20" s="72">
        <v>5</v>
      </c>
      <c r="D20" s="71">
        <v>2022</v>
      </c>
      <c r="E20" s="70">
        <f>Submetering!E20+Submetering!F20+Submetering!G20+Submetering!H20+Submetering!I20+Submetering!J20+Submetering!K20</f>
        <v>0</v>
      </c>
      <c r="F20" s="73">
        <v>0.2</v>
      </c>
      <c r="G20" s="70">
        <f>Submetering!P20</f>
        <v>0</v>
      </c>
      <c r="H20" s="73">
        <v>6.47</v>
      </c>
      <c r="I20" s="70">
        <f>Submetering!T20-Submetering!T20*15%-Submetering!X20</f>
        <v>0</v>
      </c>
      <c r="J20" s="69">
        <v>0.21</v>
      </c>
      <c r="K20" s="70">
        <f>Submetering!N20-Submetering!O20</f>
        <v>0</v>
      </c>
      <c r="L20" s="73">
        <v>7.84</v>
      </c>
      <c r="M20" s="70">
        <f>Submetering!Y20</f>
        <v>0</v>
      </c>
      <c r="N20" s="103">
        <f>Submetering!Z20</f>
        <v>0</v>
      </c>
    </row>
    <row r="21" spans="1:14" x14ac:dyDescent="0.25">
      <c r="A21" s="109" t="s">
        <v>80</v>
      </c>
      <c r="B21" s="71">
        <f t="shared" si="0"/>
        <v>20</v>
      </c>
      <c r="C21" s="72">
        <v>5</v>
      </c>
      <c r="D21" s="71">
        <v>2022</v>
      </c>
      <c r="E21" s="70">
        <f>Submetering!E21+Submetering!F21+Submetering!G21+Submetering!H21+Submetering!I21+Submetering!J21+Submetering!K21</f>
        <v>0</v>
      </c>
      <c r="F21" s="73">
        <v>0.2</v>
      </c>
      <c r="G21" s="70">
        <f>Submetering!P21</f>
        <v>0</v>
      </c>
      <c r="H21" s="73">
        <v>6.47</v>
      </c>
      <c r="I21" s="70">
        <f>Submetering!T21-Submetering!T21*15%-Submetering!X21</f>
        <v>0</v>
      </c>
      <c r="J21" s="69">
        <v>0.21</v>
      </c>
      <c r="K21" s="70">
        <f>Submetering!N21-Submetering!O21</f>
        <v>0</v>
      </c>
      <c r="L21" s="73">
        <v>7.84</v>
      </c>
      <c r="M21" s="70">
        <f>Submetering!Y21</f>
        <v>0</v>
      </c>
      <c r="N21" s="103">
        <f>Submetering!Z21</f>
        <v>0</v>
      </c>
    </row>
    <row r="22" spans="1:14" x14ac:dyDescent="0.25">
      <c r="A22" s="109" t="s">
        <v>80</v>
      </c>
      <c r="B22" s="71">
        <f t="shared" si="0"/>
        <v>21</v>
      </c>
      <c r="C22" s="72">
        <v>5</v>
      </c>
      <c r="D22" s="71">
        <v>2022</v>
      </c>
      <c r="E22" s="70">
        <f>Submetering!E22+Submetering!F22+Submetering!G22+Submetering!H22+Submetering!I22+Submetering!J22+Submetering!K22</f>
        <v>0</v>
      </c>
      <c r="F22" s="73">
        <v>0.2</v>
      </c>
      <c r="G22" s="70">
        <f>Submetering!P22</f>
        <v>0</v>
      </c>
      <c r="H22" s="73">
        <v>6.47</v>
      </c>
      <c r="I22" s="70">
        <f>Submetering!T22-Submetering!T22*15%-Submetering!X22</f>
        <v>0</v>
      </c>
      <c r="J22" s="69">
        <v>0.21</v>
      </c>
      <c r="K22" s="70">
        <f>Submetering!N22-Submetering!O22</f>
        <v>0</v>
      </c>
      <c r="L22" s="73">
        <v>7.84</v>
      </c>
      <c r="M22" s="70">
        <f>Submetering!Y22</f>
        <v>0</v>
      </c>
      <c r="N22" s="103">
        <f>Submetering!Z22</f>
        <v>0</v>
      </c>
    </row>
    <row r="23" spans="1:14" x14ac:dyDescent="0.25">
      <c r="A23" s="109" t="s">
        <v>80</v>
      </c>
      <c r="B23" s="71">
        <f t="shared" si="0"/>
        <v>22</v>
      </c>
      <c r="C23" s="72">
        <v>5</v>
      </c>
      <c r="D23" s="71">
        <v>2022</v>
      </c>
      <c r="E23" s="70">
        <f>Submetering!E23+Submetering!F23+Submetering!G23+Submetering!H23+Submetering!I23+Submetering!J23+Submetering!K23</f>
        <v>0</v>
      </c>
      <c r="F23" s="73">
        <v>0.2</v>
      </c>
      <c r="G23" s="70">
        <f>Submetering!P23</f>
        <v>0</v>
      </c>
      <c r="H23" s="73">
        <v>6.47</v>
      </c>
      <c r="I23" s="70">
        <f>Submetering!T23-Submetering!T23*15%-Submetering!X23</f>
        <v>0</v>
      </c>
      <c r="J23" s="69">
        <v>0.21</v>
      </c>
      <c r="K23" s="70">
        <f>Submetering!N23-Submetering!O23</f>
        <v>0</v>
      </c>
      <c r="L23" s="73">
        <v>7.84</v>
      </c>
      <c r="M23" s="70">
        <f>Submetering!Y23</f>
        <v>0</v>
      </c>
      <c r="N23" s="103">
        <f>Submetering!Z23</f>
        <v>0</v>
      </c>
    </row>
    <row r="24" spans="1:14" x14ac:dyDescent="0.25">
      <c r="A24" s="109" t="s">
        <v>80</v>
      </c>
      <c r="B24" s="71">
        <f t="shared" si="0"/>
        <v>23</v>
      </c>
      <c r="C24" s="72">
        <v>5</v>
      </c>
      <c r="D24" s="71">
        <v>2022</v>
      </c>
      <c r="E24" s="70">
        <f>Submetering!E24+Submetering!F24+Submetering!G24+Submetering!H24+Submetering!I24+Submetering!J24+Submetering!K24</f>
        <v>0</v>
      </c>
      <c r="F24" s="73">
        <v>0.2</v>
      </c>
      <c r="G24" s="70">
        <f>Submetering!P24</f>
        <v>0</v>
      </c>
      <c r="H24" s="73">
        <v>6.47</v>
      </c>
      <c r="I24" s="70">
        <f>Submetering!T24-Submetering!T24*15%-Submetering!X24</f>
        <v>0</v>
      </c>
      <c r="J24" s="69">
        <v>0.21</v>
      </c>
      <c r="K24" s="70">
        <f>Submetering!N24-Submetering!O24</f>
        <v>0</v>
      </c>
      <c r="L24" s="73">
        <v>7.84</v>
      </c>
      <c r="M24" s="70">
        <f>Submetering!Y24</f>
        <v>0</v>
      </c>
      <c r="N24" s="103">
        <f>Submetering!Z24</f>
        <v>0</v>
      </c>
    </row>
    <row r="25" spans="1:14" x14ac:dyDescent="0.25">
      <c r="A25" s="109" t="s">
        <v>80</v>
      </c>
      <c r="B25" s="71">
        <f t="shared" si="0"/>
        <v>24</v>
      </c>
      <c r="C25" s="72">
        <v>5</v>
      </c>
      <c r="D25" s="71">
        <v>2022</v>
      </c>
      <c r="E25" s="70">
        <f>Submetering!E25+Submetering!F25+Submetering!G25+Submetering!H25+Submetering!I25+Submetering!J25+Submetering!K25</f>
        <v>0</v>
      </c>
      <c r="F25" s="73">
        <v>0.2</v>
      </c>
      <c r="G25" s="70">
        <f>Submetering!P25</f>
        <v>0</v>
      </c>
      <c r="H25" s="73">
        <v>6.47</v>
      </c>
      <c r="I25" s="70">
        <f>Submetering!T25-Submetering!T25*15%-Submetering!X25</f>
        <v>0</v>
      </c>
      <c r="J25" s="69">
        <v>0.21</v>
      </c>
      <c r="K25" s="70">
        <f>Submetering!N25-Submetering!O25</f>
        <v>0</v>
      </c>
      <c r="L25" s="73">
        <v>7.84</v>
      </c>
      <c r="M25" s="70">
        <f>Submetering!Y25</f>
        <v>0</v>
      </c>
      <c r="N25" s="103">
        <f>Submetering!Z25</f>
        <v>0</v>
      </c>
    </row>
    <row r="26" spans="1:14" x14ac:dyDescent="0.25">
      <c r="A26" s="109" t="s">
        <v>80</v>
      </c>
      <c r="B26" s="71">
        <f>B25+1</f>
        <v>25</v>
      </c>
      <c r="C26" s="72">
        <v>5</v>
      </c>
      <c r="D26" s="71">
        <v>2022</v>
      </c>
      <c r="E26" s="70">
        <f>Submetering!E26+Submetering!F26+Submetering!G26+Submetering!H26+Submetering!I26+Submetering!J26+Submetering!K26</f>
        <v>0</v>
      </c>
      <c r="F26" s="73">
        <v>0.2</v>
      </c>
      <c r="G26" s="70">
        <f>Submetering!P26</f>
        <v>0</v>
      </c>
      <c r="H26" s="73">
        <v>6.47</v>
      </c>
      <c r="I26" s="70">
        <f>Submetering!T26-Submetering!T26*15%-Submetering!X26</f>
        <v>0</v>
      </c>
      <c r="J26" s="69">
        <v>0.21</v>
      </c>
      <c r="K26" s="70">
        <f>Submetering!N26-Submetering!O26</f>
        <v>0</v>
      </c>
      <c r="L26" s="73">
        <v>7.84</v>
      </c>
      <c r="M26" s="70">
        <f>Submetering!Y26</f>
        <v>0</v>
      </c>
      <c r="N26" s="103">
        <f>Submetering!Z26</f>
        <v>0</v>
      </c>
    </row>
    <row r="27" spans="1:14" x14ac:dyDescent="0.25">
      <c r="A27" s="109" t="s">
        <v>80</v>
      </c>
      <c r="B27" s="71">
        <f t="shared" si="0"/>
        <v>26</v>
      </c>
      <c r="C27" s="72">
        <v>5</v>
      </c>
      <c r="D27" s="71">
        <v>2022</v>
      </c>
      <c r="E27" s="70">
        <f>Submetering!E27+Submetering!F27+Submetering!G27+Submetering!H27+Submetering!I27+Submetering!J27+Submetering!K27</f>
        <v>0</v>
      </c>
      <c r="F27" s="73">
        <v>0.2</v>
      </c>
      <c r="G27" s="70">
        <f>Submetering!P27</f>
        <v>0</v>
      </c>
      <c r="H27" s="73">
        <v>6.47</v>
      </c>
      <c r="I27" s="70">
        <f>Submetering!T27-Submetering!T27*15%-Submetering!X27</f>
        <v>0</v>
      </c>
      <c r="J27" s="69">
        <v>0.21</v>
      </c>
      <c r="K27" s="70">
        <f>Submetering!N27-Submetering!O27</f>
        <v>0</v>
      </c>
      <c r="L27" s="73">
        <v>7.84</v>
      </c>
      <c r="M27" s="70">
        <f>Submetering!Y27</f>
        <v>0</v>
      </c>
      <c r="N27" s="103">
        <f>Submetering!Z27</f>
        <v>0</v>
      </c>
    </row>
    <row r="28" spans="1:14" x14ac:dyDescent="0.25">
      <c r="A28" s="109" t="s">
        <v>80</v>
      </c>
      <c r="B28" s="71">
        <f t="shared" si="0"/>
        <v>27</v>
      </c>
      <c r="C28" s="72">
        <v>5</v>
      </c>
      <c r="D28" s="71">
        <v>2022</v>
      </c>
      <c r="E28" s="70">
        <f>Submetering!E28+Submetering!F28+Submetering!G28+Submetering!H28+Submetering!I28+Submetering!J28+Submetering!K28</f>
        <v>0</v>
      </c>
      <c r="F28" s="73">
        <v>0.2</v>
      </c>
      <c r="G28" s="70">
        <f>Submetering!P28</f>
        <v>0</v>
      </c>
      <c r="H28" s="73">
        <v>6.47</v>
      </c>
      <c r="I28" s="70">
        <f>Submetering!T28-Submetering!T28*15%-Submetering!X28</f>
        <v>0</v>
      </c>
      <c r="J28" s="69">
        <v>0.21</v>
      </c>
      <c r="K28" s="70">
        <f>Submetering!N28-Submetering!O28</f>
        <v>0</v>
      </c>
      <c r="L28" s="73">
        <v>7.84</v>
      </c>
      <c r="M28" s="70">
        <f>Submetering!Y28</f>
        <v>0</v>
      </c>
      <c r="N28" s="103">
        <f>Submetering!Z28</f>
        <v>0</v>
      </c>
    </row>
    <row r="29" spans="1:14" x14ac:dyDescent="0.25">
      <c r="A29" s="109" t="s">
        <v>80</v>
      </c>
      <c r="B29" s="71">
        <f t="shared" si="0"/>
        <v>28</v>
      </c>
      <c r="C29" s="72">
        <v>5</v>
      </c>
      <c r="D29" s="71">
        <v>2022</v>
      </c>
      <c r="E29" s="70">
        <f>Submetering!E29+Submetering!F29+Submetering!G29+Submetering!H29+Submetering!I29+Submetering!J29+Submetering!K29</f>
        <v>0</v>
      </c>
      <c r="F29" s="73">
        <v>0.2</v>
      </c>
      <c r="G29" s="70">
        <f>Submetering!P29</f>
        <v>0</v>
      </c>
      <c r="H29" s="73">
        <v>6.47</v>
      </c>
      <c r="I29" s="70">
        <f>Submetering!T29-Submetering!T29*15%-Submetering!X29</f>
        <v>0</v>
      </c>
      <c r="J29" s="69">
        <v>0.21</v>
      </c>
      <c r="K29" s="70">
        <f>Submetering!N29-Submetering!O29</f>
        <v>0</v>
      </c>
      <c r="L29" s="73">
        <v>7.84</v>
      </c>
      <c r="M29" s="70">
        <f>Submetering!Y29</f>
        <v>0</v>
      </c>
      <c r="N29" s="103">
        <f>Submetering!Z29</f>
        <v>0</v>
      </c>
    </row>
    <row r="30" spans="1:14" x14ac:dyDescent="0.25">
      <c r="A30" s="109" t="s">
        <v>80</v>
      </c>
      <c r="B30" s="71">
        <f t="shared" si="0"/>
        <v>29</v>
      </c>
      <c r="C30" s="72">
        <v>5</v>
      </c>
      <c r="D30" s="71">
        <v>2022</v>
      </c>
      <c r="E30" s="70">
        <f>Submetering!E30+Submetering!F30+Submetering!G30+Submetering!H30+Submetering!I30+Submetering!J30+Submetering!K30</f>
        <v>0</v>
      </c>
      <c r="F30" s="73">
        <v>0.2</v>
      </c>
      <c r="G30" s="70">
        <f>Submetering!P30</f>
        <v>0</v>
      </c>
      <c r="H30" s="73">
        <v>6.47</v>
      </c>
      <c r="I30" s="70">
        <f>Submetering!T30-Submetering!T30*15%-Submetering!X30</f>
        <v>0</v>
      </c>
      <c r="J30" s="69">
        <v>0.21</v>
      </c>
      <c r="K30" s="70">
        <f>Submetering!N30-Submetering!O30</f>
        <v>0</v>
      </c>
      <c r="L30" s="73">
        <v>7.84</v>
      </c>
      <c r="M30" s="70">
        <f>Submetering!Y30</f>
        <v>0</v>
      </c>
      <c r="N30" s="103">
        <f>Submetering!Z30</f>
        <v>0</v>
      </c>
    </row>
    <row r="31" spans="1:14" x14ac:dyDescent="0.25">
      <c r="A31" s="109" t="s">
        <v>80</v>
      </c>
      <c r="B31" s="71">
        <f t="shared" si="0"/>
        <v>30</v>
      </c>
      <c r="C31" s="72">
        <v>5</v>
      </c>
      <c r="D31" s="71">
        <v>2022</v>
      </c>
      <c r="E31" s="70">
        <f>Submetering!E31+Submetering!F31+Submetering!G31+Submetering!H31+Submetering!I31+Submetering!J31+Submetering!K31</f>
        <v>0</v>
      </c>
      <c r="F31" s="73">
        <v>0.2</v>
      </c>
      <c r="G31" s="70">
        <f>Submetering!P31</f>
        <v>0</v>
      </c>
      <c r="H31" s="73">
        <v>6.47</v>
      </c>
      <c r="I31" s="70">
        <f>Submetering!T31-Submetering!T31*15%-Submetering!X31</f>
        <v>0</v>
      </c>
      <c r="J31" s="69">
        <v>0.21</v>
      </c>
      <c r="K31" s="70">
        <f>Submetering!N31-Submetering!O31</f>
        <v>0</v>
      </c>
      <c r="L31" s="73">
        <v>7.84</v>
      </c>
      <c r="M31" s="70">
        <f>Submetering!Y31</f>
        <v>0</v>
      </c>
      <c r="N31" s="103">
        <f>Submetering!Z31</f>
        <v>0</v>
      </c>
    </row>
    <row r="32" spans="1:14" x14ac:dyDescent="0.25">
      <c r="A32" s="109" t="s">
        <v>80</v>
      </c>
      <c r="B32" s="71">
        <f t="shared" si="0"/>
        <v>31</v>
      </c>
      <c r="C32" s="72">
        <v>5</v>
      </c>
      <c r="D32" s="71">
        <v>2022</v>
      </c>
      <c r="E32" s="70">
        <f>Submetering!E32+Submetering!F32+Submetering!G32+Submetering!H32+Submetering!I32+Submetering!J32+Submetering!K32</f>
        <v>0</v>
      </c>
      <c r="F32" s="73">
        <v>0.2</v>
      </c>
      <c r="G32" s="70">
        <f>Submetering!P32</f>
        <v>0</v>
      </c>
      <c r="H32" s="73">
        <v>6.47</v>
      </c>
      <c r="I32" s="70">
        <f>Submetering!T32-Submetering!T32*15%-Submetering!X32</f>
        <v>0</v>
      </c>
      <c r="J32" s="69">
        <v>0.21</v>
      </c>
      <c r="K32" s="70">
        <f>Submetering!N32-Submetering!O32</f>
        <v>0</v>
      </c>
      <c r="L32" s="73">
        <v>7.84</v>
      </c>
      <c r="M32" s="70">
        <f>Submetering!Y32</f>
        <v>0</v>
      </c>
      <c r="N32" s="103">
        <f>Submetering!Z32</f>
        <v>0</v>
      </c>
    </row>
    <row r="33" spans="13:14" x14ac:dyDescent="0.25">
      <c r="M33" s="4">
        <f>SUM(M2:M32)</f>
        <v>0</v>
      </c>
      <c r="N33" s="4">
        <f>SUM(N2:N32)</f>
        <v>1952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 sqref="Y2:Y1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1" t="s">
        <v>0</v>
      </c>
      <c r="B1" s="92" t="s">
        <v>1</v>
      </c>
      <c r="C1" s="93" t="s">
        <v>2</v>
      </c>
      <c r="D1" s="92" t="s">
        <v>3</v>
      </c>
      <c r="E1" s="94" t="s">
        <v>64</v>
      </c>
      <c r="F1" s="94" t="s">
        <v>81</v>
      </c>
      <c r="G1" s="94" t="s">
        <v>84</v>
      </c>
      <c r="H1" s="94" t="s">
        <v>65</v>
      </c>
      <c r="I1" s="94" t="s">
        <v>66</v>
      </c>
      <c r="J1" s="94" t="s">
        <v>67</v>
      </c>
      <c r="K1" s="94" t="s">
        <v>68</v>
      </c>
      <c r="L1" s="95" t="s">
        <v>69</v>
      </c>
      <c r="M1" s="95" t="s">
        <v>70</v>
      </c>
      <c r="N1" s="95" t="s">
        <v>71</v>
      </c>
      <c r="O1" s="95" t="s">
        <v>72</v>
      </c>
      <c r="P1" s="95" t="s">
        <v>73</v>
      </c>
      <c r="Q1" s="95" t="s">
        <v>74</v>
      </c>
      <c r="R1" s="95" t="s">
        <v>75</v>
      </c>
      <c r="S1" s="95" t="s">
        <v>91</v>
      </c>
      <c r="T1" s="95" t="s">
        <v>86</v>
      </c>
      <c r="U1" s="95" t="s">
        <v>87</v>
      </c>
      <c r="V1" s="95" t="s">
        <v>88</v>
      </c>
      <c r="W1" s="95" t="s">
        <v>89</v>
      </c>
      <c r="X1" s="95" t="s">
        <v>90</v>
      </c>
      <c r="Y1" s="96" t="s">
        <v>8</v>
      </c>
      <c r="Z1" s="95" t="s">
        <v>9</v>
      </c>
    </row>
    <row r="2" spans="1:26" x14ac:dyDescent="0.25">
      <c r="A2" s="97" t="s">
        <v>80</v>
      </c>
      <c r="B2" s="98">
        <v>1</v>
      </c>
      <c r="C2" s="99">
        <v>5</v>
      </c>
      <c r="D2" s="98">
        <v>2022</v>
      </c>
      <c r="E2" s="100">
        <f>'FS-AD Daily '!B6</f>
        <v>7126</v>
      </c>
      <c r="F2" s="100">
        <f>'FS-AD Daily '!C6</f>
        <v>4966</v>
      </c>
      <c r="G2" s="100">
        <f>'FS-AD Daily '!D6</f>
        <v>932</v>
      </c>
      <c r="H2" s="100">
        <f>'FS-AD Daily '!E6</f>
        <v>7156</v>
      </c>
      <c r="I2" s="100">
        <f>'FS-AD Daily '!F6</f>
        <v>5845</v>
      </c>
      <c r="J2" s="100">
        <f>'FS-AD Daily '!G6</f>
        <v>2584</v>
      </c>
      <c r="K2" s="100">
        <f>'FS-AD Daily '!H6</f>
        <v>9125</v>
      </c>
      <c r="L2" s="100">
        <f>'FS-AD Daily '!I6</f>
        <v>2270</v>
      </c>
      <c r="M2" s="100">
        <f>'FS-AD Daily '!J6</f>
        <v>6863</v>
      </c>
      <c r="N2" s="100">
        <f>'FS-AD Daily '!T6</f>
        <v>192.13699999999881</v>
      </c>
      <c r="O2" s="100">
        <f>'FS-AD Daily '!R6</f>
        <v>77.228000000000065</v>
      </c>
      <c r="P2" s="100">
        <f>'FS-AD Daily '!Z6</f>
        <v>709</v>
      </c>
      <c r="Q2" s="100">
        <f>'FS-AD Daily '!V6</f>
        <v>186</v>
      </c>
      <c r="R2" s="100">
        <f>'FS-AD Daily '!W6</f>
        <v>188</v>
      </c>
      <c r="S2" s="100">
        <f>P2-Q2-R2</f>
        <v>335</v>
      </c>
      <c r="T2" s="100">
        <f>'FS-AD Daily '!AD6*3.516</f>
        <v>81163.343999999997</v>
      </c>
      <c r="U2" s="100">
        <f>('FS-AD Daily '!AF6)*1000</f>
        <v>40500</v>
      </c>
      <c r="V2" s="100">
        <f>('FS-AD Daily '!AG6)*1000</f>
        <v>0</v>
      </c>
      <c r="W2" s="100">
        <f>'FS-AD Daily '!AH6*1000</f>
        <v>14600.000000002183</v>
      </c>
      <c r="X2" s="100">
        <f>('FS-AD Daily '!AK6)*1000</f>
        <v>33400.000000001455</v>
      </c>
      <c r="Y2" s="100">
        <v>73</v>
      </c>
      <c r="Z2" s="101">
        <v>130</v>
      </c>
    </row>
    <row r="3" spans="1:26" x14ac:dyDescent="0.25">
      <c r="A3" s="102" t="s">
        <v>80</v>
      </c>
      <c r="B3" s="68">
        <f>B2+1</f>
        <v>2</v>
      </c>
      <c r="C3" s="69">
        <v>5</v>
      </c>
      <c r="D3" s="68">
        <v>2022</v>
      </c>
      <c r="E3" s="70">
        <f>'FS-AD Daily '!B7</f>
        <v>6213</v>
      </c>
      <c r="F3" s="70">
        <f>'FS-AD Daily '!C7</f>
        <v>4304</v>
      </c>
      <c r="G3" s="70">
        <f>'FS-AD Daily '!D7</f>
        <v>935</v>
      </c>
      <c r="H3" s="70">
        <f>'FS-AD Daily '!E7</f>
        <v>7118</v>
      </c>
      <c r="I3" s="70">
        <f>'FS-AD Daily '!F7</f>
        <v>5956</v>
      </c>
      <c r="J3" s="70">
        <f>'FS-AD Daily '!G7</f>
        <v>2657</v>
      </c>
      <c r="K3" s="70">
        <f>'FS-AD Daily '!H7</f>
        <v>8830</v>
      </c>
      <c r="L3" s="70">
        <f>'FS-AD Daily '!I7</f>
        <v>2238</v>
      </c>
      <c r="M3" s="70">
        <f>'FS-AD Daily '!J7</f>
        <v>6842</v>
      </c>
      <c r="N3" s="70">
        <f>'FS-AD Daily '!T7</f>
        <v>155.17900000000009</v>
      </c>
      <c r="O3" s="70">
        <f>'FS-AD Daily '!R7</f>
        <v>73.610000000001492</v>
      </c>
      <c r="P3" s="70">
        <f>'FS-AD Daily '!Z7</f>
        <v>664</v>
      </c>
      <c r="Q3" s="70">
        <f>'FS-AD Daily '!V7</f>
        <v>164</v>
      </c>
      <c r="R3" s="70">
        <f>'FS-AD Daily '!W7</f>
        <v>193</v>
      </c>
      <c r="S3" s="70">
        <f t="shared" ref="S3:S30" si="0">P3-Q3-R3</f>
        <v>307</v>
      </c>
      <c r="T3" s="70">
        <f>'FS-AD Daily '!AD7*3.516</f>
        <v>74767.740000000005</v>
      </c>
      <c r="U3" s="70">
        <f>('FS-AD Daily '!AF7)*1000</f>
        <v>35600.000000005821</v>
      </c>
      <c r="V3" s="70">
        <f>('FS-AD Daily '!AG7)*1000</f>
        <v>0</v>
      </c>
      <c r="W3" s="70">
        <f>'FS-AD Daily '!AH7*1000</f>
        <v>14099.999999998545</v>
      </c>
      <c r="X3" s="70">
        <f>('FS-AD Daily '!AK7)*1000</f>
        <v>30299.999999995634</v>
      </c>
      <c r="Y3" s="70">
        <v>101</v>
      </c>
      <c r="Z3" s="103">
        <v>201</v>
      </c>
    </row>
    <row r="4" spans="1:26" x14ac:dyDescent="0.25">
      <c r="A4" s="102" t="s">
        <v>80</v>
      </c>
      <c r="B4" s="68">
        <f t="shared" ref="B4:B32" si="1">B3+1</f>
        <v>3</v>
      </c>
      <c r="C4" s="69">
        <v>5</v>
      </c>
      <c r="D4" s="68">
        <v>2022</v>
      </c>
      <c r="E4" s="70">
        <f>'FS-AD Daily '!B8</f>
        <v>7809</v>
      </c>
      <c r="F4" s="70">
        <f>'FS-AD Daily '!C8</f>
        <v>4478</v>
      </c>
      <c r="G4" s="70">
        <f>'FS-AD Daily '!D8</f>
        <v>541</v>
      </c>
      <c r="H4" s="70">
        <f>'FS-AD Daily '!E8</f>
        <v>7283</v>
      </c>
      <c r="I4" s="70">
        <f>'FS-AD Daily '!F8</f>
        <v>6006</v>
      </c>
      <c r="J4" s="70">
        <f>'FS-AD Daily '!G8</f>
        <v>2915</v>
      </c>
      <c r="K4" s="70">
        <f>'FS-AD Daily '!H8</f>
        <v>9560</v>
      </c>
      <c r="L4" s="70">
        <f>'FS-AD Daily '!I8</f>
        <v>2275</v>
      </c>
      <c r="M4" s="70">
        <f>'FS-AD Daily '!J8</f>
        <v>6707</v>
      </c>
      <c r="N4" s="70">
        <f>'FS-AD Daily '!T8</f>
        <v>182.95500000000175</v>
      </c>
      <c r="O4" s="70">
        <f>'FS-AD Daily '!R8</f>
        <v>84.755999999999403</v>
      </c>
      <c r="P4" s="70">
        <f>'FS-AD Daily '!Z8</f>
        <v>700</v>
      </c>
      <c r="Q4" s="70">
        <f>'FS-AD Daily '!V8</f>
        <v>178.40000000002328</v>
      </c>
      <c r="R4" s="70">
        <f>'FS-AD Daily '!W8</f>
        <v>192.29999999998836</v>
      </c>
      <c r="S4" s="70">
        <f t="shared" si="0"/>
        <v>329.29999999998836</v>
      </c>
      <c r="T4" s="70">
        <f>'FS-AD Daily '!AD8*3.516</f>
        <v>77123.460000000006</v>
      </c>
      <c r="U4" s="70">
        <f>('FS-AD Daily '!AF8)*1000</f>
        <v>36699.99999999709</v>
      </c>
      <c r="V4" s="70">
        <f>('FS-AD Daily '!AG8)*1000</f>
        <v>0</v>
      </c>
      <c r="W4" s="70">
        <f>'FS-AD Daily '!AH8*1000</f>
        <v>14000</v>
      </c>
      <c r="X4" s="70">
        <f>('FS-AD Daily '!AK8)*1000</f>
        <v>31300.00000000291</v>
      </c>
      <c r="Y4" s="70">
        <v>140</v>
      </c>
      <c r="Z4" s="103">
        <v>265</v>
      </c>
    </row>
    <row r="5" spans="1:26" x14ac:dyDescent="0.25">
      <c r="A5" s="102" t="s">
        <v>80</v>
      </c>
      <c r="B5" s="68">
        <f t="shared" si="1"/>
        <v>4</v>
      </c>
      <c r="C5" s="69">
        <v>5</v>
      </c>
      <c r="D5" s="68">
        <v>2022</v>
      </c>
      <c r="E5" s="70">
        <f>'FS-AD Daily '!B9</f>
        <v>7266</v>
      </c>
      <c r="F5" s="70">
        <f>'FS-AD Daily '!C9</f>
        <v>3960</v>
      </c>
      <c r="G5" s="70">
        <f>'FS-AD Daily '!D9</f>
        <v>911</v>
      </c>
      <c r="H5" s="70">
        <f>'FS-AD Daily '!E9</f>
        <v>7074</v>
      </c>
      <c r="I5" s="70">
        <f>'FS-AD Daily '!F9</f>
        <v>5748</v>
      </c>
      <c r="J5" s="70">
        <f>'FS-AD Daily '!G9</f>
        <v>2917</v>
      </c>
      <c r="K5" s="70">
        <f>'FS-AD Daily '!H9</f>
        <v>9162</v>
      </c>
      <c r="L5" s="70">
        <f>'FS-AD Daily '!I9</f>
        <v>2222</v>
      </c>
      <c r="M5" s="70">
        <f>'FS-AD Daily '!J9</f>
        <v>7086</v>
      </c>
      <c r="N5" s="70">
        <f>'FS-AD Daily '!T9</f>
        <v>216.01199999999881</v>
      </c>
      <c r="O5" s="70">
        <f>'FS-AD Daily '!R9</f>
        <v>83.142000000001644</v>
      </c>
      <c r="P5" s="70">
        <f>'FS-AD Daily '!Z9</f>
        <v>754</v>
      </c>
      <c r="Q5" s="70">
        <f>'FS-AD Daily '!V9</f>
        <v>205.89999999996508</v>
      </c>
      <c r="R5" s="70">
        <f>'FS-AD Daily '!W9</f>
        <v>199.89000000001397</v>
      </c>
      <c r="S5" s="70">
        <f t="shared" si="0"/>
        <v>348.21000000002095</v>
      </c>
      <c r="T5" s="70">
        <f>'FS-AD Daily '!AD9*3.516</f>
        <v>85154.004000000001</v>
      </c>
      <c r="U5" s="70">
        <f>('FS-AD Daily '!AF9)*1000</f>
        <v>41800.00000000291</v>
      </c>
      <c r="V5" s="70">
        <f>('FS-AD Daily '!AG9)*1000</f>
        <v>0</v>
      </c>
      <c r="W5" s="70">
        <f>'FS-AD Daily '!AH9*1000</f>
        <v>15000</v>
      </c>
      <c r="X5" s="70">
        <f>('FS-AD Daily '!AK9)*1000</f>
        <v>32199.99999999709</v>
      </c>
      <c r="Y5" s="70">
        <v>138</v>
      </c>
      <c r="Z5" s="103">
        <v>252</v>
      </c>
    </row>
    <row r="6" spans="1:26" x14ac:dyDescent="0.25">
      <c r="A6" s="102" t="s">
        <v>80</v>
      </c>
      <c r="B6" s="68">
        <f t="shared" si="1"/>
        <v>5</v>
      </c>
      <c r="C6" s="69">
        <v>5</v>
      </c>
      <c r="D6" s="68">
        <v>2022</v>
      </c>
      <c r="E6" s="70">
        <f>'FS-AD Daily '!B10</f>
        <v>6245</v>
      </c>
      <c r="F6" s="70">
        <f>'FS-AD Daily '!C10</f>
        <v>3926</v>
      </c>
      <c r="G6" s="70">
        <f>'FS-AD Daily '!D10</f>
        <v>874</v>
      </c>
      <c r="H6" s="70">
        <f>'FS-AD Daily '!E10</f>
        <v>7299</v>
      </c>
      <c r="I6" s="70">
        <f>'FS-AD Daily '!F10</f>
        <v>6184</v>
      </c>
      <c r="J6" s="70">
        <f>'FS-AD Daily '!G10</f>
        <v>3047</v>
      </c>
      <c r="K6" s="70">
        <f>'FS-AD Daily '!H10</f>
        <v>9631</v>
      </c>
      <c r="L6" s="70">
        <f>'FS-AD Daily '!I10</f>
        <v>2323</v>
      </c>
      <c r="M6" s="70">
        <f>'FS-AD Daily '!J10</f>
        <v>7093</v>
      </c>
      <c r="N6" s="70">
        <f>'FS-AD Daily '!T10</f>
        <v>206.36699999999837</v>
      </c>
      <c r="O6" s="70">
        <f>'FS-AD Daily '!R10</f>
        <v>75.206999999999425</v>
      </c>
      <c r="P6" s="70">
        <f>'FS-AD Daily '!Z10</f>
        <v>697</v>
      </c>
      <c r="Q6" s="70">
        <f>'FS-AD Daily '!V10</f>
        <v>183.10000000003492</v>
      </c>
      <c r="R6" s="70">
        <f>'FS-AD Daily '!W10</f>
        <v>178.73000000001048</v>
      </c>
      <c r="S6" s="70">
        <f t="shared" si="0"/>
        <v>335.1699999999546</v>
      </c>
      <c r="T6" s="70">
        <f>'FS-AD Daily '!AD10*3.516</f>
        <v>74352.851999999999</v>
      </c>
      <c r="U6" s="70">
        <f>('FS-AD Daily '!AF10)*1000</f>
        <v>34500</v>
      </c>
      <c r="V6" s="70">
        <f>('FS-AD Daily '!AG10)*1000</f>
        <v>0</v>
      </c>
      <c r="W6" s="70">
        <f>'FS-AD Daily '!AH10*1000</f>
        <v>14200.000000000728</v>
      </c>
      <c r="X6" s="70">
        <f>('FS-AD Daily '!AK10)*1000</f>
        <v>28800.00000000291</v>
      </c>
      <c r="Y6" s="70">
        <v>137</v>
      </c>
      <c r="Z6" s="103">
        <v>245</v>
      </c>
    </row>
    <row r="7" spans="1:26" x14ac:dyDescent="0.25">
      <c r="A7" s="102" t="s">
        <v>80</v>
      </c>
      <c r="B7" s="68">
        <f t="shared" si="1"/>
        <v>6</v>
      </c>
      <c r="C7" s="69">
        <v>5</v>
      </c>
      <c r="D7" s="68">
        <v>2022</v>
      </c>
      <c r="E7" s="70">
        <f>'FS-AD Daily '!B11</f>
        <v>6211</v>
      </c>
      <c r="F7" s="70">
        <f>'FS-AD Daily '!C11</f>
        <v>3960</v>
      </c>
      <c r="G7" s="70">
        <f>'FS-AD Daily '!D11</f>
        <v>962</v>
      </c>
      <c r="H7" s="70">
        <f>'FS-AD Daily '!E11</f>
        <v>7375</v>
      </c>
      <c r="I7" s="70">
        <f>'FS-AD Daily '!F11</f>
        <v>6173</v>
      </c>
      <c r="J7" s="70">
        <f>'FS-AD Daily '!G11</f>
        <v>3098</v>
      </c>
      <c r="K7" s="70">
        <f>'FS-AD Daily '!H11</f>
        <v>9294</v>
      </c>
      <c r="L7" s="70">
        <f>'FS-AD Daily '!I11</f>
        <v>2351</v>
      </c>
      <c r="M7" s="70">
        <f>'FS-AD Daily '!J11</f>
        <v>7393</v>
      </c>
      <c r="N7" s="70">
        <f>'FS-AD Daily '!T11</f>
        <v>203.98800000000119</v>
      </c>
      <c r="O7" s="70">
        <f>'FS-AD Daily '!R11</f>
        <v>82.581000000000131</v>
      </c>
      <c r="P7" s="70">
        <f>'FS-AD Daily '!Z11</f>
        <v>728</v>
      </c>
      <c r="Q7" s="70">
        <f>'FS-AD Daily '!V11</f>
        <v>194.89999999996508</v>
      </c>
      <c r="R7" s="70">
        <f>'FS-AD Daily '!W11</f>
        <v>184.00999999998021</v>
      </c>
      <c r="S7" s="70">
        <f t="shared" si="0"/>
        <v>349.09000000005472</v>
      </c>
      <c r="T7" s="70">
        <f>'FS-AD Daily '!AD11*3.516</f>
        <v>77977.847999999998</v>
      </c>
      <c r="U7" s="70">
        <f>('FS-AD Daily '!AF11)*1000</f>
        <v>36000</v>
      </c>
      <c r="V7" s="70">
        <f>('FS-AD Daily '!AG11)*1000</f>
        <v>0</v>
      </c>
      <c r="W7" s="70">
        <f>'FS-AD Daily '!AH11*1000</f>
        <v>15400.000000001455</v>
      </c>
      <c r="X7" s="70">
        <f>('FS-AD Daily '!AK11)*1000</f>
        <v>29400.000000001455</v>
      </c>
      <c r="Y7" s="70">
        <v>127</v>
      </c>
      <c r="Z7" s="103">
        <v>227</v>
      </c>
    </row>
    <row r="8" spans="1:26" x14ac:dyDescent="0.25">
      <c r="A8" s="102" t="s">
        <v>80</v>
      </c>
      <c r="B8" s="68">
        <f t="shared" si="1"/>
        <v>7</v>
      </c>
      <c r="C8" s="69">
        <v>5</v>
      </c>
      <c r="D8" s="68">
        <v>2022</v>
      </c>
      <c r="E8" s="70">
        <f>'FS-AD Daily '!B12</f>
        <v>6078</v>
      </c>
      <c r="F8" s="70">
        <f>'FS-AD Daily '!C12</f>
        <v>3922</v>
      </c>
      <c r="G8" s="70">
        <f>'FS-AD Daily '!D12</f>
        <v>930</v>
      </c>
      <c r="H8" s="70">
        <f>'FS-AD Daily '!E12</f>
        <v>7255</v>
      </c>
      <c r="I8" s="70">
        <f>'FS-AD Daily '!F12</f>
        <v>6196</v>
      </c>
      <c r="J8" s="70">
        <f>'FS-AD Daily '!G12</f>
        <v>2989</v>
      </c>
      <c r="K8" s="70">
        <f>'FS-AD Daily '!H12</f>
        <v>8928</v>
      </c>
      <c r="L8" s="70">
        <f>'FS-AD Daily '!I12</f>
        <v>2332</v>
      </c>
      <c r="M8" s="70">
        <f>'FS-AD Daily '!J12</f>
        <v>7134</v>
      </c>
      <c r="N8" s="70">
        <f>'FS-AD Daily '!T12</f>
        <v>207.04300000000148</v>
      </c>
      <c r="O8" s="70">
        <f>'FS-AD Daily '!R12</f>
        <v>84.983999999999469</v>
      </c>
      <c r="P8" s="70">
        <f>'FS-AD Daily '!Z12</f>
        <v>797</v>
      </c>
      <c r="Q8" s="70">
        <f>'FS-AD Daily '!V12</f>
        <v>201.60000000003492</v>
      </c>
      <c r="R8" s="70">
        <f>'FS-AD Daily '!W12</f>
        <v>208.76000000000931</v>
      </c>
      <c r="S8" s="70">
        <f t="shared" si="0"/>
        <v>386.63999999995576</v>
      </c>
      <c r="T8" s="70">
        <f>'FS-AD Daily '!AD12*3.516</f>
        <v>89007.54</v>
      </c>
      <c r="U8" s="70">
        <f>('FS-AD Daily '!AF12)*1000</f>
        <v>40000</v>
      </c>
      <c r="V8" s="70">
        <f>('FS-AD Daily '!AG12)*1000</f>
        <v>0</v>
      </c>
      <c r="W8" s="70">
        <f>'FS-AD Daily '!AH12*1000</f>
        <v>14599.999999998545</v>
      </c>
      <c r="X8" s="70">
        <f>('FS-AD Daily '!AK12)*1000</f>
        <v>30799.999999995634</v>
      </c>
      <c r="Y8" s="70">
        <v>92</v>
      </c>
      <c r="Z8" s="103">
        <v>139</v>
      </c>
    </row>
    <row r="9" spans="1:26" x14ac:dyDescent="0.25">
      <c r="A9" s="102" t="s">
        <v>80</v>
      </c>
      <c r="B9" s="68">
        <f t="shared" si="1"/>
        <v>8</v>
      </c>
      <c r="C9" s="69">
        <v>5</v>
      </c>
      <c r="D9" s="68">
        <v>2022</v>
      </c>
      <c r="E9" s="70">
        <f>'FS-AD Daily '!B13</f>
        <v>6411</v>
      </c>
      <c r="F9" s="70">
        <f>'FS-AD Daily '!C13</f>
        <v>3932</v>
      </c>
      <c r="G9" s="70">
        <f>'FS-AD Daily '!D13</f>
        <v>885</v>
      </c>
      <c r="H9" s="70">
        <f>'FS-AD Daily '!E13</f>
        <v>5949</v>
      </c>
      <c r="I9" s="70">
        <f>'FS-AD Daily '!F13</f>
        <v>5712</v>
      </c>
      <c r="J9" s="70">
        <f>'FS-AD Daily '!G13</f>
        <v>2689</v>
      </c>
      <c r="K9" s="70">
        <f>'FS-AD Daily '!H13</f>
        <v>8782</v>
      </c>
      <c r="L9" s="70">
        <f>'FS-AD Daily '!I13</f>
        <v>2297</v>
      </c>
      <c r="M9" s="70">
        <f>'FS-AD Daily '!J13</f>
        <v>7033</v>
      </c>
      <c r="N9" s="70">
        <f>'FS-AD Daily '!T13</f>
        <v>202.9320000000007</v>
      </c>
      <c r="O9" s="70">
        <f>'FS-AD Daily '!R13</f>
        <v>73.597999999999956</v>
      </c>
      <c r="P9" s="70">
        <f>'FS-AD Daily '!Z13</f>
        <v>809</v>
      </c>
      <c r="Q9" s="70">
        <f>'FS-AD Daily '!V13</f>
        <v>264.5</v>
      </c>
      <c r="R9" s="70">
        <f>'FS-AD Daily '!W13</f>
        <v>196.17999999999302</v>
      </c>
      <c r="S9" s="70">
        <f t="shared" si="0"/>
        <v>348.32000000000698</v>
      </c>
      <c r="T9" s="70">
        <f>'FS-AD Daily '!AD13*3.516</f>
        <v>83216.687999999995</v>
      </c>
      <c r="U9" s="70">
        <f>('FS-AD Daily '!AF13)*1000</f>
        <v>36899.999999994179</v>
      </c>
      <c r="V9" s="70">
        <f>('FS-AD Daily '!AG13)*1000</f>
        <v>0</v>
      </c>
      <c r="W9" s="70">
        <f>'FS-AD Daily '!AH13*1000</f>
        <v>13299.999999999272</v>
      </c>
      <c r="X9" s="70">
        <f>('FS-AD Daily '!AK13)*1000</f>
        <v>30200.000000004366</v>
      </c>
      <c r="Y9" s="70">
        <v>98</v>
      </c>
      <c r="Z9" s="103">
        <v>128</v>
      </c>
    </row>
    <row r="10" spans="1:26" x14ac:dyDescent="0.25">
      <c r="A10" s="102" t="s">
        <v>80</v>
      </c>
      <c r="B10" s="68">
        <f t="shared" si="1"/>
        <v>9</v>
      </c>
      <c r="C10" s="69">
        <v>5</v>
      </c>
      <c r="D10" s="68">
        <v>2022</v>
      </c>
      <c r="E10" s="70">
        <f>'FS-AD Daily '!B14</f>
        <v>6573</v>
      </c>
      <c r="F10" s="70">
        <f>'FS-AD Daily '!C14</f>
        <v>4197</v>
      </c>
      <c r="G10" s="70">
        <f>'FS-AD Daily '!D14</f>
        <v>881</v>
      </c>
      <c r="H10" s="70">
        <f>'FS-AD Daily '!E14</f>
        <v>6689</v>
      </c>
      <c r="I10" s="70">
        <f>'FS-AD Daily '!F14</f>
        <v>6029</v>
      </c>
      <c r="J10" s="70">
        <f>'FS-AD Daily '!G14</f>
        <v>2825</v>
      </c>
      <c r="K10" s="70">
        <f>'FS-AD Daily '!H14</f>
        <v>9240</v>
      </c>
      <c r="L10" s="70">
        <f>'FS-AD Daily '!I14</f>
        <v>2423</v>
      </c>
      <c r="M10" s="70">
        <f>'FS-AD Daily '!J14</f>
        <v>7051</v>
      </c>
      <c r="N10" s="70">
        <f>'FS-AD Daily '!T14</f>
        <v>197.95599999999831</v>
      </c>
      <c r="O10" s="70">
        <f>'FS-AD Daily '!R14</f>
        <v>78.520999999998821</v>
      </c>
      <c r="P10" s="70">
        <f>'FS-AD Daily '!Z14</f>
        <v>811</v>
      </c>
      <c r="Q10" s="70">
        <f>'FS-AD Daily '!V14</f>
        <v>253.59999999997672</v>
      </c>
      <c r="R10" s="70">
        <f>'FS-AD Daily '!W14</f>
        <v>186.92000000001281</v>
      </c>
      <c r="S10" s="70">
        <f t="shared" si="0"/>
        <v>370.48000000001048</v>
      </c>
      <c r="T10" s="70">
        <f>'FS-AD Daily '!AD14*3.516</f>
        <v>84872.724000000002</v>
      </c>
      <c r="U10" s="70">
        <f>('FS-AD Daily '!AF14)*1000</f>
        <v>37899.999999994179</v>
      </c>
      <c r="V10" s="70">
        <f>('FS-AD Daily '!AG14)*1000</f>
        <v>0</v>
      </c>
      <c r="W10" s="70">
        <f>'FS-AD Daily '!AH14*1000</f>
        <v>12600.000000002183</v>
      </c>
      <c r="X10" s="70">
        <f>('FS-AD Daily '!AK14)*1000</f>
        <v>33500</v>
      </c>
      <c r="Y10" s="70">
        <v>131</v>
      </c>
      <c r="Z10" s="103">
        <v>156</v>
      </c>
    </row>
    <row r="11" spans="1:26" x14ac:dyDescent="0.25">
      <c r="A11" s="102" t="s">
        <v>80</v>
      </c>
      <c r="B11" s="68">
        <f t="shared" si="1"/>
        <v>10</v>
      </c>
      <c r="C11" s="69">
        <v>5</v>
      </c>
      <c r="D11" s="68">
        <v>2022</v>
      </c>
      <c r="E11" s="70">
        <f>'FS-AD Daily '!B15</f>
        <v>8251</v>
      </c>
      <c r="F11" s="70">
        <f>'FS-AD Daily '!C15</f>
        <v>4237</v>
      </c>
      <c r="G11" s="70">
        <f>'FS-AD Daily '!D15</f>
        <v>884</v>
      </c>
      <c r="H11" s="70">
        <f>'FS-AD Daily '!E15</f>
        <v>7157</v>
      </c>
      <c r="I11" s="70">
        <f>'FS-AD Daily '!F15</f>
        <v>5684</v>
      </c>
      <c r="J11" s="70">
        <f>'FS-AD Daily '!G15</f>
        <v>2686</v>
      </c>
      <c r="K11" s="70">
        <f>'FS-AD Daily '!H15</f>
        <v>9082</v>
      </c>
      <c r="L11" s="70">
        <f>'FS-AD Daily '!I15</f>
        <v>2377</v>
      </c>
      <c r="M11" s="70">
        <f>'FS-AD Daily '!J15</f>
        <v>6976</v>
      </c>
      <c r="N11" s="70">
        <f>'FS-AD Daily '!T15</f>
        <v>200.51500000000306</v>
      </c>
      <c r="O11" s="70">
        <f>'FS-AD Daily '!R15</f>
        <v>71.32300000000032</v>
      </c>
      <c r="P11" s="70">
        <f>'FS-AD Daily '!Z15</f>
        <v>715</v>
      </c>
      <c r="Q11" s="70">
        <f>'FS-AD Daily '!V15</f>
        <v>191.79999999998836</v>
      </c>
      <c r="R11" s="70">
        <f>'FS-AD Daily '!W15</f>
        <v>172.01999999998952</v>
      </c>
      <c r="S11" s="70">
        <f t="shared" si="0"/>
        <v>351.18000000002212</v>
      </c>
      <c r="T11" s="70">
        <f>'FS-AD Daily '!AD15*3.516</f>
        <v>77802.047999999995</v>
      </c>
      <c r="U11" s="70">
        <f>('FS-AD Daily '!AF15)*1000</f>
        <v>36400.000000008731</v>
      </c>
      <c r="V11" s="70">
        <f>('FS-AD Daily '!AG15)*1000</f>
        <v>0</v>
      </c>
      <c r="W11" s="70">
        <f>'FS-AD Daily '!AH15*1000</f>
        <v>11099.999999998545</v>
      </c>
      <c r="X11" s="70">
        <f>('FS-AD Daily '!AK15)*1000</f>
        <v>29799.999999995634</v>
      </c>
      <c r="Y11" s="70">
        <v>169</v>
      </c>
      <c r="Z11" s="103">
        <v>209</v>
      </c>
    </row>
    <row r="12" spans="1:26" x14ac:dyDescent="0.25">
      <c r="A12" s="102" t="s">
        <v>80</v>
      </c>
      <c r="B12" s="68">
        <f t="shared" si="1"/>
        <v>11</v>
      </c>
      <c r="C12" s="69">
        <v>5</v>
      </c>
      <c r="D12" s="68">
        <v>2022</v>
      </c>
      <c r="E12" s="70">
        <f>'FS-AD Daily '!B16</f>
        <v>7827</v>
      </c>
      <c r="F12" s="70">
        <f>'FS-AD Daily '!C16</f>
        <v>4233</v>
      </c>
      <c r="G12" s="70">
        <f>'FS-AD Daily '!D16</f>
        <v>903</v>
      </c>
      <c r="H12" s="70">
        <f>'FS-AD Daily '!E16</f>
        <v>7347</v>
      </c>
      <c r="I12" s="70">
        <f>'FS-AD Daily '!F16</f>
        <v>5900</v>
      </c>
      <c r="J12" s="70">
        <f>'FS-AD Daily '!G16</f>
        <v>2808</v>
      </c>
      <c r="K12" s="70">
        <f>'FS-AD Daily '!H16</f>
        <v>9269</v>
      </c>
      <c r="L12" s="70">
        <f>'FS-AD Daily '!I16</f>
        <v>2373</v>
      </c>
      <c r="M12" s="70">
        <f>'FS-AD Daily '!J16</f>
        <v>7167</v>
      </c>
      <c r="N12" s="70">
        <f>'FS-AD Daily '!T16</f>
        <v>197.63899999999921</v>
      </c>
      <c r="O12" s="70">
        <f>'FS-AD Daily '!R16</f>
        <v>37.681000000000495</v>
      </c>
      <c r="P12" s="70">
        <f>'FS-AD Daily '!Z16</f>
        <v>714</v>
      </c>
      <c r="Q12" s="70">
        <f>'FS-AD Daily '!V16</f>
        <v>194.5</v>
      </c>
      <c r="R12" s="70">
        <f>'FS-AD Daily '!W16</f>
        <v>131.54000000000815</v>
      </c>
      <c r="S12" s="70">
        <f t="shared" si="0"/>
        <v>387.95999999999185</v>
      </c>
      <c r="T12" s="70">
        <f>'FS-AD Daily '!AD16*3.516</f>
        <v>78206.388000000006</v>
      </c>
      <c r="U12" s="70">
        <f>('FS-AD Daily '!AF16)*1000</f>
        <v>34899.999999994179</v>
      </c>
      <c r="V12" s="70">
        <f>('FS-AD Daily '!AG16)*1000</f>
        <v>0</v>
      </c>
      <c r="W12" s="70">
        <f>'FS-AD Daily '!AH16*1000</f>
        <v>11400.000000001455</v>
      </c>
      <c r="X12" s="70">
        <f>('FS-AD Daily '!AK16)*1000</f>
        <v>31600.000000005821</v>
      </c>
      <c r="Y12" s="70">
        <f>'FS-AD Daily '!AN16</f>
        <v>0</v>
      </c>
      <c r="Z12" s="103"/>
    </row>
    <row r="13" spans="1:26" x14ac:dyDescent="0.25">
      <c r="A13" s="102" t="s">
        <v>80</v>
      </c>
      <c r="B13" s="68">
        <f t="shared" si="1"/>
        <v>12</v>
      </c>
      <c r="C13" s="69">
        <v>5</v>
      </c>
      <c r="D13" s="68">
        <v>2022</v>
      </c>
      <c r="E13" s="70">
        <f>'FS-AD Daily '!B17</f>
        <v>7724</v>
      </c>
      <c r="F13" s="70">
        <f>'FS-AD Daily '!C17</f>
        <v>4250</v>
      </c>
      <c r="G13" s="70">
        <f>'FS-AD Daily '!D17</f>
        <v>911</v>
      </c>
      <c r="H13" s="70">
        <f>'FS-AD Daily '!E17</f>
        <v>6737</v>
      </c>
      <c r="I13" s="70">
        <f>'FS-AD Daily '!F17</f>
        <v>5875</v>
      </c>
      <c r="J13" s="70">
        <f>'FS-AD Daily '!G17</f>
        <v>2871</v>
      </c>
      <c r="K13" s="70">
        <f>'FS-AD Daily '!H17</f>
        <v>9271</v>
      </c>
      <c r="L13" s="70">
        <f>'FS-AD Daily '!I17</f>
        <v>2407</v>
      </c>
      <c r="M13" s="70">
        <f>'FS-AD Daily '!J17</f>
        <v>7221</v>
      </c>
      <c r="N13" s="70">
        <f>'FS-AD Daily '!T17</f>
        <v>201.28499999999985</v>
      </c>
      <c r="O13" s="70">
        <f>'FS-AD Daily '!R17</f>
        <v>38.712000000000444</v>
      </c>
      <c r="P13" s="70">
        <f>'FS-AD Daily '!Z17</f>
        <v>786</v>
      </c>
      <c r="Q13" s="70">
        <f>'FS-AD Daily '!V17</f>
        <v>246</v>
      </c>
      <c r="R13" s="70">
        <f>'FS-AD Daily '!W17</f>
        <v>178.04000000000815</v>
      </c>
      <c r="S13" s="70">
        <f t="shared" si="0"/>
        <v>361.95999999999185</v>
      </c>
      <c r="T13" s="70">
        <f>'FS-AD Daily '!AD17*3.516</f>
        <v>96208.308000000005</v>
      </c>
      <c r="U13" s="70">
        <f>('FS-AD Daily '!AF17)*1000</f>
        <v>47600.000000005821</v>
      </c>
      <c r="V13" s="70">
        <f>('FS-AD Daily '!AG17)*1000</f>
        <v>0</v>
      </c>
      <c r="W13" s="70">
        <f>'FS-AD Daily '!AH17*1000</f>
        <v>12000</v>
      </c>
      <c r="X13" s="70">
        <f>('FS-AD Daily '!AK17)*1000</f>
        <v>31699.99999999709</v>
      </c>
      <c r="Y13" s="70">
        <f>'FS-AD Daily '!AN17</f>
        <v>0</v>
      </c>
      <c r="Z13" s="103"/>
    </row>
    <row r="14" spans="1:26" x14ac:dyDescent="0.25">
      <c r="A14" s="102" t="s">
        <v>80</v>
      </c>
      <c r="B14" s="68">
        <f t="shared" si="1"/>
        <v>13</v>
      </c>
      <c r="C14" s="69">
        <v>5</v>
      </c>
      <c r="D14" s="68">
        <v>2022</v>
      </c>
      <c r="E14" s="70">
        <f>'FS-AD Daily '!B18</f>
        <v>7868</v>
      </c>
      <c r="F14" s="70">
        <f>'FS-AD Daily '!C18</f>
        <v>4152</v>
      </c>
      <c r="G14" s="70">
        <f>'FS-AD Daily '!D18</f>
        <v>947</v>
      </c>
      <c r="H14" s="70">
        <f>'FS-AD Daily '!E18</f>
        <v>6336</v>
      </c>
      <c r="I14" s="70">
        <f>'FS-AD Daily '!F18</f>
        <v>5913</v>
      </c>
      <c r="J14" s="70">
        <f>'FS-AD Daily '!G18</f>
        <v>2779</v>
      </c>
      <c r="K14" s="70">
        <f>'FS-AD Daily '!H18</f>
        <v>9197</v>
      </c>
      <c r="L14" s="70">
        <f>'FS-AD Daily '!I18</f>
        <v>2366</v>
      </c>
      <c r="M14" s="70">
        <f>'FS-AD Daily '!J18</f>
        <v>7215</v>
      </c>
      <c r="N14" s="70">
        <f>'FS-AD Daily '!T18</f>
        <v>220.49899999999616</v>
      </c>
      <c r="O14" s="70">
        <f>'FS-AD Daily '!R18</f>
        <v>167.14800000000105</v>
      </c>
      <c r="P14" s="70">
        <f>'FS-AD Daily '!Z18</f>
        <v>852</v>
      </c>
      <c r="Q14" s="70">
        <f>'FS-AD Daily '!V18</f>
        <v>278.79999999998836</v>
      </c>
      <c r="R14" s="70">
        <f>'FS-AD Daily '!W18</f>
        <v>200.76999999998952</v>
      </c>
      <c r="S14" s="70">
        <f t="shared" si="0"/>
        <v>372.43000000002212</v>
      </c>
      <c r="T14" s="70">
        <f>'FS-AD Daily '!AD18*3.516</f>
        <v>81652.067999999999</v>
      </c>
      <c r="U14" s="70">
        <f>('FS-AD Daily '!AF18)*1000</f>
        <v>37500</v>
      </c>
      <c r="V14" s="70">
        <f>('FS-AD Daily '!AG18)*1000</f>
        <v>0</v>
      </c>
      <c r="W14" s="70">
        <f>'FS-AD Daily '!AH18*1000</f>
        <v>11299.999999999272</v>
      </c>
      <c r="X14" s="70">
        <f>('FS-AD Daily '!AK18)*1000</f>
        <v>30400.000000001455</v>
      </c>
      <c r="Y14" s="70">
        <f>'FS-AD Daily '!AN18</f>
        <v>0</v>
      </c>
      <c r="Z14" s="103"/>
    </row>
    <row r="15" spans="1:26" x14ac:dyDescent="0.25">
      <c r="A15" s="102" t="s">
        <v>80</v>
      </c>
      <c r="B15" s="68">
        <f t="shared" si="1"/>
        <v>14</v>
      </c>
      <c r="C15" s="69">
        <v>5</v>
      </c>
      <c r="D15" s="68">
        <v>2022</v>
      </c>
      <c r="E15" s="70">
        <f>'FS-AD Daily '!B19</f>
        <v>0</v>
      </c>
      <c r="F15" s="70">
        <f>'FS-AD Daily '!C19</f>
        <v>0</v>
      </c>
      <c r="G15" s="70">
        <f>'FS-AD Daily '!D19</f>
        <v>0</v>
      </c>
      <c r="H15" s="70">
        <f>'FS-AD Daily '!E19</f>
        <v>0</v>
      </c>
      <c r="I15" s="70">
        <f>'FS-AD Daily '!F19</f>
        <v>0</v>
      </c>
      <c r="J15" s="70">
        <f>'FS-AD Daily '!G19</f>
        <v>0</v>
      </c>
      <c r="K15" s="70">
        <f>'FS-AD Daily '!H19</f>
        <v>0</v>
      </c>
      <c r="L15" s="70">
        <f>'FS-AD Daily '!I19</f>
        <v>0</v>
      </c>
      <c r="M15" s="70">
        <f>'FS-AD Daily '!J19</f>
        <v>0</v>
      </c>
      <c r="N15" s="70">
        <f>'FS-AD Daily '!T19</f>
        <v>0</v>
      </c>
      <c r="O15" s="70">
        <f>'FS-AD Daily '!R19</f>
        <v>0</v>
      </c>
      <c r="P15" s="70" t="str">
        <f>'FS-AD Daily '!Z19</f>
        <v>0</v>
      </c>
      <c r="Q15" s="70">
        <f>'FS-AD Daily '!V19</f>
        <v>0</v>
      </c>
      <c r="R15" s="70">
        <f>'FS-AD Daily '!W19</f>
        <v>0</v>
      </c>
      <c r="S15" s="70">
        <f t="shared" si="0"/>
        <v>0</v>
      </c>
      <c r="T15" s="70">
        <f>'FS-AD Daily '!AD19*3.516</f>
        <v>0</v>
      </c>
      <c r="U15" s="70">
        <f>('FS-AD Daily '!AF19)*1000</f>
        <v>0</v>
      </c>
      <c r="V15" s="70">
        <f>('FS-AD Daily '!AG19)*1000</f>
        <v>0</v>
      </c>
      <c r="W15" s="70">
        <f>'FS-AD Daily '!AH19*1000</f>
        <v>0</v>
      </c>
      <c r="X15" s="70">
        <f>('FS-AD Daily '!AK19)*1000</f>
        <v>0</v>
      </c>
      <c r="Y15" s="70">
        <f>'FS-AD Daily '!AN19</f>
        <v>0</v>
      </c>
      <c r="Z15" s="103"/>
    </row>
    <row r="16" spans="1:26" x14ac:dyDescent="0.25">
      <c r="A16" s="102" t="s">
        <v>80</v>
      </c>
      <c r="B16" s="68">
        <f t="shared" si="1"/>
        <v>15</v>
      </c>
      <c r="C16" s="69">
        <v>5</v>
      </c>
      <c r="D16" s="68">
        <v>2022</v>
      </c>
      <c r="E16" s="70">
        <f>'FS-AD Daily '!B20</f>
        <v>0</v>
      </c>
      <c r="F16" s="70">
        <f>'FS-AD Daily '!C20</f>
        <v>0</v>
      </c>
      <c r="G16" s="70">
        <f>'FS-AD Daily '!D20</f>
        <v>0</v>
      </c>
      <c r="H16" s="70">
        <f>'FS-AD Daily '!E20</f>
        <v>0</v>
      </c>
      <c r="I16" s="70">
        <f>'FS-AD Daily '!F20</f>
        <v>0</v>
      </c>
      <c r="J16" s="70">
        <f>'FS-AD Daily '!G20</f>
        <v>0</v>
      </c>
      <c r="K16" s="70">
        <f>'FS-AD Daily '!H20</f>
        <v>0</v>
      </c>
      <c r="L16" s="70">
        <f>'FS-AD Daily '!I20</f>
        <v>0</v>
      </c>
      <c r="M16" s="70">
        <f>'FS-AD Daily '!J20</f>
        <v>0</v>
      </c>
      <c r="N16" s="70">
        <f>'FS-AD Daily '!T20</f>
        <v>0</v>
      </c>
      <c r="O16" s="70">
        <f>'FS-AD Daily '!R20</f>
        <v>0</v>
      </c>
      <c r="P16" s="70">
        <f>'FS-AD Daily '!Z20</f>
        <v>0</v>
      </c>
      <c r="Q16" s="70">
        <f>'FS-AD Daily '!V20</f>
        <v>0</v>
      </c>
      <c r="R16" s="70">
        <f>'FS-AD Daily '!W20</f>
        <v>0</v>
      </c>
      <c r="S16" s="70">
        <f t="shared" si="0"/>
        <v>0</v>
      </c>
      <c r="T16" s="70">
        <f>'FS-AD Daily '!AD20*3.516</f>
        <v>0</v>
      </c>
      <c r="U16" s="70">
        <f>('FS-AD Daily '!AF20)*1000</f>
        <v>0</v>
      </c>
      <c r="V16" s="70">
        <f>('FS-AD Daily '!AG20)*1000</f>
        <v>0</v>
      </c>
      <c r="W16" s="70">
        <f>'FS-AD Daily '!AH20*1000</f>
        <v>0</v>
      </c>
      <c r="X16" s="70">
        <f>('FS-AD Daily '!AK20)*1000</f>
        <v>0</v>
      </c>
      <c r="Y16" s="70">
        <f>'FS-AD Daily '!AN20</f>
        <v>0</v>
      </c>
      <c r="Z16" s="103"/>
    </row>
    <row r="17" spans="1:26" x14ac:dyDescent="0.25">
      <c r="A17" s="102" t="s">
        <v>80</v>
      </c>
      <c r="B17" s="68">
        <f t="shared" si="1"/>
        <v>16</v>
      </c>
      <c r="C17" s="69">
        <v>5</v>
      </c>
      <c r="D17" s="68">
        <v>2022</v>
      </c>
      <c r="E17" s="70">
        <f>'FS-AD Daily '!B21</f>
        <v>0</v>
      </c>
      <c r="F17" s="70">
        <f>'FS-AD Daily '!C21</f>
        <v>0</v>
      </c>
      <c r="G17" s="70">
        <f>'FS-AD Daily '!D21</f>
        <v>0</v>
      </c>
      <c r="H17" s="70">
        <f>'FS-AD Daily '!E21</f>
        <v>0</v>
      </c>
      <c r="I17" s="70">
        <f>'FS-AD Daily '!F21</f>
        <v>0</v>
      </c>
      <c r="J17" s="70">
        <f>'FS-AD Daily '!G21</f>
        <v>0</v>
      </c>
      <c r="K17" s="70">
        <f>'FS-AD Daily '!H21</f>
        <v>0</v>
      </c>
      <c r="L17" s="70">
        <f>'FS-AD Daily '!I21</f>
        <v>0</v>
      </c>
      <c r="M17" s="70">
        <f>'FS-AD Daily '!J21</f>
        <v>0</v>
      </c>
      <c r="N17" s="70">
        <f>'FS-AD Daily '!T21</f>
        <v>0</v>
      </c>
      <c r="O17" s="70">
        <f>'FS-AD Daily '!R21</f>
        <v>0</v>
      </c>
      <c r="P17" s="70">
        <f>'FS-AD Daily '!Z21</f>
        <v>0</v>
      </c>
      <c r="Q17" s="70">
        <f>'FS-AD Daily '!V21</f>
        <v>0</v>
      </c>
      <c r="R17" s="70">
        <f>'FS-AD Daily '!W21</f>
        <v>0</v>
      </c>
      <c r="S17" s="70">
        <f t="shared" si="0"/>
        <v>0</v>
      </c>
      <c r="T17" s="70">
        <f>'FS-AD Daily '!AD21*3.516</f>
        <v>0</v>
      </c>
      <c r="U17" s="70">
        <f>('FS-AD Daily '!AF21)*1000</f>
        <v>0</v>
      </c>
      <c r="V17" s="70">
        <f>('FS-AD Daily '!AG21)*1000</f>
        <v>0</v>
      </c>
      <c r="W17" s="70">
        <f>'FS-AD Daily '!AH21*1000</f>
        <v>0</v>
      </c>
      <c r="X17" s="70">
        <f>('FS-AD Daily '!AK21)*1000</f>
        <v>0</v>
      </c>
      <c r="Y17" s="70">
        <f>'FS-AD Daily '!AN21</f>
        <v>0</v>
      </c>
      <c r="Z17" s="103"/>
    </row>
    <row r="18" spans="1:26" x14ac:dyDescent="0.25">
      <c r="A18" s="102" t="s">
        <v>80</v>
      </c>
      <c r="B18" s="68">
        <f t="shared" si="1"/>
        <v>17</v>
      </c>
      <c r="C18" s="69">
        <v>5</v>
      </c>
      <c r="D18" s="68">
        <v>2022</v>
      </c>
      <c r="E18" s="70">
        <f>'FS-AD Daily '!B22</f>
        <v>0</v>
      </c>
      <c r="F18" s="70">
        <f>'FS-AD Daily '!C22</f>
        <v>0</v>
      </c>
      <c r="G18" s="70">
        <f>'FS-AD Daily '!D22</f>
        <v>0</v>
      </c>
      <c r="H18" s="70">
        <f>'FS-AD Daily '!E22</f>
        <v>0</v>
      </c>
      <c r="I18" s="70">
        <f>'FS-AD Daily '!F22</f>
        <v>0</v>
      </c>
      <c r="J18" s="70">
        <f>'FS-AD Daily '!G22</f>
        <v>0</v>
      </c>
      <c r="K18" s="70">
        <f>'FS-AD Daily '!H22</f>
        <v>0</v>
      </c>
      <c r="L18" s="70">
        <f>'FS-AD Daily '!I22</f>
        <v>0</v>
      </c>
      <c r="M18" s="70">
        <f>'FS-AD Daily '!J22</f>
        <v>0</v>
      </c>
      <c r="N18" s="70">
        <f>'FS-AD Daily '!T22</f>
        <v>0</v>
      </c>
      <c r="O18" s="70">
        <f>'FS-AD Daily '!R22</f>
        <v>0</v>
      </c>
      <c r="P18" s="70">
        <f>'FS-AD Daily '!Z22</f>
        <v>0</v>
      </c>
      <c r="Q18" s="70">
        <f>'FS-AD Daily '!V22</f>
        <v>0</v>
      </c>
      <c r="R18" s="70">
        <f>'FS-AD Daily '!W22</f>
        <v>0</v>
      </c>
      <c r="S18" s="70">
        <f t="shared" si="0"/>
        <v>0</v>
      </c>
      <c r="T18" s="70">
        <f>'FS-AD Daily '!AD22*3.516</f>
        <v>0</v>
      </c>
      <c r="U18" s="70">
        <f>('FS-AD Daily '!AF22)*1000</f>
        <v>0</v>
      </c>
      <c r="V18" s="70">
        <f>('FS-AD Daily '!AG22)*1000</f>
        <v>0</v>
      </c>
      <c r="W18" s="70">
        <f>'FS-AD Daily '!AH22*1000</f>
        <v>0</v>
      </c>
      <c r="X18" s="70">
        <f>('FS-AD Daily '!AK22)*1000</f>
        <v>0</v>
      </c>
      <c r="Y18" s="70">
        <f>'FS-AD Daily '!AN22</f>
        <v>0</v>
      </c>
      <c r="Z18" s="103"/>
    </row>
    <row r="19" spans="1:26" x14ac:dyDescent="0.25">
      <c r="A19" s="102" t="s">
        <v>80</v>
      </c>
      <c r="B19" s="68">
        <f t="shared" si="1"/>
        <v>18</v>
      </c>
      <c r="C19" s="69">
        <v>5</v>
      </c>
      <c r="D19" s="68">
        <v>2022</v>
      </c>
      <c r="E19" s="70">
        <f>'FS-AD Daily '!B23</f>
        <v>0</v>
      </c>
      <c r="F19" s="70">
        <f>'FS-AD Daily '!C23</f>
        <v>0</v>
      </c>
      <c r="G19" s="70">
        <f>'FS-AD Daily '!D23</f>
        <v>0</v>
      </c>
      <c r="H19" s="70">
        <f>'FS-AD Daily '!E23</f>
        <v>0</v>
      </c>
      <c r="I19" s="70">
        <f>'FS-AD Daily '!F23</f>
        <v>0</v>
      </c>
      <c r="J19" s="70">
        <f>'FS-AD Daily '!G23</f>
        <v>0</v>
      </c>
      <c r="K19" s="70">
        <f>'FS-AD Daily '!H23</f>
        <v>0</v>
      </c>
      <c r="L19" s="70">
        <f>'FS-AD Daily '!I23</f>
        <v>0</v>
      </c>
      <c r="M19" s="70">
        <f>'FS-AD Daily '!J23</f>
        <v>0</v>
      </c>
      <c r="N19" s="70">
        <f>'FS-AD Daily '!T23</f>
        <v>0</v>
      </c>
      <c r="O19" s="70">
        <f>'FS-AD Daily '!R23</f>
        <v>0</v>
      </c>
      <c r="P19" s="70">
        <f>'FS-AD Daily '!Z23</f>
        <v>0</v>
      </c>
      <c r="Q19" s="70">
        <f>'FS-AD Daily '!V23</f>
        <v>0</v>
      </c>
      <c r="R19" s="70">
        <f>'FS-AD Daily '!W23</f>
        <v>0</v>
      </c>
      <c r="S19" s="70">
        <f t="shared" si="0"/>
        <v>0</v>
      </c>
      <c r="T19" s="70">
        <f>'FS-AD Daily '!AD23*3.516</f>
        <v>0</v>
      </c>
      <c r="U19" s="70">
        <f>('FS-AD Daily '!AF23)*1000</f>
        <v>0</v>
      </c>
      <c r="V19" s="70">
        <f>('FS-AD Daily '!AG23)*1000</f>
        <v>0</v>
      </c>
      <c r="W19" s="70">
        <f>'FS-AD Daily '!AH23*1000</f>
        <v>0</v>
      </c>
      <c r="X19" s="70">
        <f>('FS-AD Daily '!AK23)*1000</f>
        <v>0</v>
      </c>
      <c r="Y19" s="70">
        <f>'FS-AD Daily '!AN23</f>
        <v>0</v>
      </c>
      <c r="Z19" s="103"/>
    </row>
    <row r="20" spans="1:26" x14ac:dyDescent="0.25">
      <c r="A20" s="102" t="s">
        <v>80</v>
      </c>
      <c r="B20" s="68">
        <f t="shared" si="1"/>
        <v>19</v>
      </c>
      <c r="C20" s="69">
        <v>5</v>
      </c>
      <c r="D20" s="68">
        <v>2022</v>
      </c>
      <c r="E20" s="70">
        <f>'FS-AD Daily '!B24</f>
        <v>0</v>
      </c>
      <c r="F20" s="70">
        <f>'FS-AD Daily '!C24</f>
        <v>0</v>
      </c>
      <c r="G20" s="70">
        <f>'FS-AD Daily '!D24</f>
        <v>0</v>
      </c>
      <c r="H20" s="70">
        <f>'FS-AD Daily '!E24</f>
        <v>0</v>
      </c>
      <c r="I20" s="70">
        <f>'FS-AD Daily '!F24</f>
        <v>0</v>
      </c>
      <c r="J20" s="70">
        <f>'FS-AD Daily '!G24</f>
        <v>0</v>
      </c>
      <c r="K20" s="70">
        <f>'FS-AD Daily '!H24</f>
        <v>0</v>
      </c>
      <c r="L20" s="70">
        <f>'FS-AD Daily '!I24</f>
        <v>0</v>
      </c>
      <c r="M20" s="70">
        <f>'FS-AD Daily '!J24</f>
        <v>0</v>
      </c>
      <c r="N20" s="70">
        <f>'FS-AD Daily '!T24</f>
        <v>0</v>
      </c>
      <c r="O20" s="70">
        <f>'FS-AD Daily '!R24</f>
        <v>0</v>
      </c>
      <c r="P20" s="70">
        <f>'FS-AD Daily '!Z24</f>
        <v>0</v>
      </c>
      <c r="Q20" s="70">
        <f>'FS-AD Daily '!V24</f>
        <v>0</v>
      </c>
      <c r="R20" s="70">
        <f>'FS-AD Daily '!W24</f>
        <v>0</v>
      </c>
      <c r="S20" s="70">
        <f t="shared" si="0"/>
        <v>0</v>
      </c>
      <c r="T20" s="70">
        <f>'FS-AD Daily '!AD24*3.516</f>
        <v>0</v>
      </c>
      <c r="U20" s="70">
        <f>('FS-AD Daily '!AF24)*1000</f>
        <v>0</v>
      </c>
      <c r="V20" s="70">
        <f>('FS-AD Daily '!AG24)*1000</f>
        <v>0</v>
      </c>
      <c r="W20" s="70">
        <f>'FS-AD Daily '!AH24*1000</f>
        <v>0</v>
      </c>
      <c r="X20" s="70">
        <f>('FS-AD Daily '!AK24)*1000</f>
        <v>0</v>
      </c>
      <c r="Y20" s="70">
        <f>'FS-AD Daily '!AN24</f>
        <v>0</v>
      </c>
      <c r="Z20" s="103"/>
    </row>
    <row r="21" spans="1:26" x14ac:dyDescent="0.25">
      <c r="A21" s="102" t="s">
        <v>80</v>
      </c>
      <c r="B21" s="68">
        <f t="shared" si="1"/>
        <v>20</v>
      </c>
      <c r="C21" s="69">
        <v>5</v>
      </c>
      <c r="D21" s="68">
        <v>2022</v>
      </c>
      <c r="E21" s="70">
        <f>'FS-AD Daily '!B25</f>
        <v>0</v>
      </c>
      <c r="F21" s="70">
        <f>'FS-AD Daily '!C25</f>
        <v>0</v>
      </c>
      <c r="G21" s="70">
        <f>'FS-AD Daily '!D25</f>
        <v>0</v>
      </c>
      <c r="H21" s="70">
        <f>'FS-AD Daily '!E25</f>
        <v>0</v>
      </c>
      <c r="I21" s="70">
        <f>'FS-AD Daily '!F25</f>
        <v>0</v>
      </c>
      <c r="J21" s="70">
        <f>'FS-AD Daily '!G25</f>
        <v>0</v>
      </c>
      <c r="K21" s="70">
        <f>'FS-AD Daily '!H25</f>
        <v>0</v>
      </c>
      <c r="L21" s="70">
        <f>'FS-AD Daily '!I25</f>
        <v>0</v>
      </c>
      <c r="M21" s="70">
        <f>'FS-AD Daily '!J25</f>
        <v>0</v>
      </c>
      <c r="N21" s="70">
        <f>'FS-AD Daily '!T25</f>
        <v>0</v>
      </c>
      <c r="O21" s="70">
        <f>'FS-AD Daily '!R25</f>
        <v>0</v>
      </c>
      <c r="P21" s="70">
        <f>'FS-AD Daily '!Z25</f>
        <v>0</v>
      </c>
      <c r="Q21" s="70">
        <f>'FS-AD Daily '!V25</f>
        <v>0</v>
      </c>
      <c r="R21" s="70">
        <f>'FS-AD Daily '!W25</f>
        <v>0</v>
      </c>
      <c r="S21" s="70">
        <f t="shared" si="0"/>
        <v>0</v>
      </c>
      <c r="T21" s="70">
        <f>'FS-AD Daily '!AD25*3.516</f>
        <v>0</v>
      </c>
      <c r="U21" s="70">
        <f>('FS-AD Daily '!AF25)*1000</f>
        <v>0</v>
      </c>
      <c r="V21" s="70">
        <f>('FS-AD Daily '!AG25)*1000</f>
        <v>0</v>
      </c>
      <c r="W21" s="70">
        <f>'FS-AD Daily '!AH25*1000</f>
        <v>0</v>
      </c>
      <c r="X21" s="70">
        <f>('FS-AD Daily '!AK25)*1000</f>
        <v>0</v>
      </c>
      <c r="Y21" s="70">
        <f>'FS-AD Daily '!AN25</f>
        <v>0</v>
      </c>
      <c r="Z21" s="103"/>
    </row>
    <row r="22" spans="1:26" x14ac:dyDescent="0.25">
      <c r="A22" s="102" t="s">
        <v>80</v>
      </c>
      <c r="B22" s="68">
        <f t="shared" si="1"/>
        <v>21</v>
      </c>
      <c r="C22" s="69">
        <v>5</v>
      </c>
      <c r="D22" s="68">
        <v>2022</v>
      </c>
      <c r="E22" s="70">
        <f>'FS-AD Daily '!B26</f>
        <v>0</v>
      </c>
      <c r="F22" s="70">
        <f>'FS-AD Daily '!C26</f>
        <v>0</v>
      </c>
      <c r="G22" s="70">
        <f>'FS-AD Daily '!D26</f>
        <v>0</v>
      </c>
      <c r="H22" s="70">
        <f>'FS-AD Daily '!E26</f>
        <v>0</v>
      </c>
      <c r="I22" s="70">
        <f>'FS-AD Daily '!F26</f>
        <v>0</v>
      </c>
      <c r="J22" s="70">
        <f>'FS-AD Daily '!G26</f>
        <v>0</v>
      </c>
      <c r="K22" s="70">
        <f>'FS-AD Daily '!H26</f>
        <v>0</v>
      </c>
      <c r="L22" s="70">
        <f>'FS-AD Daily '!I26</f>
        <v>0</v>
      </c>
      <c r="M22" s="70">
        <f>'FS-AD Daily '!J26</f>
        <v>0</v>
      </c>
      <c r="N22" s="70">
        <f>'FS-AD Daily '!T26</f>
        <v>0</v>
      </c>
      <c r="O22" s="70">
        <f>'FS-AD Daily '!R26</f>
        <v>0</v>
      </c>
      <c r="P22" s="70">
        <f>'FS-AD Daily '!Z26</f>
        <v>0</v>
      </c>
      <c r="Q22" s="70">
        <f>'FS-AD Daily '!V26</f>
        <v>0</v>
      </c>
      <c r="R22" s="70">
        <f>'FS-AD Daily '!W26</f>
        <v>0</v>
      </c>
      <c r="S22" s="70">
        <f t="shared" si="0"/>
        <v>0</v>
      </c>
      <c r="T22" s="70">
        <f>'FS-AD Daily '!AD26*3.516</f>
        <v>0</v>
      </c>
      <c r="U22" s="70">
        <f>('FS-AD Daily '!AF26)*1000</f>
        <v>0</v>
      </c>
      <c r="V22" s="70">
        <f>('FS-AD Daily '!AG26)*1000</f>
        <v>0</v>
      </c>
      <c r="W22" s="70">
        <f>'FS-AD Daily '!AH26*1000</f>
        <v>0</v>
      </c>
      <c r="X22" s="70">
        <f>('FS-AD Daily '!AK26)*1000</f>
        <v>0</v>
      </c>
      <c r="Y22" s="70">
        <f>'FS-AD Daily '!AN26</f>
        <v>0</v>
      </c>
      <c r="Z22" s="103"/>
    </row>
    <row r="23" spans="1:26" x14ac:dyDescent="0.25">
      <c r="A23" s="102" t="s">
        <v>80</v>
      </c>
      <c r="B23" s="68">
        <f t="shared" si="1"/>
        <v>22</v>
      </c>
      <c r="C23" s="69">
        <v>5</v>
      </c>
      <c r="D23" s="68">
        <v>2022</v>
      </c>
      <c r="E23" s="70">
        <f>'FS-AD Daily '!B27</f>
        <v>0</v>
      </c>
      <c r="F23" s="70">
        <f>'FS-AD Daily '!C27</f>
        <v>0</v>
      </c>
      <c r="G23" s="70">
        <f>'FS-AD Daily '!D27</f>
        <v>0</v>
      </c>
      <c r="H23" s="70">
        <f>'FS-AD Daily '!E27</f>
        <v>0</v>
      </c>
      <c r="I23" s="70">
        <f>'FS-AD Daily '!F27</f>
        <v>0</v>
      </c>
      <c r="J23" s="70">
        <f>'FS-AD Daily '!G27</f>
        <v>0</v>
      </c>
      <c r="K23" s="70">
        <f>'FS-AD Daily '!H27</f>
        <v>0</v>
      </c>
      <c r="L23" s="70">
        <f>'FS-AD Daily '!I27</f>
        <v>0</v>
      </c>
      <c r="M23" s="70">
        <f>'FS-AD Daily '!J27</f>
        <v>0</v>
      </c>
      <c r="N23" s="70">
        <f>'FS-AD Daily '!T27</f>
        <v>0</v>
      </c>
      <c r="O23" s="70">
        <f>'FS-AD Daily '!R27</f>
        <v>0</v>
      </c>
      <c r="P23" s="70">
        <f>'FS-AD Daily '!Z27</f>
        <v>0</v>
      </c>
      <c r="Q23" s="70">
        <f>'FS-AD Daily '!V27</f>
        <v>0</v>
      </c>
      <c r="R23" s="70">
        <f>'FS-AD Daily '!W27</f>
        <v>0</v>
      </c>
      <c r="S23" s="70">
        <f t="shared" si="0"/>
        <v>0</v>
      </c>
      <c r="T23" s="70">
        <f>'FS-AD Daily '!AD27*3.516</f>
        <v>0</v>
      </c>
      <c r="U23" s="70">
        <f>('FS-AD Daily '!AF27)*1000</f>
        <v>0</v>
      </c>
      <c r="V23" s="70">
        <f>('FS-AD Daily '!AG27)*1000</f>
        <v>0</v>
      </c>
      <c r="W23" s="70">
        <f>'FS-AD Daily '!AH27*1000</f>
        <v>0</v>
      </c>
      <c r="X23" s="70">
        <f>('FS-AD Daily '!AK27)*1000</f>
        <v>0</v>
      </c>
      <c r="Y23" s="70">
        <f>'FS-AD Daily '!AN27</f>
        <v>0</v>
      </c>
      <c r="Z23" s="103"/>
    </row>
    <row r="24" spans="1:26" x14ac:dyDescent="0.25">
      <c r="A24" s="102" t="s">
        <v>80</v>
      </c>
      <c r="B24" s="68">
        <f t="shared" si="1"/>
        <v>23</v>
      </c>
      <c r="C24" s="69">
        <v>5</v>
      </c>
      <c r="D24" s="68">
        <v>2022</v>
      </c>
      <c r="E24" s="70">
        <f>'FS-AD Daily '!B28</f>
        <v>0</v>
      </c>
      <c r="F24" s="70">
        <f>'FS-AD Daily '!C28</f>
        <v>0</v>
      </c>
      <c r="G24" s="70">
        <f>'FS-AD Daily '!D28</f>
        <v>0</v>
      </c>
      <c r="H24" s="70">
        <f>'FS-AD Daily '!E28</f>
        <v>0</v>
      </c>
      <c r="I24" s="70">
        <f>'FS-AD Daily '!F28</f>
        <v>0</v>
      </c>
      <c r="J24" s="70">
        <f>'FS-AD Daily '!G28</f>
        <v>0</v>
      </c>
      <c r="K24" s="70">
        <f>'FS-AD Daily '!H28</f>
        <v>0</v>
      </c>
      <c r="L24" s="70">
        <f>'FS-AD Daily '!I28</f>
        <v>0</v>
      </c>
      <c r="M24" s="70">
        <f>'FS-AD Daily '!J28</f>
        <v>0</v>
      </c>
      <c r="N24" s="70">
        <f>'FS-AD Daily '!T28</f>
        <v>0</v>
      </c>
      <c r="O24" s="70">
        <f>'FS-AD Daily '!R28</f>
        <v>0</v>
      </c>
      <c r="P24" s="70">
        <f>'FS-AD Daily '!Z28</f>
        <v>0</v>
      </c>
      <c r="Q24" s="70">
        <f>'FS-AD Daily '!V28</f>
        <v>0</v>
      </c>
      <c r="R24" s="70">
        <f>'FS-AD Daily '!W28</f>
        <v>0</v>
      </c>
      <c r="S24" s="70">
        <f t="shared" si="0"/>
        <v>0</v>
      </c>
      <c r="T24" s="70">
        <f>'FS-AD Daily '!AD28*3.516</f>
        <v>0</v>
      </c>
      <c r="U24" s="70">
        <f>('FS-AD Daily '!AF28)*1000</f>
        <v>0</v>
      </c>
      <c r="V24" s="70">
        <f>('FS-AD Daily '!AG28)*1000</f>
        <v>0</v>
      </c>
      <c r="W24" s="70">
        <f>'FS-AD Daily '!AH28*1000</f>
        <v>0</v>
      </c>
      <c r="X24" s="70">
        <f>('FS-AD Daily '!AK28)*1000</f>
        <v>0</v>
      </c>
      <c r="Y24" s="70">
        <f>'FS-AD Daily '!AN28</f>
        <v>0</v>
      </c>
      <c r="Z24" s="103"/>
    </row>
    <row r="25" spans="1:26" x14ac:dyDescent="0.25">
      <c r="A25" s="102" t="s">
        <v>80</v>
      </c>
      <c r="B25" s="68">
        <f t="shared" si="1"/>
        <v>24</v>
      </c>
      <c r="C25" s="69">
        <v>5</v>
      </c>
      <c r="D25" s="68">
        <v>2022</v>
      </c>
      <c r="E25" s="70">
        <f>'FS-AD Daily '!B29</f>
        <v>0</v>
      </c>
      <c r="F25" s="70">
        <f>'FS-AD Daily '!C29</f>
        <v>0</v>
      </c>
      <c r="G25" s="70">
        <f>'FS-AD Daily '!D29</f>
        <v>0</v>
      </c>
      <c r="H25" s="70">
        <f>'FS-AD Daily '!E29</f>
        <v>0</v>
      </c>
      <c r="I25" s="70">
        <f>'FS-AD Daily '!F29</f>
        <v>0</v>
      </c>
      <c r="J25" s="70">
        <f>'FS-AD Daily '!G29</f>
        <v>0</v>
      </c>
      <c r="K25" s="70">
        <f>'FS-AD Daily '!H29</f>
        <v>0</v>
      </c>
      <c r="L25" s="70">
        <f>'FS-AD Daily '!I29</f>
        <v>0</v>
      </c>
      <c r="M25" s="70">
        <f>'FS-AD Daily '!J29</f>
        <v>0</v>
      </c>
      <c r="N25" s="70">
        <f>'FS-AD Daily '!T29</f>
        <v>0</v>
      </c>
      <c r="O25" s="70">
        <f>'FS-AD Daily '!R29</f>
        <v>0</v>
      </c>
      <c r="P25" s="70">
        <f>'FS-AD Daily '!Z29</f>
        <v>0</v>
      </c>
      <c r="Q25" s="70">
        <f>'FS-AD Daily '!V29</f>
        <v>0</v>
      </c>
      <c r="R25" s="70">
        <f>'FS-AD Daily '!W29</f>
        <v>0</v>
      </c>
      <c r="S25" s="70">
        <f t="shared" si="0"/>
        <v>0</v>
      </c>
      <c r="T25" s="70">
        <f>'FS-AD Daily '!AD29*3.516</f>
        <v>0</v>
      </c>
      <c r="U25" s="70">
        <f>('FS-AD Daily '!AF29)*1000</f>
        <v>0</v>
      </c>
      <c r="V25" s="70">
        <f>('FS-AD Daily '!AG29)*1000</f>
        <v>0</v>
      </c>
      <c r="W25" s="70">
        <f>'FS-AD Daily '!AH29*1000</f>
        <v>0</v>
      </c>
      <c r="X25" s="70">
        <f>('FS-AD Daily '!AK29)*1000</f>
        <v>0</v>
      </c>
      <c r="Y25" s="70">
        <f>'FS-AD Daily '!AN29</f>
        <v>0</v>
      </c>
      <c r="Z25" s="103"/>
    </row>
    <row r="26" spans="1:26" x14ac:dyDescent="0.25">
      <c r="A26" s="102" t="s">
        <v>80</v>
      </c>
      <c r="B26" s="68">
        <f>B25+1</f>
        <v>25</v>
      </c>
      <c r="C26" s="69">
        <v>5</v>
      </c>
      <c r="D26" s="68">
        <v>2022</v>
      </c>
      <c r="E26" s="70">
        <f>'FS-AD Daily '!B30</f>
        <v>0</v>
      </c>
      <c r="F26" s="70">
        <f>'FS-AD Daily '!C30</f>
        <v>0</v>
      </c>
      <c r="G26" s="70">
        <f>'FS-AD Daily '!D30</f>
        <v>0</v>
      </c>
      <c r="H26" s="70">
        <f>'FS-AD Daily '!E30</f>
        <v>0</v>
      </c>
      <c r="I26" s="70">
        <f>'FS-AD Daily '!F30</f>
        <v>0</v>
      </c>
      <c r="J26" s="70">
        <f>'FS-AD Daily '!G30</f>
        <v>0</v>
      </c>
      <c r="K26" s="70">
        <f>'FS-AD Daily '!H30</f>
        <v>0</v>
      </c>
      <c r="L26" s="70">
        <f>'FS-AD Daily '!I30</f>
        <v>0</v>
      </c>
      <c r="M26" s="70">
        <f>'FS-AD Daily '!J30</f>
        <v>0</v>
      </c>
      <c r="N26" s="70">
        <f>'FS-AD Daily '!T30</f>
        <v>0</v>
      </c>
      <c r="O26" s="70">
        <f>'FS-AD Daily '!R30</f>
        <v>0</v>
      </c>
      <c r="P26" s="70">
        <f>'FS-AD Daily '!Z30</f>
        <v>0</v>
      </c>
      <c r="Q26" s="70">
        <f>'FS-AD Daily '!V30</f>
        <v>0</v>
      </c>
      <c r="R26" s="70">
        <f>'FS-AD Daily '!W30</f>
        <v>0</v>
      </c>
      <c r="S26" s="70">
        <f t="shared" si="0"/>
        <v>0</v>
      </c>
      <c r="T26" s="70">
        <f>'FS-AD Daily '!AD30*3.516</f>
        <v>0</v>
      </c>
      <c r="U26" s="70">
        <f>('FS-AD Daily '!AF30)*1000</f>
        <v>0</v>
      </c>
      <c r="V26" s="70">
        <f>('FS-AD Daily '!AG30)*1000</f>
        <v>0</v>
      </c>
      <c r="W26" s="70">
        <f>'FS-AD Daily '!AH30*1000</f>
        <v>0</v>
      </c>
      <c r="X26" s="70">
        <f>('FS-AD Daily '!AK30)*1000</f>
        <v>0</v>
      </c>
      <c r="Y26" s="70">
        <f>'FS-AD Daily '!AN30</f>
        <v>0</v>
      </c>
      <c r="Z26" s="103"/>
    </row>
    <row r="27" spans="1:26" x14ac:dyDescent="0.25">
      <c r="A27" s="102" t="s">
        <v>80</v>
      </c>
      <c r="B27" s="68">
        <f t="shared" si="1"/>
        <v>26</v>
      </c>
      <c r="C27" s="69">
        <v>5</v>
      </c>
      <c r="D27" s="68">
        <v>2022</v>
      </c>
      <c r="E27" s="70">
        <f>'FS-AD Daily '!B31</f>
        <v>0</v>
      </c>
      <c r="F27" s="70">
        <f>'FS-AD Daily '!C31</f>
        <v>0</v>
      </c>
      <c r="G27" s="70">
        <f>'FS-AD Daily '!D31</f>
        <v>0</v>
      </c>
      <c r="H27" s="70">
        <f>'FS-AD Daily '!E31</f>
        <v>0</v>
      </c>
      <c r="I27" s="70">
        <f>'FS-AD Daily '!F31</f>
        <v>0</v>
      </c>
      <c r="J27" s="70">
        <f>'FS-AD Daily '!G31</f>
        <v>0</v>
      </c>
      <c r="K27" s="70">
        <f>'FS-AD Daily '!H31</f>
        <v>0</v>
      </c>
      <c r="L27" s="70">
        <f>'FS-AD Daily '!I31</f>
        <v>0</v>
      </c>
      <c r="M27" s="70">
        <f>'FS-AD Daily '!J31</f>
        <v>0</v>
      </c>
      <c r="N27" s="70">
        <f>'FS-AD Daily '!T31</f>
        <v>0</v>
      </c>
      <c r="O27" s="70">
        <f>'FS-AD Daily '!R31</f>
        <v>0</v>
      </c>
      <c r="P27" s="70">
        <f>'FS-AD Daily '!Z31</f>
        <v>0</v>
      </c>
      <c r="Q27" s="70">
        <f>'FS-AD Daily '!V31</f>
        <v>0</v>
      </c>
      <c r="R27" s="70">
        <f>'FS-AD Daily '!W31</f>
        <v>0</v>
      </c>
      <c r="S27" s="70">
        <f t="shared" si="0"/>
        <v>0</v>
      </c>
      <c r="T27" s="70">
        <f>'FS-AD Daily '!AD31*3.516</f>
        <v>0</v>
      </c>
      <c r="U27" s="70">
        <f>('FS-AD Daily '!AF31)*1000</f>
        <v>0</v>
      </c>
      <c r="V27" s="70">
        <f>('FS-AD Daily '!AG31)*1000</f>
        <v>0</v>
      </c>
      <c r="W27" s="70">
        <f>'FS-AD Daily '!AH31*1000</f>
        <v>0</v>
      </c>
      <c r="X27" s="70">
        <f>('FS-AD Daily '!AK31)*1000</f>
        <v>0</v>
      </c>
      <c r="Y27" s="70">
        <f>'FS-AD Daily '!AN31</f>
        <v>0</v>
      </c>
      <c r="Z27" s="103"/>
    </row>
    <row r="28" spans="1:26" x14ac:dyDescent="0.25">
      <c r="A28" s="102" t="s">
        <v>80</v>
      </c>
      <c r="B28" s="68">
        <f t="shared" si="1"/>
        <v>27</v>
      </c>
      <c r="C28" s="69">
        <v>5</v>
      </c>
      <c r="D28" s="68">
        <v>2022</v>
      </c>
      <c r="E28" s="70">
        <f>'FS-AD Daily '!B32</f>
        <v>0</v>
      </c>
      <c r="F28" s="70">
        <f>'FS-AD Daily '!C32</f>
        <v>0</v>
      </c>
      <c r="G28" s="70">
        <f>'FS-AD Daily '!D32</f>
        <v>0</v>
      </c>
      <c r="H28" s="70">
        <f>'FS-AD Daily '!E32</f>
        <v>0</v>
      </c>
      <c r="I28" s="70">
        <f>'FS-AD Daily '!F32</f>
        <v>0</v>
      </c>
      <c r="J28" s="70">
        <f>'FS-AD Daily '!G32</f>
        <v>0</v>
      </c>
      <c r="K28" s="70">
        <f>'FS-AD Daily '!H32</f>
        <v>0</v>
      </c>
      <c r="L28" s="70">
        <f>'FS-AD Daily '!I32</f>
        <v>0</v>
      </c>
      <c r="M28" s="70">
        <f>'FS-AD Daily '!J32</f>
        <v>0</v>
      </c>
      <c r="N28" s="70">
        <f>'FS-AD Daily '!T32</f>
        <v>0</v>
      </c>
      <c r="O28" s="70">
        <f>'FS-AD Daily '!R32</f>
        <v>0</v>
      </c>
      <c r="P28" s="70">
        <f>'FS-AD Daily '!Z32</f>
        <v>0</v>
      </c>
      <c r="Q28" s="70">
        <f>'FS-AD Daily '!V32</f>
        <v>0</v>
      </c>
      <c r="R28" s="70">
        <f>'FS-AD Daily '!W32</f>
        <v>0</v>
      </c>
      <c r="S28" s="70">
        <f t="shared" si="0"/>
        <v>0</v>
      </c>
      <c r="T28" s="70">
        <f>'FS-AD Daily '!AD32*3.516</f>
        <v>0</v>
      </c>
      <c r="U28" s="70">
        <f>('FS-AD Daily '!AF32)*1000</f>
        <v>0</v>
      </c>
      <c r="V28" s="70">
        <f>('FS-AD Daily '!AG32)*1000</f>
        <v>0</v>
      </c>
      <c r="W28" s="70">
        <f>'FS-AD Daily '!AH32*1000</f>
        <v>0</v>
      </c>
      <c r="X28" s="70">
        <f>('FS-AD Daily '!AK32)*1000</f>
        <v>0</v>
      </c>
      <c r="Y28" s="70">
        <f>'FS-AD Daily '!AN32</f>
        <v>0</v>
      </c>
      <c r="Z28" s="103"/>
    </row>
    <row r="29" spans="1:26" x14ac:dyDescent="0.25">
      <c r="A29" s="102" t="s">
        <v>80</v>
      </c>
      <c r="B29" s="68">
        <f t="shared" si="1"/>
        <v>28</v>
      </c>
      <c r="C29" s="69">
        <v>5</v>
      </c>
      <c r="D29" s="68">
        <v>2022</v>
      </c>
      <c r="E29" s="70">
        <f>'FS-AD Daily '!B33</f>
        <v>0</v>
      </c>
      <c r="F29" s="70">
        <f>'FS-AD Daily '!C33</f>
        <v>0</v>
      </c>
      <c r="G29" s="70">
        <f>'FS-AD Daily '!D33</f>
        <v>0</v>
      </c>
      <c r="H29" s="70">
        <f>'FS-AD Daily '!E33</f>
        <v>0</v>
      </c>
      <c r="I29" s="70">
        <f>'FS-AD Daily '!F33</f>
        <v>0</v>
      </c>
      <c r="J29" s="70">
        <f>'FS-AD Daily '!G33</f>
        <v>0</v>
      </c>
      <c r="K29" s="70">
        <f>'FS-AD Daily '!H33</f>
        <v>0</v>
      </c>
      <c r="L29" s="70">
        <f>'FS-AD Daily '!I33</f>
        <v>0</v>
      </c>
      <c r="M29" s="70">
        <f>'FS-AD Daily '!J33</f>
        <v>0</v>
      </c>
      <c r="N29" s="70">
        <f>'FS-AD Daily '!T33</f>
        <v>0</v>
      </c>
      <c r="O29" s="70">
        <f>'FS-AD Daily '!R33</f>
        <v>0</v>
      </c>
      <c r="P29" s="70">
        <f>'FS-AD Daily '!Z33</f>
        <v>0</v>
      </c>
      <c r="Q29" s="70">
        <f>'FS-AD Daily '!V33</f>
        <v>0</v>
      </c>
      <c r="R29" s="70">
        <f>'FS-AD Daily '!W33</f>
        <v>0</v>
      </c>
      <c r="S29" s="70">
        <f t="shared" si="0"/>
        <v>0</v>
      </c>
      <c r="T29" s="70">
        <f>'FS-AD Daily '!AD33*3.516</f>
        <v>0</v>
      </c>
      <c r="U29" s="70">
        <f>('FS-AD Daily '!AF33)*1000</f>
        <v>0</v>
      </c>
      <c r="V29" s="70">
        <f>('FS-AD Daily '!AG33)*1000</f>
        <v>0</v>
      </c>
      <c r="W29" s="70">
        <f>'FS-AD Daily '!AH33*1000</f>
        <v>0</v>
      </c>
      <c r="X29" s="70">
        <f>('FS-AD Daily '!AK33)*1000</f>
        <v>0</v>
      </c>
      <c r="Y29" s="70">
        <f>'FS-AD Daily '!AN33</f>
        <v>0</v>
      </c>
      <c r="Z29" s="103"/>
    </row>
    <row r="30" spans="1:26" x14ac:dyDescent="0.25">
      <c r="A30" s="102" t="s">
        <v>80</v>
      </c>
      <c r="B30" s="68">
        <f t="shared" si="1"/>
        <v>29</v>
      </c>
      <c r="C30" s="69">
        <v>5</v>
      </c>
      <c r="D30" s="68">
        <v>2022</v>
      </c>
      <c r="E30" s="70">
        <f>'FS-AD Daily '!B34</f>
        <v>0</v>
      </c>
      <c r="F30" s="70">
        <f>'FS-AD Daily '!C34</f>
        <v>0</v>
      </c>
      <c r="G30" s="70">
        <f>'FS-AD Daily '!D34</f>
        <v>0</v>
      </c>
      <c r="H30" s="70">
        <f>'FS-AD Daily '!E34</f>
        <v>0</v>
      </c>
      <c r="I30" s="70">
        <f>'FS-AD Daily '!F34</f>
        <v>0</v>
      </c>
      <c r="J30" s="70">
        <f>'FS-AD Daily '!G34</f>
        <v>0</v>
      </c>
      <c r="K30" s="70">
        <f>'FS-AD Daily '!H34</f>
        <v>0</v>
      </c>
      <c r="L30" s="70">
        <f>'FS-AD Daily '!I34</f>
        <v>0</v>
      </c>
      <c r="M30" s="70">
        <f>'FS-AD Daily '!J34</f>
        <v>0</v>
      </c>
      <c r="N30" s="70">
        <f>'FS-AD Daily '!T34</f>
        <v>0</v>
      </c>
      <c r="O30" s="70">
        <f>'FS-AD Daily '!R34</f>
        <v>0</v>
      </c>
      <c r="P30" s="70">
        <f>'FS-AD Daily '!Z34</f>
        <v>0</v>
      </c>
      <c r="Q30" s="70">
        <f>'FS-AD Daily '!V34</f>
        <v>0</v>
      </c>
      <c r="R30" s="70">
        <f>'FS-AD Daily '!W34</f>
        <v>0</v>
      </c>
      <c r="S30" s="70">
        <f t="shared" si="0"/>
        <v>0</v>
      </c>
      <c r="T30" s="70">
        <f>'FS-AD Daily '!AD34*3.516</f>
        <v>0</v>
      </c>
      <c r="U30" s="70">
        <f>('FS-AD Daily '!AF34)*1000</f>
        <v>0</v>
      </c>
      <c r="V30" s="70">
        <f>('FS-AD Daily '!AG34)*1000</f>
        <v>0</v>
      </c>
      <c r="W30" s="70">
        <f>'FS-AD Daily '!AH34*1000</f>
        <v>0</v>
      </c>
      <c r="X30" s="70">
        <f>('FS-AD Daily '!AK34)*1000</f>
        <v>0</v>
      </c>
      <c r="Y30" s="70">
        <f>'FS-AD Daily '!AN34</f>
        <v>0</v>
      </c>
      <c r="Z30" s="103"/>
    </row>
    <row r="31" spans="1:26" x14ac:dyDescent="0.25">
      <c r="A31" s="102" t="s">
        <v>80</v>
      </c>
      <c r="B31" s="68">
        <f t="shared" si="1"/>
        <v>30</v>
      </c>
      <c r="C31" s="69">
        <v>5</v>
      </c>
      <c r="D31" s="68">
        <v>2022</v>
      </c>
      <c r="E31" s="70">
        <f>'FS-AD Daily '!B35</f>
        <v>0</v>
      </c>
      <c r="F31" s="70">
        <f>'FS-AD Daily '!C35</f>
        <v>0</v>
      </c>
      <c r="G31" s="70">
        <f>'FS-AD Daily '!D35</f>
        <v>0</v>
      </c>
      <c r="H31" s="70">
        <f>'FS-AD Daily '!E35</f>
        <v>0</v>
      </c>
      <c r="I31" s="70">
        <f>'FS-AD Daily '!F35</f>
        <v>0</v>
      </c>
      <c r="J31" s="70">
        <f>'FS-AD Daily '!G35</f>
        <v>0</v>
      </c>
      <c r="K31" s="70">
        <f>'FS-AD Daily '!H35</f>
        <v>0</v>
      </c>
      <c r="L31" s="70">
        <f>'FS-AD Daily '!I35</f>
        <v>0</v>
      </c>
      <c r="M31" s="70">
        <f>'FS-AD Daily '!J35</f>
        <v>0</v>
      </c>
      <c r="N31" s="70">
        <f>'FS-AD Daily '!T35</f>
        <v>0</v>
      </c>
      <c r="O31" s="70">
        <f>'FS-AD Daily '!R35</f>
        <v>0</v>
      </c>
      <c r="P31" s="70">
        <f>'FS-AD Daily '!Z35</f>
        <v>0</v>
      </c>
      <c r="Q31" s="70">
        <f>'FS-AD Daily '!V35</f>
        <v>0</v>
      </c>
      <c r="R31" s="70">
        <f>'FS-AD Daily '!W35</f>
        <v>0</v>
      </c>
      <c r="S31" s="70">
        <f t="shared" ref="S31:S32" si="2">P31-Q31-R31</f>
        <v>0</v>
      </c>
      <c r="T31" s="70">
        <f>'FS-AD Daily '!AD35*3.516</f>
        <v>0</v>
      </c>
      <c r="U31" s="70">
        <f>('FS-AD Daily '!AF35)*1000</f>
        <v>0</v>
      </c>
      <c r="V31" s="70">
        <f>('FS-AD Daily '!AG35)*1000</f>
        <v>0</v>
      </c>
      <c r="W31" s="70">
        <f>'FS-AD Daily '!AH35*1000</f>
        <v>0</v>
      </c>
      <c r="X31" s="70">
        <f>('FS-AD Daily '!AK35)*1000</f>
        <v>0</v>
      </c>
      <c r="Y31" s="70">
        <f>'FS-AD Daily '!AN35</f>
        <v>0</v>
      </c>
      <c r="Z31" s="120"/>
    </row>
    <row r="32" spans="1:26" ht="15.75" thickBot="1" x14ac:dyDescent="0.3">
      <c r="A32" s="102" t="s">
        <v>80</v>
      </c>
      <c r="B32" s="68">
        <f t="shared" si="1"/>
        <v>31</v>
      </c>
      <c r="C32" s="69">
        <v>5</v>
      </c>
      <c r="D32" s="68">
        <v>2022</v>
      </c>
      <c r="E32" s="70">
        <f>'FS-AD Daily '!B36</f>
        <v>0</v>
      </c>
      <c r="F32" s="70">
        <f>'FS-AD Daily '!C36</f>
        <v>0</v>
      </c>
      <c r="G32" s="70">
        <f>'FS-AD Daily '!D36</f>
        <v>0</v>
      </c>
      <c r="H32" s="70">
        <f>'FS-AD Daily '!E36</f>
        <v>0</v>
      </c>
      <c r="I32" s="70">
        <f>'FS-AD Daily '!F36</f>
        <v>0</v>
      </c>
      <c r="J32" s="70">
        <f>'FS-AD Daily '!G36</f>
        <v>0</v>
      </c>
      <c r="K32" s="70">
        <f>'FS-AD Daily '!H36</f>
        <v>0</v>
      </c>
      <c r="L32" s="70">
        <f>'FS-AD Daily '!I36</f>
        <v>0</v>
      </c>
      <c r="M32" s="70">
        <f>'FS-AD Daily '!J36</f>
        <v>0</v>
      </c>
      <c r="N32" s="70">
        <f>'FS-AD Daily '!T36</f>
        <v>0</v>
      </c>
      <c r="O32" s="70">
        <f>'FS-AD Daily '!R36</f>
        <v>0</v>
      </c>
      <c r="P32" s="70">
        <f>'FS-AD Daily '!Z36</f>
        <v>0</v>
      </c>
      <c r="Q32" s="70">
        <f>'FS-AD Daily '!V36</f>
        <v>0</v>
      </c>
      <c r="R32" s="70">
        <f>'FS-AD Daily '!W36</f>
        <v>0</v>
      </c>
      <c r="S32" s="70">
        <f t="shared" si="2"/>
        <v>0</v>
      </c>
      <c r="T32" s="70">
        <f>'FS-AD Daily '!AD36*3.516</f>
        <v>0</v>
      </c>
      <c r="U32" s="70">
        <f>('FS-AD Daily '!AF36)*1000</f>
        <v>0</v>
      </c>
      <c r="V32" s="70">
        <f>('FS-AD Daily '!AG36)*1000</f>
        <v>0</v>
      </c>
      <c r="W32" s="70">
        <f>'FS-AD Daily '!AH36*1000</f>
        <v>0</v>
      </c>
      <c r="X32" s="70">
        <f>('FS-AD Daily '!AK36)*1000</f>
        <v>0</v>
      </c>
      <c r="Y32" s="70">
        <f>'FS-AD Daily '!AN36</f>
        <v>0</v>
      </c>
      <c r="Z32" s="104"/>
    </row>
    <row r="33" spans="9:26" x14ac:dyDescent="0.25">
      <c r="I33" s="4">
        <f t="shared" ref="I33:W33" si="3">SUM(I2:I32)</f>
        <v>77221</v>
      </c>
      <c r="J33" s="4">
        <f t="shared" si="3"/>
        <v>36865</v>
      </c>
      <c r="K33" s="4">
        <f t="shared" si="3"/>
        <v>119371</v>
      </c>
      <c r="L33" s="4">
        <f t="shared" si="3"/>
        <v>30254</v>
      </c>
      <c r="M33" s="4">
        <f t="shared" si="3"/>
        <v>91781</v>
      </c>
      <c r="N33" s="4">
        <f t="shared" si="3"/>
        <v>2584.5069999999978</v>
      </c>
      <c r="O33" s="4">
        <f t="shared" si="3"/>
        <v>1028.4910000000027</v>
      </c>
      <c r="P33" s="4">
        <f t="shared" si="3"/>
        <v>9736</v>
      </c>
      <c r="Q33" s="4">
        <f t="shared" si="3"/>
        <v>2743.0999999999767</v>
      </c>
      <c r="R33" s="4">
        <f t="shared" si="3"/>
        <v>2410.1600000000035</v>
      </c>
      <c r="S33" s="4">
        <f t="shared" si="3"/>
        <v>4582.7400000000198</v>
      </c>
      <c r="T33" s="4">
        <f t="shared" si="3"/>
        <v>1061505.0120000001</v>
      </c>
      <c r="U33" s="4">
        <f t="shared" si="3"/>
        <v>496300.00000000291</v>
      </c>
      <c r="V33" s="4">
        <f t="shared" si="3"/>
        <v>0</v>
      </c>
      <c r="W33" s="4">
        <f t="shared" si="3"/>
        <v>173600.00000000218</v>
      </c>
      <c r="X33" s="4">
        <f>'FS-AD Daily '!U38</f>
        <v>12199.165439999961</v>
      </c>
      <c r="Y33" s="4">
        <f>SUM(Y2:Y32)</f>
        <v>1206</v>
      </c>
      <c r="Z33" s="4">
        <f>SUM(Z2:Z32)</f>
        <v>1952</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topLeftCell="X1" zoomScale="85" zoomScaleNormal="85" workbookViewId="0">
      <pane ySplit="5" topLeftCell="A6" activePane="bottomLeft" state="frozen"/>
      <selection pane="bottomLeft" activeCell="AQ12" sqref="AQ12"/>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8" t="s">
        <v>14</v>
      </c>
      <c r="C1" s="128"/>
      <c r="D1" s="128"/>
      <c r="E1" s="128"/>
      <c r="F1" s="128"/>
      <c r="G1" s="128"/>
      <c r="H1" s="128"/>
      <c r="I1" s="128"/>
      <c r="J1" s="128"/>
      <c r="K1" s="25" t="s">
        <v>15</v>
      </c>
      <c r="L1" s="26" t="s">
        <v>16</v>
      </c>
      <c r="M1" s="27" t="s">
        <v>17</v>
      </c>
      <c r="N1" s="28" t="s">
        <v>18</v>
      </c>
      <c r="O1" s="28" t="s">
        <v>19</v>
      </c>
      <c r="P1" s="64" t="s">
        <v>20</v>
      </c>
      <c r="Q1" s="30" t="s">
        <v>21</v>
      </c>
      <c r="R1" s="31" t="s">
        <v>22</v>
      </c>
      <c r="S1" s="29" t="s">
        <v>23</v>
      </c>
      <c r="T1" s="32" t="s">
        <v>24</v>
      </c>
      <c r="U1" s="33" t="s">
        <v>25</v>
      </c>
      <c r="V1" s="32" t="s">
        <v>26</v>
      </c>
      <c r="W1" s="32" t="s">
        <v>27</v>
      </c>
      <c r="X1" s="129" t="s">
        <v>28</v>
      </c>
      <c r="Y1" s="129"/>
      <c r="Z1" s="34" t="s">
        <v>29</v>
      </c>
      <c r="AA1" s="35" t="s">
        <v>101</v>
      </c>
      <c r="AB1" s="36" t="s">
        <v>30</v>
      </c>
      <c r="AC1" s="36" t="s">
        <v>31</v>
      </c>
      <c r="AD1" s="25" t="s">
        <v>32</v>
      </c>
      <c r="AE1" s="33" t="s">
        <v>33</v>
      </c>
      <c r="AF1" s="25" t="s">
        <v>77</v>
      </c>
      <c r="AG1" s="25" t="s">
        <v>76</v>
      </c>
      <c r="AH1" s="25" t="s">
        <v>78</v>
      </c>
      <c r="AI1" s="45" t="s">
        <v>34</v>
      </c>
      <c r="AJ1" s="45" t="s">
        <v>35</v>
      </c>
      <c r="AK1" s="37" t="s">
        <v>36</v>
      </c>
      <c r="AL1" s="37" t="s">
        <v>37</v>
      </c>
      <c r="AM1" s="33" t="s">
        <v>33</v>
      </c>
      <c r="AN1" s="39" t="s">
        <v>79</v>
      </c>
      <c r="AO1" s="38" t="s">
        <v>38</v>
      </c>
      <c r="AQ1" s="6" t="s">
        <v>39</v>
      </c>
      <c r="AR1" s="6" t="s">
        <v>40</v>
      </c>
    </row>
    <row r="2" spans="1:44" ht="15" customHeight="1" x14ac:dyDescent="0.25">
      <c r="A2" s="21">
        <v>2022</v>
      </c>
      <c r="B2" s="22">
        <v>1</v>
      </c>
      <c r="C2" s="22">
        <v>2</v>
      </c>
      <c r="D2" s="22">
        <v>3</v>
      </c>
      <c r="E2" s="22">
        <v>4</v>
      </c>
      <c r="F2" s="22">
        <v>5</v>
      </c>
      <c r="G2" s="22">
        <v>6</v>
      </c>
      <c r="H2" s="22">
        <v>7</v>
      </c>
      <c r="I2" s="22">
        <v>8</v>
      </c>
      <c r="J2" s="22">
        <v>9</v>
      </c>
      <c r="K2" s="124" t="s">
        <v>41</v>
      </c>
      <c r="L2" s="123" t="s">
        <v>42</v>
      </c>
      <c r="M2" s="10"/>
      <c r="N2" s="10"/>
      <c r="O2" s="10"/>
      <c r="P2" s="10"/>
      <c r="Q2" s="10"/>
      <c r="R2" s="10"/>
      <c r="S2" s="132"/>
      <c r="T2" s="46"/>
      <c r="U2" s="126"/>
      <c r="V2" s="44"/>
      <c r="W2" s="44"/>
      <c r="X2" s="22">
        <v>1</v>
      </c>
      <c r="Y2" s="22">
        <v>2</v>
      </c>
      <c r="Z2" s="23"/>
      <c r="AA2" s="123" t="s">
        <v>100</v>
      </c>
      <c r="AB2" s="42"/>
      <c r="AC2" s="124" t="s">
        <v>43</v>
      </c>
      <c r="AD2" s="125"/>
      <c r="AE2" s="126" t="s">
        <v>102</v>
      </c>
      <c r="AF2" s="44"/>
      <c r="AG2" s="44"/>
      <c r="AH2" s="44"/>
      <c r="AI2" s="43"/>
      <c r="AJ2" s="43"/>
      <c r="AK2" s="43"/>
      <c r="AL2" s="43"/>
      <c r="AM2" s="126" t="s">
        <v>102</v>
      </c>
      <c r="AN2" s="127"/>
      <c r="AO2" s="122"/>
    </row>
    <row r="3" spans="1:44" ht="15" customHeight="1" x14ac:dyDescent="0.25">
      <c r="A3" s="9"/>
      <c r="B3" s="11" t="s">
        <v>44</v>
      </c>
      <c r="C3" s="11" t="s">
        <v>45</v>
      </c>
      <c r="D3" s="11" t="s">
        <v>46</v>
      </c>
      <c r="E3" s="11" t="s">
        <v>47</v>
      </c>
      <c r="F3" s="11" t="s">
        <v>48</v>
      </c>
      <c r="G3" s="11" t="s">
        <v>49</v>
      </c>
      <c r="H3" s="11" t="s">
        <v>50</v>
      </c>
      <c r="I3" s="11" t="s">
        <v>51</v>
      </c>
      <c r="J3" s="11" t="s">
        <v>52</v>
      </c>
      <c r="K3" s="130"/>
      <c r="L3" s="131"/>
      <c r="M3" s="10"/>
      <c r="N3" s="10"/>
      <c r="O3" s="10"/>
      <c r="P3" s="10"/>
      <c r="Q3" s="10"/>
      <c r="R3" s="10"/>
      <c r="S3" s="132"/>
      <c r="T3" s="46"/>
      <c r="U3" s="126"/>
      <c r="V3" s="44"/>
      <c r="W3" s="44"/>
      <c r="X3" s="11"/>
      <c r="Y3" s="11"/>
      <c r="Z3" s="12"/>
      <c r="AA3" s="123"/>
      <c r="AB3" s="42"/>
      <c r="AC3" s="124"/>
      <c r="AD3" s="125"/>
      <c r="AE3" s="126"/>
      <c r="AF3" s="44"/>
      <c r="AG3" s="44"/>
      <c r="AH3" s="44"/>
      <c r="AI3" s="13"/>
      <c r="AJ3" s="43"/>
      <c r="AK3" s="43"/>
      <c r="AL3" s="43"/>
      <c r="AM3" s="126"/>
      <c r="AN3" s="127"/>
      <c r="AO3" s="122"/>
    </row>
    <row r="4" spans="1:44" ht="30.75" thickBot="1" x14ac:dyDescent="0.3">
      <c r="A4" s="48"/>
      <c r="B4" s="49" t="s">
        <v>53</v>
      </c>
      <c r="C4" s="49" t="s">
        <v>54</v>
      </c>
      <c r="D4" s="49" t="s">
        <v>55</v>
      </c>
      <c r="E4" s="61" t="s">
        <v>56</v>
      </c>
      <c r="F4" s="49" t="s">
        <v>57</v>
      </c>
      <c r="G4" s="61" t="s">
        <v>58</v>
      </c>
      <c r="H4" s="61" t="s">
        <v>59</v>
      </c>
      <c r="I4" s="61" t="s">
        <v>60</v>
      </c>
      <c r="J4" s="61" t="s">
        <v>61</v>
      </c>
      <c r="K4" s="49"/>
      <c r="L4" s="50"/>
      <c r="M4" s="10"/>
      <c r="N4" s="10"/>
      <c r="O4" s="10"/>
      <c r="P4" s="10"/>
      <c r="Q4" s="10"/>
      <c r="R4" s="10"/>
      <c r="S4" s="132"/>
      <c r="T4" s="46"/>
      <c r="U4" s="126"/>
      <c r="V4" s="44"/>
      <c r="W4" s="44"/>
      <c r="X4" s="51"/>
      <c r="Y4" s="86">
        <v>1053266</v>
      </c>
      <c r="Z4" s="12"/>
      <c r="AA4" s="123"/>
      <c r="AB4" s="85">
        <v>12415790</v>
      </c>
      <c r="AC4" s="124"/>
      <c r="AD4" s="125"/>
      <c r="AE4" s="126"/>
      <c r="AF4" s="44"/>
      <c r="AG4" s="44"/>
      <c r="AH4" s="44"/>
      <c r="AI4" s="42">
        <v>53327</v>
      </c>
      <c r="AJ4" s="42"/>
      <c r="AK4" s="42"/>
      <c r="AL4" s="42"/>
      <c r="AM4" s="126"/>
      <c r="AN4" s="127"/>
      <c r="AO4" s="122"/>
      <c r="AP4" s="6">
        <v>0.33341500000000002</v>
      </c>
    </row>
    <row r="5" spans="1:44" ht="90.75" thickBot="1" x14ac:dyDescent="0.3">
      <c r="A5" s="52" t="s">
        <v>62</v>
      </c>
      <c r="B5" s="53"/>
      <c r="C5" s="53"/>
      <c r="D5" s="53"/>
      <c r="E5" s="65" t="s">
        <v>92</v>
      </c>
      <c r="F5" s="53"/>
      <c r="G5" s="66" t="s">
        <v>95</v>
      </c>
      <c r="H5" s="65" t="s">
        <v>96</v>
      </c>
      <c r="I5" s="65" t="s">
        <v>97</v>
      </c>
      <c r="J5" s="66"/>
      <c r="K5" s="54" t="s">
        <v>12</v>
      </c>
      <c r="L5" s="54" t="s">
        <v>12</v>
      </c>
      <c r="M5" s="54" t="s">
        <v>12</v>
      </c>
      <c r="N5" s="54" t="s">
        <v>12</v>
      </c>
      <c r="O5" s="54" t="s">
        <v>12</v>
      </c>
      <c r="P5" s="54" t="s">
        <v>12</v>
      </c>
      <c r="Q5" s="54" t="s">
        <v>12</v>
      </c>
      <c r="R5" s="54" t="s">
        <v>12</v>
      </c>
      <c r="S5" s="54" t="s">
        <v>12</v>
      </c>
      <c r="T5" s="54" t="s">
        <v>12</v>
      </c>
      <c r="U5" s="54" t="s">
        <v>12</v>
      </c>
      <c r="V5" s="54" t="s">
        <v>12</v>
      </c>
      <c r="W5" s="54" t="s">
        <v>12</v>
      </c>
      <c r="X5" s="55" t="s">
        <v>85</v>
      </c>
      <c r="Y5" s="53"/>
      <c r="Z5" s="53" t="s">
        <v>12</v>
      </c>
      <c r="AA5" s="54" t="e">
        <f>SUM(#REF!)</f>
        <v>#REF!</v>
      </c>
      <c r="AB5" s="53"/>
      <c r="AC5" s="53" t="s">
        <v>12</v>
      </c>
      <c r="AD5" s="53" t="s">
        <v>12</v>
      </c>
      <c r="AE5" s="56" t="e">
        <f>SUM(#REF!)</f>
        <v>#REF!</v>
      </c>
      <c r="AF5" s="56"/>
      <c r="AG5" s="56"/>
      <c r="AH5" s="56"/>
      <c r="AI5" s="53"/>
      <c r="AJ5" s="53"/>
      <c r="AK5" s="53" t="e">
        <f>SUM(#REF!)</f>
        <v>#REF!</v>
      </c>
      <c r="AL5" s="53"/>
      <c r="AM5" s="56"/>
      <c r="AN5" s="57"/>
      <c r="AO5" s="90" t="e">
        <f>SUM(#REF!)</f>
        <v>#REF!</v>
      </c>
    </row>
    <row r="6" spans="1:44" x14ac:dyDescent="0.25">
      <c r="A6" s="79">
        <v>44682</v>
      </c>
      <c r="B6" s="85">
        <f>14000609-13993483</f>
        <v>7126</v>
      </c>
      <c r="C6" s="85">
        <f>8978238-8973272</f>
        <v>4966</v>
      </c>
      <c r="D6" s="85">
        <f>1781245-1780313</f>
        <v>932</v>
      </c>
      <c r="E6" s="85">
        <f>13470550-13463394</f>
        <v>7156</v>
      </c>
      <c r="F6" s="85">
        <f>13260979-13255134</f>
        <v>5845</v>
      </c>
      <c r="G6" s="85">
        <f>9186443-9183859</f>
        <v>2584</v>
      </c>
      <c r="H6" s="85">
        <f>10154249-10145124</f>
        <v>9125</v>
      </c>
      <c r="I6" s="85">
        <f>5900084-5897814</f>
        <v>2270</v>
      </c>
      <c r="J6" s="85">
        <f>13629159-13622296</f>
        <v>6863</v>
      </c>
      <c r="K6" s="62">
        <f>SUM(B6:H6)</f>
        <v>37734</v>
      </c>
      <c r="L6" s="40">
        <f>K6*0.2</f>
        <v>7546.8</v>
      </c>
      <c r="M6" s="82">
        <f>28348.319-28174.7</f>
        <v>173.61899999999878</v>
      </c>
      <c r="N6" s="82">
        <f>4942.86-4940.731</f>
        <v>2.1289999999999054</v>
      </c>
      <c r="O6" s="82">
        <f>10492.728-10492.642</f>
        <v>8.5999999999330612E-2</v>
      </c>
      <c r="P6" s="81">
        <f>12049.09-11974.077</f>
        <v>75.013000000000829</v>
      </c>
      <c r="Q6" s="82">
        <f>28898.247-28879.729</f>
        <v>18.518000000000029</v>
      </c>
      <c r="R6" s="83">
        <f t="shared" ref="R6:R34" si="0">N6+O6+P6</f>
        <v>77.228000000000065</v>
      </c>
      <c r="S6" s="83">
        <f t="shared" ref="S6:S34" si="1">(N6+O6+P6)*7.84</f>
        <v>605.46752000000049</v>
      </c>
      <c r="T6" s="63">
        <f t="shared" ref="T6:T34" si="2">M6+Q6</f>
        <v>192.13699999999881</v>
      </c>
      <c r="U6" s="83">
        <f>T6*7.84</f>
        <v>1506.3540799999905</v>
      </c>
      <c r="V6" s="82">
        <f>416231-416045</f>
        <v>186</v>
      </c>
      <c r="W6" s="82">
        <f>160167-159979</f>
        <v>188</v>
      </c>
      <c r="X6" s="84" t="s">
        <v>63</v>
      </c>
      <c r="Y6" s="85">
        <v>1053975</v>
      </c>
      <c r="Z6" s="60">
        <f>IF((Y6-Y5&lt;0), "0",Y6-Y4)</f>
        <v>709</v>
      </c>
      <c r="AA6" s="89">
        <f>Z6*6.47</f>
        <v>4587.2299999999996</v>
      </c>
      <c r="AB6" s="86">
        <v>12438874</v>
      </c>
      <c r="AC6" s="74">
        <f>AB4</f>
        <v>12415790</v>
      </c>
      <c r="AD6" s="40">
        <f t="shared" ref="AD6:AD34" si="3">IF((AB6-AC6&lt;0), "0",AB6-AC6)</f>
        <v>23084</v>
      </c>
      <c r="AE6" s="83">
        <f>AD6*0.332195</f>
        <v>7668.3893800000005</v>
      </c>
      <c r="AF6" s="83">
        <f>98898.5-98858</f>
        <v>40.5</v>
      </c>
      <c r="AG6" s="83">
        <f>50692.5-50692.5</f>
        <v>0</v>
      </c>
      <c r="AH6" s="83">
        <f>31284.7-31270.1</f>
        <v>14.600000000002183</v>
      </c>
      <c r="AI6" s="74">
        <f>AI4</f>
        <v>53327</v>
      </c>
      <c r="AJ6" s="86">
        <v>53360.4</v>
      </c>
      <c r="AK6" s="58">
        <f>IF((AJ6-AI6)&lt;0, "0",AJ6-AI6)</f>
        <v>33.400000000001455</v>
      </c>
      <c r="AL6" s="119">
        <f t="shared" ref="AL6:AL34" si="4">AK6*(284.34513609)</f>
        <v>9497.1275454064125</v>
      </c>
      <c r="AM6" s="83">
        <f>AL6*0.332195</f>
        <v>3154.8982849462832</v>
      </c>
      <c r="AN6" s="100">
        <v>73</v>
      </c>
      <c r="AO6" s="76">
        <f t="shared" ref="AO6:AO36" si="5">L6+U6+AA6+AE6</f>
        <v>21308.773459999989</v>
      </c>
    </row>
    <row r="7" spans="1:44" x14ac:dyDescent="0.25">
      <c r="A7" s="78">
        <v>44683</v>
      </c>
      <c r="B7" s="85">
        <f>14006822-14000609</f>
        <v>6213</v>
      </c>
      <c r="C7" s="85">
        <f>8982542-8978238</f>
        <v>4304</v>
      </c>
      <c r="D7" s="85">
        <f>1782180-1781245</f>
        <v>935</v>
      </c>
      <c r="E7" s="85">
        <f>13477668-13470550</f>
        <v>7118</v>
      </c>
      <c r="F7" s="85">
        <f>13266935-13260979</f>
        <v>5956</v>
      </c>
      <c r="G7" s="85">
        <f>9189100-9186443</f>
        <v>2657</v>
      </c>
      <c r="H7" s="85">
        <f>10163079-10154249</f>
        <v>8830</v>
      </c>
      <c r="I7" s="85">
        <f>5902322-5900084</f>
        <v>2238</v>
      </c>
      <c r="J7" s="85">
        <f>13636001-13629159</f>
        <v>6842</v>
      </c>
      <c r="K7" s="85">
        <f>SUM(B7:H7)</f>
        <v>36013</v>
      </c>
      <c r="L7" s="14">
        <f>K7*0.2</f>
        <v>7202.6</v>
      </c>
      <c r="M7" s="82">
        <f>28492.244-28348.319</f>
        <v>143.92499999999927</v>
      </c>
      <c r="N7" s="82">
        <f>4944.698-4942.86</f>
        <v>1.8380000000006476</v>
      </c>
      <c r="O7" s="82">
        <f>10492.918-10492.728</f>
        <v>0.19000000000050932</v>
      </c>
      <c r="P7" s="81">
        <f>12120.672-12049.09</f>
        <v>71.582000000000335</v>
      </c>
      <c r="Q7" s="82">
        <f>28909.501-28898.247</f>
        <v>11.254000000000815</v>
      </c>
      <c r="R7" s="82">
        <f t="shared" si="0"/>
        <v>73.610000000001492</v>
      </c>
      <c r="S7" s="82">
        <f>(N7+O7+P7)*7.84</f>
        <v>577.1024000000117</v>
      </c>
      <c r="T7" s="82">
        <f>M7+Q7</f>
        <v>155.17900000000009</v>
      </c>
      <c r="U7" s="82">
        <f>T7*7.84</f>
        <v>1216.6033600000007</v>
      </c>
      <c r="V7" s="82">
        <f>416395-416231</f>
        <v>164</v>
      </c>
      <c r="W7" s="82">
        <f>160360-160167</f>
        <v>193</v>
      </c>
      <c r="X7" s="85" t="s">
        <v>63</v>
      </c>
      <c r="Y7" s="85">
        <v>1054639</v>
      </c>
      <c r="Z7" s="5">
        <f>IF((Y7-Y6&lt;0), "0",Y7-Y6)</f>
        <v>664</v>
      </c>
      <c r="AA7" s="14">
        <f t="shared" ref="AA7:AA34" si="6">Z7*6.47</f>
        <v>4296.08</v>
      </c>
      <c r="AB7" s="86">
        <v>12460139</v>
      </c>
      <c r="AC7" s="86">
        <f>AB6</f>
        <v>12438874</v>
      </c>
      <c r="AD7" s="14">
        <f t="shared" si="3"/>
        <v>21265</v>
      </c>
      <c r="AE7" s="82">
        <f>AD7*0.332195</f>
        <v>7064.1266750000004</v>
      </c>
      <c r="AF7" s="82">
        <f>98934.1-98898.5</f>
        <v>35.600000000005821</v>
      </c>
      <c r="AG7" s="82">
        <f t="shared" ref="AG7:AG13" si="7">50692.5-50692.5</f>
        <v>0</v>
      </c>
      <c r="AH7" s="82">
        <f>31298.8-31284.7</f>
        <v>14.099999999998545</v>
      </c>
      <c r="AI7" s="86">
        <f>AJ6</f>
        <v>53360.4</v>
      </c>
      <c r="AJ7" s="86">
        <v>53390.7</v>
      </c>
      <c r="AK7" s="47">
        <f t="shared" ref="AK7:AK34" si="8">IF((AJ7-AI7)&lt;0, "0",AJ7-AI7)</f>
        <v>30.299999999995634</v>
      </c>
      <c r="AL7" s="88">
        <f t="shared" si="4"/>
        <v>8615.657623525758</v>
      </c>
      <c r="AM7" s="82">
        <f>AL7*0.332195</f>
        <v>2862.0783842471392</v>
      </c>
      <c r="AN7" s="70">
        <v>101</v>
      </c>
      <c r="AO7" s="77">
        <f t="shared" si="5"/>
        <v>19779.410035000001</v>
      </c>
    </row>
    <row r="8" spans="1:44" x14ac:dyDescent="0.25">
      <c r="A8" s="78">
        <v>44684</v>
      </c>
      <c r="B8" s="85">
        <f>14014631-14006822</f>
        <v>7809</v>
      </c>
      <c r="C8" s="85">
        <f>8987020-8982542</f>
        <v>4478</v>
      </c>
      <c r="D8" s="85">
        <f>1782721-1782180</f>
        <v>541</v>
      </c>
      <c r="E8" s="85">
        <f>13484951-13477668</f>
        <v>7283</v>
      </c>
      <c r="F8" s="85">
        <f>13272941-13266935</f>
        <v>6006</v>
      </c>
      <c r="G8" s="85">
        <f>9192015-9189100</f>
        <v>2915</v>
      </c>
      <c r="H8" s="85">
        <f>10172639-10163079</f>
        <v>9560</v>
      </c>
      <c r="I8" s="85">
        <f>5904597-5902322</f>
        <v>2275</v>
      </c>
      <c r="J8" s="85">
        <f>13642708-13636001</f>
        <v>6707</v>
      </c>
      <c r="K8" s="85">
        <f>SUM(B8:H8)</f>
        <v>38592</v>
      </c>
      <c r="L8" s="14">
        <f t="shared" ref="L8:L34" si="9">K8*0.2</f>
        <v>7718.4000000000005</v>
      </c>
      <c r="M8" s="82">
        <f>28653.628-28492.244</f>
        <v>161.38400000000183</v>
      </c>
      <c r="N8" s="82">
        <f>4947.108-4944.698</f>
        <v>2.4099999999998545</v>
      </c>
      <c r="O8" s="82">
        <f>10493.258-10492.918</f>
        <v>0.34000000000014552</v>
      </c>
      <c r="P8" s="81">
        <f>12202.678-12120.672</f>
        <v>82.005999999999403</v>
      </c>
      <c r="Q8" s="82">
        <f>28931.072-28909.501</f>
        <v>21.570999999999913</v>
      </c>
      <c r="R8" s="82">
        <f t="shared" si="0"/>
        <v>84.755999999999403</v>
      </c>
      <c r="S8" s="82">
        <f>(N8+O8+P8)*7.84</f>
        <v>664.48703999999532</v>
      </c>
      <c r="T8" s="82">
        <f>M8+Q8</f>
        <v>182.95500000000175</v>
      </c>
      <c r="U8" s="82">
        <f>T8*7.84</f>
        <v>1434.3672000000136</v>
      </c>
      <c r="V8" s="82">
        <f>416573.4-416395</f>
        <v>178.40000000002328</v>
      </c>
      <c r="W8" s="82">
        <f>160552.3-160360</f>
        <v>192.29999999998836</v>
      </c>
      <c r="X8" s="85" t="s">
        <v>63</v>
      </c>
      <c r="Y8" s="85">
        <v>1055339</v>
      </c>
      <c r="Z8" s="5">
        <f t="shared" ref="Z8:Z34" si="10">IF((Y8-Y7&lt;0), "0",Y8-Y7)</f>
        <v>700</v>
      </c>
      <c r="AA8" s="14">
        <f t="shared" si="6"/>
        <v>4529</v>
      </c>
      <c r="AB8" s="86">
        <v>12482074</v>
      </c>
      <c r="AC8" s="86">
        <f t="shared" ref="AC8:AC34" si="11">AB7</f>
        <v>12460139</v>
      </c>
      <c r="AD8" s="14">
        <f t="shared" si="3"/>
        <v>21935</v>
      </c>
      <c r="AE8" s="82">
        <f t="shared" ref="AE8:AE36" si="12">AD8*0.332195</f>
        <v>7286.6973250000001</v>
      </c>
      <c r="AF8" s="82">
        <f>98970.8-98934.1</f>
        <v>36.69999999999709</v>
      </c>
      <c r="AG8" s="82">
        <f t="shared" si="7"/>
        <v>0</v>
      </c>
      <c r="AH8" s="82">
        <f>31312.8-31298.8</f>
        <v>14</v>
      </c>
      <c r="AI8" s="86">
        <f t="shared" ref="AI8:AI36" si="13">AJ7</f>
        <v>53390.7</v>
      </c>
      <c r="AJ8" s="86">
        <v>53422</v>
      </c>
      <c r="AK8" s="47">
        <f t="shared" si="8"/>
        <v>31.30000000000291</v>
      </c>
      <c r="AL8" s="88">
        <f t="shared" si="4"/>
        <v>8900.0027596178279</v>
      </c>
      <c r="AM8" s="82">
        <f t="shared" ref="AM8:AM34" si="14">AL8*0.332195</f>
        <v>2956.5364167312446</v>
      </c>
      <c r="AN8" s="70">
        <v>140</v>
      </c>
      <c r="AO8" s="77">
        <f t="shared" si="5"/>
        <v>20968.464525000014</v>
      </c>
    </row>
    <row r="9" spans="1:44" x14ac:dyDescent="0.25">
      <c r="A9" s="78">
        <v>44685</v>
      </c>
      <c r="B9" s="85">
        <f>14021897-14014631</f>
        <v>7266</v>
      </c>
      <c r="C9" s="85">
        <f>8990980-8987020</f>
        <v>3960</v>
      </c>
      <c r="D9" s="85">
        <f>1783632-1782721</f>
        <v>911</v>
      </c>
      <c r="E9" s="85">
        <f>13492025-13484951</f>
        <v>7074</v>
      </c>
      <c r="F9" s="85">
        <f>13278689-13272941</f>
        <v>5748</v>
      </c>
      <c r="G9" s="85">
        <f>9194932-9192015</f>
        <v>2917</v>
      </c>
      <c r="H9" s="85">
        <f>10181801-10172639</f>
        <v>9162</v>
      </c>
      <c r="I9" s="85">
        <f>5906819-5904597</f>
        <v>2222</v>
      </c>
      <c r="J9" s="85">
        <f>13649794-13642708</f>
        <v>7086</v>
      </c>
      <c r="K9" s="85">
        <f t="shared" ref="K9:K34" si="15">SUM(B9:H9)</f>
        <v>37038</v>
      </c>
      <c r="L9" s="14">
        <f t="shared" si="9"/>
        <v>7407.6</v>
      </c>
      <c r="M9" s="82">
        <f>28858.357-28653.628</f>
        <v>204.72899999999936</v>
      </c>
      <c r="N9" s="82">
        <f>4949.437-4947.108</f>
        <v>2.3289999999997235</v>
      </c>
      <c r="O9" s="82">
        <f>10493.325-10493.258</f>
        <v>6.7000000000916771E-2</v>
      </c>
      <c r="P9" s="81">
        <f>12283.424-12202.678</f>
        <v>80.746000000001004</v>
      </c>
      <c r="Q9" s="82">
        <f>28942.355-28931.072</f>
        <v>11.282999999999447</v>
      </c>
      <c r="R9" s="82">
        <f t="shared" si="0"/>
        <v>83.142000000001644</v>
      </c>
      <c r="S9" s="82">
        <f t="shared" si="1"/>
        <v>651.83328000001291</v>
      </c>
      <c r="T9" s="82">
        <f t="shared" si="2"/>
        <v>216.01199999999881</v>
      </c>
      <c r="U9" s="82">
        <f t="shared" ref="U9:U37" si="16">T9*7.84</f>
        <v>1693.5340799999906</v>
      </c>
      <c r="V9" s="82">
        <f>416779.3-416573.4</f>
        <v>205.89999999996508</v>
      </c>
      <c r="W9" s="82">
        <f>160752.19-160552.3</f>
        <v>199.89000000001397</v>
      </c>
      <c r="X9" s="85" t="s">
        <v>63</v>
      </c>
      <c r="Y9" s="85">
        <v>1056093</v>
      </c>
      <c r="Z9" s="5">
        <f t="shared" si="10"/>
        <v>754</v>
      </c>
      <c r="AA9" s="14">
        <f t="shared" si="6"/>
        <v>4878.38</v>
      </c>
      <c r="AB9" s="86">
        <v>12506293</v>
      </c>
      <c r="AC9" s="86">
        <f t="shared" si="11"/>
        <v>12482074</v>
      </c>
      <c r="AD9" s="14">
        <f t="shared" si="3"/>
        <v>24219</v>
      </c>
      <c r="AE9" s="82">
        <f t="shared" si="12"/>
        <v>8045.4307050000007</v>
      </c>
      <c r="AF9" s="82">
        <f>99012.6-98970.8</f>
        <v>41.80000000000291</v>
      </c>
      <c r="AG9" s="82">
        <f t="shared" si="7"/>
        <v>0</v>
      </c>
      <c r="AH9" s="82">
        <f>31327.8-31312.8</f>
        <v>15</v>
      </c>
      <c r="AI9" s="86">
        <f t="shared" si="13"/>
        <v>53422</v>
      </c>
      <c r="AJ9" s="86">
        <v>53454.2</v>
      </c>
      <c r="AK9" s="47">
        <f t="shared" si="8"/>
        <v>32.19999999999709</v>
      </c>
      <c r="AL9" s="88">
        <f t="shared" si="4"/>
        <v>9155.9133820971711</v>
      </c>
      <c r="AM9" s="82">
        <f t="shared" si="14"/>
        <v>3041.54864596577</v>
      </c>
      <c r="AN9" s="70">
        <v>138</v>
      </c>
      <c r="AO9" s="77">
        <f t="shared" si="5"/>
        <v>22024.944784999992</v>
      </c>
    </row>
    <row r="10" spans="1:44" x14ac:dyDescent="0.25">
      <c r="A10" s="78">
        <v>44686</v>
      </c>
      <c r="B10" s="85">
        <f>14028142-14021897</f>
        <v>6245</v>
      </c>
      <c r="C10" s="85">
        <f>8994906-8990980</f>
        <v>3926</v>
      </c>
      <c r="D10" s="85">
        <f>1784506-1783632</f>
        <v>874</v>
      </c>
      <c r="E10" s="85">
        <f>13499324-13492025</f>
        <v>7299</v>
      </c>
      <c r="F10" s="85">
        <f>13284873-13278689</f>
        <v>6184</v>
      </c>
      <c r="G10" s="85">
        <f>9197979-9194932</f>
        <v>3047</v>
      </c>
      <c r="H10" s="85">
        <f>10191432-10181801</f>
        <v>9631</v>
      </c>
      <c r="I10" s="85">
        <f>5909142-5906819</f>
        <v>2323</v>
      </c>
      <c r="J10" s="85">
        <f>13656887-13649794</f>
        <v>7093</v>
      </c>
      <c r="K10" s="85">
        <f t="shared" si="15"/>
        <v>37206</v>
      </c>
      <c r="L10" s="14">
        <f t="shared" si="9"/>
        <v>7441.2000000000007</v>
      </c>
      <c r="M10" s="82">
        <f>29033.279-28858.357</f>
        <v>174.92199999999866</v>
      </c>
      <c r="N10" s="82">
        <f>4951.978-4949.437</f>
        <v>2.5410000000001673</v>
      </c>
      <c r="O10" s="82">
        <f>10493.456-10493.325</f>
        <v>0.13099999999940337</v>
      </c>
      <c r="P10" s="81">
        <f>12355.959-12283.424</f>
        <v>72.534999999999854</v>
      </c>
      <c r="Q10" s="82">
        <f>28973.8-28942.355</f>
        <v>31.444999999999709</v>
      </c>
      <c r="R10" s="82">
        <f t="shared" si="0"/>
        <v>75.206999999999425</v>
      </c>
      <c r="S10" s="82">
        <f t="shared" si="1"/>
        <v>589.62287999999546</v>
      </c>
      <c r="T10" s="82">
        <f t="shared" si="2"/>
        <v>206.36699999999837</v>
      </c>
      <c r="U10" s="82">
        <f t="shared" si="16"/>
        <v>1617.9172799999872</v>
      </c>
      <c r="V10" s="82">
        <f>416962.4-416779.3</f>
        <v>183.10000000003492</v>
      </c>
      <c r="W10" s="82">
        <f>160930.92-160752.19</f>
        <v>178.73000000001048</v>
      </c>
      <c r="X10" s="85" t="s">
        <v>63</v>
      </c>
      <c r="Y10" s="85">
        <v>1056790</v>
      </c>
      <c r="Z10" s="5">
        <f t="shared" si="10"/>
        <v>697</v>
      </c>
      <c r="AA10" s="14">
        <f t="shared" si="6"/>
        <v>4509.59</v>
      </c>
      <c r="AB10" s="86">
        <v>12527440</v>
      </c>
      <c r="AC10" s="86">
        <f t="shared" si="11"/>
        <v>12506293</v>
      </c>
      <c r="AD10" s="14">
        <f t="shared" si="3"/>
        <v>21147</v>
      </c>
      <c r="AE10" s="82">
        <f t="shared" si="12"/>
        <v>7024.9276650000002</v>
      </c>
      <c r="AF10" s="82">
        <f>99047.1-99012.6</f>
        <v>34.5</v>
      </c>
      <c r="AG10" s="82">
        <f t="shared" si="7"/>
        <v>0</v>
      </c>
      <c r="AH10" s="82">
        <f>31342-31327.8</f>
        <v>14.200000000000728</v>
      </c>
      <c r="AI10" s="86">
        <f t="shared" si="13"/>
        <v>53454.2</v>
      </c>
      <c r="AJ10" s="86">
        <v>53483</v>
      </c>
      <c r="AK10" s="47">
        <f t="shared" si="8"/>
        <v>28.80000000000291</v>
      </c>
      <c r="AL10" s="88">
        <f t="shared" si="4"/>
        <v>8189.1399193928273</v>
      </c>
      <c r="AM10" s="82">
        <f t="shared" si="14"/>
        <v>2720.3913355227005</v>
      </c>
      <c r="AN10" s="70">
        <v>137</v>
      </c>
      <c r="AO10" s="77">
        <f t="shared" si="5"/>
        <v>20593.634944999987</v>
      </c>
    </row>
    <row r="11" spans="1:44" x14ac:dyDescent="0.25">
      <c r="A11" s="78">
        <v>44687</v>
      </c>
      <c r="B11" s="85">
        <f>14034353-14028142</f>
        <v>6211</v>
      </c>
      <c r="C11" s="85">
        <f>8998866-8994906</f>
        <v>3960</v>
      </c>
      <c r="D11" s="85">
        <f>1785468-1784506</f>
        <v>962</v>
      </c>
      <c r="E11" s="85">
        <f>13506699-13499324</f>
        <v>7375</v>
      </c>
      <c r="F11" s="85">
        <f>13291046-13284873</f>
        <v>6173</v>
      </c>
      <c r="G11" s="85">
        <f>9201077-9197979</f>
        <v>3098</v>
      </c>
      <c r="H11" s="85">
        <f>10200726-10191432</f>
        <v>9294</v>
      </c>
      <c r="I11" s="85">
        <f>5911493-5909142</f>
        <v>2351</v>
      </c>
      <c r="J11" s="85">
        <f>13664280-13656887</f>
        <v>7393</v>
      </c>
      <c r="K11" s="85">
        <f t="shared" si="15"/>
        <v>37073</v>
      </c>
      <c r="L11" s="14">
        <f t="shared" si="9"/>
        <v>7414.6</v>
      </c>
      <c r="M11" s="82">
        <f>29208.661-29033.279</f>
        <v>175.38200000000143</v>
      </c>
      <c r="N11" s="82">
        <f>4954.925-4951.978</f>
        <v>2.9470000000001164</v>
      </c>
      <c r="O11" s="82">
        <f>10493.608-10493.456</f>
        <v>0.15200000000004366</v>
      </c>
      <c r="P11" s="81">
        <f>12435.441-12355.959</f>
        <v>79.481999999999971</v>
      </c>
      <c r="Q11" s="82">
        <f>29002.406-28973.8</f>
        <v>28.605999999999767</v>
      </c>
      <c r="R11" s="82">
        <f t="shared" si="0"/>
        <v>82.581000000000131</v>
      </c>
      <c r="S11" s="82">
        <f t="shared" si="1"/>
        <v>647.43504000000098</v>
      </c>
      <c r="T11" s="82">
        <f t="shared" si="2"/>
        <v>203.98800000000119</v>
      </c>
      <c r="U11" s="82">
        <f t="shared" si="16"/>
        <v>1599.2659200000094</v>
      </c>
      <c r="V11" s="82">
        <f>417157.3-416962.4</f>
        <v>194.89999999996508</v>
      </c>
      <c r="W11" s="82">
        <f>161114.93-160930.92</f>
        <v>184.00999999998021</v>
      </c>
      <c r="X11" s="85" t="s">
        <v>63</v>
      </c>
      <c r="Y11" s="85">
        <v>1057518</v>
      </c>
      <c r="Z11" s="5">
        <f t="shared" si="10"/>
        <v>728</v>
      </c>
      <c r="AA11" s="14">
        <f t="shared" si="6"/>
        <v>4710.16</v>
      </c>
      <c r="AB11" s="86">
        <v>12549618</v>
      </c>
      <c r="AC11" s="86">
        <f t="shared" si="11"/>
        <v>12527440</v>
      </c>
      <c r="AD11" s="14">
        <f t="shared" si="3"/>
        <v>22178</v>
      </c>
      <c r="AE11" s="82">
        <f t="shared" si="12"/>
        <v>7367.4207100000003</v>
      </c>
      <c r="AF11" s="82">
        <f>99083.1-99047.1</f>
        <v>36</v>
      </c>
      <c r="AG11" s="82">
        <f t="shared" si="7"/>
        <v>0</v>
      </c>
      <c r="AH11" s="82">
        <f>31357.4-31342</f>
        <v>15.400000000001455</v>
      </c>
      <c r="AI11" s="86">
        <f t="shared" si="13"/>
        <v>53483</v>
      </c>
      <c r="AJ11" s="86">
        <v>53512.4</v>
      </c>
      <c r="AK11" s="47">
        <f t="shared" si="8"/>
        <v>29.400000000001455</v>
      </c>
      <c r="AL11" s="88">
        <f t="shared" si="4"/>
        <v>8359.7470010464131</v>
      </c>
      <c r="AM11" s="82">
        <f t="shared" si="14"/>
        <v>2777.0661550126133</v>
      </c>
      <c r="AN11" s="70">
        <v>127</v>
      </c>
      <c r="AO11" s="77">
        <f t="shared" si="5"/>
        <v>21091.446630000009</v>
      </c>
    </row>
    <row r="12" spans="1:44" x14ac:dyDescent="0.25">
      <c r="A12" s="78">
        <v>44688</v>
      </c>
      <c r="B12" s="85">
        <f>14040431-14034353</f>
        <v>6078</v>
      </c>
      <c r="C12" s="85">
        <f>9002788-8998866</f>
        <v>3922</v>
      </c>
      <c r="D12" s="85">
        <f>1786398-1785468</f>
        <v>930</v>
      </c>
      <c r="E12" s="85">
        <f>13513954-13506699</f>
        <v>7255</v>
      </c>
      <c r="F12" s="85">
        <f>13297242-13291046</f>
        <v>6196</v>
      </c>
      <c r="G12" s="85">
        <f>9204066-9201077</f>
        <v>2989</v>
      </c>
      <c r="H12" s="85">
        <f>10209654-10200726</f>
        <v>8928</v>
      </c>
      <c r="I12" s="85">
        <f>5913825-5911493</f>
        <v>2332</v>
      </c>
      <c r="J12" s="85">
        <f>13671414-13664280</f>
        <v>7134</v>
      </c>
      <c r="K12" s="85">
        <f t="shared" si="15"/>
        <v>36298</v>
      </c>
      <c r="L12" s="14">
        <f t="shared" si="9"/>
        <v>7259.6</v>
      </c>
      <c r="M12" s="82">
        <f>29397.729-29208.661</f>
        <v>189.0679999999993</v>
      </c>
      <c r="N12" s="82">
        <f>4958.723-4954.925</f>
        <v>3.7979999999997744</v>
      </c>
      <c r="O12" s="82">
        <f>10493.932-10493.608</f>
        <v>0.32400000000052387</v>
      </c>
      <c r="P12" s="81">
        <f>12516.303-12435.441</f>
        <v>80.861999999999171</v>
      </c>
      <c r="Q12" s="82">
        <f>29020.381-29002.406</f>
        <v>17.975000000002183</v>
      </c>
      <c r="R12" s="82">
        <f t="shared" si="0"/>
        <v>84.983999999999469</v>
      </c>
      <c r="S12" s="82">
        <f t="shared" si="1"/>
        <v>666.27455999999586</v>
      </c>
      <c r="T12" s="82">
        <f t="shared" si="2"/>
        <v>207.04300000000148</v>
      </c>
      <c r="U12" s="82">
        <f t="shared" si="16"/>
        <v>1623.2171200000116</v>
      </c>
      <c r="V12" s="82">
        <f>417358.9-417157.3</f>
        <v>201.60000000003492</v>
      </c>
      <c r="W12" s="82">
        <f>161323.69-161114.93</f>
        <v>208.76000000000931</v>
      </c>
      <c r="X12" s="85" t="s">
        <v>63</v>
      </c>
      <c r="Y12" s="85">
        <v>1058315</v>
      </c>
      <c r="Z12" s="5">
        <f t="shared" si="10"/>
        <v>797</v>
      </c>
      <c r="AA12" s="14">
        <f t="shared" si="6"/>
        <v>5156.59</v>
      </c>
      <c r="AB12" s="86">
        <v>12574933</v>
      </c>
      <c r="AC12" s="86">
        <f t="shared" si="11"/>
        <v>12549618</v>
      </c>
      <c r="AD12" s="14">
        <f t="shared" si="3"/>
        <v>25315</v>
      </c>
      <c r="AE12" s="82">
        <f t="shared" si="12"/>
        <v>8409.5164249999998</v>
      </c>
      <c r="AF12" s="82">
        <f>99123.1-99083.1</f>
        <v>40</v>
      </c>
      <c r="AG12" s="82">
        <f t="shared" si="7"/>
        <v>0</v>
      </c>
      <c r="AH12" s="82">
        <f>31372-31357.4</f>
        <v>14.599999999998545</v>
      </c>
      <c r="AI12" s="86">
        <f t="shared" si="13"/>
        <v>53512.4</v>
      </c>
      <c r="AJ12" s="86">
        <v>53543.199999999997</v>
      </c>
      <c r="AK12" s="47">
        <f t="shared" si="8"/>
        <v>30.799999999995634</v>
      </c>
      <c r="AL12" s="88">
        <f t="shared" si="4"/>
        <v>8757.830191570758</v>
      </c>
      <c r="AM12" s="82">
        <f t="shared" si="14"/>
        <v>2909.3074004888481</v>
      </c>
      <c r="AN12" s="70">
        <v>92</v>
      </c>
      <c r="AO12" s="77">
        <f t="shared" si="5"/>
        <v>22448.923545000012</v>
      </c>
    </row>
    <row r="13" spans="1:44" x14ac:dyDescent="0.25">
      <c r="A13" s="78">
        <v>44689</v>
      </c>
      <c r="B13" s="85">
        <f>14046842-14040431</f>
        <v>6411</v>
      </c>
      <c r="C13" s="85">
        <f>9006720-9002788</f>
        <v>3932</v>
      </c>
      <c r="D13" s="85">
        <f>1787283-1786398</f>
        <v>885</v>
      </c>
      <c r="E13" s="85">
        <f>13519903-13513954</f>
        <v>5949</v>
      </c>
      <c r="F13" s="85">
        <f>13302954-13297242</f>
        <v>5712</v>
      </c>
      <c r="G13" s="85">
        <f>9206755-9204066</f>
        <v>2689</v>
      </c>
      <c r="H13" s="85">
        <f>10218436-10209654</f>
        <v>8782</v>
      </c>
      <c r="I13" s="85">
        <f>5916122-5913825</f>
        <v>2297</v>
      </c>
      <c r="J13" s="85">
        <f>13678447-13671414</f>
        <v>7033</v>
      </c>
      <c r="K13" s="85">
        <f t="shared" si="15"/>
        <v>34360</v>
      </c>
      <c r="L13" s="14">
        <f t="shared" si="9"/>
        <v>6872</v>
      </c>
      <c r="M13" s="82">
        <f>29592.982-29397.729</f>
        <v>195.25300000000061</v>
      </c>
      <c r="N13" s="82">
        <f>4960.439-4958.723</f>
        <v>1.7160000000003492</v>
      </c>
      <c r="O13" s="82">
        <f>10493.963-10493.932</f>
        <v>3.0999999999039574E-2</v>
      </c>
      <c r="P13" s="81">
        <f>12588.154-12516.303</f>
        <v>71.851000000000568</v>
      </c>
      <c r="Q13" s="82">
        <f>29028.06-29020.381</f>
        <v>7.6790000000000873</v>
      </c>
      <c r="R13" s="82">
        <f t="shared" si="0"/>
        <v>73.597999999999956</v>
      </c>
      <c r="S13" s="82">
        <f t="shared" si="1"/>
        <v>577.00831999999969</v>
      </c>
      <c r="T13" s="82">
        <f t="shared" si="2"/>
        <v>202.9320000000007</v>
      </c>
      <c r="U13" s="82">
        <f t="shared" si="16"/>
        <v>1590.9868800000054</v>
      </c>
      <c r="V13" s="82">
        <f>417623.4-417358.9</f>
        <v>264.5</v>
      </c>
      <c r="W13" s="82">
        <f>161519.87-161323.69</f>
        <v>196.17999999999302</v>
      </c>
      <c r="X13" s="85" t="s">
        <v>63</v>
      </c>
      <c r="Y13" s="85">
        <v>1059124</v>
      </c>
      <c r="Z13" s="5">
        <f t="shared" si="10"/>
        <v>809</v>
      </c>
      <c r="AA13" s="14">
        <f t="shared" si="6"/>
        <v>5234.2299999999996</v>
      </c>
      <c r="AB13" s="86">
        <v>12598601</v>
      </c>
      <c r="AC13" s="86">
        <f t="shared" si="11"/>
        <v>12574933</v>
      </c>
      <c r="AD13" s="14">
        <f t="shared" si="3"/>
        <v>23668</v>
      </c>
      <c r="AE13" s="82">
        <f t="shared" si="12"/>
        <v>7862.3912600000003</v>
      </c>
      <c r="AF13" s="82">
        <f>99160-99123.1</f>
        <v>36.899999999994179</v>
      </c>
      <c r="AG13" s="82">
        <f t="shared" si="7"/>
        <v>0</v>
      </c>
      <c r="AH13" s="82">
        <f>31385.3-31372</f>
        <v>13.299999999999272</v>
      </c>
      <c r="AI13" s="86">
        <f t="shared" si="13"/>
        <v>53543.199999999997</v>
      </c>
      <c r="AJ13" s="86">
        <v>53573.4</v>
      </c>
      <c r="AK13" s="47">
        <f t="shared" si="8"/>
        <v>30.200000000004366</v>
      </c>
      <c r="AL13" s="88">
        <f t="shared" si="4"/>
        <v>8587.2231099192413</v>
      </c>
      <c r="AM13" s="82">
        <f t="shared" si="14"/>
        <v>2852.6325809996224</v>
      </c>
      <c r="AN13" s="70">
        <v>98</v>
      </c>
      <c r="AO13" s="77">
        <f t="shared" si="5"/>
        <v>21559.608140000004</v>
      </c>
    </row>
    <row r="14" spans="1:44" x14ac:dyDescent="0.25">
      <c r="A14" s="78">
        <v>44690</v>
      </c>
      <c r="B14" s="85">
        <f>14053415-14046842</f>
        <v>6573</v>
      </c>
      <c r="C14" s="85">
        <f>9010917-9006720</f>
        <v>4197</v>
      </c>
      <c r="D14" s="85">
        <f>1788164-1787283</f>
        <v>881</v>
      </c>
      <c r="E14" s="85">
        <f>13526592-13519903</f>
        <v>6689</v>
      </c>
      <c r="F14" s="85">
        <f>13308983-13302954</f>
        <v>6029</v>
      </c>
      <c r="G14" s="85">
        <f>9209580-9206755</f>
        <v>2825</v>
      </c>
      <c r="H14" s="85">
        <f>10227676-10218436</f>
        <v>9240</v>
      </c>
      <c r="I14" s="85">
        <f>5918545-5916122</f>
        <v>2423</v>
      </c>
      <c r="J14" s="85">
        <f>13685498-13678447</f>
        <v>7051</v>
      </c>
      <c r="K14" s="85">
        <f t="shared" si="15"/>
        <v>36434</v>
      </c>
      <c r="L14" s="14">
        <f t="shared" si="9"/>
        <v>7286.8</v>
      </c>
      <c r="M14" s="82">
        <f>29774.11-29592.982</f>
        <v>181.12800000000061</v>
      </c>
      <c r="N14" s="82">
        <f>4964.037-4960.439</f>
        <v>3.5979999999999563</v>
      </c>
      <c r="O14" s="82">
        <f>10494.203-10493.963</f>
        <v>0.23999999999978172</v>
      </c>
      <c r="P14" s="81">
        <f>12662.837-12588.154</f>
        <v>74.682999999999083</v>
      </c>
      <c r="Q14" s="82">
        <f>29044.888-29028.06</f>
        <v>16.827999999997701</v>
      </c>
      <c r="R14" s="82">
        <f>N14+O14+P14</f>
        <v>78.520999999998821</v>
      </c>
      <c r="S14" s="82">
        <f t="shared" si="1"/>
        <v>615.6046399999907</v>
      </c>
      <c r="T14" s="82">
        <f t="shared" si="2"/>
        <v>197.95599999999831</v>
      </c>
      <c r="U14" s="82">
        <f t="shared" si="16"/>
        <v>1551.9750399999868</v>
      </c>
      <c r="V14" s="82">
        <f>417877-417623.4</f>
        <v>253.59999999997672</v>
      </c>
      <c r="W14" s="82">
        <f>161706.79-161519.87</f>
        <v>186.92000000001281</v>
      </c>
      <c r="X14" s="85" t="s">
        <v>63</v>
      </c>
      <c r="Y14" s="85">
        <v>1059935</v>
      </c>
      <c r="Z14" s="5">
        <f t="shared" si="10"/>
        <v>811</v>
      </c>
      <c r="AA14" s="14">
        <f t="shared" si="6"/>
        <v>5247.17</v>
      </c>
      <c r="AB14" s="86">
        <v>12622740</v>
      </c>
      <c r="AC14" s="86">
        <f t="shared" si="11"/>
        <v>12598601</v>
      </c>
      <c r="AD14" s="14">
        <f t="shared" si="3"/>
        <v>24139</v>
      </c>
      <c r="AE14" s="82">
        <f t="shared" si="12"/>
        <v>8018.8551050000005</v>
      </c>
      <c r="AF14" s="82">
        <f>99197.9-99160</f>
        <v>37.899999999994179</v>
      </c>
      <c r="AG14" s="82">
        <f>50692.5-50692.5</f>
        <v>0</v>
      </c>
      <c r="AH14" s="82">
        <f>31397.9-31385.3</f>
        <v>12.600000000002183</v>
      </c>
      <c r="AI14" s="86">
        <f t="shared" si="13"/>
        <v>53573.4</v>
      </c>
      <c r="AJ14" s="86">
        <v>53606.9</v>
      </c>
      <c r="AK14" s="47">
        <f t="shared" si="8"/>
        <v>33.5</v>
      </c>
      <c r="AL14" s="88">
        <f t="shared" si="4"/>
        <v>9525.5620590149992</v>
      </c>
      <c r="AM14" s="82">
        <f t="shared" si="14"/>
        <v>3164.344088194488</v>
      </c>
      <c r="AN14" s="70">
        <v>131</v>
      </c>
      <c r="AO14" s="77">
        <f t="shared" si="5"/>
        <v>22104.800144999987</v>
      </c>
    </row>
    <row r="15" spans="1:44" x14ac:dyDescent="0.25">
      <c r="A15" s="78">
        <v>44691</v>
      </c>
      <c r="B15" s="85">
        <f>14061666-14053415</f>
        <v>8251</v>
      </c>
      <c r="C15" s="85">
        <f>9015154-9010917</f>
        <v>4237</v>
      </c>
      <c r="D15" s="85">
        <f>1789048-1788164</f>
        <v>884</v>
      </c>
      <c r="E15" s="85">
        <f>13533749-13526592</f>
        <v>7157</v>
      </c>
      <c r="F15" s="85">
        <f>13314667-13308983</f>
        <v>5684</v>
      </c>
      <c r="G15" s="85">
        <f>9212266-9209580</f>
        <v>2686</v>
      </c>
      <c r="H15" s="85">
        <f>10236758-10227676</f>
        <v>9082</v>
      </c>
      <c r="I15" s="85">
        <f>5920922-5918545</f>
        <v>2377</v>
      </c>
      <c r="J15" s="85">
        <f>13692474-13685498</f>
        <v>6976</v>
      </c>
      <c r="K15" s="85">
        <f t="shared" si="15"/>
        <v>37981</v>
      </c>
      <c r="L15" s="14">
        <f t="shared" si="9"/>
        <v>7596.2000000000007</v>
      </c>
      <c r="M15" s="82">
        <f>29950.116-29774.11</f>
        <v>176.00600000000122</v>
      </c>
      <c r="N15" s="82">
        <f>4966.977-4964.44</f>
        <v>2.5370000000002619</v>
      </c>
      <c r="O15" s="82">
        <f>10494.228-10494.203</f>
        <v>2.4999999999636202E-2</v>
      </c>
      <c r="P15" s="81">
        <f>12731.601-12662.84</f>
        <v>68.761000000000422</v>
      </c>
      <c r="Q15" s="82">
        <f>29069.397-29044.888</f>
        <v>24.509000000001834</v>
      </c>
      <c r="R15" s="82">
        <f t="shared" si="0"/>
        <v>71.32300000000032</v>
      </c>
      <c r="S15" s="82">
        <f t="shared" si="1"/>
        <v>559.17232000000251</v>
      </c>
      <c r="T15" s="82">
        <f t="shared" si="2"/>
        <v>200.51500000000306</v>
      </c>
      <c r="U15" s="82">
        <f t="shared" si="16"/>
        <v>1572.037600000024</v>
      </c>
      <c r="V15" s="82">
        <f>418068.8-417877</f>
        <v>191.79999999998836</v>
      </c>
      <c r="W15" s="82">
        <f>161878.81-161706.79</f>
        <v>172.01999999998952</v>
      </c>
      <c r="X15" s="85" t="s">
        <v>63</v>
      </c>
      <c r="Y15" s="85">
        <v>1060650</v>
      </c>
      <c r="Z15" s="5">
        <f t="shared" si="10"/>
        <v>715</v>
      </c>
      <c r="AA15" s="14">
        <f t="shared" si="6"/>
        <v>4626.05</v>
      </c>
      <c r="AB15" s="86">
        <v>12644868</v>
      </c>
      <c r="AC15" s="86">
        <f t="shared" si="11"/>
        <v>12622740</v>
      </c>
      <c r="AD15" s="14">
        <f t="shared" si="3"/>
        <v>22128</v>
      </c>
      <c r="AE15" s="82">
        <f t="shared" si="12"/>
        <v>7350.8109600000007</v>
      </c>
      <c r="AF15" s="82">
        <f>99234.3-99197.9</f>
        <v>36.400000000008731</v>
      </c>
      <c r="AG15" s="82">
        <f>50692.5-50692.5</f>
        <v>0</v>
      </c>
      <c r="AH15" s="82">
        <f>31409-31397.9</f>
        <v>11.099999999998545</v>
      </c>
      <c r="AI15" s="86">
        <f t="shared" si="13"/>
        <v>53606.9</v>
      </c>
      <c r="AJ15" s="86">
        <v>53636.7</v>
      </c>
      <c r="AK15" s="47">
        <f t="shared" si="8"/>
        <v>29.799999999995634</v>
      </c>
      <c r="AL15" s="88">
        <f t="shared" si="4"/>
        <v>8473.4850554807581</v>
      </c>
      <c r="AM15" s="82">
        <f t="shared" si="14"/>
        <v>2814.8493680054307</v>
      </c>
      <c r="AN15" s="70">
        <v>169</v>
      </c>
      <c r="AO15" s="87">
        <f t="shared" si="5"/>
        <v>21145.098560000028</v>
      </c>
    </row>
    <row r="16" spans="1:44" x14ac:dyDescent="0.25">
      <c r="A16" s="78">
        <v>44692</v>
      </c>
      <c r="B16" s="85">
        <f>14069493-14061666</f>
        <v>7827</v>
      </c>
      <c r="C16" s="85">
        <f>9019387-9015154</f>
        <v>4233</v>
      </c>
      <c r="D16" s="85">
        <f>1789951-1789048</f>
        <v>903</v>
      </c>
      <c r="E16" s="85">
        <f>13541096-13533749</f>
        <v>7347</v>
      </c>
      <c r="F16" s="85">
        <f>13320567-13314667</f>
        <v>5900</v>
      </c>
      <c r="G16" s="85">
        <f>9215074-9212266</f>
        <v>2808</v>
      </c>
      <c r="H16" s="85">
        <f>10246027-10236758</f>
        <v>9269</v>
      </c>
      <c r="I16" s="85">
        <f>5923295-5920922</f>
        <v>2373</v>
      </c>
      <c r="J16" s="85">
        <f>13699641-13692474</f>
        <v>7167</v>
      </c>
      <c r="K16" s="85">
        <f t="shared" si="15"/>
        <v>38287</v>
      </c>
      <c r="L16" s="14">
        <f t="shared" si="9"/>
        <v>7657.4000000000005</v>
      </c>
      <c r="M16" s="82">
        <f>30133.116-29950.116</f>
        <v>183</v>
      </c>
      <c r="N16" s="82">
        <f>4970.861-4966.977</f>
        <v>3.8840000000000146</v>
      </c>
      <c r="O16" s="82">
        <f>10494.507-10494.228</f>
        <v>0.27900000000045111</v>
      </c>
      <c r="P16" s="81">
        <f>12765.119-12731.601</f>
        <v>33.518000000000029</v>
      </c>
      <c r="Q16" s="82">
        <f>29084.036-29069.397</f>
        <v>14.638999999999214</v>
      </c>
      <c r="R16" s="82">
        <f t="shared" si="0"/>
        <v>37.681000000000495</v>
      </c>
      <c r="S16" s="82">
        <f t="shared" si="1"/>
        <v>295.41904000000386</v>
      </c>
      <c r="T16" s="82">
        <f t="shared" si="2"/>
        <v>197.63899999999921</v>
      </c>
      <c r="U16" s="82">
        <f t="shared" si="16"/>
        <v>1549.4897599999938</v>
      </c>
      <c r="V16" s="82">
        <f>418263.3-418068.8</f>
        <v>194.5</v>
      </c>
      <c r="W16" s="82">
        <f>162010.35-161878.81</f>
        <v>131.54000000000815</v>
      </c>
      <c r="X16" s="85" t="s">
        <v>63</v>
      </c>
      <c r="Y16" s="85">
        <v>1061364</v>
      </c>
      <c r="Z16" s="5">
        <f t="shared" si="10"/>
        <v>714</v>
      </c>
      <c r="AA16" s="14">
        <f t="shared" si="6"/>
        <v>4619.58</v>
      </c>
      <c r="AB16" s="86">
        <v>12667111</v>
      </c>
      <c r="AC16" s="86">
        <f t="shared" si="11"/>
        <v>12644868</v>
      </c>
      <c r="AD16" s="14">
        <f t="shared" si="3"/>
        <v>22243</v>
      </c>
      <c r="AE16" s="82">
        <f t="shared" si="12"/>
        <v>7389.0133850000002</v>
      </c>
      <c r="AF16" s="82">
        <f>99269.2-99234.3</f>
        <v>34.899999999994179</v>
      </c>
      <c r="AG16" s="82">
        <f>50692.5-50692.5</f>
        <v>0</v>
      </c>
      <c r="AH16" s="82">
        <f>31420.4-31409</f>
        <v>11.400000000001455</v>
      </c>
      <c r="AI16" s="86">
        <f t="shared" si="13"/>
        <v>53636.7</v>
      </c>
      <c r="AJ16" s="86">
        <v>53668.3</v>
      </c>
      <c r="AK16" s="47">
        <f t="shared" si="8"/>
        <v>31.600000000005821</v>
      </c>
      <c r="AL16" s="88">
        <f t="shared" si="4"/>
        <v>8985.3063004456544</v>
      </c>
      <c r="AM16" s="82">
        <f t="shared" si="14"/>
        <v>2984.8738264765443</v>
      </c>
      <c r="AN16" s="5"/>
      <c r="AO16" s="77">
        <f t="shared" si="5"/>
        <v>21215.483144999995</v>
      </c>
    </row>
    <row r="17" spans="1:41" x14ac:dyDescent="0.25">
      <c r="A17" s="78">
        <v>44693</v>
      </c>
      <c r="B17" s="85">
        <f>14077217-14069493</f>
        <v>7724</v>
      </c>
      <c r="C17" s="85">
        <f>9023637-9019387</f>
        <v>4250</v>
      </c>
      <c r="D17" s="85">
        <f>1790862-1789951</f>
        <v>911</v>
      </c>
      <c r="E17" s="85">
        <f>13547833-13541096</f>
        <v>6737</v>
      </c>
      <c r="F17" s="85">
        <f>13326442-13320567</f>
        <v>5875</v>
      </c>
      <c r="G17" s="85">
        <f>9217945-9215074</f>
        <v>2871</v>
      </c>
      <c r="H17" s="85">
        <f>10255298-10246027</f>
        <v>9271</v>
      </c>
      <c r="I17" s="85">
        <f>5925702-5923295</f>
        <v>2407</v>
      </c>
      <c r="J17" s="85">
        <f>13706862-13699641</f>
        <v>7221</v>
      </c>
      <c r="K17" s="85">
        <f t="shared" si="15"/>
        <v>37639</v>
      </c>
      <c r="L17" s="14">
        <f t="shared" si="9"/>
        <v>7527.8</v>
      </c>
      <c r="M17" s="82">
        <f>30322.321-30133.116</f>
        <v>189.20499999999811</v>
      </c>
      <c r="N17" s="82">
        <f>4973.509-4970.861</f>
        <v>2.6480000000001382</v>
      </c>
      <c r="O17" s="82">
        <f>10494.61-10494.507</f>
        <v>0.10300000000097498</v>
      </c>
      <c r="P17" s="81">
        <f>12801.08-12765.119</f>
        <v>35.960999999999331</v>
      </c>
      <c r="Q17" s="82">
        <f>29096.116-29084.036</f>
        <v>12.080000000001746</v>
      </c>
      <c r="R17" s="82">
        <f t="shared" si="0"/>
        <v>38.712000000000444</v>
      </c>
      <c r="S17" s="82">
        <f t="shared" si="1"/>
        <v>303.5020800000035</v>
      </c>
      <c r="T17" s="82">
        <f t="shared" si="2"/>
        <v>201.28499999999985</v>
      </c>
      <c r="U17" s="82">
        <f t="shared" si="16"/>
        <v>1578.0743999999988</v>
      </c>
      <c r="V17" s="82">
        <f>418509.3-418263.3</f>
        <v>246</v>
      </c>
      <c r="W17" s="82">
        <f>162188.39-162010.35</f>
        <v>178.04000000000815</v>
      </c>
      <c r="X17" s="85" t="s">
        <v>63</v>
      </c>
      <c r="Y17" s="85">
        <v>1062150</v>
      </c>
      <c r="Z17" s="5">
        <f t="shared" si="10"/>
        <v>786</v>
      </c>
      <c r="AA17" s="14">
        <f t="shared" si="6"/>
        <v>5085.42</v>
      </c>
      <c r="AB17" s="86">
        <v>12694474</v>
      </c>
      <c r="AC17" s="86">
        <f t="shared" si="11"/>
        <v>12667111</v>
      </c>
      <c r="AD17" s="14">
        <f t="shared" si="3"/>
        <v>27363</v>
      </c>
      <c r="AE17" s="82">
        <f t="shared" si="12"/>
        <v>9089.8517850000007</v>
      </c>
      <c r="AF17" s="82">
        <f>99316.8-99269.2</f>
        <v>47.600000000005821</v>
      </c>
      <c r="AG17" s="82">
        <f>50692.5-50692.5</f>
        <v>0</v>
      </c>
      <c r="AH17" s="82">
        <f>31432.4-31420.4</f>
        <v>12</v>
      </c>
      <c r="AI17" s="86">
        <f t="shared" si="13"/>
        <v>53668.3</v>
      </c>
      <c r="AJ17" s="86">
        <v>53700</v>
      </c>
      <c r="AK17" s="47">
        <f t="shared" si="8"/>
        <v>31.69999999999709</v>
      </c>
      <c r="AL17" s="88">
        <f t="shared" si="4"/>
        <v>9013.7408140521711</v>
      </c>
      <c r="AM17" s="82">
        <f t="shared" si="14"/>
        <v>2994.3196297240611</v>
      </c>
      <c r="AN17" s="5"/>
      <c r="AO17" s="77">
        <f t="shared" si="5"/>
        <v>23281.146184999998</v>
      </c>
    </row>
    <row r="18" spans="1:41" x14ac:dyDescent="0.25">
      <c r="A18" s="78">
        <v>44694</v>
      </c>
      <c r="B18" s="85">
        <f>14085085-14077217</f>
        <v>7868</v>
      </c>
      <c r="C18" s="85">
        <f>9027789-9023637</f>
        <v>4152</v>
      </c>
      <c r="D18" s="85">
        <f>1791809-1790862</f>
        <v>947</v>
      </c>
      <c r="E18" s="85">
        <f>13554169-13547833</f>
        <v>6336</v>
      </c>
      <c r="F18" s="85">
        <f>13332355-13326442</f>
        <v>5913</v>
      </c>
      <c r="G18" s="85">
        <f>9220724-9217945</f>
        <v>2779</v>
      </c>
      <c r="H18" s="85">
        <f>10264495-10255298</f>
        <v>9197</v>
      </c>
      <c r="I18" s="85">
        <f>5928068-5925702</f>
        <v>2366</v>
      </c>
      <c r="J18" s="85">
        <f>13714077-13706862</f>
        <v>7215</v>
      </c>
      <c r="K18" s="85">
        <f t="shared" si="15"/>
        <v>37192</v>
      </c>
      <c r="L18" s="14">
        <f t="shared" si="9"/>
        <v>7438.4000000000005</v>
      </c>
      <c r="M18" s="82">
        <f>30518.73-30322.321</f>
        <v>196.40899999999965</v>
      </c>
      <c r="N18" s="82">
        <f>4976.733-4973.509</f>
        <v>3.2240000000001601</v>
      </c>
      <c r="O18" s="82">
        <f>10494.834-10494.61</f>
        <v>0.22400000000016007</v>
      </c>
      <c r="P18" s="81">
        <f>12964.78-12801.08</f>
        <v>163.70000000000073</v>
      </c>
      <c r="Q18" s="82">
        <f>29120.206-29096.116</f>
        <v>24.089999999996508</v>
      </c>
      <c r="R18" s="82">
        <f t="shared" si="0"/>
        <v>167.14800000000105</v>
      </c>
      <c r="S18" s="82">
        <f t="shared" si="1"/>
        <v>1310.4403200000081</v>
      </c>
      <c r="T18" s="82">
        <f t="shared" si="2"/>
        <v>220.49899999999616</v>
      </c>
      <c r="U18" s="82">
        <f t="shared" si="16"/>
        <v>1728.7121599999698</v>
      </c>
      <c r="V18" s="82">
        <f>418788.3-418509.5</f>
        <v>278.79999999998836</v>
      </c>
      <c r="W18" s="82">
        <f>162389.16-162188.39</f>
        <v>200.76999999998952</v>
      </c>
      <c r="X18" s="85" t="s">
        <v>63</v>
      </c>
      <c r="Y18" s="85">
        <v>1063002</v>
      </c>
      <c r="Z18" s="5">
        <f t="shared" si="10"/>
        <v>852</v>
      </c>
      <c r="AA18" s="14">
        <f t="shared" si="6"/>
        <v>5512.44</v>
      </c>
      <c r="AB18" s="86">
        <v>12717697</v>
      </c>
      <c r="AC18" s="86">
        <f t="shared" si="11"/>
        <v>12694474</v>
      </c>
      <c r="AD18" s="14">
        <f t="shared" si="3"/>
        <v>23223</v>
      </c>
      <c r="AE18" s="82">
        <f t="shared" si="12"/>
        <v>7714.5644850000008</v>
      </c>
      <c r="AF18" s="81">
        <f>99354.3-99316.8</f>
        <v>37.5</v>
      </c>
      <c r="AG18" s="82">
        <f>50692.5-50692.5</f>
        <v>0</v>
      </c>
      <c r="AH18" s="81">
        <f>31443.7-31432.4</f>
        <v>11.299999999999272</v>
      </c>
      <c r="AI18" s="86">
        <f t="shared" si="13"/>
        <v>53700</v>
      </c>
      <c r="AJ18" s="86">
        <v>53730.400000000001</v>
      </c>
      <c r="AK18" s="47">
        <f t="shared" si="8"/>
        <v>30.400000000001455</v>
      </c>
      <c r="AL18" s="88">
        <f t="shared" si="4"/>
        <v>8644.0921371364129</v>
      </c>
      <c r="AM18" s="82">
        <f t="shared" si="14"/>
        <v>2871.5241874960307</v>
      </c>
      <c r="AN18" s="5"/>
      <c r="AO18" s="77">
        <f t="shared" si="5"/>
        <v>22394.116644999973</v>
      </c>
    </row>
    <row r="19" spans="1:41" x14ac:dyDescent="0.25">
      <c r="A19" s="78">
        <v>44695</v>
      </c>
      <c r="B19" s="85"/>
      <c r="C19" s="85"/>
      <c r="D19" s="85"/>
      <c r="E19" s="85"/>
      <c r="F19" s="85"/>
      <c r="G19" s="85"/>
      <c r="H19" s="85"/>
      <c r="I19" s="85"/>
      <c r="J19" s="85"/>
      <c r="K19" s="85">
        <f t="shared" si="15"/>
        <v>0</v>
      </c>
      <c r="L19" s="14">
        <f t="shared" si="9"/>
        <v>0</v>
      </c>
      <c r="M19" s="82"/>
      <c r="N19" s="82"/>
      <c r="O19" s="82"/>
      <c r="P19" s="81"/>
      <c r="Q19" s="82"/>
      <c r="R19" s="82">
        <f t="shared" si="0"/>
        <v>0</v>
      </c>
      <c r="S19" s="82">
        <f t="shared" si="1"/>
        <v>0</v>
      </c>
      <c r="T19" s="82">
        <f t="shared" si="2"/>
        <v>0</v>
      </c>
      <c r="U19" s="82">
        <f t="shared" si="16"/>
        <v>0</v>
      </c>
      <c r="V19" s="82"/>
      <c r="W19" s="82"/>
      <c r="X19" s="85" t="s">
        <v>63</v>
      </c>
      <c r="Y19" s="86"/>
      <c r="Z19" s="5" t="str">
        <f t="shared" si="10"/>
        <v>0</v>
      </c>
      <c r="AA19" s="14">
        <f t="shared" si="6"/>
        <v>0</v>
      </c>
      <c r="AB19" s="86"/>
      <c r="AC19" s="86">
        <f t="shared" si="11"/>
        <v>12717697</v>
      </c>
      <c r="AD19" s="14" t="str">
        <f t="shared" si="3"/>
        <v>0</v>
      </c>
      <c r="AE19" s="82">
        <f t="shared" si="12"/>
        <v>0</v>
      </c>
      <c r="AF19" s="82"/>
      <c r="AG19" s="82"/>
      <c r="AH19" s="82"/>
      <c r="AI19" s="86">
        <f t="shared" si="13"/>
        <v>53730.400000000001</v>
      </c>
      <c r="AJ19" s="86"/>
      <c r="AK19" s="47" t="str">
        <f t="shared" si="8"/>
        <v>0</v>
      </c>
      <c r="AL19" s="88">
        <f t="shared" si="4"/>
        <v>0</v>
      </c>
      <c r="AM19" s="82">
        <f t="shared" si="14"/>
        <v>0</v>
      </c>
      <c r="AN19" s="5"/>
      <c r="AO19" s="77">
        <f t="shared" si="5"/>
        <v>0</v>
      </c>
    </row>
    <row r="20" spans="1:41" x14ac:dyDescent="0.25">
      <c r="A20" s="78">
        <v>44696</v>
      </c>
      <c r="B20" s="85"/>
      <c r="C20" s="85"/>
      <c r="D20" s="85"/>
      <c r="E20" s="85"/>
      <c r="F20" s="85"/>
      <c r="G20" s="85"/>
      <c r="H20" s="85"/>
      <c r="I20" s="85"/>
      <c r="J20" s="85"/>
      <c r="K20" s="85">
        <f t="shared" si="15"/>
        <v>0</v>
      </c>
      <c r="L20" s="14">
        <f t="shared" si="9"/>
        <v>0</v>
      </c>
      <c r="M20" s="82"/>
      <c r="N20" s="82"/>
      <c r="O20" s="82"/>
      <c r="P20" s="81"/>
      <c r="Q20" s="82"/>
      <c r="R20" s="82">
        <f t="shared" si="0"/>
        <v>0</v>
      </c>
      <c r="S20" s="82">
        <f t="shared" si="1"/>
        <v>0</v>
      </c>
      <c r="T20" s="82">
        <f t="shared" si="2"/>
        <v>0</v>
      </c>
      <c r="U20" s="82">
        <f t="shared" si="16"/>
        <v>0</v>
      </c>
      <c r="V20" s="82"/>
      <c r="W20" s="82"/>
      <c r="X20" s="85" t="s">
        <v>63</v>
      </c>
      <c r="Y20" s="86"/>
      <c r="Z20" s="5">
        <f t="shared" si="10"/>
        <v>0</v>
      </c>
      <c r="AA20" s="14">
        <f t="shared" si="6"/>
        <v>0</v>
      </c>
      <c r="AB20" s="86"/>
      <c r="AC20" s="86">
        <f t="shared" si="11"/>
        <v>0</v>
      </c>
      <c r="AD20" s="14">
        <f t="shared" si="3"/>
        <v>0</v>
      </c>
      <c r="AE20" s="82">
        <f t="shared" si="12"/>
        <v>0</v>
      </c>
      <c r="AF20" s="82"/>
      <c r="AG20" s="82"/>
      <c r="AH20" s="82"/>
      <c r="AI20" s="86">
        <f t="shared" si="13"/>
        <v>0</v>
      </c>
      <c r="AJ20" s="86"/>
      <c r="AK20" s="47">
        <f t="shared" si="8"/>
        <v>0</v>
      </c>
      <c r="AL20" s="88">
        <f t="shared" si="4"/>
        <v>0</v>
      </c>
      <c r="AM20" s="82">
        <f t="shared" si="14"/>
        <v>0</v>
      </c>
      <c r="AN20" s="5"/>
      <c r="AO20" s="77">
        <f t="shared" si="5"/>
        <v>0</v>
      </c>
    </row>
    <row r="21" spans="1:41" x14ac:dyDescent="0.25">
      <c r="A21" s="78">
        <v>44697</v>
      </c>
      <c r="B21" s="85"/>
      <c r="C21" s="85"/>
      <c r="D21" s="85"/>
      <c r="E21" s="85"/>
      <c r="F21" s="85"/>
      <c r="G21" s="85"/>
      <c r="H21" s="85"/>
      <c r="I21" s="85"/>
      <c r="J21" s="85"/>
      <c r="K21" s="85">
        <f t="shared" si="15"/>
        <v>0</v>
      </c>
      <c r="L21" s="14">
        <f t="shared" si="9"/>
        <v>0</v>
      </c>
      <c r="M21" s="82"/>
      <c r="N21" s="82"/>
      <c r="O21" s="82"/>
      <c r="P21" s="81"/>
      <c r="Q21" s="82"/>
      <c r="R21" s="82">
        <f t="shared" si="0"/>
        <v>0</v>
      </c>
      <c r="S21" s="82">
        <f t="shared" si="1"/>
        <v>0</v>
      </c>
      <c r="T21" s="82">
        <f t="shared" si="2"/>
        <v>0</v>
      </c>
      <c r="U21" s="82">
        <f t="shared" si="16"/>
        <v>0</v>
      </c>
      <c r="V21" s="82"/>
      <c r="W21" s="82"/>
      <c r="X21" s="85" t="s">
        <v>63</v>
      </c>
      <c r="Y21" s="86"/>
      <c r="Z21" s="5">
        <f t="shared" si="10"/>
        <v>0</v>
      </c>
      <c r="AA21" s="14">
        <f t="shared" si="6"/>
        <v>0</v>
      </c>
      <c r="AB21" s="86"/>
      <c r="AC21" s="86">
        <f t="shared" si="11"/>
        <v>0</v>
      </c>
      <c r="AD21" s="14">
        <f t="shared" si="3"/>
        <v>0</v>
      </c>
      <c r="AE21" s="82">
        <f t="shared" si="12"/>
        <v>0</v>
      </c>
      <c r="AF21" s="82"/>
      <c r="AG21" s="82"/>
      <c r="AH21" s="82"/>
      <c r="AI21" s="86">
        <f t="shared" si="13"/>
        <v>0</v>
      </c>
      <c r="AJ21" s="86"/>
      <c r="AK21" s="47">
        <f t="shared" si="8"/>
        <v>0</v>
      </c>
      <c r="AL21" s="88">
        <f t="shared" si="4"/>
        <v>0</v>
      </c>
      <c r="AM21" s="82">
        <f t="shared" si="14"/>
        <v>0</v>
      </c>
      <c r="AN21" s="5"/>
      <c r="AO21" s="77">
        <f t="shared" si="5"/>
        <v>0</v>
      </c>
    </row>
    <row r="22" spans="1:41" x14ac:dyDescent="0.25">
      <c r="A22" s="78">
        <v>44698</v>
      </c>
      <c r="B22" s="85"/>
      <c r="C22" s="85"/>
      <c r="D22" s="85"/>
      <c r="E22" s="85"/>
      <c r="F22" s="85"/>
      <c r="G22" s="85"/>
      <c r="H22" s="85"/>
      <c r="I22" s="85"/>
      <c r="J22" s="85"/>
      <c r="K22" s="85">
        <f t="shared" si="15"/>
        <v>0</v>
      </c>
      <c r="L22" s="14">
        <f t="shared" si="9"/>
        <v>0</v>
      </c>
      <c r="M22" s="82"/>
      <c r="N22" s="82"/>
      <c r="O22" s="82"/>
      <c r="P22" s="81"/>
      <c r="Q22" s="82"/>
      <c r="R22" s="82">
        <f t="shared" si="0"/>
        <v>0</v>
      </c>
      <c r="S22" s="82">
        <f t="shared" si="1"/>
        <v>0</v>
      </c>
      <c r="T22" s="82">
        <f t="shared" si="2"/>
        <v>0</v>
      </c>
      <c r="U22" s="82">
        <f t="shared" si="16"/>
        <v>0</v>
      </c>
      <c r="V22" s="82"/>
      <c r="W22" s="82"/>
      <c r="X22" s="85" t="s">
        <v>63</v>
      </c>
      <c r="Y22" s="86"/>
      <c r="Z22" s="5">
        <f t="shared" si="10"/>
        <v>0</v>
      </c>
      <c r="AA22" s="14">
        <f t="shared" si="6"/>
        <v>0</v>
      </c>
      <c r="AB22" s="86"/>
      <c r="AC22" s="86">
        <f t="shared" si="11"/>
        <v>0</v>
      </c>
      <c r="AD22" s="14">
        <f t="shared" si="3"/>
        <v>0</v>
      </c>
      <c r="AE22" s="82">
        <f t="shared" si="12"/>
        <v>0</v>
      </c>
      <c r="AF22" s="82"/>
      <c r="AG22" s="82"/>
      <c r="AH22" s="82"/>
      <c r="AI22" s="86">
        <f t="shared" si="13"/>
        <v>0</v>
      </c>
      <c r="AJ22" s="86"/>
      <c r="AK22" s="47">
        <f t="shared" si="8"/>
        <v>0</v>
      </c>
      <c r="AL22" s="88">
        <f t="shared" si="4"/>
        <v>0</v>
      </c>
      <c r="AM22" s="82">
        <f t="shared" si="14"/>
        <v>0</v>
      </c>
      <c r="AN22" s="5"/>
      <c r="AO22" s="77">
        <f t="shared" si="5"/>
        <v>0</v>
      </c>
    </row>
    <row r="23" spans="1:41" x14ac:dyDescent="0.25">
      <c r="A23" s="78">
        <v>44699</v>
      </c>
      <c r="B23" s="85"/>
      <c r="C23" s="85"/>
      <c r="D23" s="85"/>
      <c r="E23" s="85"/>
      <c r="F23" s="85"/>
      <c r="G23" s="85"/>
      <c r="H23" s="85"/>
      <c r="I23" s="85"/>
      <c r="J23" s="85"/>
      <c r="K23" s="85">
        <f t="shared" si="15"/>
        <v>0</v>
      </c>
      <c r="L23" s="14">
        <f t="shared" si="9"/>
        <v>0</v>
      </c>
      <c r="M23" s="82"/>
      <c r="N23" s="82"/>
      <c r="O23" s="82"/>
      <c r="P23" s="81"/>
      <c r="Q23" s="82"/>
      <c r="R23" s="82">
        <f t="shared" si="0"/>
        <v>0</v>
      </c>
      <c r="S23" s="82">
        <f t="shared" si="1"/>
        <v>0</v>
      </c>
      <c r="T23" s="82">
        <f t="shared" si="2"/>
        <v>0</v>
      </c>
      <c r="U23" s="82">
        <f t="shared" si="16"/>
        <v>0</v>
      </c>
      <c r="V23" s="82"/>
      <c r="W23" s="82"/>
      <c r="X23" s="85" t="s">
        <v>63</v>
      </c>
      <c r="Y23" s="86"/>
      <c r="Z23" s="5">
        <f t="shared" si="10"/>
        <v>0</v>
      </c>
      <c r="AA23" s="14">
        <f t="shared" si="6"/>
        <v>0</v>
      </c>
      <c r="AB23" s="86"/>
      <c r="AC23" s="86">
        <f t="shared" si="11"/>
        <v>0</v>
      </c>
      <c r="AD23" s="14">
        <f t="shared" si="3"/>
        <v>0</v>
      </c>
      <c r="AE23" s="82">
        <f t="shared" si="12"/>
        <v>0</v>
      </c>
      <c r="AF23" s="82"/>
      <c r="AG23" s="82"/>
      <c r="AH23" s="82"/>
      <c r="AI23" s="86">
        <f t="shared" si="13"/>
        <v>0</v>
      </c>
      <c r="AJ23" s="86"/>
      <c r="AK23" s="47">
        <f t="shared" si="8"/>
        <v>0</v>
      </c>
      <c r="AL23" s="88">
        <f t="shared" si="4"/>
        <v>0</v>
      </c>
      <c r="AM23" s="82">
        <f t="shared" si="14"/>
        <v>0</v>
      </c>
      <c r="AN23" s="5"/>
      <c r="AO23" s="77">
        <f t="shared" si="5"/>
        <v>0</v>
      </c>
    </row>
    <row r="24" spans="1:41" x14ac:dyDescent="0.25">
      <c r="A24" s="78">
        <v>44700</v>
      </c>
      <c r="B24" s="85"/>
      <c r="C24" s="85"/>
      <c r="D24" s="85"/>
      <c r="E24" s="85"/>
      <c r="F24" s="85"/>
      <c r="G24" s="85"/>
      <c r="H24" s="85"/>
      <c r="I24" s="85"/>
      <c r="J24" s="85"/>
      <c r="K24" s="85">
        <f t="shared" si="15"/>
        <v>0</v>
      </c>
      <c r="L24" s="14">
        <f t="shared" si="9"/>
        <v>0</v>
      </c>
      <c r="M24" s="82"/>
      <c r="N24" s="82"/>
      <c r="O24" s="82"/>
      <c r="P24" s="81"/>
      <c r="Q24" s="82"/>
      <c r="R24" s="82">
        <f t="shared" si="0"/>
        <v>0</v>
      </c>
      <c r="S24" s="82">
        <f t="shared" si="1"/>
        <v>0</v>
      </c>
      <c r="T24" s="82">
        <f t="shared" si="2"/>
        <v>0</v>
      </c>
      <c r="U24" s="82">
        <f t="shared" si="16"/>
        <v>0</v>
      </c>
      <c r="V24" s="82"/>
      <c r="W24" s="82"/>
      <c r="X24" s="85" t="s">
        <v>63</v>
      </c>
      <c r="Y24" s="86"/>
      <c r="Z24" s="5">
        <f t="shared" si="10"/>
        <v>0</v>
      </c>
      <c r="AA24" s="14">
        <f t="shared" si="6"/>
        <v>0</v>
      </c>
      <c r="AB24" s="86"/>
      <c r="AC24" s="86">
        <f t="shared" si="11"/>
        <v>0</v>
      </c>
      <c r="AD24" s="14">
        <f t="shared" si="3"/>
        <v>0</v>
      </c>
      <c r="AE24" s="82">
        <f t="shared" si="12"/>
        <v>0</v>
      </c>
      <c r="AF24" s="82"/>
      <c r="AG24" s="82"/>
      <c r="AH24" s="82"/>
      <c r="AI24" s="86">
        <f t="shared" si="13"/>
        <v>0</v>
      </c>
      <c r="AJ24" s="86"/>
      <c r="AK24" s="47">
        <f t="shared" si="8"/>
        <v>0</v>
      </c>
      <c r="AL24" s="88">
        <f t="shared" si="4"/>
        <v>0</v>
      </c>
      <c r="AM24" s="82">
        <f t="shared" si="14"/>
        <v>0</v>
      </c>
      <c r="AN24" s="5"/>
      <c r="AO24" s="77">
        <f t="shared" si="5"/>
        <v>0</v>
      </c>
    </row>
    <row r="25" spans="1:41" x14ac:dyDescent="0.25">
      <c r="A25" s="78">
        <v>44701</v>
      </c>
      <c r="B25" s="85"/>
      <c r="C25" s="85"/>
      <c r="D25" s="85"/>
      <c r="E25" s="85"/>
      <c r="F25" s="85"/>
      <c r="G25" s="85"/>
      <c r="H25" s="85"/>
      <c r="I25" s="85"/>
      <c r="J25" s="85"/>
      <c r="K25" s="85">
        <f t="shared" si="15"/>
        <v>0</v>
      </c>
      <c r="L25" s="14">
        <f t="shared" si="9"/>
        <v>0</v>
      </c>
      <c r="M25" s="82"/>
      <c r="N25" s="82"/>
      <c r="O25" s="82"/>
      <c r="P25" s="81"/>
      <c r="Q25" s="82"/>
      <c r="R25" s="82">
        <f t="shared" si="0"/>
        <v>0</v>
      </c>
      <c r="S25" s="82">
        <f t="shared" si="1"/>
        <v>0</v>
      </c>
      <c r="T25" s="82">
        <f t="shared" si="2"/>
        <v>0</v>
      </c>
      <c r="U25" s="82">
        <f t="shared" si="16"/>
        <v>0</v>
      </c>
      <c r="V25" s="82"/>
      <c r="W25" s="82"/>
      <c r="X25" s="85" t="s">
        <v>63</v>
      </c>
      <c r="Y25" s="86"/>
      <c r="Z25" s="5">
        <f t="shared" si="10"/>
        <v>0</v>
      </c>
      <c r="AA25" s="14">
        <f t="shared" si="6"/>
        <v>0</v>
      </c>
      <c r="AB25" s="86"/>
      <c r="AC25" s="86">
        <f t="shared" si="11"/>
        <v>0</v>
      </c>
      <c r="AD25" s="14">
        <f t="shared" si="3"/>
        <v>0</v>
      </c>
      <c r="AE25" s="82">
        <f t="shared" si="12"/>
        <v>0</v>
      </c>
      <c r="AF25" s="82"/>
      <c r="AG25" s="82"/>
      <c r="AH25" s="82"/>
      <c r="AI25" s="86">
        <f t="shared" si="13"/>
        <v>0</v>
      </c>
      <c r="AJ25" s="86"/>
      <c r="AK25" s="47">
        <f t="shared" si="8"/>
        <v>0</v>
      </c>
      <c r="AL25" s="88">
        <f t="shared" si="4"/>
        <v>0</v>
      </c>
      <c r="AM25" s="82">
        <f t="shared" si="14"/>
        <v>0</v>
      </c>
      <c r="AN25" s="5"/>
      <c r="AO25" s="77">
        <f t="shared" si="5"/>
        <v>0</v>
      </c>
    </row>
    <row r="26" spans="1:41" x14ac:dyDescent="0.25">
      <c r="A26" s="78">
        <v>44702</v>
      </c>
      <c r="B26" s="85"/>
      <c r="C26" s="85"/>
      <c r="D26" s="85"/>
      <c r="E26" s="85"/>
      <c r="F26" s="85"/>
      <c r="G26" s="85"/>
      <c r="H26" s="85"/>
      <c r="I26" s="85"/>
      <c r="J26" s="85"/>
      <c r="K26" s="85">
        <f t="shared" si="15"/>
        <v>0</v>
      </c>
      <c r="L26" s="14">
        <f t="shared" si="9"/>
        <v>0</v>
      </c>
      <c r="M26" s="82"/>
      <c r="N26" s="82"/>
      <c r="O26" s="82"/>
      <c r="P26" s="81"/>
      <c r="Q26" s="82"/>
      <c r="R26" s="82">
        <f t="shared" si="0"/>
        <v>0</v>
      </c>
      <c r="S26" s="82">
        <f t="shared" si="1"/>
        <v>0</v>
      </c>
      <c r="T26" s="82">
        <f t="shared" si="2"/>
        <v>0</v>
      </c>
      <c r="U26" s="82">
        <f t="shared" si="16"/>
        <v>0</v>
      </c>
      <c r="V26" s="82"/>
      <c r="W26" s="82"/>
      <c r="X26" s="85" t="s">
        <v>63</v>
      </c>
      <c r="Y26" s="86"/>
      <c r="Z26" s="5">
        <f t="shared" si="10"/>
        <v>0</v>
      </c>
      <c r="AA26" s="14">
        <f t="shared" si="6"/>
        <v>0</v>
      </c>
      <c r="AB26" s="86"/>
      <c r="AC26" s="86">
        <f t="shared" si="11"/>
        <v>0</v>
      </c>
      <c r="AD26" s="14">
        <f t="shared" si="3"/>
        <v>0</v>
      </c>
      <c r="AE26" s="82">
        <f t="shared" si="12"/>
        <v>0</v>
      </c>
      <c r="AF26" s="82"/>
      <c r="AG26" s="82"/>
      <c r="AH26" s="82"/>
      <c r="AI26" s="86">
        <f t="shared" si="13"/>
        <v>0</v>
      </c>
      <c r="AJ26" s="86"/>
      <c r="AK26" s="47">
        <f t="shared" si="8"/>
        <v>0</v>
      </c>
      <c r="AL26" s="88">
        <f t="shared" si="4"/>
        <v>0</v>
      </c>
      <c r="AM26" s="82">
        <f t="shared" si="14"/>
        <v>0</v>
      </c>
      <c r="AN26" s="5"/>
      <c r="AO26" s="77">
        <f t="shared" si="5"/>
        <v>0</v>
      </c>
    </row>
    <row r="27" spans="1:41" x14ac:dyDescent="0.25">
      <c r="A27" s="78">
        <v>44703</v>
      </c>
      <c r="B27" s="85"/>
      <c r="C27" s="85"/>
      <c r="D27" s="85"/>
      <c r="E27" s="85"/>
      <c r="F27" s="85"/>
      <c r="G27" s="85"/>
      <c r="H27" s="85"/>
      <c r="I27" s="85"/>
      <c r="J27" s="85"/>
      <c r="K27" s="85">
        <f t="shared" si="15"/>
        <v>0</v>
      </c>
      <c r="L27" s="14">
        <f t="shared" si="9"/>
        <v>0</v>
      </c>
      <c r="M27" s="82"/>
      <c r="N27" s="82"/>
      <c r="O27" s="82"/>
      <c r="P27" s="81"/>
      <c r="Q27" s="82"/>
      <c r="R27" s="82">
        <f t="shared" si="0"/>
        <v>0</v>
      </c>
      <c r="S27" s="82">
        <f t="shared" si="1"/>
        <v>0</v>
      </c>
      <c r="T27" s="82">
        <f t="shared" si="2"/>
        <v>0</v>
      </c>
      <c r="U27" s="82">
        <f t="shared" si="16"/>
        <v>0</v>
      </c>
      <c r="V27" s="82"/>
      <c r="W27" s="82"/>
      <c r="X27" s="85" t="s">
        <v>63</v>
      </c>
      <c r="Y27" s="86"/>
      <c r="Z27" s="5">
        <f t="shared" si="10"/>
        <v>0</v>
      </c>
      <c r="AA27" s="14">
        <f t="shared" si="6"/>
        <v>0</v>
      </c>
      <c r="AB27" s="86"/>
      <c r="AC27" s="86">
        <f t="shared" si="11"/>
        <v>0</v>
      </c>
      <c r="AD27" s="14">
        <f t="shared" si="3"/>
        <v>0</v>
      </c>
      <c r="AE27" s="82">
        <f t="shared" si="12"/>
        <v>0</v>
      </c>
      <c r="AF27" s="82"/>
      <c r="AG27" s="82"/>
      <c r="AH27" s="82"/>
      <c r="AI27" s="86">
        <f t="shared" si="13"/>
        <v>0</v>
      </c>
      <c r="AJ27" s="86"/>
      <c r="AK27" s="47">
        <f t="shared" si="8"/>
        <v>0</v>
      </c>
      <c r="AL27" s="88">
        <f t="shared" si="4"/>
        <v>0</v>
      </c>
      <c r="AM27" s="82">
        <f t="shared" si="14"/>
        <v>0</v>
      </c>
      <c r="AN27" s="5"/>
      <c r="AO27" s="77">
        <f t="shared" si="5"/>
        <v>0</v>
      </c>
    </row>
    <row r="28" spans="1:41" x14ac:dyDescent="0.25">
      <c r="A28" s="78">
        <v>44704</v>
      </c>
      <c r="B28" s="85"/>
      <c r="C28" s="85"/>
      <c r="D28" s="85"/>
      <c r="E28" s="85"/>
      <c r="F28" s="85"/>
      <c r="G28" s="85"/>
      <c r="H28" s="85"/>
      <c r="I28" s="85"/>
      <c r="J28" s="85"/>
      <c r="K28" s="85">
        <f t="shared" si="15"/>
        <v>0</v>
      </c>
      <c r="L28" s="14">
        <f t="shared" si="9"/>
        <v>0</v>
      </c>
      <c r="M28" s="82"/>
      <c r="N28" s="82"/>
      <c r="O28" s="82"/>
      <c r="P28" s="81"/>
      <c r="Q28" s="82"/>
      <c r="R28" s="82">
        <f t="shared" si="0"/>
        <v>0</v>
      </c>
      <c r="S28" s="82">
        <f t="shared" si="1"/>
        <v>0</v>
      </c>
      <c r="T28" s="82">
        <f t="shared" si="2"/>
        <v>0</v>
      </c>
      <c r="U28" s="82">
        <f t="shared" si="16"/>
        <v>0</v>
      </c>
      <c r="V28" s="82"/>
      <c r="W28" s="82"/>
      <c r="X28" s="85" t="s">
        <v>63</v>
      </c>
      <c r="Y28" s="86"/>
      <c r="Z28" s="5">
        <f t="shared" si="10"/>
        <v>0</v>
      </c>
      <c r="AA28" s="14">
        <f t="shared" si="6"/>
        <v>0</v>
      </c>
      <c r="AB28" s="86"/>
      <c r="AC28" s="86">
        <f t="shared" si="11"/>
        <v>0</v>
      </c>
      <c r="AD28" s="14">
        <f t="shared" si="3"/>
        <v>0</v>
      </c>
      <c r="AE28" s="82">
        <f t="shared" si="12"/>
        <v>0</v>
      </c>
      <c r="AF28" s="82"/>
      <c r="AG28" s="82"/>
      <c r="AH28" s="82"/>
      <c r="AI28" s="86">
        <f t="shared" si="13"/>
        <v>0</v>
      </c>
      <c r="AJ28" s="86"/>
      <c r="AK28" s="47">
        <f t="shared" si="8"/>
        <v>0</v>
      </c>
      <c r="AL28" s="88">
        <f t="shared" si="4"/>
        <v>0</v>
      </c>
      <c r="AM28" s="82">
        <f t="shared" si="14"/>
        <v>0</v>
      </c>
      <c r="AN28" s="5"/>
      <c r="AO28" s="77">
        <f t="shared" si="5"/>
        <v>0</v>
      </c>
    </row>
    <row r="29" spans="1:41" x14ac:dyDescent="0.25">
      <c r="A29" s="78">
        <v>44705</v>
      </c>
      <c r="B29" s="85"/>
      <c r="C29" s="85"/>
      <c r="D29" s="85"/>
      <c r="E29" s="85"/>
      <c r="F29" s="85"/>
      <c r="G29" s="85"/>
      <c r="H29" s="85"/>
      <c r="I29" s="85"/>
      <c r="J29" s="85"/>
      <c r="K29" s="85">
        <f t="shared" si="15"/>
        <v>0</v>
      </c>
      <c r="L29" s="14">
        <f t="shared" si="9"/>
        <v>0</v>
      </c>
      <c r="M29" s="82"/>
      <c r="N29" s="82"/>
      <c r="O29" s="82"/>
      <c r="P29" s="81"/>
      <c r="Q29" s="82"/>
      <c r="R29" s="82">
        <f t="shared" si="0"/>
        <v>0</v>
      </c>
      <c r="S29" s="82">
        <f t="shared" si="1"/>
        <v>0</v>
      </c>
      <c r="T29" s="82">
        <f t="shared" si="2"/>
        <v>0</v>
      </c>
      <c r="U29" s="82">
        <f t="shared" si="16"/>
        <v>0</v>
      </c>
      <c r="V29" s="82"/>
      <c r="W29" s="82"/>
      <c r="X29" s="85" t="s">
        <v>63</v>
      </c>
      <c r="Y29" s="86"/>
      <c r="Z29" s="5">
        <f t="shared" si="10"/>
        <v>0</v>
      </c>
      <c r="AA29" s="14">
        <f t="shared" si="6"/>
        <v>0</v>
      </c>
      <c r="AB29" s="86"/>
      <c r="AC29" s="86">
        <f t="shared" si="11"/>
        <v>0</v>
      </c>
      <c r="AD29" s="14">
        <f t="shared" si="3"/>
        <v>0</v>
      </c>
      <c r="AE29" s="82">
        <f t="shared" si="12"/>
        <v>0</v>
      </c>
      <c r="AF29" s="82"/>
      <c r="AG29" s="82"/>
      <c r="AH29" s="82"/>
      <c r="AI29" s="86">
        <f t="shared" si="13"/>
        <v>0</v>
      </c>
      <c r="AJ29" s="86"/>
      <c r="AK29" s="47">
        <f t="shared" si="8"/>
        <v>0</v>
      </c>
      <c r="AL29" s="88">
        <f t="shared" si="4"/>
        <v>0</v>
      </c>
      <c r="AM29" s="82">
        <f t="shared" si="14"/>
        <v>0</v>
      </c>
      <c r="AN29" s="5"/>
      <c r="AO29" s="77">
        <f t="shared" si="5"/>
        <v>0</v>
      </c>
    </row>
    <row r="30" spans="1:41" x14ac:dyDescent="0.25">
      <c r="A30" s="78">
        <v>44706</v>
      </c>
      <c r="B30" s="85"/>
      <c r="C30" s="85"/>
      <c r="D30" s="85"/>
      <c r="E30" s="85"/>
      <c r="F30" s="85"/>
      <c r="G30" s="85"/>
      <c r="H30" s="85"/>
      <c r="I30" s="85"/>
      <c r="J30" s="85"/>
      <c r="K30" s="85">
        <f t="shared" si="15"/>
        <v>0</v>
      </c>
      <c r="L30" s="14">
        <f t="shared" si="9"/>
        <v>0</v>
      </c>
      <c r="M30" s="82"/>
      <c r="N30" s="82"/>
      <c r="O30" s="82"/>
      <c r="P30" s="81"/>
      <c r="Q30" s="82"/>
      <c r="R30" s="82">
        <f t="shared" si="0"/>
        <v>0</v>
      </c>
      <c r="S30" s="82">
        <f t="shared" si="1"/>
        <v>0</v>
      </c>
      <c r="T30" s="82">
        <f t="shared" si="2"/>
        <v>0</v>
      </c>
      <c r="U30" s="82">
        <f t="shared" si="16"/>
        <v>0</v>
      </c>
      <c r="V30" s="82"/>
      <c r="W30" s="82"/>
      <c r="X30" s="85" t="s">
        <v>63</v>
      </c>
      <c r="Y30" s="86"/>
      <c r="Z30" s="5">
        <f t="shared" si="10"/>
        <v>0</v>
      </c>
      <c r="AA30" s="14">
        <f t="shared" si="6"/>
        <v>0</v>
      </c>
      <c r="AB30" s="86"/>
      <c r="AC30" s="86">
        <f t="shared" si="11"/>
        <v>0</v>
      </c>
      <c r="AD30" s="14">
        <f t="shared" si="3"/>
        <v>0</v>
      </c>
      <c r="AE30" s="82">
        <f t="shared" si="12"/>
        <v>0</v>
      </c>
      <c r="AF30" s="82"/>
      <c r="AG30" s="82"/>
      <c r="AH30" s="82"/>
      <c r="AI30" s="86">
        <f t="shared" si="13"/>
        <v>0</v>
      </c>
      <c r="AJ30" s="86"/>
      <c r="AK30" s="47">
        <f t="shared" si="8"/>
        <v>0</v>
      </c>
      <c r="AL30" s="88">
        <f t="shared" si="4"/>
        <v>0</v>
      </c>
      <c r="AM30" s="82">
        <f t="shared" si="14"/>
        <v>0</v>
      </c>
      <c r="AN30" s="5"/>
      <c r="AO30" s="77">
        <f t="shared" si="5"/>
        <v>0</v>
      </c>
    </row>
    <row r="31" spans="1:41" x14ac:dyDescent="0.25">
      <c r="A31" s="78">
        <v>44707</v>
      </c>
      <c r="B31" s="85"/>
      <c r="C31" s="85"/>
      <c r="D31" s="85"/>
      <c r="E31" s="85"/>
      <c r="F31" s="85"/>
      <c r="G31" s="85"/>
      <c r="H31" s="85"/>
      <c r="I31" s="85"/>
      <c r="J31" s="85"/>
      <c r="K31" s="85">
        <f t="shared" si="15"/>
        <v>0</v>
      </c>
      <c r="L31" s="14">
        <f t="shared" si="9"/>
        <v>0</v>
      </c>
      <c r="M31" s="82"/>
      <c r="N31" s="82"/>
      <c r="O31" s="82"/>
      <c r="P31" s="82"/>
      <c r="Q31" s="82"/>
      <c r="R31" s="82">
        <f t="shared" si="0"/>
        <v>0</v>
      </c>
      <c r="S31" s="82">
        <f t="shared" si="1"/>
        <v>0</v>
      </c>
      <c r="T31" s="82">
        <f t="shared" si="2"/>
        <v>0</v>
      </c>
      <c r="U31" s="82">
        <f t="shared" si="16"/>
        <v>0</v>
      </c>
      <c r="V31" s="121"/>
      <c r="W31" s="121"/>
      <c r="X31" s="85" t="s">
        <v>63</v>
      </c>
      <c r="Y31" s="86"/>
      <c r="Z31" s="5">
        <f t="shared" si="10"/>
        <v>0</v>
      </c>
      <c r="AA31" s="14">
        <f t="shared" si="6"/>
        <v>0</v>
      </c>
      <c r="AB31" s="86"/>
      <c r="AC31" s="86">
        <f t="shared" si="11"/>
        <v>0</v>
      </c>
      <c r="AD31" s="14">
        <f t="shared" si="3"/>
        <v>0</v>
      </c>
      <c r="AE31" s="82">
        <f t="shared" si="12"/>
        <v>0</v>
      </c>
      <c r="AF31" s="82"/>
      <c r="AG31" s="82"/>
      <c r="AH31" s="82"/>
      <c r="AI31" s="86">
        <f t="shared" si="13"/>
        <v>0</v>
      </c>
      <c r="AJ31" s="86"/>
      <c r="AK31" s="47">
        <f t="shared" si="8"/>
        <v>0</v>
      </c>
      <c r="AL31" s="88">
        <f t="shared" si="4"/>
        <v>0</v>
      </c>
      <c r="AM31" s="82">
        <f t="shared" si="14"/>
        <v>0</v>
      </c>
      <c r="AN31" s="5"/>
      <c r="AO31" s="77">
        <f t="shared" si="5"/>
        <v>0</v>
      </c>
    </row>
    <row r="32" spans="1:41" x14ac:dyDescent="0.25">
      <c r="A32" s="78">
        <v>44708</v>
      </c>
      <c r="B32" s="85"/>
      <c r="C32" s="85"/>
      <c r="D32" s="85"/>
      <c r="E32" s="85"/>
      <c r="F32" s="85"/>
      <c r="G32" s="85"/>
      <c r="H32" s="85"/>
      <c r="I32" s="85"/>
      <c r="J32" s="85"/>
      <c r="K32" s="85">
        <f t="shared" si="15"/>
        <v>0</v>
      </c>
      <c r="L32" s="14">
        <f t="shared" si="9"/>
        <v>0</v>
      </c>
      <c r="M32" s="82"/>
      <c r="N32" s="82"/>
      <c r="O32" s="82"/>
      <c r="P32" s="81"/>
      <c r="Q32" s="82"/>
      <c r="R32" s="82">
        <f t="shared" si="0"/>
        <v>0</v>
      </c>
      <c r="S32" s="82">
        <f t="shared" si="1"/>
        <v>0</v>
      </c>
      <c r="T32" s="82">
        <f t="shared" si="2"/>
        <v>0</v>
      </c>
      <c r="U32" s="82">
        <f t="shared" si="16"/>
        <v>0</v>
      </c>
      <c r="V32" s="121"/>
      <c r="W32" s="121"/>
      <c r="X32" s="85" t="s">
        <v>63</v>
      </c>
      <c r="Y32" s="86"/>
      <c r="Z32" s="5">
        <f t="shared" si="10"/>
        <v>0</v>
      </c>
      <c r="AA32" s="14">
        <f t="shared" si="6"/>
        <v>0</v>
      </c>
      <c r="AB32" s="86"/>
      <c r="AC32" s="86">
        <f t="shared" si="11"/>
        <v>0</v>
      </c>
      <c r="AD32" s="14">
        <f t="shared" si="3"/>
        <v>0</v>
      </c>
      <c r="AE32" s="82">
        <f t="shared" si="12"/>
        <v>0</v>
      </c>
      <c r="AF32" s="82"/>
      <c r="AG32" s="82"/>
      <c r="AH32" s="82"/>
      <c r="AI32" s="86">
        <f t="shared" si="13"/>
        <v>0</v>
      </c>
      <c r="AJ32" s="86"/>
      <c r="AK32" s="47">
        <f t="shared" si="8"/>
        <v>0</v>
      </c>
      <c r="AL32" s="88">
        <f t="shared" si="4"/>
        <v>0</v>
      </c>
      <c r="AM32" s="82">
        <f t="shared" si="14"/>
        <v>0</v>
      </c>
      <c r="AN32" s="5"/>
      <c r="AO32" s="77">
        <f t="shared" si="5"/>
        <v>0</v>
      </c>
    </row>
    <row r="33" spans="1:41" x14ac:dyDescent="0.25">
      <c r="A33" s="78">
        <v>44709</v>
      </c>
      <c r="B33" s="85"/>
      <c r="C33" s="85"/>
      <c r="D33" s="85"/>
      <c r="E33" s="85"/>
      <c r="F33" s="85"/>
      <c r="G33" s="85"/>
      <c r="H33" s="85"/>
      <c r="I33" s="85"/>
      <c r="J33" s="85"/>
      <c r="K33" s="85">
        <f t="shared" si="15"/>
        <v>0</v>
      </c>
      <c r="L33" s="14">
        <f t="shared" si="9"/>
        <v>0</v>
      </c>
      <c r="M33" s="82"/>
      <c r="N33" s="82"/>
      <c r="O33" s="82"/>
      <c r="P33" s="81"/>
      <c r="Q33" s="82"/>
      <c r="R33" s="82">
        <f t="shared" si="0"/>
        <v>0</v>
      </c>
      <c r="S33" s="82">
        <f t="shared" si="1"/>
        <v>0</v>
      </c>
      <c r="T33" s="82">
        <f t="shared" si="2"/>
        <v>0</v>
      </c>
      <c r="U33" s="82">
        <f t="shared" si="16"/>
        <v>0</v>
      </c>
      <c r="V33" s="121"/>
      <c r="W33" s="121"/>
      <c r="X33" s="85" t="s">
        <v>63</v>
      </c>
      <c r="Y33" s="86"/>
      <c r="Z33" s="5">
        <f t="shared" si="10"/>
        <v>0</v>
      </c>
      <c r="AA33" s="14">
        <f t="shared" si="6"/>
        <v>0</v>
      </c>
      <c r="AB33" s="86"/>
      <c r="AC33" s="86">
        <f t="shared" si="11"/>
        <v>0</v>
      </c>
      <c r="AD33" s="14">
        <f t="shared" si="3"/>
        <v>0</v>
      </c>
      <c r="AE33" s="82">
        <f t="shared" si="12"/>
        <v>0</v>
      </c>
      <c r="AF33" s="82"/>
      <c r="AG33" s="82"/>
      <c r="AH33" s="82"/>
      <c r="AI33" s="86">
        <f t="shared" si="13"/>
        <v>0</v>
      </c>
      <c r="AJ33" s="86"/>
      <c r="AK33" s="47">
        <f t="shared" si="8"/>
        <v>0</v>
      </c>
      <c r="AL33" s="88">
        <f t="shared" si="4"/>
        <v>0</v>
      </c>
      <c r="AM33" s="82">
        <f t="shared" si="14"/>
        <v>0</v>
      </c>
      <c r="AN33" s="5"/>
      <c r="AO33" s="77">
        <f t="shared" si="5"/>
        <v>0</v>
      </c>
    </row>
    <row r="34" spans="1:41" x14ac:dyDescent="0.25">
      <c r="A34" s="78">
        <v>44710</v>
      </c>
      <c r="B34" s="85"/>
      <c r="C34" s="85"/>
      <c r="D34" s="85"/>
      <c r="E34" s="85"/>
      <c r="F34" s="85"/>
      <c r="G34" s="85"/>
      <c r="H34" s="85"/>
      <c r="I34" s="85"/>
      <c r="J34" s="85"/>
      <c r="K34" s="85">
        <f t="shared" si="15"/>
        <v>0</v>
      </c>
      <c r="L34" s="14">
        <f t="shared" si="9"/>
        <v>0</v>
      </c>
      <c r="M34" s="82"/>
      <c r="N34" s="82"/>
      <c r="O34" s="82"/>
      <c r="P34" s="81"/>
      <c r="Q34" s="82"/>
      <c r="R34" s="82">
        <f t="shared" si="0"/>
        <v>0</v>
      </c>
      <c r="S34" s="82">
        <f t="shared" si="1"/>
        <v>0</v>
      </c>
      <c r="T34" s="82">
        <f t="shared" si="2"/>
        <v>0</v>
      </c>
      <c r="U34" s="82">
        <f t="shared" si="16"/>
        <v>0</v>
      </c>
      <c r="V34" s="121"/>
      <c r="W34" s="121"/>
      <c r="X34" s="85" t="s">
        <v>63</v>
      </c>
      <c r="Y34" s="86"/>
      <c r="Z34" s="5">
        <f t="shared" si="10"/>
        <v>0</v>
      </c>
      <c r="AA34" s="14">
        <f t="shared" si="6"/>
        <v>0</v>
      </c>
      <c r="AB34" s="86"/>
      <c r="AC34" s="86">
        <f t="shared" si="11"/>
        <v>0</v>
      </c>
      <c r="AD34" s="14">
        <f t="shared" si="3"/>
        <v>0</v>
      </c>
      <c r="AE34" s="82">
        <f t="shared" si="12"/>
        <v>0</v>
      </c>
      <c r="AF34" s="82"/>
      <c r="AG34" s="82"/>
      <c r="AH34" s="82"/>
      <c r="AI34" s="86">
        <f t="shared" si="13"/>
        <v>0</v>
      </c>
      <c r="AJ34" s="86"/>
      <c r="AK34" s="47">
        <f t="shared" si="8"/>
        <v>0</v>
      </c>
      <c r="AL34" s="88">
        <f t="shared" si="4"/>
        <v>0</v>
      </c>
      <c r="AM34" s="82">
        <f t="shared" si="14"/>
        <v>0</v>
      </c>
      <c r="AN34" s="5"/>
      <c r="AO34" s="77">
        <f t="shared" si="5"/>
        <v>0</v>
      </c>
    </row>
    <row r="35" spans="1:41" x14ac:dyDescent="0.25">
      <c r="A35" s="78">
        <v>44711</v>
      </c>
      <c r="B35" s="85"/>
      <c r="C35" s="85"/>
      <c r="D35" s="85"/>
      <c r="E35" s="85"/>
      <c r="F35" s="85"/>
      <c r="G35" s="85"/>
      <c r="H35" s="85"/>
      <c r="I35" s="85"/>
      <c r="J35" s="85"/>
      <c r="K35" s="85">
        <f t="shared" ref="K35:K36" si="17">SUM(B35:H35)</f>
        <v>0</v>
      </c>
      <c r="L35" s="14">
        <f t="shared" ref="L35:L36" si="18">K35*0.2</f>
        <v>0</v>
      </c>
      <c r="M35" s="82"/>
      <c r="N35" s="82"/>
      <c r="O35" s="82"/>
      <c r="P35" s="81"/>
      <c r="Q35" s="82"/>
      <c r="R35" s="82">
        <f t="shared" ref="R35:R36" si="19">N35+O35+P35</f>
        <v>0</v>
      </c>
      <c r="S35" s="82">
        <f t="shared" ref="S35:S36" si="20">(N35+O35+P35)*7.84</f>
        <v>0</v>
      </c>
      <c r="T35" s="82">
        <f t="shared" ref="T35:T36" si="21">M35+Q35</f>
        <v>0</v>
      </c>
      <c r="U35" s="82">
        <f t="shared" ref="U35:U36" si="22">T35*7.84</f>
        <v>0</v>
      </c>
      <c r="V35" s="121"/>
      <c r="W35" s="121"/>
      <c r="X35" s="85" t="s">
        <v>63</v>
      </c>
      <c r="Y35" s="86"/>
      <c r="Z35" s="5">
        <f t="shared" ref="Z35:Z36" si="23">IF((Y35-Y34&lt;0), "0",Y35-Y34)</f>
        <v>0</v>
      </c>
      <c r="AA35" s="14">
        <f t="shared" ref="AA35:AA36" si="24">Z35*6.47</f>
        <v>0</v>
      </c>
      <c r="AB35" s="86"/>
      <c r="AC35" s="86">
        <f t="shared" ref="AC35:AC36" si="25">AB34</f>
        <v>0</v>
      </c>
      <c r="AD35" s="14">
        <f t="shared" ref="AD35:AD36" si="26">IF((AB35-AC35&lt;0), "0",AB35-AC35)</f>
        <v>0</v>
      </c>
      <c r="AE35" s="82">
        <f t="shared" si="12"/>
        <v>0</v>
      </c>
      <c r="AF35" s="82"/>
      <c r="AG35" s="82"/>
      <c r="AH35" s="82"/>
      <c r="AI35" s="86">
        <f t="shared" si="13"/>
        <v>0</v>
      </c>
      <c r="AJ35" s="86"/>
      <c r="AK35" s="47">
        <f t="shared" ref="AK35:AK36" si="27">IF((AJ35-AI35)&lt;0, "0",AJ35-AI35)</f>
        <v>0</v>
      </c>
      <c r="AL35" s="88">
        <f t="shared" ref="AL35:AL36" si="28">AK35*(284.34513609)</f>
        <v>0</v>
      </c>
      <c r="AM35" s="82">
        <f t="shared" ref="AM35:AM36" si="29">AL35*0.332195</f>
        <v>0</v>
      </c>
      <c r="AN35" s="5"/>
      <c r="AO35" s="77">
        <f t="shared" si="5"/>
        <v>0</v>
      </c>
    </row>
    <row r="36" spans="1:41" x14ac:dyDescent="0.25">
      <c r="A36" s="78">
        <v>44712</v>
      </c>
      <c r="B36" s="85"/>
      <c r="C36" s="85"/>
      <c r="D36" s="85"/>
      <c r="E36" s="85"/>
      <c r="F36" s="85"/>
      <c r="G36" s="85"/>
      <c r="H36" s="85"/>
      <c r="I36" s="85"/>
      <c r="J36" s="85"/>
      <c r="K36" s="85">
        <f t="shared" si="17"/>
        <v>0</v>
      </c>
      <c r="L36" s="14">
        <f t="shared" si="18"/>
        <v>0</v>
      </c>
      <c r="M36" s="82"/>
      <c r="N36" s="82"/>
      <c r="O36" s="82"/>
      <c r="P36" s="81"/>
      <c r="Q36" s="82"/>
      <c r="R36" s="82">
        <f t="shared" si="19"/>
        <v>0</v>
      </c>
      <c r="S36" s="82">
        <f t="shared" si="20"/>
        <v>0</v>
      </c>
      <c r="T36" s="82">
        <f t="shared" si="21"/>
        <v>0</v>
      </c>
      <c r="U36" s="82">
        <f t="shared" si="22"/>
        <v>0</v>
      </c>
      <c r="V36" s="121"/>
      <c r="W36" s="121"/>
      <c r="X36" s="85" t="s">
        <v>63</v>
      </c>
      <c r="Y36" s="86"/>
      <c r="Z36" s="5">
        <f t="shared" si="23"/>
        <v>0</v>
      </c>
      <c r="AA36" s="14">
        <f t="shared" si="24"/>
        <v>0</v>
      </c>
      <c r="AB36" s="86"/>
      <c r="AC36" s="86">
        <f t="shared" si="25"/>
        <v>0</v>
      </c>
      <c r="AD36" s="14">
        <f t="shared" si="26"/>
        <v>0</v>
      </c>
      <c r="AE36" s="82">
        <f t="shared" si="12"/>
        <v>0</v>
      </c>
      <c r="AF36" s="82"/>
      <c r="AG36" s="82"/>
      <c r="AH36" s="82"/>
      <c r="AI36" s="86">
        <f t="shared" si="13"/>
        <v>0</v>
      </c>
      <c r="AJ36" s="86"/>
      <c r="AK36" s="47">
        <f t="shared" si="27"/>
        <v>0</v>
      </c>
      <c r="AL36" s="88">
        <f t="shared" si="28"/>
        <v>0</v>
      </c>
      <c r="AM36" s="82">
        <f t="shared" si="29"/>
        <v>0</v>
      </c>
      <c r="AN36" s="5"/>
      <c r="AO36" s="77">
        <f t="shared" si="5"/>
        <v>0</v>
      </c>
    </row>
    <row r="37" spans="1:41" x14ac:dyDescent="0.25">
      <c r="A37" s="75"/>
      <c r="D37" s="6">
        <f>SUM(D6:D36)</f>
        <v>11496</v>
      </c>
      <c r="E37" s="6" t="s">
        <v>93</v>
      </c>
      <c r="G37" s="6">
        <f t="shared" ref="G37:L37" si="30">SUM(G6:G36)</f>
        <v>36865</v>
      </c>
      <c r="H37" s="6">
        <f t="shared" si="30"/>
        <v>119371</v>
      </c>
      <c r="I37" s="6">
        <f t="shared" si="30"/>
        <v>30254</v>
      </c>
      <c r="J37" s="6">
        <f t="shared" si="30"/>
        <v>91781</v>
      </c>
      <c r="K37" s="6">
        <f t="shared" si="30"/>
        <v>481847</v>
      </c>
      <c r="L37" s="15">
        <f t="shared" si="30"/>
        <v>96369.4</v>
      </c>
      <c r="R37" s="16">
        <f>SUM(R6:R36)</f>
        <v>1028.4910000000027</v>
      </c>
      <c r="T37" s="16">
        <f>SUM(T6:T36)</f>
        <v>2584.5069999999978</v>
      </c>
      <c r="U37" s="16">
        <f t="shared" si="16"/>
        <v>20262.534879999981</v>
      </c>
      <c r="Z37" s="17">
        <f>SUM(Z6:Z36)</f>
        <v>9736</v>
      </c>
      <c r="AA37" s="17">
        <f>SUM(AA6:AA36)</f>
        <v>62991.92</v>
      </c>
      <c r="AD37" s="17">
        <f>SUM(AD6:AD36)</f>
        <v>301907</v>
      </c>
      <c r="AE37" s="16">
        <f>AD37*0.334569</f>
        <v>101008.723083</v>
      </c>
      <c r="AF37" s="16">
        <f>SUM(AF6:AF36)</f>
        <v>496.30000000000291</v>
      </c>
      <c r="AG37" s="16">
        <f>SUM(AG6:AG36)</f>
        <v>0</v>
      </c>
      <c r="AH37" s="16">
        <f>SUM(AH6:AH36)</f>
        <v>173.60000000000218</v>
      </c>
      <c r="AK37" s="41">
        <f>SUM(AK6:AK36)</f>
        <v>403.40000000000146</v>
      </c>
      <c r="AL37" s="41">
        <f>SUM(AL6:AL36)</f>
        <v>114704.82789870641</v>
      </c>
      <c r="AM37" s="41">
        <f>SUM(AM6:AM36)</f>
        <v>38104.370303810778</v>
      </c>
      <c r="AN37" s="41">
        <f>SUM(AN6:AN36)</f>
        <v>1206</v>
      </c>
      <c r="AO37" s="41">
        <f>SUM(AO6:AO36)</f>
        <v>279915.850745</v>
      </c>
    </row>
    <row r="38" spans="1:41" x14ac:dyDescent="0.25">
      <c r="D38" s="6" t="e">
        <f>#REF!*24</f>
        <v>#REF!</v>
      </c>
      <c r="E38" s="6" t="s">
        <v>1</v>
      </c>
      <c r="R38" s="16">
        <v>7.84</v>
      </c>
      <c r="T38" s="16" t="s">
        <v>99</v>
      </c>
      <c r="U38" s="16">
        <f>U37-R39</f>
        <v>12199.165439999961</v>
      </c>
    </row>
    <row r="39" spans="1:41" x14ac:dyDescent="0.25">
      <c r="D39" s="6" t="e">
        <f>D38*31</f>
        <v>#REF!</v>
      </c>
      <c r="E39" s="6" t="s">
        <v>2</v>
      </c>
      <c r="F39" s="6" t="s">
        <v>94</v>
      </c>
      <c r="G39" s="6" t="e">
        <f>D39*0.2</f>
        <v>#REF!</v>
      </c>
      <c r="R39" s="16">
        <f>R37*R38</f>
        <v>8063.3694400000213</v>
      </c>
      <c r="U39" s="16">
        <f>U38/R38</f>
        <v>1556.0159999999951</v>
      </c>
    </row>
    <row r="40" spans="1:41" x14ac:dyDescent="0.25">
      <c r="D40" s="15" t="e">
        <f>D39*0.2</f>
        <v>#REF!</v>
      </c>
    </row>
    <row r="41" spans="1:41" x14ac:dyDescent="0.25">
      <c r="E41" s="67"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a21bcabd-71d1-4587-a317-3c23b4e73213">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4EB0F865-9138-4E1D-8771-8D60B0AC9DE3}">
  <ds:schemaRefs>
    <ds:schemaRef ds:uri="http://purl.org/dc/dcmitype/"/>
    <ds:schemaRef ds:uri="http://www.w3.org/XML/1998/namespace"/>
    <ds:schemaRef ds:uri="http://schemas.microsoft.com/office/infopath/2007/PartnerControls"/>
    <ds:schemaRef ds:uri="http://purl.org/dc/elements/1.1/"/>
    <ds:schemaRef ds:uri="a21bcabd-71d1-4587-a317-3c23b4e73213"/>
    <ds:schemaRef ds:uri="http://schemas.microsoft.com/office/2006/documentManagement/types"/>
    <ds:schemaRef ds:uri="999013b5-db2e-47f1-85a9-df7f954d7a13"/>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7D819B4-D725-455F-AEDD-F2BAEBA7CB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2022-05-17T07:15:59Z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