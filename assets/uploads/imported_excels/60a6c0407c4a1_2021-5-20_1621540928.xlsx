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2" i="7" l="1"/>
  <c r="CQ22" i="7" l="1"/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<sst xmlns="http://schemas.openxmlformats.org/spreadsheetml/2006/main" count="315" uniqueCount="148">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</sst>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9360.0000000002092</v>
      </c>
      <c r="F16" s="11">
        <f t="shared" si="1"/>
        <v>0.58765030286592534</v>
      </c>
      <c r="G16" s="12">
        <f>(Submetering!AX16+Submetering!AY16+Submetering!AZ16+Submetering!BA16+Submetering!BB16)</f>
        <v>23.8095</v>
      </c>
      <c r="H16" s="11">
        <f t="shared" si="2"/>
        <v>0.99</v>
      </c>
      <c r="I16" s="12">
        <f>'FS Desroches Daily'!CM18</f>
        <v>62</v>
      </c>
      <c r="J16" s="11">
        <f t="shared" si="3"/>
        <v>10.487297712684205</v>
      </c>
      <c r="K16" s="13">
        <f>'FS Desroches Daily'!CN18</f>
        <v>8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9699.9999999996962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49</v>
      </c>
      <c r="J17" s="11">
        <f t="shared" si="3"/>
        <v>10.487297712684205</v>
      </c>
      <c r="K17" s="13">
        <f>'FS Desroches Daily'!CN19</f>
        <v>8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9080.0000000000364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73</v>
      </c>
      <c r="J18" s="11">
        <f t="shared" si="3"/>
        <v>10.487297712684205</v>
      </c>
      <c r="K18" s="13">
        <f>'FS Desroches Daily'!CN20</f>
        <v>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8759.9999999999345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178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8800.0000000002874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69</v>
      </c>
      <c r="J20" s="11">
        <f t="shared" si="3"/>
        <v>10.487297712684205</v>
      </c>
      <c r="K20" s="13">
        <f>'FS Desroches Daily'!CN22</f>
        <v>13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1900.0000000000127</v>
      </c>
      <c r="F16" s="32">
        <f>'FS Desroches Daily'!F18</f>
        <v>3200.0000000000919</v>
      </c>
      <c r="G16" s="31">
        <f>'FS Desroches Daily'!H18</f>
        <v>2699.9999999999245</v>
      </c>
      <c r="H16" s="32">
        <f>'FS Desroches Daily'!J18</f>
        <v>1300.0000000000789</v>
      </c>
      <c r="I16" s="31">
        <f>'FS Desroches Daily'!L18</f>
        <v>2200.0000000002019</v>
      </c>
      <c r="J16" s="32">
        <f>'FS Desroches Daily'!N18</f>
        <v>1000.0000000001119</v>
      </c>
      <c r="K16" s="13">
        <f>'FS Desroches Daily'!P18</f>
        <v>21</v>
      </c>
      <c r="L16" s="31">
        <f>'FS Desroches Daily'!R18</f>
        <v>5</v>
      </c>
      <c r="M16" s="31">
        <f>'FS Desroches Daily'!T18</f>
        <v>864.79999999993015</v>
      </c>
      <c r="N16" s="31">
        <f>'FS Desroches Daily'!V18</f>
        <v>380.09999999997672</v>
      </c>
      <c r="O16" s="31">
        <f>'FS Desroches Daily'!X18</f>
        <v>379.99999999999545</v>
      </c>
      <c r="P16" s="31">
        <f>'FS Desroches Daily'!Z18</f>
        <v>2800.0000000001355</v>
      </c>
      <c r="Q16" s="31">
        <f>'FS Desroches Daily'!AB18</f>
        <v>220.00000000002728</v>
      </c>
      <c r="R16" s="31">
        <f>'FS Desroches Daily'!AD18</f>
        <v>259.99999999999091</v>
      </c>
      <c r="S16" s="31">
        <f>'FS Desroches Daily'!AF18</f>
        <v>379.99999999999545</v>
      </c>
      <c r="T16" s="31">
        <f>'FS Desroches Daily'!AH18</f>
        <v>35</v>
      </c>
      <c r="U16" s="35">
        <f>'FS Desroches Daily'!AJ18</f>
        <v>950.00000000004547</v>
      </c>
      <c r="V16" s="35">
        <f>'FS Desroches Daily'!AL18</f>
        <v>240.00000000000909</v>
      </c>
      <c r="W16" s="35">
        <f>'FS Desroches Daily'!AN18</f>
        <v>60.000000000002274</v>
      </c>
      <c r="X16" s="35">
        <f>'FS Desroches Daily'!AP18</f>
        <v>260.00000000001933</v>
      </c>
      <c r="Y16" s="35">
        <f>'FS Desroches Daily'!AR18</f>
        <v>40.000000000020464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60.000000000002274</v>
      </c>
      <c r="AC16" s="35">
        <f>'FS Desroches Daily'!AZ18</f>
        <v>29.999999999972715</v>
      </c>
      <c r="AD16" s="35">
        <f>'FS Desroches Daily'!BB18</f>
        <v>9.9999999999909051</v>
      </c>
      <c r="AE16" s="35">
        <f>'FS Desroches Daily'!BD18</f>
        <v>19.99999999998181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50.000000000011369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19.99999999998181</v>
      </c>
      <c r="AL16" s="32">
        <f>'FS Desroches Daily'!BR18</f>
        <v>26</v>
      </c>
      <c r="AM16" s="32">
        <f>'FS Desroches Daily'!BT18</f>
        <v>19.99999999998181</v>
      </c>
      <c r="AN16" s="32">
        <f>'FS Desroches Daily'!BV18</f>
        <v>50</v>
      </c>
      <c r="AO16" s="32">
        <f>'FS Desroches Daily'!BX18</f>
        <v>19.99999999998181</v>
      </c>
      <c r="AP16" s="32">
        <f>'FS Desroches Daily'!BZ18</f>
        <v>51</v>
      </c>
      <c r="AQ16" s="31">
        <f>'FS Desroches Daily'!CB18</f>
        <v>44.900000000001455</v>
      </c>
      <c r="AR16" s="31">
        <f>'FS Desroches Daily'!CD18</f>
        <v>11.5</v>
      </c>
      <c r="AS16" s="31">
        <f>'FS Desroches Daily'!CF18</f>
        <v>24.699999999999818</v>
      </c>
      <c r="AT16" s="31">
        <f>'FS Desroches Daily'!CH18</f>
        <v>24.19999999999709</v>
      </c>
      <c r="AU16" s="31">
        <f>'FS Desroches Daily'!CJ18</f>
        <v>234.69999999995343</v>
      </c>
      <c r="AV16" s="31">
        <f>'FS Desroches Daily'!CL18</f>
        <v>740.00000000000909</v>
      </c>
      <c r="AW16" s="31">
        <f>'FS Desroches Daily'!CM18</f>
        <v>62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8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1900.0000000000127</v>
      </c>
      <c r="F17" s="32">
        <f>'FS Desroches Daily'!F19</f>
        <v>3199.9999999996476</v>
      </c>
      <c r="G17" s="31">
        <f>'FS Desroches Daily'!H19</f>
        <v>2800.0000000001355</v>
      </c>
      <c r="H17" s="32">
        <f>'FS Desroches Daily'!J19</f>
        <v>1400.0000000000678</v>
      </c>
      <c r="I17" s="31">
        <f>'FS Desroches Daily'!L19</f>
        <v>1999.9999999997797</v>
      </c>
      <c r="J17" s="32">
        <f>'FS Desroches Daily'!N19</f>
        <v>1099.9999999998788</v>
      </c>
      <c r="K17" s="13">
        <f>'FS Desroches Daily'!P19</f>
        <v>16</v>
      </c>
      <c r="L17" s="31">
        <f>'FS Desroches Daily'!R19</f>
        <v>5</v>
      </c>
      <c r="M17" s="31">
        <f>'FS Desroches Daily'!T19</f>
        <v>888.80000000004657</v>
      </c>
      <c r="N17" s="31">
        <f>'FS Desroches Daily'!V19</f>
        <v>364</v>
      </c>
      <c r="O17" s="31">
        <f>'FS Desroches Daily'!X19</f>
        <v>310.00000000000227</v>
      </c>
      <c r="P17" s="31">
        <f>'FS Desroches Daily'!Z19</f>
        <v>2899.9999999999027</v>
      </c>
      <c r="Q17" s="31">
        <f>'FS Desroches Daily'!AB19</f>
        <v>379.99999999999545</v>
      </c>
      <c r="R17" s="31">
        <f>'FS Desroches Daily'!AD19</f>
        <v>209.99999999997954</v>
      </c>
      <c r="S17" s="31">
        <f>'FS Desroches Daily'!AF19</f>
        <v>389.99999999998636</v>
      </c>
      <c r="T17" s="31">
        <f>'FS Desroches Daily'!AH19</f>
        <v>36</v>
      </c>
      <c r="U17" s="35">
        <f>'FS Desroches Daily'!AJ19</f>
        <v>809.99999999994543</v>
      </c>
      <c r="V17" s="35">
        <f>'FS Desroches Daily'!AL19</f>
        <v>219.99999999999886</v>
      </c>
      <c r="W17" s="35">
        <f>'FS Desroches Daily'!AN19</f>
        <v>99.999999999994316</v>
      </c>
      <c r="X17" s="35">
        <f>'FS Desroches Daily'!AP19</f>
        <v>250</v>
      </c>
      <c r="Y17" s="35">
        <f>'FS Desroches Daily'!AR19</f>
        <v>49.999999999982947</v>
      </c>
      <c r="Z17" s="35">
        <f>'FS Desroches Daily'!AU20</f>
        <v>283.17</v>
      </c>
      <c r="AA17" s="35">
        <f>'FS Desroches Daily'!AU20</f>
        <v>283.17</v>
      </c>
      <c r="AB17" s="35">
        <f>'FS Desroches Daily'!AV19</f>
        <v>50.000000000011369</v>
      </c>
      <c r="AC17" s="35">
        <f>'FS Desroches Daily'!AZ19</f>
        <v>30.000000000029559</v>
      </c>
      <c r="AD17" s="35">
        <f>'FS Desroches Daily'!BB19</f>
        <v>19.99999999998181</v>
      </c>
      <c r="AE17" s="35">
        <f>'FS Desroches Daily'!BD19</f>
        <v>20.000000000010232</v>
      </c>
      <c r="AF17" s="31">
        <f>'FS Desroches Daily'!BF19</f>
        <v>39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39.999999999992042</v>
      </c>
      <c r="AJ17" s="32">
        <f>'FS Desroches Daily'!BN19</f>
        <v>50.000000000011369</v>
      </c>
      <c r="AK17" s="32">
        <f>'FS Desroches Daily'!BP19</f>
        <v>29.999999999972715</v>
      </c>
      <c r="AL17" s="32">
        <f>'FS Desroches Daily'!BR19</f>
        <v>27</v>
      </c>
      <c r="AM17" s="32">
        <f>'FS Desroches Daily'!BT19</f>
        <v>0</v>
      </c>
      <c r="AN17" s="32">
        <f>'FS Desroches Daily'!BV19</f>
        <v>49</v>
      </c>
      <c r="AO17" s="32">
        <f>'FS Desroches Daily'!BX19</f>
        <v>30.000000000001137</v>
      </c>
      <c r="AP17" s="32">
        <f>'FS Desroches Daily'!BZ19</f>
        <v>57</v>
      </c>
      <c r="AQ17" s="31">
        <f>'FS Desroches Daily'!CB19</f>
        <v>43.5</v>
      </c>
      <c r="AR17" s="31">
        <f>'FS Desroches Daily'!CD19</f>
        <v>5.6000000000003638</v>
      </c>
      <c r="AS17" s="31">
        <f>'FS Desroches Daily'!CF19</f>
        <v>11.300000000000182</v>
      </c>
      <c r="AT17" s="31">
        <f>'FS Desroches Daily'!CH19</f>
        <v>17.80000000000291</v>
      </c>
      <c r="AU17" s="31">
        <f>'FS Desroches Daily'!CJ19</f>
        <v>343.30000000004657</v>
      </c>
      <c r="AV17" s="31">
        <f>'FS Desroches Daily'!CL19</f>
        <v>700.00000000004547</v>
      </c>
      <c r="AW17" s="31">
        <f>'FS Desroches Daily'!CM19</f>
        <v>49</v>
      </c>
      <c r="AX17" s="31">
        <f>IF(LPG!F24-LPG!F23&lt;0,"0",(LPG!F24-LPG!F23)*1.8315)</f>
        <v>9.1574999999999989</v>
      </c>
      <c r="AY17" s="31">
        <f>IF(LPG!H24-LPG!H23&lt;0,"0",(LPG!H24-LPG!H23)*1.8315)</f>
        <v>1.8314999999999999</v>
      </c>
      <c r="AZ17" s="31">
        <f>IF(LPG!J24-LPG!J23&lt;0,"0",(LPG!J24-LPG!J23)*1.8315)</f>
        <v>1.8314999999999999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8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1900.0000000000127</v>
      </c>
      <c r="F18" s="32">
        <f>'FS Desroches Daily'!F20</f>
        <v>3100.0000000003247</v>
      </c>
      <c r="G18" s="31">
        <f>'FS Desroches Daily'!H20</f>
        <v>2399.9999999997358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1000.0000000001119</v>
      </c>
      <c r="K18" s="13">
        <f>'FS Desroches Daily'!P20</f>
        <v>9</v>
      </c>
      <c r="L18" s="31">
        <f>'FS Desroches Daily'!R20</f>
        <v>4</v>
      </c>
      <c r="M18" s="31">
        <f>'FS Desroches Daily'!T20</f>
        <v>670.59999999997672</v>
      </c>
      <c r="N18" s="31">
        <f>'FS Desroches Daily'!V20</f>
        <v>302.09999999997672</v>
      </c>
      <c r="O18" s="31">
        <f>'FS Desroches Daily'!X20</f>
        <v>290.00000000002046</v>
      </c>
      <c r="P18" s="31">
        <f>'FS Desroches Daily'!Z20</f>
        <v>2800.0000000001355</v>
      </c>
      <c r="Q18" s="31">
        <f>'FS Desroches Daily'!AB20</f>
        <v>339.99999999997499</v>
      </c>
      <c r="R18" s="31">
        <f>'FS Desroches Daily'!AD20</f>
        <v>180.00000000000682</v>
      </c>
      <c r="S18" s="31">
        <f>'FS Desroches Daily'!AF20</f>
        <v>379.99999999999545</v>
      </c>
      <c r="T18" s="31">
        <f>'FS Desroches Daily'!AH20</f>
        <v>32</v>
      </c>
      <c r="U18" s="35">
        <f>'FS Desroches Daily'!AJ20</f>
        <v>700.00000000004547</v>
      </c>
      <c r="V18" s="35">
        <f>'FS Desroches Daily'!AL20</f>
        <v>180.00000000000682</v>
      </c>
      <c r="W18" s="35">
        <f>'FS Desroches Daily'!AN20</f>
        <v>69.999999999993179</v>
      </c>
      <c r="X18" s="35">
        <f>'FS Desroches Daily'!AP20</f>
        <v>250</v>
      </c>
      <c r="Y18" s="35">
        <f>'FS Desroches Daily'!AR20</f>
        <v>80.000000000012506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69.999999999993179</v>
      </c>
      <c r="AC18" s="35">
        <f>'FS Desroches Daily'!AZ20</f>
        <v>29.999999999972715</v>
      </c>
      <c r="AD18" s="35">
        <f>'FS Desroches Daily'!BB20</f>
        <v>40.000000000020464</v>
      </c>
      <c r="AE18" s="35">
        <f>'FS Desroches Daily'!BD20</f>
        <v>30.000000000001137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21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46</v>
      </c>
      <c r="AQ18" s="31">
        <f>'FS Desroches Daily'!CB20</f>
        <v>45.899999999997817</v>
      </c>
      <c r="AR18" s="31">
        <f>'FS Desroches Daily'!CD20</f>
        <v>8.7999999999992724</v>
      </c>
      <c r="AS18" s="31">
        <f>'FS Desroches Daily'!CF20</f>
        <v>4.1000000000003638</v>
      </c>
      <c r="AT18" s="31">
        <f>'FS Desroches Daily'!CH20</f>
        <v>25.19999999999709</v>
      </c>
      <c r="AU18" s="31">
        <f>'FS Desroches Daily'!CJ20</f>
        <v>319</v>
      </c>
      <c r="AV18" s="31">
        <f>'FS Desroches Daily'!CL20</f>
        <v>620.00000000000455</v>
      </c>
      <c r="AW18" s="31">
        <f>'FS Desroches Daily'!CM20</f>
        <v>73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2099.9999999999909</v>
      </c>
      <c r="F19" s="32">
        <f>'FS Desroches Daily'!F21</f>
        <v>2799.9999999996917</v>
      </c>
      <c r="G19" s="31">
        <f>'FS Desroches Daily'!H21</f>
        <v>2200.0000000002019</v>
      </c>
      <c r="H19" s="32">
        <f>'FS Desroches Daily'!J21</f>
        <v>1400.0000000000678</v>
      </c>
      <c r="I19" s="31">
        <f>'FS Desroches Daily'!L21</f>
        <v>2000.0000000002237</v>
      </c>
      <c r="J19" s="32">
        <f>'FS Desroches Daily'!N21</f>
        <v>699.99999999992292</v>
      </c>
      <c r="K19" s="13">
        <f>'FS Desroches Daily'!P21</f>
        <v>14</v>
      </c>
      <c r="L19" s="31">
        <f>'FS Desroches Daily'!R21</f>
        <v>4</v>
      </c>
      <c r="M19" s="31">
        <f>'FS Desroches Daily'!T21</f>
        <v>633.59999999997672</v>
      </c>
      <c r="N19" s="31">
        <f>'FS Desroches Daily'!V21</f>
        <v>307.60000000003492</v>
      </c>
      <c r="O19" s="31">
        <f>'FS Desroches Daily'!X21</f>
        <v>319.99999999999318</v>
      </c>
      <c r="P19" s="31">
        <f>'FS Desroches Daily'!Z21</f>
        <v>2499.9999999999468</v>
      </c>
      <c r="Q19" s="31">
        <f>'FS Desroches Daily'!AB21</f>
        <v>199.99999999998863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34</v>
      </c>
      <c r="U19" s="35">
        <f>'FS Desroches Daily'!AJ21</f>
        <v>679.99999999994998</v>
      </c>
      <c r="V19" s="35">
        <f>'FS Desroches Daily'!AL21</f>
        <v>219.99999999999886</v>
      </c>
      <c r="W19" s="35">
        <f>'FS Desroches Daily'!AN21</f>
        <v>189.99999999999773</v>
      </c>
      <c r="X19" s="35">
        <f>'FS Desroches Daily'!AP21</f>
        <v>229.99999999998977</v>
      </c>
      <c r="Y19" s="35">
        <f>'FS Desroches Daily'!AR21</f>
        <v>109.99999999998522</v>
      </c>
      <c r="Z19" s="35">
        <f>'FS Desroches Daily'!AT21</f>
        <v>60.000000000002274</v>
      </c>
      <c r="AA19" s="35">
        <f>'FS Desroches Daily'!AT21</f>
        <v>60.000000000002274</v>
      </c>
      <c r="AB19" s="35">
        <f>'FS Desroches Daily'!AV21</f>
        <v>60.000000000002274</v>
      </c>
      <c r="AC19" s="35">
        <f>'FS Desroches Daily'!AZ21</f>
        <v>40.000000000020464</v>
      </c>
      <c r="AD19" s="35">
        <f>'FS Desroches Daily'!BB21</f>
        <v>30.000000000029559</v>
      </c>
      <c r="AE19" s="35">
        <f>'FS Desroches Daily'!BD21</f>
        <v>39.999999999992042</v>
      </c>
      <c r="AF19" s="31">
        <f>'FS Desroches Daily'!BF21</f>
        <v>44</v>
      </c>
      <c r="AG19" s="32">
        <f>'FS Desroches Daily'!BH21</f>
        <v>20.000000000010232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40.000000000020464</v>
      </c>
      <c r="AL19" s="32">
        <f>'FS Desroches Daily'!BR21</f>
        <v>25</v>
      </c>
      <c r="AM19" s="32">
        <f>'FS Desroches Daily'!BT21</f>
        <v>19.99999999998181</v>
      </c>
      <c r="AN19" s="32">
        <f>'FS Desroches Daily'!BV21</f>
        <v>40</v>
      </c>
      <c r="AO19" s="32">
        <f>'FS Desroches Daily'!BX21</f>
        <v>19.99999999998181</v>
      </c>
      <c r="AP19" s="32">
        <f>'FS Desroches Daily'!BZ21</f>
        <v>48</v>
      </c>
      <c r="AQ19" s="31">
        <f>'FS Desroches Daily'!CB21</f>
        <v>42.80000000000291</v>
      </c>
      <c r="AR19" s="31">
        <f>'FS Desroches Daily'!CD21</f>
        <v>11.400000000001455</v>
      </c>
      <c r="AS19" s="31">
        <f>'FS Desroches Daily'!CF21</f>
        <v>24.5</v>
      </c>
      <c r="AT19" s="31">
        <f>'FS Desroches Daily'!CH21</f>
        <v>25.400000000001455</v>
      </c>
      <c r="AU19" s="31">
        <f>'FS Desroches Daily'!CJ21</f>
        <v>359</v>
      </c>
      <c r="AV19" s="31">
        <f>'FS Desroches Daily'!CL21</f>
        <v>439.99999999994088</v>
      </c>
      <c r="AW19" s="31">
        <f>'FS Desroches Daily'!CM21</f>
        <v>178</v>
      </c>
      <c r="AX19" s="31">
        <f>IF(LPG!F26-LPG!F25&lt;0,"0",(LPG!F26-LPG!F25)*1.8315)</f>
        <v>10.988999999999999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1999.9999999997797</v>
      </c>
      <c r="F20" s="32">
        <f>'FS Desroches Daily'!F22</f>
        <v>2800.0000000001355</v>
      </c>
      <c r="G20" s="31">
        <f>'FS Desroches Daily'!H22</f>
        <v>2600.0000000001578</v>
      </c>
      <c r="H20" s="32">
        <f>'FS Desroches Daily'!J22</f>
        <v>1400.0000000000678</v>
      </c>
      <c r="I20" s="31">
        <f>'FS Desroches Daily'!L22</f>
        <v>1999.9999999997797</v>
      </c>
      <c r="J20" s="32">
        <f>'FS Desroches Daily'!N22</f>
        <v>900.0000000001229</v>
      </c>
      <c r="K20" s="13">
        <f>'FS Desroches Daily'!P22</f>
        <v>12</v>
      </c>
      <c r="L20" s="31">
        <f>'FS Desroches Daily'!R22</f>
        <v>5</v>
      </c>
      <c r="M20" s="31">
        <f>'FS Desroches Daily'!T22</f>
        <v>646</v>
      </c>
      <c r="N20" s="31">
        <f>'FS Desroches Daily'!V22</f>
        <v>291.09999999997672</v>
      </c>
      <c r="O20" s="31">
        <f>'FS Desroches Daily'!X22</f>
        <v>339.99999999997499</v>
      </c>
      <c r="P20" s="31">
        <f>'FS Desroches Daily'!Z22</f>
        <v>2299.9999999999686</v>
      </c>
      <c r="Q20" s="31">
        <f>'FS Desroches Daily'!AB22</f>
        <v>340.00000000003183</v>
      </c>
      <c r="R20" s="31">
        <f>'FS Desroches Daily'!AD22</f>
        <v>189.99999999999773</v>
      </c>
      <c r="S20" s="31">
        <f>'FS Desroches Daily'!AF22</f>
        <v>240.00000000000909</v>
      </c>
      <c r="T20" s="31">
        <f>'FS Desroches Daily'!AH22</f>
        <v>37</v>
      </c>
      <c r="U20" s="35">
        <f>'FS Desroches Daily'!AJ22</f>
        <v>750</v>
      </c>
      <c r="V20" s="35">
        <f>'FS Desroches Daily'!AL22</f>
        <v>219.99999999999886</v>
      </c>
      <c r="W20" s="35">
        <f>'FS Desroches Daily'!AN22</f>
        <v>180.00000000000682</v>
      </c>
      <c r="X20" s="35">
        <f>'FS Desroches Daily'!AP22</f>
        <v>219.99999999999886</v>
      </c>
      <c r="Y20" s="35">
        <f>'FS Desroches Daily'!AR22</f>
        <v>159.99999999999659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49.999999999954525</v>
      </c>
      <c r="AC20" s="35">
        <f>'FS Desroches Daily'!AZ22</f>
        <v>50.000000000011369</v>
      </c>
      <c r="AD20" s="35">
        <f>'FS Desroches Daily'!BB22</f>
        <v>19.99999999998181</v>
      </c>
      <c r="AE20" s="35">
        <f>'FS Desroches Daily'!BD22</f>
        <v>40.000000000020464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40.000000000020464</v>
      </c>
      <c r="AI20" s="32">
        <f>'FS Desroches Daily'!BL22</f>
        <v>40.000000000020464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20.000000000010232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51</v>
      </c>
      <c r="AQ20" s="31">
        <f>'FS Desroches Daily'!CB22</f>
        <v>41.299999999999272</v>
      </c>
      <c r="AR20" s="31">
        <f>'FS Desroches Daily'!CD22</f>
        <v>8.0999999999985448</v>
      </c>
      <c r="AS20" s="31">
        <f>'FS Desroches Daily'!CF22</f>
        <v>1.3999999999996362</v>
      </c>
      <c r="AT20" s="31">
        <f>'FS Desroches Daily'!CH22</f>
        <v>26.400000000001455</v>
      </c>
      <c r="AU20" s="31">
        <f>'FS Desroches Daily'!CJ22</f>
        <v>251</v>
      </c>
      <c r="AV20" s="31">
        <f>'FS Desroches Daily'!CL22</f>
        <v>899.99999999997726</v>
      </c>
      <c r="AW20" s="31">
        <f>'FS Desroches Daily'!CM22</f>
        <v>69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13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35899.99999999984</v>
      </c>
      <c r="F33" s="17">
        <f t="shared" ref="F33:BC33" si="1">SUM(F2:F32)</f>
        <v>57500.000000000124</v>
      </c>
      <c r="G33" s="17">
        <f t="shared" si="1"/>
        <v>48800.000000000407</v>
      </c>
      <c r="H33" s="17">
        <f t="shared" si="1"/>
        <v>26299.999999999996</v>
      </c>
      <c r="I33" s="17">
        <f t="shared" si="1"/>
        <v>39400.000000000116</v>
      </c>
      <c r="J33" s="17">
        <f t="shared" si="1"/>
        <v>18199.999999999993</v>
      </c>
      <c r="K33" s="17">
        <f t="shared" si="1"/>
        <v>221</v>
      </c>
      <c r="L33" s="17">
        <f t="shared" si="1"/>
        <v>88</v>
      </c>
      <c r="M33" s="17">
        <f t="shared" si="1"/>
        <v>14940.399999999907</v>
      </c>
      <c r="N33" s="17">
        <f t="shared" si="1"/>
        <v>6769.0999999999767</v>
      </c>
      <c r="O33" s="17">
        <f t="shared" si="1"/>
        <v>6259.9999999999891</v>
      </c>
      <c r="P33" s="17">
        <f t="shared" si="1"/>
        <v>51400.000000000124</v>
      </c>
      <c r="Q33" s="17">
        <f t="shared" si="1"/>
        <v>6060.0000000000027</v>
      </c>
      <c r="R33" s="17">
        <f t="shared" si="1"/>
        <v>3979.9999999999613</v>
      </c>
      <c r="S33" s="17">
        <f t="shared" si="1"/>
        <v>6120.0000000000045</v>
      </c>
      <c r="T33" s="17">
        <f t="shared" si="1"/>
        <v>644</v>
      </c>
      <c r="U33" s="35">
        <f t="shared" si="1"/>
        <v>13979.999999999905</v>
      </c>
      <c r="V33" s="35">
        <f t="shared" si="1"/>
        <v>3500</v>
      </c>
      <c r="W33" s="35">
        <f t="shared" si="1"/>
        <v>1849.9999999999943</v>
      </c>
      <c r="X33" s="35">
        <f t="shared" si="1"/>
        <v>3419.9999999999882</v>
      </c>
      <c r="Y33" s="35">
        <f t="shared" si="1"/>
        <v>2649.9999999999773</v>
      </c>
      <c r="Z33" s="35">
        <f t="shared" si="1"/>
        <v>1403.1700000000615</v>
      </c>
      <c r="AA33" s="35">
        <f t="shared" si="1"/>
        <v>1403.1700000000615</v>
      </c>
      <c r="AB33" s="35">
        <f t="shared" si="1"/>
        <v>1859.9999999999568</v>
      </c>
      <c r="AC33" s="35">
        <f t="shared" si="1"/>
        <v>600.00000000002274</v>
      </c>
      <c r="AD33" s="35">
        <f t="shared" si="1"/>
        <v>410.00000000002501</v>
      </c>
      <c r="AE33" s="35">
        <f t="shared" si="1"/>
        <v>840.00000000000341</v>
      </c>
      <c r="AF33" s="17">
        <f t="shared" si="1"/>
        <v>730</v>
      </c>
      <c r="AG33" s="32">
        <f t="shared" si="1"/>
        <v>770.00000000001023</v>
      </c>
      <c r="AH33" s="32">
        <f t="shared" si="1"/>
        <v>810.00000000000227</v>
      </c>
      <c r="AI33" s="32">
        <f t="shared" si="1"/>
        <v>730.00000000001819</v>
      </c>
      <c r="AJ33" s="32">
        <f t="shared" si="1"/>
        <v>729.99999999998977</v>
      </c>
      <c r="AK33" s="32">
        <f t="shared" si="1"/>
        <v>519.99999999998181</v>
      </c>
      <c r="AL33" s="32">
        <f t="shared" si="1"/>
        <v>501</v>
      </c>
      <c r="AM33" s="32">
        <f t="shared" si="1"/>
        <v>409.99999999999659</v>
      </c>
      <c r="AN33" s="32">
        <f t="shared" si="1"/>
        <v>840</v>
      </c>
      <c r="AO33" s="32">
        <f t="shared" si="1"/>
        <v>539.99999999999204</v>
      </c>
      <c r="AP33" s="32">
        <f t="shared" si="1"/>
        <v>871</v>
      </c>
      <c r="AQ33" s="17">
        <f t="shared" si="1"/>
        <v>640</v>
      </c>
      <c r="AR33" s="17">
        <f t="shared" si="1"/>
        <v>199.29999999999927</v>
      </c>
      <c r="AS33" s="17">
        <f t="shared" si="1"/>
        <v>172.10000000000036</v>
      </c>
      <c r="AT33" s="17">
        <f t="shared" si="1"/>
        <v>533.19999999999709</v>
      </c>
      <c r="AU33" s="17">
        <f t="shared" si="1"/>
        <v>5683</v>
      </c>
      <c r="AV33" s="17">
        <f t="shared" si="1"/>
        <v>12399.999999999978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183</v>
      </c>
    </row>
    <row r="35" spans="5:55" x14ac:dyDescent="0.25">
      <c r="E35" s="38">
        <f>E33/E37</f>
        <v>0.20186911683667025</v>
      </c>
      <c r="G35" s="29">
        <f>G33-M36</f>
        <v>27090.500000000524</v>
      </c>
      <c r="AE35" s="35">
        <f>SUM(U33:AE33)</f>
        <v>31916.339999999993</v>
      </c>
      <c r="AG35" s="32">
        <f>SUM(AG33:AP33)</f>
        <v>6721.9999999999909</v>
      </c>
    </row>
    <row r="36" spans="5:55" x14ac:dyDescent="0.25">
      <c r="G36" s="29">
        <f>G35-633*14</f>
        <v>18228.500000000524</v>
      </c>
      <c r="M36" s="29">
        <f>M33+N33</f>
        <v>21709.499999999884</v>
      </c>
    </row>
    <row r="37" spans="5:55" x14ac:dyDescent="0.25">
      <c r="E37" s="17">
        <f>E33+F33+G33+H33+J33-633*14</f>
        <v>177838.00000000038</v>
      </c>
      <c r="G37" s="37">
        <f>M36/E37</f>
        <v>0.1220745847344203</v>
      </c>
      <c r="M37" s="35">
        <f>AE35</f>
        <v>31916.339999999993</v>
      </c>
    </row>
    <row r="38" spans="5:55" x14ac:dyDescent="0.25">
      <c r="L38" s="27">
        <f>M38/E37</f>
        <v>3.7798445776493078E-2</v>
      </c>
      <c r="M38" s="29">
        <f>AG35</f>
        <v>6721.9999999999909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xSplit="1" ySplit="1" topLeftCell="U5" activePane="bottomRight" state="frozen"/>
      <selection pane="topRight" activeCell="B1" sqref="B1"/>
      <selection pane="bottomLeft" activeCell="A2" sqref="A2"/>
      <selection pane="bottomRight" activeCell="CO25" sqref="CO25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>
        <v>2.2086000000000001</v>
      </c>
      <c r="D18" s="62">
        <f t="shared" si="0"/>
        <v>1900.0000000000127</v>
      </c>
      <c r="E18" s="56">
        <v>3.1413000000000002</v>
      </c>
      <c r="F18" s="62">
        <f t="shared" si="1"/>
        <v>3200.0000000000919</v>
      </c>
      <c r="G18" s="56">
        <v>3.2098</v>
      </c>
      <c r="H18" s="62">
        <f t="shared" si="2"/>
        <v>2699.9999999999245</v>
      </c>
      <c r="I18" s="56">
        <v>1.5826</v>
      </c>
      <c r="J18" s="62">
        <f t="shared" si="3"/>
        <v>1300.0000000000789</v>
      </c>
      <c r="K18" s="56">
        <v>2.5577000000000001</v>
      </c>
      <c r="L18" s="62">
        <f t="shared" si="37"/>
        <v>2200.0000000002019</v>
      </c>
      <c r="M18" s="56">
        <v>1.4189000000000001</v>
      </c>
      <c r="N18" s="62">
        <f t="shared" si="4"/>
        <v>1000.0000000001119</v>
      </c>
      <c r="O18" s="56">
        <v>14053</v>
      </c>
      <c r="P18" s="65">
        <f t="shared" si="43"/>
        <v>21</v>
      </c>
      <c r="Q18" s="56">
        <v>884</v>
      </c>
      <c r="R18" s="65">
        <f t="shared" si="6"/>
        <v>5</v>
      </c>
      <c r="S18" s="56">
        <v>961406.2</v>
      </c>
      <c r="T18" s="65">
        <f t="shared" si="7"/>
        <v>864.79999999993015</v>
      </c>
      <c r="U18" s="56">
        <v>404296</v>
      </c>
      <c r="V18" s="65">
        <f t="shared" si="38"/>
        <v>380.09999999997672</v>
      </c>
      <c r="W18" s="56">
        <v>385.2</v>
      </c>
      <c r="X18" s="63">
        <f t="shared" si="41"/>
        <v>379.99999999999545</v>
      </c>
      <c r="Y18" s="56">
        <v>2.7433000000000001</v>
      </c>
      <c r="Z18" s="63">
        <f t="shared" si="8"/>
        <v>2800.0000000001355</v>
      </c>
      <c r="AA18" s="56">
        <v>383.67</v>
      </c>
      <c r="AB18" s="63">
        <f t="shared" si="9"/>
        <v>220.00000000002728</v>
      </c>
      <c r="AC18" s="56">
        <v>360.25</v>
      </c>
      <c r="AD18" s="63">
        <f t="shared" si="10"/>
        <v>259.99999999999091</v>
      </c>
      <c r="AE18" s="56">
        <v>554.59</v>
      </c>
      <c r="AF18" s="63">
        <f t="shared" si="11"/>
        <v>379.99999999999545</v>
      </c>
      <c r="AG18" s="56">
        <v>2958</v>
      </c>
      <c r="AH18" s="65">
        <f t="shared" si="12"/>
        <v>35</v>
      </c>
      <c r="AI18" s="56">
        <v>586.62</v>
      </c>
      <c r="AJ18" s="63">
        <f t="shared" si="13"/>
        <v>950.00000000004547</v>
      </c>
      <c r="AK18" s="56">
        <v>196</v>
      </c>
      <c r="AL18" s="63">
        <f t="shared" si="13"/>
        <v>240.00000000000909</v>
      </c>
      <c r="AM18" s="56">
        <v>187.77</v>
      </c>
      <c r="AN18" s="63">
        <f t="shared" si="13"/>
        <v>60.000000000002274</v>
      </c>
      <c r="AO18" s="56">
        <v>183.8</v>
      </c>
      <c r="AP18" s="63">
        <f t="shared" si="13"/>
        <v>260.00000000001933</v>
      </c>
      <c r="AQ18" s="56">
        <v>240.99</v>
      </c>
      <c r="AR18" s="63">
        <f t="shared" si="14"/>
        <v>40.000000000020464</v>
      </c>
      <c r="AS18" s="56">
        <v>366.16</v>
      </c>
      <c r="AT18" s="63">
        <f t="shared" si="15"/>
        <v>60.000000000002274</v>
      </c>
      <c r="AU18" s="56">
        <v>283.05</v>
      </c>
      <c r="AV18" s="63">
        <f t="shared" si="16"/>
        <v>60.000000000002274</v>
      </c>
      <c r="AW18" s="56">
        <v>315.61</v>
      </c>
      <c r="AX18" s="63">
        <f t="shared" si="17"/>
        <v>20.000000000038654</v>
      </c>
      <c r="AY18" s="56">
        <v>359.65</v>
      </c>
      <c r="AZ18" s="63">
        <f t="shared" si="18"/>
        <v>29.999999999972715</v>
      </c>
      <c r="BA18" s="56">
        <v>380.13</v>
      </c>
      <c r="BB18" s="63">
        <f t="shared" si="19"/>
        <v>9.9999999999909051</v>
      </c>
      <c r="BC18" s="56">
        <v>240.73</v>
      </c>
      <c r="BD18" s="63">
        <f t="shared" si="20"/>
        <v>19.99999999998181</v>
      </c>
      <c r="BE18" s="57">
        <v>38959</v>
      </c>
      <c r="BF18" s="65">
        <f t="shared" si="39"/>
        <v>40</v>
      </c>
      <c r="BG18" s="58">
        <v>232.66</v>
      </c>
      <c r="BH18" s="63">
        <f t="shared" si="21"/>
        <v>30.000000000001137</v>
      </c>
      <c r="BI18" s="58">
        <v>291.89</v>
      </c>
      <c r="BJ18" s="63">
        <f t="shared" si="40"/>
        <v>50.000000000011369</v>
      </c>
      <c r="BK18" s="58">
        <v>235.56</v>
      </c>
      <c r="BL18" s="63">
        <f t="shared" si="22"/>
        <v>30.000000000001137</v>
      </c>
      <c r="BM18" s="58">
        <v>222.28</v>
      </c>
      <c r="BN18" s="63">
        <f t="shared" si="23"/>
        <v>39.999999999992042</v>
      </c>
      <c r="BO18" s="58">
        <v>286.37</v>
      </c>
      <c r="BP18" s="63">
        <f t="shared" si="24"/>
        <v>19.99999999998181</v>
      </c>
      <c r="BQ18" s="58">
        <v>44241</v>
      </c>
      <c r="BR18" s="63">
        <f t="shared" si="25"/>
        <v>26</v>
      </c>
      <c r="BS18" s="58">
        <v>199.85</v>
      </c>
      <c r="BT18" s="63">
        <f t="shared" si="42"/>
        <v>19.99999999998181</v>
      </c>
      <c r="BU18" s="58">
        <v>38954</v>
      </c>
      <c r="BV18" s="63">
        <f t="shared" si="26"/>
        <v>50</v>
      </c>
      <c r="BW18" s="58">
        <v>230.85</v>
      </c>
      <c r="BX18" s="63">
        <f t="shared" si="27"/>
        <v>19.99999999998181</v>
      </c>
      <c r="BY18" s="58">
        <v>58268</v>
      </c>
      <c r="BZ18" s="65">
        <f t="shared" si="28"/>
        <v>51</v>
      </c>
      <c r="CA18" s="58">
        <v>30442.2</v>
      </c>
      <c r="CB18" s="65">
        <f>IF((CA18-CA17&lt;0), "",CA18-CA17)</f>
        <v>44.900000000001455</v>
      </c>
      <c r="CC18" s="58">
        <v>11829.4</v>
      </c>
      <c r="CD18" s="65">
        <f t="shared" si="30"/>
        <v>11.5</v>
      </c>
      <c r="CE18" s="58">
        <v>6188.7</v>
      </c>
      <c r="CF18" s="65">
        <f t="shared" si="31"/>
        <v>24.699999999999818</v>
      </c>
      <c r="CG18" s="58">
        <v>58143.199999999997</v>
      </c>
      <c r="CH18" s="65">
        <f t="shared" si="32"/>
        <v>24.19999999999709</v>
      </c>
      <c r="CI18" s="58">
        <v>936449.7</v>
      </c>
      <c r="CJ18" s="65">
        <f t="shared" si="33"/>
        <v>234.69999999995343</v>
      </c>
      <c r="CK18" s="58">
        <v>732.9</v>
      </c>
      <c r="CL18" s="62">
        <f t="shared" si="34"/>
        <v>740.00000000000909</v>
      </c>
      <c r="CM18" s="63">
        <f t="shared" si="35"/>
        <v>62</v>
      </c>
      <c r="CN18" s="60">
        <v>8</v>
      </c>
      <c r="CO18" s="60">
        <v>24</v>
      </c>
      <c r="CP18" s="66">
        <v>7513</v>
      </c>
      <c r="CQ18" s="65">
        <f t="shared" si="36"/>
        <v>46</v>
      </c>
      <c r="CR18" s="66">
        <v>13272</v>
      </c>
      <c r="CS18" s="65">
        <f t="shared" si="36"/>
        <v>16</v>
      </c>
      <c r="CT18" s="73">
        <v>5924</v>
      </c>
      <c r="CU18" s="65">
        <f t="shared" si="36"/>
        <v>12</v>
      </c>
      <c r="CV18" s="66">
        <v>14402</v>
      </c>
      <c r="CW18" s="65">
        <f t="shared" si="36"/>
        <v>40</v>
      </c>
    </row>
    <row r="19" spans="1:101" ht="25.5" customHeight="1" thickBot="1" x14ac:dyDescent="0.45">
      <c r="A19" s="61">
        <v>44332</v>
      </c>
      <c r="B19" s="44"/>
      <c r="C19" s="56">
        <v>2.2105000000000001</v>
      </c>
      <c r="D19" s="62">
        <f t="shared" si="0"/>
        <v>1900.0000000000127</v>
      </c>
      <c r="E19" s="56">
        <v>3.1444999999999999</v>
      </c>
      <c r="F19" s="62">
        <f t="shared" si="1"/>
        <v>3199.9999999996476</v>
      </c>
      <c r="G19" s="56">
        <v>3.2126000000000001</v>
      </c>
      <c r="H19" s="62">
        <f t="shared" si="2"/>
        <v>2800.0000000001355</v>
      </c>
      <c r="I19" s="56">
        <v>1.5840000000000001</v>
      </c>
      <c r="J19" s="62">
        <f t="shared" si="3"/>
        <v>1400.0000000000678</v>
      </c>
      <c r="K19" s="56">
        <v>2.5596999999999999</v>
      </c>
      <c r="L19" s="62">
        <f t="shared" si="37"/>
        <v>1999.9999999997797</v>
      </c>
      <c r="M19" s="56">
        <v>1.42</v>
      </c>
      <c r="N19" s="62">
        <f t="shared" si="4"/>
        <v>1099.9999999998788</v>
      </c>
      <c r="O19" s="56">
        <v>14069</v>
      </c>
      <c r="P19" s="65">
        <f t="shared" si="43"/>
        <v>16</v>
      </c>
      <c r="Q19" s="56">
        <v>889</v>
      </c>
      <c r="R19" s="65">
        <f t="shared" si="6"/>
        <v>5</v>
      </c>
      <c r="S19" s="56">
        <v>962295</v>
      </c>
      <c r="T19" s="65">
        <f t="shared" si="7"/>
        <v>888.80000000004657</v>
      </c>
      <c r="U19" s="56">
        <v>404660</v>
      </c>
      <c r="V19" s="65">
        <f t="shared" si="38"/>
        <v>364</v>
      </c>
      <c r="W19" s="56">
        <v>385.51</v>
      </c>
      <c r="X19" s="63">
        <f t="shared" si="41"/>
        <v>310.00000000000227</v>
      </c>
      <c r="Y19" s="56">
        <v>2.7462</v>
      </c>
      <c r="Z19" s="63">
        <f t="shared" si="8"/>
        <v>2899.9999999999027</v>
      </c>
      <c r="AA19" s="56">
        <v>384.05</v>
      </c>
      <c r="AB19" s="63">
        <f t="shared" si="9"/>
        <v>379.99999999999545</v>
      </c>
      <c r="AC19" s="56">
        <v>360.46</v>
      </c>
      <c r="AD19" s="63">
        <f t="shared" si="10"/>
        <v>209.99999999997954</v>
      </c>
      <c r="AE19" s="56">
        <v>554.98</v>
      </c>
      <c r="AF19" s="63">
        <f t="shared" si="11"/>
        <v>389.99999999998636</v>
      </c>
      <c r="AG19" s="56">
        <v>2994</v>
      </c>
      <c r="AH19" s="65">
        <f t="shared" si="12"/>
        <v>36</v>
      </c>
      <c r="AI19" s="56">
        <v>587.42999999999995</v>
      </c>
      <c r="AJ19" s="63">
        <f t="shared" si="13"/>
        <v>809.99999999994543</v>
      </c>
      <c r="AK19" s="56">
        <v>196.22</v>
      </c>
      <c r="AL19" s="63">
        <f t="shared" si="13"/>
        <v>219.99999999999886</v>
      </c>
      <c r="AM19" s="56">
        <v>187.87</v>
      </c>
      <c r="AN19" s="63">
        <f t="shared" si="13"/>
        <v>99.999999999994316</v>
      </c>
      <c r="AO19" s="56">
        <v>184.05</v>
      </c>
      <c r="AP19" s="63">
        <f t="shared" si="13"/>
        <v>250</v>
      </c>
      <c r="AQ19" s="56">
        <v>241.04</v>
      </c>
      <c r="AR19" s="63">
        <f t="shared" si="14"/>
        <v>49.999999999982947</v>
      </c>
      <c r="AS19" s="56">
        <v>366.21</v>
      </c>
      <c r="AT19" s="63">
        <f t="shared" si="15"/>
        <v>49.999999999954525</v>
      </c>
      <c r="AU19" s="56">
        <v>283.10000000000002</v>
      </c>
      <c r="AV19" s="63">
        <f t="shared" si="16"/>
        <v>50.000000000011369</v>
      </c>
      <c r="AW19" s="56">
        <v>315.64999999999998</v>
      </c>
      <c r="AX19" s="63">
        <f t="shared" si="17"/>
        <v>39.99999999996362</v>
      </c>
      <c r="AY19" s="56">
        <v>359.68</v>
      </c>
      <c r="AZ19" s="63">
        <f t="shared" si="18"/>
        <v>30.000000000029559</v>
      </c>
      <c r="BA19" s="56">
        <v>380.15</v>
      </c>
      <c r="BB19" s="63">
        <f t="shared" si="19"/>
        <v>19.99999999998181</v>
      </c>
      <c r="BC19" s="56">
        <v>240.75</v>
      </c>
      <c r="BD19" s="63">
        <f t="shared" si="20"/>
        <v>20.000000000010232</v>
      </c>
      <c r="BE19" s="57">
        <v>38998</v>
      </c>
      <c r="BF19" s="65">
        <f t="shared" si="39"/>
        <v>39</v>
      </c>
      <c r="BG19" s="58">
        <v>232.7</v>
      </c>
      <c r="BH19" s="63">
        <f t="shared" si="21"/>
        <v>39.999999999992042</v>
      </c>
      <c r="BI19" s="58">
        <v>291.93</v>
      </c>
      <c r="BJ19" s="63">
        <f t="shared" si="40"/>
        <v>40.000000000020464</v>
      </c>
      <c r="BK19" s="58">
        <v>235.6</v>
      </c>
      <c r="BL19" s="63">
        <f t="shared" si="22"/>
        <v>39.999999999992042</v>
      </c>
      <c r="BM19" s="58">
        <v>222.33</v>
      </c>
      <c r="BN19" s="63">
        <f t="shared" si="23"/>
        <v>50.000000000011369</v>
      </c>
      <c r="BO19" s="58">
        <v>286.39999999999998</v>
      </c>
      <c r="BP19" s="63">
        <f t="shared" si="24"/>
        <v>29.999999999972715</v>
      </c>
      <c r="BQ19" s="58">
        <v>44268</v>
      </c>
      <c r="BR19" s="63">
        <f t="shared" si="25"/>
        <v>27</v>
      </c>
      <c r="BS19" s="58">
        <v>199.85</v>
      </c>
      <c r="BT19" s="63">
        <f t="shared" si="42"/>
        <v>0</v>
      </c>
      <c r="BU19" s="58">
        <v>39003</v>
      </c>
      <c r="BV19" s="63">
        <f t="shared" si="26"/>
        <v>49</v>
      </c>
      <c r="BW19" s="58">
        <v>230.88</v>
      </c>
      <c r="BX19" s="63">
        <f t="shared" si="27"/>
        <v>30.000000000001137</v>
      </c>
      <c r="BY19" s="58">
        <v>58325</v>
      </c>
      <c r="BZ19" s="65">
        <f t="shared" si="28"/>
        <v>57</v>
      </c>
      <c r="CA19" s="58">
        <v>30485.7</v>
      </c>
      <c r="CB19" s="65">
        <f t="shared" si="29"/>
        <v>43.5</v>
      </c>
      <c r="CC19" s="58">
        <v>11835</v>
      </c>
      <c r="CD19" s="65">
        <f t="shared" si="30"/>
        <v>5.6000000000003638</v>
      </c>
      <c r="CE19" s="58">
        <v>6200</v>
      </c>
      <c r="CF19" s="65">
        <f t="shared" si="31"/>
        <v>11.300000000000182</v>
      </c>
      <c r="CG19" s="58">
        <v>58161</v>
      </c>
      <c r="CH19" s="65">
        <f t="shared" si="32"/>
        <v>17.80000000000291</v>
      </c>
      <c r="CI19" s="58">
        <v>936793</v>
      </c>
      <c r="CJ19" s="65">
        <f t="shared" si="33"/>
        <v>343.30000000004657</v>
      </c>
      <c r="CK19" s="58">
        <v>733.6</v>
      </c>
      <c r="CL19" s="62">
        <f t="shared" si="34"/>
        <v>700.00000000004547</v>
      </c>
      <c r="CM19" s="63">
        <f t="shared" si="35"/>
        <v>49</v>
      </c>
      <c r="CN19" s="60">
        <v>8</v>
      </c>
      <c r="CO19" s="60">
        <v>24</v>
      </c>
      <c r="CP19" s="66">
        <v>7550</v>
      </c>
      <c r="CQ19" s="65">
        <f t="shared" si="36"/>
        <v>37</v>
      </c>
      <c r="CR19" s="66">
        <v>13284</v>
      </c>
      <c r="CS19" s="65">
        <f t="shared" si="36"/>
        <v>12</v>
      </c>
      <c r="CT19" s="73">
        <v>5936</v>
      </c>
      <c r="CU19" s="65">
        <f t="shared" si="36"/>
        <v>12</v>
      </c>
      <c r="CV19" s="66">
        <v>14422</v>
      </c>
      <c r="CW19" s="65">
        <f t="shared" si="36"/>
        <v>20</v>
      </c>
    </row>
    <row r="20" spans="1:101" ht="25.5" customHeight="1" thickBot="1" x14ac:dyDescent="0.45">
      <c r="A20" s="61">
        <v>44333</v>
      </c>
      <c r="B20" s="44"/>
      <c r="C20" s="56">
        <v>2.2124000000000001</v>
      </c>
      <c r="D20" s="62">
        <f t="shared" si="0"/>
        <v>1900.0000000000127</v>
      </c>
      <c r="E20" s="56">
        <v>3.1476000000000002</v>
      </c>
      <c r="F20" s="62">
        <f t="shared" si="1"/>
        <v>3100.0000000003247</v>
      </c>
      <c r="G20" s="56">
        <v>3.2149999999999999</v>
      </c>
      <c r="H20" s="62">
        <f t="shared" si="2"/>
        <v>2399.9999999997358</v>
      </c>
      <c r="I20" s="56">
        <v>1.5852999999999999</v>
      </c>
      <c r="J20" s="62">
        <f t="shared" si="3"/>
        <v>1299.9999999998568</v>
      </c>
      <c r="K20" s="56">
        <v>2.5615999999999999</v>
      </c>
      <c r="L20" s="62">
        <f t="shared" si="37"/>
        <v>1900.0000000000127</v>
      </c>
      <c r="M20" s="56">
        <v>1.421</v>
      </c>
      <c r="N20" s="62">
        <f t="shared" si="4"/>
        <v>1000.0000000001119</v>
      </c>
      <c r="O20" s="56">
        <v>14078</v>
      </c>
      <c r="P20" s="65">
        <f t="shared" si="43"/>
        <v>9</v>
      </c>
      <c r="Q20" s="56">
        <v>893</v>
      </c>
      <c r="R20" s="65">
        <f t="shared" si="6"/>
        <v>4</v>
      </c>
      <c r="S20" s="56">
        <v>962965.6</v>
      </c>
      <c r="T20" s="65">
        <f t="shared" si="7"/>
        <v>670.59999999997672</v>
      </c>
      <c r="U20" s="56">
        <v>404962.1</v>
      </c>
      <c r="V20" s="65">
        <f t="shared" si="38"/>
        <v>302.09999999997672</v>
      </c>
      <c r="W20" s="56">
        <v>385.8</v>
      </c>
      <c r="X20" s="63">
        <f t="shared" si="41"/>
        <v>290.00000000002046</v>
      </c>
      <c r="Y20" s="56">
        <v>2.7490000000000001</v>
      </c>
      <c r="Z20" s="63">
        <f t="shared" si="8"/>
        <v>2800.0000000001355</v>
      </c>
      <c r="AA20" s="56">
        <v>384.39</v>
      </c>
      <c r="AB20" s="63">
        <f t="shared" si="9"/>
        <v>339.99999999997499</v>
      </c>
      <c r="AC20" s="56">
        <v>360.64</v>
      </c>
      <c r="AD20" s="63">
        <f t="shared" si="10"/>
        <v>180.00000000000682</v>
      </c>
      <c r="AE20" s="56">
        <v>555.36</v>
      </c>
      <c r="AF20" s="63">
        <f t="shared" si="11"/>
        <v>379.99999999999545</v>
      </c>
      <c r="AG20" s="56">
        <v>3026</v>
      </c>
      <c r="AH20" s="65">
        <f t="shared" si="12"/>
        <v>32</v>
      </c>
      <c r="AI20" s="56">
        <v>588.13</v>
      </c>
      <c r="AJ20" s="63">
        <f t="shared" si="13"/>
        <v>700.00000000004547</v>
      </c>
      <c r="AK20" s="56">
        <v>196.4</v>
      </c>
      <c r="AL20" s="63">
        <f t="shared" si="13"/>
        <v>180.00000000000682</v>
      </c>
      <c r="AM20" s="56">
        <v>187.94</v>
      </c>
      <c r="AN20" s="63">
        <f t="shared" si="13"/>
        <v>69.999999999993179</v>
      </c>
      <c r="AO20" s="56">
        <v>184.3</v>
      </c>
      <c r="AP20" s="63">
        <f t="shared" si="13"/>
        <v>250</v>
      </c>
      <c r="AQ20" s="56">
        <v>241.12</v>
      </c>
      <c r="AR20" s="63">
        <f t="shared" si="14"/>
        <v>80.000000000012506</v>
      </c>
      <c r="AS20" s="56">
        <v>366.32</v>
      </c>
      <c r="AT20" s="63">
        <f t="shared" si="15"/>
        <v>110.00000000001364</v>
      </c>
      <c r="AU20" s="56">
        <v>283.17</v>
      </c>
      <c r="AV20" s="63">
        <f t="shared" si="16"/>
        <v>69.999999999993179</v>
      </c>
      <c r="AW20" s="56">
        <v>315.74</v>
      </c>
      <c r="AX20" s="63">
        <f t="shared" si="17"/>
        <v>90.000000000031832</v>
      </c>
      <c r="AY20" s="56">
        <v>359.71</v>
      </c>
      <c r="AZ20" s="63">
        <f t="shared" si="18"/>
        <v>29.999999999972715</v>
      </c>
      <c r="BA20" s="56">
        <v>380.19</v>
      </c>
      <c r="BB20" s="63">
        <f t="shared" si="19"/>
        <v>40.000000000020464</v>
      </c>
      <c r="BC20" s="56">
        <v>240.78</v>
      </c>
      <c r="BD20" s="63">
        <f t="shared" si="20"/>
        <v>30.000000000001137</v>
      </c>
      <c r="BE20" s="57">
        <v>39029</v>
      </c>
      <c r="BF20" s="65">
        <f t="shared" si="39"/>
        <v>31</v>
      </c>
      <c r="BG20" s="58">
        <v>232.73</v>
      </c>
      <c r="BH20" s="63">
        <f t="shared" si="21"/>
        <v>30.000000000001137</v>
      </c>
      <c r="BI20" s="58">
        <v>291.97000000000003</v>
      </c>
      <c r="BJ20" s="63">
        <f t="shared" si="40"/>
        <v>40.000000000020464</v>
      </c>
      <c r="BK20" s="58">
        <v>235.64</v>
      </c>
      <c r="BL20" s="63">
        <f t="shared" si="22"/>
        <v>39.999999999992042</v>
      </c>
      <c r="BM20" s="58">
        <v>222.36</v>
      </c>
      <c r="BN20" s="63">
        <f t="shared" si="23"/>
        <v>30.000000000001137</v>
      </c>
      <c r="BO20" s="58">
        <v>286.43</v>
      </c>
      <c r="BP20" s="63">
        <f t="shared" si="24"/>
        <v>30.000000000029559</v>
      </c>
      <c r="BQ20" s="58">
        <v>44289</v>
      </c>
      <c r="BR20" s="63">
        <f t="shared" si="25"/>
        <v>21</v>
      </c>
      <c r="BS20" s="58">
        <v>199.87</v>
      </c>
      <c r="BT20" s="63">
        <f t="shared" si="42"/>
        <v>20.000000000010232</v>
      </c>
      <c r="BU20" s="58">
        <v>39041</v>
      </c>
      <c r="BV20" s="63">
        <f t="shared" si="26"/>
        <v>38</v>
      </c>
      <c r="BW20" s="58">
        <v>230.9</v>
      </c>
      <c r="BX20" s="63">
        <f t="shared" si="27"/>
        <v>20.000000000010232</v>
      </c>
      <c r="BY20" s="58">
        <v>58371</v>
      </c>
      <c r="BZ20" s="65">
        <f t="shared" si="28"/>
        <v>46</v>
      </c>
      <c r="CA20" s="58">
        <v>30531.599999999999</v>
      </c>
      <c r="CB20" s="65">
        <f t="shared" si="29"/>
        <v>45.899999999997817</v>
      </c>
      <c r="CC20" s="58">
        <v>11843.8</v>
      </c>
      <c r="CD20" s="65">
        <f t="shared" si="30"/>
        <v>8.7999999999992724</v>
      </c>
      <c r="CE20" s="58">
        <v>6204.1</v>
      </c>
      <c r="CF20" s="65">
        <f t="shared" si="31"/>
        <v>4.1000000000003638</v>
      </c>
      <c r="CG20" s="58">
        <v>58186.2</v>
      </c>
      <c r="CH20" s="65">
        <f t="shared" si="32"/>
        <v>25.19999999999709</v>
      </c>
      <c r="CI20" s="58">
        <v>937112</v>
      </c>
      <c r="CJ20" s="65">
        <f t="shared" si="33"/>
        <v>319</v>
      </c>
      <c r="CK20" s="58">
        <v>734.22</v>
      </c>
      <c r="CL20" s="62">
        <f t="shared" si="34"/>
        <v>620.00000000000455</v>
      </c>
      <c r="CM20" s="63">
        <f t="shared" si="35"/>
        <v>73</v>
      </c>
      <c r="CN20" s="60">
        <v>9</v>
      </c>
      <c r="CO20" s="60">
        <v>25</v>
      </c>
      <c r="CP20" s="66">
        <v>7605</v>
      </c>
      <c r="CQ20" s="65">
        <f t="shared" si="36"/>
        <v>55</v>
      </c>
      <c r="CR20" s="66">
        <v>13302</v>
      </c>
      <c r="CS20" s="65">
        <f t="shared" si="36"/>
        <v>18</v>
      </c>
      <c r="CT20" s="73">
        <v>5949</v>
      </c>
      <c r="CU20" s="65">
        <f t="shared" si="36"/>
        <v>13</v>
      </c>
      <c r="CV20" s="66">
        <v>14445</v>
      </c>
      <c r="CW20" s="65">
        <f t="shared" si="36"/>
        <v>23</v>
      </c>
    </row>
    <row r="21" spans="1:101" ht="25.5" customHeight="1" thickBot="1" x14ac:dyDescent="0.45">
      <c r="A21" s="61">
        <v>44334</v>
      </c>
      <c r="B21" s="44"/>
      <c r="C21" s="56">
        <v>2.2145000000000001</v>
      </c>
      <c r="D21" s="62">
        <f t="shared" si="0"/>
        <v>2099.9999999999909</v>
      </c>
      <c r="E21" s="56">
        <v>3.1503999999999999</v>
      </c>
      <c r="F21" s="62">
        <f t="shared" si="1"/>
        <v>2799.9999999996917</v>
      </c>
      <c r="G21" s="56">
        <v>3.2172000000000001</v>
      </c>
      <c r="H21" s="62">
        <f t="shared" si="2"/>
        <v>2200.0000000002019</v>
      </c>
      <c r="I21" s="56">
        <v>1.5867</v>
      </c>
      <c r="J21" s="62">
        <f t="shared" si="3"/>
        <v>1400.0000000000678</v>
      </c>
      <c r="K21" s="56">
        <v>2.5636000000000001</v>
      </c>
      <c r="L21" s="62">
        <f t="shared" si="37"/>
        <v>2000.0000000002237</v>
      </c>
      <c r="M21" s="56">
        <v>1.4217</v>
      </c>
      <c r="N21" s="62">
        <f t="shared" si="4"/>
        <v>699.99999999992292</v>
      </c>
      <c r="O21" s="56">
        <v>14092</v>
      </c>
      <c r="P21" s="65">
        <f t="shared" si="43"/>
        <v>14</v>
      </c>
      <c r="Q21" s="56">
        <v>897</v>
      </c>
      <c r="R21" s="65">
        <f t="shared" si="6"/>
        <v>4</v>
      </c>
      <c r="S21" s="56">
        <v>963599.2</v>
      </c>
      <c r="T21" s="65">
        <f t="shared" si="7"/>
        <v>633.59999999997672</v>
      </c>
      <c r="U21" s="56">
        <v>405269.7</v>
      </c>
      <c r="V21" s="65">
        <f t="shared" si="38"/>
        <v>307.60000000003492</v>
      </c>
      <c r="W21" s="56">
        <v>386.12</v>
      </c>
      <c r="X21" s="63">
        <f t="shared" si="41"/>
        <v>319.99999999999318</v>
      </c>
      <c r="Y21" s="56">
        <v>2.7515000000000001</v>
      </c>
      <c r="Z21" s="63">
        <f t="shared" si="8"/>
        <v>2499.9999999999468</v>
      </c>
      <c r="AA21" s="56">
        <v>384.59</v>
      </c>
      <c r="AB21" s="63">
        <f t="shared" si="9"/>
        <v>199.99999999998863</v>
      </c>
      <c r="AC21" s="56">
        <v>360.83</v>
      </c>
      <c r="AD21" s="63">
        <f t="shared" si="10"/>
        <v>189.99999999999773</v>
      </c>
      <c r="AE21" s="56">
        <v>555.63</v>
      </c>
      <c r="AF21" s="63">
        <f t="shared" si="11"/>
        <v>269.99999999998181</v>
      </c>
      <c r="AG21" s="56">
        <v>3060</v>
      </c>
      <c r="AH21" s="65">
        <f t="shared" si="12"/>
        <v>34</v>
      </c>
      <c r="AI21" s="56">
        <v>588.80999999999995</v>
      </c>
      <c r="AJ21" s="63">
        <f t="shared" si="13"/>
        <v>679.99999999994998</v>
      </c>
      <c r="AK21" s="56">
        <v>196.62</v>
      </c>
      <c r="AL21" s="63">
        <f t="shared" si="13"/>
        <v>219.99999999999886</v>
      </c>
      <c r="AM21" s="56">
        <v>188.13</v>
      </c>
      <c r="AN21" s="63">
        <f t="shared" si="13"/>
        <v>189.99999999999773</v>
      </c>
      <c r="AO21" s="56">
        <v>184.53</v>
      </c>
      <c r="AP21" s="63">
        <f t="shared" si="13"/>
        <v>229.99999999998977</v>
      </c>
      <c r="AQ21" s="56">
        <v>241.23</v>
      </c>
      <c r="AR21" s="63">
        <f t="shared" si="14"/>
        <v>109.99999999998522</v>
      </c>
      <c r="AS21" s="56">
        <v>366.38</v>
      </c>
      <c r="AT21" s="63">
        <f t="shared" si="15"/>
        <v>60.000000000002274</v>
      </c>
      <c r="AU21" s="56">
        <v>283.23</v>
      </c>
      <c r="AV21" s="63">
        <f t="shared" si="16"/>
        <v>60.000000000002274</v>
      </c>
      <c r="AW21" s="56">
        <v>315.81</v>
      </c>
      <c r="AX21" s="63">
        <f t="shared" si="17"/>
        <v>69.999999999993179</v>
      </c>
      <c r="AY21" s="56">
        <v>359.75</v>
      </c>
      <c r="AZ21" s="63">
        <f t="shared" si="18"/>
        <v>40.000000000020464</v>
      </c>
      <c r="BA21" s="56">
        <v>380.22</v>
      </c>
      <c r="BB21" s="63">
        <f t="shared" si="19"/>
        <v>30.000000000029559</v>
      </c>
      <c r="BC21" s="56">
        <v>240.82</v>
      </c>
      <c r="BD21" s="63">
        <f t="shared" si="20"/>
        <v>39.999999999992042</v>
      </c>
      <c r="BE21" s="57">
        <v>39073</v>
      </c>
      <c r="BF21" s="65">
        <f t="shared" si="39"/>
        <v>44</v>
      </c>
      <c r="BG21" s="58">
        <v>232.75</v>
      </c>
      <c r="BH21" s="63">
        <f t="shared" si="21"/>
        <v>20.000000000010232</v>
      </c>
      <c r="BI21" s="58">
        <v>292.01</v>
      </c>
      <c r="BJ21" s="63">
        <f t="shared" si="40"/>
        <v>39.99999999996362</v>
      </c>
      <c r="BK21" s="58">
        <v>235.67</v>
      </c>
      <c r="BL21" s="63">
        <f t="shared" si="22"/>
        <v>30.000000000001137</v>
      </c>
      <c r="BM21" s="58">
        <v>222.4</v>
      </c>
      <c r="BN21" s="63">
        <f t="shared" si="23"/>
        <v>39.999999999992042</v>
      </c>
      <c r="BO21" s="58">
        <v>286.47000000000003</v>
      </c>
      <c r="BP21" s="63">
        <f t="shared" si="24"/>
        <v>40.000000000020464</v>
      </c>
      <c r="BQ21" s="58">
        <v>44314</v>
      </c>
      <c r="BR21" s="63">
        <f t="shared" si="25"/>
        <v>25</v>
      </c>
      <c r="BS21" s="58">
        <v>199.89</v>
      </c>
      <c r="BT21" s="63">
        <f t="shared" si="42"/>
        <v>19.99999999998181</v>
      </c>
      <c r="BU21" s="58">
        <v>39081</v>
      </c>
      <c r="BV21" s="63">
        <f t="shared" si="26"/>
        <v>40</v>
      </c>
      <c r="BW21" s="58">
        <v>230.92</v>
      </c>
      <c r="BX21" s="63">
        <f t="shared" si="27"/>
        <v>19.99999999998181</v>
      </c>
      <c r="BY21" s="58">
        <v>58419</v>
      </c>
      <c r="BZ21" s="65">
        <f t="shared" si="28"/>
        <v>48</v>
      </c>
      <c r="CA21" s="58">
        <v>30574.400000000001</v>
      </c>
      <c r="CB21" s="65">
        <f t="shared" si="29"/>
        <v>42.80000000000291</v>
      </c>
      <c r="CC21" s="58">
        <v>11855.2</v>
      </c>
      <c r="CD21" s="65">
        <f t="shared" si="30"/>
        <v>11.400000000001455</v>
      </c>
      <c r="CE21" s="58">
        <v>6228.6</v>
      </c>
      <c r="CF21" s="65">
        <f t="shared" si="31"/>
        <v>24.5</v>
      </c>
      <c r="CG21" s="58">
        <v>58211.6</v>
      </c>
      <c r="CH21" s="65">
        <f t="shared" si="32"/>
        <v>25.400000000001455</v>
      </c>
      <c r="CI21" s="58">
        <v>937471</v>
      </c>
      <c r="CJ21" s="65">
        <f t="shared" si="33"/>
        <v>359</v>
      </c>
      <c r="CK21" s="58">
        <v>734.66</v>
      </c>
      <c r="CL21" s="62">
        <f t="shared" si="34"/>
        <v>439.99999999994088</v>
      </c>
      <c r="CM21" s="63">
        <f t="shared" si="35"/>
        <v>178</v>
      </c>
      <c r="CN21" s="60">
        <v>9</v>
      </c>
      <c r="CO21" s="60">
        <v>25</v>
      </c>
      <c r="CP21" s="66">
        <v>7722</v>
      </c>
      <c r="CQ21" s="65">
        <f t="shared" si="36"/>
        <v>117</v>
      </c>
      <c r="CR21" s="66">
        <v>13363</v>
      </c>
      <c r="CS21" s="65">
        <f t="shared" si="36"/>
        <v>61</v>
      </c>
      <c r="CT21" s="73">
        <v>5961</v>
      </c>
      <c r="CU21" s="65">
        <f t="shared" si="36"/>
        <v>12</v>
      </c>
      <c r="CV21" s="66">
        <v>14463</v>
      </c>
      <c r="CW21" s="65">
        <f t="shared" si="36"/>
        <v>18</v>
      </c>
    </row>
    <row r="22" spans="1:101" ht="25.5" customHeight="1" thickBot="1" x14ac:dyDescent="0.45">
      <c r="A22" s="61">
        <v>44335</v>
      </c>
      <c r="B22" s="44"/>
      <c r="C22" s="56">
        <v>2.2164999999999999</v>
      </c>
      <c r="D22" s="62">
        <f t="shared" si="0"/>
        <v>1999.9999999997797</v>
      </c>
      <c r="E22" s="56">
        <v>3.1532</v>
      </c>
      <c r="F22" s="62">
        <f t="shared" si="1"/>
        <v>2800.0000000001355</v>
      </c>
      <c r="G22" s="56">
        <v>3.2198000000000002</v>
      </c>
      <c r="H22" s="62">
        <f t="shared" si="2"/>
        <v>2600.0000000001578</v>
      </c>
      <c r="I22" s="56">
        <v>1.5881000000000001</v>
      </c>
      <c r="J22" s="62">
        <f t="shared" si="3"/>
        <v>1400.0000000000678</v>
      </c>
      <c r="K22" s="56">
        <v>2.5655999999999999</v>
      </c>
      <c r="L22" s="62">
        <f t="shared" si="37"/>
        <v>1999.9999999997797</v>
      </c>
      <c r="M22" s="56">
        <v>1.4226000000000001</v>
      </c>
      <c r="N22" s="62">
        <f t="shared" si="4"/>
        <v>900.0000000001229</v>
      </c>
      <c r="O22" s="56">
        <v>14104</v>
      </c>
      <c r="P22" s="65">
        <f t="shared" si="43"/>
        <v>12</v>
      </c>
      <c r="Q22" s="56">
        <v>902</v>
      </c>
      <c r="R22" s="65">
        <f t="shared" si="6"/>
        <v>5</v>
      </c>
      <c r="S22" s="56">
        <v>964245.2</v>
      </c>
      <c r="T22" s="65">
        <f t="shared" si="7"/>
        <v>646</v>
      </c>
      <c r="U22" s="56">
        <v>405560.8</v>
      </c>
      <c r="V22" s="65">
        <f t="shared" si="38"/>
        <v>291.09999999997672</v>
      </c>
      <c r="W22" s="56">
        <v>386.46</v>
      </c>
      <c r="X22" s="63">
        <f t="shared" si="41"/>
        <v>339.99999999997499</v>
      </c>
      <c r="Y22" s="56">
        <v>2.7538</v>
      </c>
      <c r="Z22" s="63">
        <f t="shared" si="8"/>
        <v>2299.9999999999686</v>
      </c>
      <c r="AA22" s="56">
        <v>384.93</v>
      </c>
      <c r="AB22" s="63">
        <f t="shared" si="9"/>
        <v>340.00000000003183</v>
      </c>
      <c r="AC22" s="56">
        <v>361.02</v>
      </c>
      <c r="AD22" s="63">
        <f t="shared" si="10"/>
        <v>189.99999999999773</v>
      </c>
      <c r="AE22" s="56">
        <v>555.87</v>
      </c>
      <c r="AF22" s="63">
        <f t="shared" si="11"/>
        <v>240.00000000000909</v>
      </c>
      <c r="AG22" s="56">
        <v>3097</v>
      </c>
      <c r="AH22" s="65">
        <f t="shared" si="12"/>
        <v>37</v>
      </c>
      <c r="AI22" s="56">
        <v>589.55999999999995</v>
      </c>
      <c r="AJ22" s="63">
        <f t="shared" si="13"/>
        <v>750</v>
      </c>
      <c r="AK22" s="56">
        <v>196.84</v>
      </c>
      <c r="AL22" s="63">
        <f t="shared" si="13"/>
        <v>219.99999999999886</v>
      </c>
      <c r="AM22" s="56">
        <v>188.31</v>
      </c>
      <c r="AN22" s="63">
        <f t="shared" si="13"/>
        <v>180.00000000000682</v>
      </c>
      <c r="AO22" s="56">
        <v>184.75</v>
      </c>
      <c r="AP22" s="63">
        <f t="shared" si="13"/>
        <v>219.99999999999886</v>
      </c>
      <c r="AQ22" s="56">
        <v>241.39</v>
      </c>
      <c r="AR22" s="63">
        <f t="shared" si="14"/>
        <v>159.99999999999659</v>
      </c>
      <c r="AS22" s="56">
        <v>366.42</v>
      </c>
      <c r="AT22" s="63">
        <f t="shared" si="15"/>
        <v>40.000000000020464</v>
      </c>
      <c r="AU22" s="56">
        <v>283.27999999999997</v>
      </c>
      <c r="AV22" s="63">
        <f t="shared" si="16"/>
        <v>49.999999999954525</v>
      </c>
      <c r="AW22" s="56">
        <v>315.86</v>
      </c>
      <c r="AX22" s="63">
        <f t="shared" si="17"/>
        <v>50.000000000011369</v>
      </c>
      <c r="AY22" s="56">
        <v>359.8</v>
      </c>
      <c r="AZ22" s="63">
        <f t="shared" si="18"/>
        <v>50.000000000011369</v>
      </c>
      <c r="BA22" s="56">
        <v>380.24</v>
      </c>
      <c r="BB22" s="63">
        <f t="shared" si="19"/>
        <v>19.99999999998181</v>
      </c>
      <c r="BC22" s="56">
        <v>240.86</v>
      </c>
      <c r="BD22" s="63">
        <f t="shared" si="20"/>
        <v>40.000000000020464</v>
      </c>
      <c r="BE22" s="57">
        <v>39115</v>
      </c>
      <c r="BF22" s="65">
        <f t="shared" si="39"/>
        <v>42</v>
      </c>
      <c r="BG22" s="58">
        <v>232.78</v>
      </c>
      <c r="BH22" s="63">
        <f t="shared" si="21"/>
        <v>30.000000000001137</v>
      </c>
      <c r="BI22" s="58">
        <v>292.05</v>
      </c>
      <c r="BJ22" s="63">
        <f t="shared" si="40"/>
        <v>40.000000000020464</v>
      </c>
      <c r="BK22" s="58">
        <v>235.71</v>
      </c>
      <c r="BL22" s="63">
        <f t="shared" si="22"/>
        <v>40.000000000020464</v>
      </c>
      <c r="BM22" s="58">
        <v>222.44</v>
      </c>
      <c r="BN22" s="63">
        <f t="shared" si="23"/>
        <v>39.999999999992042</v>
      </c>
      <c r="BO22" s="58">
        <v>286.5</v>
      </c>
      <c r="BP22" s="63">
        <f t="shared" si="24"/>
        <v>29.999999999972715</v>
      </c>
      <c r="BQ22" s="58">
        <v>44338</v>
      </c>
      <c r="BR22" s="63">
        <f t="shared" si="25"/>
        <v>24</v>
      </c>
      <c r="BS22" s="58">
        <v>199.91</v>
      </c>
      <c r="BT22" s="63">
        <f t="shared" si="42"/>
        <v>20.000000000010232</v>
      </c>
      <c r="BU22" s="58">
        <v>39120</v>
      </c>
      <c r="BV22" s="63">
        <f t="shared" si="26"/>
        <v>39</v>
      </c>
      <c r="BW22" s="58">
        <v>230.95</v>
      </c>
      <c r="BX22" s="63">
        <f t="shared" si="27"/>
        <v>30.000000000001137</v>
      </c>
      <c r="BY22" s="58">
        <v>58470</v>
      </c>
      <c r="BZ22" s="65">
        <f t="shared" si="28"/>
        <v>51</v>
      </c>
      <c r="CA22" s="58">
        <v>30615.7</v>
      </c>
      <c r="CB22" s="65">
        <f t="shared" si="29"/>
        <v>41.299999999999272</v>
      </c>
      <c r="CC22" s="58">
        <v>11863.3</v>
      </c>
      <c r="CD22" s="65">
        <f t="shared" si="30"/>
        <v>8.0999999999985448</v>
      </c>
      <c r="CE22" s="58">
        <v>6230</v>
      </c>
      <c r="CF22" s="65">
        <f t="shared" si="31"/>
        <v>1.3999999999996362</v>
      </c>
      <c r="CG22" s="58">
        <v>58238</v>
      </c>
      <c r="CH22" s="65">
        <f t="shared" si="32"/>
        <v>26.400000000001455</v>
      </c>
      <c r="CI22" s="58">
        <v>937722</v>
      </c>
      <c r="CJ22" s="65">
        <f t="shared" si="33"/>
        <v>251</v>
      </c>
      <c r="CK22" s="58">
        <v>735.56</v>
      </c>
      <c r="CL22" s="62">
        <f t="shared" si="34"/>
        <v>899.99999999997726</v>
      </c>
      <c r="CM22" s="63">
        <f t="shared" si="35"/>
        <v>69</v>
      </c>
      <c r="CN22" s="60">
        <v>13</v>
      </c>
      <c r="CO22" s="60">
        <v>32</v>
      </c>
      <c r="CP22" s="66">
        <v>7773</v>
      </c>
      <c r="CQ22" s="65">
        <f t="shared" si="36"/>
        <v>51</v>
      </c>
      <c r="CR22" s="66">
        <v>13381</v>
      </c>
      <c r="CS22" s="65">
        <f t="shared" si="36"/>
        <v>18</v>
      </c>
      <c r="CT22" s="73">
        <v>5972</v>
      </c>
      <c r="CU22" s="65">
        <f t="shared" si="36"/>
        <v>11</v>
      </c>
      <c r="CV22" s="66">
        <v>14486</v>
      </c>
      <c r="CW22" s="65">
        <f t="shared" si="36"/>
        <v>23</v>
      </c>
    </row>
    <row r="23" spans="1:101" ht="25.5" customHeight="1" thickBot="1" x14ac:dyDescent="0.45">
      <c r="A23" s="61">
        <v>44336</v>
      </c>
      <c r="B23" s="44"/>
      <c r="C23" s="56"/>
      <c r="D23" s="62" t="str">
        <f t="shared" si="0"/>
        <v>0</v>
      </c>
      <c r="E23" s="56"/>
      <c r="F23" s="62" t="str">
        <f t="shared" si="1"/>
        <v>0</v>
      </c>
      <c r="G23" s="56"/>
      <c r="H23" s="62" t="str">
        <f t="shared" si="2"/>
        <v>0</v>
      </c>
      <c r="I23" s="56"/>
      <c r="J23" s="62" t="str">
        <f t="shared" si="3"/>
        <v>0</v>
      </c>
      <c r="K23" s="56"/>
      <c r="L23" s="62" t="str">
        <f t="shared" si="37"/>
        <v>0</v>
      </c>
      <c r="M23" s="56"/>
      <c r="N23" s="62" t="str">
        <f t="shared" si="4"/>
        <v/>
      </c>
      <c r="O23" s="56"/>
      <c r="P23" s="65" t="str">
        <f t="shared" si="43"/>
        <v/>
      </c>
      <c r="Q23" s="56"/>
      <c r="R23" s="65" t="str">
        <f t="shared" si="6"/>
        <v/>
      </c>
      <c r="S23" s="56"/>
      <c r="T23" s="65" t="str">
        <f t="shared" si="7"/>
        <v/>
      </c>
      <c r="U23" s="56"/>
      <c r="V23" s="65" t="str">
        <f t="shared" si="38"/>
        <v/>
      </c>
      <c r="W23" s="56"/>
      <c r="X23" s="63" t="str">
        <f t="shared" si="41"/>
        <v/>
      </c>
      <c r="Y23" s="56"/>
      <c r="Z23" s="63" t="str">
        <f t="shared" si="8"/>
        <v/>
      </c>
      <c r="AA23" s="56"/>
      <c r="AB23" s="63" t="str">
        <f t="shared" si="9"/>
        <v/>
      </c>
      <c r="AC23" s="56"/>
      <c r="AD23" s="63" t="str">
        <f t="shared" si="10"/>
        <v/>
      </c>
      <c r="AE23" s="56"/>
      <c r="AF23" s="63" t="str">
        <f t="shared" si="11"/>
        <v/>
      </c>
      <c r="AG23" s="56"/>
      <c r="AH23" s="65" t="str">
        <f t="shared" si="12"/>
        <v/>
      </c>
      <c r="AI23" s="56"/>
      <c r="AJ23" s="63" t="str">
        <f t="shared" si="13"/>
        <v/>
      </c>
      <c r="AK23" s="56"/>
      <c r="AL23" s="63" t="str">
        <f t="shared" si="13"/>
        <v/>
      </c>
      <c r="AM23" s="56"/>
      <c r="AN23" s="63" t="str">
        <f t="shared" si="13"/>
        <v/>
      </c>
      <c r="AO23" s="56"/>
      <c r="AP23" s="63" t="str">
        <f t="shared" si="13"/>
        <v/>
      </c>
      <c r="AQ23" s="56"/>
      <c r="AR23" s="63" t="str">
        <f t="shared" si="14"/>
        <v/>
      </c>
      <c r="AS23" s="56"/>
      <c r="AT23" s="63" t="str">
        <f t="shared" si="15"/>
        <v/>
      </c>
      <c r="AU23" s="56"/>
      <c r="AV23" s="63" t="str">
        <f t="shared" si="16"/>
        <v/>
      </c>
      <c r="AW23" s="56"/>
      <c r="AX23" s="63" t="str">
        <f t="shared" si="17"/>
        <v/>
      </c>
      <c r="AY23" s="56"/>
      <c r="AZ23" s="63" t="str">
        <f t="shared" si="18"/>
        <v/>
      </c>
      <c r="BA23" s="56"/>
      <c r="BB23" s="63" t="str">
        <f t="shared" si="19"/>
        <v/>
      </c>
      <c r="BC23" s="56"/>
      <c r="BD23" s="63" t="str">
        <f t="shared" si="20"/>
        <v/>
      </c>
      <c r="BE23" s="57"/>
      <c r="BF23" s="65" t="str">
        <f t="shared" si="39"/>
        <v/>
      </c>
      <c r="BG23" s="58"/>
      <c r="BH23" s="63" t="str">
        <f t="shared" si="21"/>
        <v/>
      </c>
      <c r="BI23" s="58"/>
      <c r="BJ23" s="63" t="str">
        <f t="shared" si="40"/>
        <v/>
      </c>
      <c r="BK23" s="58"/>
      <c r="BL23" s="63" t="str">
        <f t="shared" si="22"/>
        <v/>
      </c>
      <c r="BM23" s="58"/>
      <c r="BN23" s="63" t="str">
        <f t="shared" si="23"/>
        <v/>
      </c>
      <c r="BO23" s="58"/>
      <c r="BP23" s="63" t="str">
        <f t="shared" si="24"/>
        <v/>
      </c>
      <c r="BQ23" s="58"/>
      <c r="BR23" s="63" t="str">
        <f t="shared" si="25"/>
        <v/>
      </c>
      <c r="BS23" s="58"/>
      <c r="BT23" s="63" t="str">
        <f t="shared" si="42"/>
        <v/>
      </c>
      <c r="BU23" s="58"/>
      <c r="BV23" s="63" t="str">
        <f t="shared" si="26"/>
        <v/>
      </c>
      <c r="BW23" s="58"/>
      <c r="BX23" s="63" t="str">
        <f t="shared" si="27"/>
        <v/>
      </c>
      <c r="BY23" s="58"/>
      <c r="BZ23" s="65" t="str">
        <f t="shared" si="28"/>
        <v/>
      </c>
      <c r="CA23" s="58"/>
      <c r="CB23" s="65" t="str">
        <f t="shared" si="29"/>
        <v/>
      </c>
      <c r="CC23" s="58"/>
      <c r="CD23" s="65" t="str">
        <f t="shared" si="30"/>
        <v/>
      </c>
      <c r="CE23" s="58"/>
      <c r="CF23" s="65" t="str">
        <f t="shared" si="31"/>
        <v/>
      </c>
      <c r="CG23" s="58"/>
      <c r="CH23" s="65" t="str">
        <f t="shared" si="32"/>
        <v/>
      </c>
      <c r="CI23" s="58"/>
      <c r="CJ23" s="65" t="str">
        <f t="shared" si="33"/>
        <v/>
      </c>
      <c r="CK23" s="58"/>
      <c r="CL23" s="62" t="str">
        <f t="shared" si="34"/>
        <v/>
      </c>
      <c r="CM23" s="63" t="e">
        <f t="shared" si="35"/>
        <v>#VALUE!</v>
      </c>
      <c r="CN23" s="60"/>
      <c r="CO23" s="60"/>
      <c r="CP23" s="66"/>
      <c r="CQ23" s="65" t="str">
        <f t="shared" si="36"/>
        <v/>
      </c>
      <c r="CR23" s="66"/>
      <c r="CS23" s="65" t="str">
        <f t="shared" si="36"/>
        <v/>
      </c>
      <c r="CT23" s="73"/>
      <c r="CU23" s="65" t="str">
        <f t="shared" si="36"/>
        <v/>
      </c>
      <c r="CV23" s="66"/>
      <c r="CW23" s="65" t="str">
        <f t="shared" si="36"/>
        <v/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zoomScaleNormal="100" workbookViewId="0">
      <selection activeCell="D29" sqref="D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>
        <v>0</v>
      </c>
      <c r="C22" s="40">
        <v>8</v>
      </c>
      <c r="D22" s="40">
        <v>24</v>
      </c>
      <c r="E22" s="41">
        <v>75</v>
      </c>
      <c r="F22" s="41">
        <v>5156</v>
      </c>
      <c r="G22" s="41">
        <v>5</v>
      </c>
      <c r="H22" s="41">
        <v>1456</v>
      </c>
      <c r="I22" s="41">
        <v>0</v>
      </c>
      <c r="J22" s="41">
        <v>317</v>
      </c>
      <c r="K22" s="42">
        <v>25</v>
      </c>
      <c r="L22" s="42">
        <v>85</v>
      </c>
      <c r="M22" s="42">
        <v>1292</v>
      </c>
      <c r="N22" s="39">
        <v>85</v>
      </c>
      <c r="O22" s="39">
        <v>0</v>
      </c>
      <c r="P22" s="39">
        <v>70</v>
      </c>
      <c r="Q22" s="39">
        <v>3687</v>
      </c>
      <c r="R22" s="75">
        <v>70</v>
      </c>
      <c r="S22" s="75">
        <v>197</v>
      </c>
      <c r="T22">
        <f t="shared" si="0"/>
        <v>0</v>
      </c>
    </row>
    <row r="23" spans="1:20" x14ac:dyDescent="0.25">
      <c r="A23" s="71">
        <v>44332</v>
      </c>
      <c r="B23" s="40">
        <v>0</v>
      </c>
      <c r="C23" s="40">
        <v>8</v>
      </c>
      <c r="D23" s="40">
        <v>24</v>
      </c>
      <c r="E23" s="41">
        <v>75</v>
      </c>
      <c r="F23" s="41">
        <v>5161</v>
      </c>
      <c r="G23" s="41">
        <v>0</v>
      </c>
      <c r="H23" s="41">
        <v>1458</v>
      </c>
      <c r="I23" s="41">
        <v>0</v>
      </c>
      <c r="J23" s="41">
        <v>317</v>
      </c>
      <c r="K23" s="42">
        <v>25</v>
      </c>
      <c r="L23" s="42">
        <v>85</v>
      </c>
      <c r="M23" s="42">
        <v>1294</v>
      </c>
      <c r="N23" s="39">
        <v>85</v>
      </c>
      <c r="O23" s="39">
        <v>0</v>
      </c>
      <c r="P23" s="39">
        <v>70</v>
      </c>
      <c r="Q23" s="39">
        <v>3691</v>
      </c>
      <c r="R23" s="75">
        <v>70</v>
      </c>
      <c r="S23" s="75">
        <v>197</v>
      </c>
      <c r="T23">
        <f t="shared" si="0"/>
        <v>0</v>
      </c>
    </row>
    <row r="24" spans="1:20" x14ac:dyDescent="0.25">
      <c r="A24" s="71">
        <v>44333</v>
      </c>
      <c r="B24" s="40">
        <v>0</v>
      </c>
      <c r="C24" s="40">
        <v>9</v>
      </c>
      <c r="D24" s="40">
        <v>25</v>
      </c>
      <c r="E24" s="41">
        <v>60</v>
      </c>
      <c r="F24" s="41">
        <v>5166</v>
      </c>
      <c r="G24" s="41">
        <v>0</v>
      </c>
      <c r="H24" s="41">
        <v>1459</v>
      </c>
      <c r="I24" s="41">
        <v>0</v>
      </c>
      <c r="J24" s="41">
        <v>318</v>
      </c>
      <c r="K24" s="42">
        <v>20</v>
      </c>
      <c r="L24" s="42">
        <v>85</v>
      </c>
      <c r="M24" s="42">
        <v>1296</v>
      </c>
      <c r="N24" s="39">
        <v>85</v>
      </c>
      <c r="O24" s="39">
        <v>0</v>
      </c>
      <c r="P24" s="39">
        <v>65</v>
      </c>
      <c r="Q24" s="39">
        <v>3696</v>
      </c>
      <c r="R24" s="75">
        <v>70</v>
      </c>
      <c r="S24" s="75">
        <v>197</v>
      </c>
      <c r="T24">
        <f t="shared" si="0"/>
        <v>0</v>
      </c>
    </row>
    <row r="25" spans="1:20" x14ac:dyDescent="0.25">
      <c r="A25" s="71">
        <v>44334</v>
      </c>
      <c r="B25" s="40">
        <v>0</v>
      </c>
      <c r="C25" s="40">
        <v>9</v>
      </c>
      <c r="D25" s="40">
        <v>25</v>
      </c>
      <c r="E25" s="41">
        <v>50</v>
      </c>
      <c r="F25" s="41">
        <v>5171</v>
      </c>
      <c r="G25" s="41">
        <v>0</v>
      </c>
      <c r="H25" s="41">
        <v>1461</v>
      </c>
      <c r="I25" s="41">
        <v>0</v>
      </c>
      <c r="J25" s="41">
        <v>319</v>
      </c>
      <c r="K25" s="42">
        <v>20</v>
      </c>
      <c r="L25" s="42">
        <v>85</v>
      </c>
      <c r="M25" s="42">
        <v>1296</v>
      </c>
      <c r="N25" s="39">
        <v>85</v>
      </c>
      <c r="O25" s="39">
        <v>0</v>
      </c>
      <c r="P25" s="39">
        <v>60</v>
      </c>
      <c r="Q25" s="39">
        <v>3700</v>
      </c>
      <c r="R25" s="75">
        <v>70</v>
      </c>
      <c r="S25" s="75">
        <v>197</v>
      </c>
      <c r="T25">
        <f t="shared" si="0"/>
        <v>0</v>
      </c>
    </row>
    <row r="26" spans="1:20" x14ac:dyDescent="0.25">
      <c r="A26" s="71">
        <v>44335</v>
      </c>
      <c r="B26" s="40">
        <v>0</v>
      </c>
      <c r="C26" s="40">
        <v>13</v>
      </c>
      <c r="D26" s="40">
        <v>32</v>
      </c>
      <c r="E26" s="41">
        <v>40</v>
      </c>
      <c r="F26" s="41">
        <v>5177</v>
      </c>
      <c r="G26" s="41">
        <v>0</v>
      </c>
      <c r="H26" s="41">
        <v>1462</v>
      </c>
      <c r="I26" s="41">
        <v>0</v>
      </c>
      <c r="J26" s="41">
        <v>320</v>
      </c>
      <c r="K26" s="42">
        <v>20</v>
      </c>
      <c r="L26" s="42">
        <v>85</v>
      </c>
      <c r="M26" s="42">
        <v>1298</v>
      </c>
      <c r="N26" s="39">
        <v>85</v>
      </c>
      <c r="O26" s="39">
        <v>0</v>
      </c>
      <c r="P26" s="39">
        <v>55</v>
      </c>
      <c r="Q26" s="39">
        <v>3704</v>
      </c>
      <c r="R26" s="75">
        <v>70</v>
      </c>
      <c r="S26" s="75">
        <v>197</v>
      </c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-197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2021-05-20T19:10:43Z</dcterms:modified>
</cp:coreProperties>
</file>