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zuzana_laugier_fourseasons_com/Documents/Plocha/"/>
    </mc:Choice>
  </mc:AlternateContent>
  <bookViews>
    <workbookView xWindow="-120" yWindow="-120" windowWidth="25440" windowHeight="15396" activeTab="10"/>
  </bookViews>
  <sheets>
    <sheet name="TOTAL" sheetId="1" r:id="rId1"/>
    <sheet name="January" sheetId="7" r:id="rId2"/>
    <sheet name="February" sheetId="6" r:id="rId3"/>
    <sheet name="March" sheetId="4" r:id="rId4"/>
    <sheet name="April" sheetId="3" r:id="rId5"/>
    <sheet name="May" sheetId="5" r:id="rId6"/>
    <sheet name="June" sheetId="8" r:id="rId7"/>
    <sheet name="July" sheetId="9" r:id="rId8"/>
    <sheet name="August" sheetId="10" r:id="rId9"/>
    <sheet name="September" sheetId="12" r:id="rId10"/>
    <sheet name="October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3" l="1"/>
  <c r="D36" i="13"/>
  <c r="C36" i="13"/>
  <c r="B36" i="13"/>
  <c r="L35" i="13"/>
  <c r="K35" i="13"/>
  <c r="H35" i="13"/>
  <c r="G35" i="13"/>
  <c r="F35" i="13"/>
  <c r="D35" i="13"/>
  <c r="C35" i="13"/>
  <c r="B35" i="13"/>
  <c r="D36" i="12"/>
  <c r="C36" i="12"/>
  <c r="B36" i="12"/>
  <c r="L35" i="12"/>
  <c r="K35" i="12"/>
  <c r="J35" i="12"/>
  <c r="H35" i="12"/>
  <c r="G35" i="12"/>
  <c r="F35" i="12"/>
  <c r="D35" i="12"/>
  <c r="C35" i="12"/>
  <c r="B35" i="12"/>
  <c r="L35" i="10"/>
  <c r="D36" i="10"/>
  <c r="C36" i="10"/>
  <c r="B36" i="10"/>
  <c r="K35" i="10"/>
  <c r="J35" i="10"/>
  <c r="H35" i="10"/>
  <c r="G35" i="10"/>
  <c r="F35" i="10"/>
  <c r="D35" i="10"/>
  <c r="C35" i="10"/>
  <c r="B35" i="10"/>
  <c r="H35" i="9"/>
  <c r="D36" i="9"/>
  <c r="C36" i="9"/>
  <c r="B36" i="9"/>
  <c r="K35" i="9"/>
  <c r="J35" i="9"/>
  <c r="G35" i="9"/>
  <c r="F35" i="9"/>
  <c r="D35" i="9"/>
  <c r="C35" i="9"/>
  <c r="B35" i="9"/>
  <c r="C38" i="13" l="1"/>
  <c r="D38" i="13"/>
  <c r="B38" i="13"/>
  <c r="D38" i="12"/>
  <c r="B38" i="12"/>
  <c r="C38" i="12"/>
  <c r="D38" i="10"/>
  <c r="C38" i="10"/>
  <c r="B38" i="10"/>
  <c r="D38" i="9"/>
  <c r="B38" i="9"/>
  <c r="C38" i="9"/>
  <c r="D36" i="8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D36" i="7"/>
  <c r="C36" i="7"/>
  <c r="B36" i="7"/>
  <c r="H35" i="7"/>
  <c r="G35" i="7"/>
  <c r="F35" i="7"/>
  <c r="D35" i="7"/>
  <c r="D38" i="7" s="1"/>
  <c r="C35" i="7"/>
  <c r="C38" i="7" s="1"/>
  <c r="B35" i="7"/>
  <c r="B38" i="7" s="1"/>
  <c r="D36" i="6" l="1"/>
  <c r="C36" i="6"/>
  <c r="B36" i="6"/>
  <c r="H35" i="6"/>
  <c r="G35" i="6"/>
  <c r="F35" i="6"/>
  <c r="D35" i="6"/>
  <c r="D38" i="6" s="1"/>
  <c r="C35" i="6"/>
  <c r="C38" i="6" s="1"/>
  <c r="B35" i="6"/>
  <c r="B38" i="6" s="1"/>
  <c r="D36" i="4" l="1"/>
  <c r="C36" i="4"/>
  <c r="B36" i="4"/>
  <c r="L35" i="4"/>
  <c r="K35" i="4"/>
  <c r="J35" i="4"/>
  <c r="H35" i="4"/>
  <c r="G35" i="4"/>
  <c r="F35" i="4"/>
  <c r="D35" i="4"/>
  <c r="D38" i="4" s="1"/>
  <c r="C35" i="4"/>
  <c r="C38" i="4" s="1"/>
  <c r="B35" i="4"/>
  <c r="B38" i="4" s="1"/>
  <c r="D36" i="5" l="1"/>
  <c r="C36" i="5"/>
  <c r="B36" i="5"/>
  <c r="L35" i="5"/>
  <c r="K35" i="5"/>
  <c r="J35" i="5"/>
  <c r="H35" i="5"/>
  <c r="G35" i="5"/>
  <c r="F35" i="5"/>
  <c r="D35" i="5"/>
  <c r="C35" i="5"/>
  <c r="B35" i="5"/>
  <c r="D38" i="5" l="1"/>
  <c r="C38" i="5"/>
  <c r="B38" i="5"/>
  <c r="H35" i="3"/>
  <c r="G35" i="3"/>
  <c r="F35" i="3"/>
  <c r="K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L35" i="3"/>
  <c r="J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<sst xmlns="http://schemas.openxmlformats.org/spreadsheetml/2006/main" count="287" uniqueCount="46">
  <si>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</si>
  <si>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</si>
  <si>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</si>
  <si>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</si>
  <si>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</si>
  <si>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</si>
  <si>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</si>
  <si>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</si>
  <si>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</si>
  <si>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</si>
  <si>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</si>
  <si>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</si>
  <si>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</si>
  <si>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</si>
  <si>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</si>
  <si>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</si>
  <si>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</si>
  <si>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</si>
  <si>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</si>
  <si>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</si>
  <si>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</si>
  <si>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</si>
  <si>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</si>
  <si>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</si>
  <si>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</si>
  <si>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</si>
  <si>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</si>
  <si>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</si>
  <si>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</si>
  <si>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</si>
  <si>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</si>
  <si>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</si>
  <si>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</si>
  <si>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</si>
  <si>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</si>
  <si>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APRIL 2021</t>
  </si>
  <si>
    <t>Four Seasons Hotel Prague - Utilities Daily Consumption - MARCH 2021</t>
  </si>
  <si>
    <t>Four Seasons Hotel Prague - Utilities Daily Consumption - FEBRUARY 2021</t>
  </si>
  <si>
    <t>Four Seasons Hotel Prague - Utilities Daily Consumption - JANUARY 2021</t>
  </si>
  <si>
    <t>Four Seasons Hotel Prague - Utilities Daily Consumption - MAY 2021</t>
  </si>
  <si>
    <t>Four Seasons Hotel Prague - Utilities Daily Consumption - JUNE 2021</t>
  </si>
  <si>
    <t>Four Seasons Hotel Prague - Utilities Daily Consumption - JULY 2021</t>
  </si>
  <si>
    <t>Kremosyn</t>
  </si>
  <si>
    <t>Four Seasons Hotel Prague - Utilities Daily Consumption - August 2021</t>
  </si>
  <si>
    <t>Four Seasons Hotel Prague - Utilities Daily Consumption - September 2021</t>
  </si>
  <si>
    <t>Four Seasons Hotel Prague - Utilities Daily Consumption -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</si>
</sst>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0" borderId="30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8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3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1" fontId="4" fillId="0" borderId="0" xfId="0" applyNumberFormat="1" applyFont="1" applyAlignment="1">
      <alignment horizontal="center"/>
    </xf>
    <xf numFmtId="3" fontId="3" fillId="2" borderId="6" xfId="0" applyNumberFormat="1" applyFont="1" applyFill="1" applyBorder="1" applyAlignment="1" applyProtection="1">
      <alignment horizontal="center"/>
    </xf>
    <xf numFmtId="0" fontId="13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workbookViewId="0">
      <selection activeCell="N4" sqref="N4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9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5"/>
    <col min="11" max="11" width="11.5546875" style="32"/>
    <col min="12" max="24" width="11.5546875" style="1"/>
  </cols>
  <sheetData>
    <row r="1" spans="1:24" s="3" customFormat="1" ht="43.2" x14ac:dyDescent="0.3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9">
        <v>12</v>
      </c>
      <c r="D2" s="2">
        <v>2020</v>
      </c>
      <c r="E2" s="4">
        <f>April!B4</f>
        <v>6389</v>
      </c>
      <c r="F2" s="22">
        <v>9.9000000000000005E-2</v>
      </c>
      <c r="G2" s="4">
        <f>April!C4</f>
        <v>659</v>
      </c>
      <c r="H2" s="24">
        <v>0.28000000000000003</v>
      </c>
      <c r="I2" s="4">
        <f>April!D4</f>
        <v>14</v>
      </c>
      <c r="J2" s="24">
        <v>3.2719999999999998</v>
      </c>
      <c r="K2" s="31">
        <f>April!J4</f>
        <v>30</v>
      </c>
      <c r="L2" s="31">
        <f>April!K4</f>
        <v>27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9">
        <v>12</v>
      </c>
      <c r="D3" s="2">
        <v>2020</v>
      </c>
      <c r="E3" s="4">
        <f>April!B5</f>
        <v>6570</v>
      </c>
      <c r="F3" s="22">
        <v>9.9000000000000005E-2</v>
      </c>
      <c r="G3" s="4">
        <f>April!C5</f>
        <v>910</v>
      </c>
      <c r="H3" s="24">
        <v>0.28000000000000003</v>
      </c>
      <c r="I3" s="4">
        <f>April!D5</f>
        <v>17</v>
      </c>
      <c r="J3" s="24">
        <v>3.2719999999999998</v>
      </c>
      <c r="K3" s="31">
        <f>April!J5</f>
        <v>25</v>
      </c>
      <c r="L3" s="31">
        <f>April!K5</f>
        <v>25</v>
      </c>
    </row>
    <row r="4" spans="1:24" x14ac:dyDescent="0.3">
      <c r="A4" s="3" t="s">
        <v>12</v>
      </c>
      <c r="B4" s="2">
        <f t="shared" ref="B4:B32" si="0">B3+1</f>
        <v>3</v>
      </c>
      <c r="C4" s="29">
        <v>12</v>
      </c>
      <c r="D4" s="2">
        <v>2020</v>
      </c>
      <c r="E4" s="4">
        <f>April!B6</f>
        <v>6082</v>
      </c>
      <c r="F4" s="22">
        <v>9.9000000000000005E-2</v>
      </c>
      <c r="G4" s="4">
        <f>April!C6</f>
        <v>931</v>
      </c>
      <c r="H4" s="24">
        <v>0.28000000000000003</v>
      </c>
      <c r="I4" s="4">
        <f>April!D6</f>
        <v>11</v>
      </c>
      <c r="J4" s="24">
        <v>3.2719999999999998</v>
      </c>
      <c r="K4" s="31">
        <f>April!J6</f>
        <v>7</v>
      </c>
      <c r="L4" s="31">
        <f>April!K6</f>
        <v>3</v>
      </c>
    </row>
    <row r="5" spans="1:24" x14ac:dyDescent="0.3">
      <c r="A5" s="3" t="s">
        <v>12</v>
      </c>
      <c r="B5" s="2">
        <f t="shared" si="0"/>
        <v>4</v>
      </c>
      <c r="C5" s="29">
        <v>12</v>
      </c>
      <c r="D5" s="2">
        <v>2020</v>
      </c>
      <c r="E5" s="4">
        <f>April!B7</f>
        <v>5710</v>
      </c>
      <c r="F5" s="22">
        <v>9.9000000000000005E-2</v>
      </c>
      <c r="G5" s="4">
        <f>April!C7</f>
        <v>852</v>
      </c>
      <c r="H5" s="24">
        <v>0.28000000000000003</v>
      </c>
      <c r="I5" s="4">
        <f>April!D7</f>
        <v>6</v>
      </c>
      <c r="J5" s="24">
        <v>3.2719999999999998</v>
      </c>
      <c r="K5" s="31">
        <f>April!J7</f>
        <v>5</v>
      </c>
      <c r="L5" s="31">
        <f>April!K7</f>
        <v>2</v>
      </c>
    </row>
    <row r="6" spans="1:24" x14ac:dyDescent="0.3">
      <c r="A6" s="3" t="s">
        <v>12</v>
      </c>
      <c r="B6" s="2">
        <f t="shared" si="0"/>
        <v>5</v>
      </c>
      <c r="C6" s="29">
        <v>12</v>
      </c>
      <c r="D6" s="2">
        <v>2020</v>
      </c>
      <c r="E6" s="4">
        <f>April!B8</f>
        <v>5693</v>
      </c>
      <c r="F6" s="22">
        <v>9.9000000000000005E-2</v>
      </c>
      <c r="G6" s="4">
        <f>April!C8</f>
        <v>990</v>
      </c>
      <c r="H6" s="24">
        <v>0.28000000000000003</v>
      </c>
      <c r="I6" s="4">
        <f>April!D8</f>
        <v>6</v>
      </c>
      <c r="J6" s="24">
        <v>3.2719999999999998</v>
      </c>
      <c r="K6" s="31">
        <f>April!J8</f>
        <v>0</v>
      </c>
      <c r="L6" s="31">
        <f>April!K8</f>
        <v>0</v>
      </c>
    </row>
    <row r="7" spans="1:24" x14ac:dyDescent="0.3">
      <c r="A7" s="3" t="s">
        <v>12</v>
      </c>
      <c r="B7" s="2">
        <f t="shared" si="0"/>
        <v>6</v>
      </c>
      <c r="C7" s="29">
        <v>12</v>
      </c>
      <c r="D7" s="2">
        <v>2020</v>
      </c>
      <c r="E7" s="4">
        <f>April!B9</f>
        <v>5964</v>
      </c>
      <c r="F7" s="22">
        <v>9.9000000000000005E-2</v>
      </c>
      <c r="G7" s="4">
        <f>April!C9</f>
        <v>1172</v>
      </c>
      <c r="H7" s="24">
        <v>0.28000000000000003</v>
      </c>
      <c r="I7" s="4">
        <f>April!D9</f>
        <v>9</v>
      </c>
      <c r="J7" s="24">
        <v>3.2719999999999998</v>
      </c>
      <c r="K7" s="31">
        <f>April!J9</f>
        <v>0</v>
      </c>
      <c r="L7" s="31">
        <f>April!K9</f>
        <v>0</v>
      </c>
    </row>
    <row r="8" spans="1:24" x14ac:dyDescent="0.3">
      <c r="A8" s="3" t="s">
        <v>12</v>
      </c>
      <c r="B8" s="2">
        <f t="shared" si="0"/>
        <v>7</v>
      </c>
      <c r="C8" s="29">
        <v>12</v>
      </c>
      <c r="D8" s="2">
        <v>2020</v>
      </c>
      <c r="E8" s="4">
        <f>April!B10</f>
        <v>5517</v>
      </c>
      <c r="F8" s="22">
        <v>9.9000000000000005E-2</v>
      </c>
      <c r="G8" s="4">
        <f>April!C10</f>
        <v>1109</v>
      </c>
      <c r="H8" s="24">
        <v>0.28000000000000003</v>
      </c>
      <c r="I8" s="4">
        <f>April!D10</f>
        <v>8</v>
      </c>
      <c r="J8" s="24">
        <v>3.2719999999999998</v>
      </c>
      <c r="K8" s="31">
        <f>April!J10</f>
        <v>0</v>
      </c>
      <c r="L8" s="31">
        <f>April!K10</f>
        <v>0</v>
      </c>
    </row>
    <row r="9" spans="1:24" x14ac:dyDescent="0.3">
      <c r="A9" s="3" t="s">
        <v>12</v>
      </c>
      <c r="B9" s="2">
        <f t="shared" si="0"/>
        <v>8</v>
      </c>
      <c r="C9" s="29">
        <v>12</v>
      </c>
      <c r="D9" s="2">
        <v>2020</v>
      </c>
      <c r="E9" s="4">
        <f>April!B11</f>
        <v>5391</v>
      </c>
      <c r="F9" s="22">
        <v>9.9000000000000005E-2</v>
      </c>
      <c r="G9" s="4">
        <f>April!C11</f>
        <v>948</v>
      </c>
      <c r="H9" s="24">
        <v>0.28000000000000003</v>
      </c>
      <c r="I9" s="4">
        <f>April!D11</f>
        <v>7</v>
      </c>
      <c r="J9" s="24">
        <v>3.2719999999999998</v>
      </c>
      <c r="K9" s="31">
        <f>April!J11</f>
        <v>0</v>
      </c>
      <c r="L9" s="31">
        <f>April!K11</f>
        <v>0</v>
      </c>
    </row>
    <row r="10" spans="1:24" x14ac:dyDescent="0.3">
      <c r="A10" s="3" t="s">
        <v>12</v>
      </c>
      <c r="B10" s="2">
        <f t="shared" si="0"/>
        <v>9</v>
      </c>
      <c r="C10" s="29">
        <v>12</v>
      </c>
      <c r="D10" s="2">
        <v>2020</v>
      </c>
      <c r="E10" s="4">
        <f>April!B12</f>
        <v>5418</v>
      </c>
      <c r="F10" s="22">
        <v>9.9000000000000005E-2</v>
      </c>
      <c r="G10" s="4">
        <f>April!C12</f>
        <v>652</v>
      </c>
      <c r="H10" s="24">
        <v>0.28000000000000003</v>
      </c>
      <c r="I10" s="4">
        <f>April!D12</f>
        <v>8</v>
      </c>
      <c r="J10" s="24">
        <v>3.2719999999999998</v>
      </c>
      <c r="K10" s="31">
        <f>April!J12</f>
        <v>0</v>
      </c>
      <c r="L10" s="31">
        <f>April!K12</f>
        <v>0</v>
      </c>
    </row>
    <row r="11" spans="1:24" x14ac:dyDescent="0.3">
      <c r="A11" s="3" t="s">
        <v>12</v>
      </c>
      <c r="B11" s="2">
        <f t="shared" si="0"/>
        <v>10</v>
      </c>
      <c r="C11" s="29">
        <v>12</v>
      </c>
      <c r="D11" s="2">
        <v>2020</v>
      </c>
      <c r="E11" s="4">
        <f>April!B13</f>
        <v>4893</v>
      </c>
      <c r="F11" s="22">
        <v>9.9000000000000005E-2</v>
      </c>
      <c r="G11" s="4">
        <f>April!C13</f>
        <v>504</v>
      </c>
      <c r="H11" s="24">
        <v>0.28000000000000003</v>
      </c>
      <c r="I11" s="4">
        <f>April!D13</f>
        <v>7</v>
      </c>
      <c r="J11" s="24">
        <v>3.2719999999999998</v>
      </c>
      <c r="K11" s="31">
        <f>April!J13</f>
        <v>0</v>
      </c>
      <c r="L11" s="31">
        <f>April!K13</f>
        <v>0</v>
      </c>
    </row>
    <row r="12" spans="1:24" x14ac:dyDescent="0.3">
      <c r="A12" s="3" t="s">
        <v>12</v>
      </c>
      <c r="B12" s="2">
        <f t="shared" si="0"/>
        <v>11</v>
      </c>
      <c r="C12" s="29">
        <v>12</v>
      </c>
      <c r="D12" s="2">
        <v>2020</v>
      </c>
      <c r="E12" s="4">
        <f>April!B14</f>
        <v>4055</v>
      </c>
      <c r="F12" s="22">
        <v>9.9000000000000005E-2</v>
      </c>
      <c r="G12" s="4">
        <f>April!C14</f>
        <v>487</v>
      </c>
      <c r="H12" s="24">
        <v>0.28000000000000003</v>
      </c>
      <c r="I12" s="4">
        <f>April!D14</f>
        <v>6</v>
      </c>
      <c r="J12" s="24">
        <v>3.2719999999999998</v>
      </c>
      <c r="K12" s="31">
        <f>April!J14</f>
        <v>0</v>
      </c>
      <c r="L12" s="31">
        <f>April!K14</f>
        <v>0</v>
      </c>
    </row>
    <row r="13" spans="1:24" x14ac:dyDescent="0.3">
      <c r="A13" s="3" t="s">
        <v>12</v>
      </c>
      <c r="B13" s="2">
        <f t="shared" si="0"/>
        <v>12</v>
      </c>
      <c r="C13" s="29">
        <v>12</v>
      </c>
      <c r="D13" s="2">
        <v>2020</v>
      </c>
      <c r="E13" s="4">
        <f>April!B15</f>
        <v>4658</v>
      </c>
      <c r="F13" s="22">
        <v>9.9000000000000005E-2</v>
      </c>
      <c r="G13" s="4">
        <f>April!C15</f>
        <v>844</v>
      </c>
      <c r="H13" s="24">
        <v>0.28000000000000003</v>
      </c>
      <c r="I13" s="4">
        <f>April!D15</f>
        <v>6</v>
      </c>
      <c r="J13" s="24">
        <v>3.2719999999999998</v>
      </c>
      <c r="K13" s="31">
        <f>April!J15</f>
        <v>1</v>
      </c>
      <c r="L13" s="31">
        <f>April!K15</f>
        <v>1</v>
      </c>
    </row>
    <row r="14" spans="1:24" x14ac:dyDescent="0.3">
      <c r="A14" s="3" t="s">
        <v>12</v>
      </c>
      <c r="B14" s="2">
        <f t="shared" si="0"/>
        <v>13</v>
      </c>
      <c r="C14" s="29">
        <v>12</v>
      </c>
      <c r="D14" s="2">
        <v>2020</v>
      </c>
      <c r="E14" s="4">
        <f>April!B16</f>
        <v>5121</v>
      </c>
      <c r="F14" s="22">
        <v>9.9000000000000005E-2</v>
      </c>
      <c r="G14" s="4">
        <f>April!C16</f>
        <v>833</v>
      </c>
      <c r="H14" s="24">
        <v>0.28000000000000003</v>
      </c>
      <c r="I14" s="4">
        <f>April!D16</f>
        <v>10</v>
      </c>
      <c r="J14" s="24">
        <v>3.2719999999999998</v>
      </c>
      <c r="K14" s="31">
        <f>April!J16</f>
        <v>1</v>
      </c>
      <c r="L14" s="31">
        <f>April!K16</f>
        <v>1</v>
      </c>
    </row>
    <row r="15" spans="1:24" x14ac:dyDescent="0.3">
      <c r="A15" s="3" t="s">
        <v>12</v>
      </c>
      <c r="B15" s="2">
        <f t="shared" si="0"/>
        <v>14</v>
      </c>
      <c r="C15" s="29">
        <v>12</v>
      </c>
      <c r="D15" s="2">
        <v>2020</v>
      </c>
      <c r="E15" s="4">
        <f>April!B17</f>
        <v>4560</v>
      </c>
      <c r="F15" s="22">
        <v>9.9000000000000005E-2</v>
      </c>
      <c r="G15" s="4">
        <f>April!C17</f>
        <v>799</v>
      </c>
      <c r="H15" s="24">
        <v>0.28000000000000003</v>
      </c>
      <c r="I15" s="4">
        <f>April!D17</f>
        <v>9</v>
      </c>
      <c r="J15" s="24">
        <v>3.2719999999999998</v>
      </c>
      <c r="K15" s="31">
        <f>April!J17</f>
        <v>1</v>
      </c>
      <c r="L15" s="31">
        <f>April!K17</f>
        <v>1</v>
      </c>
    </row>
    <row r="16" spans="1:24" x14ac:dyDescent="0.3">
      <c r="A16" s="3" t="s">
        <v>12</v>
      </c>
      <c r="B16" s="2">
        <f t="shared" si="0"/>
        <v>15</v>
      </c>
      <c r="C16" s="29">
        <v>12</v>
      </c>
      <c r="D16" s="2">
        <v>2020</v>
      </c>
      <c r="E16" s="4">
        <f>April!B18</f>
        <v>4576</v>
      </c>
      <c r="F16" s="22">
        <v>9.9000000000000005E-2</v>
      </c>
      <c r="G16" s="4">
        <f>April!C18</f>
        <v>859</v>
      </c>
      <c r="H16" s="24">
        <v>0.28000000000000003</v>
      </c>
      <c r="I16" s="4">
        <f>April!D18</f>
        <v>7</v>
      </c>
      <c r="J16" s="24">
        <v>3.2719999999999998</v>
      </c>
      <c r="K16" s="31">
        <f>April!J18</f>
        <v>1</v>
      </c>
      <c r="L16" s="31">
        <f>April!K18</f>
        <v>1</v>
      </c>
    </row>
    <row r="17" spans="1:12" x14ac:dyDescent="0.3">
      <c r="A17" s="3" t="s">
        <v>12</v>
      </c>
      <c r="B17" s="2">
        <f t="shared" si="0"/>
        <v>16</v>
      </c>
      <c r="C17" s="29">
        <v>12</v>
      </c>
      <c r="D17" s="2">
        <v>2020</v>
      </c>
      <c r="E17" s="4">
        <f>April!B19</f>
        <v>5122</v>
      </c>
      <c r="F17" s="22">
        <v>9.9000000000000005E-2</v>
      </c>
      <c r="G17" s="4">
        <f>April!C19</f>
        <v>875</v>
      </c>
      <c r="H17" s="24">
        <v>0.28000000000000003</v>
      </c>
      <c r="I17" s="4">
        <f>April!D19</f>
        <v>16</v>
      </c>
      <c r="J17" s="24">
        <v>3.2719999999999998</v>
      </c>
      <c r="K17" s="31">
        <f>April!J19</f>
        <v>1</v>
      </c>
      <c r="L17" s="31">
        <f>April!K19</f>
        <v>1</v>
      </c>
    </row>
    <row r="18" spans="1:12" x14ac:dyDescent="0.3">
      <c r="A18" s="3" t="s">
        <v>12</v>
      </c>
      <c r="B18" s="2">
        <f t="shared" si="0"/>
        <v>17</v>
      </c>
      <c r="C18" s="29">
        <v>12</v>
      </c>
      <c r="D18" s="2">
        <v>2020</v>
      </c>
      <c r="E18" s="4">
        <f>April!B20</f>
        <v>4617</v>
      </c>
      <c r="F18" s="22">
        <v>9.9000000000000005E-2</v>
      </c>
      <c r="G18" s="4">
        <f>April!C20</f>
        <v>823</v>
      </c>
      <c r="H18" s="24">
        <v>0.28000000000000003</v>
      </c>
      <c r="I18" s="4">
        <f>April!D20</f>
        <v>4</v>
      </c>
      <c r="J18" s="24">
        <v>3.2719999999999998</v>
      </c>
      <c r="K18" s="31">
        <f>April!J20</f>
        <v>1</v>
      </c>
      <c r="L18" s="31">
        <f>April!K20</f>
        <v>1</v>
      </c>
    </row>
    <row r="19" spans="1:12" x14ac:dyDescent="0.3">
      <c r="A19" s="3" t="s">
        <v>12</v>
      </c>
      <c r="B19" s="2">
        <f t="shared" si="0"/>
        <v>18</v>
      </c>
      <c r="C19" s="29">
        <v>12</v>
      </c>
      <c r="D19" s="2">
        <v>2020</v>
      </c>
      <c r="E19" s="4">
        <f>April!B21</f>
        <v>4546</v>
      </c>
      <c r="F19" s="22">
        <v>9.9000000000000005E-2</v>
      </c>
      <c r="G19" s="4">
        <f>April!C21</f>
        <v>675</v>
      </c>
      <c r="H19" s="24">
        <v>0.28000000000000003</v>
      </c>
      <c r="I19" s="4">
        <f>April!D21</f>
        <v>5</v>
      </c>
      <c r="J19" s="24">
        <v>3.2719999999999998</v>
      </c>
      <c r="K19" s="31">
        <f>April!J21</f>
        <v>1</v>
      </c>
      <c r="L19" s="31">
        <f>April!K21</f>
        <v>1</v>
      </c>
    </row>
    <row r="20" spans="1:12" x14ac:dyDescent="0.3">
      <c r="A20" s="3" t="s">
        <v>12</v>
      </c>
      <c r="B20" s="2">
        <f t="shared" si="0"/>
        <v>19</v>
      </c>
      <c r="C20" s="29">
        <v>12</v>
      </c>
      <c r="D20" s="2">
        <v>2020</v>
      </c>
      <c r="E20" s="4">
        <f>April!B22</f>
        <v>4701</v>
      </c>
      <c r="F20" s="22">
        <v>9.9000000000000005E-2</v>
      </c>
      <c r="G20" s="4">
        <f>April!C22</f>
        <v>690</v>
      </c>
      <c r="H20" s="24">
        <v>0.28000000000000003</v>
      </c>
      <c r="I20" s="4">
        <f>April!D22</f>
        <v>6</v>
      </c>
      <c r="J20" s="24">
        <v>3.2719999999999998</v>
      </c>
      <c r="K20" s="31">
        <f>April!J22</f>
        <v>4</v>
      </c>
      <c r="L20" s="31">
        <f>April!K22</f>
        <v>4</v>
      </c>
    </row>
    <row r="21" spans="1:12" x14ac:dyDescent="0.3">
      <c r="A21" s="3" t="s">
        <v>12</v>
      </c>
      <c r="B21" s="2">
        <f t="shared" si="0"/>
        <v>20</v>
      </c>
      <c r="C21" s="29">
        <v>12</v>
      </c>
      <c r="D21" s="2">
        <v>2020</v>
      </c>
      <c r="E21" s="4">
        <f>April!B23</f>
        <v>4807</v>
      </c>
      <c r="F21" s="22">
        <v>9.9000000000000005E-2</v>
      </c>
      <c r="G21" s="4">
        <f>April!C23</f>
        <v>602</v>
      </c>
      <c r="H21" s="24">
        <v>0.28000000000000003</v>
      </c>
      <c r="I21" s="4">
        <f>April!D23</f>
        <v>11</v>
      </c>
      <c r="J21" s="24">
        <v>3.2719999999999998</v>
      </c>
      <c r="K21" s="31">
        <f>April!J23</f>
        <v>4</v>
      </c>
      <c r="L21" s="31">
        <f>April!K23</f>
        <v>4</v>
      </c>
    </row>
    <row r="22" spans="1:12" x14ac:dyDescent="0.3">
      <c r="A22" s="3" t="s">
        <v>12</v>
      </c>
      <c r="B22" s="2">
        <f t="shared" si="0"/>
        <v>21</v>
      </c>
      <c r="C22" s="29">
        <v>12</v>
      </c>
      <c r="D22" s="2">
        <v>2020</v>
      </c>
      <c r="E22" s="4">
        <f>April!B24</f>
        <v>4464</v>
      </c>
      <c r="F22" s="22">
        <v>9.9000000000000005E-2</v>
      </c>
      <c r="G22" s="4">
        <f>April!C24</f>
        <v>587</v>
      </c>
      <c r="H22" s="24">
        <v>0.28000000000000003</v>
      </c>
      <c r="I22" s="4">
        <f>April!D24</f>
        <v>8</v>
      </c>
      <c r="J22" s="24">
        <v>3.2719999999999998</v>
      </c>
      <c r="K22" s="31">
        <f>April!J24</f>
        <v>4</v>
      </c>
      <c r="L22" s="31">
        <f>April!K24</f>
        <v>4</v>
      </c>
    </row>
    <row r="23" spans="1:12" x14ac:dyDescent="0.3">
      <c r="A23" s="3" t="s">
        <v>12</v>
      </c>
      <c r="B23" s="2">
        <f t="shared" si="0"/>
        <v>22</v>
      </c>
      <c r="C23" s="29">
        <v>12</v>
      </c>
      <c r="D23" s="2">
        <v>2020</v>
      </c>
      <c r="E23" s="4">
        <f>April!B25</f>
        <v>4413</v>
      </c>
      <c r="F23" s="22">
        <v>9.9000000000000005E-2</v>
      </c>
      <c r="G23" s="4">
        <f>April!C25</f>
        <v>653</v>
      </c>
      <c r="H23" s="24">
        <v>0.28000000000000003</v>
      </c>
      <c r="I23" s="4">
        <f>April!D25</f>
        <v>5</v>
      </c>
      <c r="J23" s="24">
        <v>3.2719999999999998</v>
      </c>
      <c r="K23" s="31">
        <f>April!J25</f>
        <v>4</v>
      </c>
      <c r="L23" s="31">
        <f>April!K25</f>
        <v>4</v>
      </c>
    </row>
    <row r="24" spans="1:12" x14ac:dyDescent="0.3">
      <c r="A24" s="3" t="s">
        <v>12</v>
      </c>
      <c r="B24" s="2">
        <f t="shared" si="0"/>
        <v>23</v>
      </c>
      <c r="C24" s="29">
        <v>12</v>
      </c>
      <c r="D24" s="2">
        <v>2020</v>
      </c>
      <c r="E24" s="4">
        <f>April!B26</f>
        <v>4767</v>
      </c>
      <c r="F24" s="22">
        <v>9.9000000000000005E-2</v>
      </c>
      <c r="G24" s="4">
        <f>April!C26</f>
        <v>687</v>
      </c>
      <c r="H24" s="24">
        <v>0.28000000000000003</v>
      </c>
      <c r="I24" s="4">
        <f>April!D26</f>
        <v>7</v>
      </c>
      <c r="J24" s="24">
        <v>3.2719999999999998</v>
      </c>
      <c r="K24" s="31">
        <f>April!J26</f>
        <v>4</v>
      </c>
      <c r="L24" s="31">
        <f>April!K26</f>
        <v>4</v>
      </c>
    </row>
    <row r="25" spans="1:12" x14ac:dyDescent="0.3">
      <c r="A25" s="3" t="s">
        <v>12</v>
      </c>
      <c r="B25" s="2">
        <f t="shared" si="0"/>
        <v>24</v>
      </c>
      <c r="C25" s="29">
        <v>12</v>
      </c>
      <c r="D25" s="2">
        <v>2020</v>
      </c>
      <c r="E25" s="4">
        <f>April!B27</f>
        <v>4375</v>
      </c>
      <c r="F25" s="22">
        <v>9.9000000000000005E-2</v>
      </c>
      <c r="G25" s="4">
        <f>April!C27</f>
        <v>623</v>
      </c>
      <c r="H25" s="24">
        <v>0.28000000000000003</v>
      </c>
      <c r="I25" s="4">
        <f>April!D27</f>
        <v>6</v>
      </c>
      <c r="J25" s="24">
        <v>3.2719999999999998</v>
      </c>
      <c r="K25" s="31">
        <f>April!J27</f>
        <v>4</v>
      </c>
      <c r="L25" s="31">
        <f>April!K27</f>
        <v>4</v>
      </c>
    </row>
    <row r="26" spans="1:12" x14ac:dyDescent="0.3">
      <c r="A26" s="3" t="s">
        <v>12</v>
      </c>
      <c r="B26" s="2">
        <f>B25+1</f>
        <v>25</v>
      </c>
      <c r="C26" s="29">
        <v>12</v>
      </c>
      <c r="D26" s="2">
        <v>2020</v>
      </c>
      <c r="E26" s="4">
        <f>April!B28</f>
        <v>4348</v>
      </c>
      <c r="F26" s="22">
        <v>9.9000000000000005E-2</v>
      </c>
      <c r="G26" s="4">
        <f>April!C28</f>
        <v>656</v>
      </c>
      <c r="H26" s="24">
        <v>0.28000000000000003</v>
      </c>
      <c r="I26" s="4">
        <f>April!D28</f>
        <v>7</v>
      </c>
      <c r="J26" s="24">
        <v>3.2719999999999998</v>
      </c>
      <c r="K26" s="31">
        <f>April!J28</f>
        <v>4</v>
      </c>
      <c r="L26" s="31">
        <f>April!K28</f>
        <v>4</v>
      </c>
    </row>
    <row r="27" spans="1:12" x14ac:dyDescent="0.3">
      <c r="A27" s="3" t="s">
        <v>12</v>
      </c>
      <c r="B27" s="2">
        <f t="shared" si="0"/>
        <v>26</v>
      </c>
      <c r="C27" s="29">
        <v>12</v>
      </c>
      <c r="D27" s="2">
        <v>2020</v>
      </c>
      <c r="E27" s="4">
        <f>April!B29</f>
        <v>4450</v>
      </c>
      <c r="F27" s="22">
        <v>9.9000000000000005E-2</v>
      </c>
      <c r="G27" s="4">
        <f>April!C29</f>
        <v>648</v>
      </c>
      <c r="H27" s="24">
        <v>0.28000000000000003</v>
      </c>
      <c r="I27" s="4">
        <f>April!D29</f>
        <v>7</v>
      </c>
      <c r="J27" s="24">
        <v>3.2719999999999998</v>
      </c>
      <c r="K27" s="31">
        <f>April!J29</f>
        <v>4</v>
      </c>
      <c r="L27" s="31">
        <f>April!K29</f>
        <v>4</v>
      </c>
    </row>
    <row r="28" spans="1:12" x14ac:dyDescent="0.3">
      <c r="A28" s="3" t="s">
        <v>12</v>
      </c>
      <c r="B28" s="2">
        <f t="shared" si="0"/>
        <v>27</v>
      </c>
      <c r="C28" s="29">
        <v>12</v>
      </c>
      <c r="D28" s="2">
        <v>2020</v>
      </c>
      <c r="E28" s="4">
        <f>April!B30</f>
        <v>4801</v>
      </c>
      <c r="F28" s="22">
        <v>9.9000000000000005E-2</v>
      </c>
      <c r="G28" s="4">
        <f>April!C30</f>
        <v>618</v>
      </c>
      <c r="H28" s="24">
        <v>0.28000000000000003</v>
      </c>
      <c r="I28" s="4">
        <f>April!D30</f>
        <v>9</v>
      </c>
      <c r="J28" s="24">
        <v>3.2719999999999998</v>
      </c>
      <c r="K28" s="31">
        <f>April!J30</f>
        <v>4</v>
      </c>
      <c r="L28" s="31">
        <f>April!K30</f>
        <v>4</v>
      </c>
    </row>
    <row r="29" spans="1:12" x14ac:dyDescent="0.3">
      <c r="A29" s="3" t="s">
        <v>12</v>
      </c>
      <c r="B29" s="2">
        <f t="shared" si="0"/>
        <v>28</v>
      </c>
      <c r="C29" s="29">
        <v>12</v>
      </c>
      <c r="D29" s="2">
        <v>2020</v>
      </c>
      <c r="E29" s="4">
        <f>April!B31</f>
        <v>4741</v>
      </c>
      <c r="F29" s="22">
        <v>9.9000000000000005E-2</v>
      </c>
      <c r="G29" s="4">
        <f>April!C31</f>
        <v>563</v>
      </c>
      <c r="H29" s="24">
        <v>0.28000000000000003</v>
      </c>
      <c r="I29" s="4">
        <f>April!D31</f>
        <v>11</v>
      </c>
      <c r="J29" s="24">
        <v>3.2719999999999998</v>
      </c>
      <c r="K29" s="31">
        <f>April!J31</f>
        <v>11</v>
      </c>
      <c r="L29" s="31">
        <f>April!K31</f>
        <v>8</v>
      </c>
    </row>
    <row r="30" spans="1:12" x14ac:dyDescent="0.3">
      <c r="A30" s="3" t="s">
        <v>12</v>
      </c>
      <c r="B30" s="2">
        <f t="shared" si="0"/>
        <v>29</v>
      </c>
      <c r="C30" s="29">
        <v>12</v>
      </c>
      <c r="D30" s="2">
        <v>2020</v>
      </c>
      <c r="E30" s="4">
        <f>April!B32</f>
        <v>5120</v>
      </c>
      <c r="F30" s="22">
        <v>9.9000000000000005E-2</v>
      </c>
      <c r="G30" s="4">
        <f>April!C32</f>
        <v>574</v>
      </c>
      <c r="H30" s="24">
        <v>0.28000000000000003</v>
      </c>
      <c r="I30" s="4">
        <f>April!D32</f>
        <v>13</v>
      </c>
      <c r="J30" s="24">
        <v>3.2719999999999998</v>
      </c>
      <c r="K30" s="31">
        <f>April!J32</f>
        <v>14</v>
      </c>
      <c r="L30" s="31">
        <f>April!K32</f>
        <v>8</v>
      </c>
    </row>
    <row r="31" spans="1:12" x14ac:dyDescent="0.3">
      <c r="A31" s="3" t="s">
        <v>12</v>
      </c>
      <c r="B31" s="2">
        <f t="shared" si="0"/>
        <v>30</v>
      </c>
      <c r="C31" s="29">
        <v>12</v>
      </c>
      <c r="D31" s="2">
        <v>2020</v>
      </c>
      <c r="E31" s="4">
        <f>April!B33</f>
        <v>5530</v>
      </c>
      <c r="F31" s="22">
        <v>9.9000000000000005E-2</v>
      </c>
      <c r="G31" s="4">
        <f>April!C33</f>
        <v>518</v>
      </c>
      <c r="H31" s="24">
        <v>0.28000000000000003</v>
      </c>
      <c r="I31" s="4">
        <f>April!D33</f>
        <v>15</v>
      </c>
      <c r="J31" s="24">
        <v>3.2719999999999998</v>
      </c>
      <c r="K31" s="31">
        <f>April!J33</f>
        <v>14</v>
      </c>
      <c r="L31" s="31">
        <f>April!K33</f>
        <v>8</v>
      </c>
    </row>
    <row r="32" spans="1:12" x14ac:dyDescent="0.3">
      <c r="A32" s="3" t="s">
        <v>12</v>
      </c>
      <c r="B32" s="2">
        <f t="shared" si="0"/>
        <v>31</v>
      </c>
      <c r="C32" s="29">
        <v>12</v>
      </c>
      <c r="D32" s="2">
        <v>2020</v>
      </c>
      <c r="E32" s="4">
        <f>April!B34</f>
        <v>0</v>
      </c>
      <c r="F32" s="22">
        <v>9.9000000000000005E-2</v>
      </c>
      <c r="G32" s="4">
        <f>April!C34</f>
        <v>0</v>
      </c>
      <c r="H32" s="24">
        <v>0.28000000000000003</v>
      </c>
      <c r="I32" s="4">
        <f>April!D34</f>
        <v>0</v>
      </c>
      <c r="J32" s="24">
        <v>3.2719999999999998</v>
      </c>
      <c r="K32" s="31">
        <f>April!J34</f>
        <v>0</v>
      </c>
      <c r="L32" s="31">
        <f>April!K34</f>
        <v>0</v>
      </c>
    </row>
    <row r="33" spans="5:12" x14ac:dyDescent="0.3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L28" sqref="L28"/>
    </sheetView>
  </sheetViews>
  <sheetFormatPr defaultRowHeight="14.4" x14ac:dyDescent="0.3"/>
  <cols>
    <col min="1" max="1" width="15.88671875" bestFit="1" customWidth="1"/>
    <col min="6" max="6" width="9.88671875" customWidth="1"/>
    <col min="7" max="7" width="10.5546875" customWidth="1"/>
  </cols>
  <sheetData>
    <row r="1" spans="1:8" ht="15" thickBot="1" x14ac:dyDescent="0.35">
      <c r="A1" s="90" t="s">
        <v>38</v>
      </c>
      <c r="B1" s="91"/>
      <c r="C1" s="91"/>
      <c r="D1" s="91"/>
      <c r="E1" s="91"/>
      <c r="F1" s="91"/>
      <c r="G1" s="91"/>
      <c r="H1" s="92"/>
    </row>
    <row r="2" spans="1:8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" thickBot="1" x14ac:dyDescent="0.35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3">
      <c r="A4" s="6">
        <v>1</v>
      </c>
      <c r="B4" s="37">
        <v>3636</v>
      </c>
      <c r="C4" s="38">
        <v>515</v>
      </c>
      <c r="D4" s="10">
        <v>13</v>
      </c>
      <c r="E4" s="78"/>
      <c r="F4" s="10">
        <v>0</v>
      </c>
      <c r="G4" s="10">
        <v>0</v>
      </c>
      <c r="H4" s="10">
        <v>0</v>
      </c>
    </row>
    <row r="5" spans="1:8" x14ac:dyDescent="0.3">
      <c r="A5" s="11">
        <v>2</v>
      </c>
      <c r="B5" s="39">
        <v>4028</v>
      </c>
      <c r="C5" s="40">
        <v>755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3">
      <c r="A6" s="11">
        <v>3</v>
      </c>
      <c r="B6" s="39">
        <v>4596</v>
      </c>
      <c r="C6" s="40">
        <v>710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3">
      <c r="A7" s="11">
        <v>4</v>
      </c>
      <c r="B7" s="39">
        <v>4403</v>
      </c>
      <c r="C7" s="40">
        <v>684</v>
      </c>
      <c r="D7" s="12">
        <v>4</v>
      </c>
      <c r="E7" s="79"/>
      <c r="F7" s="13">
        <v>0</v>
      </c>
      <c r="G7" s="13">
        <v>0</v>
      </c>
      <c r="H7" s="13">
        <v>0</v>
      </c>
    </row>
    <row r="8" spans="1:8" x14ac:dyDescent="0.3">
      <c r="A8" s="11">
        <v>5</v>
      </c>
      <c r="B8" s="39">
        <v>4260</v>
      </c>
      <c r="C8" s="40">
        <v>682</v>
      </c>
      <c r="D8" s="12">
        <v>6</v>
      </c>
      <c r="E8" s="79"/>
      <c r="F8" s="13">
        <v>0</v>
      </c>
      <c r="G8" s="13">
        <v>0</v>
      </c>
      <c r="H8" s="13">
        <v>0</v>
      </c>
    </row>
    <row r="9" spans="1:8" x14ac:dyDescent="0.3">
      <c r="A9" s="11">
        <v>6</v>
      </c>
      <c r="B9" s="39">
        <v>4195</v>
      </c>
      <c r="C9" s="40">
        <v>690</v>
      </c>
      <c r="D9" s="12">
        <v>6</v>
      </c>
      <c r="E9" s="79"/>
      <c r="F9" s="13">
        <v>0</v>
      </c>
      <c r="G9" s="13">
        <v>0</v>
      </c>
      <c r="H9" s="13">
        <v>0</v>
      </c>
    </row>
    <row r="10" spans="1:8" x14ac:dyDescent="0.3">
      <c r="A10" s="11">
        <v>7</v>
      </c>
      <c r="B10" s="39">
        <v>4354</v>
      </c>
      <c r="C10" s="40">
        <v>754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3">
      <c r="A11" s="11">
        <v>8</v>
      </c>
      <c r="B11" s="39">
        <v>4154</v>
      </c>
      <c r="C11" s="40">
        <v>749</v>
      </c>
      <c r="D11" s="12">
        <v>4</v>
      </c>
      <c r="E11" s="79"/>
      <c r="F11" s="13">
        <v>0</v>
      </c>
      <c r="G11" s="13">
        <v>0</v>
      </c>
      <c r="H11" s="13">
        <v>0</v>
      </c>
    </row>
    <row r="12" spans="1:8" x14ac:dyDescent="0.3">
      <c r="A12" s="11">
        <v>9</v>
      </c>
      <c r="B12" s="39">
        <v>4132</v>
      </c>
      <c r="C12" s="40">
        <v>734</v>
      </c>
      <c r="D12" s="12">
        <v>5</v>
      </c>
      <c r="E12" s="79"/>
      <c r="F12" s="13">
        <v>0</v>
      </c>
      <c r="G12" s="13">
        <v>0</v>
      </c>
      <c r="H12" s="13">
        <v>0</v>
      </c>
    </row>
    <row r="13" spans="1:8" x14ac:dyDescent="0.3">
      <c r="A13" s="11">
        <v>10</v>
      </c>
      <c r="B13" s="39">
        <v>4166</v>
      </c>
      <c r="C13" s="40">
        <v>751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3">
      <c r="A14" s="11">
        <v>11</v>
      </c>
      <c r="B14" s="39">
        <v>4210</v>
      </c>
      <c r="C14" s="40">
        <v>776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3">
      <c r="A15" s="11">
        <v>12</v>
      </c>
      <c r="B15" s="39">
        <v>4257</v>
      </c>
      <c r="C15" s="40">
        <v>738</v>
      </c>
      <c r="D15" s="12">
        <v>4</v>
      </c>
      <c r="E15" s="79"/>
      <c r="F15" s="13">
        <v>0</v>
      </c>
      <c r="G15" s="13">
        <v>0</v>
      </c>
      <c r="H15" s="13">
        <v>0</v>
      </c>
    </row>
    <row r="16" spans="1:8" x14ac:dyDescent="0.3">
      <c r="A16" s="11">
        <v>13</v>
      </c>
      <c r="B16" s="39">
        <v>4165</v>
      </c>
      <c r="C16" s="40">
        <v>694</v>
      </c>
      <c r="D16" s="12">
        <v>5</v>
      </c>
      <c r="E16" s="79"/>
      <c r="F16" s="13">
        <v>0</v>
      </c>
      <c r="G16" s="13">
        <v>0</v>
      </c>
      <c r="H16" s="13">
        <v>0</v>
      </c>
    </row>
    <row r="17" spans="1:11" x14ac:dyDescent="0.3">
      <c r="A17" s="11">
        <v>14</v>
      </c>
      <c r="B17" s="39">
        <v>4302</v>
      </c>
      <c r="C17" s="40">
        <v>825</v>
      </c>
      <c r="D17" s="12">
        <v>5</v>
      </c>
      <c r="E17" s="79"/>
      <c r="F17" s="13">
        <v>0</v>
      </c>
      <c r="G17" s="13">
        <v>0</v>
      </c>
      <c r="H17" s="13">
        <v>0</v>
      </c>
    </row>
    <row r="18" spans="1:11" x14ac:dyDescent="0.3">
      <c r="A18" s="11">
        <v>15</v>
      </c>
      <c r="B18" s="39">
        <v>4195</v>
      </c>
      <c r="C18" s="40">
        <v>821</v>
      </c>
      <c r="D18" s="12">
        <v>4</v>
      </c>
      <c r="E18" s="79"/>
      <c r="F18" s="13">
        <v>0</v>
      </c>
      <c r="G18" s="13">
        <v>0</v>
      </c>
      <c r="H18" s="13">
        <v>0</v>
      </c>
    </row>
    <row r="19" spans="1:11" x14ac:dyDescent="0.3">
      <c r="A19" s="11">
        <v>16</v>
      </c>
      <c r="B19" s="39">
        <v>4218</v>
      </c>
      <c r="C19" s="40">
        <v>864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3">
      <c r="A20" s="11">
        <v>17</v>
      </c>
      <c r="B20" s="39">
        <v>4162</v>
      </c>
      <c r="C20" s="40">
        <v>850</v>
      </c>
      <c r="D20" s="12">
        <v>5</v>
      </c>
      <c r="E20" s="79"/>
      <c r="F20" s="13">
        <v>0</v>
      </c>
      <c r="G20" s="13">
        <v>0</v>
      </c>
      <c r="H20" s="13">
        <v>0</v>
      </c>
    </row>
    <row r="21" spans="1:11" x14ac:dyDescent="0.3">
      <c r="A21" s="11">
        <v>18</v>
      </c>
      <c r="B21" s="39">
        <v>4182</v>
      </c>
      <c r="C21" s="40">
        <v>775</v>
      </c>
      <c r="D21" s="12">
        <v>4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3">
      <c r="A22" s="11">
        <v>19</v>
      </c>
      <c r="B22" s="39">
        <v>4177</v>
      </c>
      <c r="C22" s="40">
        <v>747</v>
      </c>
      <c r="D22" s="12">
        <v>5</v>
      </c>
      <c r="E22" s="79"/>
      <c r="F22" s="13">
        <v>0</v>
      </c>
      <c r="G22" s="13">
        <v>0</v>
      </c>
      <c r="H22" s="13">
        <v>0</v>
      </c>
    </row>
    <row r="23" spans="1:11" x14ac:dyDescent="0.3">
      <c r="A23" s="11">
        <v>20</v>
      </c>
      <c r="B23" s="39">
        <v>3980</v>
      </c>
      <c r="C23" s="40">
        <v>665</v>
      </c>
      <c r="D23" s="12">
        <v>6</v>
      </c>
      <c r="E23" s="79"/>
      <c r="F23" s="13">
        <v>0</v>
      </c>
      <c r="G23" s="13">
        <v>0</v>
      </c>
      <c r="H23" s="13">
        <v>0</v>
      </c>
    </row>
    <row r="24" spans="1:11" x14ac:dyDescent="0.3">
      <c r="A24" s="11">
        <v>21</v>
      </c>
      <c r="B24" s="39">
        <v>4512</v>
      </c>
      <c r="C24" s="40">
        <v>677</v>
      </c>
      <c r="D24" s="13">
        <v>5</v>
      </c>
      <c r="E24" s="78"/>
      <c r="F24" s="13">
        <v>0</v>
      </c>
      <c r="G24" s="13">
        <v>0</v>
      </c>
      <c r="H24" s="13">
        <v>0</v>
      </c>
    </row>
    <row r="25" spans="1:11" x14ac:dyDescent="0.3">
      <c r="A25" s="11">
        <v>22</v>
      </c>
      <c r="B25" s="39">
        <v>4006</v>
      </c>
      <c r="C25" s="80">
        <v>615</v>
      </c>
      <c r="D25" s="13">
        <v>4</v>
      </c>
      <c r="E25" s="78"/>
      <c r="F25" s="13">
        <v>0</v>
      </c>
      <c r="G25" s="13">
        <v>0</v>
      </c>
      <c r="H25" s="13">
        <v>0</v>
      </c>
    </row>
    <row r="26" spans="1:11" x14ac:dyDescent="0.3">
      <c r="A26" s="11">
        <v>23</v>
      </c>
      <c r="B26" s="39">
        <v>4086</v>
      </c>
      <c r="C26" s="80">
        <v>702</v>
      </c>
      <c r="D26" s="13">
        <v>4</v>
      </c>
      <c r="E26" s="78"/>
      <c r="F26" s="13">
        <v>0</v>
      </c>
      <c r="G26" s="13">
        <v>0</v>
      </c>
      <c r="H26" s="13">
        <v>0</v>
      </c>
    </row>
    <row r="27" spans="1:11" x14ac:dyDescent="0.3">
      <c r="A27" s="11">
        <v>24</v>
      </c>
      <c r="B27" s="39">
        <v>3940</v>
      </c>
      <c r="C27" s="80">
        <v>711</v>
      </c>
      <c r="D27" s="13">
        <v>5</v>
      </c>
      <c r="E27" s="78"/>
      <c r="F27" s="13">
        <v>0</v>
      </c>
      <c r="G27" s="13">
        <v>0</v>
      </c>
      <c r="H27" s="13">
        <v>0</v>
      </c>
    </row>
    <row r="28" spans="1:11" x14ac:dyDescent="0.3">
      <c r="A28" s="11">
        <v>25</v>
      </c>
      <c r="B28" s="39">
        <v>4077</v>
      </c>
      <c r="C28" s="80">
        <v>755</v>
      </c>
      <c r="D28" s="16">
        <v>4</v>
      </c>
      <c r="E28" s="81"/>
      <c r="F28" s="13">
        <v>0</v>
      </c>
      <c r="G28" s="13">
        <v>0</v>
      </c>
      <c r="H28" s="13">
        <v>0</v>
      </c>
    </row>
    <row r="29" spans="1:11" x14ac:dyDescent="0.3">
      <c r="A29" s="11">
        <v>26</v>
      </c>
      <c r="B29" s="39">
        <v>4047</v>
      </c>
      <c r="C29" s="80">
        <v>773</v>
      </c>
      <c r="D29" s="13">
        <v>3</v>
      </c>
      <c r="E29" s="78"/>
      <c r="F29" s="13">
        <v>0</v>
      </c>
      <c r="G29" s="13">
        <v>0</v>
      </c>
      <c r="H29" s="13">
        <v>0</v>
      </c>
    </row>
    <row r="30" spans="1:11" x14ac:dyDescent="0.3">
      <c r="A30" s="9">
        <v>27</v>
      </c>
      <c r="B30" s="39">
        <v>4105</v>
      </c>
      <c r="C30" s="80">
        <v>762</v>
      </c>
      <c r="D30" s="13">
        <v>4</v>
      </c>
      <c r="E30" s="78"/>
      <c r="F30" s="13">
        <v>0</v>
      </c>
      <c r="G30" s="13">
        <v>0</v>
      </c>
      <c r="H30" s="13">
        <v>0</v>
      </c>
    </row>
    <row r="31" spans="1:11" x14ac:dyDescent="0.3">
      <c r="A31" s="43">
        <v>28</v>
      </c>
      <c r="B31" s="39">
        <v>4041</v>
      </c>
      <c r="C31" s="80">
        <v>745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3">
      <c r="A32" s="43">
        <v>29</v>
      </c>
      <c r="B32" s="39">
        <v>4088</v>
      </c>
      <c r="C32" s="80">
        <v>730</v>
      </c>
      <c r="D32" s="13">
        <v>4</v>
      </c>
      <c r="E32" s="78"/>
      <c r="F32" s="13">
        <v>0</v>
      </c>
      <c r="G32" s="13">
        <v>0</v>
      </c>
      <c r="H32" s="13">
        <v>0</v>
      </c>
    </row>
    <row r="33" spans="1:11" x14ac:dyDescent="0.3">
      <c r="A33" s="43">
        <v>30</v>
      </c>
      <c r="B33" s="39">
        <v>3982</v>
      </c>
      <c r="C33" s="80">
        <v>782</v>
      </c>
      <c r="D33" s="13">
        <v>4</v>
      </c>
      <c r="E33" s="78"/>
      <c r="F33" s="13">
        <v>0</v>
      </c>
      <c r="G33" s="13">
        <v>0</v>
      </c>
      <c r="H33" s="13">
        <v>0</v>
      </c>
    </row>
    <row r="34" spans="1:11" ht="15" thickBot="1" x14ac:dyDescent="0.35">
      <c r="A34" s="44">
        <v>31</v>
      </c>
      <c r="B34" s="45">
        <v>4203</v>
      </c>
      <c r="C34" s="82">
        <v>825</v>
      </c>
      <c r="D34" s="47">
        <v>4</v>
      </c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" thickBot="1" x14ac:dyDescent="0.35">
      <c r="A35" s="33" t="s">
        <v>24</v>
      </c>
      <c r="B35" s="48">
        <f>SUM(B4:B34)</f>
        <v>128859</v>
      </c>
      <c r="C35" s="49">
        <f>SUM(C4:C34)</f>
        <v>22856</v>
      </c>
      <c r="D35" s="50">
        <f>SUM(D4:D34)</f>
        <v>147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" thickBot="1" x14ac:dyDescent="0.35">
      <c r="A36" s="17" t="s">
        <v>25</v>
      </c>
      <c r="B36" s="54">
        <f>AVERAGE(B4:B34)</f>
        <v>4156.7419354838712</v>
      </c>
      <c r="C36" s="55">
        <f>AVERAGE(C4:C34)</f>
        <v>737.29032258064512</v>
      </c>
      <c r="D36" s="56">
        <f>AVERAGE(D4:D34)</f>
        <v>4.741935483870968</v>
      </c>
      <c r="E36" s="84"/>
      <c r="F36" s="85"/>
      <c r="G36" s="5"/>
      <c r="H36" s="5"/>
    </row>
    <row r="37" spans="1:11" ht="15" thickBot="1" x14ac:dyDescent="0.35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" thickBot="1" x14ac:dyDescent="0.35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3">
      <c r="A39" s="76"/>
      <c r="B39" s="86"/>
      <c r="C39" s="86"/>
      <c r="D39" s="86"/>
      <c r="E39" s="86"/>
      <c r="F39" s="76"/>
      <c r="G39" s="5"/>
      <c r="H39" s="5"/>
    </row>
    <row r="40" spans="1:11" x14ac:dyDescent="0.3">
      <c r="A40" s="76"/>
      <c r="B40" s="87"/>
      <c r="C40" s="87"/>
      <c r="D40" s="87"/>
      <c r="E40" s="87"/>
      <c r="F40" s="76"/>
      <c r="G40" s="5"/>
      <c r="H40" s="5"/>
    </row>
    <row r="41" spans="1:11" ht="15.6" x14ac:dyDescent="0.3">
      <c r="A41" s="59" t="s">
        <v>27</v>
      </c>
      <c r="B41" s="60">
        <v>71841</v>
      </c>
      <c r="C41" s="5"/>
      <c r="D41" s="5"/>
      <c r="E41" s="5"/>
      <c r="F41" s="5"/>
      <c r="G41" s="5"/>
      <c r="H41" s="5"/>
    </row>
    <row r="42" spans="1:11" ht="15.6" x14ac:dyDescent="0.3">
      <c r="A42" s="59" t="s">
        <v>28</v>
      </c>
      <c r="B42" s="60">
        <v>50979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activeCell="L29" sqref="L29"/>
    </sheetView>
  </sheetViews>
  <sheetFormatPr defaultRowHeight="14.4" x14ac:dyDescent="0.3"/>
  <cols>
    <col min="1" max="1" width="15.88671875" bestFit="1" customWidth="1"/>
    <col min="6" max="6" width="9.88671875" customWidth="1"/>
    <col min="7" max="7" width="10.5546875" customWidth="1"/>
  </cols>
  <sheetData>
    <row r="1" spans="1:8" ht="15" thickBot="1" x14ac:dyDescent="0.35">
      <c r="A1" s="90" t="s">
        <v>37</v>
      </c>
      <c r="B1" s="91"/>
      <c r="C1" s="91"/>
      <c r="D1" s="91"/>
      <c r="E1" s="91"/>
      <c r="F1" s="91"/>
      <c r="G1" s="91"/>
      <c r="H1" s="92"/>
    </row>
    <row r="2" spans="1:8" x14ac:dyDescent="0.3">
      <c r="A2" s="8" t="s">
        <v>14</v>
      </c>
      <c r="B2" s="7" t="s">
        <v>15</v>
      </c>
      <c r="C2" s="7" t="s">
        <v>16</v>
      </c>
      <c r="D2" s="7" t="s">
        <v>17</v>
      </c>
      <c r="E2" s="76"/>
      <c r="F2" s="8" t="s">
        <v>18</v>
      </c>
      <c r="G2" s="7" t="s">
        <v>29</v>
      </c>
      <c r="H2" s="7" t="s">
        <v>19</v>
      </c>
    </row>
    <row r="3" spans="1:8" ht="15" thickBot="1" x14ac:dyDescent="0.35">
      <c r="A3" s="34"/>
      <c r="B3" s="35" t="s">
        <v>20</v>
      </c>
      <c r="C3" s="35" t="s">
        <v>21</v>
      </c>
      <c r="D3" s="61" t="s">
        <v>21</v>
      </c>
      <c r="E3" s="77"/>
      <c r="F3" s="34" t="s">
        <v>22</v>
      </c>
      <c r="G3" s="35" t="s">
        <v>23</v>
      </c>
      <c r="H3" s="35" t="s">
        <v>23</v>
      </c>
    </row>
    <row r="4" spans="1:8" x14ac:dyDescent="0.3">
      <c r="A4" s="6">
        <v>1</v>
      </c>
      <c r="B4" s="37">
        <v>4152</v>
      </c>
      <c r="C4" s="38">
        <v>763</v>
      </c>
      <c r="D4" s="10">
        <v>4</v>
      </c>
      <c r="E4" s="78"/>
      <c r="F4" s="10">
        <v>0</v>
      </c>
      <c r="G4" s="10">
        <v>0</v>
      </c>
      <c r="H4" s="10">
        <v>0</v>
      </c>
    </row>
    <row r="5" spans="1:8" x14ac:dyDescent="0.3">
      <c r="A5" s="11">
        <v>2</v>
      </c>
      <c r="B5" s="39">
        <v>4128</v>
      </c>
      <c r="C5" s="40">
        <v>694</v>
      </c>
      <c r="D5" s="12">
        <v>5</v>
      </c>
      <c r="E5" s="79"/>
      <c r="F5" s="13">
        <v>0</v>
      </c>
      <c r="G5" s="13">
        <v>0</v>
      </c>
      <c r="H5" s="13">
        <v>0</v>
      </c>
    </row>
    <row r="6" spans="1:8" x14ac:dyDescent="0.3">
      <c r="A6" s="11">
        <v>3</v>
      </c>
      <c r="B6" s="39">
        <v>4099</v>
      </c>
      <c r="C6" s="40">
        <v>603</v>
      </c>
      <c r="D6" s="12">
        <v>5</v>
      </c>
      <c r="E6" s="79"/>
      <c r="F6" s="13">
        <v>0</v>
      </c>
      <c r="G6" s="13">
        <v>0</v>
      </c>
      <c r="H6" s="13">
        <v>0</v>
      </c>
    </row>
    <row r="7" spans="1:8" x14ac:dyDescent="0.3">
      <c r="A7" s="11">
        <v>4</v>
      </c>
      <c r="B7" s="39">
        <v>4059</v>
      </c>
      <c r="C7" s="40">
        <v>659</v>
      </c>
      <c r="D7" s="12">
        <v>5</v>
      </c>
      <c r="E7" s="79"/>
      <c r="F7" s="13">
        <v>0</v>
      </c>
      <c r="G7" s="13">
        <v>0</v>
      </c>
      <c r="H7" s="13">
        <v>0</v>
      </c>
    </row>
    <row r="8" spans="1:8" x14ac:dyDescent="0.3">
      <c r="A8" s="11">
        <v>5</v>
      </c>
      <c r="B8" s="39">
        <v>4360</v>
      </c>
      <c r="C8" s="40">
        <v>782</v>
      </c>
      <c r="D8" s="12">
        <v>4</v>
      </c>
      <c r="E8" s="79"/>
      <c r="F8" s="13">
        <v>0</v>
      </c>
      <c r="G8" s="13">
        <v>0</v>
      </c>
      <c r="H8" s="13">
        <v>0</v>
      </c>
    </row>
    <row r="9" spans="1:8" x14ac:dyDescent="0.3">
      <c r="A9" s="11">
        <v>6</v>
      </c>
      <c r="B9" s="39">
        <v>4217</v>
      </c>
      <c r="C9" s="40">
        <v>748</v>
      </c>
      <c r="D9" s="12">
        <v>4</v>
      </c>
      <c r="E9" s="79"/>
      <c r="F9" s="13">
        <v>0</v>
      </c>
      <c r="G9" s="13">
        <v>0</v>
      </c>
      <c r="H9" s="13">
        <v>0</v>
      </c>
    </row>
    <row r="10" spans="1:8" x14ac:dyDescent="0.3">
      <c r="A10" s="11">
        <v>7</v>
      </c>
      <c r="B10" s="39">
        <v>4344</v>
      </c>
      <c r="C10" s="40">
        <v>781</v>
      </c>
      <c r="D10" s="12">
        <v>4</v>
      </c>
      <c r="E10" s="79"/>
      <c r="F10" s="13">
        <v>0</v>
      </c>
      <c r="G10" s="13">
        <v>0</v>
      </c>
      <c r="H10" s="13">
        <v>0</v>
      </c>
    </row>
    <row r="11" spans="1:8" x14ac:dyDescent="0.3">
      <c r="A11" s="11">
        <v>8</v>
      </c>
      <c r="B11" s="39">
        <v>4372</v>
      </c>
      <c r="C11" s="40">
        <v>842</v>
      </c>
      <c r="D11" s="12">
        <v>3</v>
      </c>
      <c r="E11" s="79"/>
      <c r="F11" s="13">
        <v>0</v>
      </c>
      <c r="G11" s="13">
        <v>0</v>
      </c>
      <c r="H11" s="13">
        <v>0</v>
      </c>
    </row>
    <row r="12" spans="1:8" x14ac:dyDescent="0.3">
      <c r="A12" s="11">
        <v>9</v>
      </c>
      <c r="B12" s="39">
        <v>4564</v>
      </c>
      <c r="C12" s="40">
        <v>987</v>
      </c>
      <c r="D12" s="12">
        <v>25</v>
      </c>
      <c r="E12" s="79"/>
      <c r="F12" s="13">
        <v>0</v>
      </c>
      <c r="G12" s="13">
        <v>0</v>
      </c>
      <c r="H12" s="13">
        <v>0</v>
      </c>
    </row>
    <row r="13" spans="1:8" x14ac:dyDescent="0.3">
      <c r="A13" s="11">
        <v>10</v>
      </c>
      <c r="B13" s="39">
        <v>4409</v>
      </c>
      <c r="C13" s="40">
        <v>1043</v>
      </c>
      <c r="D13" s="12">
        <v>4</v>
      </c>
      <c r="E13" s="79"/>
      <c r="F13" s="13">
        <v>0</v>
      </c>
      <c r="G13" s="13">
        <v>0</v>
      </c>
      <c r="H13" s="13">
        <v>0</v>
      </c>
    </row>
    <row r="14" spans="1:8" x14ac:dyDescent="0.3">
      <c r="A14" s="11">
        <v>11</v>
      </c>
      <c r="B14" s="39">
        <v>4385</v>
      </c>
      <c r="C14" s="40">
        <v>992</v>
      </c>
      <c r="D14" s="12">
        <v>4</v>
      </c>
      <c r="E14" s="79"/>
      <c r="F14" s="13">
        <v>0</v>
      </c>
      <c r="G14" s="13">
        <v>0</v>
      </c>
      <c r="H14" s="13">
        <v>0</v>
      </c>
    </row>
    <row r="15" spans="1:8" x14ac:dyDescent="0.3">
      <c r="A15" s="11">
        <v>12</v>
      </c>
      <c r="B15" s="39">
        <v>4414</v>
      </c>
      <c r="C15" s="40">
        <v>1019</v>
      </c>
      <c r="D15" s="12">
        <v>3</v>
      </c>
      <c r="E15" s="79"/>
      <c r="F15" s="13">
        <v>0</v>
      </c>
      <c r="G15" s="13">
        <v>0</v>
      </c>
      <c r="H15" s="13">
        <v>0</v>
      </c>
    </row>
    <row r="16" spans="1:8" x14ac:dyDescent="0.3">
      <c r="A16" s="11">
        <v>13</v>
      </c>
      <c r="B16" s="39">
        <v>4323</v>
      </c>
      <c r="C16" s="40">
        <v>1011</v>
      </c>
      <c r="D16" s="12">
        <v>4</v>
      </c>
      <c r="E16" s="79"/>
      <c r="F16" s="13">
        <v>0</v>
      </c>
      <c r="G16" s="13">
        <v>0</v>
      </c>
      <c r="H16" s="13">
        <v>0</v>
      </c>
    </row>
    <row r="17" spans="1:11" x14ac:dyDescent="0.3">
      <c r="A17" s="11">
        <v>14</v>
      </c>
      <c r="B17" s="39">
        <v>4336</v>
      </c>
      <c r="C17" s="40">
        <v>1035</v>
      </c>
      <c r="D17" s="12">
        <v>17</v>
      </c>
      <c r="E17" s="79"/>
      <c r="F17" s="13">
        <v>0</v>
      </c>
      <c r="G17" s="13">
        <v>0</v>
      </c>
      <c r="H17" s="13">
        <v>0</v>
      </c>
    </row>
    <row r="18" spans="1:11" x14ac:dyDescent="0.3">
      <c r="A18" s="11">
        <v>15</v>
      </c>
      <c r="B18" s="39">
        <v>4484</v>
      </c>
      <c r="C18" s="40">
        <v>1077</v>
      </c>
      <c r="D18" s="12">
        <v>13</v>
      </c>
      <c r="E18" s="79"/>
      <c r="F18" s="13">
        <v>0</v>
      </c>
      <c r="G18" s="13">
        <v>0</v>
      </c>
      <c r="H18" s="13">
        <v>0</v>
      </c>
    </row>
    <row r="19" spans="1:11" x14ac:dyDescent="0.3">
      <c r="A19" s="11">
        <v>16</v>
      </c>
      <c r="B19" s="39">
        <v>4436</v>
      </c>
      <c r="C19" s="40">
        <v>897</v>
      </c>
      <c r="D19" s="12">
        <v>4</v>
      </c>
      <c r="E19" s="79"/>
      <c r="F19" s="13">
        <v>0</v>
      </c>
      <c r="G19" s="13">
        <v>0</v>
      </c>
      <c r="H19" s="13">
        <v>0</v>
      </c>
    </row>
    <row r="20" spans="1:11" x14ac:dyDescent="0.3">
      <c r="A20" s="11">
        <v>17</v>
      </c>
      <c r="B20" s="39">
        <v>4199</v>
      </c>
      <c r="C20" s="40">
        <v>752</v>
      </c>
      <c r="D20" s="12">
        <v>4</v>
      </c>
      <c r="E20" s="79"/>
      <c r="F20" s="13">
        <v>0</v>
      </c>
      <c r="G20" s="13">
        <v>0</v>
      </c>
      <c r="H20" s="13">
        <v>0</v>
      </c>
    </row>
    <row r="21" spans="1:11" x14ac:dyDescent="0.3">
      <c r="A21" s="11">
        <v>18</v>
      </c>
      <c r="B21" s="39">
        <v>4228</v>
      </c>
      <c r="C21" s="40">
        <v>733</v>
      </c>
      <c r="D21" s="12">
        <v>3</v>
      </c>
      <c r="E21" s="79"/>
      <c r="F21" s="13">
        <v>0</v>
      </c>
      <c r="G21" s="13">
        <v>0</v>
      </c>
      <c r="H21" s="13">
        <v>0</v>
      </c>
      <c r="K21" s="78"/>
    </row>
    <row r="22" spans="1:11" x14ac:dyDescent="0.3">
      <c r="A22" s="11">
        <v>19</v>
      </c>
      <c r="B22" s="39">
        <v>4198</v>
      </c>
      <c r="C22" s="40">
        <v>741</v>
      </c>
      <c r="D22" s="12">
        <v>4</v>
      </c>
      <c r="E22" s="79"/>
      <c r="F22" s="13">
        <v>0</v>
      </c>
      <c r="G22" s="13">
        <v>0</v>
      </c>
      <c r="H22" s="13">
        <v>0</v>
      </c>
    </row>
    <row r="23" spans="1:11" x14ac:dyDescent="0.3">
      <c r="A23" s="11">
        <v>20</v>
      </c>
      <c r="B23" s="39">
        <v>3989</v>
      </c>
      <c r="C23" s="40">
        <v>720</v>
      </c>
      <c r="D23" s="12">
        <v>3</v>
      </c>
      <c r="E23" s="79"/>
      <c r="F23" s="13">
        <v>0</v>
      </c>
      <c r="G23" s="13">
        <v>0</v>
      </c>
      <c r="H23" s="13">
        <v>0</v>
      </c>
    </row>
    <row r="24" spans="1:11" x14ac:dyDescent="0.3">
      <c r="A24" s="11">
        <v>21</v>
      </c>
      <c r="B24" s="39">
        <v>4018</v>
      </c>
      <c r="C24" s="40">
        <v>733</v>
      </c>
      <c r="D24" s="13">
        <v>3</v>
      </c>
      <c r="E24" s="78"/>
      <c r="F24" s="13">
        <v>0</v>
      </c>
      <c r="G24" s="13">
        <v>0</v>
      </c>
      <c r="H24" s="13">
        <v>0</v>
      </c>
    </row>
    <row r="25" spans="1:11" x14ac:dyDescent="0.3">
      <c r="A25" s="11">
        <v>22</v>
      </c>
      <c r="B25" s="39">
        <v>4046</v>
      </c>
      <c r="C25" s="80">
        <v>727</v>
      </c>
      <c r="D25" s="13">
        <v>3</v>
      </c>
      <c r="E25" s="78"/>
      <c r="F25" s="13">
        <v>0</v>
      </c>
      <c r="G25" s="13">
        <v>0</v>
      </c>
      <c r="H25" s="13">
        <v>0</v>
      </c>
    </row>
    <row r="26" spans="1:11" x14ac:dyDescent="0.3">
      <c r="A26" s="11">
        <v>23</v>
      </c>
      <c r="B26" s="39">
        <v>4040</v>
      </c>
      <c r="C26" s="80">
        <v>737</v>
      </c>
      <c r="D26" s="13">
        <v>3</v>
      </c>
      <c r="E26" s="78"/>
      <c r="F26" s="13">
        <v>0</v>
      </c>
      <c r="G26" s="13">
        <v>0</v>
      </c>
      <c r="H26" s="13">
        <v>0</v>
      </c>
    </row>
    <row r="27" spans="1:11" x14ac:dyDescent="0.3">
      <c r="A27" s="11">
        <v>24</v>
      </c>
      <c r="B27" s="39">
        <v>4075</v>
      </c>
      <c r="C27" s="80">
        <v>713</v>
      </c>
      <c r="D27" s="13">
        <v>3</v>
      </c>
      <c r="E27" s="78"/>
      <c r="F27" s="13">
        <v>0</v>
      </c>
      <c r="G27" s="13">
        <v>0</v>
      </c>
      <c r="H27" s="13">
        <v>0</v>
      </c>
    </row>
    <row r="28" spans="1:11" x14ac:dyDescent="0.3">
      <c r="A28" s="11">
        <v>25</v>
      </c>
      <c r="B28" s="39">
        <v>4065</v>
      </c>
      <c r="C28" s="80">
        <v>697</v>
      </c>
      <c r="D28" s="16">
        <v>3</v>
      </c>
      <c r="E28" s="81"/>
      <c r="F28" s="13">
        <v>0</v>
      </c>
      <c r="G28" s="13">
        <v>0</v>
      </c>
      <c r="H28" s="13">
        <v>0</v>
      </c>
    </row>
    <row r="29" spans="1:11" x14ac:dyDescent="0.3">
      <c r="A29" s="11">
        <v>26</v>
      </c>
      <c r="B29" s="39">
        <v>4363</v>
      </c>
      <c r="C29" s="80">
        <v>753</v>
      </c>
      <c r="D29" s="13">
        <v>10</v>
      </c>
      <c r="E29" s="78"/>
      <c r="F29" s="13">
        <v>0</v>
      </c>
      <c r="G29" s="13">
        <v>0</v>
      </c>
      <c r="H29" s="13">
        <v>0</v>
      </c>
    </row>
    <row r="30" spans="1:11" x14ac:dyDescent="0.3">
      <c r="A30" s="9">
        <v>27</v>
      </c>
      <c r="B30" s="39">
        <v>4253</v>
      </c>
      <c r="C30" s="80">
        <v>701</v>
      </c>
      <c r="D30" s="13">
        <v>9</v>
      </c>
      <c r="E30" s="78"/>
      <c r="F30" s="13">
        <v>0</v>
      </c>
      <c r="G30" s="13">
        <v>0</v>
      </c>
      <c r="H30" s="13">
        <v>0</v>
      </c>
    </row>
    <row r="31" spans="1:11" x14ac:dyDescent="0.3">
      <c r="A31" s="43">
        <v>28</v>
      </c>
      <c r="B31" s="39">
        <v>4246</v>
      </c>
      <c r="C31" s="80">
        <v>811</v>
      </c>
      <c r="D31" s="13">
        <v>4</v>
      </c>
      <c r="E31" s="78"/>
      <c r="F31" s="13">
        <v>0</v>
      </c>
      <c r="G31" s="13">
        <v>0</v>
      </c>
      <c r="H31" s="13">
        <v>0</v>
      </c>
    </row>
    <row r="32" spans="1:11" x14ac:dyDescent="0.3">
      <c r="A32" s="43">
        <v>29</v>
      </c>
      <c r="B32" s="39"/>
      <c r="C32" s="80"/>
      <c r="D32" s="13"/>
      <c r="E32" s="78"/>
      <c r="F32" s="13">
        <v>0</v>
      </c>
      <c r="G32" s="13">
        <v>0</v>
      </c>
      <c r="H32" s="13">
        <v>0</v>
      </c>
    </row>
    <row r="33" spans="1:11" x14ac:dyDescent="0.3">
      <c r="A33" s="43">
        <v>30</v>
      </c>
      <c r="B33" s="39"/>
      <c r="C33" s="80"/>
      <c r="D33" s="13"/>
      <c r="E33" s="78"/>
      <c r="F33" s="13">
        <v>0</v>
      </c>
      <c r="G33" s="13">
        <v>0</v>
      </c>
      <c r="H33" s="13">
        <v>0</v>
      </c>
    </row>
    <row r="34" spans="1:11" ht="15" thickBot="1" x14ac:dyDescent="0.35">
      <c r="A34" s="44">
        <v>31</v>
      </c>
      <c r="B34" s="45"/>
      <c r="C34" s="82"/>
      <c r="D34" s="47"/>
      <c r="E34" s="78"/>
      <c r="F34" s="47">
        <v>0</v>
      </c>
      <c r="G34" s="47">
        <v>0</v>
      </c>
      <c r="H34" s="47">
        <v>0</v>
      </c>
      <c r="K34" t="s">
        <v>30</v>
      </c>
    </row>
    <row r="35" spans="1:11" ht="15" thickBot="1" x14ac:dyDescent="0.35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84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" thickBot="1" x14ac:dyDescent="0.35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84"/>
      <c r="F36" s="85"/>
      <c r="G36" s="5"/>
      <c r="H36" s="5"/>
    </row>
    <row r="37" spans="1:11" ht="15" thickBot="1" x14ac:dyDescent="0.35">
      <c r="A37" s="5"/>
      <c r="B37" s="86" t="s">
        <v>26</v>
      </c>
      <c r="C37" s="86"/>
      <c r="D37" s="86"/>
      <c r="E37" s="86"/>
      <c r="F37" s="86"/>
      <c r="G37" s="5"/>
      <c r="H37" s="5"/>
    </row>
    <row r="38" spans="1:11" ht="15" thickBot="1" x14ac:dyDescent="0.35">
      <c r="A38" s="5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84"/>
      <c r="F38" s="5"/>
      <c r="G38" s="5"/>
      <c r="H38" s="5"/>
    </row>
    <row r="39" spans="1:11" x14ac:dyDescent="0.3">
      <c r="A39" s="76"/>
      <c r="B39" s="86"/>
      <c r="C39" s="86"/>
      <c r="D39" s="86"/>
      <c r="E39" s="86"/>
      <c r="F39" s="76"/>
      <c r="G39" s="5"/>
      <c r="H39" s="5"/>
    </row>
    <row r="40" spans="1:11" x14ac:dyDescent="0.3">
      <c r="A40" s="76"/>
      <c r="B40" s="87"/>
      <c r="C40" s="87"/>
      <c r="D40" s="87"/>
      <c r="E40" s="87"/>
      <c r="F40" s="76"/>
      <c r="G40" s="5"/>
      <c r="H40" s="5"/>
    </row>
    <row r="41" spans="1:11" ht="15.6" x14ac:dyDescent="0.3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6" x14ac:dyDescent="0.3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O26" sqref="O26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90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76"/>
      <c r="F2" s="93" t="s">
        <v>34</v>
      </c>
      <c r="G2" s="94"/>
      <c r="H2" s="95"/>
      <c r="I2" s="76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4"/>
      <c r="B3" s="35" t="s">
        <v>20</v>
      </c>
      <c r="C3" s="35" t="s">
        <v>21</v>
      </c>
      <c r="D3" s="61" t="s">
        <v>21</v>
      </c>
      <c r="E3" s="77"/>
      <c r="F3" s="69" t="s">
        <v>31</v>
      </c>
      <c r="G3" s="69" t="s">
        <v>32</v>
      </c>
      <c r="H3" s="69" t="s">
        <v>33</v>
      </c>
      <c r="I3" s="77"/>
      <c r="J3" s="34" t="s">
        <v>22</v>
      </c>
      <c r="K3" s="35" t="s">
        <v>23</v>
      </c>
      <c r="L3" s="35" t="s">
        <v>23</v>
      </c>
    </row>
    <row r="4" spans="1:12" x14ac:dyDescent="0.3">
      <c r="A4" s="6">
        <v>1</v>
      </c>
      <c r="B4" s="37">
        <v>4437</v>
      </c>
      <c r="C4" s="38">
        <v>803</v>
      </c>
      <c r="D4" s="10">
        <v>4</v>
      </c>
      <c r="E4" s="78"/>
      <c r="F4" s="10">
        <v>-2</v>
      </c>
      <c r="G4" s="70">
        <v>6</v>
      </c>
      <c r="H4" s="10">
        <v>7</v>
      </c>
      <c r="I4" s="78"/>
      <c r="J4" s="10">
        <v>0</v>
      </c>
      <c r="K4" s="10">
        <v>0</v>
      </c>
      <c r="L4" s="10">
        <v>0</v>
      </c>
    </row>
    <row r="5" spans="1:12" x14ac:dyDescent="0.3">
      <c r="A5" s="11">
        <v>2</v>
      </c>
      <c r="B5" s="39">
        <v>4924</v>
      </c>
      <c r="C5" s="40">
        <v>977</v>
      </c>
      <c r="D5" s="12">
        <v>10</v>
      </c>
      <c r="E5" s="79"/>
      <c r="F5" s="12">
        <v>-1</v>
      </c>
      <c r="G5" s="71">
        <v>3</v>
      </c>
      <c r="H5" s="12">
        <v>4</v>
      </c>
      <c r="I5" s="79"/>
      <c r="J5" s="13">
        <v>1</v>
      </c>
      <c r="K5" s="13">
        <v>1</v>
      </c>
      <c r="L5" s="13">
        <v>0</v>
      </c>
    </row>
    <row r="6" spans="1:12" x14ac:dyDescent="0.3">
      <c r="A6" s="11">
        <v>3</v>
      </c>
      <c r="B6" s="39">
        <v>5197</v>
      </c>
      <c r="C6" s="40">
        <v>962</v>
      </c>
      <c r="D6" s="12">
        <v>10</v>
      </c>
      <c r="E6" s="79"/>
      <c r="F6" s="12">
        <v>-1</v>
      </c>
      <c r="G6" s="64">
        <v>5</v>
      </c>
      <c r="H6" s="12">
        <v>5</v>
      </c>
      <c r="I6" s="79"/>
      <c r="J6" s="13">
        <v>3</v>
      </c>
      <c r="K6" s="13">
        <v>3</v>
      </c>
      <c r="L6" s="13">
        <v>0</v>
      </c>
    </row>
    <row r="7" spans="1:12" x14ac:dyDescent="0.3">
      <c r="A7" s="11">
        <v>4</v>
      </c>
      <c r="B7" s="39">
        <v>5001</v>
      </c>
      <c r="C7" s="40">
        <v>865</v>
      </c>
      <c r="D7" s="12">
        <v>6</v>
      </c>
      <c r="E7" s="79"/>
      <c r="F7" s="72">
        <v>-1</v>
      </c>
      <c r="G7" s="64">
        <v>15</v>
      </c>
      <c r="H7" s="12">
        <v>12</v>
      </c>
      <c r="I7" s="79"/>
      <c r="J7" s="13">
        <v>3</v>
      </c>
      <c r="K7" s="13">
        <v>3</v>
      </c>
      <c r="L7" s="13">
        <v>0</v>
      </c>
    </row>
    <row r="8" spans="1:12" x14ac:dyDescent="0.3">
      <c r="A8" s="11">
        <v>5</v>
      </c>
      <c r="B8" s="39">
        <v>5495</v>
      </c>
      <c r="C8" s="40">
        <v>1025</v>
      </c>
      <c r="D8" s="12">
        <v>9</v>
      </c>
      <c r="E8" s="79"/>
      <c r="F8" s="12">
        <v>-3</v>
      </c>
      <c r="G8" s="64">
        <v>3</v>
      </c>
      <c r="H8" s="12">
        <v>3</v>
      </c>
      <c r="I8" s="79"/>
      <c r="J8" s="13">
        <v>3</v>
      </c>
      <c r="K8" s="13">
        <v>3</v>
      </c>
      <c r="L8" s="13">
        <v>0</v>
      </c>
    </row>
    <row r="9" spans="1:12" x14ac:dyDescent="0.3">
      <c r="A9" s="11">
        <v>6</v>
      </c>
      <c r="B9" s="39">
        <v>4916</v>
      </c>
      <c r="C9" s="40">
        <v>949</v>
      </c>
      <c r="D9" s="12">
        <v>7</v>
      </c>
      <c r="E9" s="79"/>
      <c r="F9" s="12">
        <v>-5</v>
      </c>
      <c r="G9" s="64">
        <v>6</v>
      </c>
      <c r="H9" s="12">
        <v>6</v>
      </c>
      <c r="I9" s="79"/>
      <c r="J9" s="13">
        <v>3</v>
      </c>
      <c r="K9" s="13">
        <v>3</v>
      </c>
      <c r="L9" s="13">
        <v>0</v>
      </c>
    </row>
    <row r="10" spans="1:12" x14ac:dyDescent="0.3">
      <c r="A10" s="11">
        <v>7</v>
      </c>
      <c r="B10" s="39">
        <v>5363</v>
      </c>
      <c r="C10" s="40">
        <v>1028</v>
      </c>
      <c r="D10" s="12">
        <v>7</v>
      </c>
      <c r="E10" s="79"/>
      <c r="F10" s="12">
        <v>-6</v>
      </c>
      <c r="G10" s="64">
        <v>7</v>
      </c>
      <c r="H10" s="12">
        <v>7</v>
      </c>
      <c r="I10" s="79"/>
      <c r="J10" s="13">
        <v>4</v>
      </c>
      <c r="K10" s="13">
        <v>4</v>
      </c>
      <c r="L10" s="13">
        <v>0</v>
      </c>
    </row>
    <row r="11" spans="1:12" x14ac:dyDescent="0.3">
      <c r="A11" s="11">
        <v>8</v>
      </c>
      <c r="B11" s="39">
        <v>5260</v>
      </c>
      <c r="C11" s="40">
        <v>1061</v>
      </c>
      <c r="D11" s="12">
        <v>7</v>
      </c>
      <c r="E11" s="79"/>
      <c r="F11" s="12">
        <v>-4</v>
      </c>
      <c r="G11" s="64">
        <v>5</v>
      </c>
      <c r="H11" s="12">
        <v>5</v>
      </c>
      <c r="I11" s="79"/>
      <c r="J11" s="13">
        <v>23</v>
      </c>
      <c r="K11" s="13">
        <v>22</v>
      </c>
      <c r="L11" s="13">
        <v>0</v>
      </c>
    </row>
    <row r="12" spans="1:12" x14ac:dyDescent="0.3">
      <c r="A12" s="11">
        <v>9</v>
      </c>
      <c r="B12" s="39">
        <v>5873</v>
      </c>
      <c r="C12" s="40">
        <v>1164</v>
      </c>
      <c r="D12" s="12">
        <v>16</v>
      </c>
      <c r="E12" s="79"/>
      <c r="F12" s="12">
        <v>-6</v>
      </c>
      <c r="G12" s="64">
        <v>5</v>
      </c>
      <c r="H12" s="12">
        <v>5</v>
      </c>
      <c r="I12" s="79"/>
      <c r="J12" s="13">
        <v>23</v>
      </c>
      <c r="K12" s="13">
        <v>22</v>
      </c>
      <c r="L12" s="13">
        <v>0</v>
      </c>
    </row>
    <row r="13" spans="1:12" x14ac:dyDescent="0.3">
      <c r="A13" s="11">
        <v>10</v>
      </c>
      <c r="B13" s="39">
        <v>5424</v>
      </c>
      <c r="C13" s="40">
        <v>1041</v>
      </c>
      <c r="D13" s="12">
        <v>13</v>
      </c>
      <c r="E13" s="79"/>
      <c r="F13" s="12">
        <v>-3</v>
      </c>
      <c r="G13" s="64">
        <v>6</v>
      </c>
      <c r="H13" s="12">
        <v>6</v>
      </c>
      <c r="I13" s="79"/>
      <c r="J13" s="13">
        <v>25</v>
      </c>
      <c r="K13" s="13">
        <v>24</v>
      </c>
      <c r="L13" s="13">
        <v>0</v>
      </c>
    </row>
    <row r="14" spans="1:12" x14ac:dyDescent="0.3">
      <c r="A14" s="11">
        <v>11</v>
      </c>
      <c r="B14" s="39">
        <v>6205</v>
      </c>
      <c r="C14" s="40">
        <v>926</v>
      </c>
      <c r="D14" s="12">
        <v>15</v>
      </c>
      <c r="E14" s="79"/>
      <c r="F14" s="12">
        <v>0</v>
      </c>
      <c r="G14" s="64">
        <v>12</v>
      </c>
      <c r="H14" s="12">
        <v>11</v>
      </c>
      <c r="I14" s="79"/>
      <c r="J14" s="13">
        <v>25</v>
      </c>
      <c r="K14" s="13">
        <v>24</v>
      </c>
      <c r="L14" s="13">
        <v>0</v>
      </c>
    </row>
    <row r="15" spans="1:12" x14ac:dyDescent="0.3">
      <c r="A15" s="11">
        <v>12</v>
      </c>
      <c r="B15" s="39">
        <v>5584</v>
      </c>
      <c r="C15" s="40">
        <v>1046</v>
      </c>
      <c r="D15" s="12">
        <v>12</v>
      </c>
      <c r="E15" s="79"/>
      <c r="F15" s="12">
        <v>4</v>
      </c>
      <c r="G15" s="64">
        <v>10</v>
      </c>
      <c r="H15" s="12">
        <v>9</v>
      </c>
      <c r="I15" s="79"/>
      <c r="J15" s="13">
        <v>25</v>
      </c>
      <c r="K15" s="13">
        <v>24</v>
      </c>
      <c r="L15" s="13">
        <v>0</v>
      </c>
    </row>
    <row r="16" spans="1:12" x14ac:dyDescent="0.3">
      <c r="A16" s="11">
        <v>13</v>
      </c>
      <c r="B16" s="39">
        <v>6252</v>
      </c>
      <c r="C16" s="40">
        <v>926</v>
      </c>
      <c r="D16" s="12">
        <v>14</v>
      </c>
      <c r="E16" s="79"/>
      <c r="F16" s="12">
        <v>4</v>
      </c>
      <c r="G16" s="64">
        <v>12</v>
      </c>
      <c r="H16" s="12">
        <v>11</v>
      </c>
      <c r="I16" s="79"/>
      <c r="J16" s="13">
        <v>25</v>
      </c>
      <c r="K16" s="13">
        <v>24</v>
      </c>
      <c r="L16" s="13">
        <v>0</v>
      </c>
    </row>
    <row r="17" spans="1:15" x14ac:dyDescent="0.3">
      <c r="A17" s="11">
        <v>14</v>
      </c>
      <c r="B17" s="39">
        <v>5561</v>
      </c>
      <c r="C17" s="40">
        <v>961</v>
      </c>
      <c r="D17" s="12">
        <v>12</v>
      </c>
      <c r="E17" s="79"/>
      <c r="F17" s="12">
        <v>2</v>
      </c>
      <c r="G17" s="64">
        <v>8</v>
      </c>
      <c r="H17" s="12">
        <v>9</v>
      </c>
      <c r="I17" s="79"/>
      <c r="J17" s="13">
        <v>25</v>
      </c>
      <c r="K17" s="13">
        <v>24</v>
      </c>
      <c r="L17" s="13">
        <v>0</v>
      </c>
    </row>
    <row r="18" spans="1:15" x14ac:dyDescent="0.3">
      <c r="A18" s="11">
        <v>15</v>
      </c>
      <c r="B18" s="39">
        <v>5758</v>
      </c>
      <c r="C18" s="40">
        <v>1051</v>
      </c>
      <c r="D18" s="12">
        <v>12</v>
      </c>
      <c r="E18" s="79"/>
      <c r="F18" s="12">
        <v>1</v>
      </c>
      <c r="G18" s="64">
        <v>9</v>
      </c>
      <c r="H18" s="12">
        <v>8</v>
      </c>
      <c r="I18" s="79"/>
      <c r="J18" s="13">
        <v>26</v>
      </c>
      <c r="K18" s="13">
        <v>24</v>
      </c>
      <c r="L18" s="13">
        <v>0</v>
      </c>
    </row>
    <row r="19" spans="1:15" x14ac:dyDescent="0.3">
      <c r="A19" s="11">
        <v>16</v>
      </c>
      <c r="B19" s="39">
        <v>5509</v>
      </c>
      <c r="C19" s="40">
        <v>1101</v>
      </c>
      <c r="D19" s="12">
        <v>13</v>
      </c>
      <c r="E19" s="79"/>
      <c r="F19" s="12">
        <v>1</v>
      </c>
      <c r="G19" s="64">
        <v>6</v>
      </c>
      <c r="H19" s="12">
        <v>5</v>
      </c>
      <c r="I19" s="79"/>
      <c r="J19" s="13">
        <v>26</v>
      </c>
      <c r="K19" s="13">
        <v>24</v>
      </c>
      <c r="L19" s="13">
        <v>0</v>
      </c>
    </row>
    <row r="20" spans="1:15" x14ac:dyDescent="0.3">
      <c r="A20" s="11">
        <v>17</v>
      </c>
      <c r="B20" s="39">
        <v>5975</v>
      </c>
      <c r="C20" s="40">
        <v>1175</v>
      </c>
      <c r="D20" s="12">
        <v>13</v>
      </c>
      <c r="E20" s="79"/>
      <c r="F20" s="12">
        <v>1</v>
      </c>
      <c r="G20" s="64">
        <v>5</v>
      </c>
      <c r="H20" s="12">
        <v>4</v>
      </c>
      <c r="I20" s="79"/>
      <c r="J20" s="13">
        <v>24</v>
      </c>
      <c r="K20" s="13">
        <v>23</v>
      </c>
      <c r="L20" s="13">
        <v>0</v>
      </c>
    </row>
    <row r="21" spans="1:15" x14ac:dyDescent="0.3">
      <c r="A21" s="11">
        <v>18</v>
      </c>
      <c r="B21" s="39">
        <v>5648</v>
      </c>
      <c r="C21" s="40">
        <v>1138</v>
      </c>
      <c r="D21" s="12">
        <v>14</v>
      </c>
      <c r="E21" s="79"/>
      <c r="F21" s="12">
        <v>0</v>
      </c>
      <c r="G21" s="64">
        <v>6</v>
      </c>
      <c r="H21" s="12">
        <v>6</v>
      </c>
      <c r="I21" s="79"/>
      <c r="J21" s="13">
        <v>28</v>
      </c>
      <c r="K21" s="13">
        <v>24</v>
      </c>
      <c r="L21" s="13">
        <v>0</v>
      </c>
      <c r="O21" s="78"/>
    </row>
    <row r="22" spans="1:15" x14ac:dyDescent="0.3">
      <c r="A22" s="11">
        <v>19</v>
      </c>
      <c r="B22" s="39">
        <v>5888</v>
      </c>
      <c r="C22" s="40">
        <v>1194</v>
      </c>
      <c r="D22" s="12">
        <v>19</v>
      </c>
      <c r="E22" s="79"/>
      <c r="F22" s="12">
        <v>-2</v>
      </c>
      <c r="G22" s="64">
        <v>5</v>
      </c>
      <c r="H22" s="12">
        <v>4</v>
      </c>
      <c r="I22" s="79"/>
      <c r="J22" s="13">
        <v>31</v>
      </c>
      <c r="K22" s="13">
        <v>26</v>
      </c>
      <c r="L22" s="13">
        <v>0</v>
      </c>
    </row>
    <row r="23" spans="1:15" x14ac:dyDescent="0.3">
      <c r="A23" s="11">
        <v>20</v>
      </c>
      <c r="B23" s="39">
        <v>5548</v>
      </c>
      <c r="C23" s="40">
        <v>1234</v>
      </c>
      <c r="D23" s="12">
        <v>9</v>
      </c>
      <c r="E23" s="79"/>
      <c r="F23" s="12">
        <v>-4</v>
      </c>
      <c r="G23" s="64">
        <v>1</v>
      </c>
      <c r="H23" s="12">
        <v>1</v>
      </c>
      <c r="I23" s="79"/>
      <c r="J23" s="13">
        <v>25</v>
      </c>
      <c r="K23" s="13">
        <v>24</v>
      </c>
      <c r="L23" s="13">
        <v>0</v>
      </c>
    </row>
    <row r="24" spans="1:15" x14ac:dyDescent="0.3">
      <c r="A24" s="11">
        <v>21</v>
      </c>
      <c r="B24" s="39">
        <v>5771</v>
      </c>
      <c r="C24" s="40">
        <v>1158</v>
      </c>
      <c r="D24" s="13">
        <v>21</v>
      </c>
      <c r="E24" s="78"/>
      <c r="F24" s="13">
        <v>-4</v>
      </c>
      <c r="G24" s="65">
        <v>6</v>
      </c>
      <c r="H24" s="13">
        <v>5</v>
      </c>
      <c r="I24" s="78"/>
      <c r="J24" s="13">
        <v>32</v>
      </c>
      <c r="K24" s="13">
        <v>26</v>
      </c>
      <c r="L24" s="13">
        <v>0</v>
      </c>
    </row>
    <row r="25" spans="1:15" x14ac:dyDescent="0.3">
      <c r="A25" s="11">
        <v>22</v>
      </c>
      <c r="B25" s="39">
        <v>5729</v>
      </c>
      <c r="C25" s="80">
        <v>1108</v>
      </c>
      <c r="D25" s="13">
        <v>22</v>
      </c>
      <c r="E25" s="78"/>
      <c r="F25" s="13">
        <v>1</v>
      </c>
      <c r="G25" s="65">
        <v>7</v>
      </c>
      <c r="H25" s="13">
        <v>6</v>
      </c>
      <c r="I25" s="78"/>
      <c r="J25" s="13">
        <v>33</v>
      </c>
      <c r="K25" s="13">
        <v>27</v>
      </c>
      <c r="L25" s="13">
        <v>0</v>
      </c>
    </row>
    <row r="26" spans="1:15" x14ac:dyDescent="0.3">
      <c r="A26" s="11">
        <v>23</v>
      </c>
      <c r="B26" s="39">
        <v>6100</v>
      </c>
      <c r="C26" s="80">
        <v>1096</v>
      </c>
      <c r="D26" s="13">
        <v>20</v>
      </c>
      <c r="E26" s="78"/>
      <c r="F26" s="13">
        <v>1</v>
      </c>
      <c r="G26" s="65">
        <v>6</v>
      </c>
      <c r="H26" s="13">
        <v>5</v>
      </c>
      <c r="I26" s="78"/>
      <c r="J26" s="13">
        <v>30</v>
      </c>
      <c r="K26" s="13">
        <v>26</v>
      </c>
      <c r="L26" s="13">
        <v>0</v>
      </c>
    </row>
    <row r="27" spans="1:15" x14ac:dyDescent="0.3">
      <c r="A27" s="11">
        <v>24</v>
      </c>
      <c r="B27" s="39">
        <v>5891</v>
      </c>
      <c r="C27" s="80">
        <v>959</v>
      </c>
      <c r="D27" s="13">
        <v>14</v>
      </c>
      <c r="E27" s="78"/>
      <c r="F27" s="13">
        <v>3</v>
      </c>
      <c r="G27" s="65">
        <v>12</v>
      </c>
      <c r="H27" s="13">
        <v>13</v>
      </c>
      <c r="I27" s="78"/>
      <c r="J27" s="13">
        <v>32</v>
      </c>
      <c r="K27" s="13">
        <v>26</v>
      </c>
      <c r="L27" s="13">
        <v>0</v>
      </c>
    </row>
    <row r="28" spans="1:15" x14ac:dyDescent="0.3">
      <c r="A28" s="11">
        <v>25</v>
      </c>
      <c r="B28" s="39">
        <v>6184</v>
      </c>
      <c r="C28" s="80">
        <v>895</v>
      </c>
      <c r="D28" s="16">
        <v>15</v>
      </c>
      <c r="E28" s="81"/>
      <c r="F28" s="16">
        <v>-1</v>
      </c>
      <c r="G28" s="66">
        <v>16</v>
      </c>
      <c r="H28" s="16">
        <v>16</v>
      </c>
      <c r="I28" s="81"/>
      <c r="J28" s="13">
        <v>34</v>
      </c>
      <c r="K28" s="13">
        <v>28</v>
      </c>
      <c r="L28" s="13">
        <v>0</v>
      </c>
    </row>
    <row r="29" spans="1:15" x14ac:dyDescent="0.3">
      <c r="A29" s="11">
        <v>26</v>
      </c>
      <c r="B29" s="39">
        <v>5784</v>
      </c>
      <c r="C29" s="80">
        <v>819</v>
      </c>
      <c r="D29" s="13">
        <v>19</v>
      </c>
      <c r="E29" s="78"/>
      <c r="F29" s="13">
        <v>4</v>
      </c>
      <c r="G29" s="65">
        <v>18</v>
      </c>
      <c r="H29" s="13">
        <v>18</v>
      </c>
      <c r="I29" s="78"/>
      <c r="J29" s="13">
        <v>29</v>
      </c>
      <c r="K29" s="13">
        <v>25</v>
      </c>
      <c r="L29" s="13">
        <v>0</v>
      </c>
    </row>
    <row r="30" spans="1:15" x14ac:dyDescent="0.3">
      <c r="A30" s="9">
        <v>27</v>
      </c>
      <c r="B30" s="39">
        <v>5996</v>
      </c>
      <c r="C30" s="80">
        <v>880</v>
      </c>
      <c r="D30" s="13">
        <v>17</v>
      </c>
      <c r="E30" s="78"/>
      <c r="F30" s="13">
        <v>2</v>
      </c>
      <c r="G30" s="65">
        <v>13</v>
      </c>
      <c r="H30" s="13">
        <v>12</v>
      </c>
      <c r="I30" s="78"/>
      <c r="J30" s="13">
        <v>33</v>
      </c>
      <c r="K30" s="13">
        <v>28</v>
      </c>
      <c r="L30" s="13">
        <v>0</v>
      </c>
    </row>
    <row r="31" spans="1:15" x14ac:dyDescent="0.3">
      <c r="A31" s="43">
        <v>28</v>
      </c>
      <c r="B31" s="39">
        <v>5601</v>
      </c>
      <c r="C31" s="80">
        <v>943</v>
      </c>
      <c r="D31" s="13">
        <v>13</v>
      </c>
      <c r="E31" s="78"/>
      <c r="F31" s="13">
        <v>1</v>
      </c>
      <c r="G31" s="65">
        <v>11</v>
      </c>
      <c r="H31" s="13">
        <v>11</v>
      </c>
      <c r="I31" s="78"/>
      <c r="J31" s="13">
        <v>32</v>
      </c>
      <c r="K31" s="13">
        <v>28</v>
      </c>
      <c r="L31" s="13">
        <v>0</v>
      </c>
    </row>
    <row r="32" spans="1:15" x14ac:dyDescent="0.3">
      <c r="A32" s="43">
        <v>29</v>
      </c>
      <c r="B32" s="39">
        <v>6197</v>
      </c>
      <c r="C32" s="80">
        <v>767</v>
      </c>
      <c r="D32" s="13">
        <v>14</v>
      </c>
      <c r="E32" s="78"/>
      <c r="F32" s="13">
        <v>6</v>
      </c>
      <c r="G32" s="65">
        <v>18</v>
      </c>
      <c r="H32" s="13">
        <v>17</v>
      </c>
      <c r="I32" s="78"/>
      <c r="J32" s="13">
        <v>32</v>
      </c>
      <c r="K32" s="13">
        <v>28</v>
      </c>
      <c r="L32" s="13">
        <v>0</v>
      </c>
    </row>
    <row r="33" spans="1:15" x14ac:dyDescent="0.3">
      <c r="A33" s="43">
        <v>30</v>
      </c>
      <c r="B33" s="39">
        <v>6109</v>
      </c>
      <c r="C33" s="80">
        <v>721</v>
      </c>
      <c r="D33" s="13">
        <v>14</v>
      </c>
      <c r="E33" s="78"/>
      <c r="F33" s="13">
        <v>5</v>
      </c>
      <c r="G33" s="65">
        <v>22</v>
      </c>
      <c r="H33" s="13">
        <v>22</v>
      </c>
      <c r="I33" s="78"/>
      <c r="J33" s="13">
        <v>34</v>
      </c>
      <c r="K33" s="13">
        <v>29</v>
      </c>
      <c r="L33" s="13">
        <v>0</v>
      </c>
    </row>
    <row r="34" spans="1:15" ht="15" thickBot="1" x14ac:dyDescent="0.35">
      <c r="A34" s="44">
        <v>31</v>
      </c>
      <c r="B34" s="45">
        <v>5906</v>
      </c>
      <c r="C34" s="82">
        <v>681</v>
      </c>
      <c r="D34" s="47">
        <v>15</v>
      </c>
      <c r="E34" s="78"/>
      <c r="F34" s="47"/>
      <c r="G34" s="68"/>
      <c r="H34" s="67">
        <v>23</v>
      </c>
      <c r="I34" s="78"/>
      <c r="J34" s="47">
        <v>31</v>
      </c>
      <c r="K34" s="47">
        <v>28</v>
      </c>
      <c r="L34" s="47">
        <v>0</v>
      </c>
      <c r="O34" t="s">
        <v>30</v>
      </c>
    </row>
    <row r="35" spans="1:15" ht="15" thickBot="1" x14ac:dyDescent="0.35">
      <c r="A35" s="33" t="s">
        <v>24</v>
      </c>
      <c r="B35" s="48">
        <f>SUM(B4:B34)</f>
        <v>175086</v>
      </c>
      <c r="C35" s="49">
        <f>SUM(C4:C34)</f>
        <v>30654</v>
      </c>
      <c r="D35" s="50">
        <f>SUM(D4:D34)</f>
        <v>406</v>
      </c>
      <c r="E35" s="83"/>
      <c r="F35" s="73">
        <f>AVERAGE(F4:F34)</f>
        <v>-0.23333333333333334</v>
      </c>
      <c r="G35" s="74">
        <f>AVERAGE(G4:G34)</f>
        <v>8.8000000000000007</v>
      </c>
      <c r="H35" s="75">
        <f>AVERAGE(H4:H34)</f>
        <v>8.9032258064516121</v>
      </c>
      <c r="I35" s="84"/>
      <c r="J35" s="52">
        <f>SUM(J4:J34)</f>
        <v>700</v>
      </c>
      <c r="K35" s="52">
        <f>SUM(K4:K34)</f>
        <v>625</v>
      </c>
      <c r="L35" s="53">
        <f>SUM(L4:L34)</f>
        <v>0</v>
      </c>
    </row>
    <row r="36" spans="1:15" ht="15" thickBot="1" x14ac:dyDescent="0.35">
      <c r="A36" s="17" t="s">
        <v>25</v>
      </c>
      <c r="B36" s="54">
        <f>AVERAGE(B4:B34)</f>
        <v>5647.9354838709678</v>
      </c>
      <c r="C36" s="55">
        <f>AVERAGE(C4:C34)</f>
        <v>988.83870967741939</v>
      </c>
      <c r="D36" s="56">
        <f>AVERAGE(D4:D34)</f>
        <v>13.096774193548388</v>
      </c>
      <c r="E36" s="84"/>
      <c r="F36" s="84"/>
      <c r="G36" s="84"/>
      <c r="H36" s="84"/>
      <c r="I36" s="84"/>
      <c r="J36" s="85"/>
      <c r="K36" s="5"/>
      <c r="L36" s="5"/>
    </row>
    <row r="37" spans="1:15" ht="15" thickBot="1" x14ac:dyDescent="0.35">
      <c r="A37" s="5"/>
      <c r="B37" s="86" t="s">
        <v>26</v>
      </c>
      <c r="C37" s="86"/>
      <c r="D37" s="86"/>
      <c r="E37" s="86"/>
      <c r="F37" s="86"/>
      <c r="G37" s="86"/>
      <c r="H37" s="86"/>
      <c r="I37" s="86"/>
      <c r="J37" s="86"/>
      <c r="K37" s="5"/>
      <c r="L37" s="5"/>
    </row>
    <row r="38" spans="1:15" ht="15" thickBot="1" x14ac:dyDescent="0.35">
      <c r="A38" s="5"/>
      <c r="B38" s="54">
        <f>B35/J35</f>
        <v>250.12285714285716</v>
      </c>
      <c r="C38" s="55">
        <f>C35/J35</f>
        <v>43.791428571428568</v>
      </c>
      <c r="D38" s="56">
        <f>D35/J35</f>
        <v>0.57999999999999996</v>
      </c>
      <c r="E38" s="84"/>
      <c r="F38" s="84"/>
      <c r="G38" s="84"/>
      <c r="H38" s="84"/>
      <c r="I38" s="84"/>
      <c r="J38" s="5"/>
      <c r="K38" s="5"/>
      <c r="L38" s="5"/>
    </row>
    <row r="39" spans="1:15" x14ac:dyDescent="0.3">
      <c r="A39" s="76"/>
      <c r="B39" s="86"/>
      <c r="C39" s="86"/>
      <c r="D39" s="86"/>
      <c r="E39" s="86"/>
      <c r="F39" s="86"/>
      <c r="G39" s="86"/>
      <c r="H39" s="86"/>
      <c r="I39" s="86"/>
      <c r="J39" s="76"/>
      <c r="K39" s="5"/>
      <c r="L39" s="5"/>
    </row>
    <row r="40" spans="1:15" x14ac:dyDescent="0.3">
      <c r="A40" s="76"/>
      <c r="B40" s="87"/>
      <c r="C40" s="87"/>
      <c r="D40" s="87"/>
      <c r="E40" s="87"/>
      <c r="F40" s="87"/>
      <c r="G40" s="87"/>
      <c r="H40" s="87"/>
      <c r="I40" s="87"/>
      <c r="J40" s="76"/>
      <c r="K40" s="5"/>
      <c r="L40" s="5"/>
    </row>
    <row r="41" spans="1:15" ht="15.6" x14ac:dyDescent="0.3">
      <c r="A41" s="59" t="s">
        <v>27</v>
      </c>
      <c r="B41" s="60">
        <v>71592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54736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P29" sqref="P29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90" t="s">
        <v>35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3">
      <c r="A4" s="6">
        <v>1</v>
      </c>
      <c r="B4" s="37">
        <v>6389</v>
      </c>
      <c r="C4" s="38">
        <v>659</v>
      </c>
      <c r="D4" s="10">
        <v>14</v>
      </c>
      <c r="E4" s="14"/>
      <c r="F4" s="10">
        <v>6</v>
      </c>
      <c r="G4" s="70">
        <v>22</v>
      </c>
      <c r="H4" s="10">
        <v>20</v>
      </c>
      <c r="I4" s="14"/>
      <c r="J4" s="10">
        <v>30</v>
      </c>
      <c r="K4" s="10">
        <v>27</v>
      </c>
      <c r="L4" s="10">
        <v>0</v>
      </c>
    </row>
    <row r="5" spans="1:12" x14ac:dyDescent="0.3">
      <c r="A5" s="11">
        <v>2</v>
      </c>
      <c r="B5" s="39">
        <v>6570</v>
      </c>
      <c r="C5" s="40">
        <v>910</v>
      </c>
      <c r="D5" s="12">
        <v>17</v>
      </c>
      <c r="E5" s="41"/>
      <c r="F5" s="12">
        <v>5</v>
      </c>
      <c r="G5" s="71">
        <v>9</v>
      </c>
      <c r="H5" s="12">
        <v>9</v>
      </c>
      <c r="I5" s="41"/>
      <c r="J5" s="13">
        <v>25</v>
      </c>
      <c r="K5" s="13">
        <v>25</v>
      </c>
      <c r="L5" s="13">
        <v>0</v>
      </c>
    </row>
    <row r="6" spans="1:12" x14ac:dyDescent="0.3">
      <c r="A6" s="11">
        <v>3</v>
      </c>
      <c r="B6" s="39">
        <v>6082</v>
      </c>
      <c r="C6" s="40">
        <v>931</v>
      </c>
      <c r="D6" s="12">
        <v>11</v>
      </c>
      <c r="E6" s="41"/>
      <c r="F6" s="12">
        <v>3</v>
      </c>
      <c r="G6" s="64">
        <v>8</v>
      </c>
      <c r="H6" s="12">
        <v>8</v>
      </c>
      <c r="I6" s="41"/>
      <c r="J6" s="13">
        <v>7</v>
      </c>
      <c r="K6" s="13">
        <v>3</v>
      </c>
      <c r="L6" s="13">
        <v>0</v>
      </c>
    </row>
    <row r="7" spans="1:12" x14ac:dyDescent="0.3">
      <c r="A7" s="11">
        <v>4</v>
      </c>
      <c r="B7" s="39">
        <v>5710</v>
      </c>
      <c r="C7" s="40">
        <v>852</v>
      </c>
      <c r="D7" s="12">
        <v>6</v>
      </c>
      <c r="E7" s="41"/>
      <c r="F7" s="72">
        <v>-2</v>
      </c>
      <c r="G7" s="64">
        <v>11</v>
      </c>
      <c r="H7" s="12">
        <v>12</v>
      </c>
      <c r="I7" s="41"/>
      <c r="J7" s="13">
        <v>5</v>
      </c>
      <c r="K7" s="13">
        <v>2</v>
      </c>
      <c r="L7" s="13">
        <v>0</v>
      </c>
    </row>
    <row r="8" spans="1:12" x14ac:dyDescent="0.3">
      <c r="A8" s="11">
        <v>5</v>
      </c>
      <c r="B8" s="39">
        <v>5693</v>
      </c>
      <c r="C8" s="40">
        <v>990</v>
      </c>
      <c r="D8" s="12">
        <v>6</v>
      </c>
      <c r="E8" s="41"/>
      <c r="F8" s="12">
        <v>-2</v>
      </c>
      <c r="G8" s="64">
        <v>12</v>
      </c>
      <c r="H8" s="12">
        <v>12</v>
      </c>
      <c r="I8" s="41"/>
      <c r="J8" s="13">
        <v>0</v>
      </c>
      <c r="K8" s="13">
        <v>0</v>
      </c>
      <c r="L8" s="13">
        <v>0</v>
      </c>
    </row>
    <row r="9" spans="1:12" x14ac:dyDescent="0.3">
      <c r="A9" s="11">
        <v>6</v>
      </c>
      <c r="B9" s="39">
        <v>5964</v>
      </c>
      <c r="C9" s="40">
        <v>1172</v>
      </c>
      <c r="D9" s="12">
        <v>9</v>
      </c>
      <c r="E9" s="41"/>
      <c r="F9" s="12">
        <v>-3</v>
      </c>
      <c r="G9" s="64">
        <v>5</v>
      </c>
      <c r="H9" s="12">
        <v>5</v>
      </c>
      <c r="I9" s="41"/>
      <c r="J9" s="13">
        <v>0</v>
      </c>
      <c r="K9" s="13">
        <v>0</v>
      </c>
      <c r="L9" s="13">
        <v>0</v>
      </c>
    </row>
    <row r="10" spans="1:12" x14ac:dyDescent="0.3">
      <c r="A10" s="11">
        <v>7</v>
      </c>
      <c r="B10" s="39">
        <v>5517</v>
      </c>
      <c r="C10" s="40">
        <v>1109</v>
      </c>
      <c r="D10" s="12">
        <v>8</v>
      </c>
      <c r="E10" s="41"/>
      <c r="F10" s="12">
        <v>-2</v>
      </c>
      <c r="G10" s="64">
        <v>6</v>
      </c>
      <c r="H10" s="12">
        <v>6</v>
      </c>
      <c r="I10" s="41"/>
      <c r="J10" s="13">
        <v>0</v>
      </c>
      <c r="K10" s="13">
        <v>0</v>
      </c>
      <c r="L10" s="13">
        <v>0</v>
      </c>
    </row>
    <row r="11" spans="1:12" x14ac:dyDescent="0.3">
      <c r="A11" s="11">
        <v>8</v>
      </c>
      <c r="B11" s="39">
        <v>5391</v>
      </c>
      <c r="C11" s="40">
        <v>948</v>
      </c>
      <c r="D11" s="12">
        <v>7</v>
      </c>
      <c r="E11" s="41"/>
      <c r="F11" s="12">
        <v>0</v>
      </c>
      <c r="G11" s="64">
        <v>7</v>
      </c>
      <c r="H11" s="12">
        <v>7</v>
      </c>
      <c r="I11" s="41"/>
      <c r="J11" s="13">
        <v>0</v>
      </c>
      <c r="K11" s="13">
        <v>0</v>
      </c>
      <c r="L11" s="13">
        <v>0</v>
      </c>
    </row>
    <row r="12" spans="1:12" x14ac:dyDescent="0.3">
      <c r="A12" s="11">
        <v>9</v>
      </c>
      <c r="B12" s="39">
        <v>5418</v>
      </c>
      <c r="C12" s="40">
        <v>652</v>
      </c>
      <c r="D12" s="12">
        <v>8</v>
      </c>
      <c r="E12" s="41"/>
      <c r="F12" s="12">
        <v>-1</v>
      </c>
      <c r="G12" s="64">
        <v>15</v>
      </c>
      <c r="H12" s="12">
        <v>15</v>
      </c>
      <c r="I12" s="41"/>
      <c r="J12" s="13">
        <v>0</v>
      </c>
      <c r="K12" s="13">
        <v>0</v>
      </c>
      <c r="L12" s="13">
        <v>0</v>
      </c>
    </row>
    <row r="13" spans="1:12" x14ac:dyDescent="0.3">
      <c r="A13" s="11">
        <v>10</v>
      </c>
      <c r="B13" s="39">
        <v>4893</v>
      </c>
      <c r="C13" s="40">
        <v>504</v>
      </c>
      <c r="D13" s="12">
        <v>7</v>
      </c>
      <c r="E13" s="41"/>
      <c r="F13" s="12">
        <v>5</v>
      </c>
      <c r="G13" s="64">
        <v>14</v>
      </c>
      <c r="H13" s="12">
        <v>14</v>
      </c>
      <c r="I13" s="41"/>
      <c r="J13" s="13">
        <v>0</v>
      </c>
      <c r="K13" s="13">
        <v>0</v>
      </c>
      <c r="L13" s="13">
        <v>0</v>
      </c>
    </row>
    <row r="14" spans="1:12" x14ac:dyDescent="0.3">
      <c r="A14" s="11">
        <v>11</v>
      </c>
      <c r="B14" s="39">
        <v>4055</v>
      </c>
      <c r="C14" s="40">
        <v>487</v>
      </c>
      <c r="D14" s="12">
        <v>6</v>
      </c>
      <c r="E14" s="41"/>
      <c r="F14" s="12">
        <v>3</v>
      </c>
      <c r="G14" s="64">
        <v>19</v>
      </c>
      <c r="H14" s="12">
        <v>18</v>
      </c>
      <c r="I14" s="41"/>
      <c r="J14" s="13">
        <v>0</v>
      </c>
      <c r="K14" s="13">
        <v>0</v>
      </c>
      <c r="L14" s="13">
        <v>0</v>
      </c>
    </row>
    <row r="15" spans="1:12" x14ac:dyDescent="0.3">
      <c r="A15" s="11">
        <v>12</v>
      </c>
      <c r="B15" s="39">
        <v>4658</v>
      </c>
      <c r="C15" s="40">
        <v>844</v>
      </c>
      <c r="D15" s="12">
        <v>6</v>
      </c>
      <c r="E15" s="41"/>
      <c r="F15" s="12">
        <v>2</v>
      </c>
      <c r="G15" s="64">
        <v>12</v>
      </c>
      <c r="H15" s="12">
        <v>14</v>
      </c>
      <c r="I15" s="41"/>
      <c r="J15" s="13">
        <v>1</v>
      </c>
      <c r="K15" s="13">
        <v>1</v>
      </c>
      <c r="L15" s="13">
        <v>0</v>
      </c>
    </row>
    <row r="16" spans="1:12" x14ac:dyDescent="0.3">
      <c r="A16" s="11">
        <v>13</v>
      </c>
      <c r="B16" s="39">
        <v>5121</v>
      </c>
      <c r="C16" s="40">
        <v>833</v>
      </c>
      <c r="D16" s="12">
        <v>10</v>
      </c>
      <c r="E16" s="41"/>
      <c r="F16" s="12">
        <v>1</v>
      </c>
      <c r="G16" s="64">
        <v>7</v>
      </c>
      <c r="H16" s="12">
        <v>7</v>
      </c>
      <c r="I16" s="41"/>
      <c r="J16" s="13">
        <v>1</v>
      </c>
      <c r="K16" s="13">
        <v>1</v>
      </c>
      <c r="L16" s="13">
        <v>0</v>
      </c>
    </row>
    <row r="17" spans="1:15" x14ac:dyDescent="0.3">
      <c r="A17" s="11">
        <v>14</v>
      </c>
      <c r="B17" s="39">
        <v>4560</v>
      </c>
      <c r="C17" s="39">
        <v>799</v>
      </c>
      <c r="D17" s="12">
        <v>9</v>
      </c>
      <c r="E17" s="41"/>
      <c r="F17" s="12">
        <v>1</v>
      </c>
      <c r="G17" s="64">
        <v>8</v>
      </c>
      <c r="H17" s="12">
        <v>7</v>
      </c>
      <c r="I17" s="41"/>
      <c r="J17" s="13">
        <v>1</v>
      </c>
      <c r="K17" s="13">
        <v>1</v>
      </c>
      <c r="L17" s="13">
        <v>0</v>
      </c>
    </row>
    <row r="18" spans="1:15" x14ac:dyDescent="0.3">
      <c r="A18" s="11">
        <v>15</v>
      </c>
      <c r="B18" s="39">
        <v>4576</v>
      </c>
      <c r="C18" s="39">
        <v>859</v>
      </c>
      <c r="D18" s="12">
        <v>7</v>
      </c>
      <c r="E18" s="41"/>
      <c r="F18" s="12">
        <v>-1</v>
      </c>
      <c r="G18" s="64">
        <v>5</v>
      </c>
      <c r="H18" s="12">
        <v>5</v>
      </c>
      <c r="I18" s="41"/>
      <c r="J18" s="13">
        <v>1</v>
      </c>
      <c r="K18" s="13">
        <v>1</v>
      </c>
      <c r="L18" s="13">
        <v>0</v>
      </c>
    </row>
    <row r="19" spans="1:15" x14ac:dyDescent="0.3">
      <c r="A19" s="11">
        <v>16</v>
      </c>
      <c r="B19" s="39">
        <v>5122</v>
      </c>
      <c r="C19" s="40">
        <v>875</v>
      </c>
      <c r="D19" s="12">
        <v>16</v>
      </c>
      <c r="E19" s="41"/>
      <c r="F19" s="12">
        <v>1</v>
      </c>
      <c r="G19" s="64">
        <v>4</v>
      </c>
      <c r="H19" s="12">
        <v>5</v>
      </c>
      <c r="I19" s="41"/>
      <c r="J19" s="13">
        <v>1</v>
      </c>
      <c r="K19" s="13">
        <v>1</v>
      </c>
      <c r="L19" s="13">
        <v>0</v>
      </c>
    </row>
    <row r="20" spans="1:15" x14ac:dyDescent="0.3">
      <c r="A20" s="11">
        <v>17</v>
      </c>
      <c r="B20" s="39">
        <v>4617</v>
      </c>
      <c r="C20" s="40">
        <v>823</v>
      </c>
      <c r="D20" s="12">
        <v>4</v>
      </c>
      <c r="E20" s="41"/>
      <c r="F20" s="12">
        <v>3</v>
      </c>
      <c r="G20" s="64">
        <v>5</v>
      </c>
      <c r="H20" s="12">
        <v>5</v>
      </c>
      <c r="I20" s="41"/>
      <c r="J20" s="13">
        <v>1</v>
      </c>
      <c r="K20" s="13">
        <v>1</v>
      </c>
      <c r="L20" s="13">
        <v>0</v>
      </c>
    </row>
    <row r="21" spans="1:15" x14ac:dyDescent="0.3">
      <c r="A21" s="11">
        <v>18</v>
      </c>
      <c r="B21" s="39">
        <v>4546</v>
      </c>
      <c r="C21" s="40">
        <v>675</v>
      </c>
      <c r="D21" s="12">
        <v>5</v>
      </c>
      <c r="E21" s="41"/>
      <c r="F21" s="12">
        <v>3</v>
      </c>
      <c r="G21" s="64">
        <v>11</v>
      </c>
      <c r="H21" s="12">
        <v>12</v>
      </c>
      <c r="I21" s="41"/>
      <c r="J21" s="13">
        <v>1</v>
      </c>
      <c r="K21" s="13">
        <v>1</v>
      </c>
      <c r="L21" s="13">
        <v>0</v>
      </c>
      <c r="O21" s="62"/>
    </row>
    <row r="22" spans="1:15" x14ac:dyDescent="0.3">
      <c r="A22" s="11">
        <v>19</v>
      </c>
      <c r="B22" s="39">
        <v>4701</v>
      </c>
      <c r="C22" s="40">
        <v>690</v>
      </c>
      <c r="D22" s="12">
        <v>6</v>
      </c>
      <c r="E22" s="41"/>
      <c r="F22" s="12">
        <v>6</v>
      </c>
      <c r="G22" s="64">
        <v>12</v>
      </c>
      <c r="H22" s="12">
        <v>13</v>
      </c>
      <c r="I22" s="41"/>
      <c r="J22" s="13">
        <v>4</v>
      </c>
      <c r="K22" s="13">
        <v>4</v>
      </c>
      <c r="L22" s="13">
        <v>0</v>
      </c>
    </row>
    <row r="23" spans="1:15" x14ac:dyDescent="0.3">
      <c r="A23" s="11">
        <v>20</v>
      </c>
      <c r="B23" s="39">
        <v>4807</v>
      </c>
      <c r="C23" s="40">
        <v>602</v>
      </c>
      <c r="D23" s="12">
        <v>11</v>
      </c>
      <c r="E23" s="41"/>
      <c r="F23" s="12">
        <v>5</v>
      </c>
      <c r="G23" s="64">
        <v>17</v>
      </c>
      <c r="H23" s="12">
        <v>19</v>
      </c>
      <c r="I23" s="41"/>
      <c r="J23" s="13">
        <v>4</v>
      </c>
      <c r="K23" s="13">
        <v>4</v>
      </c>
      <c r="L23" s="13">
        <v>0</v>
      </c>
    </row>
    <row r="24" spans="1:15" x14ac:dyDescent="0.3">
      <c r="A24" s="11">
        <v>21</v>
      </c>
      <c r="B24" s="39">
        <v>4464</v>
      </c>
      <c r="C24" s="40">
        <v>587</v>
      </c>
      <c r="D24" s="13">
        <v>8</v>
      </c>
      <c r="E24" s="14"/>
      <c r="F24" s="13">
        <v>4</v>
      </c>
      <c r="G24" s="65">
        <v>17</v>
      </c>
      <c r="H24" s="13">
        <v>17</v>
      </c>
      <c r="I24" s="14"/>
      <c r="J24" s="13">
        <v>4</v>
      </c>
      <c r="K24" s="13">
        <v>4</v>
      </c>
      <c r="L24" s="13">
        <v>0</v>
      </c>
    </row>
    <row r="25" spans="1:15" x14ac:dyDescent="0.3">
      <c r="A25" s="11">
        <v>22</v>
      </c>
      <c r="B25" s="39">
        <v>4413</v>
      </c>
      <c r="C25" s="15">
        <v>653</v>
      </c>
      <c r="D25" s="13">
        <v>5</v>
      </c>
      <c r="E25" s="14"/>
      <c r="F25" s="13">
        <v>4</v>
      </c>
      <c r="G25" s="65">
        <v>10</v>
      </c>
      <c r="H25" s="13">
        <v>10</v>
      </c>
      <c r="I25" s="14"/>
      <c r="J25" s="13">
        <v>4</v>
      </c>
      <c r="K25" s="13">
        <v>4</v>
      </c>
      <c r="L25" s="13">
        <v>0</v>
      </c>
    </row>
    <row r="26" spans="1:15" x14ac:dyDescent="0.3">
      <c r="A26" s="11">
        <v>23</v>
      </c>
      <c r="B26" s="39">
        <v>4767</v>
      </c>
      <c r="C26" s="15">
        <v>687</v>
      </c>
      <c r="D26" s="13">
        <v>7</v>
      </c>
      <c r="E26" s="14"/>
      <c r="F26" s="13">
        <v>2</v>
      </c>
      <c r="G26" s="65">
        <v>12</v>
      </c>
      <c r="H26" s="13">
        <v>12</v>
      </c>
      <c r="I26" s="14"/>
      <c r="J26" s="13">
        <v>4</v>
      </c>
      <c r="K26" s="13">
        <v>4</v>
      </c>
      <c r="L26" s="13">
        <v>0</v>
      </c>
    </row>
    <row r="27" spans="1:15" x14ac:dyDescent="0.3">
      <c r="A27" s="11">
        <v>24</v>
      </c>
      <c r="B27" s="39">
        <v>4375</v>
      </c>
      <c r="C27" s="15">
        <v>623</v>
      </c>
      <c r="D27" s="13">
        <v>6</v>
      </c>
      <c r="E27" s="14"/>
      <c r="F27" s="13">
        <v>0</v>
      </c>
      <c r="G27" s="65">
        <v>14</v>
      </c>
      <c r="H27" s="13">
        <v>15</v>
      </c>
      <c r="I27" s="14"/>
      <c r="J27" s="13">
        <v>4</v>
      </c>
      <c r="K27" s="13">
        <v>4</v>
      </c>
      <c r="L27" s="13">
        <v>0</v>
      </c>
    </row>
    <row r="28" spans="1:15" x14ac:dyDescent="0.3">
      <c r="A28" s="11">
        <v>25</v>
      </c>
      <c r="B28" s="39">
        <v>4348</v>
      </c>
      <c r="C28" s="15">
        <v>656</v>
      </c>
      <c r="D28" s="16">
        <v>7</v>
      </c>
      <c r="E28" s="42"/>
      <c r="F28" s="16">
        <v>2</v>
      </c>
      <c r="G28" s="66">
        <v>12</v>
      </c>
      <c r="H28" s="16">
        <v>12</v>
      </c>
      <c r="I28" s="42"/>
      <c r="J28" s="13">
        <v>4</v>
      </c>
      <c r="K28" s="13">
        <v>4</v>
      </c>
      <c r="L28" s="13">
        <v>0</v>
      </c>
    </row>
    <row r="29" spans="1:15" x14ac:dyDescent="0.3">
      <c r="A29" s="11">
        <v>26</v>
      </c>
      <c r="B29" s="39">
        <v>4450</v>
      </c>
      <c r="C29" s="15">
        <v>648</v>
      </c>
      <c r="D29" s="13">
        <v>7</v>
      </c>
      <c r="E29" s="14"/>
      <c r="F29" s="13">
        <v>-1</v>
      </c>
      <c r="G29" s="65">
        <v>12</v>
      </c>
      <c r="H29" s="13">
        <v>14</v>
      </c>
      <c r="I29" s="14"/>
      <c r="J29" s="13">
        <v>4</v>
      </c>
      <c r="K29" s="13">
        <v>4</v>
      </c>
      <c r="L29" s="13">
        <v>0</v>
      </c>
    </row>
    <row r="30" spans="1:15" x14ac:dyDescent="0.3">
      <c r="A30" s="9">
        <v>27</v>
      </c>
      <c r="B30" s="39">
        <v>4801</v>
      </c>
      <c r="C30" s="15">
        <v>618</v>
      </c>
      <c r="D30" s="13">
        <v>9</v>
      </c>
      <c r="E30" s="14"/>
      <c r="F30" s="13">
        <v>1</v>
      </c>
      <c r="G30" s="65">
        <v>14</v>
      </c>
      <c r="H30" s="13">
        <v>15</v>
      </c>
      <c r="I30" s="14"/>
      <c r="J30" s="13">
        <v>4</v>
      </c>
      <c r="K30" s="13">
        <v>4</v>
      </c>
      <c r="L30" s="13">
        <v>0</v>
      </c>
    </row>
    <row r="31" spans="1:15" x14ac:dyDescent="0.3">
      <c r="A31" s="43">
        <v>28</v>
      </c>
      <c r="B31" s="39">
        <v>4741</v>
      </c>
      <c r="C31" s="15">
        <v>563</v>
      </c>
      <c r="D31" s="13">
        <v>11</v>
      </c>
      <c r="E31" s="14"/>
      <c r="F31" s="13">
        <v>4</v>
      </c>
      <c r="G31" s="65">
        <v>19</v>
      </c>
      <c r="H31" s="13">
        <v>20</v>
      </c>
      <c r="I31" s="14"/>
      <c r="J31" s="13">
        <v>11</v>
      </c>
      <c r="K31" s="13">
        <v>8</v>
      </c>
      <c r="L31" s="13">
        <v>0</v>
      </c>
    </row>
    <row r="32" spans="1:15" x14ac:dyDescent="0.3">
      <c r="A32" s="43">
        <v>29</v>
      </c>
      <c r="B32" s="39">
        <v>5120</v>
      </c>
      <c r="C32" s="15">
        <v>574</v>
      </c>
      <c r="D32" s="13">
        <v>13</v>
      </c>
      <c r="E32" s="14"/>
      <c r="F32" s="13">
        <v>9</v>
      </c>
      <c r="G32" s="65">
        <v>19</v>
      </c>
      <c r="H32" s="13">
        <v>19</v>
      </c>
      <c r="I32" s="14"/>
      <c r="J32" s="13">
        <v>14</v>
      </c>
      <c r="K32" s="13">
        <v>8</v>
      </c>
      <c r="L32" s="13">
        <v>0</v>
      </c>
    </row>
    <row r="33" spans="1:15" x14ac:dyDescent="0.3">
      <c r="A33" s="43">
        <v>30</v>
      </c>
      <c r="B33" s="39">
        <v>5530</v>
      </c>
      <c r="C33" s="15">
        <v>518</v>
      </c>
      <c r="D33" s="13">
        <v>15</v>
      </c>
      <c r="E33" s="14"/>
      <c r="F33" s="13">
        <v>7</v>
      </c>
      <c r="G33" s="65">
        <v>18</v>
      </c>
      <c r="H33" s="13">
        <v>18</v>
      </c>
      <c r="I33" s="14"/>
      <c r="J33" s="13">
        <v>14</v>
      </c>
      <c r="K33" s="13">
        <v>8</v>
      </c>
      <c r="L33" s="13">
        <v>0</v>
      </c>
    </row>
    <row r="34" spans="1:15" ht="15" thickBot="1" x14ac:dyDescent="0.35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" thickBot="1" x14ac:dyDescent="0.35">
      <c r="A35" s="33" t="s">
        <v>24</v>
      </c>
      <c r="B35" s="48">
        <f>SUM(B4:B34)</f>
        <v>151399</v>
      </c>
      <c r="C35" s="49">
        <f>SUM(C4:C34)</f>
        <v>22341</v>
      </c>
      <c r="D35" s="50">
        <f>SUM(D4:D34)</f>
        <v>261</v>
      </c>
      <c r="E35" s="63"/>
      <c r="F35" s="73">
        <f>AVERAGE(F4:F34)</f>
        <v>2.1666666666666665</v>
      </c>
      <c r="G35" s="74">
        <f>AVERAGE(G4:G34)</f>
        <v>11.866666666666667</v>
      </c>
      <c r="H35" s="75">
        <f>AVERAGE(H4:H34)</f>
        <v>12.166666666666666</v>
      </c>
      <c r="I35" s="51"/>
      <c r="J35" s="52">
        <f>SUM(J4:J34)</f>
        <v>149</v>
      </c>
      <c r="K35" s="52">
        <f>SUM(K4:K34)</f>
        <v>124</v>
      </c>
      <c r="L35" s="53">
        <f>SUM(L4:L34)</f>
        <v>0</v>
      </c>
    </row>
    <row r="36" spans="1:15" ht="15" thickBot="1" x14ac:dyDescent="0.35">
      <c r="A36" s="17" t="s">
        <v>25</v>
      </c>
      <c r="B36" s="54">
        <f>AVERAGE(B4:B34)</f>
        <v>5046.6333333333332</v>
      </c>
      <c r="C36" s="55">
        <f>AVERAGE(C4:C34)</f>
        <v>744.7</v>
      </c>
      <c r="D36" s="56">
        <f>AVERAGE(D4:D34)</f>
        <v>8.6999999999999993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1016.1006711409397</v>
      </c>
      <c r="C38" s="55">
        <f>C35/J35</f>
        <v>149.93959731543623</v>
      </c>
      <c r="D38" s="56">
        <f>D35/J35</f>
        <v>1.7516778523489933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27</v>
      </c>
      <c r="B41" s="60">
        <v>72046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56648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3" workbookViewId="0">
      <selection activeCell="P41" sqref="P41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90" t="s">
        <v>39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3">
      <c r="A4" s="6">
        <v>1</v>
      </c>
      <c r="B4" s="37">
        <v>5098</v>
      </c>
      <c r="C4" s="38">
        <v>515</v>
      </c>
      <c r="D4" s="10">
        <v>12</v>
      </c>
      <c r="E4" s="14"/>
      <c r="F4" s="10">
        <v>7</v>
      </c>
      <c r="G4" s="70">
        <v>13</v>
      </c>
      <c r="H4" s="10">
        <v>15</v>
      </c>
      <c r="I4" s="14"/>
      <c r="J4" s="10">
        <v>13</v>
      </c>
      <c r="K4" s="10">
        <v>8</v>
      </c>
      <c r="L4" s="10">
        <v>0</v>
      </c>
    </row>
    <row r="5" spans="1:12" x14ac:dyDescent="0.3">
      <c r="A5" s="11">
        <v>2</v>
      </c>
      <c r="B5" s="39">
        <v>5195</v>
      </c>
      <c r="C5" s="40">
        <v>598</v>
      </c>
      <c r="D5" s="12">
        <v>10</v>
      </c>
      <c r="E5" s="41"/>
      <c r="F5" s="12">
        <v>4</v>
      </c>
      <c r="G5" s="71">
        <v>11</v>
      </c>
      <c r="H5" s="12">
        <v>11</v>
      </c>
      <c r="I5" s="41"/>
      <c r="J5" s="13">
        <v>7</v>
      </c>
      <c r="K5" s="13">
        <v>4</v>
      </c>
      <c r="L5" s="13">
        <v>0</v>
      </c>
    </row>
    <row r="6" spans="1:12" x14ac:dyDescent="0.3">
      <c r="A6" s="11">
        <v>3</v>
      </c>
      <c r="B6" s="39">
        <v>5855</v>
      </c>
      <c r="C6" s="40">
        <v>634</v>
      </c>
      <c r="D6" s="12">
        <v>10</v>
      </c>
      <c r="E6" s="41"/>
      <c r="F6" s="12">
        <v>2</v>
      </c>
      <c r="G6" s="64">
        <v>13</v>
      </c>
      <c r="H6" s="12">
        <v>12</v>
      </c>
      <c r="I6" s="41"/>
      <c r="J6" s="13">
        <v>6</v>
      </c>
      <c r="K6" s="13">
        <v>3</v>
      </c>
      <c r="L6" s="13">
        <v>0</v>
      </c>
    </row>
    <row r="7" spans="1:12" x14ac:dyDescent="0.3">
      <c r="A7" s="11">
        <v>4</v>
      </c>
      <c r="B7" s="39">
        <v>5722</v>
      </c>
      <c r="C7" s="40">
        <v>506</v>
      </c>
      <c r="D7" s="12">
        <v>12</v>
      </c>
      <c r="E7" s="41"/>
      <c r="F7" s="72">
        <v>4</v>
      </c>
      <c r="G7" s="64">
        <v>18</v>
      </c>
      <c r="H7" s="12">
        <v>13</v>
      </c>
      <c r="I7" s="41"/>
      <c r="J7" s="13">
        <v>6</v>
      </c>
      <c r="K7" s="13">
        <v>3</v>
      </c>
      <c r="L7" s="13">
        <v>0</v>
      </c>
    </row>
    <row r="8" spans="1:12" x14ac:dyDescent="0.3">
      <c r="A8" s="11">
        <v>5</v>
      </c>
      <c r="B8" s="39">
        <v>5373</v>
      </c>
      <c r="C8" s="40">
        <v>572</v>
      </c>
      <c r="D8" s="12">
        <v>12</v>
      </c>
      <c r="E8" s="41"/>
      <c r="F8" s="12">
        <v>4</v>
      </c>
      <c r="G8" s="64">
        <v>14</v>
      </c>
      <c r="H8" s="12">
        <v>15</v>
      </c>
      <c r="I8" s="41"/>
      <c r="J8" s="13">
        <v>7</v>
      </c>
      <c r="K8" s="13">
        <v>4</v>
      </c>
      <c r="L8" s="13">
        <v>0</v>
      </c>
    </row>
    <row r="9" spans="1:12" x14ac:dyDescent="0.3">
      <c r="A9" s="11">
        <v>6</v>
      </c>
      <c r="B9" s="39">
        <v>5233</v>
      </c>
      <c r="C9" s="40">
        <v>555</v>
      </c>
      <c r="D9" s="12">
        <v>11</v>
      </c>
      <c r="E9" s="41"/>
      <c r="F9" s="12">
        <v>4</v>
      </c>
      <c r="G9" s="64">
        <v>13</v>
      </c>
      <c r="H9" s="12">
        <v>12</v>
      </c>
      <c r="I9" s="41"/>
      <c r="J9" s="13">
        <v>5</v>
      </c>
      <c r="K9" s="13">
        <v>3</v>
      </c>
      <c r="L9" s="13">
        <v>0</v>
      </c>
    </row>
    <row r="10" spans="1:12" x14ac:dyDescent="0.3">
      <c r="A10" s="11">
        <v>7</v>
      </c>
      <c r="B10" s="39">
        <v>5647</v>
      </c>
      <c r="C10" s="40">
        <v>626</v>
      </c>
      <c r="D10" s="12">
        <v>11</v>
      </c>
      <c r="E10" s="41"/>
      <c r="F10" s="12">
        <v>3</v>
      </c>
      <c r="G10" s="64">
        <v>11</v>
      </c>
      <c r="H10" s="12">
        <v>11</v>
      </c>
      <c r="I10" s="41"/>
      <c r="J10" s="13">
        <v>2</v>
      </c>
      <c r="K10" s="13">
        <v>1</v>
      </c>
      <c r="L10" s="13">
        <v>0</v>
      </c>
    </row>
    <row r="11" spans="1:12" x14ac:dyDescent="0.3">
      <c r="A11" s="11">
        <v>8</v>
      </c>
      <c r="B11" s="39">
        <v>5130</v>
      </c>
      <c r="C11" s="40">
        <v>542</v>
      </c>
      <c r="D11" s="12">
        <v>10</v>
      </c>
      <c r="E11" s="41"/>
      <c r="F11" s="12">
        <v>2</v>
      </c>
      <c r="G11" s="64">
        <v>16</v>
      </c>
      <c r="H11" s="12">
        <v>17</v>
      </c>
      <c r="I11" s="41"/>
      <c r="J11" s="13">
        <v>0</v>
      </c>
      <c r="K11" s="13">
        <v>0</v>
      </c>
      <c r="L11" s="13">
        <v>0</v>
      </c>
    </row>
    <row r="12" spans="1:12" x14ac:dyDescent="0.3">
      <c r="A12" s="11">
        <v>9</v>
      </c>
      <c r="B12" s="39">
        <v>4907</v>
      </c>
      <c r="C12" s="40">
        <v>347</v>
      </c>
      <c r="D12" s="12">
        <v>5</v>
      </c>
      <c r="E12" s="41"/>
      <c r="F12" s="12">
        <v>6</v>
      </c>
      <c r="G12" s="64">
        <v>26</v>
      </c>
      <c r="H12" s="12">
        <v>26</v>
      </c>
      <c r="I12" s="41"/>
      <c r="J12" s="13">
        <v>0</v>
      </c>
      <c r="K12" s="13">
        <v>0</v>
      </c>
      <c r="L12" s="13">
        <v>0</v>
      </c>
    </row>
    <row r="13" spans="1:12" x14ac:dyDescent="0.3">
      <c r="A13" s="11">
        <v>10</v>
      </c>
      <c r="B13" s="39">
        <v>5803</v>
      </c>
      <c r="C13" s="40">
        <v>353</v>
      </c>
      <c r="D13" s="12">
        <v>12</v>
      </c>
      <c r="E13" s="41"/>
      <c r="F13" s="12">
        <v>10</v>
      </c>
      <c r="G13" s="64">
        <v>29</v>
      </c>
      <c r="H13" s="12">
        <v>30</v>
      </c>
      <c r="I13" s="41"/>
      <c r="J13" s="13">
        <v>0</v>
      </c>
      <c r="K13" s="13">
        <v>0</v>
      </c>
      <c r="L13" s="13">
        <v>0</v>
      </c>
    </row>
    <row r="14" spans="1:12" x14ac:dyDescent="0.3">
      <c r="A14" s="11">
        <v>11</v>
      </c>
      <c r="B14" s="39">
        <v>5330</v>
      </c>
      <c r="C14" s="40">
        <v>329</v>
      </c>
      <c r="D14" s="12">
        <v>13</v>
      </c>
      <c r="E14" s="41"/>
      <c r="F14" s="12">
        <v>12</v>
      </c>
      <c r="G14" s="64">
        <v>28</v>
      </c>
      <c r="H14" s="12">
        <v>29</v>
      </c>
      <c r="I14" s="41"/>
      <c r="J14" s="13">
        <v>2</v>
      </c>
      <c r="K14" s="13">
        <v>1</v>
      </c>
      <c r="L14" s="13">
        <v>0</v>
      </c>
    </row>
    <row r="15" spans="1:12" x14ac:dyDescent="0.3">
      <c r="A15" s="11">
        <v>12</v>
      </c>
      <c r="B15" s="39">
        <v>6032</v>
      </c>
      <c r="C15" s="40">
        <v>388</v>
      </c>
      <c r="D15" s="12">
        <v>13</v>
      </c>
      <c r="E15" s="41"/>
      <c r="F15" s="12">
        <v>12</v>
      </c>
      <c r="G15" s="64">
        <v>17</v>
      </c>
      <c r="H15" s="12">
        <v>21</v>
      </c>
      <c r="I15" s="41"/>
      <c r="J15" s="13">
        <v>0</v>
      </c>
      <c r="K15" s="13">
        <v>0</v>
      </c>
      <c r="L15" s="13">
        <v>0</v>
      </c>
    </row>
    <row r="16" spans="1:12" x14ac:dyDescent="0.3">
      <c r="A16" s="11">
        <v>13</v>
      </c>
      <c r="B16" s="39">
        <v>5691</v>
      </c>
      <c r="C16" s="40">
        <v>445</v>
      </c>
      <c r="D16" s="12">
        <v>12</v>
      </c>
      <c r="E16" s="41"/>
      <c r="F16" s="12">
        <v>8</v>
      </c>
      <c r="G16" s="64">
        <v>12</v>
      </c>
      <c r="H16" s="12">
        <v>14</v>
      </c>
      <c r="I16" s="41"/>
      <c r="J16" s="13">
        <v>5</v>
      </c>
      <c r="K16" s="13">
        <v>4</v>
      </c>
      <c r="L16" s="13">
        <v>0</v>
      </c>
    </row>
    <row r="17" spans="1:15" x14ac:dyDescent="0.3">
      <c r="A17" s="11">
        <v>14</v>
      </c>
      <c r="B17" s="39">
        <v>5965</v>
      </c>
      <c r="C17" s="39">
        <v>469</v>
      </c>
      <c r="D17" s="12">
        <v>18</v>
      </c>
      <c r="E17" s="41"/>
      <c r="F17" s="12">
        <v>8</v>
      </c>
      <c r="G17" s="64">
        <v>15</v>
      </c>
      <c r="H17" s="12">
        <v>15</v>
      </c>
      <c r="I17" s="41"/>
      <c r="J17" s="13">
        <v>7</v>
      </c>
      <c r="K17" s="13">
        <v>4</v>
      </c>
      <c r="L17" s="13">
        <v>0</v>
      </c>
    </row>
    <row r="18" spans="1:15" x14ac:dyDescent="0.3">
      <c r="A18" s="11">
        <v>15</v>
      </c>
      <c r="B18" s="39">
        <v>5468</v>
      </c>
      <c r="C18" s="39">
        <v>398</v>
      </c>
      <c r="D18" s="12">
        <v>8</v>
      </c>
      <c r="E18" s="41"/>
      <c r="F18" s="12">
        <v>6</v>
      </c>
      <c r="G18" s="64">
        <v>17</v>
      </c>
      <c r="H18" s="12">
        <v>17</v>
      </c>
      <c r="I18" s="41"/>
      <c r="J18" s="13">
        <v>3</v>
      </c>
      <c r="K18" s="13">
        <v>3</v>
      </c>
      <c r="L18" s="13">
        <v>0</v>
      </c>
    </row>
    <row r="19" spans="1:15" x14ac:dyDescent="0.3">
      <c r="A19" s="11">
        <v>16</v>
      </c>
      <c r="B19" s="39">
        <v>5738</v>
      </c>
      <c r="C19" s="40">
        <v>398</v>
      </c>
      <c r="D19" s="12">
        <v>10</v>
      </c>
      <c r="E19" s="41"/>
      <c r="F19" s="12">
        <v>8</v>
      </c>
      <c r="G19" s="64">
        <v>18</v>
      </c>
      <c r="H19" s="12">
        <v>18</v>
      </c>
      <c r="I19" s="41"/>
      <c r="J19" s="13">
        <v>0</v>
      </c>
      <c r="K19" s="13">
        <v>0</v>
      </c>
      <c r="L19" s="13">
        <v>0</v>
      </c>
    </row>
    <row r="20" spans="1:15" x14ac:dyDescent="0.3">
      <c r="A20" s="11">
        <v>17</v>
      </c>
      <c r="B20" s="39">
        <v>6822</v>
      </c>
      <c r="C20" s="40">
        <v>430</v>
      </c>
      <c r="D20" s="12">
        <v>30</v>
      </c>
      <c r="E20" s="41"/>
      <c r="F20" s="12">
        <v>8</v>
      </c>
      <c r="G20" s="64">
        <v>16</v>
      </c>
      <c r="H20" s="12">
        <v>16</v>
      </c>
      <c r="I20" s="41"/>
      <c r="J20" s="13">
        <v>4</v>
      </c>
      <c r="K20" s="13">
        <v>2</v>
      </c>
      <c r="L20" s="13">
        <v>0</v>
      </c>
    </row>
    <row r="21" spans="1:15" x14ac:dyDescent="0.3">
      <c r="A21" s="11">
        <v>18</v>
      </c>
      <c r="B21" s="39">
        <v>6393</v>
      </c>
      <c r="C21" s="40">
        <v>520</v>
      </c>
      <c r="D21" s="12">
        <v>13</v>
      </c>
      <c r="E21" s="41"/>
      <c r="F21" s="12">
        <v>9</v>
      </c>
      <c r="G21" s="64">
        <v>18</v>
      </c>
      <c r="H21" s="12">
        <v>17</v>
      </c>
      <c r="I21" s="41"/>
      <c r="J21" s="13">
        <v>5</v>
      </c>
      <c r="K21" s="13">
        <v>3</v>
      </c>
      <c r="L21" s="13">
        <v>0</v>
      </c>
      <c r="O21" s="62"/>
    </row>
    <row r="22" spans="1:15" x14ac:dyDescent="0.3">
      <c r="A22" s="11">
        <v>19</v>
      </c>
      <c r="B22" s="39">
        <v>6999</v>
      </c>
      <c r="C22" s="40">
        <v>577</v>
      </c>
      <c r="D22" s="12">
        <v>26</v>
      </c>
      <c r="E22" s="41"/>
      <c r="F22" s="12">
        <v>7</v>
      </c>
      <c r="G22" s="64">
        <v>16</v>
      </c>
      <c r="H22" s="12">
        <v>16</v>
      </c>
      <c r="I22" s="41"/>
      <c r="J22" s="13">
        <v>7</v>
      </c>
      <c r="K22" s="13">
        <v>4</v>
      </c>
      <c r="L22" s="13">
        <v>0</v>
      </c>
    </row>
    <row r="23" spans="1:15" x14ac:dyDescent="0.3">
      <c r="A23" s="11">
        <v>20</v>
      </c>
      <c r="B23" s="39">
        <v>6599</v>
      </c>
      <c r="C23" s="40">
        <v>549</v>
      </c>
      <c r="D23" s="12">
        <v>24</v>
      </c>
      <c r="E23" s="41"/>
      <c r="F23" s="12">
        <v>6</v>
      </c>
      <c r="G23" s="64">
        <v>16</v>
      </c>
      <c r="H23" s="12">
        <v>17</v>
      </c>
      <c r="I23" s="41"/>
      <c r="J23" s="13">
        <v>15</v>
      </c>
      <c r="K23" s="13">
        <v>8</v>
      </c>
      <c r="L23" s="13">
        <v>0</v>
      </c>
    </row>
    <row r="24" spans="1:15" x14ac:dyDescent="0.3">
      <c r="A24" s="11">
        <v>21</v>
      </c>
      <c r="B24" s="39">
        <v>7155</v>
      </c>
      <c r="C24" s="40">
        <v>524</v>
      </c>
      <c r="D24" s="13">
        <v>25</v>
      </c>
      <c r="E24" s="14"/>
      <c r="F24" s="13">
        <v>7</v>
      </c>
      <c r="G24" s="65">
        <v>18</v>
      </c>
      <c r="H24" s="13">
        <v>17</v>
      </c>
      <c r="I24" s="14"/>
      <c r="J24" s="13">
        <v>12</v>
      </c>
      <c r="K24" s="13">
        <v>7</v>
      </c>
      <c r="L24" s="13">
        <v>0</v>
      </c>
    </row>
    <row r="25" spans="1:15" x14ac:dyDescent="0.3">
      <c r="A25" s="11">
        <v>22</v>
      </c>
      <c r="B25" s="39">
        <v>6202</v>
      </c>
      <c r="C25" s="15">
        <v>511</v>
      </c>
      <c r="D25" s="13">
        <v>25</v>
      </c>
      <c r="E25" s="14"/>
      <c r="F25" s="13">
        <v>8</v>
      </c>
      <c r="G25" s="65">
        <v>18</v>
      </c>
      <c r="H25" s="13">
        <v>17</v>
      </c>
      <c r="I25" s="14"/>
      <c r="J25" s="13">
        <v>12</v>
      </c>
      <c r="K25" s="13">
        <v>7</v>
      </c>
      <c r="L25" s="13">
        <v>0</v>
      </c>
    </row>
    <row r="26" spans="1:15" x14ac:dyDescent="0.3">
      <c r="A26" s="11">
        <v>23</v>
      </c>
      <c r="B26" s="39">
        <v>6673</v>
      </c>
      <c r="C26" s="15">
        <v>505</v>
      </c>
      <c r="D26" s="13">
        <v>15</v>
      </c>
      <c r="E26" s="14"/>
      <c r="F26" s="13">
        <v>6</v>
      </c>
      <c r="G26" s="65">
        <v>16</v>
      </c>
      <c r="H26" s="13">
        <v>17</v>
      </c>
      <c r="I26" s="14"/>
      <c r="J26" s="13">
        <v>5</v>
      </c>
      <c r="K26" s="13">
        <v>4</v>
      </c>
      <c r="L26" s="13">
        <v>0</v>
      </c>
    </row>
    <row r="27" spans="1:15" x14ac:dyDescent="0.3">
      <c r="A27" s="11">
        <v>24</v>
      </c>
      <c r="B27" s="39">
        <v>7058</v>
      </c>
      <c r="C27" s="15">
        <v>501</v>
      </c>
      <c r="D27" s="13">
        <v>30</v>
      </c>
      <c r="E27" s="14"/>
      <c r="F27" s="13">
        <v>6</v>
      </c>
      <c r="G27" s="65">
        <v>19</v>
      </c>
      <c r="H27" s="13">
        <v>19</v>
      </c>
      <c r="I27" s="14"/>
      <c r="J27" s="13">
        <v>11</v>
      </c>
      <c r="K27" s="13">
        <v>9</v>
      </c>
      <c r="L27" s="13">
        <v>0</v>
      </c>
    </row>
    <row r="28" spans="1:15" x14ac:dyDescent="0.3">
      <c r="A28" s="11">
        <v>25</v>
      </c>
      <c r="B28" s="39">
        <v>6687</v>
      </c>
      <c r="C28" s="15">
        <v>530</v>
      </c>
      <c r="D28" s="16">
        <v>21</v>
      </c>
      <c r="E28" s="42"/>
      <c r="F28" s="16">
        <v>8</v>
      </c>
      <c r="G28" s="66">
        <v>14</v>
      </c>
      <c r="H28" s="16">
        <v>14</v>
      </c>
      <c r="I28" s="42"/>
      <c r="J28" s="13">
        <v>13</v>
      </c>
      <c r="K28" s="13">
        <v>10</v>
      </c>
      <c r="L28" s="13">
        <v>0</v>
      </c>
    </row>
    <row r="29" spans="1:15" x14ac:dyDescent="0.3">
      <c r="A29" s="11">
        <v>26</v>
      </c>
      <c r="B29" s="39">
        <v>7368</v>
      </c>
      <c r="C29" s="15">
        <v>606</v>
      </c>
      <c r="D29" s="13">
        <v>25</v>
      </c>
      <c r="E29" s="14"/>
      <c r="F29" s="13">
        <v>6</v>
      </c>
      <c r="G29" s="65">
        <v>13</v>
      </c>
      <c r="H29" s="13">
        <v>14</v>
      </c>
      <c r="I29" s="14"/>
      <c r="J29" s="13">
        <v>34</v>
      </c>
      <c r="K29" s="13">
        <v>33</v>
      </c>
      <c r="L29" s="13">
        <v>0</v>
      </c>
    </row>
    <row r="30" spans="1:15" x14ac:dyDescent="0.3">
      <c r="A30" s="9">
        <v>27</v>
      </c>
      <c r="B30" s="39">
        <v>7753</v>
      </c>
      <c r="C30" s="15">
        <v>590</v>
      </c>
      <c r="D30" s="13">
        <v>35</v>
      </c>
      <c r="E30" s="14"/>
      <c r="F30" s="13">
        <v>8</v>
      </c>
      <c r="G30" s="65">
        <v>17</v>
      </c>
      <c r="H30" s="13">
        <v>16</v>
      </c>
      <c r="I30" s="14"/>
      <c r="J30" s="13">
        <v>45</v>
      </c>
      <c r="K30" s="13">
        <v>41</v>
      </c>
      <c r="L30" s="13">
        <v>2</v>
      </c>
    </row>
    <row r="31" spans="1:15" x14ac:dyDescent="0.3">
      <c r="A31" s="43">
        <v>28</v>
      </c>
      <c r="B31" s="39">
        <v>7928</v>
      </c>
      <c r="C31" s="15">
        <v>492</v>
      </c>
      <c r="D31" s="13">
        <v>40</v>
      </c>
      <c r="E31" s="14"/>
      <c r="F31" s="13">
        <v>8</v>
      </c>
      <c r="G31" s="65">
        <v>15</v>
      </c>
      <c r="H31" s="13">
        <v>15</v>
      </c>
      <c r="I31" s="14"/>
      <c r="J31" s="13">
        <v>47</v>
      </c>
      <c r="K31" s="13">
        <v>42</v>
      </c>
      <c r="L31" s="13">
        <v>2</v>
      </c>
    </row>
    <row r="32" spans="1:15" x14ac:dyDescent="0.3">
      <c r="A32" s="43">
        <v>29</v>
      </c>
      <c r="B32" s="39">
        <v>7748</v>
      </c>
      <c r="C32" s="15">
        <v>705</v>
      </c>
      <c r="D32" s="13">
        <v>34</v>
      </c>
      <c r="E32" s="14"/>
      <c r="F32" s="13">
        <v>5</v>
      </c>
      <c r="G32" s="65">
        <v>17</v>
      </c>
      <c r="H32" s="13">
        <v>16</v>
      </c>
      <c r="I32" s="14"/>
      <c r="J32" s="13">
        <v>19</v>
      </c>
      <c r="K32" s="13">
        <v>14</v>
      </c>
      <c r="L32" s="13">
        <v>0</v>
      </c>
    </row>
    <row r="33" spans="1:15" x14ac:dyDescent="0.3">
      <c r="A33" s="43">
        <v>30</v>
      </c>
      <c r="B33" s="39">
        <v>6800</v>
      </c>
      <c r="C33" s="15">
        <v>562</v>
      </c>
      <c r="D33" s="13">
        <v>17</v>
      </c>
      <c r="E33" s="14"/>
      <c r="F33" s="13">
        <v>5</v>
      </c>
      <c r="G33" s="65">
        <v>15</v>
      </c>
      <c r="H33" s="13">
        <v>16</v>
      </c>
      <c r="I33" s="14"/>
      <c r="J33" s="13">
        <v>11</v>
      </c>
      <c r="K33" s="13">
        <v>9</v>
      </c>
      <c r="L33" s="13">
        <v>0</v>
      </c>
    </row>
    <row r="34" spans="1:15" ht="15" thickBot="1" x14ac:dyDescent="0.35">
      <c r="A34" s="44">
        <v>31</v>
      </c>
      <c r="B34" s="45">
        <v>6621</v>
      </c>
      <c r="C34" s="46">
        <v>506</v>
      </c>
      <c r="D34" s="47">
        <v>25</v>
      </c>
      <c r="E34" s="14"/>
      <c r="F34" s="47">
        <v>4</v>
      </c>
      <c r="G34" s="68">
        <v>19</v>
      </c>
      <c r="H34" s="67">
        <v>20</v>
      </c>
      <c r="I34" s="14"/>
      <c r="J34" s="47">
        <v>8</v>
      </c>
      <c r="K34" s="47">
        <v>6</v>
      </c>
      <c r="L34" s="47">
        <v>0</v>
      </c>
      <c r="O34" t="s">
        <v>30</v>
      </c>
    </row>
    <row r="35" spans="1:15" ht="15" thickBot="1" x14ac:dyDescent="0.35">
      <c r="A35" s="33" t="s">
        <v>24</v>
      </c>
      <c r="B35" s="48">
        <f>SUM(B4:B34)</f>
        <v>192993</v>
      </c>
      <c r="C35" s="49">
        <f>SUM(C4:C34)</f>
        <v>15783</v>
      </c>
      <c r="D35" s="50">
        <f>SUM(D4:D34)</f>
        <v>564</v>
      </c>
      <c r="E35" s="63"/>
      <c r="F35" s="73">
        <f>AVERAGE(F4:F34)</f>
        <v>6.4838709677419351</v>
      </c>
      <c r="G35" s="74">
        <f>AVERAGE(G4:G34)</f>
        <v>16.70967741935484</v>
      </c>
      <c r="H35" s="75">
        <f>AVERAGE(H4:H34)</f>
        <v>16.870967741935484</v>
      </c>
      <c r="I35" s="51"/>
      <c r="J35" s="52">
        <f>SUM(J4:J34)</f>
        <v>311</v>
      </c>
      <c r="K35" s="52">
        <f>SUM(K4:K34)</f>
        <v>237</v>
      </c>
      <c r="L35" s="53">
        <f>SUM(L4:L34)</f>
        <v>4</v>
      </c>
    </row>
    <row r="36" spans="1:15" ht="15" thickBot="1" x14ac:dyDescent="0.35">
      <c r="A36" s="17" t="s">
        <v>25</v>
      </c>
      <c r="B36" s="54">
        <f>AVERAGE(B4:B34)</f>
        <v>6225.5806451612907</v>
      </c>
      <c r="C36" s="55">
        <f>AVERAGE(C4:C34)</f>
        <v>509.12903225806451</v>
      </c>
      <c r="D36" s="56">
        <f>AVERAGE(D4:D34)</f>
        <v>18.193548387096776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620.55627009646298</v>
      </c>
      <c r="C38" s="55">
        <f>C35/J35</f>
        <v>50.749196141479096</v>
      </c>
      <c r="D38" s="56">
        <f>D35/J35</f>
        <v>1.8135048231511255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27</v>
      </c>
      <c r="B41" s="60">
        <v>72126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59461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0" workbookViewId="0">
      <selection activeCell="Q35" sqref="Q35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90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2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2" x14ac:dyDescent="0.3">
      <c r="A4" s="6">
        <v>1</v>
      </c>
      <c r="B4" s="37">
        <v>7804</v>
      </c>
      <c r="C4" s="38">
        <v>504</v>
      </c>
      <c r="D4" s="10">
        <v>36</v>
      </c>
      <c r="E4" s="14"/>
      <c r="F4" s="10">
        <v>5</v>
      </c>
      <c r="G4" s="70">
        <v>22</v>
      </c>
      <c r="H4" s="10">
        <v>22</v>
      </c>
      <c r="I4" s="14"/>
      <c r="J4" s="10">
        <v>20</v>
      </c>
      <c r="K4" s="10">
        <v>15</v>
      </c>
      <c r="L4" s="10">
        <v>0</v>
      </c>
    </row>
    <row r="5" spans="1:12" x14ac:dyDescent="0.3">
      <c r="A5" s="11">
        <v>2</v>
      </c>
      <c r="B5" s="39">
        <v>8232</v>
      </c>
      <c r="C5" s="40">
        <v>458</v>
      </c>
      <c r="D5" s="12">
        <v>35</v>
      </c>
      <c r="E5" s="41"/>
      <c r="F5" s="12">
        <v>8</v>
      </c>
      <c r="G5" s="71">
        <v>23</v>
      </c>
      <c r="H5" s="12">
        <v>25</v>
      </c>
      <c r="I5" s="41"/>
      <c r="J5" s="13">
        <v>22</v>
      </c>
      <c r="K5" s="13">
        <v>16</v>
      </c>
      <c r="L5" s="13">
        <v>0</v>
      </c>
    </row>
    <row r="6" spans="1:12" x14ac:dyDescent="0.3">
      <c r="A6" s="11">
        <v>3</v>
      </c>
      <c r="B6" s="39">
        <v>10269</v>
      </c>
      <c r="C6" s="40">
        <v>448</v>
      </c>
      <c r="D6" s="12">
        <v>31</v>
      </c>
      <c r="E6" s="41"/>
      <c r="F6" s="12">
        <v>10</v>
      </c>
      <c r="G6" s="64">
        <v>25</v>
      </c>
      <c r="H6" s="12">
        <v>26</v>
      </c>
      <c r="I6" s="41"/>
      <c r="J6" s="13">
        <v>16</v>
      </c>
      <c r="K6" s="13">
        <v>13</v>
      </c>
      <c r="L6" s="13">
        <v>0</v>
      </c>
    </row>
    <row r="7" spans="1:12" x14ac:dyDescent="0.3">
      <c r="A7" s="11">
        <v>4</v>
      </c>
      <c r="B7" s="39">
        <v>11864</v>
      </c>
      <c r="C7" s="40">
        <v>490</v>
      </c>
      <c r="D7" s="12">
        <v>40</v>
      </c>
      <c r="E7" s="41"/>
      <c r="F7" s="72">
        <v>12</v>
      </c>
      <c r="G7" s="64">
        <v>28</v>
      </c>
      <c r="H7" s="12">
        <v>29</v>
      </c>
      <c r="I7" s="41"/>
      <c r="J7" s="13">
        <v>35</v>
      </c>
      <c r="K7" s="13">
        <v>25</v>
      </c>
      <c r="L7" s="13">
        <v>0</v>
      </c>
    </row>
    <row r="8" spans="1:12" x14ac:dyDescent="0.3">
      <c r="A8" s="11">
        <v>5</v>
      </c>
      <c r="B8" s="39">
        <v>12362</v>
      </c>
      <c r="C8" s="40">
        <v>552</v>
      </c>
      <c r="D8" s="12">
        <v>48</v>
      </c>
      <c r="E8" s="41"/>
      <c r="F8" s="12">
        <v>17</v>
      </c>
      <c r="G8" s="64">
        <v>27</v>
      </c>
      <c r="H8" s="12">
        <v>27</v>
      </c>
      <c r="I8" s="41"/>
      <c r="J8" s="13">
        <v>31</v>
      </c>
      <c r="K8" s="13">
        <v>24</v>
      </c>
      <c r="L8" s="13">
        <v>0</v>
      </c>
    </row>
    <row r="9" spans="1:12" x14ac:dyDescent="0.3">
      <c r="A9" s="11">
        <v>6</v>
      </c>
      <c r="B9" s="39">
        <v>11990</v>
      </c>
      <c r="C9" s="40">
        <v>462</v>
      </c>
      <c r="D9" s="12">
        <v>29</v>
      </c>
      <c r="E9" s="41"/>
      <c r="F9" s="12">
        <v>15</v>
      </c>
      <c r="G9" s="64">
        <v>25</v>
      </c>
      <c r="H9" s="12">
        <v>26</v>
      </c>
      <c r="I9" s="41"/>
      <c r="J9" s="13">
        <v>30</v>
      </c>
      <c r="K9" s="13">
        <v>25</v>
      </c>
      <c r="L9" s="13">
        <v>0</v>
      </c>
    </row>
    <row r="10" spans="1:12" x14ac:dyDescent="0.3">
      <c r="A10" s="11">
        <v>7</v>
      </c>
      <c r="B10" s="39">
        <v>11665</v>
      </c>
      <c r="C10" s="40">
        <v>567</v>
      </c>
      <c r="D10" s="12">
        <v>24</v>
      </c>
      <c r="E10" s="41"/>
      <c r="F10" s="12">
        <v>13</v>
      </c>
      <c r="G10" s="64">
        <v>26</v>
      </c>
      <c r="H10" s="12">
        <v>29</v>
      </c>
      <c r="I10" s="41"/>
      <c r="J10" s="13">
        <v>32</v>
      </c>
      <c r="K10" s="13">
        <v>29</v>
      </c>
      <c r="L10" s="13">
        <v>0</v>
      </c>
    </row>
    <row r="11" spans="1:12" x14ac:dyDescent="0.3">
      <c r="A11" s="11">
        <v>8</v>
      </c>
      <c r="B11" s="39">
        <v>11889</v>
      </c>
      <c r="C11" s="40">
        <v>367</v>
      </c>
      <c r="D11" s="12">
        <v>35</v>
      </c>
      <c r="E11" s="41"/>
      <c r="F11" s="12">
        <v>13</v>
      </c>
      <c r="G11" s="64">
        <v>26</v>
      </c>
      <c r="H11" s="12">
        <v>27</v>
      </c>
      <c r="I11" s="41"/>
      <c r="J11" s="13">
        <v>33</v>
      </c>
      <c r="K11" s="13">
        <v>29</v>
      </c>
      <c r="L11" s="13">
        <v>1</v>
      </c>
    </row>
    <row r="12" spans="1:12" x14ac:dyDescent="0.3">
      <c r="A12" s="11">
        <v>9</v>
      </c>
      <c r="B12" s="39">
        <v>11839</v>
      </c>
      <c r="C12" s="40">
        <v>487</v>
      </c>
      <c r="D12" s="12">
        <v>29</v>
      </c>
      <c r="E12" s="41"/>
      <c r="F12" s="12">
        <v>13</v>
      </c>
      <c r="G12" s="64">
        <v>22</v>
      </c>
      <c r="H12" s="12">
        <v>23</v>
      </c>
      <c r="I12" s="41"/>
      <c r="J12" s="13">
        <v>33</v>
      </c>
      <c r="K12" s="13">
        <v>27</v>
      </c>
      <c r="L12" s="13">
        <v>0</v>
      </c>
    </row>
    <row r="13" spans="1:12" x14ac:dyDescent="0.3">
      <c r="A13" s="11">
        <v>10</v>
      </c>
      <c r="B13" s="39">
        <v>11710</v>
      </c>
      <c r="C13" s="40">
        <v>507</v>
      </c>
      <c r="D13" s="12">
        <v>38</v>
      </c>
      <c r="E13" s="41"/>
      <c r="F13" s="12">
        <v>11</v>
      </c>
      <c r="G13" s="64">
        <v>27</v>
      </c>
      <c r="H13" s="12">
        <v>25</v>
      </c>
      <c r="I13" s="41"/>
      <c r="J13" s="13">
        <v>35</v>
      </c>
      <c r="K13" s="13">
        <v>27</v>
      </c>
      <c r="L13" s="13">
        <v>0</v>
      </c>
    </row>
    <row r="14" spans="1:12" x14ac:dyDescent="0.3">
      <c r="A14" s="11">
        <v>11</v>
      </c>
      <c r="B14" s="39">
        <v>12076</v>
      </c>
      <c r="C14" s="40">
        <v>473</v>
      </c>
      <c r="D14" s="12">
        <v>36</v>
      </c>
      <c r="E14" s="41"/>
      <c r="F14" s="12">
        <v>13</v>
      </c>
      <c r="G14" s="64">
        <v>26</v>
      </c>
      <c r="H14" s="12">
        <v>25</v>
      </c>
      <c r="I14" s="41"/>
      <c r="J14" s="13">
        <v>35</v>
      </c>
      <c r="K14" s="13">
        <v>28</v>
      </c>
      <c r="L14" s="13">
        <v>0</v>
      </c>
    </row>
    <row r="15" spans="1:12" x14ac:dyDescent="0.3">
      <c r="A15" s="11">
        <v>12</v>
      </c>
      <c r="B15" s="39">
        <v>11618</v>
      </c>
      <c r="C15" s="40">
        <v>454</v>
      </c>
      <c r="D15" s="12">
        <v>32</v>
      </c>
      <c r="E15" s="41"/>
      <c r="F15" s="12">
        <v>14</v>
      </c>
      <c r="G15" s="64">
        <v>26</v>
      </c>
      <c r="H15" s="12">
        <v>25</v>
      </c>
      <c r="I15" s="41"/>
      <c r="J15" s="13">
        <v>22</v>
      </c>
      <c r="K15" s="13">
        <v>21</v>
      </c>
      <c r="L15" s="13">
        <v>0</v>
      </c>
    </row>
    <row r="16" spans="1:12" x14ac:dyDescent="0.3">
      <c r="A16" s="11">
        <v>13</v>
      </c>
      <c r="B16" s="39">
        <v>11146</v>
      </c>
      <c r="C16" s="40">
        <v>499</v>
      </c>
      <c r="D16" s="12">
        <v>30</v>
      </c>
      <c r="E16" s="41"/>
      <c r="F16" s="12">
        <v>9</v>
      </c>
      <c r="G16" s="64">
        <v>17</v>
      </c>
      <c r="H16" s="12">
        <v>18</v>
      </c>
      <c r="I16" s="41"/>
      <c r="J16" s="13">
        <v>27</v>
      </c>
      <c r="K16" s="13">
        <v>25</v>
      </c>
      <c r="L16" s="13">
        <v>0</v>
      </c>
    </row>
    <row r="17" spans="1:15" x14ac:dyDescent="0.3">
      <c r="A17" s="11">
        <v>14</v>
      </c>
      <c r="B17" s="39">
        <v>9642</v>
      </c>
      <c r="C17" s="39">
        <v>511</v>
      </c>
      <c r="D17" s="12">
        <v>31</v>
      </c>
      <c r="E17" s="41"/>
      <c r="F17" s="12">
        <v>7</v>
      </c>
      <c r="G17" s="64">
        <v>24</v>
      </c>
      <c r="H17" s="12">
        <v>26</v>
      </c>
      <c r="I17" s="41"/>
      <c r="J17" s="13">
        <v>35</v>
      </c>
      <c r="K17" s="13">
        <v>29</v>
      </c>
      <c r="L17" s="13">
        <v>0</v>
      </c>
    </row>
    <row r="18" spans="1:15" x14ac:dyDescent="0.3">
      <c r="A18" s="11">
        <v>15</v>
      </c>
      <c r="B18" s="39">
        <v>11822</v>
      </c>
      <c r="C18" s="39">
        <v>435</v>
      </c>
      <c r="D18" s="12">
        <v>45</v>
      </c>
      <c r="E18" s="41"/>
      <c r="F18" s="12">
        <v>11</v>
      </c>
      <c r="G18" s="64">
        <v>28</v>
      </c>
      <c r="H18" s="12">
        <v>28</v>
      </c>
      <c r="I18" s="41"/>
      <c r="J18" s="13">
        <v>35</v>
      </c>
      <c r="K18" s="13">
        <v>29</v>
      </c>
      <c r="L18" s="13">
        <v>0</v>
      </c>
    </row>
    <row r="19" spans="1:15" x14ac:dyDescent="0.3">
      <c r="A19" s="11">
        <v>16</v>
      </c>
      <c r="B19" s="39">
        <v>13513</v>
      </c>
      <c r="C19" s="40">
        <v>433</v>
      </c>
      <c r="D19" s="12">
        <v>51</v>
      </c>
      <c r="E19" s="41"/>
      <c r="F19" s="12">
        <v>16</v>
      </c>
      <c r="G19" s="64">
        <v>29</v>
      </c>
      <c r="H19" s="12">
        <v>29</v>
      </c>
      <c r="I19" s="41"/>
      <c r="J19" s="13">
        <v>31</v>
      </c>
      <c r="K19" s="13">
        <v>27</v>
      </c>
      <c r="L19" s="13">
        <v>0</v>
      </c>
    </row>
    <row r="20" spans="1:15" x14ac:dyDescent="0.3">
      <c r="A20" s="11">
        <v>17</v>
      </c>
      <c r="B20" s="39">
        <v>14627</v>
      </c>
      <c r="C20" s="40">
        <v>434</v>
      </c>
      <c r="D20" s="12">
        <v>51</v>
      </c>
      <c r="E20" s="41"/>
      <c r="F20" s="12">
        <v>16</v>
      </c>
      <c r="G20" s="64">
        <v>31</v>
      </c>
      <c r="H20" s="12">
        <v>32</v>
      </c>
      <c r="I20" s="41"/>
      <c r="J20" s="13">
        <v>63</v>
      </c>
      <c r="K20" s="13">
        <v>51</v>
      </c>
      <c r="L20" s="13">
        <v>0</v>
      </c>
    </row>
    <row r="21" spans="1:15" x14ac:dyDescent="0.3">
      <c r="A21" s="11">
        <v>18</v>
      </c>
      <c r="B21" s="39">
        <v>15341</v>
      </c>
      <c r="C21" s="40">
        <v>423</v>
      </c>
      <c r="D21" s="12">
        <v>52</v>
      </c>
      <c r="E21" s="41"/>
      <c r="F21" s="12">
        <v>16</v>
      </c>
      <c r="G21" s="64">
        <v>31</v>
      </c>
      <c r="H21" s="12">
        <v>33</v>
      </c>
      <c r="I21" s="41"/>
      <c r="J21" s="13">
        <v>58</v>
      </c>
      <c r="K21" s="13">
        <v>41</v>
      </c>
      <c r="L21" s="13">
        <v>0</v>
      </c>
      <c r="O21" s="62"/>
    </row>
    <row r="22" spans="1:15" x14ac:dyDescent="0.3">
      <c r="A22" s="11">
        <v>19</v>
      </c>
      <c r="B22" s="39">
        <v>15731</v>
      </c>
      <c r="C22" s="40">
        <v>395</v>
      </c>
      <c r="D22" s="12">
        <v>49</v>
      </c>
      <c r="E22" s="41"/>
      <c r="F22" s="12">
        <v>18</v>
      </c>
      <c r="G22" s="64">
        <v>33</v>
      </c>
      <c r="H22" s="12">
        <v>33</v>
      </c>
      <c r="I22" s="41"/>
      <c r="J22" s="13">
        <v>61</v>
      </c>
      <c r="K22" s="13">
        <v>41</v>
      </c>
      <c r="L22" s="13">
        <v>0</v>
      </c>
    </row>
    <row r="23" spans="1:15" x14ac:dyDescent="0.3">
      <c r="A23" s="11">
        <v>20</v>
      </c>
      <c r="B23" s="39">
        <v>16067</v>
      </c>
      <c r="C23" s="40">
        <v>397</v>
      </c>
      <c r="D23" s="12">
        <v>50</v>
      </c>
      <c r="E23" s="41"/>
      <c r="F23" s="12">
        <v>18</v>
      </c>
      <c r="G23" s="64">
        <v>34</v>
      </c>
      <c r="H23" s="12">
        <v>33</v>
      </c>
      <c r="I23" s="41"/>
      <c r="J23" s="13">
        <v>33</v>
      </c>
      <c r="K23" s="13">
        <v>29</v>
      </c>
      <c r="L23" s="13">
        <v>0</v>
      </c>
    </row>
    <row r="24" spans="1:15" x14ac:dyDescent="0.3">
      <c r="A24" s="11">
        <v>21</v>
      </c>
      <c r="B24" s="39">
        <v>16819</v>
      </c>
      <c r="C24" s="40">
        <v>411</v>
      </c>
      <c r="D24" s="13">
        <v>47</v>
      </c>
      <c r="E24" s="14"/>
      <c r="F24" s="13">
        <v>21</v>
      </c>
      <c r="G24" s="65">
        <v>33</v>
      </c>
      <c r="H24" s="13">
        <v>32</v>
      </c>
      <c r="I24" s="14"/>
      <c r="J24" s="13">
        <v>83</v>
      </c>
      <c r="K24" s="13">
        <v>70</v>
      </c>
      <c r="L24" s="13">
        <v>0</v>
      </c>
    </row>
    <row r="25" spans="1:15" x14ac:dyDescent="0.3">
      <c r="A25" s="11">
        <v>22</v>
      </c>
      <c r="B25" s="39">
        <v>14209</v>
      </c>
      <c r="C25" s="15">
        <v>460</v>
      </c>
      <c r="D25" s="13">
        <v>40</v>
      </c>
      <c r="E25" s="14"/>
      <c r="F25" s="13">
        <v>17</v>
      </c>
      <c r="G25" s="65">
        <v>22</v>
      </c>
      <c r="H25" s="13">
        <v>23</v>
      </c>
      <c r="I25" s="14"/>
      <c r="J25" s="13">
        <v>76</v>
      </c>
      <c r="K25" s="13">
        <v>63</v>
      </c>
      <c r="L25" s="13">
        <v>0</v>
      </c>
    </row>
    <row r="26" spans="1:15" x14ac:dyDescent="0.3">
      <c r="A26" s="11">
        <v>23</v>
      </c>
      <c r="B26" s="39">
        <v>13205</v>
      </c>
      <c r="C26" s="15">
        <v>503</v>
      </c>
      <c r="D26" s="13">
        <v>48</v>
      </c>
      <c r="E26" s="14"/>
      <c r="F26" s="13">
        <v>16</v>
      </c>
      <c r="G26" s="65">
        <v>22</v>
      </c>
      <c r="H26" s="13">
        <v>22</v>
      </c>
      <c r="I26" s="14"/>
      <c r="J26" s="13">
        <v>69</v>
      </c>
      <c r="K26" s="13">
        <v>57</v>
      </c>
      <c r="L26" s="13">
        <v>0</v>
      </c>
    </row>
    <row r="27" spans="1:15" x14ac:dyDescent="0.3">
      <c r="A27" s="11">
        <v>24</v>
      </c>
      <c r="B27" s="39">
        <v>13979</v>
      </c>
      <c r="C27" s="15">
        <v>458</v>
      </c>
      <c r="D27" s="13">
        <v>51</v>
      </c>
      <c r="E27" s="14"/>
      <c r="F27" s="13">
        <v>16</v>
      </c>
      <c r="G27" s="65">
        <v>25</v>
      </c>
      <c r="H27" s="13">
        <v>25</v>
      </c>
      <c r="I27" s="14"/>
      <c r="J27" s="13"/>
      <c r="K27" s="13"/>
      <c r="L27" s="13"/>
    </row>
    <row r="28" spans="1:15" x14ac:dyDescent="0.3">
      <c r="A28" s="11">
        <v>25</v>
      </c>
      <c r="B28" s="39">
        <v>13122</v>
      </c>
      <c r="C28" s="15">
        <v>521</v>
      </c>
      <c r="D28" s="16">
        <v>50</v>
      </c>
      <c r="E28" s="42"/>
      <c r="F28" s="16">
        <v>16.100000000000001</v>
      </c>
      <c r="G28" s="66">
        <v>23.1</v>
      </c>
      <c r="H28" s="16">
        <v>23</v>
      </c>
      <c r="I28" s="42"/>
      <c r="J28" s="13"/>
      <c r="K28" s="13"/>
      <c r="L28" s="13"/>
    </row>
    <row r="29" spans="1:15" x14ac:dyDescent="0.3">
      <c r="A29" s="11">
        <v>26</v>
      </c>
      <c r="B29" s="39">
        <v>13205</v>
      </c>
      <c r="C29" s="15">
        <v>491</v>
      </c>
      <c r="D29" s="13">
        <v>48</v>
      </c>
      <c r="E29" s="14"/>
      <c r="F29" s="13">
        <v>15.9</v>
      </c>
      <c r="G29" s="65">
        <v>27</v>
      </c>
      <c r="H29" s="13">
        <v>27</v>
      </c>
      <c r="I29" s="14"/>
      <c r="J29" s="13"/>
      <c r="K29" s="13"/>
      <c r="L29" s="13"/>
    </row>
    <row r="30" spans="1:15" x14ac:dyDescent="0.3">
      <c r="A30" s="9">
        <v>27</v>
      </c>
      <c r="B30" s="39">
        <v>13424</v>
      </c>
      <c r="C30" s="15">
        <v>468</v>
      </c>
      <c r="D30" s="13">
        <v>44</v>
      </c>
      <c r="E30" s="14"/>
      <c r="F30" s="13">
        <v>13.3</v>
      </c>
      <c r="G30" s="65">
        <v>24.8</v>
      </c>
      <c r="H30" s="13">
        <v>25</v>
      </c>
      <c r="I30" s="14"/>
      <c r="J30" s="13"/>
      <c r="K30" s="13"/>
      <c r="L30" s="13"/>
    </row>
    <row r="31" spans="1:15" x14ac:dyDescent="0.3">
      <c r="A31" s="43">
        <v>28</v>
      </c>
      <c r="B31" s="39">
        <v>14677</v>
      </c>
      <c r="C31" s="15">
        <v>463</v>
      </c>
      <c r="D31" s="13">
        <v>51</v>
      </c>
      <c r="E31" s="14"/>
      <c r="F31" s="13">
        <v>14.4</v>
      </c>
      <c r="G31" s="65">
        <v>27</v>
      </c>
      <c r="H31" s="13">
        <v>27</v>
      </c>
      <c r="I31" s="14"/>
      <c r="J31" s="13"/>
      <c r="K31" s="13"/>
      <c r="L31" s="13"/>
    </row>
    <row r="32" spans="1:15" x14ac:dyDescent="0.3">
      <c r="A32" s="43">
        <v>29</v>
      </c>
      <c r="B32" s="39">
        <v>15697</v>
      </c>
      <c r="C32" s="15">
        <v>445</v>
      </c>
      <c r="D32" s="13">
        <v>55</v>
      </c>
      <c r="E32" s="14"/>
      <c r="F32" s="13">
        <v>15.9</v>
      </c>
      <c r="G32" s="65">
        <v>27</v>
      </c>
      <c r="H32" s="13">
        <v>27</v>
      </c>
      <c r="I32" s="14"/>
      <c r="J32" s="13"/>
      <c r="K32" s="13"/>
      <c r="L32" s="13"/>
    </row>
    <row r="33" spans="1:15" x14ac:dyDescent="0.3">
      <c r="A33" s="43">
        <v>30</v>
      </c>
      <c r="B33" s="39">
        <v>12944</v>
      </c>
      <c r="C33" s="15">
        <v>1080</v>
      </c>
      <c r="D33" s="13">
        <v>46</v>
      </c>
      <c r="E33" s="14"/>
      <c r="F33" s="13">
        <v>14.5</v>
      </c>
      <c r="G33" s="65">
        <v>21.7</v>
      </c>
      <c r="H33" s="13">
        <v>22</v>
      </c>
      <c r="I33" s="14"/>
      <c r="J33" s="13"/>
      <c r="K33" s="13"/>
      <c r="L33" s="13"/>
    </row>
    <row r="34" spans="1:15" ht="15" thickBot="1" x14ac:dyDescent="0.35">
      <c r="A34" s="44"/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" thickBot="1" x14ac:dyDescent="0.35">
      <c r="A35" s="33" t="s">
        <v>24</v>
      </c>
      <c r="B35" s="48">
        <f>SUM(B4:B34)</f>
        <v>382488</v>
      </c>
      <c r="C35" s="49">
        <f>SUM(C4:C34)</f>
        <v>14596</v>
      </c>
      <c r="D35" s="50">
        <f>SUM(D4:D34)</f>
        <v>1252</v>
      </c>
      <c r="E35" s="63"/>
      <c r="F35" s="73">
        <f>AVERAGE(F4:F34)</f>
        <v>13.836666666666666</v>
      </c>
      <c r="G35" s="74">
        <f>AVERAGE(G4:G34)</f>
        <v>26.086666666666666</v>
      </c>
      <c r="H35" s="75">
        <f>AVERAGE(H4:H34)</f>
        <v>26.466666666666665</v>
      </c>
      <c r="I35" s="51"/>
      <c r="J35" s="52">
        <f>SUM(J4:J34)</f>
        <v>915</v>
      </c>
      <c r="K35" s="52">
        <f>SUM(K4:K34)</f>
        <v>741</v>
      </c>
      <c r="L35" s="53">
        <f>SUM(L4:L34)</f>
        <v>1</v>
      </c>
    </row>
    <row r="36" spans="1:15" ht="15" thickBot="1" x14ac:dyDescent="0.35">
      <c r="A36" s="17" t="s">
        <v>25</v>
      </c>
      <c r="B36" s="54">
        <f>AVERAGE(B4:B34)</f>
        <v>12749.6</v>
      </c>
      <c r="C36" s="55">
        <f>AVERAGE(C4:C34)</f>
        <v>486.53333333333336</v>
      </c>
      <c r="D36" s="56">
        <f>AVERAGE(D4:D34)</f>
        <v>41.733333333333334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418.01967213114756</v>
      </c>
      <c r="C38" s="55">
        <f>C35/J35</f>
        <v>15.95191256830601</v>
      </c>
      <c r="D38" s="56">
        <f>D35/J35</f>
        <v>1.3683060109289618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27</v>
      </c>
      <c r="B41" s="60">
        <v>72237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62662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3" workbookViewId="0">
      <selection activeCell="S33" sqref="S33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90" t="s">
        <v>41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3">
      <c r="A4" s="6">
        <v>1</v>
      </c>
      <c r="B4" s="37">
        <v>10012</v>
      </c>
      <c r="C4" s="38">
        <v>400</v>
      </c>
      <c r="D4" s="10">
        <v>48</v>
      </c>
      <c r="E4" s="14"/>
      <c r="F4" s="10">
        <v>13</v>
      </c>
      <c r="G4" s="70">
        <v>21</v>
      </c>
      <c r="H4" s="10">
        <v>20</v>
      </c>
      <c r="I4" s="14"/>
      <c r="J4" s="10">
        <v>66</v>
      </c>
      <c r="K4" s="10">
        <v>48</v>
      </c>
      <c r="L4" s="10">
        <v>0</v>
      </c>
    </row>
    <row r="5" spans="1:15" x14ac:dyDescent="0.3">
      <c r="A5" s="11">
        <v>2</v>
      </c>
      <c r="B5" s="39">
        <v>12176</v>
      </c>
      <c r="C5" s="40">
        <v>424</v>
      </c>
      <c r="D5" s="12">
        <v>57</v>
      </c>
      <c r="E5" s="41"/>
      <c r="F5" s="12">
        <v>13</v>
      </c>
      <c r="G5" s="71">
        <v>16</v>
      </c>
      <c r="H5" s="12">
        <v>7</v>
      </c>
      <c r="I5" s="41"/>
      <c r="J5" s="13">
        <v>79</v>
      </c>
      <c r="K5" s="13">
        <v>59</v>
      </c>
      <c r="L5" s="13">
        <v>0</v>
      </c>
    </row>
    <row r="6" spans="1:15" x14ac:dyDescent="0.3">
      <c r="A6" s="11">
        <v>3</v>
      </c>
      <c r="B6" s="39">
        <v>12570</v>
      </c>
      <c r="C6" s="40">
        <v>524</v>
      </c>
      <c r="D6" s="12">
        <v>46</v>
      </c>
      <c r="E6" s="41"/>
      <c r="F6" s="12">
        <v>12</v>
      </c>
      <c r="G6" s="64">
        <v>25</v>
      </c>
      <c r="H6" s="12">
        <v>24</v>
      </c>
      <c r="I6" s="41"/>
      <c r="J6" s="13"/>
      <c r="K6" s="13"/>
      <c r="L6" s="13">
        <v>0</v>
      </c>
    </row>
    <row r="7" spans="1:15" x14ac:dyDescent="0.3">
      <c r="A7" s="11">
        <v>4</v>
      </c>
      <c r="B7" s="39">
        <v>12918</v>
      </c>
      <c r="C7" s="40">
        <v>504</v>
      </c>
      <c r="D7" s="12">
        <v>50</v>
      </c>
      <c r="E7" s="41"/>
      <c r="F7" s="72">
        <v>12</v>
      </c>
      <c r="G7" s="64">
        <v>26</v>
      </c>
      <c r="H7" s="12">
        <v>27</v>
      </c>
      <c r="I7" s="41"/>
      <c r="J7" s="13"/>
      <c r="K7" s="13"/>
      <c r="L7" s="13">
        <v>0</v>
      </c>
    </row>
    <row r="8" spans="1:15" x14ac:dyDescent="0.3">
      <c r="A8" s="11">
        <v>5</v>
      </c>
      <c r="B8" s="39">
        <v>13079</v>
      </c>
      <c r="C8" s="40">
        <v>495</v>
      </c>
      <c r="D8" s="12">
        <v>42</v>
      </c>
      <c r="E8" s="41"/>
      <c r="F8" s="12">
        <v>16</v>
      </c>
      <c r="G8" s="64">
        <v>24</v>
      </c>
      <c r="H8" s="12">
        <v>25</v>
      </c>
      <c r="I8" s="41"/>
      <c r="J8" s="13"/>
      <c r="K8" s="13"/>
      <c r="L8" s="13">
        <v>0</v>
      </c>
    </row>
    <row r="9" spans="1:15" x14ac:dyDescent="0.3">
      <c r="A9" s="11">
        <v>6</v>
      </c>
      <c r="B9" s="39">
        <v>14059</v>
      </c>
      <c r="C9" s="40">
        <v>464</v>
      </c>
      <c r="D9" s="12">
        <v>59</v>
      </c>
      <c r="E9" s="41"/>
      <c r="F9" s="12">
        <v>15</v>
      </c>
      <c r="G9" s="64">
        <v>30</v>
      </c>
      <c r="H9" s="12">
        <v>31</v>
      </c>
      <c r="I9" s="41"/>
      <c r="J9" s="13"/>
      <c r="K9" s="13"/>
      <c r="L9" s="13">
        <v>0</v>
      </c>
    </row>
    <row r="10" spans="1:15" x14ac:dyDescent="0.3">
      <c r="A10" s="11">
        <v>7</v>
      </c>
      <c r="B10" s="39">
        <v>13542</v>
      </c>
      <c r="C10" s="40">
        <v>481</v>
      </c>
      <c r="D10" s="12">
        <v>41</v>
      </c>
      <c r="E10" s="41"/>
      <c r="F10" s="12">
        <v>16</v>
      </c>
      <c r="G10" s="64">
        <v>23</v>
      </c>
      <c r="H10" s="12">
        <v>24</v>
      </c>
      <c r="I10" s="41"/>
      <c r="J10" s="13"/>
      <c r="K10" s="13"/>
      <c r="L10" s="13">
        <v>0</v>
      </c>
    </row>
    <row r="11" spans="1:15" x14ac:dyDescent="0.3">
      <c r="A11" s="11">
        <v>8</v>
      </c>
      <c r="B11" s="39">
        <v>13308</v>
      </c>
      <c r="C11" s="40">
        <v>477</v>
      </c>
      <c r="D11" s="12">
        <v>46</v>
      </c>
      <c r="E11" s="41"/>
      <c r="F11" s="12">
        <v>16</v>
      </c>
      <c r="G11" s="64">
        <v>23</v>
      </c>
      <c r="H11" s="12">
        <v>24</v>
      </c>
      <c r="I11" s="41"/>
      <c r="J11" s="13"/>
      <c r="K11" s="13"/>
      <c r="L11" s="13">
        <v>1</v>
      </c>
    </row>
    <row r="12" spans="1:15" x14ac:dyDescent="0.3">
      <c r="A12" s="11">
        <v>9</v>
      </c>
      <c r="B12" s="39">
        <v>13069</v>
      </c>
      <c r="C12" s="40">
        <v>491</v>
      </c>
      <c r="D12" s="12">
        <v>47</v>
      </c>
      <c r="E12" s="41"/>
      <c r="F12" s="12">
        <v>13</v>
      </c>
      <c r="G12" s="64">
        <v>24</v>
      </c>
      <c r="H12" s="12">
        <v>24</v>
      </c>
      <c r="I12" s="41"/>
      <c r="J12" s="13"/>
      <c r="K12" s="13"/>
      <c r="L12" s="13">
        <v>1</v>
      </c>
    </row>
    <row r="13" spans="1:15" x14ac:dyDescent="0.3">
      <c r="A13" s="11">
        <v>10</v>
      </c>
      <c r="B13" s="39">
        <v>12608</v>
      </c>
      <c r="C13" s="40">
        <v>523</v>
      </c>
      <c r="D13" s="12">
        <v>54</v>
      </c>
      <c r="E13" s="41"/>
      <c r="F13" s="12">
        <v>12</v>
      </c>
      <c r="G13" s="64">
        <v>25</v>
      </c>
      <c r="H13" s="12">
        <v>27</v>
      </c>
      <c r="I13" s="41"/>
      <c r="J13" s="13"/>
      <c r="K13" s="13"/>
      <c r="L13" s="13">
        <v>1</v>
      </c>
      <c r="O13" t="s">
        <v>13</v>
      </c>
    </row>
    <row r="14" spans="1:15" x14ac:dyDescent="0.3">
      <c r="A14" s="11">
        <v>11</v>
      </c>
      <c r="B14" s="39">
        <v>12491</v>
      </c>
      <c r="C14" s="40">
        <v>492</v>
      </c>
      <c r="D14" s="12">
        <v>44</v>
      </c>
      <c r="E14" s="41"/>
      <c r="F14" s="12">
        <v>15</v>
      </c>
      <c r="G14" s="64">
        <v>26</v>
      </c>
      <c r="H14" s="12">
        <v>26</v>
      </c>
      <c r="I14" s="41"/>
      <c r="J14" s="13"/>
      <c r="K14" s="13"/>
      <c r="L14" s="13">
        <v>1</v>
      </c>
    </row>
    <row r="15" spans="1:15" x14ac:dyDescent="0.3">
      <c r="A15" s="11">
        <v>12</v>
      </c>
      <c r="B15" s="39">
        <v>12608</v>
      </c>
      <c r="C15" s="40">
        <v>473</v>
      </c>
      <c r="D15" s="12">
        <v>48</v>
      </c>
      <c r="E15" s="41"/>
      <c r="F15" s="12">
        <v>14</v>
      </c>
      <c r="G15" s="64">
        <v>25</v>
      </c>
      <c r="H15" s="12">
        <v>26</v>
      </c>
      <c r="I15" s="41"/>
      <c r="J15" s="13">
        <v>56</v>
      </c>
      <c r="K15" s="13">
        <v>45</v>
      </c>
      <c r="L15" s="13">
        <v>1</v>
      </c>
    </row>
    <row r="16" spans="1:15" x14ac:dyDescent="0.3">
      <c r="A16" s="11">
        <v>13</v>
      </c>
      <c r="B16" s="39">
        <v>15153</v>
      </c>
      <c r="C16" s="40">
        <v>473</v>
      </c>
      <c r="D16" s="12">
        <v>58</v>
      </c>
      <c r="E16" s="41"/>
      <c r="F16" s="12">
        <v>15</v>
      </c>
      <c r="G16" s="64">
        <v>30</v>
      </c>
      <c r="H16" s="12">
        <v>30</v>
      </c>
      <c r="I16" s="41"/>
      <c r="J16" s="13">
        <v>68</v>
      </c>
      <c r="K16" s="13">
        <v>57</v>
      </c>
      <c r="L16" s="13">
        <v>1</v>
      </c>
    </row>
    <row r="17" spans="1:15" x14ac:dyDescent="0.3">
      <c r="A17" s="11">
        <v>14</v>
      </c>
      <c r="B17" s="39">
        <v>13306</v>
      </c>
      <c r="C17" s="39">
        <v>504</v>
      </c>
      <c r="D17" s="12">
        <v>48</v>
      </c>
      <c r="E17" s="41"/>
      <c r="F17" s="12">
        <v>15</v>
      </c>
      <c r="G17" s="64">
        <v>24</v>
      </c>
      <c r="H17" s="12">
        <v>24</v>
      </c>
      <c r="I17" s="41"/>
      <c r="J17" s="13">
        <v>72</v>
      </c>
      <c r="K17" s="13">
        <v>58</v>
      </c>
      <c r="L17" s="13">
        <v>1</v>
      </c>
    </row>
    <row r="18" spans="1:15" x14ac:dyDescent="0.3">
      <c r="A18" s="11">
        <v>15</v>
      </c>
      <c r="B18" s="39">
        <v>13163</v>
      </c>
      <c r="C18" s="39">
        <v>536</v>
      </c>
      <c r="D18" s="12">
        <v>51</v>
      </c>
      <c r="E18" s="41"/>
      <c r="F18" s="12">
        <v>14</v>
      </c>
      <c r="G18" s="64">
        <v>24</v>
      </c>
      <c r="H18" s="12">
        <v>25</v>
      </c>
      <c r="I18" s="41"/>
      <c r="J18" s="13">
        <v>59</v>
      </c>
      <c r="K18" s="13">
        <v>45</v>
      </c>
      <c r="L18" s="13">
        <v>1</v>
      </c>
    </row>
    <row r="19" spans="1:15" x14ac:dyDescent="0.3">
      <c r="A19" s="11">
        <v>16</v>
      </c>
      <c r="B19" s="39">
        <v>14519</v>
      </c>
      <c r="C19" s="40">
        <v>470</v>
      </c>
      <c r="D19" s="12">
        <v>55</v>
      </c>
      <c r="E19" s="41"/>
      <c r="F19" s="12">
        <v>13</v>
      </c>
      <c r="G19" s="64">
        <v>27</v>
      </c>
      <c r="H19" s="12">
        <v>27</v>
      </c>
      <c r="I19" s="41"/>
      <c r="J19" s="13">
        <v>61</v>
      </c>
      <c r="K19" s="13">
        <v>46</v>
      </c>
      <c r="L19" s="13">
        <v>1</v>
      </c>
    </row>
    <row r="20" spans="1:15" x14ac:dyDescent="0.3">
      <c r="A20" s="11">
        <v>17</v>
      </c>
      <c r="B20" s="39">
        <v>15485</v>
      </c>
      <c r="C20" s="40">
        <v>490</v>
      </c>
      <c r="D20" s="12">
        <v>44</v>
      </c>
      <c r="E20" s="41"/>
      <c r="F20" s="12">
        <v>19</v>
      </c>
      <c r="G20" s="64">
        <v>24</v>
      </c>
      <c r="H20" s="12">
        <v>24</v>
      </c>
      <c r="I20" s="41"/>
      <c r="J20" s="13">
        <v>74</v>
      </c>
      <c r="K20" s="13">
        <v>54</v>
      </c>
      <c r="L20" s="13">
        <v>1</v>
      </c>
    </row>
    <row r="21" spans="1:15" x14ac:dyDescent="0.3">
      <c r="A21" s="11">
        <v>18</v>
      </c>
      <c r="B21" s="39">
        <v>14967</v>
      </c>
      <c r="C21" s="40">
        <v>471</v>
      </c>
      <c r="D21" s="12">
        <v>49</v>
      </c>
      <c r="E21" s="41"/>
      <c r="F21" s="12">
        <v>17</v>
      </c>
      <c r="G21" s="64">
        <v>25</v>
      </c>
      <c r="H21" s="12">
        <v>26</v>
      </c>
      <c r="I21" s="41"/>
      <c r="J21" s="13">
        <v>60</v>
      </c>
      <c r="K21" s="13">
        <v>46</v>
      </c>
      <c r="L21" s="13">
        <v>1</v>
      </c>
      <c r="O21" s="62"/>
    </row>
    <row r="22" spans="1:15" x14ac:dyDescent="0.3">
      <c r="A22" s="11">
        <v>19</v>
      </c>
      <c r="B22" s="39">
        <v>13038</v>
      </c>
      <c r="C22" s="40">
        <v>481</v>
      </c>
      <c r="D22" s="12">
        <v>35</v>
      </c>
      <c r="E22" s="41"/>
      <c r="F22" s="12">
        <v>12</v>
      </c>
      <c r="G22" s="64">
        <v>23</v>
      </c>
      <c r="H22" s="12">
        <v>23</v>
      </c>
      <c r="I22" s="41"/>
      <c r="J22" s="13">
        <v>43</v>
      </c>
      <c r="K22" s="13">
        <v>35</v>
      </c>
      <c r="L22" s="13">
        <v>1</v>
      </c>
    </row>
    <row r="23" spans="1:15" x14ac:dyDescent="0.3">
      <c r="A23" s="11">
        <v>20</v>
      </c>
      <c r="B23" s="39">
        <v>11712</v>
      </c>
      <c r="C23" s="40">
        <v>509</v>
      </c>
      <c r="D23" s="12">
        <v>42</v>
      </c>
      <c r="E23" s="41"/>
      <c r="F23" s="12">
        <v>10</v>
      </c>
      <c r="G23" s="64">
        <v>20</v>
      </c>
      <c r="H23" s="12">
        <v>21</v>
      </c>
      <c r="I23" s="41"/>
      <c r="J23" s="13">
        <v>42</v>
      </c>
      <c r="K23" s="13">
        <v>30</v>
      </c>
      <c r="L23" s="13">
        <v>1</v>
      </c>
    </row>
    <row r="24" spans="1:15" x14ac:dyDescent="0.3">
      <c r="A24" s="11">
        <v>21</v>
      </c>
      <c r="B24" s="39">
        <v>12359</v>
      </c>
      <c r="C24" s="40">
        <v>491</v>
      </c>
      <c r="D24" s="13">
        <v>42</v>
      </c>
      <c r="E24" s="14"/>
      <c r="F24" s="13">
        <v>11</v>
      </c>
      <c r="G24" s="65">
        <v>23</v>
      </c>
      <c r="H24" s="13">
        <v>23</v>
      </c>
      <c r="I24" s="14"/>
      <c r="J24" s="13">
        <v>57</v>
      </c>
      <c r="K24" s="13">
        <v>40</v>
      </c>
      <c r="L24" s="13">
        <v>1</v>
      </c>
    </row>
    <row r="25" spans="1:15" x14ac:dyDescent="0.3">
      <c r="A25" s="11">
        <v>22</v>
      </c>
      <c r="B25" s="39">
        <v>13096</v>
      </c>
      <c r="C25" s="15">
        <v>481</v>
      </c>
      <c r="D25" s="13">
        <v>47</v>
      </c>
      <c r="E25" s="14"/>
      <c r="F25" s="13">
        <v>13</v>
      </c>
      <c r="G25" s="65">
        <v>25</v>
      </c>
      <c r="H25" s="13">
        <v>25</v>
      </c>
      <c r="I25" s="14"/>
      <c r="J25" s="13">
        <v>65</v>
      </c>
      <c r="K25" s="13">
        <v>44</v>
      </c>
      <c r="L25" s="13">
        <v>0</v>
      </c>
    </row>
    <row r="26" spans="1:15" x14ac:dyDescent="0.3">
      <c r="A26" s="11">
        <v>23</v>
      </c>
      <c r="B26" s="39">
        <v>14122</v>
      </c>
      <c r="C26" s="15">
        <v>465</v>
      </c>
      <c r="D26" s="13">
        <v>43</v>
      </c>
      <c r="E26" s="14"/>
      <c r="F26" s="13">
        <v>14</v>
      </c>
      <c r="G26" s="65">
        <v>28</v>
      </c>
      <c r="H26" s="13">
        <v>29</v>
      </c>
      <c r="I26" s="14"/>
      <c r="J26" s="13">
        <v>54</v>
      </c>
      <c r="K26" s="13">
        <v>33</v>
      </c>
      <c r="L26" s="13">
        <v>0</v>
      </c>
    </row>
    <row r="27" spans="1:15" x14ac:dyDescent="0.3">
      <c r="A27" s="11">
        <v>24</v>
      </c>
      <c r="B27" s="39">
        <v>14461</v>
      </c>
      <c r="C27" s="15">
        <v>437</v>
      </c>
      <c r="D27" s="13">
        <v>42</v>
      </c>
      <c r="E27" s="14"/>
      <c r="F27" s="13">
        <v>15</v>
      </c>
      <c r="G27" s="65">
        <v>29</v>
      </c>
      <c r="H27" s="13">
        <v>30</v>
      </c>
      <c r="I27" s="14"/>
      <c r="J27" s="13">
        <v>41</v>
      </c>
      <c r="K27" s="13">
        <v>15</v>
      </c>
      <c r="L27" s="13">
        <v>0</v>
      </c>
    </row>
    <row r="28" spans="1:15" x14ac:dyDescent="0.3">
      <c r="A28" s="11">
        <v>25</v>
      </c>
      <c r="B28" s="39">
        <v>15198</v>
      </c>
      <c r="C28" s="15">
        <v>430</v>
      </c>
      <c r="D28" s="16">
        <v>48</v>
      </c>
      <c r="E28" s="42"/>
      <c r="F28" s="16">
        <v>18</v>
      </c>
      <c r="G28" s="66">
        <v>28</v>
      </c>
      <c r="H28" s="16">
        <v>29</v>
      </c>
      <c r="I28" s="42"/>
      <c r="J28" s="13">
        <v>40</v>
      </c>
      <c r="K28" s="13">
        <v>22</v>
      </c>
      <c r="L28" s="13">
        <v>0</v>
      </c>
    </row>
    <row r="29" spans="1:15" x14ac:dyDescent="0.3">
      <c r="A29" s="11">
        <v>26</v>
      </c>
      <c r="B29" s="39">
        <v>14459</v>
      </c>
      <c r="C29" s="15">
        <v>346</v>
      </c>
      <c r="D29" s="13">
        <v>39</v>
      </c>
      <c r="E29" s="14"/>
      <c r="F29" s="13">
        <v>17</v>
      </c>
      <c r="G29" s="65">
        <v>28</v>
      </c>
      <c r="H29" s="13">
        <v>29</v>
      </c>
      <c r="I29" s="14"/>
      <c r="J29" s="13">
        <v>32</v>
      </c>
      <c r="K29" s="13">
        <v>18</v>
      </c>
      <c r="L29" s="13">
        <v>0</v>
      </c>
    </row>
    <row r="30" spans="1:15" x14ac:dyDescent="0.3">
      <c r="A30" s="9">
        <v>27</v>
      </c>
      <c r="B30" s="39">
        <v>13820</v>
      </c>
      <c r="C30" s="15">
        <v>419</v>
      </c>
      <c r="D30" s="13">
        <v>46</v>
      </c>
      <c r="E30" s="14"/>
      <c r="F30" s="13">
        <v>16</v>
      </c>
      <c r="G30" s="65">
        <v>28</v>
      </c>
      <c r="H30" s="13">
        <v>29</v>
      </c>
      <c r="I30" s="14"/>
      <c r="J30" s="13">
        <v>30</v>
      </c>
      <c r="K30" s="13">
        <v>18</v>
      </c>
      <c r="L30" s="13">
        <v>0</v>
      </c>
    </row>
    <row r="31" spans="1:15" x14ac:dyDescent="0.3">
      <c r="A31" s="43">
        <v>28</v>
      </c>
      <c r="B31" s="39">
        <v>13687</v>
      </c>
      <c r="C31" s="15">
        <v>434</v>
      </c>
      <c r="D31" s="13">
        <v>31</v>
      </c>
      <c r="E31" s="14"/>
      <c r="F31" s="13">
        <v>15</v>
      </c>
      <c r="G31" s="65">
        <v>24</v>
      </c>
      <c r="H31" s="13">
        <v>25</v>
      </c>
      <c r="I31" s="14"/>
      <c r="J31" s="13">
        <v>27</v>
      </c>
      <c r="K31" s="13">
        <v>18</v>
      </c>
      <c r="L31" s="13">
        <v>0</v>
      </c>
    </row>
    <row r="32" spans="1:15" x14ac:dyDescent="0.3">
      <c r="A32" s="43">
        <v>29</v>
      </c>
      <c r="B32" s="39">
        <v>14017</v>
      </c>
      <c r="C32" s="15">
        <v>451</v>
      </c>
      <c r="D32" s="13">
        <v>48</v>
      </c>
      <c r="E32" s="14"/>
      <c r="F32" s="13">
        <v>15</v>
      </c>
      <c r="G32" s="65">
        <v>26</v>
      </c>
      <c r="H32" s="13">
        <v>26</v>
      </c>
      <c r="I32" s="14"/>
      <c r="J32" s="13">
        <v>25</v>
      </c>
      <c r="K32" s="13">
        <v>16</v>
      </c>
      <c r="L32" s="13">
        <v>1</v>
      </c>
    </row>
    <row r="33" spans="1:15" x14ac:dyDescent="0.3">
      <c r="A33" s="43">
        <v>30</v>
      </c>
      <c r="B33" s="39">
        <v>14692</v>
      </c>
      <c r="C33" s="15">
        <v>427</v>
      </c>
      <c r="D33" s="13">
        <v>50</v>
      </c>
      <c r="E33" s="14"/>
      <c r="F33" s="13">
        <v>13</v>
      </c>
      <c r="G33" s="65">
        <v>29</v>
      </c>
      <c r="H33" s="13">
        <v>28</v>
      </c>
      <c r="I33" s="14"/>
      <c r="J33" s="13">
        <v>45</v>
      </c>
      <c r="K33" s="13">
        <v>27</v>
      </c>
      <c r="L33" s="13">
        <v>0</v>
      </c>
    </row>
    <row r="34" spans="1:15" ht="15" thickBot="1" x14ac:dyDescent="0.35">
      <c r="A34" s="44">
        <v>31</v>
      </c>
      <c r="B34" s="45">
        <v>14125</v>
      </c>
      <c r="C34" s="46">
        <v>429</v>
      </c>
      <c r="D34" s="47">
        <v>44</v>
      </c>
      <c r="E34" s="14"/>
      <c r="F34" s="47">
        <v>18</v>
      </c>
      <c r="G34" s="68">
        <v>26</v>
      </c>
      <c r="H34" s="67">
        <v>26</v>
      </c>
      <c r="I34" s="14"/>
      <c r="J34" s="47">
        <v>42</v>
      </c>
      <c r="K34" s="47">
        <v>24</v>
      </c>
      <c r="L34" s="47">
        <v>0</v>
      </c>
      <c r="O34" t="s">
        <v>30</v>
      </c>
    </row>
    <row r="35" spans="1:15" ht="15" thickBot="1" x14ac:dyDescent="0.35">
      <c r="A35" s="33" t="s">
        <v>24</v>
      </c>
      <c r="B35" s="48">
        <f>SUM(B4:B34)</f>
        <v>417819</v>
      </c>
      <c r="C35" s="49">
        <f>SUM(C4:C34)</f>
        <v>14492</v>
      </c>
      <c r="D35" s="50">
        <f>SUM(D4:D34)</f>
        <v>1444</v>
      </c>
      <c r="E35" s="63"/>
      <c r="F35" s="73">
        <f>AVERAGE(F4:F34)</f>
        <v>14.419354838709678</v>
      </c>
      <c r="G35" s="74">
        <f>AVERAGE(G4:G34)</f>
        <v>25.129032258064516</v>
      </c>
      <c r="H35" s="75">
        <f>AVERAGE(H4:H34)</f>
        <v>25.29032258064516</v>
      </c>
      <c r="I35" s="51"/>
      <c r="J35" s="52">
        <f>SUM(J4:J34)</f>
        <v>1138</v>
      </c>
      <c r="K35" s="52">
        <f>SUM(K4:K34)</f>
        <v>798</v>
      </c>
      <c r="L35" s="53">
        <v>0</v>
      </c>
    </row>
    <row r="36" spans="1:15" ht="15" thickBot="1" x14ac:dyDescent="0.35">
      <c r="A36" s="17" t="s">
        <v>25</v>
      </c>
      <c r="B36" s="54">
        <f>AVERAGE(B4:B34)</f>
        <v>13478.032258064517</v>
      </c>
      <c r="C36" s="55">
        <f>AVERAGE(C4:C34)</f>
        <v>467.48387096774195</v>
      </c>
      <c r="D36" s="56">
        <f>AVERAGE(D4:D34)</f>
        <v>46.58064516129032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367.15202108963092</v>
      </c>
      <c r="C38" s="55">
        <f>C35/J35</f>
        <v>12.734622144112478</v>
      </c>
      <c r="D38" s="56">
        <f>D35/J35</f>
        <v>1.2688927943760984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27</v>
      </c>
      <c r="B41" s="60">
        <v>72340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66213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0" workbookViewId="0">
      <selection activeCell="Q35" sqref="Q35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90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3">
      <c r="A4" s="6">
        <v>1</v>
      </c>
      <c r="B4" s="37">
        <v>11716</v>
      </c>
      <c r="C4" s="38">
        <v>472</v>
      </c>
      <c r="D4" s="10">
        <v>36</v>
      </c>
      <c r="E4" s="14"/>
      <c r="F4" s="10">
        <v>13</v>
      </c>
      <c r="G4" s="70">
        <v>19</v>
      </c>
      <c r="H4" s="10">
        <v>20</v>
      </c>
      <c r="I4" s="14"/>
      <c r="J4" s="10">
        <v>39</v>
      </c>
      <c r="K4" s="10">
        <v>23</v>
      </c>
      <c r="L4" s="10">
        <v>1</v>
      </c>
    </row>
    <row r="5" spans="1:15" x14ac:dyDescent="0.3">
      <c r="A5" s="11">
        <v>2</v>
      </c>
      <c r="B5" s="39">
        <v>11878</v>
      </c>
      <c r="C5" s="40">
        <v>588</v>
      </c>
      <c r="D5" s="12">
        <v>53</v>
      </c>
      <c r="E5" s="41"/>
      <c r="F5" s="12">
        <v>12</v>
      </c>
      <c r="G5" s="71">
        <v>22</v>
      </c>
      <c r="H5" s="12">
        <v>18</v>
      </c>
      <c r="I5" s="41"/>
      <c r="J5" s="13">
        <v>62</v>
      </c>
      <c r="K5" s="13">
        <v>39</v>
      </c>
      <c r="L5" s="13">
        <v>1</v>
      </c>
    </row>
    <row r="6" spans="1:15" x14ac:dyDescent="0.3">
      <c r="A6" s="11">
        <v>3</v>
      </c>
      <c r="B6" s="39">
        <v>12461</v>
      </c>
      <c r="C6" s="40">
        <v>599</v>
      </c>
      <c r="D6" s="12">
        <v>52</v>
      </c>
      <c r="E6" s="41"/>
      <c r="F6" s="12">
        <v>12</v>
      </c>
      <c r="G6" s="64">
        <v>24</v>
      </c>
      <c r="H6" s="12">
        <v>24</v>
      </c>
      <c r="I6" s="41"/>
      <c r="J6" s="13">
        <v>105</v>
      </c>
      <c r="K6" s="13">
        <v>62</v>
      </c>
      <c r="L6" s="13">
        <v>1</v>
      </c>
    </row>
    <row r="7" spans="1:15" x14ac:dyDescent="0.3">
      <c r="A7" s="11">
        <v>4</v>
      </c>
      <c r="B7" s="39">
        <v>12004</v>
      </c>
      <c r="C7" s="40">
        <v>560</v>
      </c>
      <c r="D7" s="12">
        <v>58</v>
      </c>
      <c r="E7" s="41"/>
      <c r="F7" s="72">
        <v>14</v>
      </c>
      <c r="G7" s="64">
        <v>22</v>
      </c>
      <c r="H7" s="12">
        <v>21</v>
      </c>
      <c r="I7" s="41"/>
      <c r="J7" s="13">
        <v>121</v>
      </c>
      <c r="K7" s="13">
        <v>63</v>
      </c>
      <c r="L7" s="13">
        <v>0</v>
      </c>
    </row>
    <row r="8" spans="1:15" x14ac:dyDescent="0.3">
      <c r="A8" s="11">
        <v>5</v>
      </c>
      <c r="B8" s="39">
        <v>11218</v>
      </c>
      <c r="C8" s="40">
        <v>578</v>
      </c>
      <c r="D8" s="12">
        <v>55</v>
      </c>
      <c r="E8" s="41"/>
      <c r="F8" s="12">
        <v>13</v>
      </c>
      <c r="G8" s="64">
        <v>19</v>
      </c>
      <c r="H8" s="12">
        <v>19</v>
      </c>
      <c r="I8" s="41"/>
      <c r="J8" s="13">
        <v>63</v>
      </c>
      <c r="K8" s="13">
        <v>41</v>
      </c>
      <c r="L8" s="13">
        <v>0</v>
      </c>
    </row>
    <row r="9" spans="1:15" x14ac:dyDescent="0.3">
      <c r="A9" s="11">
        <v>6</v>
      </c>
      <c r="B9" s="39">
        <v>11801</v>
      </c>
      <c r="C9" s="40">
        <v>527</v>
      </c>
      <c r="D9" s="12">
        <v>46</v>
      </c>
      <c r="E9" s="41"/>
      <c r="F9" s="12">
        <v>12</v>
      </c>
      <c r="G9" s="64">
        <v>24</v>
      </c>
      <c r="H9" s="12">
        <v>23</v>
      </c>
      <c r="I9" s="41"/>
      <c r="J9" s="13">
        <v>73</v>
      </c>
      <c r="K9" s="13">
        <v>42</v>
      </c>
      <c r="L9" s="13">
        <v>0</v>
      </c>
    </row>
    <row r="10" spans="1:15" x14ac:dyDescent="0.3">
      <c r="A10" s="11">
        <v>7</v>
      </c>
      <c r="B10" s="39">
        <v>12082</v>
      </c>
      <c r="C10" s="40">
        <v>518</v>
      </c>
      <c r="D10" s="12">
        <v>39</v>
      </c>
      <c r="E10" s="41"/>
      <c r="F10" s="12">
        <v>14</v>
      </c>
      <c r="G10" s="64">
        <v>26</v>
      </c>
      <c r="H10" s="12">
        <v>26</v>
      </c>
      <c r="I10" s="41"/>
      <c r="J10" s="13">
        <v>62</v>
      </c>
      <c r="K10" s="13">
        <v>31</v>
      </c>
      <c r="L10" s="13">
        <v>0</v>
      </c>
    </row>
    <row r="11" spans="1:15" x14ac:dyDescent="0.3">
      <c r="A11" s="11">
        <v>8</v>
      </c>
      <c r="B11" s="39">
        <v>10917</v>
      </c>
      <c r="C11" s="40">
        <v>546</v>
      </c>
      <c r="D11" s="12">
        <v>43</v>
      </c>
      <c r="E11" s="41"/>
      <c r="F11" s="12">
        <v>14</v>
      </c>
      <c r="G11" s="64">
        <v>25</v>
      </c>
      <c r="H11" s="12">
        <v>24</v>
      </c>
      <c r="I11" s="41"/>
      <c r="J11" s="13">
        <v>47</v>
      </c>
      <c r="K11" s="13">
        <v>27</v>
      </c>
      <c r="L11" s="13">
        <v>0</v>
      </c>
    </row>
    <row r="12" spans="1:15" x14ac:dyDescent="0.3">
      <c r="A12" s="11">
        <v>9</v>
      </c>
      <c r="B12" s="39">
        <v>11654</v>
      </c>
      <c r="C12" s="40">
        <v>515</v>
      </c>
      <c r="D12" s="12">
        <v>36</v>
      </c>
      <c r="E12" s="41"/>
      <c r="F12" s="12">
        <v>12</v>
      </c>
      <c r="G12" s="64">
        <v>25</v>
      </c>
      <c r="H12" s="12">
        <v>26</v>
      </c>
      <c r="I12" s="41"/>
      <c r="J12" s="13">
        <v>36</v>
      </c>
      <c r="K12" s="13">
        <v>22</v>
      </c>
      <c r="L12" s="13">
        <v>0</v>
      </c>
    </row>
    <row r="13" spans="1:15" x14ac:dyDescent="0.3">
      <c r="A13" s="11">
        <v>10</v>
      </c>
      <c r="B13" s="39">
        <v>12828</v>
      </c>
      <c r="C13" s="40">
        <v>523</v>
      </c>
      <c r="D13" s="12">
        <v>37</v>
      </c>
      <c r="E13" s="41"/>
      <c r="F13" s="12">
        <v>13</v>
      </c>
      <c r="G13" s="64">
        <v>27</v>
      </c>
      <c r="H13" s="12">
        <v>26</v>
      </c>
      <c r="I13" s="41"/>
      <c r="J13" s="13">
        <v>39</v>
      </c>
      <c r="K13" s="13">
        <v>23</v>
      </c>
      <c r="L13" s="13">
        <v>0</v>
      </c>
      <c r="O13" t="s">
        <v>13</v>
      </c>
    </row>
    <row r="14" spans="1:15" x14ac:dyDescent="0.3">
      <c r="A14" s="11">
        <v>11</v>
      </c>
      <c r="B14" s="39">
        <v>12528</v>
      </c>
      <c r="C14" s="40">
        <v>512</v>
      </c>
      <c r="D14" s="12">
        <v>36</v>
      </c>
      <c r="E14" s="41"/>
      <c r="F14" s="12">
        <v>14</v>
      </c>
      <c r="G14" s="64">
        <v>25</v>
      </c>
      <c r="H14" s="12">
        <v>25</v>
      </c>
      <c r="I14" s="41"/>
      <c r="J14" s="13">
        <v>42</v>
      </c>
      <c r="K14" s="13">
        <v>24</v>
      </c>
      <c r="L14" s="13">
        <v>0</v>
      </c>
    </row>
    <row r="15" spans="1:15" x14ac:dyDescent="0.3">
      <c r="A15" s="11">
        <v>12</v>
      </c>
      <c r="B15" s="39">
        <v>12669</v>
      </c>
      <c r="C15" s="40">
        <v>536</v>
      </c>
      <c r="D15" s="12">
        <v>37</v>
      </c>
      <c r="E15" s="41"/>
      <c r="F15" s="12">
        <v>13</v>
      </c>
      <c r="G15" s="64">
        <v>26</v>
      </c>
      <c r="H15" s="12">
        <v>26</v>
      </c>
      <c r="I15" s="41"/>
      <c r="J15" s="13">
        <v>71</v>
      </c>
      <c r="K15" s="13">
        <v>37</v>
      </c>
      <c r="L15" s="13">
        <v>0</v>
      </c>
    </row>
    <row r="16" spans="1:15" x14ac:dyDescent="0.3">
      <c r="A16" s="11">
        <v>13</v>
      </c>
      <c r="B16" s="39">
        <v>14766</v>
      </c>
      <c r="C16" s="40">
        <v>488</v>
      </c>
      <c r="D16" s="12">
        <v>48</v>
      </c>
      <c r="E16" s="41"/>
      <c r="F16" s="12">
        <v>14</v>
      </c>
      <c r="G16" s="64">
        <v>31</v>
      </c>
      <c r="H16" s="12">
        <v>31</v>
      </c>
      <c r="I16" s="41"/>
      <c r="J16" s="13">
        <v>81</v>
      </c>
      <c r="K16" s="13">
        <v>41</v>
      </c>
      <c r="L16" s="13">
        <v>0</v>
      </c>
    </row>
    <row r="17" spans="1:15" x14ac:dyDescent="0.3">
      <c r="A17" s="11">
        <v>14</v>
      </c>
      <c r="B17" s="39">
        <v>15289</v>
      </c>
      <c r="C17" s="39">
        <v>489</v>
      </c>
      <c r="D17" s="12">
        <v>62</v>
      </c>
      <c r="E17" s="41"/>
      <c r="F17" s="12">
        <v>17</v>
      </c>
      <c r="G17" s="64">
        <v>30</v>
      </c>
      <c r="H17" s="12">
        <v>31</v>
      </c>
      <c r="I17" s="41"/>
      <c r="J17" s="13">
        <v>81</v>
      </c>
      <c r="K17" s="13">
        <v>41</v>
      </c>
      <c r="L17" s="13">
        <v>0</v>
      </c>
    </row>
    <row r="18" spans="1:15" x14ac:dyDescent="0.3">
      <c r="A18" s="11">
        <v>15</v>
      </c>
      <c r="B18" s="39">
        <v>15109</v>
      </c>
      <c r="C18" s="39">
        <v>476</v>
      </c>
      <c r="D18" s="12">
        <v>58</v>
      </c>
      <c r="E18" s="41"/>
      <c r="F18" s="12">
        <v>15</v>
      </c>
      <c r="G18" s="64">
        <v>30</v>
      </c>
      <c r="H18" s="12">
        <v>31</v>
      </c>
      <c r="I18" s="41"/>
      <c r="J18" s="13">
        <v>80</v>
      </c>
      <c r="K18" s="13">
        <v>42</v>
      </c>
      <c r="L18" s="13">
        <v>0</v>
      </c>
    </row>
    <row r="19" spans="1:15" x14ac:dyDescent="0.3">
      <c r="A19" s="11">
        <v>16</v>
      </c>
      <c r="B19" s="39">
        <v>14633</v>
      </c>
      <c r="C19" s="40">
        <v>493</v>
      </c>
      <c r="D19" s="12">
        <v>54</v>
      </c>
      <c r="E19" s="41"/>
      <c r="F19" s="12">
        <v>12</v>
      </c>
      <c r="G19" s="64">
        <v>27</v>
      </c>
      <c r="H19" s="12">
        <v>26</v>
      </c>
      <c r="I19" s="41"/>
      <c r="J19" s="13">
        <v>80</v>
      </c>
      <c r="K19" s="13">
        <v>41</v>
      </c>
      <c r="L19" s="13">
        <v>0</v>
      </c>
    </row>
    <row r="20" spans="1:15" x14ac:dyDescent="0.3">
      <c r="A20" s="11">
        <v>17</v>
      </c>
      <c r="B20" s="39">
        <v>11295</v>
      </c>
      <c r="C20" s="40">
        <v>589</v>
      </c>
      <c r="D20" s="12">
        <v>81</v>
      </c>
      <c r="E20" s="41"/>
      <c r="F20" s="12">
        <v>11</v>
      </c>
      <c r="G20" s="64">
        <v>18</v>
      </c>
      <c r="H20" s="12">
        <v>19</v>
      </c>
      <c r="I20" s="41"/>
      <c r="J20" s="13">
        <v>84</v>
      </c>
      <c r="K20" s="13">
        <v>44</v>
      </c>
      <c r="L20" s="13">
        <v>0</v>
      </c>
    </row>
    <row r="21" spans="1:15" x14ac:dyDescent="0.3">
      <c r="A21" s="11">
        <v>18</v>
      </c>
      <c r="B21" s="39">
        <v>11839</v>
      </c>
      <c r="C21" s="40">
        <v>544</v>
      </c>
      <c r="D21" s="12">
        <v>46</v>
      </c>
      <c r="E21" s="41"/>
      <c r="F21" s="12">
        <v>11</v>
      </c>
      <c r="G21" s="64">
        <v>20</v>
      </c>
      <c r="H21" s="12">
        <v>31</v>
      </c>
      <c r="I21" s="41"/>
      <c r="J21" s="13">
        <v>67</v>
      </c>
      <c r="K21" s="13">
        <v>37</v>
      </c>
      <c r="L21" s="13">
        <v>0</v>
      </c>
      <c r="O21" s="62"/>
    </row>
    <row r="22" spans="1:15" x14ac:dyDescent="0.3">
      <c r="A22" s="11">
        <v>19</v>
      </c>
      <c r="B22" s="39">
        <v>12207</v>
      </c>
      <c r="C22" s="40">
        <v>535</v>
      </c>
      <c r="D22" s="12">
        <v>41</v>
      </c>
      <c r="E22" s="41"/>
      <c r="F22" s="12">
        <v>16</v>
      </c>
      <c r="G22" s="64">
        <v>21</v>
      </c>
      <c r="H22" s="12">
        <v>31</v>
      </c>
      <c r="I22" s="41"/>
      <c r="J22" s="13">
        <v>61</v>
      </c>
      <c r="K22" s="13">
        <v>32</v>
      </c>
      <c r="L22" s="13">
        <v>0</v>
      </c>
    </row>
    <row r="23" spans="1:15" x14ac:dyDescent="0.3">
      <c r="A23" s="11">
        <v>20</v>
      </c>
      <c r="B23" s="39">
        <v>12628</v>
      </c>
      <c r="C23" s="40">
        <v>559</v>
      </c>
      <c r="D23" s="12">
        <v>44</v>
      </c>
      <c r="E23" s="41"/>
      <c r="F23" s="12">
        <v>14</v>
      </c>
      <c r="G23" s="64">
        <v>23</v>
      </c>
      <c r="H23" s="12">
        <v>11</v>
      </c>
      <c r="I23" s="41"/>
      <c r="J23" s="13">
        <v>83</v>
      </c>
      <c r="K23" s="13">
        <v>44</v>
      </c>
      <c r="L23" s="13">
        <v>0</v>
      </c>
    </row>
    <row r="24" spans="1:15" x14ac:dyDescent="0.3">
      <c r="A24" s="11">
        <v>21</v>
      </c>
      <c r="B24" s="39">
        <v>12557</v>
      </c>
      <c r="C24" s="40">
        <v>539</v>
      </c>
      <c r="D24" s="13">
        <v>47</v>
      </c>
      <c r="E24" s="14"/>
      <c r="F24" s="13">
        <v>13</v>
      </c>
      <c r="G24" s="65">
        <v>26</v>
      </c>
      <c r="H24" s="13">
        <v>27</v>
      </c>
      <c r="I24" s="14"/>
      <c r="J24" s="13">
        <v>60</v>
      </c>
      <c r="K24" s="13">
        <v>29</v>
      </c>
      <c r="L24" s="13">
        <v>0</v>
      </c>
    </row>
    <row r="25" spans="1:15" x14ac:dyDescent="0.3">
      <c r="A25" s="11">
        <v>22</v>
      </c>
      <c r="B25" s="39">
        <v>12453</v>
      </c>
      <c r="C25" s="15">
        <v>519</v>
      </c>
      <c r="D25" s="13">
        <v>36</v>
      </c>
      <c r="E25" s="14"/>
      <c r="F25" s="13">
        <v>14</v>
      </c>
      <c r="G25" s="65">
        <v>23</v>
      </c>
      <c r="H25" s="13">
        <v>23</v>
      </c>
      <c r="I25" s="14"/>
      <c r="J25" s="13">
        <v>34</v>
      </c>
      <c r="K25" s="13">
        <v>18</v>
      </c>
      <c r="L25" s="13">
        <v>0</v>
      </c>
    </row>
    <row r="26" spans="1:15" x14ac:dyDescent="0.3">
      <c r="A26" s="11">
        <v>23</v>
      </c>
      <c r="B26" s="39">
        <v>11349</v>
      </c>
      <c r="C26" s="15">
        <v>539</v>
      </c>
      <c r="D26" s="13">
        <v>36</v>
      </c>
      <c r="E26" s="14"/>
      <c r="F26" s="13">
        <v>13</v>
      </c>
      <c r="G26" s="65">
        <v>20</v>
      </c>
      <c r="H26" s="13">
        <v>20</v>
      </c>
      <c r="I26" s="14"/>
      <c r="J26" s="13">
        <v>28</v>
      </c>
      <c r="K26" s="13">
        <v>16</v>
      </c>
      <c r="L26" s="13">
        <v>0</v>
      </c>
    </row>
    <row r="27" spans="1:15" x14ac:dyDescent="0.3">
      <c r="A27" s="11">
        <v>24</v>
      </c>
      <c r="B27" s="39">
        <v>11518</v>
      </c>
      <c r="C27" s="15">
        <v>609</v>
      </c>
      <c r="D27" s="13">
        <v>37</v>
      </c>
      <c r="E27" s="14"/>
      <c r="F27" s="13">
        <v>9</v>
      </c>
      <c r="G27" s="65">
        <v>18</v>
      </c>
      <c r="H27" s="13">
        <v>18</v>
      </c>
      <c r="I27" s="14"/>
      <c r="J27" s="13">
        <v>44</v>
      </c>
      <c r="K27" s="13">
        <v>25</v>
      </c>
      <c r="L27" s="13">
        <v>0</v>
      </c>
    </row>
    <row r="28" spans="1:15" x14ac:dyDescent="0.3">
      <c r="A28" s="11">
        <v>25</v>
      </c>
      <c r="B28" s="39">
        <v>12173</v>
      </c>
      <c r="C28" s="15">
        <v>593</v>
      </c>
      <c r="D28" s="16">
        <v>37</v>
      </c>
      <c r="E28" s="42"/>
      <c r="F28" s="16">
        <v>9</v>
      </c>
      <c r="G28" s="66">
        <v>22</v>
      </c>
      <c r="H28" s="16">
        <v>23</v>
      </c>
      <c r="I28" s="42"/>
      <c r="J28" s="13">
        <v>51</v>
      </c>
      <c r="K28" s="13">
        <v>29</v>
      </c>
      <c r="L28" s="13">
        <v>0</v>
      </c>
    </row>
    <row r="29" spans="1:15" x14ac:dyDescent="0.3">
      <c r="A29" s="11">
        <v>26</v>
      </c>
      <c r="B29" s="39">
        <v>11888</v>
      </c>
      <c r="C29" s="15">
        <v>626</v>
      </c>
      <c r="D29" s="13">
        <v>40</v>
      </c>
      <c r="E29" s="14"/>
      <c r="F29" s="13">
        <v>11</v>
      </c>
      <c r="G29" s="65">
        <v>20</v>
      </c>
      <c r="H29" s="13">
        <v>19</v>
      </c>
      <c r="I29" s="14"/>
      <c r="J29" s="13">
        <v>66</v>
      </c>
      <c r="K29" s="13">
        <v>39</v>
      </c>
      <c r="L29" s="13">
        <v>0</v>
      </c>
    </row>
    <row r="30" spans="1:15" x14ac:dyDescent="0.3">
      <c r="A30" s="9">
        <v>27</v>
      </c>
      <c r="B30" s="39">
        <v>11659</v>
      </c>
      <c r="C30" s="15">
        <v>670</v>
      </c>
      <c r="D30" s="13">
        <v>48</v>
      </c>
      <c r="E30" s="14"/>
      <c r="F30" s="13">
        <v>11</v>
      </c>
      <c r="G30" s="65">
        <v>17</v>
      </c>
      <c r="H30" s="13">
        <v>17</v>
      </c>
      <c r="I30" s="14"/>
      <c r="J30" s="13">
        <v>80</v>
      </c>
      <c r="K30" s="13">
        <v>46</v>
      </c>
      <c r="L30" s="13">
        <v>0</v>
      </c>
    </row>
    <row r="31" spans="1:15" x14ac:dyDescent="0.3">
      <c r="A31" s="43">
        <v>28</v>
      </c>
      <c r="B31" s="39">
        <v>11529</v>
      </c>
      <c r="C31" s="15">
        <v>697</v>
      </c>
      <c r="D31" s="13">
        <v>47</v>
      </c>
      <c r="E31" s="14"/>
      <c r="F31" s="13">
        <v>10</v>
      </c>
      <c r="G31" s="65">
        <v>17</v>
      </c>
      <c r="H31" s="13">
        <v>17</v>
      </c>
      <c r="I31" s="14"/>
      <c r="J31" s="13">
        <v>95</v>
      </c>
      <c r="K31" s="13">
        <v>55</v>
      </c>
      <c r="L31" s="13">
        <v>0</v>
      </c>
    </row>
    <row r="32" spans="1:15" x14ac:dyDescent="0.3">
      <c r="A32" s="43">
        <v>29</v>
      </c>
      <c r="B32" s="39">
        <v>11221</v>
      </c>
      <c r="C32" s="15">
        <v>676</v>
      </c>
      <c r="D32" s="13">
        <v>48</v>
      </c>
      <c r="E32" s="14"/>
      <c r="F32" s="13">
        <v>10</v>
      </c>
      <c r="G32" s="65">
        <v>20</v>
      </c>
      <c r="H32" s="13">
        <v>19</v>
      </c>
      <c r="I32" s="14"/>
      <c r="J32" s="13">
        <v>85</v>
      </c>
      <c r="K32" s="13">
        <v>53</v>
      </c>
      <c r="L32" s="13">
        <v>0</v>
      </c>
    </row>
    <row r="33" spans="1:15" x14ac:dyDescent="0.3">
      <c r="A33" s="43">
        <v>30</v>
      </c>
      <c r="B33" s="39">
        <v>11723</v>
      </c>
      <c r="C33" s="15">
        <v>701</v>
      </c>
      <c r="D33" s="13">
        <v>53</v>
      </c>
      <c r="E33" s="14"/>
      <c r="F33" s="13">
        <v>9</v>
      </c>
      <c r="G33" s="65">
        <v>20</v>
      </c>
      <c r="H33" s="13">
        <v>20</v>
      </c>
      <c r="I33" s="14"/>
      <c r="J33" s="13">
        <v>91</v>
      </c>
      <c r="K33" s="13">
        <v>58</v>
      </c>
      <c r="L33" s="13">
        <v>1</v>
      </c>
    </row>
    <row r="34" spans="1:15" ht="15" thickBot="1" x14ac:dyDescent="0.35">
      <c r="A34" s="44">
        <v>31</v>
      </c>
      <c r="B34" s="45">
        <v>11411</v>
      </c>
      <c r="C34" s="46">
        <v>689</v>
      </c>
      <c r="D34" s="47">
        <v>42</v>
      </c>
      <c r="E34" s="14"/>
      <c r="F34" s="47"/>
      <c r="G34" s="68"/>
      <c r="H34" s="67">
        <v>16</v>
      </c>
      <c r="I34" s="14"/>
      <c r="J34" s="47">
        <v>81</v>
      </c>
      <c r="K34" s="47">
        <v>55</v>
      </c>
      <c r="L34" s="47">
        <v>1</v>
      </c>
      <c r="O34" t="s">
        <v>30</v>
      </c>
    </row>
    <row r="35" spans="1:15" ht="15" thickBot="1" x14ac:dyDescent="0.35">
      <c r="A35" s="33" t="s">
        <v>24</v>
      </c>
      <c r="B35" s="48">
        <f>SUM(B4:B34)</f>
        <v>381003</v>
      </c>
      <c r="C35" s="49">
        <f>SUM(C4:C34)</f>
        <v>17505</v>
      </c>
      <c r="D35" s="50">
        <f>SUM(D4:D34)</f>
        <v>1433</v>
      </c>
      <c r="E35" s="63"/>
      <c r="F35" s="73">
        <f>AVERAGE(F4:F34)</f>
        <v>12.5</v>
      </c>
      <c r="G35" s="74">
        <f>AVERAGE(G4:G34)</f>
        <v>22.9</v>
      </c>
      <c r="H35" s="75">
        <f>AVERAGE(H4:H34)</f>
        <v>22.838709677419356</v>
      </c>
      <c r="I35" s="51"/>
      <c r="J35" s="52">
        <f>SUM(J4:J34)</f>
        <v>2092</v>
      </c>
      <c r="K35" s="52">
        <f>SUM(K4:K34)</f>
        <v>1179</v>
      </c>
      <c r="L35" s="53">
        <f>SUM(L4:L34)</f>
        <v>5</v>
      </c>
    </row>
    <row r="36" spans="1:15" ht="15" thickBot="1" x14ac:dyDescent="0.35">
      <c r="A36" s="17" t="s">
        <v>25</v>
      </c>
      <c r="B36" s="54">
        <f>AVERAGE(B4:B34)</f>
        <v>12290.41935483871</v>
      </c>
      <c r="C36" s="55">
        <f>AVERAGE(C4:C34)</f>
        <v>564.67741935483866</v>
      </c>
      <c r="D36" s="56">
        <f>AVERAGE(D4:D34)</f>
        <v>46.225806451612904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182.12380497131932</v>
      </c>
      <c r="C38" s="55">
        <f>C35/J35</f>
        <v>8.3675908221797322</v>
      </c>
      <c r="D38" s="56">
        <f>D35/J35</f>
        <v>0.68499043977055452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42</v>
      </c>
      <c r="B41" s="60">
        <v>72431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69466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13" workbookViewId="0">
      <selection activeCell="A35" sqref="A35:XFD38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90" t="s">
        <v>44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3">
      <c r="A4" s="6">
        <v>1</v>
      </c>
      <c r="B4" s="37">
        <v>11878</v>
      </c>
      <c r="C4" s="38">
        <v>669</v>
      </c>
      <c r="D4" s="10">
        <v>51</v>
      </c>
      <c r="E4" s="14"/>
      <c r="F4" s="10">
        <v>9</v>
      </c>
      <c r="G4" s="70">
        <v>20</v>
      </c>
      <c r="H4" s="10">
        <v>20</v>
      </c>
      <c r="I4" s="14"/>
      <c r="J4" s="10">
        <v>87</v>
      </c>
      <c r="K4" s="10">
        <v>65</v>
      </c>
      <c r="L4" s="10">
        <v>1</v>
      </c>
    </row>
    <row r="5" spans="1:15" x14ac:dyDescent="0.3">
      <c r="A5" s="11">
        <v>2</v>
      </c>
      <c r="B5" s="39">
        <v>12568</v>
      </c>
      <c r="C5" s="40">
        <v>649</v>
      </c>
      <c r="D5" s="12">
        <v>58</v>
      </c>
      <c r="E5" s="41"/>
      <c r="F5" s="12">
        <v>10</v>
      </c>
      <c r="G5" s="71">
        <v>23</v>
      </c>
      <c r="H5" s="12">
        <v>34</v>
      </c>
      <c r="I5" s="41"/>
      <c r="J5" s="13">
        <v>100</v>
      </c>
      <c r="K5" s="13">
        <v>69</v>
      </c>
      <c r="L5" s="13">
        <v>1</v>
      </c>
    </row>
    <row r="6" spans="1:15" x14ac:dyDescent="0.3">
      <c r="A6" s="11">
        <v>3</v>
      </c>
      <c r="B6" s="39">
        <v>12971</v>
      </c>
      <c r="C6" s="40">
        <v>652</v>
      </c>
      <c r="D6" s="12">
        <v>66</v>
      </c>
      <c r="E6" s="41"/>
      <c r="F6" s="12">
        <v>9</v>
      </c>
      <c r="G6" s="64">
        <v>24</v>
      </c>
      <c r="H6" s="12">
        <v>23</v>
      </c>
      <c r="I6" s="41"/>
      <c r="J6" s="13">
        <v>194</v>
      </c>
      <c r="K6" s="13">
        <v>118</v>
      </c>
      <c r="L6" s="13">
        <v>2</v>
      </c>
    </row>
    <row r="7" spans="1:15" x14ac:dyDescent="0.3">
      <c r="A7" s="11">
        <v>4</v>
      </c>
      <c r="B7" s="39">
        <v>12992</v>
      </c>
      <c r="C7" s="40">
        <v>642</v>
      </c>
      <c r="D7" s="12">
        <v>61</v>
      </c>
      <c r="E7" s="41"/>
      <c r="F7" s="72">
        <v>10</v>
      </c>
      <c r="G7" s="64">
        <v>24</v>
      </c>
      <c r="H7" s="12">
        <v>25</v>
      </c>
      <c r="I7" s="41"/>
      <c r="J7" s="13">
        <v>188</v>
      </c>
      <c r="K7" s="13">
        <v>112</v>
      </c>
      <c r="L7" s="13">
        <v>2</v>
      </c>
    </row>
    <row r="8" spans="1:15" x14ac:dyDescent="0.3">
      <c r="A8" s="11">
        <v>5</v>
      </c>
      <c r="B8" s="39">
        <v>14015</v>
      </c>
      <c r="C8" s="40">
        <v>650</v>
      </c>
      <c r="D8" s="12">
        <v>59</v>
      </c>
      <c r="E8" s="41"/>
      <c r="F8" s="12">
        <v>9</v>
      </c>
      <c r="G8" s="64">
        <v>24</v>
      </c>
      <c r="H8" s="12">
        <v>24</v>
      </c>
      <c r="I8" s="41"/>
      <c r="J8" s="13">
        <v>102</v>
      </c>
      <c r="K8" s="13">
        <v>73</v>
      </c>
      <c r="L8" s="13">
        <v>2</v>
      </c>
    </row>
    <row r="9" spans="1:15" x14ac:dyDescent="0.3">
      <c r="A9" s="11">
        <v>6</v>
      </c>
      <c r="B9" s="39">
        <v>11407</v>
      </c>
      <c r="C9" s="40">
        <v>615</v>
      </c>
      <c r="D9" s="12">
        <v>57</v>
      </c>
      <c r="E9" s="41"/>
      <c r="F9" s="12">
        <v>10</v>
      </c>
      <c r="G9" s="64">
        <v>25</v>
      </c>
      <c r="H9" s="12">
        <v>26</v>
      </c>
      <c r="I9" s="41"/>
      <c r="J9" s="13">
        <v>100</v>
      </c>
      <c r="K9" s="13">
        <v>72</v>
      </c>
      <c r="L9" s="13">
        <v>0</v>
      </c>
    </row>
    <row r="10" spans="1:15" x14ac:dyDescent="0.3">
      <c r="A10" s="11">
        <v>7</v>
      </c>
      <c r="B10" s="39">
        <v>12675</v>
      </c>
      <c r="C10" s="40">
        <v>562</v>
      </c>
      <c r="D10" s="12">
        <v>51</v>
      </c>
      <c r="E10" s="41"/>
      <c r="F10" s="12">
        <v>12</v>
      </c>
      <c r="G10" s="64">
        <v>24</v>
      </c>
      <c r="H10" s="12">
        <v>24</v>
      </c>
      <c r="I10" s="41"/>
      <c r="J10" s="13">
        <v>101</v>
      </c>
      <c r="K10" s="13">
        <v>69</v>
      </c>
      <c r="L10" s="13">
        <v>0</v>
      </c>
    </row>
    <row r="11" spans="1:15" x14ac:dyDescent="0.3">
      <c r="A11" s="11">
        <v>8</v>
      </c>
      <c r="B11" s="39">
        <v>14247</v>
      </c>
      <c r="C11" s="40">
        <v>642</v>
      </c>
      <c r="D11" s="12">
        <v>49</v>
      </c>
      <c r="E11" s="41"/>
      <c r="F11" s="12">
        <v>10</v>
      </c>
      <c r="G11" s="64">
        <v>26</v>
      </c>
      <c r="H11" s="12">
        <v>26</v>
      </c>
      <c r="I11" s="41"/>
      <c r="J11" s="13">
        <v>66</v>
      </c>
      <c r="K11" s="13">
        <v>45</v>
      </c>
      <c r="L11" s="13">
        <v>0</v>
      </c>
    </row>
    <row r="12" spans="1:15" x14ac:dyDescent="0.3">
      <c r="A12" s="11">
        <v>9</v>
      </c>
      <c r="B12" s="39">
        <v>14072</v>
      </c>
      <c r="C12" s="40">
        <v>597</v>
      </c>
      <c r="D12" s="12">
        <v>53</v>
      </c>
      <c r="E12" s="41"/>
      <c r="F12" s="12">
        <v>9</v>
      </c>
      <c r="G12" s="64">
        <v>27</v>
      </c>
      <c r="H12" s="12">
        <v>27</v>
      </c>
      <c r="I12" s="41"/>
      <c r="J12" s="13">
        <v>62</v>
      </c>
      <c r="K12" s="13">
        <v>45</v>
      </c>
      <c r="L12" s="13">
        <v>0</v>
      </c>
    </row>
    <row r="13" spans="1:15" x14ac:dyDescent="0.3">
      <c r="A13" s="11">
        <v>10</v>
      </c>
      <c r="B13" s="39">
        <v>14723</v>
      </c>
      <c r="C13" s="40">
        <v>584</v>
      </c>
      <c r="D13" s="12">
        <v>61</v>
      </c>
      <c r="E13" s="41"/>
      <c r="F13" s="12">
        <v>14</v>
      </c>
      <c r="G13" s="64">
        <v>27</v>
      </c>
      <c r="H13" s="12">
        <v>26</v>
      </c>
      <c r="I13" s="41"/>
      <c r="J13" s="13">
        <v>159</v>
      </c>
      <c r="K13" s="13">
        <v>92</v>
      </c>
      <c r="L13" s="13">
        <v>2</v>
      </c>
      <c r="O13" t="s">
        <v>13</v>
      </c>
    </row>
    <row r="14" spans="1:15" x14ac:dyDescent="0.3">
      <c r="A14" s="11">
        <v>11</v>
      </c>
      <c r="B14" s="39">
        <v>14039</v>
      </c>
      <c r="C14" s="40">
        <v>653</v>
      </c>
      <c r="D14" s="12">
        <v>68</v>
      </c>
      <c r="E14" s="41"/>
      <c r="F14" s="12">
        <v>13</v>
      </c>
      <c r="G14" s="64">
        <v>23</v>
      </c>
      <c r="H14" s="12">
        <v>23</v>
      </c>
      <c r="I14" s="41"/>
      <c r="J14" s="13">
        <v>167</v>
      </c>
      <c r="K14" s="13">
        <v>94</v>
      </c>
      <c r="L14" s="13">
        <v>2</v>
      </c>
    </row>
    <row r="15" spans="1:15" x14ac:dyDescent="0.3">
      <c r="A15" s="11">
        <v>12</v>
      </c>
      <c r="B15" s="39">
        <v>13437</v>
      </c>
      <c r="C15" s="40">
        <v>613</v>
      </c>
      <c r="D15" s="12">
        <v>56</v>
      </c>
      <c r="E15" s="41"/>
      <c r="F15" s="12">
        <v>14</v>
      </c>
      <c r="G15" s="64">
        <v>25</v>
      </c>
      <c r="H15" s="12">
        <v>24</v>
      </c>
      <c r="I15" s="41"/>
      <c r="J15" s="13">
        <v>46</v>
      </c>
      <c r="K15" s="13">
        <v>32</v>
      </c>
      <c r="L15" s="13">
        <v>1</v>
      </c>
    </row>
    <row r="16" spans="1:15" x14ac:dyDescent="0.3">
      <c r="A16" s="11">
        <v>13</v>
      </c>
      <c r="B16" s="39">
        <v>10833</v>
      </c>
      <c r="C16" s="40">
        <v>552</v>
      </c>
      <c r="D16" s="12">
        <v>45</v>
      </c>
      <c r="E16" s="41"/>
      <c r="F16" s="12">
        <v>13</v>
      </c>
      <c r="G16" s="64">
        <v>25</v>
      </c>
      <c r="H16" s="12">
        <v>24</v>
      </c>
      <c r="I16" s="41"/>
      <c r="J16" s="13">
        <v>50</v>
      </c>
      <c r="K16" s="13">
        <v>35</v>
      </c>
      <c r="L16" s="13">
        <v>0</v>
      </c>
    </row>
    <row r="17" spans="1:15" x14ac:dyDescent="0.3">
      <c r="A17" s="11">
        <v>14</v>
      </c>
      <c r="B17" s="39">
        <v>15342</v>
      </c>
      <c r="C17" s="39">
        <v>572</v>
      </c>
      <c r="D17" s="12">
        <v>46</v>
      </c>
      <c r="E17" s="41"/>
      <c r="F17" s="12">
        <v>12</v>
      </c>
      <c r="G17" s="64">
        <v>26</v>
      </c>
      <c r="H17" s="12">
        <v>26</v>
      </c>
      <c r="I17" s="41"/>
      <c r="J17" s="13">
        <v>67</v>
      </c>
      <c r="K17" s="13">
        <v>43</v>
      </c>
      <c r="L17" s="13">
        <v>0</v>
      </c>
    </row>
    <row r="18" spans="1:15" x14ac:dyDescent="0.3">
      <c r="A18" s="11">
        <v>15</v>
      </c>
      <c r="B18" s="39">
        <v>14373</v>
      </c>
      <c r="C18" s="39">
        <v>593</v>
      </c>
      <c r="D18" s="12">
        <v>53</v>
      </c>
      <c r="E18" s="41"/>
      <c r="F18" s="12">
        <v>11</v>
      </c>
      <c r="G18" s="64">
        <v>25</v>
      </c>
      <c r="H18" s="12">
        <v>24</v>
      </c>
      <c r="I18" s="41"/>
      <c r="J18" s="13">
        <v>107</v>
      </c>
      <c r="K18" s="13">
        <v>65</v>
      </c>
      <c r="L18" s="13">
        <v>0</v>
      </c>
    </row>
    <row r="19" spans="1:15" x14ac:dyDescent="0.3">
      <c r="A19" s="11">
        <v>16</v>
      </c>
      <c r="B19" s="39">
        <v>14188</v>
      </c>
      <c r="C19" s="40">
        <v>642</v>
      </c>
      <c r="D19" s="12">
        <v>73</v>
      </c>
      <c r="E19" s="41"/>
      <c r="F19" s="12">
        <v>13</v>
      </c>
      <c r="G19" s="64">
        <v>24</v>
      </c>
      <c r="H19" s="12">
        <v>23</v>
      </c>
      <c r="I19" s="41"/>
      <c r="J19" s="13">
        <v>134</v>
      </c>
      <c r="K19" s="13">
        <v>82</v>
      </c>
      <c r="L19" s="13">
        <v>0</v>
      </c>
    </row>
    <row r="20" spans="1:15" x14ac:dyDescent="0.3">
      <c r="A20" s="11">
        <v>17</v>
      </c>
      <c r="B20" s="39">
        <v>12010</v>
      </c>
      <c r="C20" s="40">
        <v>693</v>
      </c>
      <c r="D20" s="12">
        <v>86</v>
      </c>
      <c r="E20" s="41"/>
      <c r="F20" s="12">
        <v>11</v>
      </c>
      <c r="G20" s="64">
        <v>17</v>
      </c>
      <c r="H20" s="12">
        <v>17</v>
      </c>
      <c r="I20" s="41"/>
      <c r="J20" s="13">
        <v>195</v>
      </c>
      <c r="K20" s="13">
        <v>111</v>
      </c>
      <c r="L20" s="13">
        <v>0</v>
      </c>
    </row>
    <row r="21" spans="1:15" x14ac:dyDescent="0.3">
      <c r="A21" s="11">
        <v>18</v>
      </c>
      <c r="B21" s="39">
        <v>11625</v>
      </c>
      <c r="C21" s="40">
        <v>689</v>
      </c>
      <c r="D21" s="12">
        <v>83</v>
      </c>
      <c r="E21" s="41"/>
      <c r="F21" s="12">
        <v>12</v>
      </c>
      <c r="G21" s="64">
        <v>17</v>
      </c>
      <c r="H21" s="12">
        <v>16</v>
      </c>
      <c r="I21" s="41"/>
      <c r="J21" s="13">
        <v>166</v>
      </c>
      <c r="K21" s="13">
        <v>95</v>
      </c>
      <c r="L21" s="13">
        <v>0</v>
      </c>
      <c r="O21" s="62"/>
    </row>
    <row r="22" spans="1:15" x14ac:dyDescent="0.3">
      <c r="A22" s="11">
        <v>19</v>
      </c>
      <c r="B22" s="39">
        <v>11430</v>
      </c>
      <c r="C22" s="40">
        <v>807</v>
      </c>
      <c r="D22" s="12">
        <v>75</v>
      </c>
      <c r="E22" s="41"/>
      <c r="F22" s="12">
        <v>10</v>
      </c>
      <c r="G22" s="64">
        <v>13</v>
      </c>
      <c r="H22" s="12">
        <v>14</v>
      </c>
      <c r="I22" s="41"/>
      <c r="J22" s="13">
        <v>166</v>
      </c>
      <c r="K22" s="13">
        <v>95</v>
      </c>
      <c r="L22" s="13">
        <v>0</v>
      </c>
    </row>
    <row r="23" spans="1:15" x14ac:dyDescent="0.3">
      <c r="A23" s="11">
        <v>20</v>
      </c>
      <c r="B23" s="39">
        <v>11457</v>
      </c>
      <c r="C23" s="40">
        <v>811</v>
      </c>
      <c r="D23" s="12">
        <v>65</v>
      </c>
      <c r="E23" s="41"/>
      <c r="F23" s="12">
        <v>10</v>
      </c>
      <c r="G23" s="64">
        <v>15</v>
      </c>
      <c r="H23" s="12">
        <v>15</v>
      </c>
      <c r="I23" s="41"/>
      <c r="J23" s="13">
        <v>65</v>
      </c>
      <c r="K23" s="13">
        <v>46</v>
      </c>
      <c r="L23" s="13">
        <v>0</v>
      </c>
    </row>
    <row r="24" spans="1:15" x14ac:dyDescent="0.3">
      <c r="A24" s="11">
        <v>21</v>
      </c>
      <c r="B24" s="39">
        <v>11986</v>
      </c>
      <c r="C24" s="40">
        <v>867</v>
      </c>
      <c r="D24" s="13">
        <v>73</v>
      </c>
      <c r="E24" s="14"/>
      <c r="F24" s="13">
        <v>9</v>
      </c>
      <c r="G24" s="65">
        <v>15</v>
      </c>
      <c r="H24" s="13">
        <v>16</v>
      </c>
      <c r="I24" s="14"/>
      <c r="J24" s="13">
        <v>146</v>
      </c>
      <c r="K24" s="13">
        <v>89</v>
      </c>
      <c r="L24" s="13">
        <v>1</v>
      </c>
    </row>
    <row r="25" spans="1:15" x14ac:dyDescent="0.3">
      <c r="A25" s="11">
        <v>22</v>
      </c>
      <c r="B25" s="39">
        <v>11683</v>
      </c>
      <c r="C25" s="15">
        <v>799</v>
      </c>
      <c r="D25" s="13">
        <v>71</v>
      </c>
      <c r="E25" s="14"/>
      <c r="F25" s="13">
        <v>9</v>
      </c>
      <c r="G25" s="65">
        <v>16</v>
      </c>
      <c r="H25" s="13">
        <v>16</v>
      </c>
      <c r="I25" s="14"/>
      <c r="J25" s="13">
        <v>73</v>
      </c>
      <c r="K25" s="13">
        <v>52</v>
      </c>
      <c r="L25" s="13">
        <v>1</v>
      </c>
    </row>
    <row r="26" spans="1:15" x14ac:dyDescent="0.3">
      <c r="A26" s="11">
        <v>23</v>
      </c>
      <c r="B26" s="89">
        <v>17770</v>
      </c>
      <c r="C26" s="88">
        <v>742</v>
      </c>
      <c r="D26" s="13">
        <v>66</v>
      </c>
      <c r="E26" s="14"/>
      <c r="F26" s="13">
        <v>13</v>
      </c>
      <c r="G26" s="65">
        <v>23</v>
      </c>
      <c r="H26" s="13">
        <v>24</v>
      </c>
      <c r="I26" s="14"/>
      <c r="J26" s="13">
        <v>81</v>
      </c>
      <c r="K26" s="13">
        <v>58</v>
      </c>
      <c r="L26" s="13">
        <v>1</v>
      </c>
    </row>
    <row r="27" spans="1:15" x14ac:dyDescent="0.3">
      <c r="A27" s="11">
        <v>24</v>
      </c>
      <c r="B27" s="39">
        <v>12893</v>
      </c>
      <c r="C27" s="15">
        <v>699</v>
      </c>
      <c r="D27" s="13">
        <v>69</v>
      </c>
      <c r="E27" s="14"/>
      <c r="F27" s="13">
        <v>9</v>
      </c>
      <c r="G27" s="65">
        <v>17</v>
      </c>
      <c r="H27" s="13">
        <v>17</v>
      </c>
      <c r="I27" s="14"/>
      <c r="J27" s="13">
        <v>157</v>
      </c>
      <c r="K27" s="13">
        <v>89</v>
      </c>
      <c r="L27" s="13">
        <v>1</v>
      </c>
    </row>
    <row r="28" spans="1:15" x14ac:dyDescent="0.3">
      <c r="A28" s="11">
        <v>25</v>
      </c>
      <c r="B28" s="39">
        <v>12967</v>
      </c>
      <c r="C28" s="15">
        <v>649</v>
      </c>
      <c r="D28" s="16">
        <v>57</v>
      </c>
      <c r="E28" s="42"/>
      <c r="F28" s="16">
        <v>12</v>
      </c>
      <c r="G28" s="66">
        <v>23</v>
      </c>
      <c r="H28" s="16">
        <v>23</v>
      </c>
      <c r="I28" s="42"/>
      <c r="J28" s="13">
        <v>181</v>
      </c>
      <c r="K28" s="13">
        <v>53</v>
      </c>
      <c r="L28" s="13">
        <v>0</v>
      </c>
    </row>
    <row r="29" spans="1:15" x14ac:dyDescent="0.3">
      <c r="A29" s="11">
        <v>26</v>
      </c>
      <c r="B29" s="39">
        <v>13372</v>
      </c>
      <c r="C29" s="15">
        <v>655</v>
      </c>
      <c r="D29" s="13">
        <v>54</v>
      </c>
      <c r="E29" s="14"/>
      <c r="F29" s="13">
        <v>13</v>
      </c>
      <c r="G29" s="65">
        <v>23</v>
      </c>
      <c r="H29" s="13">
        <v>23</v>
      </c>
      <c r="I29" s="14"/>
      <c r="J29" s="13">
        <v>87</v>
      </c>
      <c r="K29" s="13">
        <v>53</v>
      </c>
      <c r="L29" s="13">
        <v>0</v>
      </c>
    </row>
    <row r="30" spans="1:15" x14ac:dyDescent="0.3">
      <c r="A30" s="9">
        <v>27</v>
      </c>
      <c r="B30" s="39">
        <v>13480</v>
      </c>
      <c r="C30" s="15">
        <v>636</v>
      </c>
      <c r="D30" s="13">
        <v>47</v>
      </c>
      <c r="E30" s="14"/>
      <c r="F30" s="13">
        <v>14</v>
      </c>
      <c r="G30" s="65">
        <v>20</v>
      </c>
      <c r="H30" s="13">
        <v>20</v>
      </c>
      <c r="I30" s="14"/>
      <c r="J30" s="13">
        <v>77</v>
      </c>
      <c r="K30" s="13">
        <v>45</v>
      </c>
      <c r="L30" s="13">
        <v>0</v>
      </c>
    </row>
    <row r="31" spans="1:15" x14ac:dyDescent="0.3">
      <c r="A31" s="43">
        <v>28</v>
      </c>
      <c r="B31" s="39">
        <v>12629</v>
      </c>
      <c r="C31" s="15">
        <v>632</v>
      </c>
      <c r="D31" s="13">
        <v>43</v>
      </c>
      <c r="E31" s="14"/>
      <c r="F31" s="13">
        <v>14</v>
      </c>
      <c r="G31" s="65">
        <v>21</v>
      </c>
      <c r="H31" s="13">
        <v>22</v>
      </c>
      <c r="I31" s="14"/>
      <c r="J31" s="13">
        <v>93</v>
      </c>
      <c r="K31" s="13">
        <v>55</v>
      </c>
      <c r="L31" s="13">
        <v>0</v>
      </c>
    </row>
    <row r="32" spans="1:15" x14ac:dyDescent="0.3">
      <c r="A32" s="43">
        <v>29</v>
      </c>
      <c r="B32" s="39">
        <v>12409</v>
      </c>
      <c r="C32" s="15">
        <v>710</v>
      </c>
      <c r="D32" s="13">
        <v>51</v>
      </c>
      <c r="E32" s="14"/>
      <c r="F32" s="13">
        <v>13</v>
      </c>
      <c r="G32" s="65">
        <v>19</v>
      </c>
      <c r="H32" s="13">
        <v>18</v>
      </c>
      <c r="I32" s="14"/>
      <c r="J32" s="13">
        <v>114</v>
      </c>
      <c r="K32" s="13">
        <v>76</v>
      </c>
      <c r="L32" s="13">
        <v>0</v>
      </c>
    </row>
    <row r="33" spans="1:15" x14ac:dyDescent="0.3">
      <c r="A33" s="43">
        <v>30</v>
      </c>
      <c r="B33" s="39">
        <v>11994</v>
      </c>
      <c r="C33" s="15">
        <v>819</v>
      </c>
      <c r="D33" s="13">
        <v>58</v>
      </c>
      <c r="E33" s="14"/>
      <c r="F33" s="13">
        <v>13</v>
      </c>
      <c r="G33" s="65">
        <v>18</v>
      </c>
      <c r="H33" s="13">
        <v>17</v>
      </c>
      <c r="I33" s="14"/>
      <c r="J33" s="13">
        <v>114</v>
      </c>
      <c r="K33" s="13">
        <v>76</v>
      </c>
      <c r="L33" s="13">
        <v>0</v>
      </c>
    </row>
    <row r="34" spans="1:15" ht="15" thickBot="1" x14ac:dyDescent="0.35">
      <c r="A34" s="44">
        <v>31</v>
      </c>
      <c r="B34" s="45"/>
      <c r="C34" s="46"/>
      <c r="D34" s="47"/>
      <c r="E34" s="14"/>
      <c r="F34" s="47"/>
      <c r="G34" s="68"/>
      <c r="H34" s="67"/>
      <c r="I34" s="14"/>
      <c r="J34" s="47"/>
      <c r="K34" s="47"/>
      <c r="L34" s="47"/>
      <c r="O34" t="s">
        <v>30</v>
      </c>
    </row>
    <row r="35" spans="1:15" ht="15" thickBot="1" x14ac:dyDescent="0.35">
      <c r="A35" s="33" t="s">
        <v>24</v>
      </c>
      <c r="B35" s="48">
        <f>SUM(B4:B34)</f>
        <v>391465</v>
      </c>
      <c r="C35" s="49">
        <f>SUM(C4:C34)</f>
        <v>20095</v>
      </c>
      <c r="D35" s="50">
        <f>SUM(D4:D34)</f>
        <v>1805</v>
      </c>
      <c r="E35" s="63"/>
      <c r="F35" s="73">
        <f>AVERAGE(F4:F34)</f>
        <v>11.333333333333334</v>
      </c>
      <c r="G35" s="74">
        <f>AVERAGE(G4:G34)</f>
        <v>21.633333333333333</v>
      </c>
      <c r="H35" s="75">
        <f>AVERAGE(H4:H34)</f>
        <v>21.9</v>
      </c>
      <c r="I35" s="51"/>
      <c r="J35" s="52">
        <f>SUM(J4:J34)</f>
        <v>3445</v>
      </c>
      <c r="K35" s="52">
        <f>SUM(K4:K34)</f>
        <v>2104</v>
      </c>
      <c r="L35" s="53">
        <f>SUM(L4:L34)</f>
        <v>17</v>
      </c>
    </row>
    <row r="36" spans="1:15" ht="15" thickBot="1" x14ac:dyDescent="0.35">
      <c r="A36" s="17" t="s">
        <v>25</v>
      </c>
      <c r="B36" s="54">
        <f>AVERAGE(B4:B34)</f>
        <v>13048.833333333334</v>
      </c>
      <c r="C36" s="55">
        <f>AVERAGE(C4:C34)</f>
        <v>669.83333333333337</v>
      </c>
      <c r="D36" s="56">
        <f>AVERAGE(D4:D34)</f>
        <v>60.166666666666664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113.63280116110305</v>
      </c>
      <c r="C38" s="55">
        <f>C35/J35</f>
        <v>5.833091436865022</v>
      </c>
      <c r="D38" s="56">
        <f>D35/J35</f>
        <v>0.52394775036284469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42</v>
      </c>
      <c r="B41" s="60">
        <v>72516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72571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16" workbookViewId="0">
      <selection activeCell="N42" sqref="N42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5" ht="15" thickBot="1" x14ac:dyDescent="0.35">
      <c r="A1" s="90" t="s">
        <v>45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15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93" t="s">
        <v>34</v>
      </c>
      <c r="G2" s="94"/>
      <c r="H2" s="95"/>
      <c r="I2" s="21"/>
      <c r="J2" s="8" t="s">
        <v>18</v>
      </c>
      <c r="K2" s="7" t="s">
        <v>29</v>
      </c>
      <c r="L2" s="7" t="s">
        <v>19</v>
      </c>
    </row>
    <row r="3" spans="1:15" ht="15" thickBot="1" x14ac:dyDescent="0.35">
      <c r="A3" s="34"/>
      <c r="B3" s="35" t="s">
        <v>20</v>
      </c>
      <c r="C3" s="35" t="s">
        <v>21</v>
      </c>
      <c r="D3" s="61" t="s">
        <v>21</v>
      </c>
      <c r="E3" s="36"/>
      <c r="F3" s="69" t="s">
        <v>31</v>
      </c>
      <c r="G3" s="69" t="s">
        <v>32</v>
      </c>
      <c r="H3" s="69" t="s">
        <v>33</v>
      </c>
      <c r="I3" s="36"/>
      <c r="J3" s="34" t="s">
        <v>22</v>
      </c>
      <c r="K3" s="35" t="s">
        <v>23</v>
      </c>
      <c r="L3" s="35" t="s">
        <v>23</v>
      </c>
    </row>
    <row r="4" spans="1:15" x14ac:dyDescent="0.3">
      <c r="A4" s="6">
        <v>1</v>
      </c>
      <c r="B4" s="37">
        <v>12082</v>
      </c>
      <c r="C4" s="38">
        <v>832</v>
      </c>
      <c r="D4" s="10">
        <v>67</v>
      </c>
      <c r="E4" s="14"/>
      <c r="F4" s="10">
        <v>3</v>
      </c>
      <c r="G4" s="70">
        <v>20</v>
      </c>
      <c r="H4" s="10">
        <v>20</v>
      </c>
      <c r="I4" s="14"/>
      <c r="J4" s="10">
        <v>114</v>
      </c>
      <c r="K4" s="10">
        <v>76</v>
      </c>
      <c r="L4" s="10">
        <v>3</v>
      </c>
    </row>
    <row r="5" spans="1:15" x14ac:dyDescent="0.3">
      <c r="A5" s="11">
        <v>2</v>
      </c>
      <c r="B5" s="39">
        <v>12292</v>
      </c>
      <c r="C5" s="40">
        <v>742</v>
      </c>
      <c r="D5" s="12">
        <v>59</v>
      </c>
      <c r="E5" s="41"/>
      <c r="F5" s="12">
        <v>7</v>
      </c>
      <c r="G5" s="71">
        <v>22</v>
      </c>
      <c r="H5" s="12">
        <v>22</v>
      </c>
      <c r="I5" s="41"/>
      <c r="J5" s="13">
        <v>114</v>
      </c>
      <c r="K5" s="13">
        <v>76</v>
      </c>
      <c r="L5" s="13">
        <v>1</v>
      </c>
    </row>
    <row r="6" spans="1:15" x14ac:dyDescent="0.3">
      <c r="A6" s="11">
        <v>3</v>
      </c>
      <c r="B6" s="39">
        <v>11905</v>
      </c>
      <c r="C6" s="40">
        <v>683</v>
      </c>
      <c r="D6" s="12">
        <v>49</v>
      </c>
      <c r="E6" s="41"/>
      <c r="F6" s="12">
        <v>8</v>
      </c>
      <c r="G6" s="64">
        <v>20</v>
      </c>
      <c r="H6" s="12">
        <v>20</v>
      </c>
      <c r="I6" s="41"/>
      <c r="J6" s="13">
        <v>114</v>
      </c>
      <c r="K6" s="13">
        <v>76</v>
      </c>
      <c r="L6" s="13">
        <v>2</v>
      </c>
    </row>
    <row r="7" spans="1:15" x14ac:dyDescent="0.3">
      <c r="A7" s="11">
        <v>4</v>
      </c>
      <c r="B7" s="39">
        <v>11905</v>
      </c>
      <c r="C7" s="40">
        <v>706</v>
      </c>
      <c r="D7" s="12">
        <v>48</v>
      </c>
      <c r="E7" s="41"/>
      <c r="F7" s="72">
        <v>8</v>
      </c>
      <c r="G7" s="64">
        <v>19</v>
      </c>
      <c r="H7" s="12">
        <v>19</v>
      </c>
      <c r="I7" s="41"/>
      <c r="J7" s="13">
        <v>63</v>
      </c>
      <c r="K7" s="13">
        <v>41</v>
      </c>
      <c r="L7" s="13">
        <v>0</v>
      </c>
    </row>
    <row r="8" spans="1:15" x14ac:dyDescent="0.3">
      <c r="A8" s="11">
        <v>5</v>
      </c>
      <c r="B8" s="39">
        <v>12583</v>
      </c>
      <c r="C8" s="40">
        <v>715</v>
      </c>
      <c r="D8" s="12">
        <v>49</v>
      </c>
      <c r="E8" s="41"/>
      <c r="F8" s="12">
        <v>12</v>
      </c>
      <c r="G8" s="64">
        <v>21</v>
      </c>
      <c r="H8" s="12">
        <v>20</v>
      </c>
      <c r="I8" s="41"/>
      <c r="J8" s="13">
        <v>67</v>
      </c>
      <c r="K8" s="13">
        <v>50</v>
      </c>
      <c r="L8" s="13">
        <v>0</v>
      </c>
    </row>
    <row r="9" spans="1:15" x14ac:dyDescent="0.3">
      <c r="A9" s="11">
        <v>6</v>
      </c>
      <c r="B9" s="39">
        <v>11015</v>
      </c>
      <c r="C9" s="40">
        <v>702</v>
      </c>
      <c r="D9" s="12">
        <v>51</v>
      </c>
      <c r="E9" s="41"/>
      <c r="F9" s="12">
        <v>10</v>
      </c>
      <c r="G9" s="64">
        <v>15</v>
      </c>
      <c r="H9" s="12">
        <v>15</v>
      </c>
      <c r="I9" s="41"/>
      <c r="J9" s="13">
        <v>76</v>
      </c>
      <c r="K9" s="13">
        <v>57</v>
      </c>
      <c r="L9" s="13">
        <v>0</v>
      </c>
    </row>
    <row r="10" spans="1:15" x14ac:dyDescent="0.3">
      <c r="A10" s="11">
        <v>7</v>
      </c>
      <c r="B10" s="39">
        <v>11538</v>
      </c>
      <c r="C10" s="40">
        <v>746</v>
      </c>
      <c r="D10" s="12">
        <v>47</v>
      </c>
      <c r="E10" s="41"/>
      <c r="F10" s="12">
        <v>8</v>
      </c>
      <c r="G10" s="64">
        <v>16</v>
      </c>
      <c r="H10" s="12">
        <v>16</v>
      </c>
      <c r="I10" s="41"/>
      <c r="J10" s="13">
        <v>56</v>
      </c>
      <c r="K10" s="13">
        <v>37</v>
      </c>
      <c r="L10" s="13">
        <v>0</v>
      </c>
    </row>
    <row r="11" spans="1:15" x14ac:dyDescent="0.3">
      <c r="A11" s="11">
        <v>8</v>
      </c>
      <c r="B11" s="39">
        <v>11374</v>
      </c>
      <c r="C11" s="40">
        <v>743</v>
      </c>
      <c r="D11" s="12">
        <v>49</v>
      </c>
      <c r="E11" s="41"/>
      <c r="F11" s="12">
        <v>6</v>
      </c>
      <c r="G11" s="64">
        <v>16</v>
      </c>
      <c r="H11" s="12">
        <v>23</v>
      </c>
      <c r="I11" s="41"/>
      <c r="J11" s="13">
        <v>178</v>
      </c>
      <c r="K11" s="13">
        <v>94</v>
      </c>
      <c r="L11" s="13">
        <v>2</v>
      </c>
    </row>
    <row r="12" spans="1:15" x14ac:dyDescent="0.3">
      <c r="A12" s="11">
        <v>9</v>
      </c>
      <c r="B12" s="39">
        <v>11434</v>
      </c>
      <c r="C12" s="40">
        <v>943</v>
      </c>
      <c r="D12" s="12">
        <v>61</v>
      </c>
      <c r="E12" s="41"/>
      <c r="F12" s="12">
        <v>1</v>
      </c>
      <c r="G12" s="64">
        <v>13</v>
      </c>
      <c r="H12" s="12">
        <v>15</v>
      </c>
      <c r="I12" s="41"/>
      <c r="J12" s="13">
        <v>199</v>
      </c>
      <c r="K12" s="13">
        <v>108</v>
      </c>
      <c r="L12" s="13">
        <v>3</v>
      </c>
    </row>
    <row r="13" spans="1:15" x14ac:dyDescent="0.3">
      <c r="A13" s="11">
        <v>10</v>
      </c>
      <c r="B13" s="39">
        <v>11294</v>
      </c>
      <c r="C13" s="40">
        <v>1048</v>
      </c>
      <c r="D13" s="12">
        <v>60</v>
      </c>
      <c r="E13" s="41"/>
      <c r="F13" s="12">
        <v>-1</v>
      </c>
      <c r="G13" s="64">
        <v>13</v>
      </c>
      <c r="H13" s="12">
        <v>14</v>
      </c>
      <c r="I13" s="41"/>
      <c r="J13" s="13">
        <v>65</v>
      </c>
      <c r="K13" s="13">
        <v>37</v>
      </c>
      <c r="L13" s="13">
        <v>1</v>
      </c>
      <c r="O13" t="s">
        <v>13</v>
      </c>
    </row>
    <row r="14" spans="1:15" x14ac:dyDescent="0.3">
      <c r="A14" s="11">
        <v>11</v>
      </c>
      <c r="B14" s="39">
        <v>11217</v>
      </c>
      <c r="C14" s="40">
        <v>920</v>
      </c>
      <c r="D14" s="12">
        <v>48</v>
      </c>
      <c r="E14" s="41"/>
      <c r="F14" s="12">
        <v>0</v>
      </c>
      <c r="G14" s="64">
        <v>15</v>
      </c>
      <c r="H14" s="12">
        <v>14</v>
      </c>
      <c r="I14" s="41"/>
      <c r="J14" s="13">
        <v>77</v>
      </c>
      <c r="K14" s="13">
        <v>47</v>
      </c>
      <c r="L14" s="13">
        <v>1</v>
      </c>
    </row>
    <row r="15" spans="1:15" x14ac:dyDescent="0.3">
      <c r="A15" s="11">
        <v>12</v>
      </c>
      <c r="B15" s="39">
        <v>11002</v>
      </c>
      <c r="C15" s="40">
        <v>922</v>
      </c>
      <c r="D15" s="12">
        <v>47</v>
      </c>
      <c r="E15" s="41"/>
      <c r="F15" s="12">
        <v>4</v>
      </c>
      <c r="G15" s="64">
        <v>13</v>
      </c>
      <c r="H15" s="12">
        <v>14</v>
      </c>
      <c r="I15" s="41"/>
      <c r="J15" s="13">
        <v>84</v>
      </c>
      <c r="K15" s="13">
        <v>51</v>
      </c>
      <c r="L15" s="13">
        <v>0</v>
      </c>
    </row>
    <row r="16" spans="1:15" x14ac:dyDescent="0.3">
      <c r="A16" s="11">
        <v>13</v>
      </c>
      <c r="B16" s="39">
        <v>10950</v>
      </c>
      <c r="C16" s="40">
        <v>975</v>
      </c>
      <c r="D16" s="12">
        <v>55</v>
      </c>
      <c r="E16" s="41"/>
      <c r="F16" s="12">
        <v>1</v>
      </c>
      <c r="G16" s="64">
        <v>11</v>
      </c>
      <c r="H16" s="12">
        <v>11</v>
      </c>
      <c r="I16" s="41"/>
      <c r="J16" s="13">
        <v>70</v>
      </c>
      <c r="K16" s="13">
        <v>46</v>
      </c>
      <c r="L16" s="13">
        <v>0</v>
      </c>
    </row>
    <row r="17" spans="1:15" x14ac:dyDescent="0.3">
      <c r="A17" s="11">
        <v>14</v>
      </c>
      <c r="B17" s="39">
        <v>10862</v>
      </c>
      <c r="C17" s="39">
        <v>982</v>
      </c>
      <c r="D17" s="12">
        <v>56</v>
      </c>
      <c r="E17" s="41"/>
      <c r="F17" s="12">
        <v>3</v>
      </c>
      <c r="G17" s="64">
        <v>10</v>
      </c>
      <c r="H17" s="12">
        <v>10</v>
      </c>
      <c r="I17" s="41"/>
      <c r="J17" s="13">
        <v>65</v>
      </c>
      <c r="K17" s="13">
        <v>42</v>
      </c>
      <c r="L17" s="13">
        <v>0</v>
      </c>
    </row>
    <row r="18" spans="1:15" x14ac:dyDescent="0.3">
      <c r="A18" s="11">
        <v>15</v>
      </c>
      <c r="B18" s="39">
        <v>12440</v>
      </c>
      <c r="C18" s="39">
        <v>902</v>
      </c>
      <c r="D18" s="12">
        <v>57</v>
      </c>
      <c r="E18" s="41"/>
      <c r="F18" s="12">
        <v>5</v>
      </c>
      <c r="G18" s="64">
        <v>16</v>
      </c>
      <c r="H18" s="12">
        <v>15</v>
      </c>
      <c r="I18" s="41"/>
      <c r="J18" s="13">
        <v>145</v>
      </c>
      <c r="K18" s="13">
        <v>83</v>
      </c>
      <c r="L18" s="13">
        <v>2</v>
      </c>
    </row>
    <row r="19" spans="1:15" x14ac:dyDescent="0.3">
      <c r="A19" s="11">
        <v>16</v>
      </c>
      <c r="B19" s="39">
        <v>11491</v>
      </c>
      <c r="C19" s="40">
        <v>957</v>
      </c>
      <c r="D19" s="12">
        <v>64</v>
      </c>
      <c r="E19" s="41"/>
      <c r="F19" s="12">
        <v>3</v>
      </c>
      <c r="G19" s="64">
        <v>13</v>
      </c>
      <c r="H19" s="12">
        <v>12</v>
      </c>
      <c r="I19" s="41"/>
      <c r="J19" s="13">
        <v>165</v>
      </c>
      <c r="K19" s="13">
        <v>92</v>
      </c>
      <c r="L19" s="13">
        <v>1</v>
      </c>
    </row>
    <row r="20" spans="1:15" x14ac:dyDescent="0.3">
      <c r="A20" s="11">
        <v>17</v>
      </c>
      <c r="B20" s="39">
        <v>11317</v>
      </c>
      <c r="C20" s="40">
        <v>1003</v>
      </c>
      <c r="D20" s="12">
        <v>52</v>
      </c>
      <c r="E20" s="41"/>
      <c r="F20" s="12">
        <v>0</v>
      </c>
      <c r="G20" s="64">
        <v>11</v>
      </c>
      <c r="H20" s="12">
        <v>11</v>
      </c>
      <c r="I20" s="41"/>
      <c r="J20" s="13">
        <v>81</v>
      </c>
      <c r="K20" s="13">
        <v>45</v>
      </c>
      <c r="L20" s="13">
        <v>1</v>
      </c>
    </row>
    <row r="21" spans="1:15" x14ac:dyDescent="0.3">
      <c r="A21" s="11">
        <v>18</v>
      </c>
      <c r="B21" s="39">
        <v>11596</v>
      </c>
      <c r="C21" s="40">
        <v>866</v>
      </c>
      <c r="D21" s="12">
        <v>59</v>
      </c>
      <c r="E21" s="41"/>
      <c r="F21" s="12">
        <v>5</v>
      </c>
      <c r="G21" s="64">
        <v>17</v>
      </c>
      <c r="H21" s="12">
        <v>17</v>
      </c>
      <c r="I21" s="41"/>
      <c r="J21" s="13">
        <v>80</v>
      </c>
      <c r="K21" s="13">
        <v>53</v>
      </c>
      <c r="L21" s="13">
        <v>2</v>
      </c>
      <c r="O21" s="62"/>
    </row>
    <row r="22" spans="1:15" x14ac:dyDescent="0.3">
      <c r="A22" s="11">
        <v>19</v>
      </c>
      <c r="B22" s="39">
        <v>11903</v>
      </c>
      <c r="C22" s="40">
        <v>816</v>
      </c>
      <c r="D22" s="12">
        <v>55</v>
      </c>
      <c r="E22" s="41"/>
      <c r="F22" s="12">
        <v>6</v>
      </c>
      <c r="G22" s="64">
        <v>18</v>
      </c>
      <c r="H22" s="12">
        <v>17</v>
      </c>
      <c r="I22" s="41"/>
      <c r="J22" s="13">
        <v>107</v>
      </c>
      <c r="K22" s="13">
        <v>73</v>
      </c>
      <c r="L22" s="13">
        <v>1</v>
      </c>
    </row>
    <row r="23" spans="1:15" x14ac:dyDescent="0.3">
      <c r="A23" s="11">
        <v>20</v>
      </c>
      <c r="B23" s="39">
        <v>12341</v>
      </c>
      <c r="C23" s="40">
        <v>700</v>
      </c>
      <c r="D23" s="12">
        <v>52</v>
      </c>
      <c r="E23" s="41"/>
      <c r="F23" s="12">
        <v>10</v>
      </c>
      <c r="G23" s="64">
        <v>23</v>
      </c>
      <c r="H23" s="12">
        <v>22</v>
      </c>
      <c r="I23" s="41"/>
      <c r="J23" s="13">
        <v>107</v>
      </c>
      <c r="K23" s="13">
        <v>68</v>
      </c>
      <c r="L23" s="13">
        <v>0</v>
      </c>
    </row>
    <row r="24" spans="1:15" x14ac:dyDescent="0.3">
      <c r="A24" s="11">
        <v>21</v>
      </c>
      <c r="B24" s="39">
        <v>11500</v>
      </c>
      <c r="C24" s="40">
        <v>760</v>
      </c>
      <c r="D24" s="13">
        <v>60</v>
      </c>
      <c r="E24" s="14"/>
      <c r="F24" s="13">
        <v>9</v>
      </c>
      <c r="G24" s="65">
        <v>18</v>
      </c>
      <c r="H24" s="13">
        <v>17</v>
      </c>
      <c r="I24" s="14"/>
      <c r="J24" s="13">
        <v>105</v>
      </c>
      <c r="K24" s="13">
        <v>62</v>
      </c>
      <c r="L24" s="13">
        <v>0</v>
      </c>
    </row>
    <row r="25" spans="1:15" x14ac:dyDescent="0.3">
      <c r="A25" s="11">
        <v>22</v>
      </c>
      <c r="B25" s="39">
        <v>11221</v>
      </c>
      <c r="C25" s="15">
        <v>871</v>
      </c>
      <c r="D25" s="13">
        <v>71</v>
      </c>
      <c r="E25" s="14"/>
      <c r="F25" s="13">
        <v>5</v>
      </c>
      <c r="G25" s="65">
        <v>12</v>
      </c>
      <c r="H25" s="13">
        <v>12</v>
      </c>
      <c r="I25" s="14"/>
      <c r="J25" s="13">
        <v>119</v>
      </c>
      <c r="K25" s="13">
        <v>73</v>
      </c>
      <c r="L25" s="13">
        <v>1</v>
      </c>
    </row>
    <row r="26" spans="1:15" x14ac:dyDescent="0.3">
      <c r="A26" s="11">
        <v>23</v>
      </c>
      <c r="B26" s="89">
        <v>11054</v>
      </c>
      <c r="C26" s="88">
        <v>965</v>
      </c>
      <c r="D26" s="13">
        <v>77</v>
      </c>
      <c r="E26" s="14"/>
      <c r="F26" s="13">
        <v>1</v>
      </c>
      <c r="G26" s="65">
        <v>11</v>
      </c>
      <c r="H26" s="13">
        <v>11</v>
      </c>
      <c r="I26" s="14"/>
      <c r="J26" s="13">
        <v>194</v>
      </c>
      <c r="K26" s="13">
        <v>112</v>
      </c>
      <c r="L26" s="13">
        <v>1</v>
      </c>
    </row>
    <row r="27" spans="1:15" x14ac:dyDescent="0.3">
      <c r="A27" s="11">
        <v>24</v>
      </c>
      <c r="B27" s="39">
        <v>10517</v>
      </c>
      <c r="C27" s="15">
        <v>1004</v>
      </c>
      <c r="D27" s="13">
        <v>64</v>
      </c>
      <c r="E27" s="14"/>
      <c r="F27" s="13">
        <v>-2</v>
      </c>
      <c r="G27" s="65">
        <v>13</v>
      </c>
      <c r="H27" s="13">
        <v>12</v>
      </c>
      <c r="I27" s="14"/>
      <c r="J27" s="13">
        <v>79</v>
      </c>
      <c r="K27" s="13">
        <v>54</v>
      </c>
      <c r="L27" s="13">
        <v>1</v>
      </c>
    </row>
    <row r="28" spans="1:15" x14ac:dyDescent="0.3">
      <c r="A28" s="11">
        <v>25</v>
      </c>
      <c r="B28" s="39">
        <v>11104</v>
      </c>
      <c r="C28" s="15">
        <v>1148</v>
      </c>
      <c r="D28" s="16">
        <v>55</v>
      </c>
      <c r="E28" s="42"/>
      <c r="F28" s="16">
        <v>-3</v>
      </c>
      <c r="G28" s="66">
        <v>11</v>
      </c>
      <c r="H28" s="16">
        <v>10</v>
      </c>
      <c r="I28" s="42"/>
      <c r="J28" s="13">
        <v>96</v>
      </c>
      <c r="K28" s="13">
        <v>65</v>
      </c>
      <c r="L28" s="13">
        <v>0</v>
      </c>
    </row>
    <row r="29" spans="1:15" x14ac:dyDescent="0.3">
      <c r="A29" s="11">
        <v>26</v>
      </c>
      <c r="B29" s="39">
        <v>10774</v>
      </c>
      <c r="C29" s="15">
        <v>944</v>
      </c>
      <c r="D29" s="13">
        <v>49</v>
      </c>
      <c r="E29" s="14"/>
      <c r="F29" s="13">
        <v>1</v>
      </c>
      <c r="G29" s="65">
        <v>14</v>
      </c>
      <c r="H29" s="13">
        <v>14</v>
      </c>
      <c r="I29" s="14"/>
      <c r="J29" s="13">
        <v>68</v>
      </c>
      <c r="K29" s="13">
        <v>45</v>
      </c>
      <c r="L29" s="13">
        <v>0</v>
      </c>
    </row>
    <row r="30" spans="1:15" x14ac:dyDescent="0.3">
      <c r="A30" s="9">
        <v>27</v>
      </c>
      <c r="B30" s="39">
        <v>10944</v>
      </c>
      <c r="C30" s="15">
        <v>918</v>
      </c>
      <c r="D30" s="13">
        <v>47</v>
      </c>
      <c r="E30" s="14"/>
      <c r="F30" s="13">
        <v>4</v>
      </c>
      <c r="G30" s="65">
        <v>14</v>
      </c>
      <c r="H30" s="13">
        <v>15</v>
      </c>
      <c r="I30" s="14"/>
      <c r="J30" s="13">
        <v>60</v>
      </c>
      <c r="K30" s="13">
        <v>40</v>
      </c>
      <c r="L30" s="13">
        <v>0</v>
      </c>
    </row>
    <row r="31" spans="1:15" x14ac:dyDescent="0.3">
      <c r="A31" s="43">
        <v>28</v>
      </c>
      <c r="B31" s="39">
        <v>10649</v>
      </c>
      <c r="C31" s="15">
        <v>996</v>
      </c>
      <c r="D31" s="13">
        <v>50</v>
      </c>
      <c r="E31" s="14"/>
      <c r="F31" s="13">
        <v>1</v>
      </c>
      <c r="G31" s="65">
        <v>14</v>
      </c>
      <c r="H31" s="13">
        <v>15</v>
      </c>
      <c r="I31" s="14"/>
      <c r="J31" s="13">
        <v>99</v>
      </c>
      <c r="K31" s="13">
        <v>63</v>
      </c>
      <c r="L31" s="13">
        <v>0</v>
      </c>
    </row>
    <row r="32" spans="1:15" x14ac:dyDescent="0.3">
      <c r="A32" s="43">
        <v>29</v>
      </c>
      <c r="B32" s="39">
        <v>11205</v>
      </c>
      <c r="C32" s="15">
        <v>997</v>
      </c>
      <c r="D32" s="13">
        <v>54</v>
      </c>
      <c r="E32" s="14"/>
      <c r="F32" s="13">
        <v>-2</v>
      </c>
      <c r="G32" s="65">
        <v>15</v>
      </c>
      <c r="H32" s="13">
        <v>15</v>
      </c>
      <c r="I32" s="14"/>
      <c r="J32" s="13">
        <v>124</v>
      </c>
      <c r="K32" s="13">
        <v>77</v>
      </c>
      <c r="L32" s="13">
        <v>0</v>
      </c>
    </row>
    <row r="33" spans="1:15" x14ac:dyDescent="0.3">
      <c r="A33" s="43">
        <v>30</v>
      </c>
      <c r="B33" s="39">
        <v>11254</v>
      </c>
      <c r="C33" s="15">
        <v>1049</v>
      </c>
      <c r="D33" s="13">
        <v>58</v>
      </c>
      <c r="E33" s="14"/>
      <c r="F33" s="13">
        <v>-2</v>
      </c>
      <c r="G33" s="65">
        <v>16</v>
      </c>
      <c r="H33" s="13">
        <v>16</v>
      </c>
      <c r="I33" s="14"/>
      <c r="J33" s="13">
        <v>131</v>
      </c>
      <c r="K33" s="13">
        <v>77</v>
      </c>
      <c r="L33" s="13">
        <v>0</v>
      </c>
    </row>
    <row r="34" spans="1:15" ht="15" thickBot="1" x14ac:dyDescent="0.35">
      <c r="A34" s="44">
        <v>31</v>
      </c>
      <c r="B34" s="45">
        <v>10939</v>
      </c>
      <c r="C34" s="46">
        <v>939</v>
      </c>
      <c r="D34" s="47">
        <v>60</v>
      </c>
      <c r="E34" s="14"/>
      <c r="F34" s="47"/>
      <c r="G34" s="68"/>
      <c r="H34" s="67"/>
      <c r="I34" s="14"/>
      <c r="J34" s="47">
        <v>112</v>
      </c>
      <c r="K34" s="47">
        <v>71</v>
      </c>
      <c r="L34" s="47">
        <v>0</v>
      </c>
      <c r="O34" t="s">
        <v>30</v>
      </c>
    </row>
    <row r="35" spans="1:15" ht="15" thickBot="1" x14ac:dyDescent="0.35">
      <c r="A35" s="33" t="s">
        <v>24</v>
      </c>
      <c r="B35" s="48">
        <f>SUM(B4:B34)</f>
        <v>353702</v>
      </c>
      <c r="C35" s="49">
        <f>SUM(C4:C34)</f>
        <v>27494</v>
      </c>
      <c r="D35" s="50">
        <f>SUM(D4:D34)</f>
        <v>1730</v>
      </c>
      <c r="E35" s="63"/>
      <c r="F35" s="73">
        <f>AVERAGE(F4:F34)</f>
        <v>3.7</v>
      </c>
      <c r="G35" s="74">
        <f>AVERAGE(G4:G34)</f>
        <v>15.333333333333334</v>
      </c>
      <c r="H35" s="75">
        <f>AVERAGE(H4:H34)</f>
        <v>15.466666666666667</v>
      </c>
      <c r="I35" s="51"/>
      <c r="J35" s="52">
        <f>SUM(J4:J34)</f>
        <v>3214</v>
      </c>
      <c r="K35" s="52">
        <f>SUM(K4:K34)</f>
        <v>1991</v>
      </c>
      <c r="L35" s="53">
        <f>SUM(L4:L34)</f>
        <v>23</v>
      </c>
    </row>
    <row r="36" spans="1:15" ht="15" thickBot="1" x14ac:dyDescent="0.35">
      <c r="A36" s="17" t="s">
        <v>25</v>
      </c>
      <c r="B36" s="54">
        <f>AVERAGE(B4:B34)</f>
        <v>11409.741935483871</v>
      </c>
      <c r="C36" s="55">
        <f>AVERAGE(C4:C34)</f>
        <v>886.90322580645159</v>
      </c>
      <c r="D36" s="56">
        <f>AVERAGE(D4:D34)</f>
        <v>55.806451612903224</v>
      </c>
      <c r="E36" s="57"/>
      <c r="F36" s="57"/>
      <c r="G36" s="57"/>
      <c r="H36" s="57"/>
      <c r="I36" s="57"/>
      <c r="J36" s="18"/>
      <c r="K36" s="5"/>
      <c r="L36" s="5"/>
    </row>
    <row r="37" spans="1:15" ht="15" thickBot="1" x14ac:dyDescent="0.35">
      <c r="A37" s="5"/>
      <c r="B37" s="19" t="s">
        <v>26</v>
      </c>
      <c r="C37" s="19"/>
      <c r="D37" s="19"/>
      <c r="E37" s="19"/>
      <c r="F37" s="19"/>
      <c r="G37" s="19"/>
      <c r="H37" s="19"/>
      <c r="I37" s="19"/>
      <c r="J37" s="19"/>
      <c r="K37" s="5"/>
      <c r="L37" s="5"/>
    </row>
    <row r="38" spans="1:15" ht="15" thickBot="1" x14ac:dyDescent="0.35">
      <c r="A38" s="20"/>
      <c r="B38" s="54">
        <f>B35/J35</f>
        <v>110.05040448039826</v>
      </c>
      <c r="C38" s="55">
        <f>C35/J35</f>
        <v>8.5544492843808335</v>
      </c>
      <c r="D38" s="56">
        <f>D35/J35</f>
        <v>0.53827006845052894</v>
      </c>
      <c r="E38" s="57"/>
      <c r="F38" s="57"/>
      <c r="G38" s="57"/>
      <c r="H38" s="57"/>
      <c r="I38" s="57"/>
      <c r="J38" s="20"/>
      <c r="K38" s="5"/>
      <c r="L38" s="5"/>
    </row>
    <row r="39" spans="1:15" x14ac:dyDescent="0.3">
      <c r="A39" s="21"/>
      <c r="B39" s="19"/>
      <c r="C39" s="19"/>
      <c r="D39" s="19"/>
      <c r="E39" s="19"/>
      <c r="F39" s="19"/>
      <c r="G39" s="19"/>
      <c r="H39" s="19"/>
      <c r="I39" s="19"/>
      <c r="J39" s="21"/>
      <c r="K39" s="5"/>
      <c r="L39" s="5"/>
    </row>
    <row r="40" spans="1:15" x14ac:dyDescent="0.3">
      <c r="A40" s="21"/>
      <c r="B40" s="58"/>
      <c r="C40" s="58"/>
      <c r="D40" s="58"/>
      <c r="E40" s="58"/>
      <c r="F40" s="58"/>
      <c r="G40" s="58"/>
      <c r="H40" s="58"/>
      <c r="I40" s="58"/>
      <c r="J40" s="21"/>
      <c r="K40" s="5"/>
      <c r="L40" s="5"/>
    </row>
    <row r="41" spans="1:15" ht="15.6" x14ac:dyDescent="0.3">
      <c r="A41" s="59" t="s">
        <v>42</v>
      </c>
      <c r="B41" s="60">
        <v>72601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59" t="s">
        <v>28</v>
      </c>
      <c r="B42" s="60">
        <v>76701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9B550C6B4253478BA7B5E4E15C0DFD" ma:contentTypeVersion="14" ma:contentTypeDescription="Create a new document." ma:contentTypeScope="" ma:versionID="ed93aa72320e3b83b78c8d5897a46767">
  <xsd:schema xmlns:xsd="http://www.w3.org/2001/XMLSchema" xmlns:xs="http://www.w3.org/2001/XMLSchema" xmlns:p="http://schemas.microsoft.com/office/2006/metadata/properties" xmlns:ns3="c88c89d1-f62c-4afb-9a97-b09dccb358e6" xmlns:ns4="3ffce027-4b8e-442e-8959-ffe70404d785" targetNamespace="http://schemas.microsoft.com/office/2006/metadata/properties" ma:root="true" ma:fieldsID="5ef64309304452f2064c6eadc6bab372" ns3:_="" ns4:_="">
    <xsd:import namespace="c88c89d1-f62c-4afb-9a97-b09dccb358e6"/>
    <xsd:import namespace="3ffce027-4b8e-442e-8959-ffe70404d78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89d1-f62c-4afb-9a97-b09dccb358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ce027-4b8e-442e-8959-ffe70404d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6A108B-B0EA-4577-982C-3B4AF3D23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c89d1-f62c-4afb-9a97-b09dccb358e6"/>
    <ds:schemaRef ds:uri="3ffce027-4b8e-442e-8959-ffe70404d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F4EE22-3E9A-44B3-A73D-E5D8200256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0AC93E-CC48-453D-A3C3-5DE4299FA71B}">
  <ds:schemaRefs>
    <ds:schemaRef ds:uri="http://purl.org/dc/dcmitype/"/>
    <ds:schemaRef ds:uri="http://schemas.microsoft.com/office/2006/metadata/properties"/>
    <ds:schemaRef ds:uri="http://www.w3.org/XML/1998/namespace"/>
    <ds:schemaRef ds:uri="c88c89d1-f62c-4afb-9a97-b09dccb358e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3ffce027-4b8e-442e-8959-ffe70404d78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Zuzana Laugier</cp:lastModifiedBy>
  <cp:revision/>
  <dcterms:created xsi:type="dcterms:W3CDTF">2017-05-03T09:23:30Z</dcterms:created>
  <dcterms:modified xsi:type="dcterms:W3CDTF">2021-11-01T11:33:27Z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0x0101009C9B550C6B4253478BA7B5E4E15C0DFD</vt:lpwstr>
  </property>
</Properties>
</file>