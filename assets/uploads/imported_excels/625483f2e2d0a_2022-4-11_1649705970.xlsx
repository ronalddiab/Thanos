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<sst xmlns="http://schemas.openxmlformats.org/spreadsheetml/2006/main" count="315" uniqueCount="148">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</sst>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5.4944999999999995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 t="e">
        <f>Submetering!E12+Submetering!F12+Submetering!G12+Submetering!H12+Submetering!J12-Submetering!AV12</f>
        <v>#VALUE!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 t="e">
        <f>'FS Desroches Daily'!CM14</f>
        <v>#VALUE!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35499.999999999862</v>
      </c>
      <c r="F33" s="17">
        <f t="shared" ref="F33:BC33" si="0">SUM(F2:F32)</f>
        <v>38000.000000000262</v>
      </c>
      <c r="G33" s="17">
        <f t="shared" si="0"/>
        <v>33400.00000000032</v>
      </c>
      <c r="H33" s="17">
        <f t="shared" si="0"/>
        <v>19099.999999999891</v>
      </c>
      <c r="I33" s="17">
        <f t="shared" si="0"/>
        <v>25499.999999999629</v>
      </c>
      <c r="J33" s="17">
        <f t="shared" si="0"/>
        <v>21399.999999999862</v>
      </c>
      <c r="K33" s="17">
        <f t="shared" si="0"/>
        <v>412</v>
      </c>
      <c r="L33" s="17">
        <f t="shared" si="0"/>
        <v>68</v>
      </c>
      <c r="M33" s="17">
        <f t="shared" si="0"/>
        <v>12.900000000000091</v>
      </c>
      <c r="N33" s="17">
        <f t="shared" si="0"/>
        <v>4992.2999999999302</v>
      </c>
      <c r="O33" s="17">
        <f t="shared" si="0"/>
        <v>4350.0000000000227</v>
      </c>
      <c r="P33" s="17">
        <f t="shared" si="0"/>
        <v>33800.000000000269</v>
      </c>
      <c r="Q33" s="17">
        <f t="shared" si="0"/>
        <v>4370.0000000000045</v>
      </c>
      <c r="R33" s="17">
        <f t="shared" si="0"/>
        <v>5769.9999999999818</v>
      </c>
      <c r="S33" s="17">
        <f t="shared" si="0"/>
        <v>10230.000000000018</v>
      </c>
      <c r="T33" s="17">
        <f t="shared" si="0"/>
        <v>525</v>
      </c>
      <c r="U33" s="35">
        <f t="shared" si="0"/>
        <v>8070.00000000005</v>
      </c>
      <c r="V33" s="35">
        <f t="shared" si="0"/>
        <v>3120.0000000000045</v>
      </c>
      <c r="W33" s="35">
        <f t="shared" si="0"/>
        <v>2300.0000000000114</v>
      </c>
      <c r="X33" s="35">
        <f t="shared" si="0"/>
        <v>2801.98</v>
      </c>
      <c r="Y33" s="35">
        <f t="shared" si="0"/>
        <v>2229.9999999999613</v>
      </c>
      <c r="Z33" s="35">
        <f t="shared" si="0"/>
        <v>2139.9999999999864</v>
      </c>
      <c r="AA33" s="35">
        <f t="shared" si="0"/>
        <v>2139.9999999999864</v>
      </c>
      <c r="AB33" s="35">
        <f t="shared" si="0"/>
        <v>2769.9999999999818</v>
      </c>
      <c r="AC33" s="35">
        <f t="shared" si="0"/>
        <v>2530.0000000000296</v>
      </c>
      <c r="AD33" s="35">
        <f t="shared" si="0"/>
        <v>2219.9999999999704</v>
      </c>
      <c r="AE33" s="35">
        <f t="shared" si="0"/>
        <v>1680.0000000000068</v>
      </c>
      <c r="AF33" s="17">
        <f t="shared" si="0"/>
        <v>388</v>
      </c>
      <c r="AG33" s="32">
        <f t="shared" si="0"/>
        <v>500</v>
      </c>
      <c r="AH33" s="32">
        <f t="shared" si="0"/>
        <v>370.00000000000455</v>
      </c>
      <c r="AI33" s="32">
        <f t="shared" si="0"/>
        <v>569.99999999999318</v>
      </c>
      <c r="AJ33" s="32">
        <f t="shared" si="0"/>
        <v>449.99999999998863</v>
      </c>
      <c r="AK33" s="32">
        <f t="shared" si="0"/>
        <v>669.99999999995907</v>
      </c>
      <c r="AL33" s="32">
        <f t="shared" si="0"/>
        <v>503</v>
      </c>
      <c r="AM33" s="32">
        <f t="shared" si="0"/>
        <v>479.99999999998977</v>
      </c>
      <c r="AN33" s="32">
        <f t="shared" si="0"/>
        <v>530</v>
      </c>
      <c r="AO33" s="32">
        <f t="shared" si="0"/>
        <v>680.00000000000682</v>
      </c>
      <c r="AP33" s="32">
        <f t="shared" si="0"/>
        <v>507</v>
      </c>
      <c r="AQ33" s="17">
        <f t="shared" si="0"/>
        <v>523.80000000000291</v>
      </c>
      <c r="AR33" s="17">
        <f t="shared" si="0"/>
        <v>182.39999999999964</v>
      </c>
      <c r="AS33" s="17">
        <f t="shared" si="0"/>
        <v>40.5</v>
      </c>
      <c r="AT33" s="17">
        <f t="shared" si="0"/>
        <v>515.5</v>
      </c>
      <c r="AU33" s="17">
        <f t="shared" si="0"/>
        <v>3833</v>
      </c>
      <c r="AV33" s="17">
        <f t="shared" si="0"/>
        <v>8129.9999999999955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67.765500000000003</v>
      </c>
      <c r="BC33" s="17">
        <f t="shared" si="0"/>
        <v>313</v>
      </c>
    </row>
    <row r="35" spans="5:55" x14ac:dyDescent="0.25">
      <c r="E35" s="38">
        <f>E33/E37</f>
        <v>0.25624738338939362</v>
      </c>
      <c r="G35" s="29">
        <f>G33-M36</f>
        <v>28394.800000000389</v>
      </c>
      <c r="AE35" s="35">
        <f>SUM(U33:AE33)</f>
        <v>32001.979999999985</v>
      </c>
      <c r="AG35" s="32">
        <f>SUM(AG33:AP33)</f>
        <v>5259.9999999999418</v>
      </c>
    </row>
    <row r="36" spans="5:55" x14ac:dyDescent="0.25">
      <c r="G36" s="29">
        <f>G35-633*14</f>
        <v>19532.800000000389</v>
      </c>
      <c r="M36" s="29">
        <f>M33+N33</f>
        <v>5005.1999999999298</v>
      </c>
    </row>
    <row r="37" spans="5:55" x14ac:dyDescent="0.25">
      <c r="E37" s="17">
        <f>E33+F33+G33+H33+J33-633*14</f>
        <v>138538.00000000017</v>
      </c>
      <c r="G37" s="37">
        <f>M36/E37</f>
        <v>3.6128715587058595E-2</v>
      </c>
      <c r="M37" s="35">
        <f>AE35</f>
        <v>32001.979999999985</v>
      </c>
    </row>
    <row r="38" spans="5:55" x14ac:dyDescent="0.25">
      <c r="L38" s="27">
        <f>M38/E37</f>
        <v>3.7967922158540869E-2</v>
      </c>
      <c r="M38" s="29">
        <f>AG35</f>
        <v>5259.9999999999418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AT1" zoomScale="85" zoomScaleNormal="85" workbookViewId="0">
      <pane ySplit="1" topLeftCell="A2" activePane="bottomLeft" state="frozen"/>
      <selection pane="bottomLeft" activeCell="BE14" sqref="BE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/>
      <c r="D14" s="64" t="str">
        <f t="shared" si="50"/>
        <v>0</v>
      </c>
      <c r="E14" s="58"/>
      <c r="F14" s="64" t="str">
        <f t="shared" si="51"/>
        <v>0</v>
      </c>
      <c r="G14" s="58"/>
      <c r="H14" s="64" t="str">
        <f t="shared" si="52"/>
        <v>0</v>
      </c>
      <c r="I14" s="58"/>
      <c r="J14" s="64" t="str">
        <f t="shared" si="53"/>
        <v>0</v>
      </c>
      <c r="K14" s="58"/>
      <c r="L14" s="64" t="str">
        <f t="shared" si="54"/>
        <v>0</v>
      </c>
      <c r="M14" s="58"/>
      <c r="N14" s="64" t="str">
        <f t="shared" si="55"/>
        <v/>
      </c>
      <c r="O14" s="58"/>
      <c r="P14" s="67" t="str">
        <f t="shared" si="56"/>
        <v/>
      </c>
      <c r="Q14" s="58"/>
      <c r="R14" s="67" t="str">
        <f t="shared" si="57"/>
        <v/>
      </c>
      <c r="S14" s="58"/>
      <c r="T14" s="67" t="str">
        <f t="shared" si="58"/>
        <v/>
      </c>
      <c r="U14" s="58"/>
      <c r="V14" s="67" t="str">
        <f t="shared" si="59"/>
        <v/>
      </c>
      <c r="W14" s="58"/>
      <c r="X14" s="65" t="str">
        <f t="shared" si="60"/>
        <v/>
      </c>
      <c r="Y14" s="58"/>
      <c r="Z14" s="65" t="str">
        <f t="shared" si="61"/>
        <v/>
      </c>
      <c r="AA14" s="58"/>
      <c r="AB14" s="65" t="str">
        <f t="shared" si="62"/>
        <v/>
      </c>
      <c r="AC14" s="58"/>
      <c r="AD14" s="65" t="str">
        <f t="shared" si="63"/>
        <v/>
      </c>
      <c r="AE14" s="58"/>
      <c r="AF14" s="65" t="str">
        <f t="shared" si="64"/>
        <v/>
      </c>
      <c r="AG14" s="58"/>
      <c r="AH14" s="67" t="str">
        <f t="shared" si="65"/>
        <v/>
      </c>
      <c r="AI14" s="58"/>
      <c r="AJ14" s="65" t="str">
        <f t="shared" si="66"/>
        <v/>
      </c>
      <c r="AK14" s="58"/>
      <c r="AL14" s="65" t="str">
        <f t="shared" si="67"/>
        <v/>
      </c>
      <c r="AM14" s="58"/>
      <c r="AN14" s="65" t="str">
        <f t="shared" si="68"/>
        <v/>
      </c>
      <c r="AO14" s="58"/>
      <c r="AP14" s="65" t="str">
        <f t="shared" si="69"/>
        <v/>
      </c>
      <c r="AQ14" s="58"/>
      <c r="AR14" s="65" t="str">
        <f t="shared" si="70"/>
        <v/>
      </c>
      <c r="AS14" s="58"/>
      <c r="AT14" s="65" t="str">
        <f t="shared" si="71"/>
        <v/>
      </c>
      <c r="AU14" s="58"/>
      <c r="AV14" s="65" t="str">
        <f t="shared" si="72"/>
        <v/>
      </c>
      <c r="AW14" s="58"/>
      <c r="AX14" s="65" t="str">
        <f t="shared" si="73"/>
        <v/>
      </c>
      <c r="AY14" s="58"/>
      <c r="AZ14" s="65" t="str">
        <f t="shared" si="74"/>
        <v/>
      </c>
      <c r="BA14" s="58"/>
      <c r="BB14" s="65" t="str">
        <f t="shared" si="75"/>
        <v/>
      </c>
      <c r="BC14" s="58"/>
      <c r="BD14" s="65" t="str">
        <f t="shared" si="76"/>
        <v/>
      </c>
      <c r="BE14" s="59"/>
      <c r="BF14" s="67" t="str">
        <f t="shared" si="77"/>
        <v/>
      </c>
      <c r="BG14" s="60"/>
      <c r="BH14" s="65" t="str">
        <f t="shared" si="78"/>
        <v/>
      </c>
      <c r="BI14" s="60"/>
      <c r="BJ14" s="65" t="str">
        <f t="shared" si="79"/>
        <v/>
      </c>
      <c r="BK14" s="60"/>
      <c r="BL14" s="65" t="str">
        <f t="shared" si="80"/>
        <v/>
      </c>
      <c r="BM14" s="60"/>
      <c r="BN14" s="65" t="str">
        <f t="shared" si="81"/>
        <v/>
      </c>
      <c r="BO14" s="60"/>
      <c r="BP14" s="65" t="str">
        <f t="shared" si="82"/>
        <v/>
      </c>
      <c r="BQ14" s="60"/>
      <c r="BR14" s="65" t="str">
        <f t="shared" si="83"/>
        <v/>
      </c>
      <c r="BS14" s="60"/>
      <c r="BT14" s="65" t="str">
        <f t="shared" si="84"/>
        <v/>
      </c>
      <c r="BU14" s="60"/>
      <c r="BV14" s="65" t="str">
        <f t="shared" si="85"/>
        <v/>
      </c>
      <c r="BW14" s="60"/>
      <c r="BX14" s="65" t="str">
        <f t="shared" si="86"/>
        <v/>
      </c>
      <c r="BY14" s="60"/>
      <c r="BZ14" s="67" t="str">
        <f t="shared" si="87"/>
        <v/>
      </c>
      <c r="CA14" s="60"/>
      <c r="CB14" s="67" t="str">
        <f t="shared" si="88"/>
        <v/>
      </c>
      <c r="CC14" s="60"/>
      <c r="CD14" s="67" t="str">
        <f t="shared" si="89"/>
        <v/>
      </c>
      <c r="CE14" s="60"/>
      <c r="CF14" s="67" t="str">
        <f t="shared" si="90"/>
        <v/>
      </c>
      <c r="CG14" s="60"/>
      <c r="CH14" s="67" t="str">
        <f t="shared" si="91"/>
        <v/>
      </c>
      <c r="CI14" s="60"/>
      <c r="CJ14" s="67" t="str">
        <f t="shared" si="92"/>
        <v/>
      </c>
      <c r="CK14" s="60"/>
      <c r="CL14" s="64" t="str">
        <f t="shared" si="93"/>
        <v/>
      </c>
      <c r="CM14" s="65" t="e">
        <f t="shared" si="94"/>
        <v>#VALUE!</v>
      </c>
      <c r="CN14" s="62"/>
      <c r="CO14" s="62"/>
      <c r="CP14" s="68"/>
      <c r="CQ14" s="67" t="str">
        <f t="shared" si="95"/>
        <v/>
      </c>
      <c r="CR14" s="68"/>
      <c r="CS14" s="67" t="str">
        <f t="shared" si="96"/>
        <v/>
      </c>
      <c r="CT14" s="75"/>
      <c r="CU14" s="67" t="str">
        <f t="shared" si="97"/>
        <v/>
      </c>
      <c r="CV14" s="68"/>
      <c r="CW14" s="67" t="str">
        <f t="shared" si="98"/>
        <v/>
      </c>
      <c r="CX14" s="58"/>
      <c r="CY14" s="67" t="str">
        <f t="shared" si="99"/>
        <v/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8" sqref="B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-227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2022-04-11T19:38:45Z</dcterms:modified>
</cp:coreProperties>
</file>