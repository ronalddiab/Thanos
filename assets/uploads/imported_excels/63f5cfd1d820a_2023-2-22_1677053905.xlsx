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1 FS Tokyo at Otemachi_HEP_Daily\"/>
    </mc:Choice>
  </mc:AlternateContent>
  <xr:revisionPtr revIDLastSave="0" documentId="13_ncr:1_{CFFBECE7-ACE4-46A9-B52B-994B6187008F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G38" i="119" l="1"/>
  <c r="I38" i="119"/>
  <c r="H5" i="119"/>
  <c r="H7" i="119"/>
  <c r="E38" i="119" l="1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L7" i="117" l="1"/>
  <c r="L13" i="117"/>
  <c r="L19" i="117"/>
  <c r="L25" i="117"/>
  <c r="L31" i="117"/>
  <c r="L8" i="117"/>
  <c r="L20" i="117"/>
  <c r="L32" i="117"/>
  <c r="L16" i="117"/>
  <c r="L22" i="117"/>
  <c r="L3" i="117"/>
  <c r="L9" i="117"/>
  <c r="L15" i="117"/>
  <c r="L21" i="117"/>
  <c r="L27" i="117"/>
  <c r="L2" i="117"/>
  <c r="L4" i="117"/>
  <c r="L28" i="117"/>
  <c r="L5" i="117"/>
  <c r="L11" i="117"/>
  <c r="L17" i="117"/>
  <c r="L23" i="117"/>
  <c r="L29" i="117"/>
  <c r="L26" i="117"/>
  <c r="L6" i="117"/>
  <c r="L12" i="117"/>
  <c r="L18" i="117"/>
  <c r="L24" i="117"/>
  <c r="L30" i="117"/>
  <c r="L14" i="117"/>
  <c r="L10" i="117"/>
  <c r="J6" i="117" l="1"/>
  <c r="J12" i="117"/>
  <c r="J18" i="117"/>
  <c r="J24" i="117"/>
  <c r="J30" i="117"/>
  <c r="J13" i="117"/>
  <c r="J31" i="117"/>
  <c r="J9" i="117"/>
  <c r="J21" i="117"/>
  <c r="J8" i="117"/>
  <c r="J14" i="117"/>
  <c r="J20" i="117"/>
  <c r="J26" i="117"/>
  <c r="J32" i="117"/>
  <c r="J2" i="117"/>
  <c r="J4" i="117"/>
  <c r="J10" i="117"/>
  <c r="J16" i="117"/>
  <c r="J22" i="117"/>
  <c r="J28" i="117"/>
  <c r="J19" i="117"/>
  <c r="J15" i="117"/>
  <c r="J5" i="117"/>
  <c r="J11" i="117"/>
  <c r="J17" i="117"/>
  <c r="J23" i="117"/>
  <c r="J29" i="117"/>
  <c r="J7" i="117"/>
  <c r="J25" i="117"/>
  <c r="J3" i="117"/>
  <c r="J27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<sst xmlns="http://schemas.openxmlformats.org/spreadsheetml/2006/main" count="66" uniqueCount="32">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</sst>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3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4">
          <cell r="V14">
            <v>38.951611655048751</v>
          </cell>
          <cell r="AE14">
            <v>20.712584032977613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Sheet1"/>
      <sheetName val="使用量"/>
      <sheetName val="（使用量）予測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3">
          <cell r="G23">
            <v>158</v>
          </cell>
          <cell r="H23">
            <v>147</v>
          </cell>
          <cell r="I23">
            <v>146</v>
          </cell>
          <cell r="J23">
            <v>152</v>
          </cell>
          <cell r="K23">
            <v>171</v>
          </cell>
          <cell r="L23">
            <v>176</v>
          </cell>
          <cell r="M23">
            <v>167</v>
          </cell>
          <cell r="N23">
            <v>158</v>
          </cell>
          <cell r="O23">
            <v>129</v>
          </cell>
          <cell r="P23">
            <v>156</v>
          </cell>
          <cell r="Q23">
            <v>170</v>
          </cell>
          <cell r="R23">
            <v>185</v>
          </cell>
          <cell r="S23">
            <v>191</v>
          </cell>
          <cell r="T23">
            <v>181</v>
          </cell>
          <cell r="U23">
            <v>168</v>
          </cell>
          <cell r="V23">
            <v>154</v>
          </cell>
          <cell r="W23">
            <v>167</v>
          </cell>
          <cell r="X23">
            <v>165</v>
          </cell>
          <cell r="Y23">
            <v>189</v>
          </cell>
          <cell r="Z23">
            <v>176</v>
          </cell>
          <cell r="AA23">
            <v>182</v>
          </cell>
          <cell r="AB23">
            <v>172</v>
          </cell>
          <cell r="AC23">
            <v>153</v>
          </cell>
          <cell r="AD23">
            <v>148</v>
          </cell>
          <cell r="AE23">
            <v>165</v>
          </cell>
          <cell r="AF23">
            <v>188</v>
          </cell>
          <cell r="AG23">
            <v>178</v>
          </cell>
          <cell r="AH23">
            <v>180</v>
          </cell>
          <cell r="AI23">
            <v>182</v>
          </cell>
          <cell r="AJ23">
            <v>164</v>
          </cell>
          <cell r="AK23">
            <v>150</v>
          </cell>
        </row>
        <row r="41">
          <cell r="G41">
            <v>80</v>
          </cell>
          <cell r="H41">
            <v>89</v>
          </cell>
          <cell r="I41">
            <v>201</v>
          </cell>
          <cell r="J41">
            <v>103</v>
          </cell>
          <cell r="K41">
            <v>98</v>
          </cell>
          <cell r="L41">
            <v>132</v>
          </cell>
          <cell r="M41">
            <v>125</v>
          </cell>
          <cell r="N41">
            <v>111</v>
          </cell>
          <cell r="O41">
            <v>121</v>
          </cell>
          <cell r="P41">
            <v>109</v>
          </cell>
          <cell r="Q41">
            <v>124</v>
          </cell>
          <cell r="R41">
            <v>136</v>
          </cell>
          <cell r="S41">
            <v>158</v>
          </cell>
          <cell r="T41">
            <v>182</v>
          </cell>
          <cell r="U41">
            <v>126</v>
          </cell>
          <cell r="V41">
            <v>108</v>
          </cell>
          <cell r="W41">
            <v>117</v>
          </cell>
          <cell r="X41">
            <v>122</v>
          </cell>
          <cell r="Y41">
            <v>127</v>
          </cell>
          <cell r="Z41">
            <v>162</v>
          </cell>
          <cell r="AA41">
            <v>163</v>
          </cell>
          <cell r="AB41">
            <v>104</v>
          </cell>
          <cell r="AC41">
            <v>101</v>
          </cell>
          <cell r="AD41">
            <v>127</v>
          </cell>
          <cell r="AE41">
            <v>116</v>
          </cell>
          <cell r="AF41">
            <v>147</v>
          </cell>
          <cell r="AG41">
            <v>180</v>
          </cell>
          <cell r="AH41">
            <v>137</v>
          </cell>
          <cell r="AI41">
            <v>113</v>
          </cell>
          <cell r="AJ41">
            <v>115</v>
          </cell>
          <cell r="AK41">
            <v>125</v>
          </cell>
        </row>
        <row r="66">
          <cell r="G66">
            <v>7742.8693800000001</v>
          </cell>
          <cell r="H66">
            <v>7324.3359</v>
          </cell>
          <cell r="I66">
            <v>7603.3582200000001</v>
          </cell>
          <cell r="J66">
            <v>7952.1361200000001</v>
          </cell>
          <cell r="K66">
            <v>7324.3359</v>
          </cell>
          <cell r="L66">
            <v>9277.4921400000003</v>
          </cell>
          <cell r="M66">
            <v>7463.8470600000001</v>
          </cell>
          <cell r="N66">
            <v>7533.602640000001</v>
          </cell>
          <cell r="O66">
            <v>7603.3582200000001</v>
          </cell>
          <cell r="P66">
            <v>8021.8917000000001</v>
          </cell>
          <cell r="Q66">
            <v>7812.6249600000001</v>
          </cell>
          <cell r="R66">
            <v>7463.8470600000001</v>
          </cell>
          <cell r="S66">
            <v>9137.9809799999985</v>
          </cell>
          <cell r="T66">
            <v>10254.07026</v>
          </cell>
          <cell r="U66">
            <v>6696.53568</v>
          </cell>
          <cell r="V66">
            <v>7673.1138000000001</v>
          </cell>
          <cell r="W66">
            <v>7394.09148</v>
          </cell>
          <cell r="X66">
            <v>7533.602640000001</v>
          </cell>
          <cell r="Y66">
            <v>7673.1138000000001</v>
          </cell>
          <cell r="Z66">
            <v>9068.2253999999994</v>
          </cell>
          <cell r="AA66">
            <v>8789.2030800000011</v>
          </cell>
          <cell r="AB66">
            <v>7254.58032</v>
          </cell>
          <cell r="AC66">
            <v>7394.09148</v>
          </cell>
          <cell r="AD66">
            <v>7463.8470600000001</v>
          </cell>
          <cell r="AE66">
            <v>6766.29126</v>
          </cell>
          <cell r="AF66">
            <v>8091.6472800000001</v>
          </cell>
          <cell r="AG66">
            <v>8858.9586600000002</v>
          </cell>
          <cell r="AH66">
            <v>7394.09148</v>
          </cell>
          <cell r="AI66">
            <v>7254.58032</v>
          </cell>
          <cell r="AJ66">
            <v>7603.3582200000001</v>
          </cell>
          <cell r="AK66">
            <v>6626.7800999999999</v>
          </cell>
        </row>
        <row r="91">
          <cell r="G91">
            <v>9540.4853999999996</v>
          </cell>
          <cell r="H91">
            <v>8111.4821999999995</v>
          </cell>
          <cell r="I91">
            <v>18504.813599999998</v>
          </cell>
          <cell r="J91">
            <v>13787.7696</v>
          </cell>
          <cell r="K91">
            <v>8744.5884000000005</v>
          </cell>
          <cell r="L91">
            <v>8191.7663999999995</v>
          </cell>
          <cell r="M91">
            <v>19851.3102</v>
          </cell>
          <cell r="N91">
            <v>18632.045999999998</v>
          </cell>
          <cell r="O91">
            <v>16521.877199999999</v>
          </cell>
          <cell r="P91">
            <v>13058.266799999999</v>
          </cell>
          <cell r="Q91">
            <v>14852.0214</v>
          </cell>
          <cell r="R91">
            <v>9410.1972000000005</v>
          </cell>
          <cell r="S91">
            <v>11453.694</v>
          </cell>
          <cell r="T91">
            <v>13052.988599999999</v>
          </cell>
          <cell r="U91">
            <v>13329.6774</v>
          </cell>
          <cell r="V91">
            <v>9172.9560000000001</v>
          </cell>
          <cell r="W91">
            <v>10933.930199999999</v>
          </cell>
          <cell r="X91">
            <v>10851.4236</v>
          </cell>
          <cell r="Y91">
            <v>9462.4236000000001</v>
          </cell>
          <cell r="Z91">
            <v>8410.6728000000003</v>
          </cell>
          <cell r="AA91">
            <v>4387.0176000000001</v>
          </cell>
          <cell r="AB91">
            <v>9550.7639999999992</v>
          </cell>
          <cell r="AC91">
            <v>9860.7888000000003</v>
          </cell>
          <cell r="AD91">
            <v>7089.7338</v>
          </cell>
          <cell r="AE91">
            <v>5731.8473999999997</v>
          </cell>
          <cell r="AF91">
            <v>9351.0257999999994</v>
          </cell>
          <cell r="AG91">
            <v>9747.7242000000006</v>
          </cell>
          <cell r="AH91">
            <v>4104.7727999999997</v>
          </cell>
          <cell r="AI91">
            <v>3011.3519999999999</v>
          </cell>
          <cell r="AJ91">
            <v>3082.4688000000001</v>
          </cell>
          <cell r="AK91">
            <v>4887.6131999999998</v>
          </cell>
        </row>
        <row r="115">
          <cell r="G115">
            <v>2160.7284</v>
          </cell>
          <cell r="H115">
            <v>3038.8541999999998</v>
          </cell>
          <cell r="I115">
            <v>1672.0781999999999</v>
          </cell>
          <cell r="J115">
            <v>1584.0155999999999</v>
          </cell>
          <cell r="K115">
            <v>2308.2401999999997</v>
          </cell>
          <cell r="L115">
            <v>2809.6691999999998</v>
          </cell>
          <cell r="M115">
            <v>1694.58</v>
          </cell>
          <cell r="N115">
            <v>1138.98</v>
          </cell>
          <cell r="O115">
            <v>1305.6599999999999</v>
          </cell>
          <cell r="P115">
            <v>1878.4836</v>
          </cell>
          <cell r="Q115">
            <v>2291.5722000000001</v>
          </cell>
          <cell r="R115">
            <v>2474.6423999999997</v>
          </cell>
          <cell r="S115">
            <v>2452.9739999999997</v>
          </cell>
          <cell r="T115">
            <v>2806.0578</v>
          </cell>
          <cell r="U115">
            <v>3043.0211999999997</v>
          </cell>
          <cell r="V115">
            <v>2956.0697999999998</v>
          </cell>
          <cell r="W115">
            <v>3050.7995999999998</v>
          </cell>
          <cell r="X115">
            <v>3271.0949999999998</v>
          </cell>
          <cell r="Y115">
            <v>3165.2532000000001</v>
          </cell>
          <cell r="Z115">
            <v>3029.9645999999998</v>
          </cell>
          <cell r="AA115">
            <v>4775.9376000000002</v>
          </cell>
          <cell r="AB115">
            <v>2075.1659999999997</v>
          </cell>
          <cell r="AC115">
            <v>2103.2237999999998</v>
          </cell>
          <cell r="AD115">
            <v>3404.7167999999997</v>
          </cell>
          <cell r="AE115">
            <v>2968.2930000000001</v>
          </cell>
          <cell r="AF115">
            <v>3909.4793999999997</v>
          </cell>
          <cell r="AG115">
            <v>3910.3127999999997</v>
          </cell>
          <cell r="AH115">
            <v>3831.1397999999999</v>
          </cell>
          <cell r="AI115">
            <v>5852.9682000000003</v>
          </cell>
          <cell r="AJ115">
            <v>4289.5097999999998</v>
          </cell>
          <cell r="AK115">
            <v>4195.8912</v>
          </cell>
        </row>
        <row r="147">
          <cell r="G147">
            <v>11991</v>
          </cell>
          <cell r="H147">
            <v>12290</v>
          </cell>
          <cell r="I147">
            <v>12071</v>
          </cell>
          <cell r="J147">
            <v>12297</v>
          </cell>
          <cell r="K147">
            <v>12432</v>
          </cell>
          <cell r="L147">
            <v>13094</v>
          </cell>
          <cell r="M147">
            <v>12884</v>
          </cell>
          <cell r="N147">
            <v>12732</v>
          </cell>
          <cell r="O147">
            <v>12558</v>
          </cell>
          <cell r="P147">
            <v>12688</v>
          </cell>
          <cell r="Q147">
            <v>12882</v>
          </cell>
          <cell r="R147">
            <v>13442</v>
          </cell>
          <cell r="S147">
            <v>14223</v>
          </cell>
          <cell r="T147">
            <v>13767</v>
          </cell>
          <cell r="U147">
            <v>13016</v>
          </cell>
          <cell r="V147">
            <v>12709</v>
          </cell>
          <cell r="W147">
            <v>12813</v>
          </cell>
          <cell r="X147">
            <v>12722</v>
          </cell>
          <cell r="Y147">
            <v>12952</v>
          </cell>
          <cell r="Z147">
            <v>13615</v>
          </cell>
          <cell r="AA147">
            <v>13714</v>
          </cell>
          <cell r="AB147">
            <v>12659</v>
          </cell>
          <cell r="AC147">
            <v>12304</v>
          </cell>
          <cell r="AD147">
            <v>11910</v>
          </cell>
          <cell r="AE147">
            <v>12475</v>
          </cell>
          <cell r="AF147">
            <v>12806</v>
          </cell>
          <cell r="AG147">
            <v>13116</v>
          </cell>
          <cell r="AH147">
            <v>12978</v>
          </cell>
          <cell r="AI147">
            <v>12563</v>
          </cell>
          <cell r="AJ147">
            <v>12421</v>
          </cell>
          <cell r="AK147">
            <v>12572</v>
          </cell>
        </row>
      </sheetData>
      <sheetData sheetId="7">
        <row r="3">
          <cell r="G3">
            <v>22</v>
          </cell>
        </row>
        <row r="23">
          <cell r="M23">
            <v>102.21813003095968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29">
          <cell r="C29">
            <v>413.64420000000001</v>
          </cell>
        </row>
      </sheetData>
      <sheetData sheetId="39">
        <row r="29">
          <cell r="C29">
            <v>413.64420000000001</v>
          </cell>
        </row>
      </sheetData>
      <sheetData sheetId="40">
        <row r="29">
          <cell r="C29">
            <v>413.08859999999999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10" workbookViewId="0">
      <selection activeCell="P8" sqref="P8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3</v>
      </c>
      <c r="D2" s="7">
        <v>2021</v>
      </c>
      <c r="E2" s="9">
        <f>'Otemachi Daily'!D5</f>
        <v>11991</v>
      </c>
      <c r="F2" s="34">
        <f>[2]見込!$G$3</f>
        <v>22</v>
      </c>
      <c r="G2" s="9">
        <f>'Otemachi Daily'!F5</f>
        <v>158</v>
      </c>
      <c r="H2" s="34">
        <f>[2]見込!$M$23</f>
        <v>102.21813003095968</v>
      </c>
      <c r="I2" s="9">
        <f>'Otemachi Daily'!H5</f>
        <v>2573.7284</v>
      </c>
      <c r="J2" s="34">
        <f>[1]Sheet1!$V$14</f>
        <v>38.951611655048751</v>
      </c>
      <c r="K2" s="9">
        <f>'Otemachi Daily'!J5</f>
        <v>17283.354780000001</v>
      </c>
      <c r="L2" s="34">
        <f>[1]Sheet1!$AE$14</f>
        <v>20.712584032977613</v>
      </c>
      <c r="M2" s="9">
        <f>'Otemachi Daily'!L5</f>
        <v>80</v>
      </c>
      <c r="N2" s="34">
        <v>741</v>
      </c>
      <c r="O2" s="9">
        <f>'Otemachi Daily'!M5</f>
        <v>15</v>
      </c>
      <c r="P2" s="9">
        <f>'Otemachi Daily'!N5</f>
        <v>27</v>
      </c>
    </row>
    <row r="3" spans="1:16" ht="15">
      <c r="A3" s="6" t="s">
        <v>22</v>
      </c>
      <c r="B3" s="7">
        <f>B2+1</f>
        <v>2</v>
      </c>
      <c r="C3" s="8">
        <v>3</v>
      </c>
      <c r="D3" s="7">
        <v>2021</v>
      </c>
      <c r="E3" s="9">
        <f>'Otemachi Daily'!D6</f>
        <v>12290</v>
      </c>
      <c r="F3" s="34">
        <f>[2]見込!$G$3</f>
        <v>22</v>
      </c>
      <c r="G3" s="9">
        <f>'Otemachi Daily'!F6</f>
        <v>147</v>
      </c>
      <c r="H3" s="34">
        <f>[2]見込!$M$23</f>
        <v>102.21813003095968</v>
      </c>
      <c r="I3" s="9">
        <f>'Otemachi Daily'!H6</f>
        <v>3451.8541999999998</v>
      </c>
      <c r="J3" s="34">
        <f>[1]Sheet1!$V$14</f>
        <v>38.951611655048751</v>
      </c>
      <c r="K3" s="9">
        <f>'Otemachi Daily'!J6</f>
        <v>15435.8181</v>
      </c>
      <c r="L3" s="34">
        <f>[1]Sheet1!$AE$14</f>
        <v>20.712584032977613</v>
      </c>
      <c r="M3" s="9">
        <f>'Otemachi Daily'!L6</f>
        <v>89</v>
      </c>
      <c r="N3" s="34">
        <v>741</v>
      </c>
      <c r="O3" s="9">
        <f>'Otemachi Daily'!M6</f>
        <v>20</v>
      </c>
      <c r="P3" s="9">
        <f>'Otemachi Daily'!N6</f>
        <v>29</v>
      </c>
    </row>
    <row r="4" spans="1:16" ht="15">
      <c r="A4" s="6" t="s">
        <v>22</v>
      </c>
      <c r="B4" s="7">
        <f t="shared" ref="B4:B32" si="0">B3+1</f>
        <v>3</v>
      </c>
      <c r="C4" s="8">
        <v>3</v>
      </c>
      <c r="D4" s="7">
        <v>2021</v>
      </c>
      <c r="E4" s="9">
        <f>'Otemachi Daily'!D7</f>
        <v>12071</v>
      </c>
      <c r="F4" s="34">
        <f>[2]見込!$G$3</f>
        <v>22</v>
      </c>
      <c r="G4" s="9">
        <f>'Otemachi Daily'!F7</f>
        <v>146</v>
      </c>
      <c r="H4" s="34">
        <f>[2]見込!$M$23</f>
        <v>102.21813003095968</v>
      </c>
      <c r="I4" s="9">
        <f>'Otemachi Daily'!H7</f>
        <v>2085.0781999999999</v>
      </c>
      <c r="J4" s="34">
        <f>[1]Sheet1!$V$14</f>
        <v>38.951611655048751</v>
      </c>
      <c r="K4" s="9">
        <f>'Otemachi Daily'!J7</f>
        <v>26108.171819999996</v>
      </c>
      <c r="L4" s="34">
        <f>[1]Sheet1!$AE$14</f>
        <v>20.712584032977613</v>
      </c>
      <c r="M4" s="9">
        <f>'Otemachi Daily'!L7</f>
        <v>201</v>
      </c>
      <c r="N4" s="34">
        <v>741</v>
      </c>
      <c r="O4" s="9">
        <f>'Otemachi Daily'!M7</f>
        <v>18</v>
      </c>
      <c r="P4" s="9">
        <f>'Otemachi Daily'!N7</f>
        <v>33</v>
      </c>
    </row>
    <row r="5" spans="1:16" ht="15">
      <c r="A5" s="6" t="s">
        <v>22</v>
      </c>
      <c r="B5" s="7">
        <f t="shared" si="0"/>
        <v>4</v>
      </c>
      <c r="C5" s="8">
        <v>3</v>
      </c>
      <c r="D5" s="7">
        <v>2021</v>
      </c>
      <c r="E5" s="9">
        <f>'Otemachi Daily'!D8</f>
        <v>12297</v>
      </c>
      <c r="F5" s="34">
        <f>[2]見込!$G$3</f>
        <v>22</v>
      </c>
      <c r="G5" s="9">
        <f>'Otemachi Daily'!F8</f>
        <v>152</v>
      </c>
      <c r="H5" s="34">
        <f>[2]見込!$M$23</f>
        <v>102.21813003095968</v>
      </c>
      <c r="I5" s="9">
        <f>'Otemachi Daily'!H8</f>
        <v>1996.0155999999999</v>
      </c>
      <c r="J5" s="34">
        <f>[1]Sheet1!$V$14</f>
        <v>38.951611655048751</v>
      </c>
      <c r="K5" s="9">
        <f>'Otemachi Daily'!J8</f>
        <v>21739.905719999999</v>
      </c>
      <c r="L5" s="34">
        <f>[1]Sheet1!$AE$14</f>
        <v>20.712584032977613</v>
      </c>
      <c r="M5" s="9">
        <f>'Otemachi Daily'!L8</f>
        <v>103</v>
      </c>
      <c r="N5" s="34">
        <v>741</v>
      </c>
      <c r="O5" s="9">
        <f>'Otemachi Daily'!M8</f>
        <v>20</v>
      </c>
      <c r="P5" s="9">
        <f>'Otemachi Daily'!N8</f>
        <v>35</v>
      </c>
    </row>
    <row r="6" spans="1:16" ht="15">
      <c r="A6" s="6" t="s">
        <v>22</v>
      </c>
      <c r="B6" s="7">
        <f t="shared" si="0"/>
        <v>5</v>
      </c>
      <c r="C6" s="8">
        <v>3</v>
      </c>
      <c r="D6" s="7">
        <v>2021</v>
      </c>
      <c r="E6" s="9">
        <f>'Otemachi Daily'!D9</f>
        <v>12432</v>
      </c>
      <c r="F6" s="34">
        <f>[2]見込!$G$3</f>
        <v>22</v>
      </c>
      <c r="G6" s="9">
        <f>'Otemachi Daily'!F9</f>
        <v>171</v>
      </c>
      <c r="H6" s="34">
        <f>[2]見込!$M$23</f>
        <v>102.21813003095968</v>
      </c>
      <c r="I6" s="9">
        <f>'Otemachi Daily'!H9</f>
        <v>2721.2401999999997</v>
      </c>
      <c r="J6" s="34">
        <f>[1]Sheet1!$V$14</f>
        <v>38.951611655048751</v>
      </c>
      <c r="K6" s="9">
        <f>'Otemachi Daily'!J9</f>
        <v>16068.924300000001</v>
      </c>
      <c r="L6" s="34">
        <f>[1]Sheet1!$AE$14</f>
        <v>20.712584032977613</v>
      </c>
      <c r="M6" s="9">
        <f>'Otemachi Daily'!L9</f>
        <v>98</v>
      </c>
      <c r="N6" s="34">
        <v>741</v>
      </c>
      <c r="O6" s="9">
        <f>'Otemachi Daily'!M9</f>
        <v>22</v>
      </c>
      <c r="P6" s="9">
        <f>'Otemachi Daily'!N9</f>
        <v>10</v>
      </c>
    </row>
    <row r="7" spans="1:16" ht="15">
      <c r="A7" s="6" t="s">
        <v>22</v>
      </c>
      <c r="B7" s="7">
        <f t="shared" si="0"/>
        <v>6</v>
      </c>
      <c r="C7" s="8">
        <v>3</v>
      </c>
      <c r="D7" s="7">
        <v>2021</v>
      </c>
      <c r="E7" s="9">
        <f>'Otemachi Daily'!D10</f>
        <v>13094</v>
      </c>
      <c r="F7" s="34">
        <f>[2]見込!$G$3</f>
        <v>22</v>
      </c>
      <c r="G7" s="9">
        <f>'Otemachi Daily'!F10</f>
        <v>176</v>
      </c>
      <c r="H7" s="34">
        <f>[2]見込!$M$23</f>
        <v>102.21813003095968</v>
      </c>
      <c r="I7" s="9">
        <f>'Otemachi Daily'!H10</f>
        <v>3222.6691999999998</v>
      </c>
      <c r="J7" s="34">
        <f>[1]Sheet1!$V$14</f>
        <v>38.951611655048751</v>
      </c>
      <c r="K7" s="9">
        <f>'Otemachi Daily'!J10</f>
        <v>17469.258539999999</v>
      </c>
      <c r="L7" s="34">
        <f>[1]Sheet1!$AE$14</f>
        <v>20.712584032977613</v>
      </c>
      <c r="M7" s="9">
        <f>'Otemachi Daily'!L10</f>
        <v>132</v>
      </c>
      <c r="N7" s="34">
        <v>741</v>
      </c>
      <c r="O7" s="9">
        <f>'Otemachi Daily'!M10</f>
        <v>57</v>
      </c>
      <c r="P7" s="9">
        <f>'Otemachi Daily'!N10</f>
        <v>106</v>
      </c>
    </row>
    <row r="8" spans="1:16" ht="15">
      <c r="A8" s="6" t="s">
        <v>22</v>
      </c>
      <c r="B8" s="7">
        <f t="shared" si="0"/>
        <v>7</v>
      </c>
      <c r="C8" s="8">
        <v>3</v>
      </c>
      <c r="D8" s="7">
        <v>2021</v>
      </c>
      <c r="E8" s="9">
        <f>'Otemachi Daily'!D11</f>
        <v>12884</v>
      </c>
      <c r="F8" s="34">
        <f>[2]見込!$G$3</f>
        <v>22</v>
      </c>
      <c r="G8" s="9">
        <f>'Otemachi Daily'!F11</f>
        <v>167</v>
      </c>
      <c r="H8" s="34">
        <f>[2]見込!$M$23</f>
        <v>102.21813003095968</v>
      </c>
      <c r="I8" s="9">
        <f>'Otemachi Daily'!H11</f>
        <v>2107.58</v>
      </c>
      <c r="J8" s="34">
        <f>[1]Sheet1!$V$14</f>
        <v>38.951611655048751</v>
      </c>
      <c r="K8" s="9">
        <f>'Otemachi Daily'!J11</f>
        <v>27315.15726</v>
      </c>
      <c r="L8" s="34">
        <f>[1]Sheet1!$AE$14</f>
        <v>20.712584032977613</v>
      </c>
      <c r="M8" s="9">
        <f>'Otemachi Daily'!L11</f>
        <v>125</v>
      </c>
      <c r="N8" s="34">
        <v>741</v>
      </c>
      <c r="O8" s="9">
        <f>'Otemachi Daily'!M11</f>
        <v>22</v>
      </c>
      <c r="P8" s="9">
        <f>'Otemachi Daily'!N11</f>
        <v>42</v>
      </c>
    </row>
    <row r="9" spans="1:16" ht="15">
      <c r="A9" s="6" t="s">
        <v>22</v>
      </c>
      <c r="B9" s="7">
        <f t="shared" si="0"/>
        <v>8</v>
      </c>
      <c r="C9" s="8">
        <v>3</v>
      </c>
      <c r="D9" s="7">
        <v>2021</v>
      </c>
      <c r="E9" s="9">
        <f>'Otemachi Daily'!D12</f>
        <v>12732</v>
      </c>
      <c r="F9" s="34">
        <f>[2]見込!$G$3</f>
        <v>22</v>
      </c>
      <c r="G9" s="9">
        <f>'Otemachi Daily'!F12</f>
        <v>158</v>
      </c>
      <c r="H9" s="34">
        <f>[2]見込!$M$23</f>
        <v>102.21813003095968</v>
      </c>
      <c r="I9" s="9">
        <f>'Otemachi Daily'!H12</f>
        <v>1551.98</v>
      </c>
      <c r="J9" s="34">
        <f>[1]Sheet1!$V$14</f>
        <v>38.951611655048751</v>
      </c>
      <c r="K9" s="9">
        <f>'Otemachi Daily'!J12</f>
        <v>26165.648639999999</v>
      </c>
      <c r="L9" s="34">
        <f>[1]Sheet1!$AE$14</f>
        <v>20.712584032977613</v>
      </c>
      <c r="M9" s="9">
        <f>'Otemachi Daily'!L12</f>
        <v>111</v>
      </c>
      <c r="N9" s="34">
        <v>741</v>
      </c>
      <c r="O9" s="9">
        <f>'Otemachi Daily'!M12</f>
        <v>24</v>
      </c>
      <c r="P9" s="9">
        <f>'Otemachi Daily'!N12</f>
        <v>40</v>
      </c>
    </row>
    <row r="10" spans="1:16" ht="15">
      <c r="A10" s="6" t="s">
        <v>22</v>
      </c>
      <c r="B10" s="7">
        <f t="shared" si="0"/>
        <v>9</v>
      </c>
      <c r="C10" s="8">
        <v>3</v>
      </c>
      <c r="D10" s="7">
        <v>2021</v>
      </c>
      <c r="E10" s="9">
        <f>'Otemachi Daily'!D13</f>
        <v>12558</v>
      </c>
      <c r="F10" s="34">
        <f>[2]見込!$G$3</f>
        <v>22</v>
      </c>
      <c r="G10" s="9">
        <f>'Otemachi Daily'!F13</f>
        <v>129</v>
      </c>
      <c r="H10" s="34">
        <f>[2]見込!$M$23</f>
        <v>102.21813003095968</v>
      </c>
      <c r="I10" s="9">
        <f>'Otemachi Daily'!H13</f>
        <v>1718.6599999999999</v>
      </c>
      <c r="J10" s="34">
        <f>[1]Sheet1!$V$14</f>
        <v>38.951611655048751</v>
      </c>
      <c r="K10" s="9">
        <f>'Otemachi Daily'!J13</f>
        <v>24125.235419999997</v>
      </c>
      <c r="L10" s="34">
        <f>[1]Sheet1!$AE$14</f>
        <v>20.712584032977613</v>
      </c>
      <c r="M10" s="9">
        <f>'Otemachi Daily'!L13</f>
        <v>121</v>
      </c>
      <c r="N10" s="34">
        <v>741</v>
      </c>
      <c r="O10" s="9">
        <f>'Otemachi Daily'!M13</f>
        <v>23</v>
      </c>
      <c r="P10" s="9">
        <f>'Otemachi Daily'!N13</f>
        <v>41</v>
      </c>
    </row>
    <row r="11" spans="1:16" ht="15">
      <c r="A11" s="6" t="s">
        <v>22</v>
      </c>
      <c r="B11" s="7">
        <f t="shared" si="0"/>
        <v>10</v>
      </c>
      <c r="C11" s="8">
        <v>3</v>
      </c>
      <c r="D11" s="7">
        <v>2021</v>
      </c>
      <c r="E11" s="9">
        <f>'Otemachi Daily'!D14</f>
        <v>12688</v>
      </c>
      <c r="F11" s="34">
        <f>[2]見込!$G$3</f>
        <v>22</v>
      </c>
      <c r="G11" s="9">
        <f>'Otemachi Daily'!F14</f>
        <v>156</v>
      </c>
      <c r="H11" s="34">
        <f>[2]見込!$M$23</f>
        <v>102.21813003095968</v>
      </c>
      <c r="I11" s="9">
        <f>'Otemachi Daily'!H14</f>
        <v>2290.4836</v>
      </c>
      <c r="J11" s="34">
        <f>[1]Sheet1!$V$14</f>
        <v>38.951611655048751</v>
      </c>
      <c r="K11" s="9">
        <f>'Otemachi Daily'!J14</f>
        <v>21080.158499999998</v>
      </c>
      <c r="L11" s="34">
        <f>[1]Sheet1!$AE$14</f>
        <v>20.712584032977613</v>
      </c>
      <c r="M11" s="9">
        <f>'Otemachi Daily'!L14</f>
        <v>109</v>
      </c>
      <c r="N11" s="34">
        <v>741</v>
      </c>
      <c r="O11" s="9">
        <f>'Otemachi Daily'!M14</f>
        <v>23</v>
      </c>
      <c r="P11" s="9">
        <f>'Otemachi Daily'!N14</f>
        <v>40</v>
      </c>
    </row>
    <row r="12" spans="1:16" ht="15">
      <c r="A12" s="6" t="s">
        <v>22</v>
      </c>
      <c r="B12" s="7">
        <f t="shared" si="0"/>
        <v>11</v>
      </c>
      <c r="C12" s="8">
        <v>3</v>
      </c>
      <c r="D12" s="7">
        <v>2021</v>
      </c>
      <c r="E12" s="9">
        <f>'Otemachi Daily'!D15</f>
        <v>12882</v>
      </c>
      <c r="F12" s="34">
        <f>[2]見込!$G$3</f>
        <v>22</v>
      </c>
      <c r="G12" s="9">
        <f>'Otemachi Daily'!F15</f>
        <v>170</v>
      </c>
      <c r="H12" s="34">
        <f>[2]見込!$M$23</f>
        <v>102.21813003095968</v>
      </c>
      <c r="I12" s="9">
        <f>'Otemachi Daily'!H15</f>
        <v>2704.5722000000001</v>
      </c>
      <c r="J12" s="34">
        <f>[1]Sheet1!$V$14</f>
        <v>38.951611655048751</v>
      </c>
      <c r="K12" s="9">
        <f>'Otemachi Daily'!J15</f>
        <v>22664.646359999999</v>
      </c>
      <c r="L12" s="34">
        <f>[1]Sheet1!$AE$14</f>
        <v>20.712584032977613</v>
      </c>
      <c r="M12" s="9">
        <f>'Otemachi Daily'!L15</f>
        <v>124</v>
      </c>
      <c r="N12" s="34">
        <v>741</v>
      </c>
      <c r="O12" s="9">
        <f>'Otemachi Daily'!M15</f>
        <v>26</v>
      </c>
      <c r="P12" s="9">
        <f>'Otemachi Daily'!N15</f>
        <v>47</v>
      </c>
    </row>
    <row r="13" spans="1:16" ht="15">
      <c r="A13" s="6" t="s">
        <v>22</v>
      </c>
      <c r="B13" s="7">
        <f t="shared" si="0"/>
        <v>12</v>
      </c>
      <c r="C13" s="8">
        <v>3</v>
      </c>
      <c r="D13" s="7">
        <v>2021</v>
      </c>
      <c r="E13" s="9">
        <f>'Otemachi Daily'!D16</f>
        <v>13442</v>
      </c>
      <c r="F13" s="34">
        <f>[2]見込!$G$3</f>
        <v>22</v>
      </c>
      <c r="G13" s="9">
        <f>'Otemachi Daily'!F16</f>
        <v>185</v>
      </c>
      <c r="H13" s="34">
        <f>[2]見込!$M$23</f>
        <v>102.21813003095968</v>
      </c>
      <c r="I13" s="9">
        <f>'Otemachi Daily'!H16</f>
        <v>2887.6423999999997</v>
      </c>
      <c r="J13" s="34">
        <f>[1]Sheet1!$V$14</f>
        <v>38.951611655048751</v>
      </c>
      <c r="K13" s="9">
        <f>'Otemachi Daily'!J16</f>
        <v>16874.044260000002</v>
      </c>
      <c r="L13" s="34">
        <f>[1]Sheet1!$AE$14</f>
        <v>20.712584032977613</v>
      </c>
      <c r="M13" s="9">
        <f>'Otemachi Daily'!L16</f>
        <v>136</v>
      </c>
      <c r="N13" s="34">
        <v>741</v>
      </c>
      <c r="O13" s="9">
        <f>'Otemachi Daily'!M16</f>
        <v>71</v>
      </c>
      <c r="P13" s="9">
        <f>'Otemachi Daily'!N16</f>
        <v>145</v>
      </c>
    </row>
    <row r="14" spans="1:16" ht="15">
      <c r="A14" s="6" t="s">
        <v>22</v>
      </c>
      <c r="B14" s="7">
        <f t="shared" si="0"/>
        <v>13</v>
      </c>
      <c r="C14" s="8">
        <v>3</v>
      </c>
      <c r="D14" s="7">
        <v>2021</v>
      </c>
      <c r="E14" s="9">
        <f>'Otemachi Daily'!D17</f>
        <v>14223</v>
      </c>
      <c r="F14" s="34">
        <f>[2]見込!$G$3</f>
        <v>22</v>
      </c>
      <c r="G14" s="9">
        <f>'Otemachi Daily'!F17</f>
        <v>191</v>
      </c>
      <c r="H14" s="34">
        <f>[2]見込!$M$23</f>
        <v>102.21813003095968</v>
      </c>
      <c r="I14" s="9">
        <f>'Otemachi Daily'!H17</f>
        <v>2865.9739999999997</v>
      </c>
      <c r="J14" s="34">
        <f>[1]Sheet1!$V$14</f>
        <v>38.951611655048751</v>
      </c>
      <c r="K14" s="9">
        <f>'Otemachi Daily'!J17</f>
        <v>20591.674979999996</v>
      </c>
      <c r="L14" s="34">
        <f>[1]Sheet1!$AE$14</f>
        <v>20.712584032977613</v>
      </c>
      <c r="M14" s="9">
        <f>'Otemachi Daily'!L17</f>
        <v>158</v>
      </c>
      <c r="N14" s="34">
        <v>741</v>
      </c>
      <c r="O14" s="9">
        <f>'Otemachi Daily'!M17</f>
        <v>85</v>
      </c>
      <c r="P14" s="9">
        <f>'Otemachi Daily'!N17</f>
        <v>166</v>
      </c>
    </row>
    <row r="15" spans="1:16" ht="15">
      <c r="A15" s="6" t="s">
        <v>22</v>
      </c>
      <c r="B15" s="7">
        <f t="shared" si="0"/>
        <v>14</v>
      </c>
      <c r="C15" s="8">
        <v>3</v>
      </c>
      <c r="D15" s="7">
        <v>2021</v>
      </c>
      <c r="E15" s="9">
        <f>'Otemachi Daily'!D18</f>
        <v>13767</v>
      </c>
      <c r="F15" s="34">
        <f>[2]見込!$G$3</f>
        <v>22</v>
      </c>
      <c r="G15" s="9">
        <f>'Otemachi Daily'!F18</f>
        <v>181</v>
      </c>
      <c r="H15" s="34">
        <f>[2]見込!$M$23</f>
        <v>102.21813003095968</v>
      </c>
      <c r="I15" s="9">
        <f>'Otemachi Daily'!H18</f>
        <v>3219.0578</v>
      </c>
      <c r="J15" s="34">
        <f>[1]Sheet1!$V$14</f>
        <v>38.951611655048751</v>
      </c>
      <c r="K15" s="9">
        <f>'Otemachi Daily'!J18</f>
        <v>23307.058859999997</v>
      </c>
      <c r="L15" s="34">
        <f>[1]Sheet1!$AE$14</f>
        <v>20.712584032977613</v>
      </c>
      <c r="M15" s="9">
        <f>'Otemachi Daily'!L18</f>
        <v>182</v>
      </c>
      <c r="N15" s="34">
        <v>741</v>
      </c>
      <c r="O15" s="9">
        <f>'Otemachi Daily'!M18</f>
        <v>41</v>
      </c>
      <c r="P15" s="9">
        <f>'Otemachi Daily'!N18</f>
        <v>79</v>
      </c>
    </row>
    <row r="16" spans="1:16" ht="15">
      <c r="A16" s="6" t="s">
        <v>22</v>
      </c>
      <c r="B16" s="7">
        <f t="shared" si="0"/>
        <v>15</v>
      </c>
      <c r="C16" s="8">
        <v>3</v>
      </c>
      <c r="D16" s="7">
        <v>2021</v>
      </c>
      <c r="E16" s="9">
        <f>'Otemachi Daily'!D19</f>
        <v>13016</v>
      </c>
      <c r="F16" s="34">
        <f>[2]見込!$G$3</f>
        <v>22</v>
      </c>
      <c r="G16" s="9">
        <f>'Otemachi Daily'!F19</f>
        <v>168</v>
      </c>
      <c r="H16" s="34">
        <f>[2]見込!$M$23</f>
        <v>102.21813003095968</v>
      </c>
      <c r="I16" s="9">
        <f>'Otemachi Daily'!H19</f>
        <v>3456.0211999999997</v>
      </c>
      <c r="J16" s="34">
        <f>[1]Sheet1!$V$14</f>
        <v>38.951611655048751</v>
      </c>
      <c r="K16" s="9">
        <f>'Otemachi Daily'!J19</f>
        <v>20026.213080000001</v>
      </c>
      <c r="L16" s="34">
        <f>[1]Sheet1!$AE$14</f>
        <v>20.712584032977613</v>
      </c>
      <c r="M16" s="9">
        <f>'Otemachi Daily'!L19</f>
        <v>126</v>
      </c>
      <c r="N16" s="34">
        <v>741</v>
      </c>
      <c r="O16" s="9">
        <f>'Otemachi Daily'!M19</f>
        <v>22</v>
      </c>
      <c r="P16" s="9">
        <f>'Otemachi Daily'!N19</f>
        <v>41</v>
      </c>
    </row>
    <row r="17" spans="1:16" ht="15">
      <c r="A17" s="6" t="s">
        <v>22</v>
      </c>
      <c r="B17" s="7">
        <f t="shared" si="0"/>
        <v>16</v>
      </c>
      <c r="C17" s="8">
        <v>3</v>
      </c>
      <c r="D17" s="7">
        <v>2021</v>
      </c>
      <c r="E17" s="9">
        <f>'Otemachi Daily'!D20</f>
        <v>12709</v>
      </c>
      <c r="F17" s="34">
        <f>[2]見込!$G$3</f>
        <v>22</v>
      </c>
      <c r="G17" s="9">
        <f>'Otemachi Daily'!F20</f>
        <v>154</v>
      </c>
      <c r="H17" s="34">
        <f>[2]見込!$M$23</f>
        <v>102.21813003095968</v>
      </c>
      <c r="I17" s="9">
        <f>'Otemachi Daily'!H20</f>
        <v>3369.0697999999998</v>
      </c>
      <c r="J17" s="34">
        <f>[1]Sheet1!$V$14</f>
        <v>38.951611655048751</v>
      </c>
      <c r="K17" s="9">
        <f>'Otemachi Daily'!J20</f>
        <v>16846.069800000001</v>
      </c>
      <c r="L17" s="34">
        <f>[1]Sheet1!$AE$14</f>
        <v>20.712584032977613</v>
      </c>
      <c r="M17" s="9">
        <f>'Otemachi Daily'!L20</f>
        <v>108</v>
      </c>
      <c r="N17" s="34">
        <v>741</v>
      </c>
      <c r="O17" s="9">
        <f>'Otemachi Daily'!M20</f>
        <v>31</v>
      </c>
      <c r="P17" s="9">
        <f>'Otemachi Daily'!N20</f>
        <v>56</v>
      </c>
    </row>
    <row r="18" spans="1:16" ht="15">
      <c r="A18" s="6" t="s">
        <v>22</v>
      </c>
      <c r="B18" s="7">
        <f t="shared" si="0"/>
        <v>17</v>
      </c>
      <c r="C18" s="8">
        <v>3</v>
      </c>
      <c r="D18" s="7">
        <v>2021</v>
      </c>
      <c r="E18" s="9">
        <f>'Otemachi Daily'!D21</f>
        <v>12813</v>
      </c>
      <c r="F18" s="34">
        <f>[2]見込!$G$3</f>
        <v>22</v>
      </c>
      <c r="G18" s="9">
        <f>'Otemachi Daily'!F21</f>
        <v>167</v>
      </c>
      <c r="H18" s="34">
        <f>[2]見込!$M$23</f>
        <v>102.21813003095968</v>
      </c>
      <c r="I18" s="9">
        <f>'Otemachi Daily'!H21</f>
        <v>3463.7995999999998</v>
      </c>
      <c r="J18" s="34">
        <f>[1]Sheet1!$V$14</f>
        <v>38.951611655048751</v>
      </c>
      <c r="K18" s="9">
        <f>'Otemachi Daily'!J21</f>
        <v>18328.021679999998</v>
      </c>
      <c r="L18" s="34">
        <f>[1]Sheet1!$AE$14</f>
        <v>20.712584032977613</v>
      </c>
      <c r="M18" s="9">
        <f>'Otemachi Daily'!L21</f>
        <v>117</v>
      </c>
      <c r="N18" s="34">
        <v>741</v>
      </c>
      <c r="O18" s="9">
        <f>'Otemachi Daily'!M21</f>
        <v>32</v>
      </c>
      <c r="P18" s="9">
        <f>'Otemachi Daily'!N21</f>
        <v>41</v>
      </c>
    </row>
    <row r="19" spans="1:16" ht="15">
      <c r="A19" s="6" t="s">
        <v>22</v>
      </c>
      <c r="B19" s="7">
        <f t="shared" si="0"/>
        <v>18</v>
      </c>
      <c r="C19" s="8">
        <v>3</v>
      </c>
      <c r="D19" s="7">
        <v>2021</v>
      </c>
      <c r="E19" s="9">
        <f>'Otemachi Daily'!D22</f>
        <v>12722</v>
      </c>
      <c r="F19" s="34">
        <f>[2]見込!$G$3</f>
        <v>22</v>
      </c>
      <c r="G19" s="9">
        <f>'Otemachi Daily'!F22</f>
        <v>165</v>
      </c>
      <c r="H19" s="34">
        <f>[2]見込!$M$23</f>
        <v>102.21813003095968</v>
      </c>
      <c r="I19" s="9">
        <f>'Otemachi Daily'!H22</f>
        <v>3684.0949999999998</v>
      </c>
      <c r="J19" s="34">
        <f>[1]Sheet1!$V$14</f>
        <v>38.951611655048751</v>
      </c>
      <c r="K19" s="9">
        <f>'Otemachi Daily'!J22</f>
        <v>18385.026239999999</v>
      </c>
      <c r="L19" s="34">
        <f>[1]Sheet1!$AE$14</f>
        <v>20.712584032977613</v>
      </c>
      <c r="M19" s="9">
        <f>'Otemachi Daily'!L22</f>
        <v>122</v>
      </c>
      <c r="N19" s="34">
        <v>741</v>
      </c>
      <c r="O19" s="9">
        <f>'Otemachi Daily'!M22</f>
        <v>36</v>
      </c>
      <c r="P19" s="9">
        <f>'Otemachi Daily'!N22</f>
        <v>64</v>
      </c>
    </row>
    <row r="20" spans="1:16" ht="15">
      <c r="A20" s="6" t="s">
        <v>22</v>
      </c>
      <c r="B20" s="7">
        <f t="shared" si="0"/>
        <v>19</v>
      </c>
      <c r="C20" s="8">
        <v>3</v>
      </c>
      <c r="D20" s="7">
        <v>2021</v>
      </c>
      <c r="E20" s="9">
        <f>'Otemachi Daily'!D23</f>
        <v>12952</v>
      </c>
      <c r="F20" s="34">
        <f>[2]見込!$G$3</f>
        <v>22</v>
      </c>
      <c r="G20" s="9">
        <f>'Otemachi Daily'!F23</f>
        <v>189</v>
      </c>
      <c r="H20" s="34">
        <f>[2]見込!$M$23</f>
        <v>102.21813003095968</v>
      </c>
      <c r="I20" s="9">
        <f>'Otemachi Daily'!H23</f>
        <v>3578.2532000000001</v>
      </c>
      <c r="J20" s="34">
        <f>[1]Sheet1!$V$14</f>
        <v>38.951611655048751</v>
      </c>
      <c r="K20" s="9">
        <f>'Otemachi Daily'!J23</f>
        <v>17135.537400000001</v>
      </c>
      <c r="L20" s="34">
        <f>[1]Sheet1!$AE$14</f>
        <v>20.712584032977613</v>
      </c>
      <c r="M20" s="9">
        <f>'Otemachi Daily'!L23</f>
        <v>127</v>
      </c>
      <c r="N20" s="34">
        <v>741</v>
      </c>
      <c r="O20" s="9">
        <f>'Otemachi Daily'!M23</f>
        <v>55</v>
      </c>
      <c r="P20" s="9">
        <f>'Otemachi Daily'!N23</f>
        <v>110</v>
      </c>
    </row>
    <row r="21" spans="1:16" ht="15">
      <c r="A21" s="6" t="s">
        <v>22</v>
      </c>
      <c r="B21" s="7">
        <f t="shared" si="0"/>
        <v>20</v>
      </c>
      <c r="C21" s="8">
        <v>3</v>
      </c>
      <c r="D21" s="7">
        <v>2021</v>
      </c>
      <c r="E21" s="9">
        <f>'Otemachi Daily'!D24</f>
        <v>13615</v>
      </c>
      <c r="F21" s="34">
        <f>[2]見込!$G$3</f>
        <v>22</v>
      </c>
      <c r="G21" s="9">
        <f>'Otemachi Daily'!F24</f>
        <v>176</v>
      </c>
      <c r="H21" s="34">
        <f>[2]見込!$M$23</f>
        <v>102.21813003095968</v>
      </c>
      <c r="I21" s="9">
        <f>'Otemachi Daily'!H24</f>
        <v>3441.9645999999998</v>
      </c>
      <c r="J21" s="34">
        <f>[1]Sheet1!$V$14</f>
        <v>38.951611655048751</v>
      </c>
      <c r="K21" s="9">
        <f>'Otemachi Daily'!J24</f>
        <v>17478.8982</v>
      </c>
      <c r="L21" s="34">
        <f>[1]Sheet1!$AE$14</f>
        <v>20.712584032977613</v>
      </c>
      <c r="M21" s="9">
        <f>'Otemachi Daily'!L24</f>
        <v>162</v>
      </c>
      <c r="N21" s="34">
        <v>741</v>
      </c>
      <c r="O21" s="9">
        <f>'Otemachi Daily'!M24</f>
        <v>116</v>
      </c>
      <c r="P21" s="9">
        <f>'Otemachi Daily'!N24</f>
        <v>232</v>
      </c>
    </row>
    <row r="22" spans="1:16" ht="15">
      <c r="A22" s="6" t="s">
        <v>22</v>
      </c>
      <c r="B22" s="7">
        <f t="shared" si="0"/>
        <v>21</v>
      </c>
      <c r="C22" s="8">
        <v>3</v>
      </c>
      <c r="D22" s="7">
        <v>2021</v>
      </c>
      <c r="E22" s="9">
        <f>'Otemachi Daily'!D25</f>
        <v>13714</v>
      </c>
      <c r="F22" s="34">
        <f>[2]見込!$G$3</f>
        <v>22</v>
      </c>
      <c r="G22" s="9">
        <f>'Otemachi Daily'!F25</f>
        <v>182</v>
      </c>
      <c r="H22" s="34">
        <f>[2]見込!$M$23</f>
        <v>102.21813003095968</v>
      </c>
      <c r="I22" s="9">
        <f>'Otemachi Daily'!H25</f>
        <v>5188.9376000000002</v>
      </c>
      <c r="J22" s="34">
        <f>[1]Sheet1!$V$14</f>
        <v>38.951611655048751</v>
      </c>
      <c r="K22" s="9">
        <f>'Otemachi Daily'!J25</f>
        <v>13176.220680000002</v>
      </c>
      <c r="L22" s="34">
        <f>[1]Sheet1!$AE$14</f>
        <v>20.712584032977613</v>
      </c>
      <c r="M22" s="9">
        <f>'Otemachi Daily'!L25</f>
        <v>163</v>
      </c>
      <c r="N22" s="34">
        <v>741</v>
      </c>
      <c r="O22" s="9">
        <f>'Otemachi Daily'!M25</f>
        <v>38</v>
      </c>
      <c r="P22" s="9">
        <f>'Otemachi Daily'!N25</f>
        <v>73</v>
      </c>
    </row>
    <row r="23" spans="1:16" ht="15">
      <c r="A23" s="6" t="s">
        <v>22</v>
      </c>
      <c r="B23" s="7">
        <f t="shared" si="0"/>
        <v>22</v>
      </c>
      <c r="C23" s="8">
        <v>3</v>
      </c>
      <c r="D23" s="7">
        <v>2021</v>
      </c>
      <c r="E23" s="9">
        <f>'Otemachi Daily'!D26</f>
        <v>12659</v>
      </c>
      <c r="F23" s="34">
        <f>[2]見込!$G$3</f>
        <v>22</v>
      </c>
      <c r="G23" s="9">
        <f>'Otemachi Daily'!F26</f>
        <v>172</v>
      </c>
      <c r="H23" s="34">
        <f>[2]見込!$M$23</f>
        <v>102.21813003095968</v>
      </c>
      <c r="I23" s="9">
        <f>'Otemachi Daily'!H26</f>
        <v>2488.1659999999997</v>
      </c>
      <c r="J23" s="34">
        <f>[1]Sheet1!$V$14</f>
        <v>38.951611655048751</v>
      </c>
      <c r="K23" s="9">
        <f>'Otemachi Daily'!J26</f>
        <v>16805.34432</v>
      </c>
      <c r="L23" s="34">
        <f>[1]Sheet1!$AE$14</f>
        <v>20.712584032977613</v>
      </c>
      <c r="M23" s="9">
        <f>'Otemachi Daily'!L26</f>
        <v>104</v>
      </c>
      <c r="N23" s="34">
        <v>741</v>
      </c>
      <c r="O23" s="9">
        <f>'Otemachi Daily'!M26</f>
        <v>17</v>
      </c>
      <c r="P23" s="9">
        <f>'Otemachi Daily'!N26</f>
        <v>32</v>
      </c>
    </row>
    <row r="24" spans="1:16" ht="15">
      <c r="A24" s="6" t="s">
        <v>22</v>
      </c>
      <c r="B24" s="7">
        <f t="shared" si="0"/>
        <v>23</v>
      </c>
      <c r="C24" s="8">
        <v>3</v>
      </c>
      <c r="D24" s="7">
        <v>2021</v>
      </c>
      <c r="E24" s="9">
        <f>'Otemachi Daily'!D27</f>
        <v>12304</v>
      </c>
      <c r="F24" s="34">
        <f>[2]見込!$G$3</f>
        <v>22</v>
      </c>
      <c r="G24" s="9">
        <f>'Otemachi Daily'!F27</f>
        <v>153</v>
      </c>
      <c r="H24" s="34">
        <f>[2]見込!$M$23</f>
        <v>102.21813003095968</v>
      </c>
      <c r="I24" s="9">
        <f>'Otemachi Daily'!H27</f>
        <v>2516.2237999999998</v>
      </c>
      <c r="J24" s="34">
        <f>[1]Sheet1!$V$14</f>
        <v>38.951611655048751</v>
      </c>
      <c r="K24" s="9">
        <f>'Otemachi Daily'!J27</f>
        <v>17254.880280000001</v>
      </c>
      <c r="L24" s="34">
        <f>[1]Sheet1!$AE$14</f>
        <v>20.712584032977613</v>
      </c>
      <c r="M24" s="9">
        <f>'Otemachi Daily'!L27</f>
        <v>101</v>
      </c>
      <c r="N24" s="34">
        <v>741</v>
      </c>
      <c r="O24" s="9">
        <f>'Otemachi Daily'!M27</f>
        <v>28</v>
      </c>
      <c r="P24" s="9">
        <f>'Otemachi Daily'!N27</f>
        <v>54</v>
      </c>
    </row>
    <row r="25" spans="1:16" ht="15">
      <c r="A25" s="6" t="s">
        <v>22</v>
      </c>
      <c r="B25" s="7">
        <f t="shared" si="0"/>
        <v>24</v>
      </c>
      <c r="C25" s="8">
        <v>3</v>
      </c>
      <c r="D25" s="7">
        <v>2021</v>
      </c>
      <c r="E25" s="9">
        <f>'Otemachi Daily'!D28</f>
        <v>11910</v>
      </c>
      <c r="F25" s="34">
        <f>[2]見込!$G$3</f>
        <v>22</v>
      </c>
      <c r="G25" s="9">
        <f>'Otemachi Daily'!F28</f>
        <v>148</v>
      </c>
      <c r="H25" s="34">
        <f>[2]見込!$M$23</f>
        <v>102.21813003095968</v>
      </c>
      <c r="I25" s="9">
        <f>'Otemachi Daily'!H28</f>
        <v>3817.7167999999997</v>
      </c>
      <c r="J25" s="34">
        <f>[1]Sheet1!$V$14</f>
        <v>38.951611655048751</v>
      </c>
      <c r="K25" s="9">
        <f>'Otemachi Daily'!J28</f>
        <v>14553.58086</v>
      </c>
      <c r="L25" s="34">
        <f>[1]Sheet1!$AE$14</f>
        <v>20.712584032977613</v>
      </c>
      <c r="M25" s="9">
        <f>'Otemachi Daily'!L28</f>
        <v>127</v>
      </c>
      <c r="N25" s="34">
        <v>741</v>
      </c>
      <c r="O25" s="9">
        <f>'Otemachi Daily'!M28</f>
        <v>33</v>
      </c>
      <c r="P25" s="9">
        <f>'Otemachi Daily'!N28</f>
        <v>62</v>
      </c>
    </row>
    <row r="26" spans="1:16" ht="15">
      <c r="A26" s="6" t="s">
        <v>22</v>
      </c>
      <c r="B26" s="7">
        <f>B25+1</f>
        <v>25</v>
      </c>
      <c r="C26" s="8">
        <v>3</v>
      </c>
      <c r="D26" s="7">
        <v>2021</v>
      </c>
      <c r="E26" s="9">
        <f>'Otemachi Daily'!D29</f>
        <v>12475</v>
      </c>
      <c r="F26" s="34">
        <f>[2]見込!$G$3</f>
        <v>22</v>
      </c>
      <c r="G26" s="9">
        <f>'Otemachi Daily'!F29</f>
        <v>165</v>
      </c>
      <c r="H26" s="34">
        <f>[2]見込!$M$23</f>
        <v>102.21813003095968</v>
      </c>
      <c r="I26" s="9">
        <f>'Otemachi Daily'!H29</f>
        <v>3381.2930000000001</v>
      </c>
      <c r="J26" s="34">
        <f>[1]Sheet1!$V$14</f>
        <v>38.951611655048751</v>
      </c>
      <c r="K26" s="9">
        <f>'Otemachi Daily'!J29</f>
        <v>12498.138660000001</v>
      </c>
      <c r="L26" s="34">
        <f>[1]Sheet1!$AE$14</f>
        <v>20.712584032977613</v>
      </c>
      <c r="M26" s="9">
        <f>'Otemachi Daily'!L29</f>
        <v>116</v>
      </c>
      <c r="N26" s="34">
        <v>741</v>
      </c>
      <c r="O26" s="9">
        <f>'Otemachi Daily'!M29</f>
        <v>37</v>
      </c>
      <c r="P26" s="9">
        <f>'Otemachi Daily'!N29</f>
        <v>66</v>
      </c>
    </row>
    <row r="27" spans="1:16" ht="15">
      <c r="A27" s="6" t="s">
        <v>22</v>
      </c>
      <c r="B27" s="7">
        <f t="shared" si="0"/>
        <v>26</v>
      </c>
      <c r="C27" s="8">
        <v>3</v>
      </c>
      <c r="D27" s="7">
        <v>2021</v>
      </c>
      <c r="E27" s="9">
        <f>'Otemachi Daily'!D30</f>
        <v>12806</v>
      </c>
      <c r="F27" s="34">
        <f>[2]見込!$G$3</f>
        <v>22</v>
      </c>
      <c r="G27" s="9">
        <f>'Otemachi Daily'!F30</f>
        <v>188</v>
      </c>
      <c r="H27" s="34">
        <f>[2]見込!$M$23</f>
        <v>102.21813003095968</v>
      </c>
      <c r="I27" s="9">
        <f>'Otemachi Daily'!H30</f>
        <v>4322.4794000000002</v>
      </c>
      <c r="J27" s="34">
        <f>[1]Sheet1!$V$14</f>
        <v>38.951611655048751</v>
      </c>
      <c r="K27" s="9">
        <f>'Otemachi Daily'!J30</f>
        <v>17442.67308</v>
      </c>
      <c r="L27" s="34">
        <f>[1]Sheet1!$AE$14</f>
        <v>20.712584032977613</v>
      </c>
      <c r="M27" s="9">
        <f>'Otemachi Daily'!L30</f>
        <v>147</v>
      </c>
      <c r="N27" s="34">
        <v>741</v>
      </c>
      <c r="O27" s="9">
        <f>'Otemachi Daily'!M30</f>
        <v>70</v>
      </c>
      <c r="P27" s="9">
        <f>'Otemachi Daily'!N30</f>
        <v>147</v>
      </c>
    </row>
    <row r="28" spans="1:16" ht="15">
      <c r="A28" s="6" t="s">
        <v>22</v>
      </c>
      <c r="B28" s="7">
        <f t="shared" si="0"/>
        <v>27</v>
      </c>
      <c r="C28" s="8">
        <v>3</v>
      </c>
      <c r="D28" s="7">
        <v>2021</v>
      </c>
      <c r="E28" s="9">
        <f>'Otemachi Daily'!D31</f>
        <v>13116</v>
      </c>
      <c r="F28" s="34">
        <f>[2]見込!$G$3</f>
        <v>22</v>
      </c>
      <c r="G28" s="9">
        <f>'Otemachi Daily'!F31</f>
        <v>178</v>
      </c>
      <c r="H28" s="34">
        <f>[2]見込!$M$23</f>
        <v>102.21813003095968</v>
      </c>
      <c r="I28" s="9">
        <f>'Otemachi Daily'!H31</f>
        <v>4323.3127999999997</v>
      </c>
      <c r="J28" s="34">
        <f>[1]Sheet1!$V$14</f>
        <v>38.951611655048751</v>
      </c>
      <c r="K28" s="9">
        <f>'Otemachi Daily'!J31</f>
        <v>18606.682860000001</v>
      </c>
      <c r="L28" s="34">
        <f>[1]Sheet1!$AE$14</f>
        <v>20.712584032977613</v>
      </c>
      <c r="M28" s="9">
        <f>'Otemachi Daily'!L31</f>
        <v>180</v>
      </c>
      <c r="N28" s="34">
        <v>741</v>
      </c>
      <c r="O28" s="9">
        <f>'Otemachi Daily'!M31</f>
        <v>91</v>
      </c>
      <c r="P28" s="9">
        <f>'Otemachi Daily'!N31</f>
        <v>207</v>
      </c>
    </row>
    <row r="29" spans="1:16" ht="15">
      <c r="A29" s="6" t="s">
        <v>22</v>
      </c>
      <c r="B29" s="7">
        <f t="shared" si="0"/>
        <v>28</v>
      </c>
      <c r="C29" s="8">
        <v>3</v>
      </c>
      <c r="D29" s="7">
        <v>2021</v>
      </c>
      <c r="E29" s="9">
        <f>'Otemachi Daily'!D32</f>
        <v>12978</v>
      </c>
      <c r="F29" s="34">
        <f>[2]見込!$G$3</f>
        <v>22</v>
      </c>
      <c r="G29" s="9">
        <f>'Otemachi Daily'!F32</f>
        <v>180</v>
      </c>
      <c r="H29" s="34">
        <f>[2]見込!$M$23</f>
        <v>102.21813003095968</v>
      </c>
      <c r="I29" s="9">
        <f>'Otemachi Daily'!H32</f>
        <v>4242.1397999999999</v>
      </c>
      <c r="J29" s="34">
        <f>[1]Sheet1!$V$14</f>
        <v>38.951611655048751</v>
      </c>
      <c r="K29" s="9">
        <f>'Otemachi Daily'!J32</f>
        <v>11498.86428</v>
      </c>
      <c r="L29" s="34">
        <f>[1]Sheet1!$AE$14</f>
        <v>20.712584032977613</v>
      </c>
      <c r="M29" s="9">
        <f>'Otemachi Daily'!L32</f>
        <v>137</v>
      </c>
      <c r="N29" s="34">
        <v>741</v>
      </c>
      <c r="O29" s="9">
        <f>'Otemachi Daily'!M32</f>
        <v>51</v>
      </c>
      <c r="P29" s="9">
        <f>'Otemachi Daily'!N32</f>
        <v>109</v>
      </c>
    </row>
    <row r="30" spans="1:16" ht="15">
      <c r="A30" s="6" t="s">
        <v>22</v>
      </c>
      <c r="B30" s="7">
        <f t="shared" si="0"/>
        <v>29</v>
      </c>
      <c r="C30" s="8">
        <v>3</v>
      </c>
      <c r="D30" s="7">
        <v>2021</v>
      </c>
      <c r="E30" s="9">
        <f>'Otemachi Daily'!D33</f>
        <v>12563</v>
      </c>
      <c r="F30" s="34">
        <f>[2]見込!$G$3</f>
        <v>22</v>
      </c>
      <c r="G30" s="9">
        <f>'Otemachi Daily'!F33</f>
        <v>182</v>
      </c>
      <c r="H30" s="34">
        <f>[2]見込!$M$23</f>
        <v>102.21813003095968</v>
      </c>
      <c r="I30" s="9">
        <f>'Otemachi Daily'!H33</f>
        <v>6266.6124</v>
      </c>
      <c r="J30" s="34">
        <f>[1]Sheet1!$V$14</f>
        <v>38.951611655048751</v>
      </c>
      <c r="K30" s="9">
        <f>'Otemachi Daily'!J33</f>
        <v>10265.93232</v>
      </c>
      <c r="L30" s="34">
        <f>[1]Sheet1!$AE$14</f>
        <v>20.712584032977613</v>
      </c>
      <c r="M30" s="9">
        <f>'Otemachi Daily'!L33</f>
        <v>113</v>
      </c>
      <c r="N30" s="34">
        <v>741</v>
      </c>
      <c r="O30" s="9">
        <f>'Otemachi Daily'!M33</f>
        <v>31</v>
      </c>
      <c r="P30" s="9">
        <f>'Otemachi Daily'!N33</f>
        <v>56</v>
      </c>
    </row>
    <row r="31" spans="1:16" ht="15">
      <c r="A31" s="6" t="s">
        <v>22</v>
      </c>
      <c r="B31" s="7">
        <f t="shared" si="0"/>
        <v>30</v>
      </c>
      <c r="C31" s="8">
        <v>3</v>
      </c>
      <c r="D31" s="7">
        <v>2021</v>
      </c>
      <c r="E31" s="9">
        <f>'Otemachi Daily'!D34</f>
        <v>12421</v>
      </c>
      <c r="F31" s="34">
        <f>[2]見込!$G$3</f>
        <v>22</v>
      </c>
      <c r="G31" s="9">
        <f>'Otemachi Daily'!F34</f>
        <v>164</v>
      </c>
      <c r="H31" s="34">
        <f>[2]見込!$M$23</f>
        <v>102.21813003095968</v>
      </c>
      <c r="I31" s="9">
        <f>'Otemachi Daily'!H34</f>
        <v>4703.1539999999995</v>
      </c>
      <c r="J31" s="34">
        <f>[1]Sheet1!$V$14</f>
        <v>38.951611655048751</v>
      </c>
      <c r="K31" s="9">
        <f>'Otemachi Daily'!J34</f>
        <v>10685.827020000001</v>
      </c>
      <c r="L31" s="34">
        <f>[1]Sheet1!$AE$14</f>
        <v>20.712584032977613</v>
      </c>
      <c r="M31" s="9">
        <f>'Otemachi Daily'!L34</f>
        <v>115</v>
      </c>
      <c r="N31" s="34">
        <v>741</v>
      </c>
      <c r="O31" s="9">
        <f>'Otemachi Daily'!M34</f>
        <v>34</v>
      </c>
      <c r="P31" s="9">
        <f>'Otemachi Daily'!N34</f>
        <v>62</v>
      </c>
    </row>
    <row r="32" spans="1:16" ht="15">
      <c r="A32" s="6" t="s">
        <v>22</v>
      </c>
      <c r="B32" s="7">
        <f t="shared" si="0"/>
        <v>31</v>
      </c>
      <c r="C32" s="8">
        <v>3</v>
      </c>
      <c r="D32" s="7">
        <v>2021</v>
      </c>
      <c r="E32" s="9">
        <f>'Otemachi Daily'!D35</f>
        <v>12572</v>
      </c>
      <c r="F32" s="34">
        <f>[2]見込!$G$3</f>
        <v>22</v>
      </c>
      <c r="G32" s="9">
        <f>'Otemachi Daily'!F35</f>
        <v>150</v>
      </c>
      <c r="H32" s="34">
        <f>[2]見込!$M$23</f>
        <v>102.21813003095968</v>
      </c>
      <c r="I32" s="9">
        <f>'Otemachi Daily'!H35</f>
        <v>4608.9798000000001</v>
      </c>
      <c r="J32" s="34">
        <f>[1]Sheet1!$V$14</f>
        <v>38.951611655048751</v>
      </c>
      <c r="K32" s="9">
        <f>'Otemachi Daily'!J35</f>
        <v>11514.3933</v>
      </c>
      <c r="L32" s="34">
        <f>[1]Sheet1!$AE$14</f>
        <v>20.712584032977613</v>
      </c>
      <c r="M32" s="9">
        <f>'Otemachi Daily'!L35</f>
        <v>125</v>
      </c>
      <c r="N32" s="34">
        <v>741</v>
      </c>
      <c r="O32" s="9">
        <f>'Otemachi Daily'!M35</f>
        <v>28</v>
      </c>
      <c r="P32" s="9">
        <f>'Otemachi Daily'!N35</f>
        <v>50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topLeftCell="A28" zoomScale="91" zoomScaleNormal="91" workbookViewId="0">
      <pane xSplit="1" topLeftCell="B1" activePane="topRight" state="frozen"/>
      <selection pane="topRight" activeCell="M41" sqref="M41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  <c r="P4" s="13"/>
    </row>
    <row r="5" spans="1:17" ht="33" customHeight="1">
      <c r="A5" s="28">
        <v>44256</v>
      </c>
      <c r="B5" s="39"/>
      <c r="C5" s="35">
        <f>[2]コスト!$G$147</f>
        <v>11991</v>
      </c>
      <c r="D5" s="35">
        <f>C5</f>
        <v>11991</v>
      </c>
      <c r="E5" s="35">
        <f>[2]コスト!$G$23</f>
        <v>158</v>
      </c>
      <c r="F5" s="35">
        <f>E5</f>
        <v>158</v>
      </c>
      <c r="G5" s="35">
        <f>[2]コスト!$G$115+413</f>
        <v>2573.7284</v>
      </c>
      <c r="H5" s="35">
        <f>G5</f>
        <v>2573.7284</v>
      </c>
      <c r="I5" s="35">
        <f>[2]コスト!$G$91+[2]コスト!$G$66</f>
        <v>17283.354780000001</v>
      </c>
      <c r="J5" s="35">
        <f>I5</f>
        <v>17283.354780000001</v>
      </c>
      <c r="K5" s="35">
        <f>[2]コスト!$G$41</f>
        <v>80</v>
      </c>
      <c r="L5" s="35">
        <f>K5</f>
        <v>80</v>
      </c>
      <c r="M5" s="35">
        <v>15</v>
      </c>
      <c r="N5" s="35">
        <v>27</v>
      </c>
      <c r="O5" s="26"/>
      <c r="Q5" s="37"/>
    </row>
    <row r="6" spans="1:17" ht="45" customHeight="1">
      <c r="A6" s="28">
        <v>44257</v>
      </c>
      <c r="B6" s="39"/>
      <c r="C6" s="35">
        <f>[2]コスト!$H$147</f>
        <v>12290</v>
      </c>
      <c r="D6" s="35">
        <f t="shared" ref="D6:F35" si="0">C6</f>
        <v>12290</v>
      </c>
      <c r="E6" s="35">
        <f>[2]コスト!$H$23</f>
        <v>147</v>
      </c>
      <c r="F6" s="35">
        <f t="shared" si="0"/>
        <v>147</v>
      </c>
      <c r="G6" s="35">
        <f>[2]コスト!$H$115+413</f>
        <v>3451.8541999999998</v>
      </c>
      <c r="H6" s="35">
        <f t="shared" ref="H6" si="1">G6</f>
        <v>3451.8541999999998</v>
      </c>
      <c r="I6" s="35">
        <f>[2]コスト!$H$91+[2]コスト!$H$66</f>
        <v>15435.8181</v>
      </c>
      <c r="J6" s="35">
        <f t="shared" ref="J6" si="2">I6</f>
        <v>15435.8181</v>
      </c>
      <c r="K6" s="35">
        <f>[2]コスト!$H$41</f>
        <v>89</v>
      </c>
      <c r="L6" s="35">
        <f t="shared" ref="L6" si="3">K6</f>
        <v>89</v>
      </c>
      <c r="M6" s="35">
        <v>20</v>
      </c>
      <c r="N6" s="35">
        <v>29</v>
      </c>
      <c r="O6" s="26"/>
      <c r="Q6" s="37"/>
    </row>
    <row r="7" spans="1:17" ht="45" customHeight="1">
      <c r="A7" s="28">
        <v>44258</v>
      </c>
      <c r="B7" s="39"/>
      <c r="C7" s="35">
        <f>[2]コスト!$I$147</f>
        <v>12071</v>
      </c>
      <c r="D7" s="35">
        <f t="shared" si="0"/>
        <v>12071</v>
      </c>
      <c r="E7" s="35">
        <f>[2]コスト!$I$23</f>
        <v>146</v>
      </c>
      <c r="F7" s="35">
        <f t="shared" si="0"/>
        <v>146</v>
      </c>
      <c r="G7" s="35">
        <f>[2]コスト!$I$115+413</f>
        <v>2085.0781999999999</v>
      </c>
      <c r="H7" s="35">
        <f>G7</f>
        <v>2085.0781999999999</v>
      </c>
      <c r="I7" s="35">
        <f>[2]コスト!$I$91+[2]コスト!$I$66</f>
        <v>26108.171819999996</v>
      </c>
      <c r="J7" s="35">
        <f t="shared" ref="J7" si="4">I7</f>
        <v>26108.171819999996</v>
      </c>
      <c r="K7" s="35">
        <f>[2]コスト!$I$41</f>
        <v>201</v>
      </c>
      <c r="L7" s="35">
        <f t="shared" ref="L7" si="5">K7</f>
        <v>201</v>
      </c>
      <c r="M7" s="35">
        <v>18</v>
      </c>
      <c r="N7" s="35">
        <v>33</v>
      </c>
      <c r="Q7" s="37"/>
    </row>
    <row r="8" spans="1:17" ht="45" customHeight="1">
      <c r="A8" s="28">
        <v>44259</v>
      </c>
      <c r="B8" s="39"/>
      <c r="C8" s="35">
        <f>[2]コスト!$J$147</f>
        <v>12297</v>
      </c>
      <c r="D8" s="35">
        <f t="shared" si="0"/>
        <v>12297</v>
      </c>
      <c r="E8" s="35">
        <f>[2]コスト!$J$23</f>
        <v>152</v>
      </c>
      <c r="F8" s="35">
        <f t="shared" si="0"/>
        <v>152</v>
      </c>
      <c r="G8" s="35">
        <f>[2]コスト!$J$115+412</f>
        <v>1996.0155999999999</v>
      </c>
      <c r="H8" s="35">
        <f t="shared" ref="H8" si="6">G8</f>
        <v>1996.0155999999999</v>
      </c>
      <c r="I8" s="35">
        <f>[2]コスト!$J$91+[2]コスト!$J$66</f>
        <v>21739.905719999999</v>
      </c>
      <c r="J8" s="35">
        <f t="shared" ref="J8" si="7">I8</f>
        <v>21739.905719999999</v>
      </c>
      <c r="K8" s="35">
        <f>[2]コスト!$J$41</f>
        <v>103</v>
      </c>
      <c r="L8" s="35">
        <f t="shared" ref="L8" si="8">K8</f>
        <v>103</v>
      </c>
      <c r="M8" s="35">
        <v>20</v>
      </c>
      <c r="N8" s="35">
        <v>35</v>
      </c>
      <c r="Q8" s="37"/>
    </row>
    <row r="9" spans="1:17" ht="45" customHeight="1">
      <c r="A9" s="28">
        <v>44260</v>
      </c>
      <c r="B9" s="39"/>
      <c r="C9" s="35">
        <f>[2]コスト!$K$147</f>
        <v>12432</v>
      </c>
      <c r="D9" s="35">
        <f t="shared" si="0"/>
        <v>12432</v>
      </c>
      <c r="E9" s="35">
        <f>[2]コスト!$K$23</f>
        <v>171</v>
      </c>
      <c r="F9" s="35">
        <f t="shared" si="0"/>
        <v>171</v>
      </c>
      <c r="G9" s="35">
        <f>[2]コスト!$K$115+413</f>
        <v>2721.2401999999997</v>
      </c>
      <c r="H9" s="35">
        <f t="shared" ref="H9" si="9">G9</f>
        <v>2721.2401999999997</v>
      </c>
      <c r="I9" s="35">
        <f>[2]コスト!$K$91+[2]コスト!$K$66</f>
        <v>16068.924300000001</v>
      </c>
      <c r="J9" s="35">
        <f t="shared" ref="J9" si="10">I9</f>
        <v>16068.924300000001</v>
      </c>
      <c r="K9" s="35">
        <f>[2]コスト!$K$41</f>
        <v>98</v>
      </c>
      <c r="L9" s="35">
        <f t="shared" ref="L9" si="11">K9</f>
        <v>98</v>
      </c>
      <c r="M9" s="35">
        <v>22</v>
      </c>
      <c r="N9" s="35">
        <v>10</v>
      </c>
      <c r="Q9" s="37"/>
    </row>
    <row r="10" spans="1:17" ht="45" customHeight="1">
      <c r="A10" s="28">
        <v>44261</v>
      </c>
      <c r="B10" s="39"/>
      <c r="C10" s="35">
        <f>[2]コスト!$L$147</f>
        <v>13094</v>
      </c>
      <c r="D10" s="35">
        <f t="shared" si="0"/>
        <v>13094</v>
      </c>
      <c r="E10" s="35">
        <f>[2]コスト!$L$23</f>
        <v>176</v>
      </c>
      <c r="F10" s="35">
        <f t="shared" si="0"/>
        <v>176</v>
      </c>
      <c r="G10" s="35">
        <f>[2]コスト!$L$115+413</f>
        <v>3222.6691999999998</v>
      </c>
      <c r="H10" s="35">
        <f t="shared" ref="H10" si="12">G10</f>
        <v>3222.6691999999998</v>
      </c>
      <c r="I10" s="35">
        <f>[2]コスト!$L$91+[2]コスト!$L$66</f>
        <v>17469.258539999999</v>
      </c>
      <c r="J10" s="35">
        <f t="shared" ref="J10" si="13">I10</f>
        <v>17469.258539999999</v>
      </c>
      <c r="K10" s="35">
        <f>[2]コスト!$L$41</f>
        <v>132</v>
      </c>
      <c r="L10" s="35">
        <f t="shared" ref="L10" si="14">K10</f>
        <v>132</v>
      </c>
      <c r="M10" s="35">
        <v>57</v>
      </c>
      <c r="N10" s="35">
        <v>106</v>
      </c>
      <c r="Q10" s="37"/>
    </row>
    <row r="11" spans="1:17" ht="45" customHeight="1">
      <c r="A11" s="28">
        <v>44262</v>
      </c>
      <c r="B11" s="39"/>
      <c r="C11" s="35">
        <f>[2]コスト!$M$147</f>
        <v>12884</v>
      </c>
      <c r="D11" s="35">
        <f t="shared" si="0"/>
        <v>12884</v>
      </c>
      <c r="E11" s="35">
        <f>[2]コスト!$M$23</f>
        <v>167</v>
      </c>
      <c r="F11" s="35">
        <f t="shared" si="0"/>
        <v>167</v>
      </c>
      <c r="G11" s="35">
        <f>[2]コスト!$M$115+413</f>
        <v>2107.58</v>
      </c>
      <c r="H11" s="35">
        <f t="shared" ref="H11" si="15">G11</f>
        <v>2107.58</v>
      </c>
      <c r="I11" s="35">
        <f>[2]コスト!$M$91+[2]コスト!$M$66</f>
        <v>27315.15726</v>
      </c>
      <c r="J11" s="35">
        <f t="shared" ref="J11" si="16">I11</f>
        <v>27315.15726</v>
      </c>
      <c r="K11" s="35">
        <f>[2]コスト!$M$41</f>
        <v>125</v>
      </c>
      <c r="L11" s="35">
        <f t="shared" ref="L11" si="17">K11</f>
        <v>125</v>
      </c>
      <c r="M11" s="35">
        <v>22</v>
      </c>
      <c r="N11" s="35">
        <v>42</v>
      </c>
      <c r="Q11" s="37"/>
    </row>
    <row r="12" spans="1:17" ht="45" customHeight="1">
      <c r="A12" s="28">
        <v>44263</v>
      </c>
      <c r="B12" s="39"/>
      <c r="C12" s="35">
        <f>[2]コスト!$N$147</f>
        <v>12732</v>
      </c>
      <c r="D12" s="35">
        <f t="shared" si="0"/>
        <v>12732</v>
      </c>
      <c r="E12" s="35">
        <f>[2]コスト!$N$23</f>
        <v>158</v>
      </c>
      <c r="F12" s="35">
        <f t="shared" si="0"/>
        <v>158</v>
      </c>
      <c r="G12" s="35">
        <f>[2]コスト!$N$115+413</f>
        <v>1551.98</v>
      </c>
      <c r="H12" s="35">
        <f t="shared" ref="H12" si="18">G12</f>
        <v>1551.98</v>
      </c>
      <c r="I12" s="35">
        <f>[2]コスト!$N$91+[2]コスト!$N$66</f>
        <v>26165.648639999999</v>
      </c>
      <c r="J12" s="35">
        <f t="shared" ref="J12" si="19">I12</f>
        <v>26165.648639999999</v>
      </c>
      <c r="K12" s="35">
        <f>[2]コスト!$N$41</f>
        <v>111</v>
      </c>
      <c r="L12" s="35">
        <f t="shared" ref="L12" si="20">K12</f>
        <v>111</v>
      </c>
      <c r="M12" s="35">
        <v>24</v>
      </c>
      <c r="N12" s="35">
        <v>40</v>
      </c>
      <c r="Q12" s="37"/>
    </row>
    <row r="13" spans="1:17" ht="45" customHeight="1">
      <c r="A13" s="28">
        <v>44264</v>
      </c>
      <c r="B13" s="39"/>
      <c r="C13" s="35">
        <f>[2]コスト!$O$147</f>
        <v>12558</v>
      </c>
      <c r="D13" s="35">
        <f t="shared" si="0"/>
        <v>12558</v>
      </c>
      <c r="E13" s="35">
        <f>[2]コスト!$O$23</f>
        <v>129</v>
      </c>
      <c r="F13" s="35">
        <f t="shared" si="0"/>
        <v>129</v>
      </c>
      <c r="G13" s="35">
        <f>[2]コスト!$O$115+413</f>
        <v>1718.6599999999999</v>
      </c>
      <c r="H13" s="35">
        <f t="shared" ref="H13" si="21">G13</f>
        <v>1718.6599999999999</v>
      </c>
      <c r="I13" s="35">
        <f>[2]コスト!$O$91+[2]コスト!$O$66</f>
        <v>24125.235419999997</v>
      </c>
      <c r="J13" s="35">
        <f t="shared" ref="J13" si="22">I13</f>
        <v>24125.235419999997</v>
      </c>
      <c r="K13" s="35">
        <f>[2]コスト!$O$41</f>
        <v>121</v>
      </c>
      <c r="L13" s="35">
        <f t="shared" ref="L13" si="23">K13</f>
        <v>121</v>
      </c>
      <c r="M13" s="35">
        <v>23</v>
      </c>
      <c r="N13" s="35">
        <v>41</v>
      </c>
      <c r="Q13" s="37"/>
    </row>
    <row r="14" spans="1:17" ht="45" customHeight="1">
      <c r="A14" s="28">
        <v>44265</v>
      </c>
      <c r="B14" s="39"/>
      <c r="C14" s="35">
        <f>[2]コスト!$P$147</f>
        <v>12688</v>
      </c>
      <c r="D14" s="35">
        <f t="shared" si="0"/>
        <v>12688</v>
      </c>
      <c r="E14" s="35">
        <f>[2]コスト!$P$23</f>
        <v>156</v>
      </c>
      <c r="F14" s="35">
        <f t="shared" si="0"/>
        <v>156</v>
      </c>
      <c r="G14" s="35">
        <f>[2]コスト!$P$115+412</f>
        <v>2290.4836</v>
      </c>
      <c r="H14" s="35">
        <f t="shared" ref="H14" si="24">G14</f>
        <v>2290.4836</v>
      </c>
      <c r="I14" s="35">
        <f>[2]コスト!$P$91+[2]コスト!$P$66</f>
        <v>21080.158499999998</v>
      </c>
      <c r="J14" s="35">
        <f t="shared" ref="J14" si="25">I14</f>
        <v>21080.158499999998</v>
      </c>
      <c r="K14" s="35">
        <f>[2]コスト!$P$41</f>
        <v>109</v>
      </c>
      <c r="L14" s="35">
        <f t="shared" ref="L14" si="26">K14</f>
        <v>109</v>
      </c>
      <c r="M14" s="35">
        <v>23</v>
      </c>
      <c r="N14" s="35">
        <v>40</v>
      </c>
      <c r="Q14" s="37"/>
    </row>
    <row r="15" spans="1:17" ht="45" customHeight="1">
      <c r="A15" s="28">
        <v>44266</v>
      </c>
      <c r="B15" s="39"/>
      <c r="C15" s="35">
        <f>[2]コスト!$Q$147</f>
        <v>12882</v>
      </c>
      <c r="D15" s="35">
        <f t="shared" si="0"/>
        <v>12882</v>
      </c>
      <c r="E15" s="35">
        <f>[2]コスト!$Q$23</f>
        <v>170</v>
      </c>
      <c r="F15" s="35">
        <f t="shared" si="0"/>
        <v>170</v>
      </c>
      <c r="G15" s="35">
        <f>[2]コスト!$Q$115+413</f>
        <v>2704.5722000000001</v>
      </c>
      <c r="H15" s="35">
        <f t="shared" ref="H15" si="27">G15</f>
        <v>2704.5722000000001</v>
      </c>
      <c r="I15" s="35">
        <f>[2]コスト!$Q$91+[2]コスト!$Q$66</f>
        <v>22664.646359999999</v>
      </c>
      <c r="J15" s="35">
        <f t="shared" ref="J15" si="28">I15</f>
        <v>22664.646359999999</v>
      </c>
      <c r="K15" s="35">
        <f>[2]コスト!$Q$41</f>
        <v>124</v>
      </c>
      <c r="L15" s="35">
        <f t="shared" ref="L15" si="29">K15</f>
        <v>124</v>
      </c>
      <c r="M15" s="35">
        <v>26</v>
      </c>
      <c r="N15" s="35">
        <v>47</v>
      </c>
      <c r="Q15" s="37"/>
    </row>
    <row r="16" spans="1:17" ht="45" customHeight="1">
      <c r="A16" s="28">
        <v>44267</v>
      </c>
      <c r="B16" s="39"/>
      <c r="C16" s="35">
        <f>[2]コスト!$R$147</f>
        <v>13442</v>
      </c>
      <c r="D16" s="35">
        <f t="shared" si="0"/>
        <v>13442</v>
      </c>
      <c r="E16" s="35">
        <f>[2]コスト!$R$23</f>
        <v>185</v>
      </c>
      <c r="F16" s="35">
        <f t="shared" si="0"/>
        <v>185</v>
      </c>
      <c r="G16" s="35">
        <f>[2]コスト!$R$115+413</f>
        <v>2887.6423999999997</v>
      </c>
      <c r="H16" s="35">
        <f t="shared" ref="H16" si="30">G16</f>
        <v>2887.6423999999997</v>
      </c>
      <c r="I16" s="35">
        <f>[2]コスト!$R$91+[2]コスト!$R$66</f>
        <v>16874.044260000002</v>
      </c>
      <c r="J16" s="35">
        <f t="shared" ref="J16" si="31">I16</f>
        <v>16874.044260000002</v>
      </c>
      <c r="K16" s="35">
        <f>[2]コスト!$R$41</f>
        <v>136</v>
      </c>
      <c r="L16" s="35">
        <f t="shared" ref="L16" si="32">K16</f>
        <v>136</v>
      </c>
      <c r="M16" s="35">
        <v>71</v>
      </c>
      <c r="N16" s="35">
        <v>145</v>
      </c>
      <c r="Q16" s="37"/>
    </row>
    <row r="17" spans="1:26" ht="45" customHeight="1">
      <c r="A17" s="28">
        <v>44268</v>
      </c>
      <c r="B17" s="39"/>
      <c r="C17" s="35">
        <f>[2]コスト!$S$147</f>
        <v>14223</v>
      </c>
      <c r="D17" s="35">
        <f t="shared" si="0"/>
        <v>14223</v>
      </c>
      <c r="E17" s="35">
        <f>[2]コスト!$S$23</f>
        <v>191</v>
      </c>
      <c r="F17" s="35">
        <f t="shared" si="0"/>
        <v>191</v>
      </c>
      <c r="G17" s="35">
        <f>[2]コスト!$S$115+413</f>
        <v>2865.9739999999997</v>
      </c>
      <c r="H17" s="35">
        <f t="shared" ref="H17" si="33">G17</f>
        <v>2865.9739999999997</v>
      </c>
      <c r="I17" s="35">
        <f>[2]コスト!$S$91+[2]コスト!$S$66</f>
        <v>20591.674979999996</v>
      </c>
      <c r="J17" s="35">
        <f t="shared" ref="J17" si="34">I17</f>
        <v>20591.674979999996</v>
      </c>
      <c r="K17" s="35">
        <f>[2]コスト!$S$41</f>
        <v>158</v>
      </c>
      <c r="L17" s="35">
        <f t="shared" ref="L17" si="35">K17</f>
        <v>158</v>
      </c>
      <c r="M17" s="35">
        <v>85</v>
      </c>
      <c r="N17" s="35">
        <v>166</v>
      </c>
      <c r="Q17" s="37"/>
    </row>
    <row r="18" spans="1:26" ht="45" customHeight="1">
      <c r="A18" s="28">
        <v>44269</v>
      </c>
      <c r="B18" s="39"/>
      <c r="C18" s="35">
        <f>[2]コスト!$T$147</f>
        <v>13767</v>
      </c>
      <c r="D18" s="35">
        <f t="shared" si="0"/>
        <v>13767</v>
      </c>
      <c r="E18" s="35">
        <f>[2]コスト!$T$23</f>
        <v>181</v>
      </c>
      <c r="F18" s="35">
        <f t="shared" si="0"/>
        <v>181</v>
      </c>
      <c r="G18" s="35">
        <f>[2]コスト!$T$115+413</f>
        <v>3219.0578</v>
      </c>
      <c r="H18" s="35">
        <f t="shared" ref="H18" si="36">G18</f>
        <v>3219.0578</v>
      </c>
      <c r="I18" s="35">
        <f>[2]コスト!$T$91+[2]コスト!$T$66</f>
        <v>23307.058859999997</v>
      </c>
      <c r="J18" s="35">
        <f t="shared" ref="J18" si="37">I18</f>
        <v>23307.058859999997</v>
      </c>
      <c r="K18" s="35">
        <f>[2]コスト!$T$41</f>
        <v>182</v>
      </c>
      <c r="L18" s="35">
        <f t="shared" ref="L18" si="38">K18</f>
        <v>182</v>
      </c>
      <c r="M18" s="35">
        <v>41</v>
      </c>
      <c r="N18" s="35">
        <v>79</v>
      </c>
      <c r="Q18" s="37"/>
      <c r="Z18" s="36"/>
    </row>
    <row r="19" spans="1:26" ht="45" customHeight="1">
      <c r="A19" s="28">
        <v>44270</v>
      </c>
      <c r="B19" s="39"/>
      <c r="C19" s="35">
        <f>[2]コスト!$U$147</f>
        <v>13016</v>
      </c>
      <c r="D19" s="35">
        <f t="shared" si="0"/>
        <v>13016</v>
      </c>
      <c r="E19" s="35">
        <f>[2]コスト!$U$23</f>
        <v>168</v>
      </c>
      <c r="F19" s="35">
        <f t="shared" si="0"/>
        <v>168</v>
      </c>
      <c r="G19" s="35">
        <f>[2]コスト!$U$115+413</f>
        <v>3456.0211999999997</v>
      </c>
      <c r="H19" s="35">
        <f t="shared" ref="H19" si="39">G19</f>
        <v>3456.0211999999997</v>
      </c>
      <c r="I19" s="35">
        <f>[2]コスト!$U$91+[2]コスト!$U$66</f>
        <v>20026.213080000001</v>
      </c>
      <c r="J19" s="35">
        <f t="shared" ref="J19" si="40">I19</f>
        <v>20026.213080000001</v>
      </c>
      <c r="K19" s="35">
        <f>[2]コスト!$U$41</f>
        <v>126</v>
      </c>
      <c r="L19" s="35">
        <f t="shared" ref="L19" si="41">K19</f>
        <v>126</v>
      </c>
      <c r="M19" s="35">
        <v>22</v>
      </c>
      <c r="N19" s="35">
        <v>41</v>
      </c>
      <c r="Q19" s="37"/>
    </row>
    <row r="20" spans="1:26" ht="45" customHeight="1">
      <c r="A20" s="28">
        <v>44271</v>
      </c>
      <c r="B20" s="39"/>
      <c r="C20" s="35">
        <f>[2]コスト!$V$147</f>
        <v>12709</v>
      </c>
      <c r="D20" s="35">
        <f t="shared" si="0"/>
        <v>12709</v>
      </c>
      <c r="E20" s="35">
        <f>[2]コスト!$V$23</f>
        <v>154</v>
      </c>
      <c r="F20" s="35">
        <f t="shared" si="0"/>
        <v>154</v>
      </c>
      <c r="G20" s="35">
        <f>[2]コスト!$V$115+413</f>
        <v>3369.0697999999998</v>
      </c>
      <c r="H20" s="35">
        <f t="shared" ref="H20" si="42">G20</f>
        <v>3369.0697999999998</v>
      </c>
      <c r="I20" s="35">
        <f>[2]コスト!$V$91+[2]コスト!$V$66</f>
        <v>16846.069800000001</v>
      </c>
      <c r="J20" s="35">
        <f t="shared" ref="J20" si="43">I20</f>
        <v>16846.069800000001</v>
      </c>
      <c r="K20" s="35">
        <f>[2]コスト!$V$41</f>
        <v>108</v>
      </c>
      <c r="L20" s="35">
        <f t="shared" ref="L20" si="44">K20</f>
        <v>108</v>
      </c>
      <c r="M20" s="35">
        <v>31</v>
      </c>
      <c r="N20" s="35">
        <v>56</v>
      </c>
      <c r="Q20" s="37"/>
    </row>
    <row r="21" spans="1:26" ht="45" customHeight="1">
      <c r="A21" s="28">
        <v>44272</v>
      </c>
      <c r="B21" s="39"/>
      <c r="C21" s="35">
        <f>[2]コスト!$W$147</f>
        <v>12813</v>
      </c>
      <c r="D21" s="35">
        <f t="shared" si="0"/>
        <v>12813</v>
      </c>
      <c r="E21" s="35">
        <f>[2]コスト!$W$23</f>
        <v>167</v>
      </c>
      <c r="F21" s="35">
        <f t="shared" si="0"/>
        <v>167</v>
      </c>
      <c r="G21" s="35">
        <f>[2]コスト!$W$115+413</f>
        <v>3463.7995999999998</v>
      </c>
      <c r="H21" s="35">
        <f t="shared" ref="H21" si="45">G21</f>
        <v>3463.7995999999998</v>
      </c>
      <c r="I21" s="35">
        <f>[2]コスト!$W$91+[2]コスト!$W$66</f>
        <v>18328.021679999998</v>
      </c>
      <c r="J21" s="35">
        <f t="shared" ref="J21" si="46">I21</f>
        <v>18328.021679999998</v>
      </c>
      <c r="K21" s="35">
        <f>[2]コスト!$W$41</f>
        <v>117</v>
      </c>
      <c r="L21" s="35">
        <f t="shared" ref="L21" si="47">K21</f>
        <v>117</v>
      </c>
      <c r="M21" s="35">
        <v>32</v>
      </c>
      <c r="N21" s="35">
        <v>41</v>
      </c>
      <c r="Q21" s="37"/>
    </row>
    <row r="22" spans="1:26" ht="45" customHeight="1">
      <c r="A22" s="28">
        <v>44273</v>
      </c>
      <c r="B22" s="39"/>
      <c r="C22" s="35">
        <f>[2]コスト!$X$147</f>
        <v>12722</v>
      </c>
      <c r="D22" s="35">
        <f t="shared" si="0"/>
        <v>12722</v>
      </c>
      <c r="E22" s="35">
        <f>[2]コスト!$X$23</f>
        <v>165</v>
      </c>
      <c r="F22" s="35">
        <f t="shared" si="0"/>
        <v>165</v>
      </c>
      <c r="G22" s="35">
        <f>[2]コスト!$X$115+413</f>
        <v>3684.0949999999998</v>
      </c>
      <c r="H22" s="35">
        <f t="shared" ref="H22" si="48">G22</f>
        <v>3684.0949999999998</v>
      </c>
      <c r="I22" s="35">
        <f>[2]コスト!$X$91+[2]コスト!$X$66</f>
        <v>18385.026239999999</v>
      </c>
      <c r="J22" s="35">
        <f t="shared" ref="J22" si="49">I22</f>
        <v>18385.026239999999</v>
      </c>
      <c r="K22" s="35">
        <f>[2]コスト!$X$41</f>
        <v>122</v>
      </c>
      <c r="L22" s="35">
        <f t="shared" ref="L22" si="50">K22</f>
        <v>122</v>
      </c>
      <c r="M22" s="35">
        <v>36</v>
      </c>
      <c r="N22" s="35">
        <v>64</v>
      </c>
      <c r="Q22" s="37"/>
    </row>
    <row r="23" spans="1:26" ht="45" customHeight="1">
      <c r="A23" s="28">
        <v>44274</v>
      </c>
      <c r="B23" s="39"/>
      <c r="C23" s="35">
        <f>[2]コスト!$Y$147</f>
        <v>12952</v>
      </c>
      <c r="D23" s="35">
        <f t="shared" si="0"/>
        <v>12952</v>
      </c>
      <c r="E23" s="35">
        <f>[2]コスト!$Y$23</f>
        <v>189</v>
      </c>
      <c r="F23" s="35">
        <f t="shared" si="0"/>
        <v>189</v>
      </c>
      <c r="G23" s="35">
        <f>[2]コスト!$Y$115+413</f>
        <v>3578.2532000000001</v>
      </c>
      <c r="H23" s="35">
        <f t="shared" ref="H23" si="51">G23</f>
        <v>3578.2532000000001</v>
      </c>
      <c r="I23" s="35">
        <f>[2]コスト!$Y$91+[2]コスト!$Y$66</f>
        <v>17135.537400000001</v>
      </c>
      <c r="J23" s="35">
        <f t="shared" ref="J23" si="52">I23</f>
        <v>17135.537400000001</v>
      </c>
      <c r="K23" s="35">
        <f>[2]コスト!$Y$41</f>
        <v>127</v>
      </c>
      <c r="L23" s="35">
        <f t="shared" ref="L23" si="53">K23</f>
        <v>127</v>
      </c>
      <c r="M23" s="35">
        <v>55</v>
      </c>
      <c r="N23" s="35">
        <v>110</v>
      </c>
      <c r="Q23" s="37"/>
    </row>
    <row r="24" spans="1:26" ht="45" customHeight="1">
      <c r="A24" s="28">
        <v>44275</v>
      </c>
      <c r="B24" s="39"/>
      <c r="C24" s="35">
        <f>[2]コスト!$Z$147</f>
        <v>13615</v>
      </c>
      <c r="D24" s="35">
        <f t="shared" si="0"/>
        <v>13615</v>
      </c>
      <c r="E24" s="35">
        <f>[2]コスト!$Z$23</f>
        <v>176</v>
      </c>
      <c r="F24" s="35">
        <f t="shared" si="0"/>
        <v>176</v>
      </c>
      <c r="G24" s="35">
        <f>[2]コスト!$Z$115+412</f>
        <v>3441.9645999999998</v>
      </c>
      <c r="H24" s="35">
        <f t="shared" ref="H24" si="54">G24</f>
        <v>3441.9645999999998</v>
      </c>
      <c r="I24" s="35">
        <f>[2]コスト!$Z$91+[2]コスト!$Z$66</f>
        <v>17478.8982</v>
      </c>
      <c r="J24" s="35">
        <f t="shared" ref="J24" si="55">I24</f>
        <v>17478.8982</v>
      </c>
      <c r="K24" s="35">
        <f>[2]コスト!$Z$41</f>
        <v>162</v>
      </c>
      <c r="L24" s="35">
        <f t="shared" ref="L24" si="56">K24</f>
        <v>162</v>
      </c>
      <c r="M24" s="35">
        <v>116</v>
      </c>
      <c r="N24" s="35">
        <v>232</v>
      </c>
      <c r="Q24" s="37"/>
    </row>
    <row r="25" spans="1:26" ht="45" customHeight="1">
      <c r="A25" s="28">
        <v>44276</v>
      </c>
      <c r="B25" s="39"/>
      <c r="C25" s="35">
        <f>[2]コスト!$AA$147</f>
        <v>13714</v>
      </c>
      <c r="D25" s="35">
        <f t="shared" si="0"/>
        <v>13714</v>
      </c>
      <c r="E25" s="35">
        <f>[2]コスト!$AA$23</f>
        <v>182</v>
      </c>
      <c r="F25" s="35">
        <f t="shared" si="0"/>
        <v>182</v>
      </c>
      <c r="G25" s="35">
        <f>[2]コスト!$AA$115+413</f>
        <v>5188.9376000000002</v>
      </c>
      <c r="H25" s="35">
        <f t="shared" ref="H25" si="57">G25</f>
        <v>5188.9376000000002</v>
      </c>
      <c r="I25" s="35">
        <f>[2]コスト!$AA$91+[2]コスト!$AA$66</f>
        <v>13176.220680000002</v>
      </c>
      <c r="J25" s="35">
        <f t="shared" ref="J25" si="58">I25</f>
        <v>13176.220680000002</v>
      </c>
      <c r="K25" s="35">
        <f>[2]コスト!$AA$41</f>
        <v>163</v>
      </c>
      <c r="L25" s="35">
        <f t="shared" ref="L25" si="59">K25</f>
        <v>163</v>
      </c>
      <c r="M25" s="35">
        <v>38</v>
      </c>
      <c r="N25" s="35">
        <v>73</v>
      </c>
      <c r="Q25" s="37"/>
    </row>
    <row r="26" spans="1:26" ht="45" customHeight="1">
      <c r="A26" s="28">
        <v>44277</v>
      </c>
      <c r="B26" s="39"/>
      <c r="C26" s="35">
        <f>[2]コスト!$AB$147</f>
        <v>12659</v>
      </c>
      <c r="D26" s="35">
        <f t="shared" si="0"/>
        <v>12659</v>
      </c>
      <c r="E26" s="35">
        <f>[2]コスト!$AB$23</f>
        <v>172</v>
      </c>
      <c r="F26" s="35">
        <f t="shared" si="0"/>
        <v>172</v>
      </c>
      <c r="G26" s="35">
        <f>[2]コスト!$AB$115+413</f>
        <v>2488.1659999999997</v>
      </c>
      <c r="H26" s="35">
        <f t="shared" ref="H26" si="60">G26</f>
        <v>2488.1659999999997</v>
      </c>
      <c r="I26" s="35">
        <f>[2]コスト!$AB$91+[2]コスト!$AB$66</f>
        <v>16805.34432</v>
      </c>
      <c r="J26" s="35">
        <f t="shared" ref="J26" si="61">I26</f>
        <v>16805.34432</v>
      </c>
      <c r="K26" s="35">
        <f>[2]コスト!$AB$41</f>
        <v>104</v>
      </c>
      <c r="L26" s="35">
        <f t="shared" ref="L26" si="62">K26</f>
        <v>104</v>
      </c>
      <c r="M26" s="35">
        <v>17</v>
      </c>
      <c r="N26" s="35">
        <v>32</v>
      </c>
      <c r="Q26" s="37"/>
    </row>
    <row r="27" spans="1:26" ht="45" customHeight="1">
      <c r="A27" s="28">
        <v>44278</v>
      </c>
      <c r="B27" s="39"/>
      <c r="C27" s="35">
        <f>[2]コスト!$AC$147</f>
        <v>12304</v>
      </c>
      <c r="D27" s="35">
        <f t="shared" si="0"/>
        <v>12304</v>
      </c>
      <c r="E27" s="35">
        <f>[2]コスト!$AC$23</f>
        <v>153</v>
      </c>
      <c r="F27" s="35">
        <f t="shared" si="0"/>
        <v>153</v>
      </c>
      <c r="G27" s="35">
        <f>[2]コスト!$AC$115+413</f>
        <v>2516.2237999999998</v>
      </c>
      <c r="H27" s="35">
        <f t="shared" ref="H27" si="63">G27</f>
        <v>2516.2237999999998</v>
      </c>
      <c r="I27" s="35">
        <f>[2]コスト!$AC$91+[2]コスト!$AC$66</f>
        <v>17254.880280000001</v>
      </c>
      <c r="J27" s="35">
        <f t="shared" ref="J27" si="64">I27</f>
        <v>17254.880280000001</v>
      </c>
      <c r="K27" s="35">
        <f>[2]コスト!$AC$41</f>
        <v>101</v>
      </c>
      <c r="L27" s="35">
        <f t="shared" ref="L27" si="65">K27</f>
        <v>101</v>
      </c>
      <c r="M27" s="35">
        <v>28</v>
      </c>
      <c r="N27" s="35">
        <v>54</v>
      </c>
      <c r="Q27" s="37"/>
    </row>
    <row r="28" spans="1:26" ht="45" customHeight="1">
      <c r="A28" s="28">
        <v>44279</v>
      </c>
      <c r="B28" s="39"/>
      <c r="C28" s="35">
        <f>[2]コスト!$AD$147</f>
        <v>11910</v>
      </c>
      <c r="D28" s="35">
        <f t="shared" si="0"/>
        <v>11910</v>
      </c>
      <c r="E28" s="35">
        <f>[2]コスト!$AD$23</f>
        <v>148</v>
      </c>
      <c r="F28" s="35">
        <f t="shared" si="0"/>
        <v>148</v>
      </c>
      <c r="G28" s="35">
        <f>[2]コスト!$AD$115+413</f>
        <v>3817.7167999999997</v>
      </c>
      <c r="H28" s="35">
        <f t="shared" ref="H28" si="66">G28</f>
        <v>3817.7167999999997</v>
      </c>
      <c r="I28" s="35">
        <f>[2]コスト!$AD$91+[2]コスト!$AD$66</f>
        <v>14553.58086</v>
      </c>
      <c r="J28" s="35">
        <f t="shared" ref="J28" si="67">I28</f>
        <v>14553.58086</v>
      </c>
      <c r="K28" s="35">
        <f>[2]コスト!$AD$41</f>
        <v>127</v>
      </c>
      <c r="L28" s="35">
        <f t="shared" ref="L28" si="68">K28</f>
        <v>127</v>
      </c>
      <c r="M28" s="35">
        <v>33</v>
      </c>
      <c r="N28" s="35">
        <v>62</v>
      </c>
      <c r="Q28" s="37"/>
    </row>
    <row r="29" spans="1:26" ht="45" customHeight="1">
      <c r="A29" s="28">
        <v>44280</v>
      </c>
      <c r="B29" s="39"/>
      <c r="C29" s="35">
        <f>[2]コスト!$AE$147</f>
        <v>12475</v>
      </c>
      <c r="D29" s="35">
        <f t="shared" si="0"/>
        <v>12475</v>
      </c>
      <c r="E29" s="35">
        <f>[2]コスト!$AE$23</f>
        <v>165</v>
      </c>
      <c r="F29" s="35">
        <f t="shared" si="0"/>
        <v>165</v>
      </c>
      <c r="G29" s="35">
        <f>[2]コスト!$AE$115+413</f>
        <v>3381.2930000000001</v>
      </c>
      <c r="H29" s="35">
        <f t="shared" ref="H29" si="69">G29</f>
        <v>3381.2930000000001</v>
      </c>
      <c r="I29" s="35">
        <f>[2]コスト!$AE$91+[2]コスト!$AE$66</f>
        <v>12498.138660000001</v>
      </c>
      <c r="J29" s="35">
        <f t="shared" ref="J29" si="70">I29</f>
        <v>12498.138660000001</v>
      </c>
      <c r="K29" s="35">
        <f>[2]コスト!$AE$41</f>
        <v>116</v>
      </c>
      <c r="L29" s="35">
        <f t="shared" ref="L29" si="71">K29</f>
        <v>116</v>
      </c>
      <c r="M29" s="35">
        <v>37</v>
      </c>
      <c r="N29" s="35">
        <v>66</v>
      </c>
      <c r="Q29" s="37"/>
    </row>
    <row r="30" spans="1:26" ht="45" customHeight="1">
      <c r="A30" s="28">
        <v>44281</v>
      </c>
      <c r="B30" s="39"/>
      <c r="C30" s="35">
        <f>[2]コスト!$AF$147</f>
        <v>12806</v>
      </c>
      <c r="D30" s="35">
        <f t="shared" si="0"/>
        <v>12806</v>
      </c>
      <c r="E30" s="35">
        <f>[2]コスト!$AF$23</f>
        <v>188</v>
      </c>
      <c r="F30" s="35">
        <f t="shared" si="0"/>
        <v>188</v>
      </c>
      <c r="G30" s="35">
        <f>[2]コスト!$AF$115+413</f>
        <v>4322.4794000000002</v>
      </c>
      <c r="H30" s="35">
        <f t="shared" ref="H30" si="72">G30</f>
        <v>4322.4794000000002</v>
      </c>
      <c r="I30" s="35">
        <f>[2]コスト!$AF$91+[2]コスト!$AF$66</f>
        <v>17442.67308</v>
      </c>
      <c r="J30" s="35">
        <f t="shared" ref="J30" si="73">I30</f>
        <v>17442.67308</v>
      </c>
      <c r="K30" s="35">
        <f>[2]コスト!$AF$41</f>
        <v>147</v>
      </c>
      <c r="L30" s="35">
        <f t="shared" ref="L30" si="74">K30</f>
        <v>147</v>
      </c>
      <c r="M30" s="35">
        <v>70</v>
      </c>
      <c r="N30" s="35">
        <v>147</v>
      </c>
      <c r="Q30" s="37"/>
    </row>
    <row r="31" spans="1:26" ht="45" customHeight="1">
      <c r="A31" s="28">
        <v>44282</v>
      </c>
      <c r="B31" s="39"/>
      <c r="C31" s="35">
        <f>[2]コスト!$AG$147</f>
        <v>13116</v>
      </c>
      <c r="D31" s="35">
        <f t="shared" si="0"/>
        <v>13116</v>
      </c>
      <c r="E31" s="35">
        <f>[2]コスト!$AG$23</f>
        <v>178</v>
      </c>
      <c r="F31" s="35">
        <f t="shared" si="0"/>
        <v>178</v>
      </c>
      <c r="G31" s="35">
        <f>[2]コスト!$AG$115+413</f>
        <v>4323.3127999999997</v>
      </c>
      <c r="H31" s="35">
        <f t="shared" ref="H31" si="75">G31</f>
        <v>4323.3127999999997</v>
      </c>
      <c r="I31" s="35">
        <f>[2]コスト!$AG$91+[2]コスト!$AG$66</f>
        <v>18606.682860000001</v>
      </c>
      <c r="J31" s="35">
        <f t="shared" ref="J31" si="76">I31</f>
        <v>18606.682860000001</v>
      </c>
      <c r="K31" s="35">
        <f>[2]コスト!$AG$41</f>
        <v>180</v>
      </c>
      <c r="L31" s="35">
        <f t="shared" ref="L31" si="77">K31</f>
        <v>180</v>
      </c>
      <c r="M31" s="35">
        <v>91</v>
      </c>
      <c r="N31" s="35">
        <v>207</v>
      </c>
      <c r="Q31" s="37"/>
    </row>
    <row r="32" spans="1:26" ht="45" customHeight="1">
      <c r="A32" s="28">
        <v>44283</v>
      </c>
      <c r="B32" s="39"/>
      <c r="C32" s="35">
        <f>[2]コスト!$AH$147</f>
        <v>12978</v>
      </c>
      <c r="D32" s="35">
        <f t="shared" si="0"/>
        <v>12978</v>
      </c>
      <c r="E32" s="35">
        <f>[2]コスト!$AH$23</f>
        <v>180</v>
      </c>
      <c r="F32" s="35">
        <f t="shared" si="0"/>
        <v>180</v>
      </c>
      <c r="G32" s="35">
        <f>[2]コスト!$AH$115+411</f>
        <v>4242.1397999999999</v>
      </c>
      <c r="H32" s="35">
        <f t="shared" ref="H32" si="78">G32</f>
        <v>4242.1397999999999</v>
      </c>
      <c r="I32" s="35">
        <f>[2]コスト!$AH$91+[2]コスト!$AH$66</f>
        <v>11498.86428</v>
      </c>
      <c r="J32" s="35">
        <f t="shared" ref="J32" si="79">I32</f>
        <v>11498.86428</v>
      </c>
      <c r="K32" s="35">
        <f>[2]コスト!$AH$41</f>
        <v>137</v>
      </c>
      <c r="L32" s="35">
        <f t="shared" ref="L32" si="80">K32</f>
        <v>137</v>
      </c>
      <c r="M32" s="35">
        <v>51</v>
      </c>
      <c r="N32" s="35">
        <v>109</v>
      </c>
      <c r="Q32" s="37"/>
    </row>
    <row r="33" spans="1:17" ht="36" customHeight="1">
      <c r="A33" s="28">
        <v>44284</v>
      </c>
      <c r="C33" s="35">
        <f>[2]コスト!$AI$147</f>
        <v>12563</v>
      </c>
      <c r="D33" s="35">
        <f t="shared" si="0"/>
        <v>12563</v>
      </c>
      <c r="E33" s="35">
        <f>[2]コスト!$AI$23</f>
        <v>182</v>
      </c>
      <c r="F33" s="35">
        <f t="shared" si="0"/>
        <v>182</v>
      </c>
      <c r="G33" s="35">
        <f>[2]コスト!$AI$115+'[2]29日'!$C$29</f>
        <v>6266.6124</v>
      </c>
      <c r="H33" s="35">
        <f t="shared" ref="H33" si="81">G33</f>
        <v>6266.6124</v>
      </c>
      <c r="I33" s="35">
        <f>[2]コスト!$AI$91+[2]コスト!$AI$66</f>
        <v>10265.93232</v>
      </c>
      <c r="J33" s="35">
        <f t="shared" ref="J33" si="82">I33</f>
        <v>10265.93232</v>
      </c>
      <c r="K33" s="35">
        <f>[2]コスト!$AI$41</f>
        <v>113</v>
      </c>
      <c r="L33" s="35">
        <f t="shared" ref="L33" si="83">K33</f>
        <v>113</v>
      </c>
      <c r="M33" s="35">
        <v>31</v>
      </c>
      <c r="N33" s="35">
        <v>56</v>
      </c>
      <c r="Q33" s="37"/>
    </row>
    <row r="34" spans="1:17" ht="45.6" customHeight="1">
      <c r="A34" s="28">
        <v>44285</v>
      </c>
      <c r="C34" s="35">
        <f>[2]コスト!$AJ$147</f>
        <v>12421</v>
      </c>
      <c r="D34" s="35">
        <f t="shared" si="0"/>
        <v>12421</v>
      </c>
      <c r="E34" s="35">
        <f>[2]コスト!$AJ$23</f>
        <v>164</v>
      </c>
      <c r="F34" s="35">
        <f t="shared" si="0"/>
        <v>164</v>
      </c>
      <c r="G34" s="35">
        <f>[2]コスト!$AJ$115+'[2]30日'!$C$29</f>
        <v>4703.1539999999995</v>
      </c>
      <c r="H34" s="35">
        <f t="shared" ref="H34" si="84">G34</f>
        <v>4703.1539999999995</v>
      </c>
      <c r="I34" s="35">
        <f>[2]コスト!$AJ$91+[2]コスト!$AJ$66</f>
        <v>10685.827020000001</v>
      </c>
      <c r="J34" s="35">
        <f t="shared" ref="J34" si="85">I34</f>
        <v>10685.827020000001</v>
      </c>
      <c r="K34" s="35">
        <f>[2]コスト!$AJ$41</f>
        <v>115</v>
      </c>
      <c r="L34" s="35">
        <f t="shared" ref="L34" si="86">K34</f>
        <v>115</v>
      </c>
      <c r="M34" s="35">
        <v>34</v>
      </c>
      <c r="N34" s="35">
        <v>62</v>
      </c>
      <c r="Q34" s="37"/>
    </row>
    <row r="35" spans="1:17" ht="47.45" customHeight="1">
      <c r="A35" s="28">
        <v>44286</v>
      </c>
      <c r="C35" s="35">
        <f>[2]コスト!$AK$147</f>
        <v>12572</v>
      </c>
      <c r="D35" s="35">
        <f t="shared" si="0"/>
        <v>12572</v>
      </c>
      <c r="E35" s="35">
        <f>[2]コスト!$AK$23</f>
        <v>150</v>
      </c>
      <c r="F35" s="35">
        <f t="shared" si="0"/>
        <v>150</v>
      </c>
      <c r="G35" s="35">
        <f>[2]コスト!$AK$115+'[2]31日'!$C$29</f>
        <v>4608.9798000000001</v>
      </c>
      <c r="H35" s="35">
        <f t="shared" ref="H35" si="87">G35</f>
        <v>4608.9798000000001</v>
      </c>
      <c r="I35" s="35">
        <f>[2]コスト!$AK$91+[2]コスト!$AK$66</f>
        <v>11514.3933</v>
      </c>
      <c r="J35" s="35">
        <f t="shared" ref="J35" si="88">I35</f>
        <v>11514.3933</v>
      </c>
      <c r="K35" s="35">
        <f>[2]コスト!$AK$41</f>
        <v>125</v>
      </c>
      <c r="L35" s="35">
        <f t="shared" ref="L35" si="89">K35</f>
        <v>125</v>
      </c>
      <c r="M35" s="35">
        <v>28</v>
      </c>
      <c r="N35" s="35">
        <v>50</v>
      </c>
      <c r="Q35" s="37"/>
    </row>
    <row r="36" spans="1:17">
      <c r="D36" s="29"/>
    </row>
    <row r="37" spans="1:17">
      <c r="D37" s="29"/>
    </row>
    <row r="38" spans="1:17">
      <c r="C38" s="38">
        <f>SUM(C5:C37)</f>
        <v>396696</v>
      </c>
      <c r="E38" s="38">
        <f>SUM(E5:E37)</f>
        <v>5168</v>
      </c>
      <c r="G38" s="38">
        <f>SUM(G5:G37)</f>
        <v>102248.75459999999</v>
      </c>
      <c r="H38" s="38"/>
      <c r="I38" s="38">
        <f>SUM(I5:I37)</f>
        <v>558731.36159999995</v>
      </c>
      <c r="K38" s="38">
        <f>SUM(K5:K37)</f>
        <v>3959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2023-02-22T06:40:36Z</dcterms:modified>
</cp:coreProperties>
</file>