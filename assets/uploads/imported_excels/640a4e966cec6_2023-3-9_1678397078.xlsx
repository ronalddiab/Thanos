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"/>
    </mc:Choice>
  </mc:AlternateContent>
  <xr:revisionPtr revIDLastSave="2209" documentId="13_ncr:1_{F89848EB-FCFB-4A09-8A6B-A8126957137B}" xr6:coauthVersionLast="47" xr6:coauthVersionMax="47" xr10:uidLastSave="{03ECC6F5-A9BB-4FAA-9C61-CF80236E0537}"/>
  <bookViews>
    <workbookView xWindow="-120" yWindow="-120" windowWidth="29040" windowHeight="15720" firstSheet="3" xr2:uid="{00000000-000D-0000-FFFF-FFFF00000000}"/>
  </bookViews>
  <sheets>
    <sheet name="Total" sheetId="13" r:id="rId1"/>
    <sheet name="Submetering" sheetId="12" r:id="rId2"/>
    <sheet name="Boat" sheetId="16" r:id="rId3"/>
    <sheet name="Elect" sheetId="1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Utility Consnsumption" sheetId="11" r:id="rId13"/>
  </sheets>
  <definedNames>
    <definedName name="_xlnm.Print_Area" localSheetId="8">Consp!$A$1:$BQ$40</definedName>
    <definedName name="_xlnm.Print_Area" localSheetId="3">Elect!$A$1:$BZ$40</definedName>
    <definedName name="_xlnm.Print_Area" localSheetId="5">Gas!$A$1:$J$40</definedName>
    <definedName name="_xlnm.Print_Area" localSheetId="9">Temp.!$A$1:$J$45</definedName>
    <definedName name="_xlnm.Print_Area" localSheetId="12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6" l="1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K38" i="2" l="1"/>
  <c r="E33" i="2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0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I38" i="2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F52" i="11"/>
  <c r="G52" i="11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BU20" i="1" l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<sst xmlns="http://schemas.openxmlformats.org/spreadsheetml/2006/main" count="900" uniqueCount="418">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</sst>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7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3"/>
  <sheetViews>
    <sheetView tabSelected="1" workbookViewId="0">
      <selection activeCell="G33" sqref="G33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9</v>
      </c>
      <c r="D2" s="751">
        <v>2022</v>
      </c>
      <c r="E2" s="746">
        <f>Elect!BS6+Submetering!AH2</f>
        <v>29709.177407371164</v>
      </c>
      <c r="F2" s="744">
        <f>'Utility Consnsumption'!K13/'Utility Consnsumption'!J13</f>
        <v>1.3340973130077585</v>
      </c>
      <c r="G2" s="745">
        <f>Gas!K7+Submetering!AR2</f>
        <v>1117.4711111108213</v>
      </c>
      <c r="H2" s="744">
        <v>3.8</v>
      </c>
      <c r="I2" s="745">
        <f>Water!H7+Submetering!AM2</f>
        <v>386.28</v>
      </c>
      <c r="J2" s="744">
        <v>10</v>
      </c>
      <c r="K2" s="745">
        <f>Elect!BT6</f>
        <v>156</v>
      </c>
    </row>
    <row r="3" spans="1:12">
      <c r="A3" s="752" t="s">
        <v>11</v>
      </c>
      <c r="B3" s="729">
        <f>B2+1</f>
        <v>2</v>
      </c>
      <c r="C3" s="771">
        <v>9</v>
      </c>
      <c r="D3" s="751">
        <v>2022</v>
      </c>
      <c r="E3" s="746">
        <f>Elect!BS7+Submetering!AH3</f>
        <v>35394.695</v>
      </c>
      <c r="F3" s="744">
        <f>F2</f>
        <v>1.3340973130077585</v>
      </c>
      <c r="G3" s="745">
        <f>Gas!K8+Submetering!AR3</f>
        <v>1175.3800000000001</v>
      </c>
      <c r="H3" s="744">
        <v>3.8</v>
      </c>
      <c r="I3" s="745">
        <f>Water!H8+Submetering!AM3</f>
        <v>378.74</v>
      </c>
      <c r="J3" s="744">
        <v>10</v>
      </c>
      <c r="K3" s="745">
        <f>Elect!BT7</f>
        <v>188</v>
      </c>
    </row>
    <row r="4" spans="1:12">
      <c r="A4" s="752" t="s">
        <v>11</v>
      </c>
      <c r="B4" s="729">
        <f t="shared" ref="B4:B32" si="0">B3+1</f>
        <v>3</v>
      </c>
      <c r="C4" s="771">
        <v>9</v>
      </c>
      <c r="D4" s="751">
        <v>2022</v>
      </c>
      <c r="E4" s="746">
        <f>Elect!BS8+Submetering!AH4</f>
        <v>32298.973571428574</v>
      </c>
      <c r="F4" s="744">
        <f t="shared" ref="F4:F32" si="1">F3</f>
        <v>1.3340973130077585</v>
      </c>
      <c r="G4" s="745">
        <f>Gas!K9+Submetering!AR4</f>
        <v>1249.96</v>
      </c>
      <c r="H4" s="744">
        <v>3.8</v>
      </c>
      <c r="I4" s="745">
        <f>Water!H9+Submetering!AM4</f>
        <v>391.5</v>
      </c>
      <c r="J4" s="744">
        <v>10</v>
      </c>
      <c r="K4" s="745">
        <f>Elect!BT8</f>
        <v>162</v>
      </c>
    </row>
    <row r="5" spans="1:12">
      <c r="A5" s="752" t="s">
        <v>11</v>
      </c>
      <c r="B5" s="729">
        <f t="shared" si="0"/>
        <v>4</v>
      </c>
      <c r="C5" s="771">
        <v>9</v>
      </c>
      <c r="D5" s="751">
        <v>2022</v>
      </c>
      <c r="E5" s="746">
        <f>Elect!BS9+Submetering!AH5</f>
        <v>32919.236071428575</v>
      </c>
      <c r="F5" s="744">
        <f t="shared" si="1"/>
        <v>1.3340973130077585</v>
      </c>
      <c r="G5" s="745">
        <f>Gas!K10+Submetering!AR5</f>
        <v>1289.2</v>
      </c>
      <c r="H5" s="744">
        <v>3.8</v>
      </c>
      <c r="I5" s="745">
        <f>Water!H10+Submetering!AM5</f>
        <v>399.03999999999996</v>
      </c>
      <c r="J5" s="744">
        <v>10</v>
      </c>
      <c r="K5" s="745">
        <f>Elect!BT9</f>
        <v>164</v>
      </c>
    </row>
    <row r="6" spans="1:12">
      <c r="A6" s="752" t="s">
        <v>11</v>
      </c>
      <c r="B6" s="729">
        <f t="shared" si="0"/>
        <v>5</v>
      </c>
      <c r="C6" s="771">
        <v>9</v>
      </c>
      <c r="D6" s="751">
        <v>2022</v>
      </c>
      <c r="E6" s="746">
        <f>Elect!BS10+Submetering!AH6</f>
        <v>33207.42523809347</v>
      </c>
      <c r="F6" s="744">
        <f t="shared" si="1"/>
        <v>1.3340973130077585</v>
      </c>
      <c r="G6" s="745">
        <f>Gas!K11+Submetering!AR6</f>
        <v>1311.6</v>
      </c>
      <c r="H6" s="744">
        <v>3.8</v>
      </c>
      <c r="I6" s="745">
        <f>Water!H11+Submetering!AM6</f>
        <v>392.08</v>
      </c>
      <c r="J6" s="744">
        <v>10</v>
      </c>
      <c r="K6" s="745">
        <f>Elect!BT10</f>
        <v>131</v>
      </c>
    </row>
    <row r="7" spans="1:12">
      <c r="A7" s="752" t="s">
        <v>11</v>
      </c>
      <c r="B7" s="729">
        <f t="shared" si="0"/>
        <v>6</v>
      </c>
      <c r="C7" s="771">
        <v>9</v>
      </c>
      <c r="D7" s="751">
        <v>2022</v>
      </c>
      <c r="E7" s="746">
        <f>Elect!BS11+Submetering!AH7</f>
        <v>29181.54</v>
      </c>
      <c r="F7" s="744">
        <f t="shared" si="1"/>
        <v>1.3340973130077585</v>
      </c>
      <c r="G7" s="745">
        <f>Gas!K12+Submetering!AR7</f>
        <v>1306.5</v>
      </c>
      <c r="H7" s="744">
        <v>3.8</v>
      </c>
      <c r="I7" s="745">
        <f>Water!H12+Submetering!AM7</f>
        <v>396.14</v>
      </c>
      <c r="J7" s="744">
        <v>10</v>
      </c>
      <c r="K7" s="745">
        <f>Elect!BT11</f>
        <v>145</v>
      </c>
    </row>
    <row r="8" spans="1:12">
      <c r="A8" s="752" t="s">
        <v>11</v>
      </c>
      <c r="B8" s="729">
        <f t="shared" si="0"/>
        <v>7</v>
      </c>
      <c r="C8" s="771">
        <v>9</v>
      </c>
      <c r="D8" s="751">
        <v>2022</v>
      </c>
      <c r="E8" s="746">
        <f>Elect!BS12+Submetering!AH8</f>
        <v>30453.23</v>
      </c>
      <c r="F8" s="744">
        <f t="shared" si="1"/>
        <v>1.3340973130077585</v>
      </c>
      <c r="G8" s="745">
        <f>Gas!K13+Submetering!AR8</f>
        <v>1408.8333333300427</v>
      </c>
      <c r="H8" s="744">
        <v>3.8</v>
      </c>
      <c r="I8" s="745">
        <f>Water!H13+Submetering!AM8</f>
        <v>520.83999999999992</v>
      </c>
      <c r="J8" s="744">
        <v>10</v>
      </c>
      <c r="K8" s="745">
        <f>Elect!BT12</f>
        <v>151</v>
      </c>
    </row>
    <row r="9" spans="1:12">
      <c r="A9" s="752" t="s">
        <v>11</v>
      </c>
      <c r="B9" s="729">
        <f t="shared" si="0"/>
        <v>8</v>
      </c>
      <c r="C9" s="771">
        <v>9</v>
      </c>
      <c r="D9" s="751">
        <v>2022</v>
      </c>
      <c r="E9" s="746">
        <f>Elect!BS13+Submetering!AH9</f>
        <v>34125.642500000002</v>
      </c>
      <c r="F9" s="744">
        <f t="shared" si="1"/>
        <v>1.3340973130077585</v>
      </c>
      <c r="G9" s="745">
        <f>Gas!K14+Submetering!AR9</f>
        <v>1236.7866666699574</v>
      </c>
      <c r="H9" s="744">
        <v>3.8</v>
      </c>
      <c r="I9" s="745">
        <f>Water!H14+Submetering!AM9</f>
        <v>235.48</v>
      </c>
      <c r="J9" s="744">
        <v>10</v>
      </c>
      <c r="K9" s="745">
        <f>Elect!BT13</f>
        <v>167</v>
      </c>
    </row>
    <row r="10" spans="1:12">
      <c r="A10" s="752" t="s">
        <v>11</v>
      </c>
      <c r="B10" s="729">
        <f t="shared" si="0"/>
        <v>9</v>
      </c>
      <c r="C10" s="771">
        <v>9</v>
      </c>
      <c r="D10" s="751">
        <v>2022</v>
      </c>
      <c r="E10" s="746">
        <f>Elect!BS14+Submetering!AH10</f>
        <v>32955.85</v>
      </c>
      <c r="F10" s="744">
        <f t="shared" si="1"/>
        <v>1.3340973130077585</v>
      </c>
      <c r="G10" s="745">
        <f>Gas!K15+Submetering!AR10</f>
        <v>1387.6000000000001</v>
      </c>
      <c r="H10" s="744">
        <v>3.8</v>
      </c>
      <c r="I10" s="745">
        <f>Water!H15+Submetering!AM10</f>
        <v>403.09999999999991</v>
      </c>
      <c r="J10" s="744">
        <v>10</v>
      </c>
      <c r="K10" s="745">
        <f>Elect!BT14</f>
        <v>158</v>
      </c>
    </row>
    <row r="11" spans="1:12">
      <c r="A11" s="752" t="s">
        <v>11</v>
      </c>
      <c r="B11" s="729">
        <f t="shared" si="0"/>
        <v>10</v>
      </c>
      <c r="C11" s="771">
        <v>9</v>
      </c>
      <c r="D11" s="751">
        <v>2022</v>
      </c>
      <c r="E11" s="746">
        <f>Elect!BS15+Submetering!AH11</f>
        <v>34284.449999999997</v>
      </c>
      <c r="F11" s="744">
        <f t="shared" si="1"/>
        <v>1.3340973130077585</v>
      </c>
      <c r="G11" s="745">
        <f>Gas!K16+Submetering!AR11</f>
        <v>1328.5</v>
      </c>
      <c r="H11" s="744">
        <v>3.8</v>
      </c>
      <c r="I11" s="745">
        <f>Water!H16+Submetering!AM11</f>
        <v>386.28</v>
      </c>
      <c r="J11" s="744">
        <v>10</v>
      </c>
      <c r="K11" s="745">
        <f>Elect!BT15</f>
        <v>162</v>
      </c>
    </row>
    <row r="12" spans="1:12">
      <c r="A12" s="752" t="s">
        <v>11</v>
      </c>
      <c r="B12" s="729">
        <f t="shared" si="0"/>
        <v>11</v>
      </c>
      <c r="C12" s="771">
        <v>9</v>
      </c>
      <c r="D12" s="751">
        <v>2022</v>
      </c>
      <c r="E12" s="746">
        <f>Elect!BS16+Submetering!AH12</f>
        <v>32435.78</v>
      </c>
      <c r="F12" s="744">
        <f t="shared" si="1"/>
        <v>1.3340973130077585</v>
      </c>
      <c r="G12" s="745">
        <f>Gas!K17+Submetering!AR12</f>
        <v>1579.62</v>
      </c>
      <c r="H12" s="744">
        <v>3.8</v>
      </c>
      <c r="I12" s="745">
        <f>Water!H17+Submetering!AM12</f>
        <v>404.25999999999993</v>
      </c>
      <c r="J12" s="744">
        <v>10</v>
      </c>
      <c r="K12" s="745">
        <f>Elect!BT16</f>
        <v>186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9</v>
      </c>
      <c r="D13" s="751">
        <v>2022</v>
      </c>
      <c r="E13" s="746">
        <f>Elect!BS17+Submetering!AH13</f>
        <v>36408.320000000007</v>
      </c>
      <c r="F13" s="744">
        <f t="shared" si="1"/>
        <v>1.3340973130077585</v>
      </c>
      <c r="G13" s="745">
        <f>Gas!K18+Submetering!AR13</f>
        <v>1303.06</v>
      </c>
      <c r="H13" s="744">
        <v>3.8</v>
      </c>
      <c r="I13" s="745">
        <f>Water!H18+Submetering!AM13</f>
        <v>369.45999999999992</v>
      </c>
      <c r="J13" s="744">
        <v>10</v>
      </c>
      <c r="K13" s="745">
        <f>Elect!BT17</f>
        <v>192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9</v>
      </c>
      <c r="D14" s="751">
        <v>2022</v>
      </c>
      <c r="E14" s="746">
        <f>Elect!BS18+Submetering!AH14</f>
        <v>29593.276666701437</v>
      </c>
      <c r="F14" s="744">
        <f t="shared" si="1"/>
        <v>1.3340973130077585</v>
      </c>
      <c r="G14" s="745">
        <f>Gas!K19+Submetering!AR14</f>
        <v>1428.56</v>
      </c>
      <c r="H14" s="744">
        <v>3.8</v>
      </c>
      <c r="I14" s="745">
        <f>Water!H19+Submetering!AM14</f>
        <v>437.31999999999994</v>
      </c>
      <c r="J14" s="744">
        <v>10</v>
      </c>
      <c r="K14" s="745">
        <f>Elect!BT18</f>
        <v>154</v>
      </c>
    </row>
    <row r="15" spans="1:12">
      <c r="A15" s="752" t="s">
        <v>11</v>
      </c>
      <c r="B15" s="729">
        <f t="shared" si="0"/>
        <v>14</v>
      </c>
      <c r="C15" s="771">
        <v>9</v>
      </c>
      <c r="D15" s="751">
        <v>2022</v>
      </c>
      <c r="E15" s="746">
        <f>Elect!BS19+Submetering!AH15</f>
        <v>29486.855833298563</v>
      </c>
      <c r="F15" s="744">
        <f t="shared" si="1"/>
        <v>1.3340973130077585</v>
      </c>
      <c r="G15" s="745">
        <f>Gas!K20+Submetering!AR15</f>
        <v>1376.8200000000002</v>
      </c>
      <c r="H15" s="744">
        <v>3.8</v>
      </c>
      <c r="I15" s="745">
        <f>Water!H20+Submetering!AM15</f>
        <v>361.91999999999996</v>
      </c>
      <c r="J15" s="744">
        <v>10</v>
      </c>
      <c r="K15" s="745">
        <f>Elect!BT19</f>
        <v>187</v>
      </c>
    </row>
    <row r="16" spans="1:12">
      <c r="A16" s="752" t="s">
        <v>11</v>
      </c>
      <c r="B16" s="729">
        <f t="shared" si="0"/>
        <v>15</v>
      </c>
      <c r="C16" s="771">
        <v>9</v>
      </c>
      <c r="D16" s="751">
        <v>2022</v>
      </c>
      <c r="E16" s="746">
        <f>Elect!BS20+Submetering!AH16</f>
        <v>38683.707499999997</v>
      </c>
      <c r="F16" s="744">
        <f t="shared" si="1"/>
        <v>1.3340973130077585</v>
      </c>
      <c r="G16" s="745">
        <f>Gas!K21+Submetering!AR16</f>
        <v>1411.3133333331161</v>
      </c>
      <c r="H16" s="744">
        <v>3.8</v>
      </c>
      <c r="I16" s="745">
        <f>Water!H21+Submetering!AM16</f>
        <v>412.18666666686352</v>
      </c>
      <c r="J16" s="744">
        <v>10</v>
      </c>
      <c r="K16" s="745">
        <f>Elect!BT20</f>
        <v>223</v>
      </c>
    </row>
    <row r="17" spans="1:11">
      <c r="A17" s="752" t="s">
        <v>11</v>
      </c>
      <c r="B17" s="729">
        <f t="shared" si="0"/>
        <v>16</v>
      </c>
      <c r="C17" s="771">
        <v>9</v>
      </c>
      <c r="D17" s="751">
        <v>2022</v>
      </c>
      <c r="E17" s="746">
        <f>Elect!BS21+Submetering!AH17</f>
        <v>26240.544999999998</v>
      </c>
      <c r="F17" s="744">
        <f t="shared" si="1"/>
        <v>1.3340973130077585</v>
      </c>
      <c r="G17" s="745">
        <f>Gas!K22+Submetering!AR17</f>
        <v>1926.3866666668839</v>
      </c>
      <c r="H17" s="744">
        <v>3.8</v>
      </c>
      <c r="I17" s="745">
        <f>Water!H22+Submetering!AM17</f>
        <v>486.81333333313637</v>
      </c>
      <c r="J17" s="744">
        <v>10</v>
      </c>
      <c r="K17" s="745">
        <f>Elect!BT21</f>
        <v>253</v>
      </c>
    </row>
    <row r="18" spans="1:11">
      <c r="A18" s="752" t="s">
        <v>11</v>
      </c>
      <c r="B18" s="729">
        <f t="shared" si="0"/>
        <v>17</v>
      </c>
      <c r="C18" s="771">
        <v>9</v>
      </c>
      <c r="D18" s="751">
        <v>2022</v>
      </c>
      <c r="E18" s="746">
        <f>Elect!BS22+Submetering!AH18</f>
        <v>33917.697499999995</v>
      </c>
      <c r="F18" s="744">
        <f t="shared" si="1"/>
        <v>1.3340973130077585</v>
      </c>
      <c r="G18" s="745">
        <f>Gas!K23+Submetering!AR18</f>
        <v>1319.5800000000002</v>
      </c>
      <c r="H18" s="744">
        <v>3.8</v>
      </c>
      <c r="I18" s="745">
        <f>Water!H23+Submetering!AM18</f>
        <v>327.7</v>
      </c>
      <c r="J18" s="744">
        <v>10</v>
      </c>
      <c r="K18" s="745">
        <f>Elect!BT22</f>
        <v>197</v>
      </c>
    </row>
    <row r="19" spans="1:11">
      <c r="A19" s="752" t="s">
        <v>11</v>
      </c>
      <c r="B19" s="729">
        <f t="shared" si="0"/>
        <v>18</v>
      </c>
      <c r="C19" s="771">
        <v>9</v>
      </c>
      <c r="D19" s="751">
        <v>2022</v>
      </c>
      <c r="E19" s="746">
        <f>Elect!BS23+Submetering!AH19</f>
        <v>31695.875000000004</v>
      </c>
      <c r="F19" s="744">
        <f t="shared" si="1"/>
        <v>1.3340973130077585</v>
      </c>
      <c r="G19" s="745">
        <f>Gas!K24+Submetering!AR19</f>
        <v>1568.52</v>
      </c>
      <c r="H19" s="744">
        <v>3.8</v>
      </c>
      <c r="I19" s="745">
        <f>Water!H24+Submetering!AM19</f>
        <v>417.02</v>
      </c>
      <c r="J19" s="744">
        <v>10</v>
      </c>
      <c r="K19" s="745">
        <f>Elect!BT23</f>
        <v>212</v>
      </c>
    </row>
    <row r="20" spans="1:11">
      <c r="A20" s="752" t="s">
        <v>11</v>
      </c>
      <c r="B20" s="729">
        <f t="shared" si="0"/>
        <v>19</v>
      </c>
      <c r="C20" s="771">
        <v>9</v>
      </c>
      <c r="D20" s="751">
        <v>2022</v>
      </c>
      <c r="E20" s="746">
        <f>Elect!BS24+Submetering!AH20</f>
        <v>33929.387499999997</v>
      </c>
      <c r="F20" s="744">
        <f t="shared" si="1"/>
        <v>1.3340973130077585</v>
      </c>
      <c r="G20" s="745">
        <f>Gas!K25+Submetering!AR20</f>
        <v>1699.4</v>
      </c>
      <c r="H20" s="744">
        <v>3.8</v>
      </c>
      <c r="I20" s="745">
        <f>Water!H25+Submetering!AM20</f>
        <v>438.48</v>
      </c>
      <c r="J20" s="744">
        <v>10</v>
      </c>
      <c r="K20" s="745">
        <f>Elect!BT24</f>
        <v>179</v>
      </c>
    </row>
    <row r="21" spans="1:11">
      <c r="A21" s="752" t="s">
        <v>11</v>
      </c>
      <c r="B21" s="729">
        <f t="shared" si="0"/>
        <v>20</v>
      </c>
      <c r="C21" s="771">
        <v>9</v>
      </c>
      <c r="D21" s="751">
        <v>2022</v>
      </c>
      <c r="E21" s="746">
        <f>Elect!BS25+Submetering!AH21</f>
        <v>33124.285000000003</v>
      </c>
      <c r="F21" s="744">
        <f t="shared" si="1"/>
        <v>1.3340973130077585</v>
      </c>
      <c r="G21" s="745">
        <f>Gas!K26+Submetering!AR21</f>
        <v>1390.8000000000002</v>
      </c>
      <c r="H21" s="744">
        <v>3.8</v>
      </c>
      <c r="I21" s="745">
        <f>Water!H26+Submetering!AM21</f>
        <v>393.81999999999994</v>
      </c>
      <c r="J21" s="744">
        <v>10</v>
      </c>
      <c r="K21" s="745">
        <f>Elect!BT25</f>
        <v>213</v>
      </c>
    </row>
    <row r="22" spans="1:11">
      <c r="A22" s="752" t="s">
        <v>11</v>
      </c>
      <c r="B22" s="729">
        <f t="shared" si="0"/>
        <v>21</v>
      </c>
      <c r="C22" s="771">
        <v>9</v>
      </c>
      <c r="D22" s="751">
        <v>2022</v>
      </c>
      <c r="E22" s="746">
        <f>Elect!BS26+Submetering!AH22</f>
        <v>30992.805</v>
      </c>
      <c r="F22" s="744">
        <f t="shared" si="1"/>
        <v>1.3340973130077585</v>
      </c>
      <c r="G22" s="745">
        <f>Gas!K27+Submetering!AR22</f>
        <v>1562.4666666699575</v>
      </c>
      <c r="H22" s="744">
        <v>3.8</v>
      </c>
      <c r="I22" s="745">
        <f>Water!H27+Submetering!AM22</f>
        <v>430.35999999999996</v>
      </c>
      <c r="J22" s="744">
        <v>10</v>
      </c>
      <c r="K22" s="745">
        <f>Elect!BT26</f>
        <v>247</v>
      </c>
    </row>
    <row r="23" spans="1:11">
      <c r="A23" s="752" t="s">
        <v>11</v>
      </c>
      <c r="B23" s="729">
        <f t="shared" si="0"/>
        <v>22</v>
      </c>
      <c r="C23" s="771">
        <v>9</v>
      </c>
      <c r="D23" s="751">
        <v>2022</v>
      </c>
      <c r="E23" s="746">
        <f>Elect!BS27+Submetering!AH23</f>
        <v>35598.582500000004</v>
      </c>
      <c r="F23" s="744">
        <f t="shared" si="1"/>
        <v>1.3340973130077585</v>
      </c>
      <c r="G23" s="745">
        <f>Gas!K28+Submetering!AR23</f>
        <v>1348.1533333300429</v>
      </c>
      <c r="H23" s="744">
        <v>3.8</v>
      </c>
      <c r="I23" s="745">
        <f>Water!H28+Submetering!AM23</f>
        <v>420.49999999999994</v>
      </c>
      <c r="J23" s="744">
        <v>10</v>
      </c>
      <c r="K23" s="745">
        <f>Elect!BT27</f>
        <v>238</v>
      </c>
    </row>
    <row r="24" spans="1:11">
      <c r="A24" s="752" t="s">
        <v>11</v>
      </c>
      <c r="B24" s="729">
        <f t="shared" si="0"/>
        <v>23</v>
      </c>
      <c r="C24" s="771">
        <v>9</v>
      </c>
      <c r="D24" s="751">
        <v>2022</v>
      </c>
      <c r="E24" s="746">
        <f>Elect!BS28+Submetering!AH24</f>
        <v>29841.599999999999</v>
      </c>
      <c r="F24" s="744">
        <f t="shared" si="1"/>
        <v>1.3340973130077585</v>
      </c>
      <c r="G24" s="745">
        <f>Gas!K29+Submetering!AR24</f>
        <v>1548.7800000000002</v>
      </c>
      <c r="H24" s="744">
        <v>3.8</v>
      </c>
      <c r="I24" s="745">
        <f>Water!H29+Submetering!AM24</f>
        <v>433.83999999999992</v>
      </c>
      <c r="J24" s="744">
        <v>10</v>
      </c>
      <c r="K24" s="745">
        <f>Elect!BT28</f>
        <v>249</v>
      </c>
    </row>
    <row r="25" spans="1:11">
      <c r="A25" s="752" t="s">
        <v>11</v>
      </c>
      <c r="B25" s="729">
        <f t="shared" si="0"/>
        <v>24</v>
      </c>
      <c r="C25" s="771">
        <v>9</v>
      </c>
      <c r="D25" s="751">
        <v>2022</v>
      </c>
      <c r="E25" s="746">
        <f>Elect!BS29+Submetering!AH25</f>
        <v>30669.577499999999</v>
      </c>
      <c r="F25" s="744">
        <f t="shared" si="1"/>
        <v>1.3340973130077585</v>
      </c>
      <c r="G25" s="745">
        <f>Gas!K30+Submetering!AR25</f>
        <v>1725.4</v>
      </c>
      <c r="H25" s="744">
        <v>3.8</v>
      </c>
      <c r="I25" s="745">
        <f>Water!H30+Submetering!AM25</f>
        <v>414.69999999999993</v>
      </c>
      <c r="J25" s="744">
        <v>10</v>
      </c>
      <c r="K25" s="745">
        <f>Elect!BT29</f>
        <v>231</v>
      </c>
    </row>
    <row r="26" spans="1:11">
      <c r="A26" s="752" t="s">
        <v>11</v>
      </c>
      <c r="B26" s="729">
        <f>B25+1</f>
        <v>25</v>
      </c>
      <c r="C26" s="771">
        <v>9</v>
      </c>
      <c r="D26" s="751">
        <v>2022</v>
      </c>
      <c r="E26" s="746">
        <f>Elect!BS30+Submetering!AH26</f>
        <v>32585.862499999999</v>
      </c>
      <c r="F26" s="744">
        <f t="shared" si="1"/>
        <v>1.3340973130077585</v>
      </c>
      <c r="G26" s="745">
        <f>Gas!K31+Submetering!AR26</f>
        <v>2022.0600000000002</v>
      </c>
      <c r="H26" s="744">
        <v>3.8</v>
      </c>
      <c r="I26" s="745">
        <f>Water!H31+Submetering!AM26</f>
        <v>483.71999999999991</v>
      </c>
      <c r="J26" s="744">
        <v>10</v>
      </c>
      <c r="K26" s="745">
        <f>Elect!BT30</f>
        <v>197</v>
      </c>
    </row>
    <row r="27" spans="1:11">
      <c r="A27" s="752" t="s">
        <v>11</v>
      </c>
      <c r="B27" s="729">
        <f t="shared" si="0"/>
        <v>26</v>
      </c>
      <c r="C27" s="771">
        <v>9</v>
      </c>
      <c r="D27" s="751">
        <v>2022</v>
      </c>
      <c r="E27" s="746">
        <f>Elect!BS31+Submetering!AH27</f>
        <v>32635.902500000004</v>
      </c>
      <c r="F27" s="744">
        <f t="shared" si="1"/>
        <v>1.3340973130077585</v>
      </c>
      <c r="G27" s="745">
        <f>Gas!K32+Submetering!AR27</f>
        <v>1489.3600000000001</v>
      </c>
      <c r="H27" s="744">
        <v>3.8</v>
      </c>
      <c r="I27" s="745">
        <f>Water!H32+Submetering!AM27</f>
        <v>350.32</v>
      </c>
      <c r="J27" s="744">
        <v>10</v>
      </c>
      <c r="K27" s="745">
        <f>Elect!BT31</f>
        <v>229</v>
      </c>
    </row>
    <row r="28" spans="1:11">
      <c r="A28" s="752" t="s">
        <v>11</v>
      </c>
      <c r="B28" s="729">
        <f t="shared" si="0"/>
        <v>27</v>
      </c>
      <c r="C28" s="771">
        <v>9</v>
      </c>
      <c r="D28" s="751">
        <v>2022</v>
      </c>
      <c r="E28" s="746">
        <f>Elect!BS32+Submetering!AH28</f>
        <v>33751.894999999997</v>
      </c>
      <c r="F28" s="744">
        <f t="shared" si="1"/>
        <v>1.3340973130077585</v>
      </c>
      <c r="G28" s="745">
        <f>Gas!K33+Submetering!AR28</f>
        <v>1556.24</v>
      </c>
      <c r="H28" s="744">
        <v>3.8</v>
      </c>
      <c r="I28" s="745">
        <f>Water!H33+Submetering!AM28</f>
        <v>404.84</v>
      </c>
      <c r="J28" s="744">
        <v>10</v>
      </c>
      <c r="K28" s="745">
        <f>Elect!BT32</f>
        <v>224</v>
      </c>
    </row>
    <row r="29" spans="1:11">
      <c r="A29" s="752" t="s">
        <v>11</v>
      </c>
      <c r="B29" s="729">
        <f t="shared" si="0"/>
        <v>28</v>
      </c>
      <c r="C29" s="771">
        <v>9</v>
      </c>
      <c r="D29" s="751">
        <v>2022</v>
      </c>
      <c r="E29" s="746">
        <f>Elect!BS33+Submetering!AH29</f>
        <v>32691.674999999999</v>
      </c>
      <c r="F29" s="744">
        <f t="shared" si="1"/>
        <v>1.3340973130077585</v>
      </c>
      <c r="G29" s="745">
        <f>Gas!K34+Submetering!AR29</f>
        <v>1812.42</v>
      </c>
      <c r="H29" s="744">
        <v>3.8</v>
      </c>
      <c r="I29" s="745">
        <f>Water!H34+Submetering!AM29</f>
        <v>444.86</v>
      </c>
      <c r="J29" s="744">
        <v>10</v>
      </c>
      <c r="K29" s="745">
        <f>Elect!BT33</f>
        <v>224</v>
      </c>
    </row>
    <row r="30" spans="1:11">
      <c r="A30" s="752" t="s">
        <v>11</v>
      </c>
      <c r="B30" s="729">
        <f t="shared" si="0"/>
        <v>29</v>
      </c>
      <c r="C30" s="771">
        <v>9</v>
      </c>
      <c r="D30" s="751">
        <v>2022</v>
      </c>
      <c r="E30" s="746">
        <f>Elect!BS34+Submetering!AH30</f>
        <v>32546.497500000001</v>
      </c>
      <c r="F30" s="744">
        <f t="shared" si="1"/>
        <v>1.3340973130077585</v>
      </c>
      <c r="G30" s="745">
        <f>Gas!K35+Submetering!AR30</f>
        <v>1280.56</v>
      </c>
      <c r="H30" s="744">
        <v>3.8</v>
      </c>
      <c r="I30" s="745">
        <f>Water!H35+Submetering!AM30</f>
        <v>404.84</v>
      </c>
      <c r="J30" s="744">
        <v>10</v>
      </c>
      <c r="K30" s="745">
        <f>Elect!BT34</f>
        <v>224</v>
      </c>
    </row>
    <row r="31" spans="1:11">
      <c r="A31" s="752" t="s">
        <v>11</v>
      </c>
      <c r="B31" s="729">
        <f t="shared" si="0"/>
        <v>30</v>
      </c>
      <c r="C31" s="771">
        <v>9</v>
      </c>
      <c r="D31" s="751">
        <v>2022</v>
      </c>
      <c r="E31" s="746">
        <f>Elect!BS35+Submetering!AH31</f>
        <v>32715.792500000003</v>
      </c>
      <c r="F31" s="744">
        <f t="shared" si="1"/>
        <v>1.3340973130077585</v>
      </c>
      <c r="G31" s="745">
        <f>Gas!K36+Submetering!AR31</f>
        <v>1686.0800000000002</v>
      </c>
      <c r="H31" s="744">
        <v>3.8</v>
      </c>
      <c r="I31" s="745">
        <f>Water!H36+Submetering!AM31</f>
        <v>436.16</v>
      </c>
      <c r="J31" s="744">
        <v>10</v>
      </c>
      <c r="K31" s="745">
        <f>Elect!BT35</f>
        <v>224</v>
      </c>
    </row>
    <row r="32" spans="1:11">
      <c r="A32" s="753" t="s">
        <v>11</v>
      </c>
      <c r="B32" s="754">
        <f t="shared" si="0"/>
        <v>31</v>
      </c>
      <c r="C32" s="771">
        <v>9</v>
      </c>
      <c r="D32" s="751">
        <v>2022</v>
      </c>
      <c r="E32" s="746">
        <f>Elect!BS36+Submetering!AH32</f>
        <v>0</v>
      </c>
      <c r="F32" s="744">
        <f t="shared" si="1"/>
        <v>1.3340973130077585</v>
      </c>
      <c r="G32" s="745">
        <f>Gas!K37+Submetering!AR32</f>
        <v>0</v>
      </c>
      <c r="H32" s="744">
        <v>3.8</v>
      </c>
      <c r="I32" s="745">
        <f>Water!H37+Submetering!AM32</f>
        <v>0</v>
      </c>
      <c r="J32" s="744">
        <v>10</v>
      </c>
      <c r="K32" s="745">
        <f>Elect!BT36</f>
        <v>0</v>
      </c>
    </row>
    <row r="33" spans="7:7">
      <c r="G33" s="968"/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workbookViewId="0">
      <selection activeCell="C2" sqref="C2:C32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8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18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18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9</v>
      </c>
      <c r="D2" s="751">
        <v>2022</v>
      </c>
      <c r="E2" s="819"/>
      <c r="F2" s="738">
        <f>Elect!J6</f>
        <v>5548.333333298564</v>
      </c>
      <c r="G2" s="738">
        <f>Elect!K6</f>
        <v>3243.0000000003056</v>
      </c>
      <c r="H2" s="738">
        <f>Elect!Q6</f>
        <v>720</v>
      </c>
      <c r="I2" s="738">
        <f>Elect!S6</f>
        <v>137</v>
      </c>
      <c r="J2" s="738">
        <f>Elect!U6</f>
        <v>250</v>
      </c>
      <c r="K2" s="738">
        <f>Elect!W6</f>
        <v>4.7700000000000005</v>
      </c>
      <c r="L2" s="738">
        <f>Elect!Y6</f>
        <v>3082.8333333334981</v>
      </c>
      <c r="M2" s="738">
        <f>Elect!AA6</f>
        <v>146.28</v>
      </c>
      <c r="N2" s="738">
        <f>Elect!AC6</f>
        <v>2018.24</v>
      </c>
      <c r="O2" s="738">
        <f>Elect!AE6</f>
        <v>11.13</v>
      </c>
      <c r="P2" s="738">
        <f>Elect!AG6</f>
        <v>1555.02</v>
      </c>
      <c r="Q2" s="738">
        <f>Elect!AI6</f>
        <v>919.0200000000001</v>
      </c>
      <c r="R2" s="738">
        <f>Elect!AK6</f>
        <v>2868.36</v>
      </c>
      <c r="S2" s="738">
        <f>Elect!AM6</f>
        <v>81.266666666502132</v>
      </c>
      <c r="T2" s="738">
        <f>Elect!AP6</f>
        <v>295.65000000000003</v>
      </c>
      <c r="U2" s="738">
        <f>Elect!AR6</f>
        <v>144.66666666697711</v>
      </c>
      <c r="V2" s="738">
        <f>Elect!AT6</f>
        <v>6</v>
      </c>
      <c r="W2" s="738">
        <f>Elect!AV6</f>
        <v>57</v>
      </c>
      <c r="X2" s="738">
        <f>Elect!AX6</f>
        <v>828.74074074020609</v>
      </c>
      <c r="Y2" s="738">
        <f>Elect!AZ6</f>
        <v>443.33333333299379</v>
      </c>
      <c r="Z2" s="738">
        <f>Elect!BB6</f>
        <v>4526.666666701436</v>
      </c>
      <c r="AA2" s="738">
        <f>Elect!BD6</f>
        <v>175.66666666697711</v>
      </c>
      <c r="AB2" s="738">
        <f>Elect!BF6</f>
        <v>3.6666666667006211</v>
      </c>
      <c r="AC2" s="738">
        <f>Elect!BH6</f>
        <v>6272.5333332973069</v>
      </c>
      <c r="AD2" s="738">
        <f>Elect!BL6</f>
        <v>365.33333332999609</v>
      </c>
      <c r="AE2" s="738">
        <f>Elect!BN6</f>
        <v>1303.6666666697711</v>
      </c>
      <c r="AF2" s="738">
        <f>Elect!BP6</f>
        <v>80.333333333022892</v>
      </c>
      <c r="AG2" s="738">
        <f>Elect!BR6</f>
        <v>162</v>
      </c>
      <c r="AH2" s="738">
        <f>Boat!C4</f>
        <v>0</v>
      </c>
      <c r="AI2" s="819"/>
      <c r="AJ2" s="738">
        <f>Water!C7</f>
        <v>127.6</v>
      </c>
      <c r="AK2" s="738">
        <f>Water!E7</f>
        <v>150.79999999999998</v>
      </c>
      <c r="AL2" s="738">
        <f>Water!G7</f>
        <v>107.88</v>
      </c>
      <c r="AM2" s="738">
        <f>Boat!E4</f>
        <v>0</v>
      </c>
      <c r="AN2" s="819"/>
      <c r="AO2" s="738">
        <f>Gas!C7</f>
        <v>923.26</v>
      </c>
      <c r="AP2" s="738">
        <f>Gas!E7</f>
        <v>194.21111111082135</v>
      </c>
      <c r="AQ2" s="738">
        <f>Gas!G7</f>
        <v>81</v>
      </c>
      <c r="AR2" s="738">
        <f>Boat!G4</f>
        <v>0</v>
      </c>
      <c r="AS2" s="745">
        <f>Elect!BT6</f>
        <v>156</v>
      </c>
    </row>
    <row r="3" spans="1:45" ht="12.75" customHeight="1">
      <c r="A3" s="752" t="s">
        <v>11</v>
      </c>
      <c r="B3" s="729">
        <f>B2+1</f>
        <v>2</v>
      </c>
      <c r="C3" s="771">
        <v>9</v>
      </c>
      <c r="D3" s="751">
        <v>2022</v>
      </c>
      <c r="E3" s="819"/>
      <c r="F3" s="738">
        <f>Elect!J7</f>
        <v>6081</v>
      </c>
      <c r="G3" s="738">
        <f>Elect!K7</f>
        <v>4181</v>
      </c>
      <c r="H3" s="738">
        <f>Elect!Q7</f>
        <v>750</v>
      </c>
      <c r="I3" s="738">
        <f>Elect!S7</f>
        <v>144</v>
      </c>
      <c r="J3" s="738">
        <f>Elect!U7</f>
        <v>264</v>
      </c>
      <c r="K3" s="738">
        <f>Elect!W7</f>
        <v>0</v>
      </c>
      <c r="L3" s="738">
        <f>Elect!Y7</f>
        <v>4162.09</v>
      </c>
      <c r="M3" s="738">
        <f>Elect!AA7</f>
        <v>0</v>
      </c>
      <c r="N3" s="738">
        <f>Elect!AC7</f>
        <v>3720.6000000000004</v>
      </c>
      <c r="O3" s="738">
        <f>Elect!AE7</f>
        <v>12.190000000000001</v>
      </c>
      <c r="P3" s="738">
        <f>Elect!AG7</f>
        <v>1656.78</v>
      </c>
      <c r="Q3" s="738">
        <f>Elect!AI7</f>
        <v>1177.6600000000001</v>
      </c>
      <c r="R3" s="738">
        <f>Elect!AK7</f>
        <v>3934.19</v>
      </c>
      <c r="S3" s="738">
        <f>Elect!AM7</f>
        <v>117.66000000000001</v>
      </c>
      <c r="T3" s="738">
        <f>Elect!AP7</f>
        <v>299.02500000000003</v>
      </c>
      <c r="U3" s="738">
        <f>Elect!AR7</f>
        <v>174</v>
      </c>
      <c r="V3" s="738">
        <f>Elect!AT7</f>
        <v>0</v>
      </c>
      <c r="W3" s="738">
        <f>Elect!AV7</f>
        <v>55</v>
      </c>
      <c r="X3" s="738">
        <f>Elect!AX7</f>
        <v>1008</v>
      </c>
      <c r="Y3" s="738">
        <f>Elect!AZ7</f>
        <v>12</v>
      </c>
      <c r="Z3" s="738">
        <f>Elect!BB7</f>
        <v>5107</v>
      </c>
      <c r="AA3" s="738">
        <f>Elect!BD7</f>
        <v>217</v>
      </c>
      <c r="AB3" s="738">
        <f>Elect!BF7</f>
        <v>75</v>
      </c>
      <c r="AC3" s="738">
        <f>Elect!BH7</f>
        <v>6835.5</v>
      </c>
      <c r="AD3" s="738">
        <f>Elect!BL7</f>
        <v>524</v>
      </c>
      <c r="AE3" s="738">
        <f>Elect!BN7</f>
        <v>1459</v>
      </c>
      <c r="AF3" s="738">
        <f>Elect!BP7</f>
        <v>91</v>
      </c>
      <c r="AG3" s="738">
        <f>Elect!BR7</f>
        <v>153</v>
      </c>
      <c r="AH3" s="738">
        <f>Boat!C5</f>
        <v>0</v>
      </c>
      <c r="AI3" s="819"/>
      <c r="AJ3" s="738">
        <f>Water!C8</f>
        <v>104.39999999999999</v>
      </c>
      <c r="AK3" s="738">
        <f>Water!E8</f>
        <v>145</v>
      </c>
      <c r="AL3" s="738">
        <f>Water!G8</f>
        <v>129.34</v>
      </c>
      <c r="AM3" s="738">
        <f>Boat!E5</f>
        <v>0</v>
      </c>
      <c r="AN3" s="819"/>
      <c r="AO3" s="738">
        <f>Gas!C8</f>
        <v>935.98</v>
      </c>
      <c r="AP3" s="738">
        <f>Gas!E8</f>
        <v>239.39999999999998</v>
      </c>
      <c r="AQ3" s="738">
        <f>Gas!G8</f>
        <v>87</v>
      </c>
      <c r="AR3" s="738">
        <f>Boat!G5</f>
        <v>0</v>
      </c>
      <c r="AS3" s="745">
        <f>Elect!BT7</f>
        <v>188</v>
      </c>
    </row>
    <row r="4" spans="1:45" ht="12.75" customHeight="1">
      <c r="A4" s="752" t="s">
        <v>11</v>
      </c>
      <c r="B4" s="729">
        <f t="shared" ref="B4:B31" si="0">B3+1</f>
        <v>3</v>
      </c>
      <c r="C4" s="771">
        <v>9</v>
      </c>
      <c r="D4" s="751">
        <v>2022</v>
      </c>
      <c r="E4" s="819"/>
      <c r="F4" s="738">
        <f>Elect!J8</f>
        <v>4741</v>
      </c>
      <c r="G4" s="738">
        <f>Elect!K8</f>
        <v>3734</v>
      </c>
      <c r="H4" s="738">
        <f>Elect!Q8</f>
        <v>690</v>
      </c>
      <c r="I4" s="738">
        <f>Elect!S8</f>
        <v>132</v>
      </c>
      <c r="J4" s="738">
        <f>Elect!U8</f>
        <v>239</v>
      </c>
      <c r="K4" s="738">
        <f>Elect!W8</f>
        <v>0</v>
      </c>
      <c r="L4" s="738">
        <f>Elect!Y8</f>
        <v>3852.0400000000004</v>
      </c>
      <c r="M4" s="738">
        <f>Elect!AA8</f>
        <v>0</v>
      </c>
      <c r="N4" s="738">
        <f>Elect!AC8</f>
        <v>3416.38</v>
      </c>
      <c r="O4" s="738">
        <f>Elect!AE8</f>
        <v>10.600000000000001</v>
      </c>
      <c r="P4" s="738">
        <f>Elect!AG8</f>
        <v>1541.77</v>
      </c>
      <c r="Q4" s="738">
        <f>Elect!AI8</f>
        <v>1075.3700000000001</v>
      </c>
      <c r="R4" s="738">
        <f>Elect!AK8</f>
        <v>3631.03</v>
      </c>
      <c r="S4" s="738">
        <f>Elect!AM8</f>
        <v>109.18</v>
      </c>
      <c r="T4" s="738">
        <f>Elect!AP8</f>
        <v>299.02500000000003</v>
      </c>
      <c r="U4" s="738">
        <f>Elect!AR8</f>
        <v>160</v>
      </c>
      <c r="V4" s="738">
        <f>Elect!AT8</f>
        <v>157.02857142857198</v>
      </c>
      <c r="W4" s="738">
        <f>Elect!AV8</f>
        <v>51</v>
      </c>
      <c r="X4" s="738">
        <f>Elect!AX8</f>
        <v>913</v>
      </c>
      <c r="Y4" s="738">
        <f>Elect!AZ8</f>
        <v>10</v>
      </c>
      <c r="Z4" s="738">
        <f>Elect!BB8</f>
        <v>5174</v>
      </c>
      <c r="AA4" s="738">
        <f>Elect!BD8</f>
        <v>205</v>
      </c>
      <c r="AB4" s="738">
        <f>Elect!BF8</f>
        <v>131</v>
      </c>
      <c r="AC4" s="738">
        <f>Elect!BH8</f>
        <v>6131.55</v>
      </c>
      <c r="AD4" s="738">
        <f>Elect!BL8</f>
        <v>337</v>
      </c>
      <c r="AE4" s="738">
        <f>Elect!BN8</f>
        <v>1400</v>
      </c>
      <c r="AF4" s="738">
        <f>Elect!BP8</f>
        <v>81</v>
      </c>
      <c r="AG4" s="738">
        <f>Elect!BR8</f>
        <v>150</v>
      </c>
      <c r="AH4" s="738">
        <f>Boat!C6</f>
        <v>0</v>
      </c>
      <c r="AI4" s="819"/>
      <c r="AJ4" s="738">
        <f>Water!C9</f>
        <v>115.99999999999999</v>
      </c>
      <c r="AK4" s="738">
        <f>Water!E9</f>
        <v>145</v>
      </c>
      <c r="AL4" s="738">
        <f>Water!G9</f>
        <v>130.5</v>
      </c>
      <c r="AM4" s="738">
        <f>Boat!E6</f>
        <v>0</v>
      </c>
      <c r="AN4" s="819"/>
      <c r="AO4" s="738">
        <f>Gas!C9</f>
        <v>1013.36</v>
      </c>
      <c r="AP4" s="738">
        <f>Gas!E9</f>
        <v>236.6</v>
      </c>
      <c r="AQ4" s="738">
        <f>Gas!G9</f>
        <v>90</v>
      </c>
      <c r="AR4" s="738">
        <f>Boat!G6</f>
        <v>0</v>
      </c>
      <c r="AS4" s="745">
        <f>Elect!BT8</f>
        <v>162</v>
      </c>
    </row>
    <row r="5" spans="1:45" ht="12.75" customHeight="1">
      <c r="A5" s="752" t="s">
        <v>11</v>
      </c>
      <c r="B5" s="729">
        <f t="shared" si="0"/>
        <v>4</v>
      </c>
      <c r="C5" s="771">
        <v>9</v>
      </c>
      <c r="D5" s="751">
        <v>2022</v>
      </c>
      <c r="E5" s="819"/>
      <c r="F5" s="738">
        <f>Elect!J9</f>
        <v>4676</v>
      </c>
      <c r="G5" s="738">
        <f>Elect!K9</f>
        <v>4109</v>
      </c>
      <c r="H5" s="738">
        <f>Elect!Q9</f>
        <v>510</v>
      </c>
      <c r="I5" s="738">
        <f>Elect!S9</f>
        <v>141</v>
      </c>
      <c r="J5" s="738">
        <f>Elect!U9</f>
        <v>262</v>
      </c>
      <c r="K5" s="738">
        <f>Elect!W9</f>
        <v>2792.04</v>
      </c>
      <c r="L5" s="738">
        <f>Elect!Y9</f>
        <v>990.04000000000008</v>
      </c>
      <c r="M5" s="738">
        <f>Elect!AA9</f>
        <v>2784.6200000000003</v>
      </c>
      <c r="N5" s="738">
        <f>Elect!AC9</f>
        <v>913.72</v>
      </c>
      <c r="O5" s="738">
        <f>Elect!AE9</f>
        <v>11.66</v>
      </c>
      <c r="P5" s="738">
        <f>Elect!AG9</f>
        <v>1718.7900000000002</v>
      </c>
      <c r="Q5" s="738">
        <f>Elect!AI9</f>
        <v>1133.67</v>
      </c>
      <c r="R5" s="738">
        <f>Elect!AK9</f>
        <v>3736.5</v>
      </c>
      <c r="S5" s="738">
        <f>Elect!AM9</f>
        <v>119.78</v>
      </c>
      <c r="T5" s="738">
        <f>Elect!AP9</f>
        <v>307.23750000000001</v>
      </c>
      <c r="U5" s="738">
        <f>Elect!AR9</f>
        <v>160</v>
      </c>
      <c r="V5" s="738">
        <f>Elect!AT9</f>
        <v>157.02857142857101</v>
      </c>
      <c r="W5" s="738">
        <f>Elect!AV9</f>
        <v>68</v>
      </c>
      <c r="X5" s="738">
        <f>Elect!AX9</f>
        <v>1024</v>
      </c>
      <c r="Y5" s="738">
        <f>Elect!AZ9</f>
        <v>11</v>
      </c>
      <c r="Z5" s="738">
        <f>Elect!BB9</f>
        <v>5032</v>
      </c>
      <c r="AA5" s="738">
        <f>Elect!BD9</f>
        <v>248</v>
      </c>
      <c r="AB5" s="738">
        <f>Elect!BF9</f>
        <v>70</v>
      </c>
      <c r="AC5" s="738">
        <f>Elect!BH9</f>
        <v>6455.1500000000005</v>
      </c>
      <c r="AD5" s="738">
        <f>Elect!BL9</f>
        <v>241</v>
      </c>
      <c r="AE5" s="738">
        <f>Elect!BN9</f>
        <v>1482</v>
      </c>
      <c r="AF5" s="738">
        <f>Elect!BP9</f>
        <v>91</v>
      </c>
      <c r="AG5" s="738">
        <f>Elect!BR9</f>
        <v>163</v>
      </c>
      <c r="AH5" s="738">
        <f>Boat!C7</f>
        <v>0</v>
      </c>
      <c r="AI5" s="819"/>
      <c r="AJ5" s="738">
        <f>Water!C10</f>
        <v>115.99999999999999</v>
      </c>
      <c r="AK5" s="738">
        <f>Water!E10</f>
        <v>150.79999999999998</v>
      </c>
      <c r="AL5" s="738">
        <f>Water!G10</f>
        <v>132.23999999999998</v>
      </c>
      <c r="AM5" s="738">
        <f>Boat!E7</f>
        <v>0</v>
      </c>
      <c r="AN5" s="819"/>
      <c r="AO5" s="738">
        <f>Gas!C10</f>
        <v>1054.7</v>
      </c>
      <c r="AP5" s="738">
        <f>Gas!E10</f>
        <v>234.49999999999997</v>
      </c>
      <c r="AQ5" s="738">
        <f>Gas!G10</f>
        <v>77</v>
      </c>
      <c r="AR5" s="738">
        <f>Boat!G7</f>
        <v>0</v>
      </c>
      <c r="AS5" s="745">
        <f>Elect!BT9</f>
        <v>164</v>
      </c>
    </row>
    <row r="6" spans="1:45" ht="12.75" customHeight="1">
      <c r="A6" s="752" t="s">
        <v>11</v>
      </c>
      <c r="B6" s="729">
        <f t="shared" si="0"/>
        <v>5</v>
      </c>
      <c r="C6" s="771">
        <v>9</v>
      </c>
      <c r="D6" s="751">
        <v>2022</v>
      </c>
      <c r="E6" s="819"/>
      <c r="F6" s="738">
        <f>Elect!J10</f>
        <v>5153</v>
      </c>
      <c r="G6" s="738">
        <f>Elect!K10</f>
        <v>3846</v>
      </c>
      <c r="H6" s="738">
        <f>Elect!Q10</f>
        <v>510</v>
      </c>
      <c r="I6" s="738">
        <f>Elect!S10</f>
        <v>138</v>
      </c>
      <c r="J6" s="738">
        <f>Elect!U10</f>
        <v>247</v>
      </c>
      <c r="K6" s="738">
        <f>Elect!W10</f>
        <v>3607.71</v>
      </c>
      <c r="L6" s="738">
        <f>Elect!Y10</f>
        <v>0</v>
      </c>
      <c r="M6" s="738">
        <f>Elect!AA10</f>
        <v>3899.7400000000002</v>
      </c>
      <c r="N6" s="738">
        <f>Elect!AC10</f>
        <v>0</v>
      </c>
      <c r="O6" s="738">
        <f>Elect!AE10</f>
        <v>11.66</v>
      </c>
      <c r="P6" s="738">
        <f>Elect!AG10</f>
        <v>1652.5400000000002</v>
      </c>
      <c r="Q6" s="738">
        <f>Elect!AI10</f>
        <v>1115.6500000000001</v>
      </c>
      <c r="R6" s="738">
        <f>Elect!AK10</f>
        <v>3666.186666664898</v>
      </c>
      <c r="S6" s="738">
        <f>Elect!AM10</f>
        <v>112.36</v>
      </c>
      <c r="T6" s="738">
        <f>Elect!AP10</f>
        <v>294.3</v>
      </c>
      <c r="U6" s="738">
        <f>Elect!AR10</f>
        <v>161</v>
      </c>
      <c r="V6" s="738">
        <f>Elect!AT10</f>
        <v>157.02857142857229</v>
      </c>
      <c r="W6" s="738">
        <f>Elect!AV10</f>
        <v>70</v>
      </c>
      <c r="X6" s="738">
        <f>Elect!AX10</f>
        <v>1123</v>
      </c>
      <c r="Y6" s="738">
        <f>Elect!AZ10</f>
        <v>11</v>
      </c>
      <c r="Z6" s="738">
        <f>Elect!BB10</f>
        <v>4884</v>
      </c>
      <c r="AA6" s="738">
        <f>Elect!BD10</f>
        <v>248</v>
      </c>
      <c r="AB6" s="738">
        <f>Elect!BF10</f>
        <v>70</v>
      </c>
      <c r="AC6" s="738">
        <f>Elect!BH10</f>
        <v>6460.25</v>
      </c>
      <c r="AD6" s="738">
        <f>Elect!BL10</f>
        <v>235</v>
      </c>
      <c r="AE6" s="738">
        <f>Elect!BN10</f>
        <v>1446</v>
      </c>
      <c r="AF6" s="738">
        <f>Elect!BP10</f>
        <v>89</v>
      </c>
      <c r="AG6" s="738">
        <f>Elect!BR10</f>
        <v>139</v>
      </c>
      <c r="AH6" s="738">
        <f>Boat!C8</f>
        <v>0</v>
      </c>
      <c r="AI6" s="819"/>
      <c r="AJ6" s="738">
        <f>Water!C11</f>
        <v>110.19999999999999</v>
      </c>
      <c r="AK6" s="738">
        <f>Water!E11</f>
        <v>150.79999999999998</v>
      </c>
      <c r="AL6" s="738">
        <f>Water!G11</f>
        <v>131.07999999999998</v>
      </c>
      <c r="AM6" s="738">
        <f>Boat!E8</f>
        <v>0</v>
      </c>
      <c r="AN6" s="819"/>
      <c r="AO6" s="738">
        <f>Gas!C11</f>
        <v>1054.7</v>
      </c>
      <c r="AP6" s="738">
        <f>Gas!E11</f>
        <v>256.89999999999998</v>
      </c>
      <c r="AQ6" s="738">
        <f>Gas!G11</f>
        <v>80</v>
      </c>
      <c r="AR6" s="738">
        <f>Boat!G8</f>
        <v>0</v>
      </c>
      <c r="AS6" s="745">
        <f>Elect!BT10</f>
        <v>131</v>
      </c>
    </row>
    <row r="7" spans="1:45" ht="12.75" customHeight="1">
      <c r="A7" s="752" t="s">
        <v>11</v>
      </c>
      <c r="B7" s="729">
        <f t="shared" si="0"/>
        <v>6</v>
      </c>
      <c r="C7" s="771">
        <v>9</v>
      </c>
      <c r="D7" s="751">
        <v>2022</v>
      </c>
      <c r="E7" s="819"/>
      <c r="F7" s="738">
        <f>Elect!J11</f>
        <v>5128</v>
      </c>
      <c r="G7" s="738">
        <f>Elect!K11</f>
        <v>3772</v>
      </c>
      <c r="H7" s="738">
        <f>Elect!Q11</f>
        <v>510</v>
      </c>
      <c r="I7" s="738">
        <f>Elect!S11</f>
        <v>141</v>
      </c>
      <c r="J7" s="738">
        <f>Elect!U11</f>
        <v>251</v>
      </c>
      <c r="K7" s="738">
        <f>Elect!W11</f>
        <v>3317.8</v>
      </c>
      <c r="L7" s="738">
        <f>Elect!Y11</f>
        <v>0</v>
      </c>
      <c r="M7" s="738">
        <f>Elect!AA11</f>
        <v>3832.96</v>
      </c>
      <c r="N7" s="738">
        <f>Elect!AC11</f>
        <v>0</v>
      </c>
      <c r="O7" s="738">
        <f>Elect!AE11</f>
        <v>12.190000000000001</v>
      </c>
      <c r="P7" s="738">
        <f>Elect!AG11</f>
        <v>1662.0800000000002</v>
      </c>
      <c r="Q7" s="738">
        <f>Elect!AI11</f>
        <v>1107.7</v>
      </c>
      <c r="R7" s="738">
        <f>Elect!AK11</f>
        <v>0</v>
      </c>
      <c r="S7" s="738">
        <f>Elect!AM11</f>
        <v>107.06</v>
      </c>
      <c r="T7" s="738">
        <f>Elect!AP11</f>
        <v>308.7</v>
      </c>
      <c r="U7" s="738">
        <f>Elect!AR11</f>
        <v>170</v>
      </c>
      <c r="V7" s="738">
        <f>Elect!AT11</f>
        <v>158.59999999999971</v>
      </c>
      <c r="W7" s="738">
        <f>Elect!AV11</f>
        <v>63</v>
      </c>
      <c r="X7" s="738">
        <f>Elect!AX11</f>
        <v>1081</v>
      </c>
      <c r="Y7" s="738">
        <f>Elect!AZ11</f>
        <v>11</v>
      </c>
      <c r="Z7" s="738">
        <f>Elect!BB11</f>
        <v>4901</v>
      </c>
      <c r="AA7" s="738">
        <f>Elect!BD11</f>
        <v>280</v>
      </c>
      <c r="AB7" s="738">
        <f>Elect!BF11</f>
        <v>76</v>
      </c>
      <c r="AC7" s="738">
        <f>Elect!BH11</f>
        <v>6454.45</v>
      </c>
      <c r="AD7" s="738">
        <f>Elect!BL11</f>
        <v>240</v>
      </c>
      <c r="AE7" s="738">
        <f>Elect!BN11</f>
        <v>1446</v>
      </c>
      <c r="AF7" s="738">
        <f>Elect!BP11</f>
        <v>113</v>
      </c>
      <c r="AG7" s="738">
        <f>Elect!BR11</f>
        <v>148</v>
      </c>
      <c r="AH7" s="738">
        <f>Boat!C9</f>
        <v>0</v>
      </c>
      <c r="AI7" s="819"/>
      <c r="AJ7" s="738">
        <f>Water!C12</f>
        <v>115.99999999999999</v>
      </c>
      <c r="AK7" s="738">
        <f>Water!E12</f>
        <v>150.79999999999998</v>
      </c>
      <c r="AL7" s="738">
        <f>Water!G12</f>
        <v>129.34</v>
      </c>
      <c r="AM7" s="738">
        <f>Boat!E9</f>
        <v>0</v>
      </c>
      <c r="AN7" s="819"/>
      <c r="AO7" s="738">
        <f>Gas!C12</f>
        <v>1033.5</v>
      </c>
      <c r="AP7" s="738">
        <f>Gas!E12</f>
        <v>273</v>
      </c>
      <c r="AQ7" s="738">
        <f>Gas!G12</f>
        <v>96</v>
      </c>
      <c r="AR7" s="738">
        <f>Boat!G9</f>
        <v>0</v>
      </c>
      <c r="AS7" s="745">
        <f>Elect!BT11</f>
        <v>145</v>
      </c>
    </row>
    <row r="8" spans="1:45" ht="12.75" customHeight="1">
      <c r="A8" s="752" t="s">
        <v>11</v>
      </c>
      <c r="B8" s="729">
        <f t="shared" si="0"/>
        <v>7</v>
      </c>
      <c r="C8" s="771">
        <v>9</v>
      </c>
      <c r="D8" s="751">
        <v>2022</v>
      </c>
      <c r="E8" s="819"/>
      <c r="F8" s="738">
        <f>Elect!J12</f>
        <v>5622</v>
      </c>
      <c r="G8" s="738">
        <f>Elect!K12</f>
        <v>3804</v>
      </c>
      <c r="H8" s="738">
        <f>Elect!Q12</f>
        <v>510</v>
      </c>
      <c r="I8" s="738">
        <f>Elect!S12</f>
        <v>142</v>
      </c>
      <c r="J8" s="738">
        <f>Elect!U12</f>
        <v>257</v>
      </c>
      <c r="K8" s="738">
        <f>Elect!W12</f>
        <v>3655.4100000000003</v>
      </c>
      <c r="L8" s="738">
        <f>Elect!Y12</f>
        <v>0</v>
      </c>
      <c r="M8" s="738">
        <f>Elect!AA12</f>
        <v>3884.9</v>
      </c>
      <c r="N8" s="738">
        <f>Elect!AC12</f>
        <v>0</v>
      </c>
      <c r="O8" s="738">
        <f>Elect!AE12</f>
        <v>11.66</v>
      </c>
      <c r="P8" s="738">
        <f>Elect!AG12</f>
        <v>1636.1100000000001</v>
      </c>
      <c r="Q8" s="738">
        <f>Elect!AI12</f>
        <v>1129.96</v>
      </c>
      <c r="R8" s="738">
        <f>Elect!AK12</f>
        <v>0</v>
      </c>
      <c r="S8" s="738">
        <f>Elect!AM12</f>
        <v>110.24000000000001</v>
      </c>
      <c r="T8" s="738">
        <f>Elect!AP12</f>
        <v>302.40000000000003</v>
      </c>
      <c r="U8" s="738">
        <f>Elect!AR12</f>
        <v>162</v>
      </c>
      <c r="V8" s="738">
        <f>Elect!AT12</f>
        <v>155</v>
      </c>
      <c r="W8" s="738">
        <f>Elect!AV12</f>
        <v>67</v>
      </c>
      <c r="X8" s="738">
        <f>Elect!AX12</f>
        <v>1078</v>
      </c>
      <c r="Y8" s="738">
        <f>Elect!AZ12</f>
        <v>11</v>
      </c>
      <c r="Z8" s="738">
        <f>Elect!BB12</f>
        <v>5185</v>
      </c>
      <c r="AA8" s="738">
        <f>Elect!BD12</f>
        <v>274</v>
      </c>
      <c r="AB8" s="738">
        <f>Elect!BF12</f>
        <v>70</v>
      </c>
      <c r="AC8" s="738">
        <f>Elect!BH12</f>
        <v>6588.55</v>
      </c>
      <c r="AD8" s="738">
        <f>Elect!BL12</f>
        <v>243</v>
      </c>
      <c r="AE8" s="738">
        <f>Elect!BN12</f>
        <v>1480</v>
      </c>
      <c r="AF8" s="738">
        <f>Elect!BP12</f>
        <v>81</v>
      </c>
      <c r="AG8" s="738">
        <f>Elect!BR12</f>
        <v>140</v>
      </c>
      <c r="AH8" s="738">
        <f>Boat!C10</f>
        <v>0</v>
      </c>
      <c r="AI8" s="819"/>
      <c r="AJ8" s="738">
        <f>Water!C13</f>
        <v>150.79999999999998</v>
      </c>
      <c r="AK8" s="738">
        <f>Water!E13</f>
        <v>197.2</v>
      </c>
      <c r="AL8" s="738">
        <f>Water!G13</f>
        <v>172.83999999999997</v>
      </c>
      <c r="AM8" s="738">
        <f>Boat!E10</f>
        <v>0</v>
      </c>
      <c r="AN8" s="819"/>
      <c r="AO8" s="738">
        <f>Gas!C13</f>
        <v>1047.6333333300427</v>
      </c>
      <c r="AP8" s="738">
        <f>Gas!E13</f>
        <v>361.2</v>
      </c>
      <c r="AQ8" s="738">
        <f>Gas!G13</f>
        <v>125</v>
      </c>
      <c r="AR8" s="738">
        <f>Boat!G10</f>
        <v>0</v>
      </c>
      <c r="AS8" s="745">
        <f>Elect!BT12</f>
        <v>151</v>
      </c>
    </row>
    <row r="9" spans="1:45" ht="12.75" customHeight="1">
      <c r="A9" s="752" t="s">
        <v>11</v>
      </c>
      <c r="B9" s="729">
        <f t="shared" si="0"/>
        <v>8</v>
      </c>
      <c r="C9" s="771">
        <v>9</v>
      </c>
      <c r="D9" s="751">
        <v>2022</v>
      </c>
      <c r="E9" s="819"/>
      <c r="F9" s="738">
        <f>Elect!J13</f>
        <v>5364</v>
      </c>
      <c r="G9" s="738">
        <f>Elect!K13</f>
        <v>3780</v>
      </c>
      <c r="H9" s="738">
        <f>Elect!Q13</f>
        <v>690</v>
      </c>
      <c r="I9" s="738">
        <f>Elect!S13</f>
        <v>140</v>
      </c>
      <c r="J9" s="738">
        <f>Elect!U13</f>
        <v>251</v>
      </c>
      <c r="K9" s="738">
        <f>Elect!W13</f>
        <v>3815.4700000000003</v>
      </c>
      <c r="L9" s="738">
        <f>Elect!Y13</f>
        <v>0</v>
      </c>
      <c r="M9" s="738">
        <f>Elect!AA13</f>
        <v>3934.7200000000003</v>
      </c>
      <c r="N9" s="738">
        <f>Elect!AC13</f>
        <v>0</v>
      </c>
      <c r="O9" s="738">
        <f>Elect!AE13</f>
        <v>11.13</v>
      </c>
      <c r="P9" s="738">
        <f>Elect!AG13</f>
        <v>1661.5500000000002</v>
      </c>
      <c r="Q9" s="738">
        <f>Elect!AI13</f>
        <v>1117.24</v>
      </c>
      <c r="R9" s="738">
        <f>Elect!AK13</f>
        <v>3754.52</v>
      </c>
      <c r="S9" s="738">
        <f>Elect!AM13</f>
        <v>113.95</v>
      </c>
      <c r="T9" s="738">
        <f>Elect!AP13</f>
        <v>303.86250000000001</v>
      </c>
      <c r="U9" s="738">
        <f>Elect!AR13</f>
        <v>175</v>
      </c>
      <c r="V9" s="738">
        <f>Elect!AT13</f>
        <v>156</v>
      </c>
      <c r="W9" s="738">
        <f>Elect!AV13</f>
        <v>65</v>
      </c>
      <c r="X9" s="738">
        <f>Elect!AX13</f>
        <v>1047</v>
      </c>
      <c r="Y9" s="738">
        <f>Elect!AZ13</f>
        <v>11</v>
      </c>
      <c r="Z9" s="738">
        <f>Elect!BB13</f>
        <v>5007</v>
      </c>
      <c r="AA9" s="738">
        <f>Elect!BD13</f>
        <v>278</v>
      </c>
      <c r="AB9" s="738">
        <f>Elect!BF13</f>
        <v>64</v>
      </c>
      <c r="AC9" s="738">
        <f>Elect!BH13</f>
        <v>6556.2</v>
      </c>
      <c r="AD9" s="738">
        <f>Elect!BL13</f>
        <v>251</v>
      </c>
      <c r="AE9" s="738">
        <f>Elect!BN13</f>
        <v>1485</v>
      </c>
      <c r="AF9" s="738">
        <f>Elect!BP13</f>
        <v>79</v>
      </c>
      <c r="AG9" s="738">
        <f>Elect!BR13</f>
        <v>160</v>
      </c>
      <c r="AH9" s="738">
        <f>Boat!C11</f>
        <v>0</v>
      </c>
      <c r="AI9" s="819"/>
      <c r="AJ9" s="738">
        <f>Water!C14</f>
        <v>63.8</v>
      </c>
      <c r="AK9" s="738">
        <f>Water!E14</f>
        <v>81.199999999999989</v>
      </c>
      <c r="AL9" s="738">
        <f>Water!G14</f>
        <v>90.47999999999999</v>
      </c>
      <c r="AM9" s="738">
        <f>Boat!E11</f>
        <v>0</v>
      </c>
      <c r="AN9" s="819"/>
      <c r="AO9" s="738">
        <f>Gas!C14</f>
        <v>1026.7866666699574</v>
      </c>
      <c r="AP9" s="738">
        <f>Gas!E14</f>
        <v>210</v>
      </c>
      <c r="AQ9" s="738">
        <f>Gas!G14</f>
        <v>50</v>
      </c>
      <c r="AR9" s="738">
        <f>Boat!G11</f>
        <v>0</v>
      </c>
      <c r="AS9" s="745">
        <f>Elect!BT13</f>
        <v>167</v>
      </c>
    </row>
    <row r="10" spans="1:45" ht="12.75" customHeight="1">
      <c r="A10" s="752" t="s">
        <v>11</v>
      </c>
      <c r="B10" s="729">
        <f t="shared" si="0"/>
        <v>9</v>
      </c>
      <c r="C10" s="771">
        <v>9</v>
      </c>
      <c r="D10" s="751">
        <v>2022</v>
      </c>
      <c r="E10" s="819"/>
      <c r="F10" s="738">
        <f>Elect!J14</f>
        <v>5235</v>
      </c>
      <c r="G10" s="738">
        <f>Elect!K14</f>
        <v>3742</v>
      </c>
      <c r="H10" s="738">
        <f>Elect!Q14</f>
        <v>420</v>
      </c>
      <c r="I10" s="738">
        <f>Elect!S14</f>
        <v>136</v>
      </c>
      <c r="J10" s="738">
        <f>Elect!U14</f>
        <v>248</v>
      </c>
      <c r="K10" s="738">
        <f>Elect!W14</f>
        <v>3679.26</v>
      </c>
      <c r="L10" s="738">
        <f>Elect!Y14</f>
        <v>0</v>
      </c>
      <c r="M10" s="738">
        <f>Elect!AA14</f>
        <v>3022.59</v>
      </c>
      <c r="N10" s="738">
        <f>Elect!AC14</f>
        <v>893.05000000000007</v>
      </c>
      <c r="O10" s="738">
        <f>Elect!AE14</f>
        <v>11.66</v>
      </c>
      <c r="P10" s="738">
        <f>Elect!AG14</f>
        <v>1575.16</v>
      </c>
      <c r="Q10" s="738">
        <f>Elect!AI14</f>
        <v>1106.6400000000001</v>
      </c>
      <c r="R10" s="738">
        <f>Elect!AK14</f>
        <v>3727.4900000000002</v>
      </c>
      <c r="S10" s="738">
        <f>Elect!AM14</f>
        <v>108.65</v>
      </c>
      <c r="T10" s="738">
        <f>Elect!AP14</f>
        <v>270.45</v>
      </c>
      <c r="U10" s="738">
        <f>Elect!AR14</f>
        <v>151</v>
      </c>
      <c r="V10" s="738">
        <f>Elect!AT14</f>
        <v>155</v>
      </c>
      <c r="W10" s="738">
        <f>Elect!AV14</f>
        <v>44</v>
      </c>
      <c r="X10" s="738">
        <f>Elect!AX14</f>
        <v>1057</v>
      </c>
      <c r="Y10" s="738">
        <f>Elect!AZ14</f>
        <v>11</v>
      </c>
      <c r="Z10" s="738">
        <f>Elect!BB14</f>
        <v>4840</v>
      </c>
      <c r="AA10" s="738">
        <f>Elect!BD14</f>
        <v>208</v>
      </c>
      <c r="AB10" s="738">
        <f>Elect!BF14</f>
        <v>67</v>
      </c>
      <c r="AC10" s="738">
        <f>Elect!BH14</f>
        <v>6372.9</v>
      </c>
      <c r="AD10" s="738">
        <f>Elect!BL14</f>
        <v>272</v>
      </c>
      <c r="AE10" s="738">
        <f>Elect!BN14</f>
        <v>1408</v>
      </c>
      <c r="AF10" s="738">
        <f>Elect!BP14</f>
        <v>90</v>
      </c>
      <c r="AG10" s="738">
        <f>Elect!BR14</f>
        <v>153</v>
      </c>
      <c r="AH10" s="738">
        <f>Boat!C12</f>
        <v>0</v>
      </c>
      <c r="AI10" s="819"/>
      <c r="AJ10" s="738">
        <f>Water!C15</f>
        <v>115.99999999999999</v>
      </c>
      <c r="AK10" s="738">
        <f>Water!E15</f>
        <v>150.79999999999998</v>
      </c>
      <c r="AL10" s="738">
        <f>Water!G15</f>
        <v>136.29999999999998</v>
      </c>
      <c r="AM10" s="738">
        <f>Boat!E12</f>
        <v>0</v>
      </c>
      <c r="AN10" s="819"/>
      <c r="AO10" s="738">
        <f>Gas!C15</f>
        <v>1097.1000000000001</v>
      </c>
      <c r="AP10" s="738">
        <f>Gas!E15</f>
        <v>290.5</v>
      </c>
      <c r="AQ10" s="738">
        <f>Gas!G15</f>
        <v>95</v>
      </c>
      <c r="AR10" s="738">
        <f>Boat!G12</f>
        <v>0</v>
      </c>
      <c r="AS10" s="745">
        <f>Elect!BT14</f>
        <v>158</v>
      </c>
    </row>
    <row r="11" spans="1:45" ht="12.75" customHeight="1">
      <c r="A11" s="752" t="s">
        <v>11</v>
      </c>
      <c r="B11" s="729">
        <f t="shared" si="0"/>
        <v>10</v>
      </c>
      <c r="C11" s="771">
        <v>9</v>
      </c>
      <c r="D11" s="751">
        <v>2022</v>
      </c>
      <c r="E11" s="819"/>
      <c r="F11" s="738">
        <f>Elect!J15</f>
        <v>5407</v>
      </c>
      <c r="G11" s="738">
        <f>Elect!K15</f>
        <v>3663</v>
      </c>
      <c r="H11" s="738">
        <f>Elect!Q15</f>
        <v>660</v>
      </c>
      <c r="I11" s="738">
        <f>Elect!S15</f>
        <v>146</v>
      </c>
      <c r="J11" s="738">
        <f>Elect!U15</f>
        <v>266</v>
      </c>
      <c r="K11" s="738">
        <f>Elect!W15</f>
        <v>3428.57</v>
      </c>
      <c r="L11" s="738">
        <f>Elect!Y15</f>
        <v>0</v>
      </c>
      <c r="M11" s="738">
        <f>Elect!AA15</f>
        <v>0</v>
      </c>
      <c r="N11" s="738">
        <f>Elect!AC15</f>
        <v>3834.55</v>
      </c>
      <c r="O11" s="738">
        <f>Elect!AE15</f>
        <v>13.25</v>
      </c>
      <c r="P11" s="738">
        <f>Elect!AG15</f>
        <v>1659.96</v>
      </c>
      <c r="Q11" s="738">
        <f>Elect!AI15</f>
        <v>1146.92</v>
      </c>
      <c r="R11" s="738">
        <f>Elect!AK15</f>
        <v>3861.05</v>
      </c>
      <c r="S11" s="738">
        <f>Elect!AM15</f>
        <v>116.60000000000001</v>
      </c>
      <c r="T11" s="738">
        <f>Elect!AP15</f>
        <v>303.3</v>
      </c>
      <c r="U11" s="738">
        <f>Elect!AR15</f>
        <v>178</v>
      </c>
      <c r="V11" s="738">
        <f>Elect!AT15</f>
        <v>166</v>
      </c>
      <c r="W11" s="738">
        <f>Elect!AV15</f>
        <v>50</v>
      </c>
      <c r="X11" s="738">
        <f>Elect!AX15</f>
        <v>1043</v>
      </c>
      <c r="Y11" s="738">
        <f>Elect!AZ15</f>
        <v>12</v>
      </c>
      <c r="Z11" s="738">
        <f>Elect!BB15</f>
        <v>5238</v>
      </c>
      <c r="AA11" s="738">
        <f>Elect!BD15</f>
        <v>201</v>
      </c>
      <c r="AB11" s="738">
        <f>Elect!BF15</f>
        <v>76</v>
      </c>
      <c r="AC11" s="738">
        <f>Elect!BH15</f>
        <v>6889.25</v>
      </c>
      <c r="AD11" s="738">
        <f>Elect!BL15</f>
        <v>296</v>
      </c>
      <c r="AE11" s="738">
        <f>Elect!BN15</f>
        <v>1539</v>
      </c>
      <c r="AF11" s="738">
        <f>Elect!BP15</f>
        <v>96</v>
      </c>
      <c r="AG11" s="738">
        <f>Elect!BR15</f>
        <v>143</v>
      </c>
      <c r="AH11" s="738">
        <f>Boat!C13</f>
        <v>0</v>
      </c>
      <c r="AI11" s="819"/>
      <c r="AJ11" s="738">
        <f>Water!C16</f>
        <v>110.19999999999999</v>
      </c>
      <c r="AK11" s="738">
        <f>Water!E16</f>
        <v>145</v>
      </c>
      <c r="AL11" s="738">
        <f>Water!G16</f>
        <v>131.07999999999998</v>
      </c>
      <c r="AM11" s="738">
        <f>Boat!E13</f>
        <v>0</v>
      </c>
      <c r="AN11" s="819"/>
      <c r="AO11" s="738">
        <f>Gas!C16</f>
        <v>1065.3</v>
      </c>
      <c r="AP11" s="738">
        <f>Gas!E16</f>
        <v>263.2</v>
      </c>
      <c r="AQ11" s="738">
        <f>Gas!G16</f>
        <v>78</v>
      </c>
      <c r="AR11" s="738">
        <f>Boat!G13</f>
        <v>0</v>
      </c>
      <c r="AS11" s="745">
        <f>Elect!BT15</f>
        <v>162</v>
      </c>
    </row>
    <row r="12" spans="1:45" ht="12.75" customHeight="1">
      <c r="A12" s="752" t="s">
        <v>11</v>
      </c>
      <c r="B12" s="729">
        <f t="shared" si="0"/>
        <v>11</v>
      </c>
      <c r="C12" s="771">
        <v>9</v>
      </c>
      <c r="D12" s="751">
        <v>2022</v>
      </c>
      <c r="E12" s="819"/>
      <c r="F12" s="738">
        <f>Elect!J16</f>
        <v>5425</v>
      </c>
      <c r="G12" s="738">
        <f>Elect!K16</f>
        <v>3653</v>
      </c>
      <c r="H12" s="738">
        <f>Elect!Q16</f>
        <v>450</v>
      </c>
      <c r="I12" s="738">
        <f>Elect!S16</f>
        <v>137</v>
      </c>
      <c r="J12" s="738">
        <f>Elect!U16</f>
        <v>250</v>
      </c>
      <c r="K12" s="738">
        <f>Elect!W16</f>
        <v>3217.63</v>
      </c>
      <c r="L12" s="738">
        <f>Elect!Y16</f>
        <v>0</v>
      </c>
      <c r="M12" s="738">
        <f>Elect!AA16</f>
        <v>0</v>
      </c>
      <c r="N12" s="738">
        <f>Elect!AC16</f>
        <v>3582.8</v>
      </c>
      <c r="O12" s="738">
        <f>Elect!AE16</f>
        <v>12.190000000000001</v>
      </c>
      <c r="P12" s="738">
        <f>Elect!AG16</f>
        <v>1573.5700000000002</v>
      </c>
      <c r="Q12" s="738">
        <f>Elect!AI16</f>
        <v>1097.6300000000001</v>
      </c>
      <c r="R12" s="738">
        <f>Elect!AK16</f>
        <v>3705.76</v>
      </c>
      <c r="S12" s="738">
        <f>Elect!AM16</f>
        <v>116.60000000000001</v>
      </c>
      <c r="T12" s="738">
        <f>Elect!AP16</f>
        <v>292.05</v>
      </c>
      <c r="U12" s="738">
        <f>Elect!AR16</f>
        <v>148</v>
      </c>
      <c r="V12" s="738">
        <f>Elect!AT16</f>
        <v>150</v>
      </c>
      <c r="W12" s="738">
        <f>Elect!AV16</f>
        <v>61</v>
      </c>
      <c r="X12" s="738">
        <f>Elect!AX16</f>
        <v>1028</v>
      </c>
      <c r="Y12" s="738">
        <f>Elect!AZ16</f>
        <v>11</v>
      </c>
      <c r="Z12" s="738">
        <f>Elect!BB16</f>
        <v>4976</v>
      </c>
      <c r="AA12" s="738">
        <f>Elect!BD16</f>
        <v>202</v>
      </c>
      <c r="AB12" s="738">
        <f>Elect!BF16</f>
        <v>71</v>
      </c>
      <c r="AC12" s="738">
        <f>Elect!BH16</f>
        <v>6315.55</v>
      </c>
      <c r="AD12" s="738">
        <f>Elect!BL16</f>
        <v>278</v>
      </c>
      <c r="AE12" s="738">
        <f>Elect!BN16</f>
        <v>1397</v>
      </c>
      <c r="AF12" s="738">
        <f>Elect!BP16</f>
        <v>104</v>
      </c>
      <c r="AG12" s="738">
        <f>Elect!BR16</f>
        <v>155</v>
      </c>
      <c r="AH12" s="738">
        <f>Boat!C14</f>
        <v>0</v>
      </c>
      <c r="AI12" s="819"/>
      <c r="AJ12" s="738">
        <f>Water!C17</f>
        <v>110.19999999999999</v>
      </c>
      <c r="AK12" s="738">
        <f>Water!E17</f>
        <v>156.6</v>
      </c>
      <c r="AL12" s="738">
        <f>Water!G17</f>
        <v>137.45999999999998</v>
      </c>
      <c r="AM12" s="738">
        <f>Boat!E14</f>
        <v>0</v>
      </c>
      <c r="AN12" s="819"/>
      <c r="AO12" s="738">
        <f>Gas!C17</f>
        <v>1231.72</v>
      </c>
      <c r="AP12" s="738">
        <f>Gas!E17</f>
        <v>347.9</v>
      </c>
      <c r="AQ12" s="738">
        <f>Gas!G17</f>
        <v>57</v>
      </c>
      <c r="AR12" s="738">
        <f>Boat!G14</f>
        <v>0</v>
      </c>
      <c r="AS12" s="745">
        <f>Elect!BT16</f>
        <v>186</v>
      </c>
    </row>
    <row r="13" spans="1:45" ht="12.75" customHeight="1">
      <c r="A13" s="752" t="s">
        <v>11</v>
      </c>
      <c r="B13" s="729">
        <f t="shared" si="0"/>
        <v>12</v>
      </c>
      <c r="C13" s="771">
        <v>9</v>
      </c>
      <c r="D13" s="751">
        <v>2022</v>
      </c>
      <c r="E13" s="819"/>
      <c r="F13" s="738">
        <f>Elect!J17</f>
        <v>5593</v>
      </c>
      <c r="G13" s="738">
        <f>Elect!K17</f>
        <v>4182</v>
      </c>
      <c r="H13" s="738">
        <f>Elect!Q17</f>
        <v>750</v>
      </c>
      <c r="I13" s="738">
        <f>Elect!S17</f>
        <v>140</v>
      </c>
      <c r="J13" s="738">
        <f>Elect!U17</f>
        <v>254</v>
      </c>
      <c r="K13" s="738">
        <f>Elect!W17</f>
        <v>3750.28</v>
      </c>
      <c r="L13" s="738">
        <f>Elect!Y17</f>
        <v>0</v>
      </c>
      <c r="M13" s="738">
        <f>Elect!AA17</f>
        <v>0</v>
      </c>
      <c r="N13" s="738">
        <f>Elect!AC17</f>
        <v>3899.7400000000002</v>
      </c>
      <c r="O13" s="738">
        <f>Elect!AE17</f>
        <v>24.380000000000003</v>
      </c>
      <c r="P13" s="738">
        <f>Elect!AG17</f>
        <v>3499.59</v>
      </c>
      <c r="Q13" s="738">
        <f>Elect!AI17</f>
        <v>1331.3600000000001</v>
      </c>
      <c r="R13" s="738">
        <f>Elect!AK17</f>
        <v>3809.11</v>
      </c>
      <c r="S13" s="738">
        <f>Elect!AM17</f>
        <v>120.31</v>
      </c>
      <c r="T13" s="738">
        <f>Elect!AP17</f>
        <v>202.5</v>
      </c>
      <c r="U13" s="738">
        <f>Elect!AR17</f>
        <v>241</v>
      </c>
      <c r="V13" s="738">
        <f>Elect!AT17</f>
        <v>203</v>
      </c>
      <c r="W13" s="738">
        <f>Elect!AV17</f>
        <v>63</v>
      </c>
      <c r="X13" s="738">
        <f>Elect!AX17</f>
        <v>1013</v>
      </c>
      <c r="Y13" s="738">
        <f>Elect!AZ17</f>
        <v>11</v>
      </c>
      <c r="Z13" s="738">
        <f>Elect!BB17</f>
        <v>5034</v>
      </c>
      <c r="AA13" s="738">
        <f>Elect!BD17</f>
        <v>227</v>
      </c>
      <c r="AB13" s="738">
        <f>Elect!BF17</f>
        <v>70</v>
      </c>
      <c r="AC13" s="738">
        <f>Elect!BH17</f>
        <v>6566.05</v>
      </c>
      <c r="AD13" s="738">
        <f>Elect!BL17</f>
        <v>281</v>
      </c>
      <c r="AE13" s="738">
        <f>Elect!BN17</f>
        <v>1436</v>
      </c>
      <c r="AF13" s="738">
        <f>Elect!BP17</f>
        <v>115</v>
      </c>
      <c r="AG13" s="738">
        <f>Elect!BR17</f>
        <v>154</v>
      </c>
      <c r="AH13" s="738">
        <f>Boat!C15</f>
        <v>0</v>
      </c>
      <c r="AI13" s="819"/>
      <c r="AJ13" s="738">
        <f>Water!C18</f>
        <v>110.19999999999999</v>
      </c>
      <c r="AK13" s="738">
        <f>Water!E18</f>
        <v>133.39999999999998</v>
      </c>
      <c r="AL13" s="738">
        <f>Water!G18</f>
        <v>125.85999999999999</v>
      </c>
      <c r="AM13" s="738">
        <f>Boat!E15</f>
        <v>0</v>
      </c>
      <c r="AN13" s="819"/>
      <c r="AO13" s="738">
        <f>Gas!C18</f>
        <v>1114.06</v>
      </c>
      <c r="AP13" s="738">
        <f>Gas!E18</f>
        <v>189</v>
      </c>
      <c r="AQ13" s="738">
        <f>Gas!G18</f>
        <v>104</v>
      </c>
      <c r="AR13" s="738">
        <f>Boat!G15</f>
        <v>0</v>
      </c>
      <c r="AS13" s="745">
        <f>Elect!BT17</f>
        <v>192</v>
      </c>
    </row>
    <row r="14" spans="1:45" ht="12.75" customHeight="1">
      <c r="A14" s="752" t="s">
        <v>11</v>
      </c>
      <c r="B14" s="729">
        <f t="shared" si="0"/>
        <v>13</v>
      </c>
      <c r="C14" s="771">
        <v>9</v>
      </c>
      <c r="D14" s="751">
        <v>2022</v>
      </c>
      <c r="E14" s="819"/>
      <c r="F14" s="738">
        <f>Elect!J18</f>
        <v>5351</v>
      </c>
      <c r="G14" s="738">
        <f>Elect!K18</f>
        <v>4382</v>
      </c>
      <c r="H14" s="738">
        <f>Elect!Q18</f>
        <v>750</v>
      </c>
      <c r="I14" s="738">
        <f>Elect!S18</f>
        <v>143</v>
      </c>
      <c r="J14" s="738">
        <f>Elect!U18</f>
        <v>267</v>
      </c>
      <c r="K14" s="738">
        <f>Elect!W18</f>
        <v>3599.23</v>
      </c>
      <c r="L14" s="738">
        <f>Elect!Y18</f>
        <v>0</v>
      </c>
      <c r="M14" s="738">
        <f>Elect!AA18</f>
        <v>0</v>
      </c>
      <c r="N14" s="738">
        <f>Elect!AC18</f>
        <v>1809.42</v>
      </c>
      <c r="O14" s="738">
        <f>Elect!AE18</f>
        <v>0</v>
      </c>
      <c r="P14" s="738">
        <f>Elect!AG18</f>
        <v>0</v>
      </c>
      <c r="Q14" s="738">
        <f>Elect!AI18</f>
        <v>901</v>
      </c>
      <c r="R14" s="738">
        <f>Elect!AK18</f>
        <v>3740.21</v>
      </c>
      <c r="S14" s="738">
        <f>Elect!AM18</f>
        <v>106</v>
      </c>
      <c r="T14" s="738">
        <f>Elect!AP18</f>
        <v>416.25</v>
      </c>
      <c r="U14" s="738">
        <f>Elect!AR18</f>
        <v>100</v>
      </c>
      <c r="V14" s="738">
        <f>Elect!AT18</f>
        <v>70</v>
      </c>
      <c r="W14" s="738">
        <f>Elect!AV18</f>
        <v>66</v>
      </c>
      <c r="X14" s="738">
        <f>Elect!AX18</f>
        <v>991</v>
      </c>
      <c r="Y14" s="738">
        <f>Elect!AZ18</f>
        <v>12</v>
      </c>
      <c r="Z14" s="738">
        <f>Elect!BB18</f>
        <v>5005</v>
      </c>
      <c r="AA14" s="738">
        <f>Elect!BD18</f>
        <v>235</v>
      </c>
      <c r="AB14" s="738">
        <f>Elect!BF18</f>
        <v>71</v>
      </c>
      <c r="AC14" s="738">
        <f>Elect!BH18</f>
        <v>6370.166666701436</v>
      </c>
      <c r="AD14" s="738">
        <f>Elect!BL18</f>
        <v>286</v>
      </c>
      <c r="AE14" s="738">
        <f>Elect!BN18</f>
        <v>1449</v>
      </c>
      <c r="AF14" s="738">
        <f>Elect!BP18</f>
        <v>121</v>
      </c>
      <c r="AG14" s="738">
        <f>Elect!BR18</f>
        <v>160</v>
      </c>
      <c r="AH14" s="738">
        <f>Boat!C16</f>
        <v>0</v>
      </c>
      <c r="AI14" s="819"/>
      <c r="AJ14" s="738">
        <f>Water!C19</f>
        <v>145</v>
      </c>
      <c r="AK14" s="738">
        <f>Water!E19</f>
        <v>162.39999999999998</v>
      </c>
      <c r="AL14" s="738">
        <f>Water!G19</f>
        <v>129.91999999999999</v>
      </c>
      <c r="AM14" s="738">
        <f>Boat!E16</f>
        <v>0</v>
      </c>
      <c r="AN14" s="819"/>
      <c r="AO14" s="738">
        <f>Gas!C19</f>
        <v>1135.26</v>
      </c>
      <c r="AP14" s="738">
        <f>Gas!E19</f>
        <v>293.29999999999995</v>
      </c>
      <c r="AQ14" s="738">
        <f>Gas!G19</f>
        <v>82</v>
      </c>
      <c r="AR14" s="738">
        <f>Boat!G16</f>
        <v>0</v>
      </c>
      <c r="AS14" s="745">
        <f>Elect!BT18</f>
        <v>154</v>
      </c>
    </row>
    <row r="15" spans="1:45" ht="12.75" customHeight="1">
      <c r="A15" s="752" t="s">
        <v>11</v>
      </c>
      <c r="B15" s="729">
        <f t="shared" si="0"/>
        <v>14</v>
      </c>
      <c r="C15" s="771">
        <v>9</v>
      </c>
      <c r="D15" s="751">
        <v>2022</v>
      </c>
      <c r="E15" s="819"/>
      <c r="F15" s="738">
        <f>Elect!J19</f>
        <v>5498</v>
      </c>
      <c r="G15" s="738">
        <f>Elect!K19</f>
        <v>4303</v>
      </c>
      <c r="H15" s="738">
        <f>Elect!Q19</f>
        <v>810</v>
      </c>
      <c r="I15" s="738">
        <f>Elect!S19</f>
        <v>143</v>
      </c>
      <c r="J15" s="738">
        <f>Elect!U19</f>
        <v>249</v>
      </c>
      <c r="K15" s="738">
        <f>Elect!W19</f>
        <v>2924.01</v>
      </c>
      <c r="L15" s="738">
        <f>Elect!Y19</f>
        <v>0</v>
      </c>
      <c r="M15" s="738">
        <f>Elect!AA19</f>
        <v>0</v>
      </c>
      <c r="N15" s="738">
        <f>Elect!AC19</f>
        <v>0</v>
      </c>
      <c r="O15" s="738">
        <f>Elect!AE19</f>
        <v>12.190000000000001</v>
      </c>
      <c r="P15" s="738">
        <f>Elect!AG19</f>
        <v>1473.4</v>
      </c>
      <c r="Q15" s="738">
        <f>Elect!AI19</f>
        <v>1031.9100000000001</v>
      </c>
      <c r="R15" s="738">
        <f>Elect!AK19</f>
        <v>3605.0600000000004</v>
      </c>
      <c r="S15" s="738">
        <f>Elect!AM19</f>
        <v>115.54</v>
      </c>
      <c r="T15" s="738">
        <f>Elect!AP19</f>
        <v>282.71250000000003</v>
      </c>
      <c r="U15" s="738">
        <f>Elect!AR19</f>
        <v>155</v>
      </c>
      <c r="V15" s="738">
        <f>Elect!AT19</f>
        <v>107</v>
      </c>
      <c r="W15" s="738">
        <f>Elect!AV19</f>
        <v>67</v>
      </c>
      <c r="X15" s="738">
        <f>Elect!AX19</f>
        <v>989</v>
      </c>
      <c r="Y15" s="738">
        <f>Elect!AZ19</f>
        <v>11</v>
      </c>
      <c r="Z15" s="738">
        <f>Elect!BB19</f>
        <v>5334</v>
      </c>
      <c r="AA15" s="738">
        <f>Elect!BD19</f>
        <v>232</v>
      </c>
      <c r="AB15" s="738">
        <f>Elect!BF19</f>
        <v>71</v>
      </c>
      <c r="AC15" s="738">
        <f>Elect!BH19</f>
        <v>6768.0333332985638</v>
      </c>
      <c r="AD15" s="738">
        <f>Elect!BL19</f>
        <v>288</v>
      </c>
      <c r="AE15" s="738">
        <f>Elect!BN19</f>
        <v>1416</v>
      </c>
      <c r="AF15" s="738">
        <f>Elect!BP19</f>
        <v>118</v>
      </c>
      <c r="AG15" s="738">
        <f>Elect!BR19</f>
        <v>159</v>
      </c>
      <c r="AH15" s="738">
        <f>Boat!C17</f>
        <v>0</v>
      </c>
      <c r="AI15" s="819"/>
      <c r="AJ15" s="738">
        <f>Water!C20</f>
        <v>87</v>
      </c>
      <c r="AK15" s="738">
        <f>Water!E20</f>
        <v>145</v>
      </c>
      <c r="AL15" s="738">
        <f>Water!G20</f>
        <v>129.91999999999999</v>
      </c>
      <c r="AM15" s="738">
        <f>Boat!E17</f>
        <v>0</v>
      </c>
      <c r="AN15" s="819"/>
      <c r="AO15" s="738">
        <f>Gas!C20</f>
        <v>1141.6200000000001</v>
      </c>
      <c r="AP15" s="738">
        <f>Gas!E20</f>
        <v>235.2</v>
      </c>
      <c r="AQ15" s="738">
        <f>Gas!G20</f>
        <v>74</v>
      </c>
      <c r="AR15" s="738">
        <f>Boat!G17</f>
        <v>0</v>
      </c>
      <c r="AS15" s="745">
        <f>Elect!BT19</f>
        <v>187</v>
      </c>
    </row>
    <row r="16" spans="1:45" ht="12.75" customHeight="1">
      <c r="A16" s="752" t="s">
        <v>11</v>
      </c>
      <c r="B16" s="729">
        <f t="shared" si="0"/>
        <v>15</v>
      </c>
      <c r="C16" s="771">
        <v>9</v>
      </c>
      <c r="D16" s="751">
        <v>2022</v>
      </c>
      <c r="E16" s="819"/>
      <c r="F16" s="738">
        <f>Elect!J20</f>
        <v>6576</v>
      </c>
      <c r="G16" s="738">
        <f>Elect!K20</f>
        <v>4664</v>
      </c>
      <c r="H16" s="738">
        <f>Elect!Q20</f>
        <v>900</v>
      </c>
      <c r="I16" s="738">
        <f>Elect!S20</f>
        <v>171</v>
      </c>
      <c r="J16" s="738">
        <f>Elect!U20</f>
        <v>292</v>
      </c>
      <c r="K16" s="738">
        <f>Elect!W20</f>
        <v>3954.3300000000004</v>
      </c>
      <c r="L16" s="738">
        <f>Elect!Y20</f>
        <v>0</v>
      </c>
      <c r="M16" s="738">
        <f>Elect!AA20</f>
        <v>3073.4700000000003</v>
      </c>
      <c r="N16" s="738">
        <f>Elect!AC20</f>
        <v>1286.3100000000002</v>
      </c>
      <c r="O16" s="738">
        <f>Elect!AE20</f>
        <v>14.31</v>
      </c>
      <c r="P16" s="738">
        <f>Elect!AG20</f>
        <v>1074.8400000000001</v>
      </c>
      <c r="Q16" s="738">
        <f>Elect!AI20</f>
        <v>928.03000000000009</v>
      </c>
      <c r="R16" s="738">
        <f>Elect!AK20</f>
        <v>4432.3900000000003</v>
      </c>
      <c r="S16" s="738">
        <f>Elect!AM20</f>
        <v>136.74</v>
      </c>
      <c r="T16" s="738">
        <f>Elect!AP20</f>
        <v>294.63749999999999</v>
      </c>
      <c r="U16" s="738">
        <f>Elect!AR20</f>
        <v>176</v>
      </c>
      <c r="V16" s="738">
        <f>Elect!AT20</f>
        <v>244</v>
      </c>
      <c r="W16" s="738">
        <f>Elect!AV20</f>
        <v>71</v>
      </c>
      <c r="X16" s="738">
        <f>Elect!AX20</f>
        <v>1072</v>
      </c>
      <c r="Y16" s="738">
        <f>Elect!AZ20</f>
        <v>14</v>
      </c>
      <c r="Z16" s="738">
        <f>Elect!BB20</f>
        <v>6189</v>
      </c>
      <c r="AA16" s="738">
        <f>Elect!BD20</f>
        <v>288</v>
      </c>
      <c r="AB16" s="738">
        <f>Elect!BF20</f>
        <v>69</v>
      </c>
      <c r="AC16" s="738">
        <f>Elect!BH20</f>
        <v>7889.65</v>
      </c>
      <c r="AD16" s="738">
        <f>Elect!BL20</f>
        <v>344</v>
      </c>
      <c r="AE16" s="738">
        <f>Elect!BN20</f>
        <v>1668</v>
      </c>
      <c r="AF16" s="738">
        <f>Elect!BP20</f>
        <v>135</v>
      </c>
      <c r="AG16" s="738">
        <f>Elect!BR20</f>
        <v>161</v>
      </c>
      <c r="AH16" s="738">
        <f>Boat!C18</f>
        <v>0</v>
      </c>
      <c r="AI16" s="819"/>
      <c r="AJ16" s="738">
        <f>Water!C21</f>
        <v>125.66666666686359</v>
      </c>
      <c r="AK16" s="738">
        <f>Water!E21</f>
        <v>156.6</v>
      </c>
      <c r="AL16" s="738">
        <f>Water!G21</f>
        <v>129.91999999999999</v>
      </c>
      <c r="AM16" s="738">
        <f>Boat!E18</f>
        <v>0</v>
      </c>
      <c r="AN16" s="819"/>
      <c r="AO16" s="738">
        <f>Gas!C21</f>
        <v>1137.3800000000001</v>
      </c>
      <c r="AP16" s="738">
        <f>Gas!E21</f>
        <v>273.93333333311602</v>
      </c>
      <c r="AQ16" s="738">
        <f>Gas!G21</f>
        <v>79.333333333022892</v>
      </c>
      <c r="AR16" s="738">
        <f>Boat!G18</f>
        <v>0</v>
      </c>
      <c r="AS16" s="745">
        <f>Elect!BT20</f>
        <v>223</v>
      </c>
    </row>
    <row r="17" spans="1:45" ht="12.75" customHeight="1">
      <c r="A17" s="752" t="s">
        <v>11</v>
      </c>
      <c r="B17" s="729">
        <f t="shared" si="0"/>
        <v>16</v>
      </c>
      <c r="C17" s="771">
        <v>9</v>
      </c>
      <c r="D17" s="751">
        <v>2022</v>
      </c>
      <c r="E17" s="819"/>
      <c r="F17" s="738">
        <f>Elect!J21</f>
        <v>4600</v>
      </c>
      <c r="G17" s="738">
        <f>Elect!K21</f>
        <v>3235</v>
      </c>
      <c r="H17" s="738">
        <f>Elect!Q21</f>
        <v>720</v>
      </c>
      <c r="I17" s="738">
        <f>Elect!S21</f>
        <v>112</v>
      </c>
      <c r="J17" s="738">
        <f>Elect!U21</f>
        <v>194</v>
      </c>
      <c r="K17" s="738">
        <f>Elect!W21</f>
        <v>2959.52</v>
      </c>
      <c r="L17" s="738">
        <f>Elect!Y21</f>
        <v>0</v>
      </c>
      <c r="M17" s="738">
        <f>Elect!AA21</f>
        <v>3006.69</v>
      </c>
      <c r="N17" s="738">
        <f>Elect!AC21</f>
        <v>0</v>
      </c>
      <c r="O17" s="738">
        <f>Elect!AE21</f>
        <v>9.5400000000000009</v>
      </c>
      <c r="P17" s="738">
        <f>Elect!AG21</f>
        <v>499.26000000000005</v>
      </c>
      <c r="Q17" s="738">
        <f>Elect!AI21</f>
        <v>494.49</v>
      </c>
      <c r="R17" s="738">
        <f>Elect!AK21</f>
        <v>2810.59</v>
      </c>
      <c r="S17" s="738">
        <f>Elect!AM21</f>
        <v>90.63000000000001</v>
      </c>
      <c r="T17" s="738">
        <f>Elect!AP21</f>
        <v>193.27500000000001</v>
      </c>
      <c r="U17" s="738">
        <f>Elect!AR21</f>
        <v>151</v>
      </c>
      <c r="V17" s="738">
        <f>Elect!AT21</f>
        <v>156</v>
      </c>
      <c r="W17" s="738">
        <f>Elect!AV21</f>
        <v>36</v>
      </c>
      <c r="X17" s="738">
        <f>Elect!AX21</f>
        <v>722</v>
      </c>
      <c r="Y17" s="738">
        <f>Elect!AZ21</f>
        <v>9</v>
      </c>
      <c r="Z17" s="738">
        <f>Elect!BB21</f>
        <v>4293</v>
      </c>
      <c r="AA17" s="738">
        <f>Elect!BD21</f>
        <v>204</v>
      </c>
      <c r="AB17" s="738">
        <f>Elect!BF21</f>
        <v>55</v>
      </c>
      <c r="AC17" s="738">
        <f>Elect!BH21</f>
        <v>5230.55</v>
      </c>
      <c r="AD17" s="738">
        <f>Elect!BL21</f>
        <v>227</v>
      </c>
      <c r="AE17" s="738">
        <f>Elect!BN21</f>
        <v>1091</v>
      </c>
      <c r="AF17" s="738">
        <f>Elect!BP21</f>
        <v>90</v>
      </c>
      <c r="AG17" s="738">
        <f>Elect!BR21</f>
        <v>105</v>
      </c>
      <c r="AH17" s="738">
        <f>Boat!C19</f>
        <v>0</v>
      </c>
      <c r="AI17" s="819"/>
      <c r="AJ17" s="738">
        <f>Water!C22</f>
        <v>141.13333333313639</v>
      </c>
      <c r="AK17" s="738">
        <f>Water!E22</f>
        <v>185.6</v>
      </c>
      <c r="AL17" s="738">
        <f>Water!G22</f>
        <v>160.07999999999998</v>
      </c>
      <c r="AM17" s="738">
        <f>Boat!E19</f>
        <v>0</v>
      </c>
      <c r="AN17" s="819"/>
      <c r="AO17" s="738">
        <f>Gas!C22</f>
        <v>1581.52</v>
      </c>
      <c r="AP17" s="738">
        <f>Gas!E22</f>
        <v>344.86666666688393</v>
      </c>
      <c r="AQ17" s="738">
        <f>Gas!G22</f>
        <v>111.66666666697711</v>
      </c>
      <c r="AR17" s="738">
        <f>Boat!G19</f>
        <v>0</v>
      </c>
      <c r="AS17" s="745">
        <f>Elect!BT21</f>
        <v>253</v>
      </c>
    </row>
    <row r="18" spans="1:45" ht="12.75" customHeight="1">
      <c r="A18" s="752" t="s">
        <v>11</v>
      </c>
      <c r="B18" s="729">
        <f t="shared" si="0"/>
        <v>17</v>
      </c>
      <c r="C18" s="771">
        <v>9</v>
      </c>
      <c r="D18" s="751">
        <v>2022</v>
      </c>
      <c r="E18" s="819"/>
      <c r="F18" s="738">
        <f>Elect!J22</f>
        <v>5759</v>
      </c>
      <c r="G18" s="738">
        <f>Elect!K22</f>
        <v>4643</v>
      </c>
      <c r="H18" s="738">
        <f>Elect!Q22</f>
        <v>810</v>
      </c>
      <c r="I18" s="738">
        <f>Elect!S22</f>
        <v>148</v>
      </c>
      <c r="J18" s="738">
        <f>Elect!U22</f>
        <v>262</v>
      </c>
      <c r="K18" s="738">
        <f>Elect!W22</f>
        <v>4418.08</v>
      </c>
      <c r="L18" s="738">
        <f>Elect!Y22</f>
        <v>0</v>
      </c>
      <c r="M18" s="738">
        <f>Elect!AA22</f>
        <v>4017.9300000000003</v>
      </c>
      <c r="N18" s="738">
        <f>Elect!AC22</f>
        <v>0</v>
      </c>
      <c r="O18" s="738">
        <f>Elect!AE22</f>
        <v>11.13</v>
      </c>
      <c r="P18" s="738">
        <f>Elect!AG22</f>
        <v>728.75</v>
      </c>
      <c r="Q18" s="738">
        <f>Elect!AI22</f>
        <v>639.18000000000006</v>
      </c>
      <c r="R18" s="738">
        <f>Elect!AK22</f>
        <v>3828.19</v>
      </c>
      <c r="S18" s="738">
        <f>Elect!AM22</f>
        <v>111.30000000000001</v>
      </c>
      <c r="T18" s="738">
        <f>Elect!AP22</f>
        <v>268.08750000000003</v>
      </c>
      <c r="U18" s="738">
        <f>Elect!AR22</f>
        <v>164</v>
      </c>
      <c r="V18" s="738">
        <f>Elect!AT22</f>
        <v>182</v>
      </c>
      <c r="W18" s="738">
        <f>Elect!AV22</f>
        <v>49</v>
      </c>
      <c r="X18" s="738">
        <f>Elect!AX22</f>
        <v>839</v>
      </c>
      <c r="Y18" s="738">
        <f>Elect!AZ22</f>
        <v>11</v>
      </c>
      <c r="Z18" s="738">
        <f>Elect!BB22</f>
        <v>5041</v>
      </c>
      <c r="AA18" s="738">
        <f>Elect!BD22</f>
        <v>229</v>
      </c>
      <c r="AB18" s="738">
        <f>Elect!BF22</f>
        <v>55</v>
      </c>
      <c r="AC18" s="738">
        <f>Elect!BH22</f>
        <v>6756.05</v>
      </c>
      <c r="AD18" s="738">
        <f>Elect!BL22</f>
        <v>299</v>
      </c>
      <c r="AE18" s="738">
        <f>Elect!BN22</f>
        <v>1476</v>
      </c>
      <c r="AF18" s="738">
        <f>Elect!BP22</f>
        <v>175</v>
      </c>
      <c r="AG18" s="738">
        <f>Elect!BR22</f>
        <v>128</v>
      </c>
      <c r="AH18" s="738">
        <f>Boat!C20</f>
        <v>0</v>
      </c>
      <c r="AI18" s="819"/>
      <c r="AJ18" s="738">
        <f>Water!C23</f>
        <v>92.8</v>
      </c>
      <c r="AK18" s="738">
        <f>Water!E23</f>
        <v>121.8</v>
      </c>
      <c r="AL18" s="738">
        <f>Water!G23</f>
        <v>113.1</v>
      </c>
      <c r="AM18" s="738">
        <f>Boat!E20</f>
        <v>0</v>
      </c>
      <c r="AN18" s="819"/>
      <c r="AO18" s="738">
        <f>Gas!C23</f>
        <v>1084.3800000000001</v>
      </c>
      <c r="AP18" s="738">
        <f>Gas!E23</f>
        <v>235.2</v>
      </c>
      <c r="AQ18" s="738">
        <f>Gas!G23</f>
        <v>71</v>
      </c>
      <c r="AR18" s="738">
        <f>Boat!G20</f>
        <v>0</v>
      </c>
      <c r="AS18" s="745">
        <f>Elect!BT22</f>
        <v>197</v>
      </c>
    </row>
    <row r="19" spans="1:45" ht="12.75" customHeight="1">
      <c r="A19" s="752" t="s">
        <v>11</v>
      </c>
      <c r="B19" s="729">
        <f t="shared" si="0"/>
        <v>18</v>
      </c>
      <c r="C19" s="771">
        <v>9</v>
      </c>
      <c r="D19" s="751">
        <v>2022</v>
      </c>
      <c r="E19" s="819"/>
      <c r="F19" s="738">
        <f>Elect!J23</f>
        <v>5224</v>
      </c>
      <c r="G19" s="738">
        <f>Elect!K23</f>
        <v>4313</v>
      </c>
      <c r="H19" s="738">
        <f>Elect!Q23</f>
        <v>720</v>
      </c>
      <c r="I19" s="738">
        <f>Elect!S23</f>
        <v>137</v>
      </c>
      <c r="J19" s="738">
        <f>Elect!U23</f>
        <v>237</v>
      </c>
      <c r="K19" s="738">
        <f>Elect!W23</f>
        <v>3602.4100000000003</v>
      </c>
      <c r="L19" s="738">
        <f>Elect!Y23</f>
        <v>1661.02</v>
      </c>
      <c r="M19" s="738">
        <f>Elect!AA23</f>
        <v>2001.8100000000002</v>
      </c>
      <c r="N19" s="738">
        <f>Elect!AC23</f>
        <v>0</v>
      </c>
      <c r="O19" s="738">
        <f>Elect!AE23</f>
        <v>12.72</v>
      </c>
      <c r="P19" s="738">
        <f>Elect!AG23</f>
        <v>642.36</v>
      </c>
      <c r="Q19" s="738">
        <f>Elect!AI23</f>
        <v>619.04000000000008</v>
      </c>
      <c r="R19" s="738">
        <f>Elect!AK23</f>
        <v>3681.9100000000003</v>
      </c>
      <c r="S19" s="738">
        <f>Elect!AM23</f>
        <v>106.53</v>
      </c>
      <c r="T19" s="738">
        <f>Elect!AP23</f>
        <v>276.07499999999999</v>
      </c>
      <c r="U19" s="738">
        <f>Elect!AR23</f>
        <v>154</v>
      </c>
      <c r="V19" s="738">
        <f>Elect!AT23</f>
        <v>174</v>
      </c>
      <c r="W19" s="738">
        <f>Elect!AV23</f>
        <v>62</v>
      </c>
      <c r="X19" s="738">
        <f>Elect!AX23</f>
        <v>817</v>
      </c>
      <c r="Y19" s="738">
        <f>Elect!AZ23</f>
        <v>11</v>
      </c>
      <c r="Z19" s="738">
        <f>Elect!BB23</f>
        <v>5451</v>
      </c>
      <c r="AA19" s="738">
        <f>Elect!BD23</f>
        <v>239</v>
      </c>
      <c r="AB19" s="738">
        <f>Elect!BF23</f>
        <v>55</v>
      </c>
      <c r="AC19" s="738">
        <f>Elect!BH23</f>
        <v>6185</v>
      </c>
      <c r="AD19" s="738">
        <f>Elect!BL23</f>
        <v>275</v>
      </c>
      <c r="AE19" s="738">
        <f>Elect!BN23</f>
        <v>1365</v>
      </c>
      <c r="AF19" s="738">
        <f>Elect!BP23</f>
        <v>55</v>
      </c>
      <c r="AG19" s="738">
        <f>Elect!BR23</f>
        <v>157</v>
      </c>
      <c r="AH19" s="738">
        <f>Boat!C21</f>
        <v>0</v>
      </c>
      <c r="AI19" s="819"/>
      <c r="AJ19" s="738">
        <f>Water!C24</f>
        <v>121.8</v>
      </c>
      <c r="AK19" s="738">
        <f>Water!E24</f>
        <v>162.39999999999998</v>
      </c>
      <c r="AL19" s="738">
        <f>Water!G24</f>
        <v>132.82</v>
      </c>
      <c r="AM19" s="738">
        <f>Boat!E21</f>
        <v>0</v>
      </c>
      <c r="AN19" s="819"/>
      <c r="AO19" s="738">
        <f>Gas!C24</f>
        <v>1279.42</v>
      </c>
      <c r="AP19" s="738">
        <f>Gas!E24</f>
        <v>289.09999999999997</v>
      </c>
      <c r="AQ19" s="738">
        <f>Gas!G24</f>
        <v>75</v>
      </c>
      <c r="AR19" s="738">
        <f>Boat!G21</f>
        <v>0</v>
      </c>
      <c r="AS19" s="745">
        <f>Elect!BT23</f>
        <v>212</v>
      </c>
    </row>
    <row r="20" spans="1:45" ht="12.75" customHeight="1">
      <c r="A20" s="752" t="s">
        <v>11</v>
      </c>
      <c r="B20" s="729">
        <f t="shared" si="0"/>
        <v>19</v>
      </c>
      <c r="C20" s="771">
        <v>9</v>
      </c>
      <c r="D20" s="751">
        <v>2022</v>
      </c>
      <c r="E20" s="819"/>
      <c r="F20" s="738">
        <f>Elect!J24</f>
        <v>5760</v>
      </c>
      <c r="G20" s="738">
        <f>Elect!K24</f>
        <v>3883</v>
      </c>
      <c r="H20" s="738">
        <f>Elect!Q24</f>
        <v>750</v>
      </c>
      <c r="I20" s="738">
        <f>Elect!S24</f>
        <v>143</v>
      </c>
      <c r="J20" s="738">
        <f>Elect!U24</f>
        <v>261</v>
      </c>
      <c r="K20" s="738">
        <f>Elect!W24</f>
        <v>1431.53</v>
      </c>
      <c r="L20" s="738">
        <f>Elect!Y24</f>
        <v>2876.31</v>
      </c>
      <c r="M20" s="738">
        <f>Elect!AA24</f>
        <v>1499.9</v>
      </c>
      <c r="N20" s="738">
        <f>Elect!AC24</f>
        <v>2388.71</v>
      </c>
      <c r="O20" s="738">
        <f>Elect!AE24</f>
        <v>11.66</v>
      </c>
      <c r="P20" s="738">
        <f>Elect!AG24</f>
        <v>648.19000000000005</v>
      </c>
      <c r="Q20" s="738">
        <f>Elect!AI24</f>
        <v>809.31000000000006</v>
      </c>
      <c r="R20" s="738">
        <f>Elect!AK24</f>
        <v>4079.94</v>
      </c>
      <c r="S20" s="738">
        <f>Elect!AM24</f>
        <v>111.30000000000001</v>
      </c>
      <c r="T20" s="738">
        <f>Elect!AP24</f>
        <v>268.08750000000003</v>
      </c>
      <c r="U20" s="738">
        <f>Elect!AR24</f>
        <v>152</v>
      </c>
      <c r="V20" s="738">
        <f>Elect!AT24</f>
        <v>176</v>
      </c>
      <c r="W20" s="738">
        <f>Elect!AV24</f>
        <v>58</v>
      </c>
      <c r="X20" s="738">
        <f>Elect!AX24</f>
        <v>850</v>
      </c>
      <c r="Y20" s="738">
        <f>Elect!AZ24</f>
        <v>12</v>
      </c>
      <c r="Z20" s="738">
        <f>Elect!BB24</f>
        <v>5223</v>
      </c>
      <c r="AA20" s="738">
        <f>Elect!BD24</f>
        <v>273</v>
      </c>
      <c r="AB20" s="738">
        <f>Elect!BF24</f>
        <v>55</v>
      </c>
      <c r="AC20" s="738">
        <f>Elect!BH24</f>
        <v>6495.45</v>
      </c>
      <c r="AD20" s="738">
        <f>Elect!BL24</f>
        <v>286</v>
      </c>
      <c r="AE20" s="738">
        <f>Elect!BN24</f>
        <v>1446</v>
      </c>
      <c r="AF20" s="738">
        <f>Elect!BP24</f>
        <v>113</v>
      </c>
      <c r="AG20" s="738">
        <f>Elect!BR24</f>
        <v>135</v>
      </c>
      <c r="AH20" s="738">
        <f>Boat!C22</f>
        <v>0</v>
      </c>
      <c r="AI20" s="819"/>
      <c r="AJ20" s="738">
        <f>Water!C25</f>
        <v>127.6</v>
      </c>
      <c r="AK20" s="738">
        <f>Water!E25</f>
        <v>174</v>
      </c>
      <c r="AL20" s="738">
        <f>Water!G25</f>
        <v>136.88</v>
      </c>
      <c r="AM20" s="738">
        <f>Boat!E22</f>
        <v>0</v>
      </c>
      <c r="AN20" s="819"/>
      <c r="AO20" s="738">
        <f>Gas!C25</f>
        <v>1351.5</v>
      </c>
      <c r="AP20" s="738">
        <f>Gas!E25</f>
        <v>347.9</v>
      </c>
      <c r="AQ20" s="738">
        <f>Gas!G25</f>
        <v>80</v>
      </c>
      <c r="AR20" s="738">
        <f>Boat!G22</f>
        <v>0</v>
      </c>
      <c r="AS20" s="745">
        <f>Elect!BT24</f>
        <v>179</v>
      </c>
    </row>
    <row r="21" spans="1:45" ht="12.75" customHeight="1">
      <c r="A21" s="752" t="s">
        <v>11</v>
      </c>
      <c r="B21" s="729">
        <f t="shared" si="0"/>
        <v>20</v>
      </c>
      <c r="C21" s="771">
        <v>9</v>
      </c>
      <c r="D21" s="751">
        <v>2022</v>
      </c>
      <c r="E21" s="819"/>
      <c r="F21" s="738">
        <f>Elect!J25</f>
        <v>5342</v>
      </c>
      <c r="G21" s="738">
        <f>Elect!K25</f>
        <v>3901</v>
      </c>
      <c r="H21" s="738">
        <f>Elect!Q25</f>
        <v>780</v>
      </c>
      <c r="I21" s="738">
        <f>Elect!S25</f>
        <v>144</v>
      </c>
      <c r="J21" s="738">
        <f>Elect!U25</f>
        <v>255</v>
      </c>
      <c r="K21" s="738">
        <f>Elect!W25</f>
        <v>0</v>
      </c>
      <c r="L21" s="738">
        <f>Elect!Y25</f>
        <v>4161.0300000000007</v>
      </c>
      <c r="M21" s="738">
        <f>Elect!AA25</f>
        <v>0</v>
      </c>
      <c r="N21" s="738">
        <f>Elect!AC25</f>
        <v>3711.0600000000004</v>
      </c>
      <c r="O21" s="738">
        <f>Elect!AE25</f>
        <v>11.66</v>
      </c>
      <c r="P21" s="738">
        <f>Elect!AG25</f>
        <v>287.26</v>
      </c>
      <c r="Q21" s="738">
        <f>Elect!AI25</f>
        <v>956.12</v>
      </c>
      <c r="R21" s="738">
        <f>Elect!AK25</f>
        <v>3986.13</v>
      </c>
      <c r="S21" s="738">
        <f>Elect!AM25</f>
        <v>119.25</v>
      </c>
      <c r="T21" s="738">
        <f>Elect!AP25</f>
        <v>285.97500000000002</v>
      </c>
      <c r="U21" s="738">
        <f>Elect!AR25</f>
        <v>181</v>
      </c>
      <c r="V21" s="738">
        <f>Elect!AT25</f>
        <v>185</v>
      </c>
      <c r="W21" s="738">
        <f>Elect!AV25</f>
        <v>66</v>
      </c>
      <c r="X21" s="738">
        <f>Elect!AX25</f>
        <v>861</v>
      </c>
      <c r="Y21" s="738">
        <f>Elect!AZ25</f>
        <v>11</v>
      </c>
      <c r="Z21" s="738">
        <f>Elect!BB25</f>
        <v>5312</v>
      </c>
      <c r="AA21" s="738">
        <f>Elect!BD25</f>
        <v>285</v>
      </c>
      <c r="AB21" s="738">
        <f>Elect!BF25</f>
        <v>57</v>
      </c>
      <c r="AC21" s="738">
        <f>Elect!BH25</f>
        <v>6525.7999999999993</v>
      </c>
      <c r="AD21" s="738">
        <f>Elect!BL25</f>
        <v>215</v>
      </c>
      <c r="AE21" s="738">
        <f>Elect!BN25</f>
        <v>1408</v>
      </c>
      <c r="AF21" s="738">
        <f>Elect!BP25</f>
        <v>108</v>
      </c>
      <c r="AG21" s="738">
        <f>Elect!BR25</f>
        <v>127</v>
      </c>
      <c r="AH21" s="738">
        <f>Boat!C23</f>
        <v>0</v>
      </c>
      <c r="AI21" s="819"/>
      <c r="AJ21" s="738">
        <f>Water!C26</f>
        <v>115.99999999999999</v>
      </c>
      <c r="AK21" s="738">
        <f>Water!E26</f>
        <v>150.79999999999998</v>
      </c>
      <c r="AL21" s="738">
        <f>Water!G26</f>
        <v>127.02</v>
      </c>
      <c r="AM21" s="738">
        <f>Boat!E23</f>
        <v>0</v>
      </c>
      <c r="AN21" s="819"/>
      <c r="AO21" s="738">
        <f>Gas!C26</f>
        <v>1102.4000000000001</v>
      </c>
      <c r="AP21" s="738">
        <f>Gas!E26</f>
        <v>288.39999999999998</v>
      </c>
      <c r="AQ21" s="738">
        <f>Gas!G26</f>
        <v>89</v>
      </c>
      <c r="AR21" s="738">
        <f>Boat!G23</f>
        <v>0</v>
      </c>
      <c r="AS21" s="745">
        <f>Elect!BT25</f>
        <v>213</v>
      </c>
    </row>
    <row r="22" spans="1:45" ht="12.75" customHeight="1">
      <c r="A22" s="752" t="s">
        <v>11</v>
      </c>
      <c r="B22" s="729">
        <f t="shared" si="0"/>
        <v>21</v>
      </c>
      <c r="C22" s="771">
        <v>9</v>
      </c>
      <c r="D22" s="751">
        <v>2022</v>
      </c>
      <c r="E22" s="819"/>
      <c r="F22" s="738">
        <f>Elect!J26</f>
        <v>5586</v>
      </c>
      <c r="G22" s="738">
        <f>Elect!K26</f>
        <v>3857</v>
      </c>
      <c r="H22" s="738">
        <f>Elect!Q26</f>
        <v>720</v>
      </c>
      <c r="I22" s="738">
        <f>Elect!S26</f>
        <v>133</v>
      </c>
      <c r="J22" s="738">
        <f>Elect!U26</f>
        <v>234</v>
      </c>
      <c r="K22" s="738">
        <f>Elect!W26</f>
        <v>0</v>
      </c>
      <c r="L22" s="738">
        <f>Elect!Y26</f>
        <v>3880.6600000000003</v>
      </c>
      <c r="M22" s="738">
        <f>Elect!AA26</f>
        <v>0</v>
      </c>
      <c r="N22" s="738">
        <f>Elect!AC26</f>
        <v>3173.11</v>
      </c>
      <c r="O22" s="738">
        <f>Elect!AE26</f>
        <v>12.190000000000001</v>
      </c>
      <c r="P22" s="738">
        <f>Elect!AG26</f>
        <v>37.1</v>
      </c>
      <c r="Q22" s="738">
        <f>Elect!AI26</f>
        <v>808.78000000000009</v>
      </c>
      <c r="R22" s="738">
        <f>Elect!AK26</f>
        <v>3567.96</v>
      </c>
      <c r="S22" s="738">
        <f>Elect!AM26</f>
        <v>109.18</v>
      </c>
      <c r="T22" s="738">
        <f>Elect!AP26</f>
        <v>270.67500000000001</v>
      </c>
      <c r="U22" s="738">
        <f>Elect!AR26</f>
        <v>153</v>
      </c>
      <c r="V22" s="738">
        <f>Elect!AT26</f>
        <v>170</v>
      </c>
      <c r="W22" s="738">
        <f>Elect!AV26</f>
        <v>53</v>
      </c>
      <c r="X22" s="738">
        <f>Elect!AX26</f>
        <v>817</v>
      </c>
      <c r="Y22" s="738">
        <f>Elect!AZ26</f>
        <v>11</v>
      </c>
      <c r="Z22" s="738">
        <f>Elect!BB26</f>
        <v>5022</v>
      </c>
      <c r="AA22" s="738">
        <f>Elect!BD26</f>
        <v>278</v>
      </c>
      <c r="AB22" s="738">
        <f>Elect!BF26</f>
        <v>54</v>
      </c>
      <c r="AC22" s="738">
        <f>Elect!BH26</f>
        <v>6269.1500000000005</v>
      </c>
      <c r="AD22" s="738">
        <f>Elect!BL26</f>
        <v>274</v>
      </c>
      <c r="AE22" s="738">
        <f>Elect!BN26</f>
        <v>1391</v>
      </c>
      <c r="AF22" s="738">
        <f>Elect!BP26</f>
        <v>102</v>
      </c>
      <c r="AG22" s="738">
        <f>Elect!BR26</f>
        <v>128</v>
      </c>
      <c r="AH22" s="738">
        <f>Boat!C24</f>
        <v>0</v>
      </c>
      <c r="AI22" s="819"/>
      <c r="AJ22" s="738">
        <f>Water!C27</f>
        <v>127.6</v>
      </c>
      <c r="AK22" s="738">
        <f>Water!E27</f>
        <v>168.2</v>
      </c>
      <c r="AL22" s="738">
        <f>Water!G27</f>
        <v>134.56</v>
      </c>
      <c r="AM22" s="738">
        <f>Boat!E24</f>
        <v>0</v>
      </c>
      <c r="AN22" s="819"/>
      <c r="AO22" s="738">
        <f>Gas!C27</f>
        <v>1268.4666666699575</v>
      </c>
      <c r="AP22" s="738">
        <f>Gas!E27</f>
        <v>294</v>
      </c>
      <c r="AQ22" s="738">
        <f>Gas!G27</f>
        <v>90</v>
      </c>
      <c r="AR22" s="738">
        <f>Boat!G24</f>
        <v>0</v>
      </c>
      <c r="AS22" s="745">
        <f>Elect!BT26</f>
        <v>247</v>
      </c>
    </row>
    <row r="23" spans="1:45" ht="12.75" customHeight="1">
      <c r="A23" s="752" t="s">
        <v>11</v>
      </c>
      <c r="B23" s="729">
        <f t="shared" si="0"/>
        <v>22</v>
      </c>
      <c r="C23" s="771">
        <v>9</v>
      </c>
      <c r="D23" s="751">
        <v>2022</v>
      </c>
      <c r="E23" s="819"/>
      <c r="F23" s="738">
        <f>Elect!J27</f>
        <v>6928</v>
      </c>
      <c r="G23" s="738">
        <f>Elect!K27</f>
        <v>5294</v>
      </c>
      <c r="H23" s="738">
        <f>Elect!Q27</f>
        <v>660</v>
      </c>
      <c r="I23" s="738">
        <f>Elect!S27</f>
        <v>157</v>
      </c>
      <c r="J23" s="738">
        <f>Elect!U27</f>
        <v>286</v>
      </c>
      <c r="K23" s="738">
        <f>Elect!W27</f>
        <v>0</v>
      </c>
      <c r="L23" s="738">
        <f>Elect!Y27</f>
        <v>3880.6600000000003</v>
      </c>
      <c r="M23" s="738">
        <f>Elect!AA27</f>
        <v>0</v>
      </c>
      <c r="N23" s="738">
        <f>Elect!AC27</f>
        <v>4174.2800000000007</v>
      </c>
      <c r="O23" s="738">
        <f>Elect!AE27</f>
        <v>14.84</v>
      </c>
      <c r="P23" s="738">
        <f>Elect!AG27</f>
        <v>15.9</v>
      </c>
      <c r="Q23" s="738">
        <f>Elect!AI27</f>
        <v>808.78000000000009</v>
      </c>
      <c r="R23" s="738">
        <f>Elect!AK27</f>
        <v>4421.26</v>
      </c>
      <c r="S23" s="738">
        <f>Elect!AM27</f>
        <v>137.80000000000001</v>
      </c>
      <c r="T23" s="738">
        <f>Elect!AP27</f>
        <v>303.41250000000002</v>
      </c>
      <c r="U23" s="738">
        <f>Elect!AR27</f>
        <v>203</v>
      </c>
      <c r="V23" s="738">
        <f>Elect!AT27</f>
        <v>179</v>
      </c>
      <c r="W23" s="738">
        <f>Elect!AV27</f>
        <v>61</v>
      </c>
      <c r="X23" s="738">
        <f>Elect!AX27</f>
        <v>1000</v>
      </c>
      <c r="Y23" s="738">
        <f>Elect!AZ27</f>
        <v>11</v>
      </c>
      <c r="Z23" s="738">
        <f>Elect!BB27</f>
        <v>6282</v>
      </c>
      <c r="AA23" s="738">
        <f>Elect!BD27</f>
        <v>278</v>
      </c>
      <c r="AB23" s="738">
        <f>Elect!BF27</f>
        <v>56</v>
      </c>
      <c r="AC23" s="738">
        <f>Elect!BH27</f>
        <v>6183.6500000000005</v>
      </c>
      <c r="AD23" s="738">
        <f>Elect!BL27</f>
        <v>334</v>
      </c>
      <c r="AE23" s="738">
        <f>Elect!BN27</f>
        <v>1506</v>
      </c>
      <c r="AF23" s="738">
        <f>Elect!BP27</f>
        <v>117</v>
      </c>
      <c r="AG23" s="738">
        <f>Elect!BR27</f>
        <v>155</v>
      </c>
      <c r="AH23" s="738">
        <f>Boat!C25</f>
        <v>0</v>
      </c>
      <c r="AI23" s="819"/>
      <c r="AJ23" s="738">
        <f>Water!C28</f>
        <v>127.6</v>
      </c>
      <c r="AK23" s="738">
        <f>Water!E28</f>
        <v>168.2</v>
      </c>
      <c r="AL23" s="738">
        <f>Water!G28</f>
        <v>124.69999999999999</v>
      </c>
      <c r="AM23" s="738">
        <f>Boat!E25</f>
        <v>0</v>
      </c>
      <c r="AN23" s="819"/>
      <c r="AO23" s="738">
        <f>Gas!C28</f>
        <v>1070.9533333300428</v>
      </c>
      <c r="AP23" s="738">
        <f>Gas!E28</f>
        <v>277.2</v>
      </c>
      <c r="AQ23" s="738">
        <f>Gas!G28</f>
        <v>74</v>
      </c>
      <c r="AR23" s="738">
        <f>Boat!G25</f>
        <v>0</v>
      </c>
      <c r="AS23" s="745">
        <f>Elect!BT27</f>
        <v>238</v>
      </c>
    </row>
    <row r="24" spans="1:45" ht="12.75" customHeight="1">
      <c r="A24" s="752" t="s">
        <v>11</v>
      </c>
      <c r="B24" s="729">
        <f t="shared" si="0"/>
        <v>23</v>
      </c>
      <c r="C24" s="771">
        <v>9</v>
      </c>
      <c r="D24" s="751">
        <v>2022</v>
      </c>
      <c r="E24" s="819"/>
      <c r="F24" s="738">
        <f>Elect!J28</f>
        <v>4784</v>
      </c>
      <c r="G24" s="738">
        <f>Elect!K28</f>
        <v>3275</v>
      </c>
      <c r="H24" s="738">
        <f>Elect!Q28</f>
        <v>660</v>
      </c>
      <c r="I24" s="738">
        <f>Elect!S28</f>
        <v>123</v>
      </c>
      <c r="J24" s="738">
        <f>Elect!U28</f>
        <v>228</v>
      </c>
      <c r="K24" s="738">
        <f>Elect!W28</f>
        <v>0</v>
      </c>
      <c r="L24" s="738">
        <f>Elect!Y28</f>
        <v>4150.43</v>
      </c>
      <c r="M24" s="738">
        <f>Elect!AA28</f>
        <v>0</v>
      </c>
      <c r="N24" s="738">
        <f>Elect!AC28</f>
        <v>2867.83</v>
      </c>
      <c r="O24" s="738">
        <f>Elect!AE28</f>
        <v>11.13</v>
      </c>
      <c r="P24" s="738">
        <f>Elect!AG28</f>
        <v>339.73</v>
      </c>
      <c r="Q24" s="738">
        <f>Elect!AI28</f>
        <v>930.68000000000006</v>
      </c>
      <c r="R24" s="738">
        <f>Elect!AK28</f>
        <v>2913.4100000000003</v>
      </c>
      <c r="S24" s="738">
        <f>Elect!AM28</f>
        <v>83.740000000000009</v>
      </c>
      <c r="T24" s="738">
        <f>Elect!AP28</f>
        <v>288.45</v>
      </c>
      <c r="U24" s="738">
        <f>Elect!AR28</f>
        <v>157</v>
      </c>
      <c r="V24" s="738">
        <f>Elect!AT28</f>
        <v>183</v>
      </c>
      <c r="W24" s="738">
        <f>Elect!AV28</f>
        <v>37</v>
      </c>
      <c r="X24" s="738">
        <f>Elect!AX28</f>
        <v>690</v>
      </c>
      <c r="Y24" s="738">
        <f>Elect!AZ28</f>
        <v>11</v>
      </c>
      <c r="Z24" s="738">
        <f>Elect!BB28</f>
        <v>5153</v>
      </c>
      <c r="AA24" s="738">
        <f>Elect!BD28</f>
        <v>295</v>
      </c>
      <c r="AB24" s="738">
        <f>Elect!BF28</f>
        <v>55.5</v>
      </c>
      <c r="AC24" s="738">
        <f>Elect!BH28</f>
        <v>6230.7</v>
      </c>
      <c r="AD24" s="738">
        <f>Elect!BL28</f>
        <v>300</v>
      </c>
      <c r="AE24" s="738">
        <f>Elect!BN28</f>
        <v>1651</v>
      </c>
      <c r="AF24" s="738">
        <f>Elect!BP28</f>
        <v>123</v>
      </c>
      <c r="AG24" s="738">
        <f>Elect!BR28</f>
        <v>173</v>
      </c>
      <c r="AH24" s="738">
        <f>Boat!C26</f>
        <v>0</v>
      </c>
      <c r="AI24" s="819"/>
      <c r="AJ24" s="738">
        <f>Water!C29</f>
        <v>127.6</v>
      </c>
      <c r="AK24" s="738">
        <f>Water!E29</f>
        <v>168.2</v>
      </c>
      <c r="AL24" s="738">
        <f>Water!G29</f>
        <v>138.04</v>
      </c>
      <c r="AM24" s="738">
        <f>Boat!E26</f>
        <v>0</v>
      </c>
      <c r="AN24" s="819"/>
      <c r="AO24" s="738">
        <f>Gas!C29</f>
        <v>1264.5800000000002</v>
      </c>
      <c r="AP24" s="738">
        <f>Gas!E29</f>
        <v>284.2</v>
      </c>
      <c r="AQ24" s="738">
        <f>Gas!G29</f>
        <v>92</v>
      </c>
      <c r="AR24" s="738">
        <f>Boat!G26</f>
        <v>0</v>
      </c>
      <c r="AS24" s="745">
        <f>Elect!BT28</f>
        <v>249</v>
      </c>
    </row>
    <row r="25" spans="1:45" ht="12.75" customHeight="1">
      <c r="A25" s="752" t="s">
        <v>11</v>
      </c>
      <c r="B25" s="729">
        <f t="shared" si="0"/>
        <v>24</v>
      </c>
      <c r="C25" s="771">
        <v>9</v>
      </c>
      <c r="D25" s="751">
        <v>2022</v>
      </c>
      <c r="E25" s="819"/>
      <c r="F25" s="738">
        <f>Elect!J29</f>
        <v>3527</v>
      </c>
      <c r="G25" s="738">
        <f>Elect!K29</f>
        <v>4324</v>
      </c>
      <c r="H25" s="738">
        <f>Elect!Q29</f>
        <v>540</v>
      </c>
      <c r="I25" s="738">
        <f>Elect!S29</f>
        <v>143</v>
      </c>
      <c r="J25" s="738">
        <f>Elect!U29</f>
        <v>273</v>
      </c>
      <c r="K25" s="738">
        <f>Elect!W29</f>
        <v>0</v>
      </c>
      <c r="L25" s="738">
        <f>Elect!Y29</f>
        <v>4050.26</v>
      </c>
      <c r="M25" s="738">
        <f>Elect!AA29</f>
        <v>0</v>
      </c>
      <c r="N25" s="738">
        <f>Elect!AC29</f>
        <v>3474.15</v>
      </c>
      <c r="O25" s="738">
        <f>Elect!AE29</f>
        <v>8.48</v>
      </c>
      <c r="P25" s="738">
        <f>Elect!AG29</f>
        <v>1164.4100000000001</v>
      </c>
      <c r="Q25" s="738">
        <f>Elect!AI29</f>
        <v>1077.49</v>
      </c>
      <c r="R25" s="738">
        <f>Elect!AK29</f>
        <v>3964.9300000000003</v>
      </c>
      <c r="S25" s="738">
        <f>Elect!AM29</f>
        <v>110.77000000000001</v>
      </c>
      <c r="T25" s="738">
        <f>Elect!AP29</f>
        <v>279.78750000000002</v>
      </c>
      <c r="U25" s="738">
        <f>Elect!AR29</f>
        <v>173</v>
      </c>
      <c r="V25" s="738">
        <f>Elect!AT29</f>
        <v>157</v>
      </c>
      <c r="W25" s="738">
        <f>Elect!AV29</f>
        <v>51</v>
      </c>
      <c r="X25" s="738">
        <f>Elect!AX29</f>
        <v>854</v>
      </c>
      <c r="Y25" s="738">
        <f>Elect!AZ29</f>
        <v>11</v>
      </c>
      <c r="Z25" s="738">
        <f>Elect!BB29</f>
        <v>3880</v>
      </c>
      <c r="AA25" s="738">
        <f>Elect!BD29</f>
        <v>169</v>
      </c>
      <c r="AB25" s="738">
        <f>Elect!BF29</f>
        <v>4.5</v>
      </c>
      <c r="AC25" s="738">
        <f>Elect!BH29</f>
        <v>7172.8</v>
      </c>
      <c r="AD25" s="738">
        <f>Elect!BL29</f>
        <v>216</v>
      </c>
      <c r="AE25" s="738">
        <f>Elect!BN29</f>
        <v>1174</v>
      </c>
      <c r="AF25" s="738">
        <f>Elect!BP29</f>
        <v>82</v>
      </c>
      <c r="AG25" s="738">
        <f>Elect!BR29</f>
        <v>120</v>
      </c>
      <c r="AH25" s="738">
        <f>Boat!C27</f>
        <v>0</v>
      </c>
      <c r="AI25" s="819"/>
      <c r="AJ25" s="738">
        <f>Water!C30</f>
        <v>115.99999999999999</v>
      </c>
      <c r="AK25" s="738">
        <f>Water!E30</f>
        <v>162.39999999999998</v>
      </c>
      <c r="AL25" s="738">
        <f>Water!G30</f>
        <v>136.29999999999998</v>
      </c>
      <c r="AM25" s="738">
        <f>Boat!E27</f>
        <v>0</v>
      </c>
      <c r="AN25" s="819"/>
      <c r="AO25" s="738">
        <f>Gas!C30</f>
        <v>1436.3000000000002</v>
      </c>
      <c r="AP25" s="738">
        <f>Gas!E30</f>
        <v>289.09999999999997</v>
      </c>
      <c r="AQ25" s="738">
        <f>Gas!G30</f>
        <v>79</v>
      </c>
      <c r="AR25" s="738">
        <f>Boat!G27</f>
        <v>0</v>
      </c>
      <c r="AS25" s="745">
        <f>Elect!BT29</f>
        <v>231</v>
      </c>
    </row>
    <row r="26" spans="1:45" ht="12.75" customHeight="1">
      <c r="A26" s="752" t="s">
        <v>11</v>
      </c>
      <c r="B26" s="729">
        <f>B25+1</f>
        <v>25</v>
      </c>
      <c r="C26" s="771">
        <v>9</v>
      </c>
      <c r="D26" s="751">
        <v>2022</v>
      </c>
      <c r="E26" s="819"/>
      <c r="F26" s="738">
        <f>Elect!J30</f>
        <v>4349</v>
      </c>
      <c r="G26" s="738">
        <f>Elect!K30</f>
        <v>4346</v>
      </c>
      <c r="H26" s="738">
        <f>Elect!Q30</f>
        <v>720</v>
      </c>
      <c r="I26" s="738">
        <f>Elect!S30</f>
        <v>138</v>
      </c>
      <c r="J26" s="738">
        <f>Elect!U30</f>
        <v>269</v>
      </c>
      <c r="K26" s="738">
        <f>Elect!W30</f>
        <v>0</v>
      </c>
      <c r="L26" s="738">
        <f>Elect!Y30</f>
        <v>3765.1200000000003</v>
      </c>
      <c r="M26" s="738">
        <f>Elect!AA30</f>
        <v>0</v>
      </c>
      <c r="N26" s="738">
        <f>Elect!AC30</f>
        <v>3723.78</v>
      </c>
      <c r="O26" s="738">
        <f>Elect!AE30</f>
        <v>11.66</v>
      </c>
      <c r="P26" s="738">
        <f>Elect!AG30</f>
        <v>1513.15</v>
      </c>
      <c r="Q26" s="738">
        <f>Elect!AI30</f>
        <v>1091.8</v>
      </c>
      <c r="R26" s="738">
        <f>Elect!AK30</f>
        <v>3934.19</v>
      </c>
      <c r="S26" s="738">
        <f>Elect!AM30</f>
        <v>106</v>
      </c>
      <c r="T26" s="738">
        <f>Elect!AP30</f>
        <v>313.76249999999999</v>
      </c>
      <c r="U26" s="738">
        <f>Elect!AR30</f>
        <v>167</v>
      </c>
      <c r="V26" s="738">
        <f>Elect!AT30</f>
        <v>207</v>
      </c>
      <c r="W26" s="738">
        <f>Elect!AV30</f>
        <v>69</v>
      </c>
      <c r="X26" s="738">
        <f>Elect!AX30</f>
        <v>852</v>
      </c>
      <c r="Y26" s="738">
        <f>Elect!AZ30</f>
        <v>11</v>
      </c>
      <c r="Z26" s="738">
        <f>Elect!BB30</f>
        <v>5270</v>
      </c>
      <c r="AA26" s="738">
        <f>Elect!BD30</f>
        <v>248</v>
      </c>
      <c r="AB26" s="738">
        <f>Elect!BF30</f>
        <v>55</v>
      </c>
      <c r="AC26" s="738">
        <f>Elect!BH30</f>
        <v>6178.4</v>
      </c>
      <c r="AD26" s="738">
        <f>Elect!BL30</f>
        <v>281</v>
      </c>
      <c r="AE26" s="738">
        <f>Elect!BN30</f>
        <v>1483</v>
      </c>
      <c r="AF26" s="738">
        <f>Elect!BP30</f>
        <v>105</v>
      </c>
      <c r="AG26" s="738">
        <f>Elect!BR30</f>
        <v>149</v>
      </c>
      <c r="AH26" s="738">
        <f>Boat!C28</f>
        <v>0</v>
      </c>
      <c r="AI26" s="819"/>
      <c r="AJ26" s="738">
        <f>Water!C31</f>
        <v>150.79999999999998</v>
      </c>
      <c r="AK26" s="738">
        <f>Water!E31</f>
        <v>179.79999999999998</v>
      </c>
      <c r="AL26" s="738">
        <f>Water!G31</f>
        <v>153.11999999999998</v>
      </c>
      <c r="AM26" s="738">
        <f>Boat!E28</f>
        <v>0</v>
      </c>
      <c r="AN26" s="819"/>
      <c r="AO26" s="738">
        <f>Gas!C31</f>
        <v>1644.0600000000002</v>
      </c>
      <c r="AP26" s="738">
        <f>Gas!E31</f>
        <v>378</v>
      </c>
      <c r="AQ26" s="738">
        <f>Gas!G31</f>
        <v>92</v>
      </c>
      <c r="AR26" s="738">
        <f>Boat!G28</f>
        <v>0</v>
      </c>
      <c r="AS26" s="745">
        <f>Elect!BT30</f>
        <v>197</v>
      </c>
    </row>
    <row r="27" spans="1:45" ht="12.75" customHeight="1">
      <c r="A27" s="752" t="s">
        <v>11</v>
      </c>
      <c r="B27" s="729">
        <f t="shared" si="0"/>
        <v>26</v>
      </c>
      <c r="C27" s="771">
        <v>9</v>
      </c>
      <c r="D27" s="751">
        <v>2022</v>
      </c>
      <c r="E27" s="819"/>
      <c r="F27" s="738">
        <f>Elect!J31</f>
        <v>3608</v>
      </c>
      <c r="G27" s="738">
        <f>Elect!K31</f>
        <v>4270</v>
      </c>
      <c r="H27" s="738">
        <f>Elect!Q31</f>
        <v>660</v>
      </c>
      <c r="I27" s="738">
        <f>Elect!S31</f>
        <v>141</v>
      </c>
      <c r="J27" s="738">
        <f>Elect!U31</f>
        <v>261</v>
      </c>
      <c r="K27" s="738">
        <f>Elect!W31</f>
        <v>0</v>
      </c>
      <c r="L27" s="738">
        <f>Elect!Y31</f>
        <v>4218.8</v>
      </c>
      <c r="M27" s="738">
        <f>Elect!AA31</f>
        <v>0</v>
      </c>
      <c r="N27" s="738">
        <f>Elect!AC31</f>
        <v>3688.27</v>
      </c>
      <c r="O27" s="738">
        <f>Elect!AE31</f>
        <v>12.72</v>
      </c>
      <c r="P27" s="738">
        <f>Elect!AG31</f>
        <v>1497.78</v>
      </c>
      <c r="Q27" s="738">
        <f>Elect!AI31</f>
        <v>1111.94</v>
      </c>
      <c r="R27" s="738">
        <f>Elect!AK31</f>
        <v>3650.6400000000003</v>
      </c>
      <c r="S27" s="738">
        <f>Elect!AM31</f>
        <v>118.19000000000001</v>
      </c>
      <c r="T27" s="738">
        <f>Elect!AP31</f>
        <v>313.76249999999999</v>
      </c>
      <c r="U27" s="738">
        <f>Elect!AR31</f>
        <v>178</v>
      </c>
      <c r="V27" s="738">
        <f>Elect!AT31</f>
        <v>186</v>
      </c>
      <c r="W27" s="738">
        <f>Elect!AV31</f>
        <v>68</v>
      </c>
      <c r="X27" s="738">
        <f>Elect!AX31</f>
        <v>886</v>
      </c>
      <c r="Y27" s="738">
        <f>Elect!AZ31</f>
        <v>11</v>
      </c>
      <c r="Z27" s="738">
        <f>Elect!BB31</f>
        <v>5397</v>
      </c>
      <c r="AA27" s="738">
        <f>Elect!BD31</f>
        <v>252</v>
      </c>
      <c r="AB27" s="738">
        <f>Elect!BF31</f>
        <v>55</v>
      </c>
      <c r="AC27" s="738">
        <f>Elect!BH31</f>
        <v>6722.8</v>
      </c>
      <c r="AD27" s="738">
        <f>Elect!BL31</f>
        <v>243</v>
      </c>
      <c r="AE27" s="738">
        <f>Elect!BN31</f>
        <v>1111</v>
      </c>
      <c r="AF27" s="738">
        <f>Elect!BP31</f>
        <v>105</v>
      </c>
      <c r="AG27" s="738">
        <f>Elect!BR31</f>
        <v>149</v>
      </c>
      <c r="AH27" s="738">
        <f>Boat!C29</f>
        <v>0</v>
      </c>
      <c r="AI27" s="819"/>
      <c r="AJ27" s="738">
        <f>Water!C32</f>
        <v>98.6</v>
      </c>
      <c r="AK27" s="738">
        <f>Water!E32</f>
        <v>139.19999999999999</v>
      </c>
      <c r="AL27" s="738">
        <f>Water!G32</f>
        <v>112.52</v>
      </c>
      <c r="AM27" s="738">
        <f>Boat!E29</f>
        <v>0</v>
      </c>
      <c r="AN27" s="819"/>
      <c r="AO27" s="738">
        <f>Gas!C32</f>
        <v>1310.1600000000001</v>
      </c>
      <c r="AP27" s="738">
        <f>Gas!E32</f>
        <v>179.2</v>
      </c>
      <c r="AQ27" s="738">
        <f>Gas!G32</f>
        <v>74</v>
      </c>
      <c r="AR27" s="738">
        <f>Boat!G29</f>
        <v>0</v>
      </c>
      <c r="AS27" s="745">
        <f>Elect!BT31</f>
        <v>229</v>
      </c>
    </row>
    <row r="28" spans="1:45" ht="12.75" customHeight="1">
      <c r="A28" s="752" t="s">
        <v>11</v>
      </c>
      <c r="B28" s="729">
        <f t="shared" si="0"/>
        <v>27</v>
      </c>
      <c r="C28" s="771">
        <v>9</v>
      </c>
      <c r="D28" s="751">
        <v>2022</v>
      </c>
      <c r="E28" s="819"/>
      <c r="F28" s="738">
        <f>Elect!J32</f>
        <v>5241</v>
      </c>
      <c r="G28" s="738">
        <f>Elect!K32</f>
        <v>4553</v>
      </c>
      <c r="H28" s="738">
        <f>Elect!Q32</f>
        <v>780</v>
      </c>
      <c r="I28" s="738">
        <f>Elect!S32</f>
        <v>147</v>
      </c>
      <c r="J28" s="738">
        <f>Elect!U32</f>
        <v>283</v>
      </c>
      <c r="K28" s="738">
        <f>Elect!W32</f>
        <v>393.26000000000005</v>
      </c>
      <c r="L28" s="738">
        <f>Elect!Y32</f>
        <v>3756.6400000000003</v>
      </c>
      <c r="M28" s="738">
        <f>Elect!AA32</f>
        <v>0</v>
      </c>
      <c r="N28" s="738">
        <f>Elect!AC32</f>
        <v>2821.7200000000003</v>
      </c>
      <c r="O28" s="738">
        <f>Elect!AE32</f>
        <v>23.32</v>
      </c>
      <c r="P28" s="738">
        <f>Elect!AG32</f>
        <v>1690.17</v>
      </c>
      <c r="Q28" s="738">
        <f>Elect!AI32</f>
        <v>1058.94</v>
      </c>
      <c r="R28" s="738">
        <f>Elect!AK32</f>
        <v>3561.07</v>
      </c>
      <c r="S28" s="738">
        <f>Elect!AM32</f>
        <v>111.30000000000001</v>
      </c>
      <c r="T28" s="738">
        <f>Elect!AP32</f>
        <v>324.22500000000002</v>
      </c>
      <c r="U28" s="738">
        <f>Elect!AR32</f>
        <v>170</v>
      </c>
      <c r="V28" s="738">
        <f>Elect!AT32</f>
        <v>166</v>
      </c>
      <c r="W28" s="738">
        <f>Elect!AV32</f>
        <v>65</v>
      </c>
      <c r="X28" s="738">
        <f>Elect!AX32</f>
        <v>878</v>
      </c>
      <c r="Y28" s="738">
        <f>Elect!AZ32</f>
        <v>12</v>
      </c>
      <c r="Z28" s="738">
        <f>Elect!BB32</f>
        <v>5414</v>
      </c>
      <c r="AA28" s="738">
        <f>Elect!BD32</f>
        <v>245</v>
      </c>
      <c r="AB28" s="738">
        <f>Elect!BF32</f>
        <v>306</v>
      </c>
      <c r="AC28" s="738">
        <f>Elect!BH32</f>
        <v>6734.25</v>
      </c>
      <c r="AD28" s="738">
        <f>Elect!BL32</f>
        <v>178</v>
      </c>
      <c r="AE28" s="738">
        <f>Elect!BN32</f>
        <v>1469</v>
      </c>
      <c r="AF28" s="738">
        <f>Elect!BP32</f>
        <v>106</v>
      </c>
      <c r="AG28" s="738">
        <f>Elect!BR32</f>
        <v>143</v>
      </c>
      <c r="AH28" s="738">
        <f>Boat!C30</f>
        <v>0</v>
      </c>
      <c r="AI28" s="819"/>
      <c r="AJ28" s="738">
        <f>Water!C33</f>
        <v>121.8</v>
      </c>
      <c r="AK28" s="738">
        <f>Water!E33</f>
        <v>156.6</v>
      </c>
      <c r="AL28" s="738">
        <f>Water!G33</f>
        <v>126.44</v>
      </c>
      <c r="AM28" s="738">
        <f>Boat!E30</f>
        <v>0</v>
      </c>
      <c r="AN28" s="819"/>
      <c r="AO28" s="738">
        <f>Gas!C33</f>
        <v>1276.24</v>
      </c>
      <c r="AP28" s="738">
        <f>Gas!E33</f>
        <v>280</v>
      </c>
      <c r="AQ28" s="738">
        <f>Gas!G33</f>
        <v>100</v>
      </c>
      <c r="AR28" s="738">
        <f>Boat!G30</f>
        <v>0</v>
      </c>
      <c r="AS28" s="745">
        <f>Elect!BT32</f>
        <v>224</v>
      </c>
    </row>
    <row r="29" spans="1:45" ht="12.75" customHeight="1">
      <c r="A29" s="752" t="s">
        <v>11</v>
      </c>
      <c r="B29" s="729">
        <f t="shared" si="0"/>
        <v>28</v>
      </c>
      <c r="C29" s="771">
        <v>9</v>
      </c>
      <c r="D29" s="751">
        <v>2022</v>
      </c>
      <c r="E29" s="819"/>
      <c r="F29" s="738">
        <f>Elect!J33</f>
        <v>5368</v>
      </c>
      <c r="G29" s="738">
        <f>Elect!K33</f>
        <v>4215</v>
      </c>
      <c r="H29" s="738">
        <f>Elect!Q33</f>
        <v>600</v>
      </c>
      <c r="I29" s="738">
        <f>Elect!S33</f>
        <v>135</v>
      </c>
      <c r="J29" s="738">
        <f>Elect!U33</f>
        <v>248</v>
      </c>
      <c r="K29" s="738">
        <f>Elect!W33</f>
        <v>3339.53</v>
      </c>
      <c r="L29" s="738">
        <f>Elect!Y33</f>
        <v>3154.56</v>
      </c>
      <c r="M29" s="738">
        <f>Elect!AA33</f>
        <v>0</v>
      </c>
      <c r="N29" s="738">
        <f>Elect!AC33</f>
        <v>0</v>
      </c>
      <c r="O29" s="738">
        <f>Elect!AE33</f>
        <v>31.8</v>
      </c>
      <c r="P29" s="738">
        <f>Elect!AG33</f>
        <v>1586.2900000000002</v>
      </c>
      <c r="Q29" s="738">
        <f>Elect!AI33</f>
        <v>1045.69</v>
      </c>
      <c r="R29" s="738">
        <f>Elect!AK33</f>
        <v>3578.03</v>
      </c>
      <c r="S29" s="738">
        <f>Elect!AM33</f>
        <v>116.60000000000001</v>
      </c>
      <c r="T29" s="738">
        <f>Elect!AP33</f>
        <v>316.125</v>
      </c>
      <c r="U29" s="738">
        <f>Elect!AR33</f>
        <v>168</v>
      </c>
      <c r="V29" s="738">
        <f>Elect!AT33</f>
        <v>179</v>
      </c>
      <c r="W29" s="738">
        <f>Elect!AV33</f>
        <v>70</v>
      </c>
      <c r="X29" s="738">
        <f>Elect!AX33</f>
        <v>892</v>
      </c>
      <c r="Y29" s="738">
        <f>Elect!AZ33</f>
        <v>11</v>
      </c>
      <c r="Z29" s="738">
        <f>Elect!BB33</f>
        <v>5531</v>
      </c>
      <c r="AA29" s="738">
        <f>Elect!BD33</f>
        <v>242</v>
      </c>
      <c r="AB29" s="738">
        <f>Elect!BF33</f>
        <v>70</v>
      </c>
      <c r="AC29" s="738">
        <f>Elect!BH33</f>
        <v>6392.0499999999993</v>
      </c>
      <c r="AD29" s="738">
        <f>Elect!BL33</f>
        <v>295</v>
      </c>
      <c r="AE29" s="738">
        <f>Elect!BN33</f>
        <v>1408</v>
      </c>
      <c r="AF29" s="738">
        <f>Elect!BP33</f>
        <v>103</v>
      </c>
      <c r="AG29" s="738">
        <f>Elect!BR33</f>
        <v>144</v>
      </c>
      <c r="AH29" s="738">
        <f>Boat!C31</f>
        <v>0</v>
      </c>
      <c r="AI29" s="819"/>
      <c r="AJ29" s="738">
        <f>Water!C34</f>
        <v>127.6</v>
      </c>
      <c r="AK29" s="738">
        <f>Water!E34</f>
        <v>174</v>
      </c>
      <c r="AL29" s="738">
        <f>Water!G34</f>
        <v>143.26</v>
      </c>
      <c r="AM29" s="738">
        <f>Boat!E31</f>
        <v>0</v>
      </c>
      <c r="AN29" s="819"/>
      <c r="AO29" s="738">
        <f>Gas!C34</f>
        <v>1533.8200000000002</v>
      </c>
      <c r="AP29" s="738">
        <f>Gas!E34</f>
        <v>278.59999999999997</v>
      </c>
      <c r="AQ29" s="738">
        <f>Gas!G34</f>
        <v>82</v>
      </c>
      <c r="AR29" s="738">
        <f>Boat!G31</f>
        <v>0</v>
      </c>
      <c r="AS29" s="745">
        <f>Elect!BT33</f>
        <v>224</v>
      </c>
    </row>
    <row r="30" spans="1:45" ht="12.75" customHeight="1">
      <c r="A30" s="752" t="s">
        <v>11</v>
      </c>
      <c r="B30" s="729">
        <f t="shared" si="0"/>
        <v>29</v>
      </c>
      <c r="C30" s="771">
        <v>9</v>
      </c>
      <c r="D30" s="751">
        <v>2022</v>
      </c>
      <c r="E30" s="819"/>
      <c r="F30" s="738">
        <f>Elect!J34</f>
        <v>4424</v>
      </c>
      <c r="G30" s="738">
        <f>Elect!K34</f>
        <v>4355</v>
      </c>
      <c r="H30" s="738">
        <f>Elect!Q34</f>
        <v>720</v>
      </c>
      <c r="I30" s="738">
        <f>Elect!S34</f>
        <v>144</v>
      </c>
      <c r="J30" s="738">
        <f>Elect!U34</f>
        <v>271</v>
      </c>
      <c r="K30" s="738">
        <f>Elect!W34</f>
        <v>3339.53</v>
      </c>
      <c r="L30" s="738">
        <f>Elect!Y34</f>
        <v>3555.77</v>
      </c>
      <c r="M30" s="738">
        <f>Elect!AA34</f>
        <v>0</v>
      </c>
      <c r="N30" s="738">
        <f>Elect!AC34</f>
        <v>0</v>
      </c>
      <c r="O30" s="738">
        <f>Elect!AE34</f>
        <v>18.02</v>
      </c>
      <c r="P30" s="738">
        <f>Elect!AG34</f>
        <v>1586.2900000000002</v>
      </c>
      <c r="Q30" s="738">
        <f>Elect!AI34</f>
        <v>1054.17</v>
      </c>
      <c r="R30" s="738">
        <f>Elect!AK34</f>
        <v>3605.59</v>
      </c>
      <c r="S30" s="738">
        <f>Elect!AM34</f>
        <v>112.89</v>
      </c>
      <c r="T30" s="738">
        <f>Elect!AP34</f>
        <v>318.9375</v>
      </c>
      <c r="U30" s="738">
        <f>Elect!AR34</f>
        <v>174</v>
      </c>
      <c r="V30" s="738">
        <f>Elect!AT34</f>
        <v>180</v>
      </c>
      <c r="W30" s="738">
        <f>Elect!AV34</f>
        <v>61</v>
      </c>
      <c r="X30" s="738">
        <f>Elect!AX34</f>
        <v>892</v>
      </c>
      <c r="Y30" s="738">
        <f>Elect!AZ34</f>
        <v>11</v>
      </c>
      <c r="Z30" s="738">
        <f>Elect!BB34</f>
        <v>5453</v>
      </c>
      <c r="AA30" s="738">
        <f>Elect!BD34</f>
        <v>242</v>
      </c>
      <c r="AB30" s="738">
        <f>Elect!BF34</f>
        <v>180</v>
      </c>
      <c r="AC30" s="738">
        <f>Elect!BH34</f>
        <v>6618.2999999999993</v>
      </c>
      <c r="AD30" s="738">
        <f>Elect!BL34</f>
        <v>210</v>
      </c>
      <c r="AE30" s="738">
        <f>Elect!BN34</f>
        <v>1448</v>
      </c>
      <c r="AF30" s="738">
        <f>Elect!BP34</f>
        <v>98</v>
      </c>
      <c r="AG30" s="738">
        <f>Elect!BR34</f>
        <v>148</v>
      </c>
      <c r="AH30" s="738">
        <f>Boat!C32</f>
        <v>0</v>
      </c>
      <c r="AI30" s="819"/>
      <c r="AJ30" s="738">
        <f>Water!C35</f>
        <v>133.39999999999998</v>
      </c>
      <c r="AK30" s="738">
        <f>Water!E35</f>
        <v>174</v>
      </c>
      <c r="AL30" s="738">
        <f>Water!G35</f>
        <v>97.44</v>
      </c>
      <c r="AM30" s="738">
        <f>Boat!E32</f>
        <v>0</v>
      </c>
      <c r="AN30" s="819"/>
      <c r="AO30" s="738">
        <f>Gas!C35</f>
        <v>992.16000000000008</v>
      </c>
      <c r="AP30" s="738">
        <f>Gas!E35</f>
        <v>288.39999999999998</v>
      </c>
      <c r="AQ30" s="738">
        <f>Gas!G35</f>
        <v>71</v>
      </c>
      <c r="AR30" s="738">
        <f>Boat!G32</f>
        <v>0</v>
      </c>
      <c r="AS30" s="745">
        <f>Elect!BT34</f>
        <v>224</v>
      </c>
    </row>
    <row r="31" spans="1:45" ht="12.75" customHeight="1">
      <c r="A31" s="752" t="s">
        <v>11</v>
      </c>
      <c r="B31" s="729">
        <f t="shared" si="0"/>
        <v>30</v>
      </c>
      <c r="C31" s="771">
        <v>9</v>
      </c>
      <c r="D31" s="751">
        <v>2022</v>
      </c>
      <c r="E31" s="819"/>
      <c r="F31" s="738">
        <f>Elect!J35</f>
        <v>4789</v>
      </c>
      <c r="G31" s="738">
        <f>Elect!K35</f>
        <v>4339</v>
      </c>
      <c r="H31" s="738">
        <f>Elect!Q35</f>
        <v>690</v>
      </c>
      <c r="I31" s="738">
        <f>Elect!S35</f>
        <v>141</v>
      </c>
      <c r="J31" s="738">
        <f>Elect!U35</f>
        <v>265</v>
      </c>
      <c r="K31" s="738">
        <f>Elect!W35</f>
        <v>3339.53</v>
      </c>
      <c r="L31" s="738">
        <f>Elect!Y35</f>
        <v>3455.6000000000004</v>
      </c>
      <c r="M31" s="738">
        <f>Elect!AA35</f>
        <v>0</v>
      </c>
      <c r="N31" s="738">
        <f>Elect!AC35</f>
        <v>0</v>
      </c>
      <c r="O31" s="738">
        <f>Elect!AE35</f>
        <v>22.26</v>
      </c>
      <c r="P31" s="738">
        <f>Elect!AG35</f>
        <v>1586.2900000000002</v>
      </c>
      <c r="Q31" s="738">
        <f>Elect!AI35</f>
        <v>1052.5800000000002</v>
      </c>
      <c r="R31" s="738">
        <f>Elect!AK35</f>
        <v>3592.8700000000003</v>
      </c>
      <c r="S31" s="738">
        <f>Elect!AM35</f>
        <v>113.95</v>
      </c>
      <c r="T31" s="738">
        <f>Elect!AP35</f>
        <v>318.71250000000003</v>
      </c>
      <c r="U31" s="738">
        <f>Elect!AR35</f>
        <v>171</v>
      </c>
      <c r="V31" s="738">
        <f>Elect!AT35</f>
        <v>179</v>
      </c>
      <c r="W31" s="738">
        <f>Elect!AV35</f>
        <v>66</v>
      </c>
      <c r="X31" s="738">
        <f>Elect!AX35</f>
        <v>892</v>
      </c>
      <c r="Y31" s="738">
        <f>Elect!AZ35</f>
        <v>11</v>
      </c>
      <c r="Z31" s="738">
        <f>Elect!BB35</f>
        <v>5472</v>
      </c>
      <c r="AA31" s="738">
        <f>Elect!BD35</f>
        <v>242</v>
      </c>
      <c r="AB31" s="738">
        <f>Elect!BF35</f>
        <v>160</v>
      </c>
      <c r="AC31" s="738">
        <f>Elect!BH35</f>
        <v>6562</v>
      </c>
      <c r="AD31" s="738">
        <f>Elect!BL35</f>
        <v>233</v>
      </c>
      <c r="AE31" s="738">
        <f>Elect!BN35</f>
        <v>1439</v>
      </c>
      <c r="AF31" s="738">
        <f>Elect!BP35</f>
        <v>101</v>
      </c>
      <c r="AG31" s="738">
        <f>Elect!BR35</f>
        <v>146</v>
      </c>
      <c r="AH31" s="738">
        <f>Boat!C33</f>
        <v>0</v>
      </c>
      <c r="AI31" s="819"/>
      <c r="AJ31" s="738">
        <f>Water!C36</f>
        <v>127.6</v>
      </c>
      <c r="AK31" s="738">
        <f>Water!E36</f>
        <v>174</v>
      </c>
      <c r="AL31" s="738">
        <f>Water!G36</f>
        <v>134.56</v>
      </c>
      <c r="AM31" s="738">
        <f>Boat!E33</f>
        <v>0</v>
      </c>
      <c r="AN31" s="819"/>
      <c r="AO31" s="738">
        <f>Gas!C36</f>
        <v>1423.5800000000002</v>
      </c>
      <c r="AP31" s="738">
        <f>Gas!E36</f>
        <v>262.5</v>
      </c>
      <c r="AQ31" s="738">
        <f>Gas!G36</f>
        <v>92</v>
      </c>
      <c r="AR31" s="738">
        <f>Boat!G33</f>
        <v>0</v>
      </c>
      <c r="AS31" s="745">
        <f>Elect!BT35</f>
        <v>224</v>
      </c>
    </row>
    <row r="32" spans="1:45" ht="12.75" customHeight="1">
      <c r="A32" s="753" t="s">
        <v>11</v>
      </c>
      <c r="B32" s="754">
        <f>B31+1</f>
        <v>31</v>
      </c>
      <c r="C32" s="771">
        <v>9</v>
      </c>
      <c r="D32" s="751">
        <v>2022</v>
      </c>
      <c r="E32" s="820"/>
      <c r="F32" s="738">
        <f>Elect!J36</f>
        <v>0</v>
      </c>
      <c r="G32" s="738">
        <f>Elect!K36</f>
        <v>0</v>
      </c>
      <c r="H32" s="738">
        <f>Elect!Q36</f>
        <v>0</v>
      </c>
      <c r="I32" s="738">
        <f>Elect!S36</f>
        <v>0</v>
      </c>
      <c r="J32" s="738">
        <f>Elect!U36</f>
        <v>0</v>
      </c>
      <c r="K32" s="738">
        <f>Elect!W36</f>
        <v>0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0</v>
      </c>
      <c r="P32" s="738">
        <f>Elect!AG36</f>
        <v>0</v>
      </c>
      <c r="Q32" s="738">
        <f>Elect!AI36</f>
        <v>0</v>
      </c>
      <c r="R32" s="738">
        <f>Elect!AK36</f>
        <v>0</v>
      </c>
      <c r="S32" s="738">
        <f>Elect!AM36</f>
        <v>0</v>
      </c>
      <c r="T32" s="738">
        <f>Elect!AP36</f>
        <v>0</v>
      </c>
      <c r="U32" s="738">
        <f>Elect!AR36</f>
        <v>0</v>
      </c>
      <c r="V32" s="738">
        <f>Elect!AT36</f>
        <v>0</v>
      </c>
      <c r="W32" s="738">
        <f>Elect!AV36</f>
        <v>0</v>
      </c>
      <c r="X32" s="738">
        <f>Elect!AX36</f>
        <v>0</v>
      </c>
      <c r="Y32" s="738">
        <f>Elect!AZ36</f>
        <v>0</v>
      </c>
      <c r="Z32" s="738">
        <f>Elect!BB36</f>
        <v>0</v>
      </c>
      <c r="AA32" s="738">
        <f>Elect!BD36</f>
        <v>0</v>
      </c>
      <c r="AB32" s="738">
        <f>Elect!BF36</f>
        <v>0</v>
      </c>
      <c r="AC32" s="738">
        <f>Elect!BH36</f>
        <v>0</v>
      </c>
      <c r="AD32" s="738">
        <f>Elect!BL36</f>
        <v>0</v>
      </c>
      <c r="AE32" s="738">
        <f>Elect!BN36</f>
        <v>0</v>
      </c>
      <c r="AF32" s="738">
        <f>Elect!BP36</f>
        <v>0</v>
      </c>
      <c r="AG32" s="738">
        <f>Elect!BR36</f>
        <v>0</v>
      </c>
      <c r="AH32" s="738">
        <f>Boat!C34</f>
        <v>0</v>
      </c>
      <c r="AI32" s="820"/>
      <c r="AJ32" s="738">
        <f>Water!C37</f>
        <v>0</v>
      </c>
      <c r="AK32" s="738">
        <f>Water!E37</f>
        <v>0</v>
      </c>
      <c r="AL32" s="738">
        <f>Water!G37</f>
        <v>0</v>
      </c>
      <c r="AM32" s="738">
        <f>Boat!E34</f>
        <v>0</v>
      </c>
      <c r="AN32" s="820"/>
      <c r="AO32" s="738">
        <f>Gas!C37</f>
        <v>0</v>
      </c>
      <c r="AP32" s="738">
        <f>Gas!E37</f>
        <v>0</v>
      </c>
      <c r="AQ32" s="738">
        <f>Gas!G37</f>
        <v>0</v>
      </c>
      <c r="AR32" s="738">
        <f>Boat!G34</f>
        <v>0</v>
      </c>
      <c r="AS32" s="745">
        <f>Elect!BT36</f>
        <v>0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opLeftCell="A22"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23"/>
      <c r="B1" s="821" t="s">
        <v>14</v>
      </c>
      <c r="C1" s="822"/>
      <c r="D1" s="821" t="s">
        <v>44</v>
      </c>
      <c r="E1" s="822"/>
      <c r="F1" s="821" t="s">
        <v>49</v>
      </c>
      <c r="G1" s="822"/>
    </row>
    <row r="2" spans="1:7" ht="18.75" thickBot="1">
      <c r="A2" s="824"/>
      <c r="B2" s="817" t="s">
        <v>53</v>
      </c>
      <c r="C2" s="816" t="s">
        <v>54</v>
      </c>
      <c r="D2" s="817" t="s">
        <v>53</v>
      </c>
      <c r="E2" s="816" t="s">
        <v>54</v>
      </c>
      <c r="F2" s="817" t="s">
        <v>53</v>
      </c>
      <c r="G2" s="816" t="s">
        <v>54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>B4-B3</f>
        <v>0</v>
      </c>
      <c r="D4" s="813">
        <v>0</v>
      </c>
      <c r="E4" s="812">
        <f>D4-D3</f>
        <v>0</v>
      </c>
      <c r="F4" s="813">
        <v>0</v>
      </c>
      <c r="G4" s="812">
        <f>F4-F3</f>
        <v>0</v>
      </c>
    </row>
    <row r="5" spans="1:7" ht="20.25">
      <c r="A5" s="815">
        <v>2</v>
      </c>
      <c r="B5" s="813">
        <v>0</v>
      </c>
      <c r="C5" s="812">
        <f>B5-B4</f>
        <v>0</v>
      </c>
      <c r="D5" s="813">
        <v>0</v>
      </c>
      <c r="E5" s="812">
        <f>D5-D4</f>
        <v>0</v>
      </c>
      <c r="F5" s="813">
        <v>0</v>
      </c>
      <c r="G5" s="812">
        <f>F5-F4</f>
        <v>0</v>
      </c>
    </row>
    <row r="6" spans="1:7" ht="20.25">
      <c r="A6" s="815">
        <v>3</v>
      </c>
      <c r="B6" s="813">
        <v>0</v>
      </c>
      <c r="C6" s="812">
        <f>B6-B5</f>
        <v>0</v>
      </c>
      <c r="D6" s="813">
        <v>0</v>
      </c>
      <c r="E6" s="812">
        <f>D6-D5</f>
        <v>0</v>
      </c>
      <c r="F6" s="813">
        <v>0</v>
      </c>
      <c r="G6" s="812">
        <f>F6-F5</f>
        <v>0</v>
      </c>
    </row>
    <row r="7" spans="1:7" ht="20.25">
      <c r="A7" s="815">
        <v>4</v>
      </c>
      <c r="B7" s="813">
        <v>0</v>
      </c>
      <c r="C7" s="812">
        <f>B7-B6</f>
        <v>0</v>
      </c>
      <c r="D7" s="813">
        <v>0</v>
      </c>
      <c r="E7" s="812">
        <f>D7-D6</f>
        <v>0</v>
      </c>
      <c r="F7" s="813">
        <v>0</v>
      </c>
      <c r="G7" s="812">
        <f>F7-F6</f>
        <v>0</v>
      </c>
    </row>
    <row r="8" spans="1:7" ht="20.25">
      <c r="A8" s="815">
        <v>5</v>
      </c>
      <c r="B8" s="813">
        <v>0</v>
      </c>
      <c r="C8" s="812">
        <f>B8-B7</f>
        <v>0</v>
      </c>
      <c r="D8" s="813">
        <v>0</v>
      </c>
      <c r="E8" s="812">
        <f>D8-D7</f>
        <v>0</v>
      </c>
      <c r="F8" s="813">
        <v>0</v>
      </c>
      <c r="G8" s="812">
        <f>F8-F7</f>
        <v>0</v>
      </c>
    </row>
    <row r="9" spans="1:7" ht="20.25">
      <c r="A9" s="815">
        <v>6</v>
      </c>
      <c r="B9" s="813">
        <v>0</v>
      </c>
      <c r="C9" s="812">
        <f>B9-B8</f>
        <v>0</v>
      </c>
      <c r="D9" s="813">
        <v>0</v>
      </c>
      <c r="E9" s="812">
        <f>D9-D8</f>
        <v>0</v>
      </c>
      <c r="F9" s="813">
        <v>0</v>
      </c>
      <c r="G9" s="812">
        <f>F9-F8</f>
        <v>0</v>
      </c>
    </row>
    <row r="10" spans="1:7" ht="20.25">
      <c r="A10" s="815">
        <v>7</v>
      </c>
      <c r="B10" s="813">
        <v>0</v>
      </c>
      <c r="C10" s="812">
        <f>B10-B9</f>
        <v>0</v>
      </c>
      <c r="D10" s="813">
        <v>0</v>
      </c>
      <c r="E10" s="812">
        <f>D10-D9</f>
        <v>0</v>
      </c>
      <c r="F10" s="813">
        <v>0</v>
      </c>
      <c r="G10" s="812">
        <f>F10-F9</f>
        <v>0</v>
      </c>
    </row>
    <row r="11" spans="1:7" ht="20.25">
      <c r="A11" s="815">
        <v>8</v>
      </c>
      <c r="B11" s="813">
        <v>0</v>
      </c>
      <c r="C11" s="812">
        <f>B11-B10</f>
        <v>0</v>
      </c>
      <c r="D11" s="813">
        <v>0</v>
      </c>
      <c r="E11" s="812">
        <f>D11-D10</f>
        <v>0</v>
      </c>
      <c r="F11" s="813">
        <v>0</v>
      </c>
      <c r="G11" s="812">
        <f>F11-F10</f>
        <v>0</v>
      </c>
    </row>
    <row r="12" spans="1:7" ht="20.25">
      <c r="A12" s="815">
        <v>9</v>
      </c>
      <c r="B12" s="813">
        <v>0</v>
      </c>
      <c r="C12" s="812">
        <f>B12-B11</f>
        <v>0</v>
      </c>
      <c r="D12" s="813">
        <v>0</v>
      </c>
      <c r="E12" s="812">
        <f>D12-D11</f>
        <v>0</v>
      </c>
      <c r="F12" s="813">
        <v>0</v>
      </c>
      <c r="G12" s="812">
        <f>F12-F11</f>
        <v>0</v>
      </c>
    </row>
    <row r="13" spans="1:7" ht="20.25">
      <c r="A13" s="815">
        <v>10</v>
      </c>
      <c r="B13" s="813">
        <v>0</v>
      </c>
      <c r="C13" s="812">
        <f>B13-B12</f>
        <v>0</v>
      </c>
      <c r="D13" s="813">
        <v>0</v>
      </c>
      <c r="E13" s="812">
        <f>D13-D12</f>
        <v>0</v>
      </c>
      <c r="F13" s="813">
        <v>0</v>
      </c>
      <c r="G13" s="812">
        <f>F13-F12</f>
        <v>0</v>
      </c>
    </row>
    <row r="14" spans="1:7" ht="20.25">
      <c r="A14" s="815">
        <v>11</v>
      </c>
      <c r="B14" s="813">
        <v>0</v>
      </c>
      <c r="C14" s="812">
        <f>B14-B13</f>
        <v>0</v>
      </c>
      <c r="D14" s="813">
        <v>0</v>
      </c>
      <c r="E14" s="812">
        <f>D14-D13</f>
        <v>0</v>
      </c>
      <c r="F14" s="813">
        <v>0</v>
      </c>
      <c r="G14" s="812">
        <f>F14-F13</f>
        <v>0</v>
      </c>
    </row>
    <row r="15" spans="1:7" ht="20.25">
      <c r="A15" s="815">
        <v>12</v>
      </c>
      <c r="B15" s="813">
        <v>0</v>
      </c>
      <c r="C15" s="812">
        <f>B15-B14</f>
        <v>0</v>
      </c>
      <c r="D15" s="813">
        <v>0</v>
      </c>
      <c r="E15" s="812">
        <f>D15-D14</f>
        <v>0</v>
      </c>
      <c r="F15" s="813">
        <v>0</v>
      </c>
      <c r="G15" s="812">
        <f>F15-F14</f>
        <v>0</v>
      </c>
    </row>
    <row r="16" spans="1:7" ht="20.25">
      <c r="A16" s="815">
        <v>13</v>
      </c>
      <c r="B16" s="813">
        <v>0</v>
      </c>
      <c r="C16" s="812">
        <f>B16-B15</f>
        <v>0</v>
      </c>
      <c r="D16" s="813">
        <v>0</v>
      </c>
      <c r="E16" s="812">
        <f>D16-D15</f>
        <v>0</v>
      </c>
      <c r="F16" s="813">
        <v>0</v>
      </c>
      <c r="G16" s="812">
        <f>F16-F15</f>
        <v>0</v>
      </c>
    </row>
    <row r="17" spans="1:7" ht="20.25">
      <c r="A17" s="815">
        <v>14</v>
      </c>
      <c r="B17" s="813">
        <v>0</v>
      </c>
      <c r="C17" s="812">
        <f>B17-B16</f>
        <v>0</v>
      </c>
      <c r="D17" s="813">
        <v>0</v>
      </c>
      <c r="E17" s="812">
        <f>D17-D16</f>
        <v>0</v>
      </c>
      <c r="F17" s="813">
        <v>0</v>
      </c>
      <c r="G17" s="812">
        <f>F17-F16</f>
        <v>0</v>
      </c>
    </row>
    <row r="18" spans="1:7" ht="20.25">
      <c r="A18" s="815">
        <v>15</v>
      </c>
      <c r="B18" s="813">
        <v>0</v>
      </c>
      <c r="C18" s="812">
        <f>B18-B17</f>
        <v>0</v>
      </c>
      <c r="D18" s="813">
        <v>0</v>
      </c>
      <c r="E18" s="812">
        <f>D18-D17</f>
        <v>0</v>
      </c>
      <c r="F18" s="813">
        <v>0</v>
      </c>
      <c r="G18" s="812">
        <f>F18-F17</f>
        <v>0</v>
      </c>
    </row>
    <row r="19" spans="1:7" ht="20.25">
      <c r="A19" s="815">
        <v>16</v>
      </c>
      <c r="B19" s="813">
        <v>0</v>
      </c>
      <c r="C19" s="812">
        <f>B19-B18</f>
        <v>0</v>
      </c>
      <c r="D19" s="813">
        <v>0</v>
      </c>
      <c r="E19" s="812">
        <f>D19-D18</f>
        <v>0</v>
      </c>
      <c r="F19" s="813">
        <v>0</v>
      </c>
      <c r="G19" s="812">
        <f>F19-F18</f>
        <v>0</v>
      </c>
    </row>
    <row r="20" spans="1:7" ht="20.25">
      <c r="A20" s="815">
        <v>17</v>
      </c>
      <c r="B20" s="813">
        <v>0</v>
      </c>
      <c r="C20" s="812">
        <f>B20-B19</f>
        <v>0</v>
      </c>
      <c r="D20" s="813">
        <v>0</v>
      </c>
      <c r="E20" s="812">
        <f>D20-D19</f>
        <v>0</v>
      </c>
      <c r="F20" s="813">
        <v>0</v>
      </c>
      <c r="G20" s="812">
        <f>F20-F19</f>
        <v>0</v>
      </c>
    </row>
    <row r="21" spans="1:7" ht="20.25">
      <c r="A21" s="815">
        <v>18</v>
      </c>
      <c r="B21" s="813">
        <v>0</v>
      </c>
      <c r="C21" s="812">
        <f>B21-B20</f>
        <v>0</v>
      </c>
      <c r="D21" s="813">
        <v>0</v>
      </c>
      <c r="E21" s="812">
        <f>D21-D20</f>
        <v>0</v>
      </c>
      <c r="F21" s="813">
        <v>0</v>
      </c>
      <c r="G21" s="812">
        <f>F21-F20</f>
        <v>0</v>
      </c>
    </row>
    <row r="22" spans="1:7" ht="20.25">
      <c r="A22" s="815">
        <v>19</v>
      </c>
      <c r="B22" s="813">
        <v>0</v>
      </c>
      <c r="C22" s="812">
        <f>B22-B21</f>
        <v>0</v>
      </c>
      <c r="D22" s="813">
        <v>0</v>
      </c>
      <c r="E22" s="812">
        <f>D22-D21</f>
        <v>0</v>
      </c>
      <c r="F22" s="813">
        <v>0</v>
      </c>
      <c r="G22" s="812">
        <f>F22-F21</f>
        <v>0</v>
      </c>
    </row>
    <row r="23" spans="1:7" ht="20.25">
      <c r="A23" s="815">
        <v>20</v>
      </c>
      <c r="B23" s="813">
        <v>0</v>
      </c>
      <c r="C23" s="812">
        <f>B23-B22</f>
        <v>0</v>
      </c>
      <c r="D23" s="813">
        <v>0</v>
      </c>
      <c r="E23" s="812">
        <f>D23-D22</f>
        <v>0</v>
      </c>
      <c r="F23" s="813">
        <v>0</v>
      </c>
      <c r="G23" s="812">
        <f>F23-F22</f>
        <v>0</v>
      </c>
    </row>
    <row r="24" spans="1:7" ht="20.25">
      <c r="A24" s="815">
        <v>21</v>
      </c>
      <c r="B24" s="813">
        <v>0</v>
      </c>
      <c r="C24" s="812">
        <f>B24-B23</f>
        <v>0</v>
      </c>
      <c r="D24" s="813">
        <v>0</v>
      </c>
      <c r="E24" s="812">
        <f>D24-D23</f>
        <v>0</v>
      </c>
      <c r="F24" s="813">
        <v>0</v>
      </c>
      <c r="G24" s="812">
        <f>F24-F23</f>
        <v>0</v>
      </c>
    </row>
    <row r="25" spans="1:7" ht="20.25">
      <c r="A25" s="815">
        <v>22</v>
      </c>
      <c r="B25" s="813">
        <v>0</v>
      </c>
      <c r="C25" s="812">
        <f>B25-B24</f>
        <v>0</v>
      </c>
      <c r="D25" s="813">
        <v>0</v>
      </c>
      <c r="E25" s="812">
        <f>D25-D24</f>
        <v>0</v>
      </c>
      <c r="F25" s="813">
        <v>0</v>
      </c>
      <c r="G25" s="812">
        <f>F25-F24</f>
        <v>0</v>
      </c>
    </row>
    <row r="26" spans="1:7" ht="20.25">
      <c r="A26" s="815">
        <v>23</v>
      </c>
      <c r="B26" s="813">
        <v>0</v>
      </c>
      <c r="C26" s="812">
        <f>B26-B25</f>
        <v>0</v>
      </c>
      <c r="D26" s="813">
        <v>0</v>
      </c>
      <c r="E26" s="812">
        <f>D26-D25</f>
        <v>0</v>
      </c>
      <c r="F26" s="813">
        <v>0</v>
      </c>
      <c r="G26" s="812">
        <f>F26-F25</f>
        <v>0</v>
      </c>
    </row>
    <row r="27" spans="1:7" ht="20.25">
      <c r="A27" s="815">
        <v>24</v>
      </c>
      <c r="B27" s="813">
        <v>0</v>
      </c>
      <c r="C27" s="812">
        <f>B27-B26</f>
        <v>0</v>
      </c>
      <c r="D27" s="813">
        <v>0</v>
      </c>
      <c r="E27" s="812">
        <f>D27-D26</f>
        <v>0</v>
      </c>
      <c r="F27" s="813">
        <v>0</v>
      </c>
      <c r="G27" s="812">
        <f>F27-F26</f>
        <v>0</v>
      </c>
    </row>
    <row r="28" spans="1:7" ht="20.25">
      <c r="A28" s="815">
        <v>25</v>
      </c>
      <c r="B28" s="813">
        <v>0</v>
      </c>
      <c r="C28" s="812">
        <f>B28-B27</f>
        <v>0</v>
      </c>
      <c r="D28" s="813">
        <v>0</v>
      </c>
      <c r="E28" s="812">
        <f>D28-D27</f>
        <v>0</v>
      </c>
      <c r="F28" s="813">
        <v>0</v>
      </c>
      <c r="G28" s="812">
        <f>F28-F27</f>
        <v>0</v>
      </c>
    </row>
    <row r="29" spans="1:7" ht="20.25">
      <c r="A29" s="815">
        <v>26</v>
      </c>
      <c r="B29" s="813">
        <v>0</v>
      </c>
      <c r="C29" s="812">
        <f>B29-B28</f>
        <v>0</v>
      </c>
      <c r="D29" s="813">
        <v>0</v>
      </c>
      <c r="E29" s="812">
        <f>D29-D28</f>
        <v>0</v>
      </c>
      <c r="F29" s="813">
        <v>0</v>
      </c>
      <c r="G29" s="812">
        <f>F29-F28</f>
        <v>0</v>
      </c>
    </row>
    <row r="30" spans="1:7" ht="20.25">
      <c r="A30" s="814">
        <v>27</v>
      </c>
      <c r="B30" s="813">
        <v>0</v>
      </c>
      <c r="C30" s="812">
        <f>B30-B29</f>
        <v>0</v>
      </c>
      <c r="D30" s="813">
        <v>0</v>
      </c>
      <c r="E30" s="812">
        <f>D30-D29</f>
        <v>0</v>
      </c>
      <c r="F30" s="813">
        <v>0</v>
      </c>
      <c r="G30" s="812">
        <f>F30-F29</f>
        <v>0</v>
      </c>
    </row>
    <row r="31" spans="1:7" ht="20.25">
      <c r="A31" s="814">
        <v>28</v>
      </c>
      <c r="B31" s="813">
        <v>0</v>
      </c>
      <c r="C31" s="812">
        <f>B31-B30</f>
        <v>0</v>
      </c>
      <c r="D31" s="813">
        <v>0</v>
      </c>
      <c r="E31" s="812">
        <f>D31-D30</f>
        <v>0</v>
      </c>
      <c r="F31" s="813">
        <v>0</v>
      </c>
      <c r="G31" s="812">
        <f>F31-F30</f>
        <v>0</v>
      </c>
    </row>
    <row r="32" spans="1:7" ht="20.25">
      <c r="A32" s="815">
        <v>29</v>
      </c>
      <c r="B32" s="813">
        <v>0</v>
      </c>
      <c r="C32" s="812">
        <f>B32-B31</f>
        <v>0</v>
      </c>
      <c r="D32" s="813">
        <v>0</v>
      </c>
      <c r="E32" s="812">
        <f>D32-D31</f>
        <v>0</v>
      </c>
      <c r="F32" s="813">
        <v>0</v>
      </c>
      <c r="G32" s="812">
        <f>F32-F31</f>
        <v>0</v>
      </c>
    </row>
    <row r="33" spans="1:7" ht="20.25">
      <c r="A33" s="814">
        <v>30</v>
      </c>
      <c r="B33" s="813">
        <v>0</v>
      </c>
      <c r="C33" s="812">
        <f>B33-B32</f>
        <v>0</v>
      </c>
      <c r="D33" s="813">
        <v>0</v>
      </c>
      <c r="E33" s="812">
        <f>D33-D32</f>
        <v>0</v>
      </c>
      <c r="F33" s="813">
        <v>0</v>
      </c>
      <c r="G33" s="812">
        <f>F33-F32</f>
        <v>0</v>
      </c>
    </row>
    <row r="34" spans="1:7" ht="21" thickBot="1">
      <c r="A34" s="814">
        <v>31</v>
      </c>
      <c r="B34" s="813">
        <v>0</v>
      </c>
      <c r="C34" s="812">
        <f>B34-B33</f>
        <v>0</v>
      </c>
      <c r="D34" s="813">
        <v>0</v>
      </c>
      <c r="E34" s="812">
        <f>D34-D33</f>
        <v>0</v>
      </c>
      <c r="F34" s="813">
        <v>0</v>
      </c>
      <c r="G34" s="812">
        <f>F34-F33</f>
        <v>0</v>
      </c>
    </row>
    <row r="35" spans="1:7" ht="20.25">
      <c r="A35" s="810" t="s">
        <v>55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G31" activePane="bottomRight" state="frozen"/>
      <selection pane="bottomRight" activeCell="BT35" sqref="BT35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47">
        <v>44805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49" t="s">
        <v>14</v>
      </c>
      <c r="N1" s="849"/>
      <c r="O1" s="849"/>
      <c r="Q1" s="849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25" t="s">
        <v>56</v>
      </c>
      <c r="BQ1" s="826"/>
      <c r="BR1" s="565">
        <v>1.6</v>
      </c>
      <c r="BS1" s="562" t="s">
        <v>57</v>
      </c>
      <c r="BT1" s="563"/>
      <c r="BU1" s="827" t="s">
        <v>58</v>
      </c>
      <c r="BV1" s="828"/>
      <c r="BW1" s="565">
        <v>500</v>
      </c>
      <c r="BX1" s="825" t="s">
        <v>59</v>
      </c>
      <c r="BY1" s="826"/>
      <c r="BZ1" s="565">
        <v>1.1499999999999999</v>
      </c>
    </row>
    <row r="2" spans="1:78" ht="28.5" hidden="1" customHeight="1" thickBot="1">
      <c r="A2" s="848"/>
      <c r="B2" s="114"/>
      <c r="C2" s="28"/>
      <c r="D2" s="28"/>
      <c r="E2" s="189"/>
      <c r="F2" s="189"/>
      <c r="I2" s="190"/>
      <c r="M2" s="850"/>
      <c r="N2" s="850"/>
      <c r="O2" s="850"/>
      <c r="Q2" s="850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25"/>
      <c r="BQ2" s="826"/>
      <c r="BR2" s="565"/>
      <c r="BS2" s="567" t="s">
        <v>60</v>
      </c>
      <c r="BT2" s="568"/>
      <c r="BU2" s="827" t="s">
        <v>61</v>
      </c>
      <c r="BV2" s="828"/>
      <c r="BW2" s="569"/>
      <c r="BX2" s="825" t="s">
        <v>62</v>
      </c>
      <c r="BY2" s="826"/>
      <c r="BZ2" s="565">
        <v>30</v>
      </c>
    </row>
    <row r="3" spans="1:78" s="205" customFormat="1" ht="37.5" customHeight="1">
      <c r="A3" s="832" t="s">
        <v>63</v>
      </c>
      <c r="B3" s="834" t="s">
        <v>64</v>
      </c>
      <c r="C3" s="835"/>
      <c r="D3" s="829" t="s">
        <v>65</v>
      </c>
      <c r="E3" s="829"/>
      <c r="F3" s="829" t="s">
        <v>66</v>
      </c>
      <c r="G3" s="829"/>
      <c r="H3" s="851" t="s">
        <v>67</v>
      </c>
      <c r="I3" s="570" t="s">
        <v>68</v>
      </c>
      <c r="J3" s="536"/>
      <c r="K3" s="789"/>
      <c r="L3" s="829"/>
      <c r="M3" s="829"/>
      <c r="N3" s="829"/>
      <c r="O3" s="829"/>
      <c r="P3" s="829"/>
      <c r="Q3" s="829"/>
      <c r="R3" s="838" t="s">
        <v>69</v>
      </c>
      <c r="S3" s="838"/>
      <c r="T3" s="838"/>
      <c r="U3" s="839"/>
      <c r="V3" s="840" t="s">
        <v>70</v>
      </c>
      <c r="W3" s="841"/>
      <c r="X3" s="841"/>
      <c r="Y3" s="841"/>
      <c r="Z3" s="841"/>
      <c r="AA3" s="841"/>
      <c r="AB3" s="841"/>
      <c r="AC3" s="841"/>
      <c r="AD3" s="841"/>
      <c r="AE3" s="841"/>
      <c r="AF3" s="841"/>
      <c r="AG3" s="841"/>
      <c r="AH3" s="841"/>
      <c r="AI3" s="841"/>
      <c r="AJ3" s="841"/>
      <c r="AK3" s="841"/>
      <c r="AL3" s="841"/>
      <c r="AM3" s="841"/>
      <c r="AN3" s="842"/>
      <c r="AO3" s="846" t="s">
        <v>71</v>
      </c>
      <c r="AP3" s="838"/>
      <c r="AQ3" s="838"/>
      <c r="AR3" s="838"/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9"/>
      <c r="BK3" s="843" t="s">
        <v>72</v>
      </c>
      <c r="BL3" s="844"/>
      <c r="BM3" s="844"/>
      <c r="BN3" s="844"/>
      <c r="BO3" s="844"/>
      <c r="BP3" s="844"/>
      <c r="BQ3" s="844"/>
      <c r="BR3" s="845"/>
      <c r="BS3" s="836" t="s">
        <v>73</v>
      </c>
      <c r="BT3" s="790" t="s">
        <v>74</v>
      </c>
      <c r="BU3" s="790" t="s">
        <v>75</v>
      </c>
      <c r="BV3" s="790" t="s">
        <v>74</v>
      </c>
      <c r="BW3" s="790" t="s">
        <v>75</v>
      </c>
      <c r="BX3" s="829" t="s">
        <v>76</v>
      </c>
      <c r="BY3" s="571" t="s">
        <v>77</v>
      </c>
      <c r="BZ3" s="572" t="s">
        <v>77</v>
      </c>
    </row>
    <row r="4" spans="1:78" s="205" customFormat="1" ht="55.5" customHeight="1" thickBot="1">
      <c r="A4" s="833"/>
      <c r="B4" s="573" t="s">
        <v>78</v>
      </c>
      <c r="C4" s="574" t="s">
        <v>79</v>
      </c>
      <c r="D4" s="537" t="s">
        <v>78</v>
      </c>
      <c r="E4" s="574" t="s">
        <v>80</v>
      </c>
      <c r="F4" s="537" t="s">
        <v>81</v>
      </c>
      <c r="G4" s="574" t="s">
        <v>82</v>
      </c>
      <c r="H4" s="852"/>
      <c r="I4" s="575" t="s">
        <v>83</v>
      </c>
      <c r="J4" s="537" t="s">
        <v>84</v>
      </c>
      <c r="K4" s="537" t="s">
        <v>85</v>
      </c>
      <c r="L4" s="788" t="s">
        <v>86</v>
      </c>
      <c r="M4" s="537" t="s">
        <v>84</v>
      </c>
      <c r="N4" s="537" t="s">
        <v>87</v>
      </c>
      <c r="O4" s="537" t="s">
        <v>84</v>
      </c>
      <c r="P4" s="576" t="s">
        <v>88</v>
      </c>
      <c r="Q4" s="788" t="s">
        <v>89</v>
      </c>
      <c r="R4" s="686" t="s">
        <v>90</v>
      </c>
      <c r="S4" s="537" t="s">
        <v>84</v>
      </c>
      <c r="T4" s="686" t="s">
        <v>91</v>
      </c>
      <c r="U4" s="537" t="s">
        <v>84</v>
      </c>
      <c r="V4" s="548" t="s">
        <v>92</v>
      </c>
      <c r="W4" s="788" t="s">
        <v>93</v>
      </c>
      <c r="X4" s="548" t="s">
        <v>94</v>
      </c>
      <c r="Y4" s="788" t="s">
        <v>93</v>
      </c>
      <c r="Z4" s="713" t="s">
        <v>95</v>
      </c>
      <c r="AA4" s="788" t="s">
        <v>93</v>
      </c>
      <c r="AB4" s="548" t="s">
        <v>96</v>
      </c>
      <c r="AC4" s="788" t="s">
        <v>93</v>
      </c>
      <c r="AD4" s="548" t="s">
        <v>97</v>
      </c>
      <c r="AE4" s="788" t="s">
        <v>93</v>
      </c>
      <c r="AF4" s="548" t="s">
        <v>98</v>
      </c>
      <c r="AG4" s="788" t="s">
        <v>93</v>
      </c>
      <c r="AH4" s="548" t="s">
        <v>99</v>
      </c>
      <c r="AI4" s="788" t="s">
        <v>93</v>
      </c>
      <c r="AJ4" s="548" t="s">
        <v>100</v>
      </c>
      <c r="AK4" s="788" t="s">
        <v>93</v>
      </c>
      <c r="AL4" s="686" t="s">
        <v>101</v>
      </c>
      <c r="AM4" s="788" t="s">
        <v>93</v>
      </c>
      <c r="AN4" s="576" t="s">
        <v>102</v>
      </c>
      <c r="AO4" s="788" t="s">
        <v>103</v>
      </c>
      <c r="AP4" s="537" t="s">
        <v>84</v>
      </c>
      <c r="AQ4" s="788" t="s">
        <v>104</v>
      </c>
      <c r="AR4" s="537" t="s">
        <v>84</v>
      </c>
      <c r="AS4" s="788" t="s">
        <v>105</v>
      </c>
      <c r="AT4" s="537" t="s">
        <v>84</v>
      </c>
      <c r="AU4" s="788" t="s">
        <v>106</v>
      </c>
      <c r="AV4" s="537" t="s">
        <v>84</v>
      </c>
      <c r="AW4" s="537" t="s">
        <v>107</v>
      </c>
      <c r="AX4" s="537" t="s">
        <v>84</v>
      </c>
      <c r="AY4" s="788" t="s">
        <v>108</v>
      </c>
      <c r="AZ4" s="537" t="s">
        <v>84</v>
      </c>
      <c r="BA4" s="537" t="s">
        <v>109</v>
      </c>
      <c r="BB4" s="537" t="s">
        <v>84</v>
      </c>
      <c r="BC4" s="788" t="s">
        <v>110</v>
      </c>
      <c r="BD4" s="537" t="s">
        <v>84</v>
      </c>
      <c r="BE4" s="537" t="s">
        <v>111</v>
      </c>
      <c r="BF4" s="537" t="s">
        <v>84</v>
      </c>
      <c r="BG4" s="537" t="s">
        <v>112</v>
      </c>
      <c r="BH4" s="537" t="s">
        <v>84</v>
      </c>
      <c r="BI4" s="576" t="s">
        <v>113</v>
      </c>
      <c r="BJ4" s="576" t="s">
        <v>114</v>
      </c>
      <c r="BK4" s="788" t="s">
        <v>115</v>
      </c>
      <c r="BL4" s="537" t="s">
        <v>84</v>
      </c>
      <c r="BM4" s="537" t="s">
        <v>116</v>
      </c>
      <c r="BN4" s="537" t="s">
        <v>84</v>
      </c>
      <c r="BO4" s="537" t="s">
        <v>117</v>
      </c>
      <c r="BP4" s="537" t="s">
        <v>84</v>
      </c>
      <c r="BQ4" s="537" t="s">
        <v>118</v>
      </c>
      <c r="BR4" s="537" t="s">
        <v>84</v>
      </c>
      <c r="BS4" s="837"/>
      <c r="BT4" s="537" t="s">
        <v>119</v>
      </c>
      <c r="BU4" s="537" t="s">
        <v>120</v>
      </c>
      <c r="BV4" s="537" t="s">
        <v>121</v>
      </c>
      <c r="BW4" s="537" t="s">
        <v>121</v>
      </c>
      <c r="BX4" s="830"/>
      <c r="BY4" s="577" t="s">
        <v>122</v>
      </c>
      <c r="BZ4" s="578" t="s">
        <v>123</v>
      </c>
    </row>
    <row r="5" spans="1:78" s="385" customFormat="1" ht="39" customHeight="1">
      <c r="A5" s="525" t="s">
        <v>124</v>
      </c>
      <c r="B5" s="431"/>
      <c r="C5" s="432"/>
      <c r="D5" s="432"/>
      <c r="E5" s="432"/>
      <c r="F5" s="432"/>
      <c r="G5" s="432"/>
      <c r="H5" s="433"/>
      <c r="I5" s="769">
        <v>25202169.666666701</v>
      </c>
      <c r="J5" s="636">
        <f>IF(I5&gt;=I4,I5-I4,0)</f>
        <v>0</v>
      </c>
      <c r="K5" s="636">
        <f>M5+O5</f>
        <v>0</v>
      </c>
      <c r="L5" s="769">
        <v>96187.666666666701</v>
      </c>
      <c r="M5" s="636">
        <f>IF(L5&gt;=L4,L5-L4,0)</f>
        <v>0</v>
      </c>
      <c r="N5" s="769">
        <v>129922.33333333299</v>
      </c>
      <c r="O5" s="636">
        <f t="shared" ref="O5:O36" si="0">IF(N5&gt;=N4,N5-N4,0)</f>
        <v>0</v>
      </c>
      <c r="P5" s="769">
        <v>225426</v>
      </c>
      <c r="Q5" s="636">
        <f>IF(P5&gt;=P4,P5-P4,0)*30</f>
        <v>0</v>
      </c>
      <c r="R5" s="768">
        <v>213214</v>
      </c>
      <c r="S5" s="636">
        <f>IF(R5&gt;=R4,R5-R4,0)</f>
        <v>0</v>
      </c>
      <c r="T5" s="768">
        <v>389191</v>
      </c>
      <c r="U5" s="636">
        <f t="shared" ref="U5:U27" si="1">IF(T5&gt;=T4,T5-T4,0)</f>
        <v>0</v>
      </c>
      <c r="V5" s="768">
        <v>350570</v>
      </c>
      <c r="W5" s="636">
        <f t="shared" ref="W5:W36" si="2">IF(V5&gt;=V4,V5-V4,0)*0.53</f>
        <v>0</v>
      </c>
      <c r="X5" s="769">
        <v>623356.33333333302</v>
      </c>
      <c r="Y5" s="636">
        <f t="shared" ref="Y5:Y36" si="3">IF(X5&gt;=X4,X5-X4,0)*0.53</f>
        <v>0</v>
      </c>
      <c r="Z5" s="768">
        <v>618241</v>
      </c>
      <c r="AA5" s="636">
        <f t="shared" ref="AA5:AA36" si="4">IF(Z5&gt;=Z4,Z5-Z4,0)*0.53</f>
        <v>0</v>
      </c>
      <c r="AB5" s="768">
        <v>954549</v>
      </c>
      <c r="AC5" s="636">
        <f>IF(AB5&gt;=AB4,AB5-AB4,0)*0.53</f>
        <v>0</v>
      </c>
      <c r="AD5" s="768">
        <v>841322</v>
      </c>
      <c r="AE5" s="636">
        <f>IF(AD5&gt;=AD4,AD5-AD4,0)*0.53</f>
        <v>0</v>
      </c>
      <c r="AF5" s="768">
        <v>925487</v>
      </c>
      <c r="AG5" s="636">
        <f t="shared" ref="AG5:AG12" si="5">IF(AF5&gt;=AF4,AF5-AF4,0)*0.53</f>
        <v>0</v>
      </c>
      <c r="AH5" s="768">
        <v>301658</v>
      </c>
      <c r="AI5" s="636">
        <f t="shared" ref="AI5:AI36" si="6">IF(AH5&gt;=AH4,AH5-AH4,0)*0.53</f>
        <v>0</v>
      </c>
      <c r="AJ5" s="768">
        <v>968520</v>
      </c>
      <c r="AK5" s="636">
        <f t="shared" ref="AK5:AK12" si="7">IF(AJ5&gt;=AJ4,AJ5-AJ4,0)*0.53</f>
        <v>0</v>
      </c>
      <c r="AL5" s="768">
        <v>548047.66666666698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7971320</v>
      </c>
      <c r="AP5" s="636">
        <f>IF(AO5&gt;=AO4,AO5-AO4,0)*0.1125</f>
        <v>0</v>
      </c>
      <c r="AQ5" s="768">
        <v>732637.33333333302</v>
      </c>
      <c r="AR5" s="636">
        <f t="shared" ref="AR5:AR36" si="9">IF(AQ5&gt;=AQ4,AQ5-AQ4,0)</f>
        <v>0</v>
      </c>
      <c r="AS5" s="768">
        <v>999986</v>
      </c>
      <c r="AT5" s="636">
        <f>IF(AS5&gt;=AS4,AS5-AS4,0)</f>
        <v>0</v>
      </c>
      <c r="AU5" s="768">
        <v>821304</v>
      </c>
      <c r="AV5" s="636">
        <f t="shared" ref="AV5:AV36" si="10">IF(AU5&gt;=AU4,AU5-AU4,0)</f>
        <v>0</v>
      </c>
      <c r="AW5" s="768">
        <v>2799130.2592592598</v>
      </c>
      <c r="AX5" s="636">
        <f t="shared" ref="AX5:AX36" si="11">IF(AW5&gt;=AW4,AW5-AW4,0)</f>
        <v>0</v>
      </c>
      <c r="AY5" s="768">
        <v>230076.66666666701</v>
      </c>
      <c r="AZ5" s="636">
        <f t="shared" ref="AZ5:AZ18" si="12">IF(AY5&gt;=AY4,AY5-AY4,0)</f>
        <v>0</v>
      </c>
      <c r="BA5" s="768">
        <v>20329335.333333299</v>
      </c>
      <c r="BB5" s="636">
        <f t="shared" ref="BB5:BF36" si="13">IF(BA5&gt;=BA4,BA5-BA4,0)</f>
        <v>0</v>
      </c>
      <c r="BC5" s="768">
        <v>617272.33333333302</v>
      </c>
      <c r="BD5" s="636">
        <f t="shared" si="13"/>
        <v>0</v>
      </c>
      <c r="BE5" s="768">
        <v>39370.333333333299</v>
      </c>
      <c r="BF5" s="636">
        <f t="shared" si="13"/>
        <v>0</v>
      </c>
      <c r="BG5" s="769">
        <v>25500266.666666701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1472606.66666667</v>
      </c>
      <c r="BL5" s="636">
        <f t="shared" ref="BL5:BL36" si="14">IF(BK5&gt;=BK4,BK5-BK4,0)</f>
        <v>0</v>
      </c>
      <c r="BM5" s="768">
        <v>4186746.3333333302</v>
      </c>
      <c r="BN5" s="636">
        <f t="shared" ref="BN5:BN36" si="15">IF(BM5&gt;=BM4,BM5-BM4,0)</f>
        <v>0</v>
      </c>
      <c r="BO5" s="807">
        <v>439337.66666666698</v>
      </c>
      <c r="BP5" s="636">
        <f t="shared" ref="BP5:BP36" si="16">IF(BO5&gt;=BO4,BO5-BO4,0)</f>
        <v>0</v>
      </c>
      <c r="BQ5" s="769">
        <v>549337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25207718</v>
      </c>
      <c r="J6" s="636">
        <f t="shared" ref="J6:J36" si="18">IF(I6&gt;=I5,I6-I5,0)</f>
        <v>5548.333333298564</v>
      </c>
      <c r="K6" s="636">
        <f t="shared" ref="K6:K36" si="19">M6+O6</f>
        <v>3243.0000000003056</v>
      </c>
      <c r="L6" s="769">
        <v>97673</v>
      </c>
      <c r="M6" s="636">
        <f>IF(L6&gt;=L5,L6-L5,0)</f>
        <v>1485.3333333332994</v>
      </c>
      <c r="N6" s="769">
        <v>131680</v>
      </c>
      <c r="O6" s="636">
        <f>IF(N6&gt;=N5,N6-N5,0)</f>
        <v>1757.6666666670062</v>
      </c>
      <c r="P6" s="769">
        <v>225450</v>
      </c>
      <c r="Q6" s="636">
        <f>IF(P6&gt;=P5,P6-P5,0)*30</f>
        <v>720</v>
      </c>
      <c r="R6" s="768">
        <v>213351</v>
      </c>
      <c r="S6" s="636">
        <f>IF(R6&gt;=R5,R6-R5,0)</f>
        <v>137</v>
      </c>
      <c r="T6" s="768">
        <v>389441</v>
      </c>
      <c r="U6" s="636">
        <f t="shared" si="1"/>
        <v>250</v>
      </c>
      <c r="V6" s="768">
        <v>350579</v>
      </c>
      <c r="W6" s="636">
        <f t="shared" si="2"/>
        <v>4.7700000000000005</v>
      </c>
      <c r="X6" s="769">
        <v>629173</v>
      </c>
      <c r="Y6" s="636">
        <f t="shared" si="3"/>
        <v>3082.8333333334981</v>
      </c>
      <c r="Z6" s="768">
        <v>618517</v>
      </c>
      <c r="AA6" s="636">
        <f t="shared" si="4"/>
        <v>146.28</v>
      </c>
      <c r="AB6" s="768">
        <v>958357</v>
      </c>
      <c r="AC6" s="636">
        <f>IF(AB6&gt;=AB5,AB6-AB5,0)*0.53</f>
        <v>2018.24</v>
      </c>
      <c r="AD6" s="768">
        <v>841343</v>
      </c>
      <c r="AE6" s="636">
        <f t="shared" ref="AE6:AE36" si="20">IF(AD6&gt;=AD5,AD6-AD5,0)*0.53</f>
        <v>11.13</v>
      </c>
      <c r="AF6" s="768">
        <v>928421</v>
      </c>
      <c r="AG6" s="636">
        <f t="shared" si="5"/>
        <v>1555.02</v>
      </c>
      <c r="AH6" s="769">
        <v>303392</v>
      </c>
      <c r="AI6" s="636">
        <f t="shared" si="6"/>
        <v>919.0200000000001</v>
      </c>
      <c r="AJ6" s="769">
        <v>973932</v>
      </c>
      <c r="AK6" s="636">
        <f t="shared" si="7"/>
        <v>2868.36</v>
      </c>
      <c r="AL6" s="768">
        <v>548201</v>
      </c>
      <c r="AM6" s="636">
        <f t="shared" si="8"/>
        <v>81.266666666502132</v>
      </c>
      <c r="AN6" s="636">
        <f t="shared" ref="AN6:AN36" si="21">W6+Y6+AA6+AC6+AE6+AG6+AI6+AK6+AM6</f>
        <v>10686.920000000002</v>
      </c>
      <c r="AO6" s="768">
        <v>7973948</v>
      </c>
      <c r="AP6" s="636">
        <f t="shared" ref="AP6:AP36" si="22">IF(AO6&gt;=AO5,AO6-AO5,0)*0.1125</f>
        <v>295.65000000000003</v>
      </c>
      <c r="AQ6" s="768">
        <v>732782</v>
      </c>
      <c r="AR6" s="636">
        <f t="shared" si="9"/>
        <v>144.66666666697711</v>
      </c>
      <c r="AS6" s="768">
        <v>999992</v>
      </c>
      <c r="AT6" s="636">
        <f t="shared" ref="AT6:AT34" si="23">IF(AS6&gt;=AS5,AS6-AS5,0)</f>
        <v>6</v>
      </c>
      <c r="AU6" s="710">
        <v>821361</v>
      </c>
      <c r="AV6" s="636">
        <f t="shared" si="10"/>
        <v>57</v>
      </c>
      <c r="AW6" s="769">
        <v>2799959</v>
      </c>
      <c r="AX6" s="636">
        <f t="shared" si="11"/>
        <v>828.74074074020609</v>
      </c>
      <c r="AY6" s="768">
        <v>230520</v>
      </c>
      <c r="AZ6" s="636">
        <f t="shared" si="12"/>
        <v>443.33333333299379</v>
      </c>
      <c r="BA6" s="769">
        <v>20333862</v>
      </c>
      <c r="BB6" s="636">
        <f t="shared" si="13"/>
        <v>4526.666666701436</v>
      </c>
      <c r="BC6" s="768">
        <v>617448</v>
      </c>
      <c r="BD6" s="636">
        <f t="shared" si="13"/>
        <v>175.66666666697711</v>
      </c>
      <c r="BE6" s="768">
        <v>39374</v>
      </c>
      <c r="BF6" s="636">
        <f t="shared" si="13"/>
        <v>3.6666666667006211</v>
      </c>
      <c r="BG6" s="768">
        <v>25507324</v>
      </c>
      <c r="BH6" s="636">
        <f t="shared" ref="BH6:BH36" si="24">IF(BG6&gt;=BG5,BG6-BG5,0)-(0.45*BN6)-(0.45*BP6)-BR6</f>
        <v>6272.5333332973069</v>
      </c>
      <c r="BI6" s="636">
        <f t="shared" ref="BI6:BI36" si="25">AP6+AR6+AT6+AV6+AX6+AZ6+BB6+BD6+BF6+BH6</f>
        <v>12753.924074072598</v>
      </c>
      <c r="BJ6" s="636">
        <f t="shared" ref="BJ6:BJ36" si="26">BI6+AN6</f>
        <v>23440.8440740726</v>
      </c>
      <c r="BK6" s="769">
        <v>1472972</v>
      </c>
      <c r="BL6" s="636">
        <f t="shared" si="14"/>
        <v>365.33333332999609</v>
      </c>
      <c r="BM6" s="769">
        <v>4188050</v>
      </c>
      <c r="BN6" s="636">
        <f t="shared" si="15"/>
        <v>1303.6666666697711</v>
      </c>
      <c r="BO6" s="769">
        <v>439418</v>
      </c>
      <c r="BP6" s="636">
        <f t="shared" si="16"/>
        <v>80.333333333022892</v>
      </c>
      <c r="BQ6" s="768">
        <v>549499</v>
      </c>
      <c r="BR6" s="636">
        <f t="shared" si="17"/>
        <v>162</v>
      </c>
      <c r="BS6" s="692">
        <f t="shared" ref="BS6:BS36" si="27">J6+Q6+AN6+BI6</f>
        <v>29709.177407371164</v>
      </c>
      <c r="BT6" s="693">
        <v>156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34489.554018476832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25213799</v>
      </c>
      <c r="J7" s="636">
        <f t="shared" si="18"/>
        <v>6081</v>
      </c>
      <c r="K7" s="636">
        <f t="shared" si="19"/>
        <v>4181</v>
      </c>
      <c r="L7" s="769">
        <v>99651</v>
      </c>
      <c r="M7" s="636">
        <f>IF(L7&gt;=L6,L7-L6,0)</f>
        <v>1978</v>
      </c>
      <c r="N7" s="769">
        <v>133883</v>
      </c>
      <c r="O7" s="636">
        <f>IF(N7&gt;=N6,N7-N6,0)</f>
        <v>2203</v>
      </c>
      <c r="P7" s="769">
        <v>225475</v>
      </c>
      <c r="Q7" s="636">
        <f t="shared" ref="Q7:Q18" si="31">IF(P7&gt;=P6,P7-P6,0)*30</f>
        <v>750</v>
      </c>
      <c r="R7" s="768">
        <v>213495</v>
      </c>
      <c r="S7" s="636">
        <f t="shared" ref="S7:S20" si="32">IF(R7&gt;=R6,R7-R6,0)</f>
        <v>144</v>
      </c>
      <c r="T7" s="768">
        <v>389705</v>
      </c>
      <c r="U7" s="636">
        <f t="shared" si="1"/>
        <v>264</v>
      </c>
      <c r="V7" s="768">
        <v>350579</v>
      </c>
      <c r="W7" s="636">
        <f t="shared" si="2"/>
        <v>0</v>
      </c>
      <c r="X7" s="769">
        <v>637026</v>
      </c>
      <c r="Y7" s="636">
        <f t="shared" si="3"/>
        <v>4162.09</v>
      </c>
      <c r="Z7" s="768">
        <v>618517</v>
      </c>
      <c r="AA7" s="636">
        <f t="shared" si="4"/>
        <v>0</v>
      </c>
      <c r="AB7" s="768">
        <v>965377</v>
      </c>
      <c r="AC7" s="636">
        <f t="shared" ref="AC7:AC36" si="33">IF(AB7&gt;=AB6,AB7-AB6,0)*0.53</f>
        <v>3720.6000000000004</v>
      </c>
      <c r="AD7" s="768">
        <v>841366</v>
      </c>
      <c r="AE7" s="636">
        <f t="shared" si="20"/>
        <v>12.190000000000001</v>
      </c>
      <c r="AF7" s="768">
        <v>931547</v>
      </c>
      <c r="AG7" s="636">
        <f t="shared" si="5"/>
        <v>1656.78</v>
      </c>
      <c r="AH7" s="769">
        <v>305614</v>
      </c>
      <c r="AI7" s="636">
        <f t="shared" si="6"/>
        <v>1177.6600000000001</v>
      </c>
      <c r="AJ7" s="769">
        <v>981355</v>
      </c>
      <c r="AK7" s="636">
        <f t="shared" si="7"/>
        <v>3934.19</v>
      </c>
      <c r="AL7" s="768">
        <v>548423</v>
      </c>
      <c r="AM7" s="636">
        <f t="shared" si="8"/>
        <v>117.66000000000001</v>
      </c>
      <c r="AN7" s="636">
        <f t="shared" si="21"/>
        <v>14781.17</v>
      </c>
      <c r="AO7" s="768">
        <v>7976606</v>
      </c>
      <c r="AP7" s="636">
        <f t="shared" si="22"/>
        <v>299.02500000000003</v>
      </c>
      <c r="AQ7" s="768">
        <v>732956</v>
      </c>
      <c r="AR7" s="636">
        <f t="shared" si="9"/>
        <v>174</v>
      </c>
      <c r="AS7" s="769">
        <v>-460.68571428571499</v>
      </c>
      <c r="AT7" s="636">
        <f t="shared" si="23"/>
        <v>0</v>
      </c>
      <c r="AU7" s="710">
        <v>821416</v>
      </c>
      <c r="AV7" s="636">
        <f t="shared" si="10"/>
        <v>55</v>
      </c>
      <c r="AW7" s="769">
        <v>2800967</v>
      </c>
      <c r="AX7" s="636">
        <f t="shared" si="11"/>
        <v>1008</v>
      </c>
      <c r="AY7" s="768">
        <v>230532</v>
      </c>
      <c r="AZ7" s="636">
        <f t="shared" si="12"/>
        <v>12</v>
      </c>
      <c r="BA7" s="769">
        <v>20338969</v>
      </c>
      <c r="BB7" s="636">
        <f t="shared" si="13"/>
        <v>5107</v>
      </c>
      <c r="BC7" s="768">
        <v>617665</v>
      </c>
      <c r="BD7" s="636">
        <f t="shared" si="13"/>
        <v>217</v>
      </c>
      <c r="BE7" s="768">
        <v>39449</v>
      </c>
      <c r="BF7" s="636">
        <f t="shared" si="13"/>
        <v>75</v>
      </c>
      <c r="BG7" s="769">
        <v>25515010</v>
      </c>
      <c r="BH7" s="636">
        <f t="shared" si="24"/>
        <v>6835.5</v>
      </c>
      <c r="BI7" s="636">
        <f t="shared" si="25"/>
        <v>13782.525</v>
      </c>
      <c r="BJ7" s="636">
        <f t="shared" si="26"/>
        <v>28563.695</v>
      </c>
      <c r="BK7" s="769">
        <v>1473496</v>
      </c>
      <c r="BL7" s="636">
        <f t="shared" si="14"/>
        <v>524</v>
      </c>
      <c r="BM7" s="769">
        <v>4189509</v>
      </c>
      <c r="BN7" s="636">
        <f t="shared" si="15"/>
        <v>1459</v>
      </c>
      <c r="BO7" s="769">
        <v>439509</v>
      </c>
      <c r="BP7" s="636">
        <f t="shared" si="16"/>
        <v>91</v>
      </c>
      <c r="BQ7" s="768">
        <v>549652</v>
      </c>
      <c r="BR7" s="636">
        <f t="shared" si="17"/>
        <v>153</v>
      </c>
      <c r="BS7" s="692">
        <f t="shared" si="27"/>
        <v>35394.695</v>
      </c>
      <c r="BT7" s="693">
        <v>188</v>
      </c>
      <c r="BU7" s="692">
        <f t="shared" si="28"/>
        <v>226.88907051282052</v>
      </c>
      <c r="BV7" s="693"/>
      <c r="BW7" s="692" t="e">
        <f t="shared" si="29"/>
        <v>#DIV/0!</v>
      </c>
      <c r="BX7" s="692">
        <f t="shared" ref="BX7:BX36" si="34">((BS7-Q7)*$BZ$1)+(Q7*$BR$1)</f>
        <v>41041.399249999995</v>
      </c>
      <c r="BY7" s="692">
        <f t="shared" si="30"/>
        <v>263.0858926282051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25218540</v>
      </c>
      <c r="J8" s="636">
        <f t="shared" si="18"/>
        <v>4741</v>
      </c>
      <c r="K8" s="636">
        <f t="shared" si="19"/>
        <v>3734</v>
      </c>
      <c r="L8" s="769">
        <v>101419</v>
      </c>
      <c r="M8" s="636">
        <f>IF(L8&gt;=L7,L8-L7,0)</f>
        <v>1768</v>
      </c>
      <c r="N8" s="769">
        <v>135849</v>
      </c>
      <c r="O8" s="636">
        <f t="shared" ref="O8:O27" si="39">IF(N8&gt;=N7,N8-N7,0)</f>
        <v>1966</v>
      </c>
      <c r="P8" s="769">
        <v>225498</v>
      </c>
      <c r="Q8" s="636">
        <f t="shared" si="31"/>
        <v>690</v>
      </c>
      <c r="R8" s="769">
        <v>213627</v>
      </c>
      <c r="S8" s="636">
        <f t="shared" si="32"/>
        <v>132</v>
      </c>
      <c r="T8" s="768">
        <v>389944</v>
      </c>
      <c r="U8" s="636">
        <f t="shared" si="1"/>
        <v>239</v>
      </c>
      <c r="V8" s="768">
        <v>350579</v>
      </c>
      <c r="W8" s="636">
        <f t="shared" si="2"/>
        <v>0</v>
      </c>
      <c r="X8" s="769">
        <v>644294</v>
      </c>
      <c r="Y8" s="636">
        <f t="shared" si="3"/>
        <v>3852.0400000000004</v>
      </c>
      <c r="Z8" s="768">
        <v>618517</v>
      </c>
      <c r="AA8" s="636">
        <f t="shared" si="4"/>
        <v>0</v>
      </c>
      <c r="AB8" s="768">
        <v>971823</v>
      </c>
      <c r="AC8" s="636">
        <f t="shared" si="33"/>
        <v>3416.38</v>
      </c>
      <c r="AD8" s="768">
        <v>841386</v>
      </c>
      <c r="AE8" s="636">
        <f t="shared" si="20"/>
        <v>10.600000000000001</v>
      </c>
      <c r="AF8" s="768">
        <v>934456</v>
      </c>
      <c r="AG8" s="636">
        <f t="shared" si="5"/>
        <v>1541.77</v>
      </c>
      <c r="AH8" s="768">
        <v>307643</v>
      </c>
      <c r="AI8" s="636">
        <f t="shared" si="6"/>
        <v>1075.3700000000001</v>
      </c>
      <c r="AJ8" s="768">
        <v>988206</v>
      </c>
      <c r="AK8" s="636">
        <f t="shared" si="7"/>
        <v>3631.03</v>
      </c>
      <c r="AL8" s="768">
        <v>548629</v>
      </c>
      <c r="AM8" s="636">
        <f t="shared" si="8"/>
        <v>109.18</v>
      </c>
      <c r="AN8" s="636">
        <f t="shared" si="21"/>
        <v>13636.370000000003</v>
      </c>
      <c r="AO8" s="768">
        <v>7979264</v>
      </c>
      <c r="AP8" s="636">
        <f t="shared" si="22"/>
        <v>299.02500000000003</v>
      </c>
      <c r="AQ8" s="769">
        <v>733116</v>
      </c>
      <c r="AR8" s="636">
        <f t="shared" si="9"/>
        <v>160</v>
      </c>
      <c r="AS8" s="769">
        <v>-303.65714285714301</v>
      </c>
      <c r="AT8" s="636">
        <f t="shared" si="23"/>
        <v>157.02857142857198</v>
      </c>
      <c r="AU8" s="768">
        <v>821467</v>
      </c>
      <c r="AV8" s="636">
        <f>IF(AU8&gt;=AU7,AU8-AU7,0)</f>
        <v>51</v>
      </c>
      <c r="AW8" s="768">
        <v>2801880</v>
      </c>
      <c r="AX8" s="636">
        <f t="shared" si="11"/>
        <v>913</v>
      </c>
      <c r="AY8" s="768">
        <v>230542</v>
      </c>
      <c r="AZ8" s="636">
        <f t="shared" si="12"/>
        <v>10</v>
      </c>
      <c r="BA8" s="768">
        <v>20344143</v>
      </c>
      <c r="BB8" s="636">
        <f t="shared" si="13"/>
        <v>5174</v>
      </c>
      <c r="BC8" s="768">
        <v>617870</v>
      </c>
      <c r="BD8" s="636">
        <f t="shared" si="13"/>
        <v>205</v>
      </c>
      <c r="BE8" s="768">
        <v>39580</v>
      </c>
      <c r="BF8" s="636">
        <f t="shared" si="13"/>
        <v>131</v>
      </c>
      <c r="BG8" s="769">
        <v>25521958</v>
      </c>
      <c r="BH8" s="636">
        <f t="shared" si="24"/>
        <v>6131.55</v>
      </c>
      <c r="BI8" s="636">
        <f t="shared" si="25"/>
        <v>13231.603571428572</v>
      </c>
      <c r="BJ8" s="636">
        <f t="shared" si="26"/>
        <v>26867.973571428574</v>
      </c>
      <c r="BK8" s="769">
        <v>1473833</v>
      </c>
      <c r="BL8" s="636">
        <f t="shared" si="14"/>
        <v>337</v>
      </c>
      <c r="BM8" s="768">
        <v>4190909</v>
      </c>
      <c r="BN8" s="636">
        <f t="shared" si="15"/>
        <v>1400</v>
      </c>
      <c r="BO8" s="768">
        <v>439590</v>
      </c>
      <c r="BP8" s="636">
        <f t="shared" si="16"/>
        <v>81</v>
      </c>
      <c r="BQ8" s="768">
        <v>549802</v>
      </c>
      <c r="BR8" s="636">
        <f t="shared" si="17"/>
        <v>150</v>
      </c>
      <c r="BS8" s="692">
        <f t="shared" si="27"/>
        <v>32298.973571428574</v>
      </c>
      <c r="BT8" s="693">
        <v>162</v>
      </c>
      <c r="BU8" s="692">
        <f t="shared" si="28"/>
        <v>171.80305091185411</v>
      </c>
      <c r="BV8" s="693"/>
      <c r="BW8" s="692" t="e">
        <f t="shared" si="29"/>
        <v>#DIV/0!</v>
      </c>
      <c r="BX8" s="692">
        <f t="shared" si="34"/>
        <v>37454.319607142861</v>
      </c>
      <c r="BY8" s="692">
        <f t="shared" si="30"/>
        <v>199.22510429331308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25223216</v>
      </c>
      <c r="J9" s="636">
        <f>IF(I9&gt;=I8,I9-I8,0)</f>
        <v>4676</v>
      </c>
      <c r="K9" s="636">
        <f t="shared" si="19"/>
        <v>4109</v>
      </c>
      <c r="L9" s="769">
        <v>103256</v>
      </c>
      <c r="M9" s="636">
        <f t="shared" ref="M9:M28" si="40">IF(L9&gt;=L8,L9-L8,0)</f>
        <v>1837</v>
      </c>
      <c r="N9" s="769">
        <v>138121</v>
      </c>
      <c r="O9" s="636">
        <f t="shared" si="39"/>
        <v>2272</v>
      </c>
      <c r="P9" s="769">
        <v>225515</v>
      </c>
      <c r="Q9" s="636">
        <f t="shared" si="31"/>
        <v>510</v>
      </c>
      <c r="R9" s="768">
        <v>213768</v>
      </c>
      <c r="S9" s="636">
        <f t="shared" si="32"/>
        <v>141</v>
      </c>
      <c r="T9" s="768">
        <v>390206</v>
      </c>
      <c r="U9" s="636">
        <f t="shared" si="1"/>
        <v>262</v>
      </c>
      <c r="V9" s="768">
        <v>355847</v>
      </c>
      <c r="W9" s="636">
        <f t="shared" si="2"/>
        <v>2792.04</v>
      </c>
      <c r="X9" s="769">
        <v>646162</v>
      </c>
      <c r="Y9" s="636">
        <f t="shared" si="3"/>
        <v>990.04000000000008</v>
      </c>
      <c r="Z9" s="768">
        <v>623771</v>
      </c>
      <c r="AA9" s="636">
        <f t="shared" si="4"/>
        <v>2784.6200000000003</v>
      </c>
      <c r="AB9" s="768">
        <v>973547</v>
      </c>
      <c r="AC9" s="636">
        <f t="shared" si="33"/>
        <v>913.72</v>
      </c>
      <c r="AD9" s="768">
        <v>841408</v>
      </c>
      <c r="AE9" s="636">
        <f t="shared" si="20"/>
        <v>11.66</v>
      </c>
      <c r="AF9" s="768">
        <v>937699</v>
      </c>
      <c r="AG9" s="636">
        <f t="shared" si="5"/>
        <v>1718.7900000000002</v>
      </c>
      <c r="AH9" s="769">
        <v>309782</v>
      </c>
      <c r="AI9" s="636">
        <f t="shared" si="6"/>
        <v>1133.67</v>
      </c>
      <c r="AJ9" s="769">
        <v>995256</v>
      </c>
      <c r="AK9" s="636">
        <f t="shared" si="7"/>
        <v>3736.5</v>
      </c>
      <c r="AL9" s="768">
        <v>548855</v>
      </c>
      <c r="AM9" s="636">
        <f t="shared" si="8"/>
        <v>119.78</v>
      </c>
      <c r="AN9" s="636">
        <f t="shared" si="21"/>
        <v>14200.820000000002</v>
      </c>
      <c r="AO9" s="768">
        <v>7981995</v>
      </c>
      <c r="AP9" s="636">
        <f t="shared" si="22"/>
        <v>307.23750000000001</v>
      </c>
      <c r="AQ9" s="768">
        <v>733276</v>
      </c>
      <c r="AR9" s="636">
        <f t="shared" si="9"/>
        <v>160</v>
      </c>
      <c r="AS9" s="769">
        <v>-146.628571428572</v>
      </c>
      <c r="AT9" s="636">
        <f t="shared" si="23"/>
        <v>157.02857142857101</v>
      </c>
      <c r="AU9" s="710">
        <v>821535</v>
      </c>
      <c r="AV9" s="636">
        <f>IF(AU9&gt;=AU8,AU9-AU8,0)</f>
        <v>68</v>
      </c>
      <c r="AW9" s="769">
        <v>2802904</v>
      </c>
      <c r="AX9" s="636">
        <f t="shared" si="11"/>
        <v>1024</v>
      </c>
      <c r="AY9" s="768">
        <v>230553</v>
      </c>
      <c r="AZ9" s="636">
        <f t="shared" si="12"/>
        <v>11</v>
      </c>
      <c r="BA9" s="769">
        <v>20349175</v>
      </c>
      <c r="BB9" s="636">
        <f t="shared" si="13"/>
        <v>5032</v>
      </c>
      <c r="BC9" s="768">
        <v>618118</v>
      </c>
      <c r="BD9" s="636">
        <f t="shared" si="13"/>
        <v>248</v>
      </c>
      <c r="BE9" s="768">
        <v>39650</v>
      </c>
      <c r="BF9" s="636">
        <f t="shared" si="13"/>
        <v>70</v>
      </c>
      <c r="BG9" s="769">
        <v>25529284</v>
      </c>
      <c r="BH9" s="636">
        <f t="shared" si="24"/>
        <v>6455.1500000000005</v>
      </c>
      <c r="BI9" s="636">
        <f t="shared" si="25"/>
        <v>13532.416071428572</v>
      </c>
      <c r="BJ9" s="636">
        <f t="shared" si="26"/>
        <v>27733.236071428575</v>
      </c>
      <c r="BK9" s="769">
        <v>1474074</v>
      </c>
      <c r="BL9" s="636">
        <f t="shared" si="14"/>
        <v>241</v>
      </c>
      <c r="BM9" s="769">
        <v>4192391</v>
      </c>
      <c r="BN9" s="636">
        <f t="shared" si="15"/>
        <v>1482</v>
      </c>
      <c r="BO9" s="769">
        <v>439681</v>
      </c>
      <c r="BP9" s="636">
        <f t="shared" si="16"/>
        <v>91</v>
      </c>
      <c r="BQ9" s="768">
        <v>549965</v>
      </c>
      <c r="BR9" s="636">
        <f t="shared" si="17"/>
        <v>163</v>
      </c>
      <c r="BS9" s="692">
        <f t="shared" si="27"/>
        <v>32919.236071428575</v>
      </c>
      <c r="BT9" s="693">
        <v>164</v>
      </c>
      <c r="BU9" s="692">
        <f t="shared" si="28"/>
        <v>203.2051609347443</v>
      </c>
      <c r="BV9" s="693"/>
      <c r="BW9" s="692" t="e">
        <f t="shared" si="29"/>
        <v>#DIV/0!</v>
      </c>
      <c r="BX9" s="692">
        <f t="shared" si="34"/>
        <v>38086.621482142858</v>
      </c>
      <c r="BY9" s="692">
        <f t="shared" si="30"/>
        <v>235.10260174162258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25228369</v>
      </c>
      <c r="J10" s="636">
        <f>IF(I10&gt;=I9,I10-I9,0)</f>
        <v>5153</v>
      </c>
      <c r="K10" s="636">
        <f t="shared" si="19"/>
        <v>3846</v>
      </c>
      <c r="L10" s="769">
        <v>105059</v>
      </c>
      <c r="M10" s="636">
        <f t="shared" si="40"/>
        <v>1803</v>
      </c>
      <c r="N10" s="769">
        <v>140164</v>
      </c>
      <c r="O10" s="636">
        <f t="shared" si="39"/>
        <v>2043</v>
      </c>
      <c r="P10" s="769">
        <v>225532</v>
      </c>
      <c r="Q10" s="636">
        <f t="shared" si="31"/>
        <v>510</v>
      </c>
      <c r="R10" s="768">
        <v>213906</v>
      </c>
      <c r="S10" s="636">
        <f t="shared" si="32"/>
        <v>138</v>
      </c>
      <c r="T10" s="768">
        <v>390453</v>
      </c>
      <c r="U10" s="636">
        <f t="shared" si="1"/>
        <v>247</v>
      </c>
      <c r="V10" s="768">
        <v>362654</v>
      </c>
      <c r="W10" s="636">
        <f t="shared" si="2"/>
        <v>3607.71</v>
      </c>
      <c r="X10" s="769">
        <v>646162</v>
      </c>
      <c r="Y10" s="636">
        <f t="shared" si="3"/>
        <v>0</v>
      </c>
      <c r="Z10" s="768">
        <v>631129</v>
      </c>
      <c r="AA10" s="636">
        <f t="shared" si="4"/>
        <v>3899.7400000000002</v>
      </c>
      <c r="AB10" s="768">
        <v>973547</v>
      </c>
      <c r="AC10" s="636">
        <f t="shared" si="33"/>
        <v>0</v>
      </c>
      <c r="AD10" s="768">
        <v>841430</v>
      </c>
      <c r="AE10" s="636">
        <f t="shared" si="20"/>
        <v>11.66</v>
      </c>
      <c r="AF10" s="768">
        <v>940817</v>
      </c>
      <c r="AG10" s="636">
        <f t="shared" si="5"/>
        <v>1652.5400000000002</v>
      </c>
      <c r="AH10" s="769">
        <v>311887</v>
      </c>
      <c r="AI10" s="636">
        <f t="shared" si="6"/>
        <v>1115.6500000000001</v>
      </c>
      <c r="AJ10" s="769">
        <v>1002173.33333333</v>
      </c>
      <c r="AK10" s="636">
        <f t="shared" si="7"/>
        <v>3666.186666664898</v>
      </c>
      <c r="AL10" s="768">
        <v>549067</v>
      </c>
      <c r="AM10" s="636">
        <f t="shared" si="8"/>
        <v>112.36</v>
      </c>
      <c r="AN10" s="636">
        <f t="shared" si="21"/>
        <v>14065.8466666649</v>
      </c>
      <c r="AO10" s="768">
        <v>7984611</v>
      </c>
      <c r="AP10" s="636">
        <f t="shared" si="22"/>
        <v>294.3</v>
      </c>
      <c r="AQ10" s="768">
        <v>733437</v>
      </c>
      <c r="AR10" s="636">
        <f t="shared" si="9"/>
        <v>161</v>
      </c>
      <c r="AS10" s="769">
        <v>10.400000000000301</v>
      </c>
      <c r="AT10" s="636">
        <f t="shared" si="23"/>
        <v>157.02857142857229</v>
      </c>
      <c r="AU10" s="710">
        <v>821605</v>
      </c>
      <c r="AV10" s="636">
        <f>IF(AU10&gt;=AU9,AU10-AU9,0)</f>
        <v>70</v>
      </c>
      <c r="AW10" s="769">
        <v>2804027</v>
      </c>
      <c r="AX10" s="636">
        <f t="shared" si="11"/>
        <v>1123</v>
      </c>
      <c r="AY10" s="769">
        <v>230564</v>
      </c>
      <c r="AZ10" s="636">
        <f t="shared" si="12"/>
        <v>11</v>
      </c>
      <c r="BA10" s="768">
        <v>20354059</v>
      </c>
      <c r="BB10" s="636">
        <f t="shared" si="13"/>
        <v>4884</v>
      </c>
      <c r="BC10" s="768">
        <v>618366</v>
      </c>
      <c r="BD10" s="636">
        <f t="shared" si="13"/>
        <v>248</v>
      </c>
      <c r="BE10" s="768">
        <v>39720</v>
      </c>
      <c r="BF10" s="636">
        <f t="shared" si="13"/>
        <v>70</v>
      </c>
      <c r="BG10" s="769">
        <v>25536574</v>
      </c>
      <c r="BH10" s="636">
        <f t="shared" si="24"/>
        <v>6460.25</v>
      </c>
      <c r="BI10" s="636">
        <f t="shared" si="25"/>
        <v>13478.578571428572</v>
      </c>
      <c r="BJ10" s="636">
        <f t="shared" si="26"/>
        <v>27544.42523809347</v>
      </c>
      <c r="BK10" s="769">
        <v>1474309</v>
      </c>
      <c r="BL10" s="636">
        <f t="shared" si="14"/>
        <v>235</v>
      </c>
      <c r="BM10" s="769">
        <v>4193837</v>
      </c>
      <c r="BN10" s="636">
        <f t="shared" si="15"/>
        <v>1446</v>
      </c>
      <c r="BO10" s="707">
        <v>439770</v>
      </c>
      <c r="BP10" s="636">
        <f t="shared" si="16"/>
        <v>89</v>
      </c>
      <c r="BQ10" s="768">
        <v>550104</v>
      </c>
      <c r="BR10" s="636">
        <f t="shared" si="17"/>
        <v>139</v>
      </c>
      <c r="BS10" s="692">
        <f t="shared" si="27"/>
        <v>33207.42523809347</v>
      </c>
      <c r="BT10" s="693">
        <v>131</v>
      </c>
      <c r="BU10" s="692">
        <f t="shared" si="28"/>
        <v>202.48430023227726</v>
      </c>
      <c r="BV10" s="693"/>
      <c r="BW10" s="692" t="e">
        <f t="shared" si="29"/>
        <v>#DIV/0!</v>
      </c>
      <c r="BX10" s="692">
        <f t="shared" si="34"/>
        <v>38418.039023807491</v>
      </c>
      <c r="BY10" s="692">
        <f t="shared" si="30"/>
        <v>234.25633551102129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25233497</v>
      </c>
      <c r="J11" s="636">
        <f>IF(I11&gt;=I10,I11-I10,0)</f>
        <v>5128</v>
      </c>
      <c r="K11" s="636">
        <f t="shared" si="19"/>
        <v>3772</v>
      </c>
      <c r="L11" s="769">
        <v>106955</v>
      </c>
      <c r="M11" s="636">
        <f t="shared" si="40"/>
        <v>1896</v>
      </c>
      <c r="N11" s="768">
        <v>142040</v>
      </c>
      <c r="O11" s="636">
        <f t="shared" si="39"/>
        <v>1876</v>
      </c>
      <c r="P11" s="769">
        <v>225549</v>
      </c>
      <c r="Q11" s="636">
        <f t="shared" si="31"/>
        <v>510</v>
      </c>
      <c r="R11" s="768">
        <v>214047</v>
      </c>
      <c r="S11" s="636">
        <f t="shared" si="32"/>
        <v>141</v>
      </c>
      <c r="T11" s="768">
        <v>390704</v>
      </c>
      <c r="U11" s="636">
        <f t="shared" si="1"/>
        <v>251</v>
      </c>
      <c r="V11" s="768">
        <v>368914</v>
      </c>
      <c r="W11" s="636">
        <f t="shared" si="2"/>
        <v>3317.8</v>
      </c>
      <c r="X11" s="769">
        <v>646162</v>
      </c>
      <c r="Y11" s="636">
        <f t="shared" si="3"/>
        <v>0</v>
      </c>
      <c r="Z11" s="768">
        <v>638361</v>
      </c>
      <c r="AA11" s="636">
        <f t="shared" si="4"/>
        <v>3832.96</v>
      </c>
      <c r="AB11" s="768">
        <v>973547</v>
      </c>
      <c r="AC11" s="636">
        <f>IF(AB11&gt;=AB10,AB11-AB10,0)*0.53</f>
        <v>0</v>
      </c>
      <c r="AD11" s="768">
        <v>841453</v>
      </c>
      <c r="AE11" s="636">
        <f t="shared" si="20"/>
        <v>12.190000000000001</v>
      </c>
      <c r="AF11" s="768">
        <v>943953</v>
      </c>
      <c r="AG11" s="636">
        <f t="shared" si="5"/>
        <v>1662.0800000000002</v>
      </c>
      <c r="AH11" s="768">
        <v>313977</v>
      </c>
      <c r="AI11" s="636">
        <f t="shared" si="6"/>
        <v>1107.7</v>
      </c>
      <c r="AJ11" s="768">
        <v>92346</v>
      </c>
      <c r="AK11" s="636">
        <f t="shared" si="7"/>
        <v>0</v>
      </c>
      <c r="AL11" s="768">
        <v>549269</v>
      </c>
      <c r="AM11" s="636">
        <f t="shared" si="8"/>
        <v>107.06</v>
      </c>
      <c r="AN11" s="636">
        <f t="shared" si="21"/>
        <v>10039.790000000001</v>
      </c>
      <c r="AO11" s="707">
        <v>7987355</v>
      </c>
      <c r="AP11" s="636">
        <f t="shared" si="22"/>
        <v>308.7</v>
      </c>
      <c r="AQ11" s="768">
        <v>733607</v>
      </c>
      <c r="AR11" s="636">
        <f t="shared" si="9"/>
        <v>170</v>
      </c>
      <c r="AS11" s="769">
        <v>169</v>
      </c>
      <c r="AT11" s="636">
        <f t="shared" si="23"/>
        <v>158.59999999999971</v>
      </c>
      <c r="AU11" s="769">
        <v>821668</v>
      </c>
      <c r="AV11" s="636">
        <f t="shared" si="10"/>
        <v>63</v>
      </c>
      <c r="AW11" s="768">
        <v>2805108</v>
      </c>
      <c r="AX11" s="636">
        <f t="shared" si="11"/>
        <v>1081</v>
      </c>
      <c r="AY11" s="769">
        <v>230575</v>
      </c>
      <c r="AZ11" s="636">
        <f t="shared" si="12"/>
        <v>11</v>
      </c>
      <c r="BA11" s="769">
        <v>20358960</v>
      </c>
      <c r="BB11" s="636">
        <f t="shared" si="13"/>
        <v>4901</v>
      </c>
      <c r="BC11" s="768">
        <v>618646</v>
      </c>
      <c r="BD11" s="636">
        <f t="shared" si="13"/>
        <v>280</v>
      </c>
      <c r="BE11" s="768">
        <v>39796</v>
      </c>
      <c r="BF11" s="636">
        <f t="shared" si="13"/>
        <v>76</v>
      </c>
      <c r="BG11" s="769">
        <v>25543878</v>
      </c>
      <c r="BH11" s="636">
        <f t="shared" si="24"/>
        <v>6454.45</v>
      </c>
      <c r="BI11" s="636">
        <f t="shared" si="25"/>
        <v>13503.75</v>
      </c>
      <c r="BJ11" s="636">
        <f t="shared" si="26"/>
        <v>23543.54</v>
      </c>
      <c r="BK11" s="769">
        <v>1474549</v>
      </c>
      <c r="BL11" s="636">
        <f t="shared" si="14"/>
        <v>240</v>
      </c>
      <c r="BM11" s="769">
        <v>4195283</v>
      </c>
      <c r="BN11" s="636">
        <f t="shared" si="15"/>
        <v>1446</v>
      </c>
      <c r="BO11" s="768">
        <v>439883</v>
      </c>
      <c r="BP11" s="636">
        <f t="shared" si="16"/>
        <v>113</v>
      </c>
      <c r="BQ11" s="769">
        <v>550252</v>
      </c>
      <c r="BR11" s="636">
        <f t="shared" si="17"/>
        <v>148</v>
      </c>
      <c r="BS11" s="692">
        <f t="shared" si="27"/>
        <v>29181.54</v>
      </c>
      <c r="BT11" s="693">
        <v>145</v>
      </c>
      <c r="BU11" s="692">
        <f t="shared" si="28"/>
        <v>222.75984732824429</v>
      </c>
      <c r="BV11" s="693"/>
      <c r="BW11" s="692" t="e">
        <f t="shared" si="29"/>
        <v>#DIV/0!</v>
      </c>
      <c r="BX11" s="692">
        <f t="shared" si="34"/>
        <v>33788.271000000001</v>
      </c>
      <c r="BY11" s="692">
        <f t="shared" si="30"/>
        <v>257.92573282442748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25239119</v>
      </c>
      <c r="J12" s="636">
        <f>IF(I12&gt;=I11,I12-I11,0)</f>
        <v>5622</v>
      </c>
      <c r="K12" s="636">
        <f t="shared" si="19"/>
        <v>3804</v>
      </c>
      <c r="L12" s="769">
        <v>108866</v>
      </c>
      <c r="M12" s="636">
        <f t="shared" si="40"/>
        <v>1911</v>
      </c>
      <c r="N12" s="769">
        <v>143933</v>
      </c>
      <c r="O12" s="636">
        <f t="shared" si="39"/>
        <v>1893</v>
      </c>
      <c r="P12" s="769">
        <v>225566</v>
      </c>
      <c r="Q12" s="636">
        <f t="shared" si="31"/>
        <v>510</v>
      </c>
      <c r="R12" s="768">
        <v>214189</v>
      </c>
      <c r="S12" s="636">
        <f t="shared" si="32"/>
        <v>142</v>
      </c>
      <c r="T12" s="768">
        <v>390961</v>
      </c>
      <c r="U12" s="636">
        <f t="shared" si="1"/>
        <v>257</v>
      </c>
      <c r="V12" s="768">
        <v>375811</v>
      </c>
      <c r="W12" s="636">
        <f t="shared" si="2"/>
        <v>3655.4100000000003</v>
      </c>
      <c r="X12" s="769">
        <v>646162</v>
      </c>
      <c r="Y12" s="636">
        <f t="shared" si="3"/>
        <v>0</v>
      </c>
      <c r="Z12" s="768">
        <v>645691</v>
      </c>
      <c r="AA12" s="636">
        <f t="shared" si="4"/>
        <v>3884.9</v>
      </c>
      <c r="AB12" s="768">
        <v>973547</v>
      </c>
      <c r="AC12" s="636">
        <f t="shared" si="33"/>
        <v>0</v>
      </c>
      <c r="AD12" s="768">
        <v>841475</v>
      </c>
      <c r="AE12" s="636">
        <f t="shared" si="20"/>
        <v>11.66</v>
      </c>
      <c r="AF12" s="768">
        <v>947040</v>
      </c>
      <c r="AG12" s="636">
        <f t="shared" si="5"/>
        <v>1636.1100000000001</v>
      </c>
      <c r="AH12" s="768">
        <v>316109</v>
      </c>
      <c r="AI12" s="636">
        <f t="shared" si="6"/>
        <v>1129.96</v>
      </c>
      <c r="AJ12" s="769">
        <v>16379</v>
      </c>
      <c r="AK12" s="636">
        <f t="shared" si="7"/>
        <v>0</v>
      </c>
      <c r="AL12" s="768">
        <v>549477</v>
      </c>
      <c r="AM12" s="636">
        <f t="shared" si="8"/>
        <v>110.24000000000001</v>
      </c>
      <c r="AN12" s="636">
        <f t="shared" si="21"/>
        <v>10428.280000000001</v>
      </c>
      <c r="AO12" s="768">
        <v>7990043</v>
      </c>
      <c r="AP12" s="636">
        <f t="shared" si="22"/>
        <v>302.40000000000003</v>
      </c>
      <c r="AQ12" s="769">
        <v>733769</v>
      </c>
      <c r="AR12" s="636">
        <f t="shared" si="9"/>
        <v>162</v>
      </c>
      <c r="AS12" s="769">
        <v>324</v>
      </c>
      <c r="AT12" s="636">
        <f t="shared" si="23"/>
        <v>155</v>
      </c>
      <c r="AU12" s="710">
        <v>821735</v>
      </c>
      <c r="AV12" s="636">
        <f t="shared" si="10"/>
        <v>67</v>
      </c>
      <c r="AW12" s="769">
        <v>2806186</v>
      </c>
      <c r="AX12" s="636">
        <f t="shared" si="11"/>
        <v>1078</v>
      </c>
      <c r="AY12" s="768">
        <v>230586</v>
      </c>
      <c r="AZ12" s="636">
        <f t="shared" si="12"/>
        <v>11</v>
      </c>
      <c r="BA12" s="769">
        <v>20364145</v>
      </c>
      <c r="BB12" s="636">
        <f t="shared" si="13"/>
        <v>5185</v>
      </c>
      <c r="BC12" s="768">
        <v>618920</v>
      </c>
      <c r="BD12" s="636">
        <f t="shared" si="13"/>
        <v>274</v>
      </c>
      <c r="BE12" s="768">
        <v>39866</v>
      </c>
      <c r="BF12" s="636">
        <f t="shared" si="13"/>
        <v>70</v>
      </c>
      <c r="BG12" s="769">
        <v>25551309</v>
      </c>
      <c r="BH12" s="636">
        <f t="shared" si="24"/>
        <v>6588.55</v>
      </c>
      <c r="BI12" s="636">
        <f t="shared" si="25"/>
        <v>13892.95</v>
      </c>
      <c r="BJ12" s="636">
        <f t="shared" si="26"/>
        <v>24321.230000000003</v>
      </c>
      <c r="BK12" s="769">
        <v>1474792</v>
      </c>
      <c r="BL12" s="636">
        <f t="shared" si="14"/>
        <v>243</v>
      </c>
      <c r="BM12" s="769">
        <v>4196763</v>
      </c>
      <c r="BN12" s="636">
        <f t="shared" si="15"/>
        <v>1480</v>
      </c>
      <c r="BO12" s="769">
        <v>439964</v>
      </c>
      <c r="BP12" s="636">
        <f t="shared" si="16"/>
        <v>81</v>
      </c>
      <c r="BQ12" s="768">
        <v>550392</v>
      </c>
      <c r="BR12" s="636">
        <f t="shared" ref="BR12:BR36" si="41">IF(BQ12&gt;=BQ11,BQ12-BQ11,0)</f>
        <v>140</v>
      </c>
      <c r="BS12" s="692">
        <f t="shared" si="27"/>
        <v>30453.23</v>
      </c>
      <c r="BT12" s="693">
        <v>151</v>
      </c>
      <c r="BU12" s="692">
        <f t="shared" si="28"/>
        <v>210.02227586206897</v>
      </c>
      <c r="BV12" s="693"/>
      <c r="BW12" s="692" t="e">
        <f t="shared" si="29"/>
        <v>#DIV/0!</v>
      </c>
      <c r="BX12" s="692">
        <f t="shared" si="34"/>
        <v>35250.714499999995</v>
      </c>
      <c r="BY12" s="692">
        <f t="shared" si="30"/>
        <v>243.10837586206893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25244483</v>
      </c>
      <c r="J13" s="636">
        <f t="shared" si="18"/>
        <v>5364</v>
      </c>
      <c r="K13" s="636">
        <f t="shared" si="19"/>
        <v>3780</v>
      </c>
      <c r="L13" s="769">
        <v>110752</v>
      </c>
      <c r="M13" s="636">
        <f t="shared" si="40"/>
        <v>1886</v>
      </c>
      <c r="N13" s="769">
        <v>145827</v>
      </c>
      <c r="O13" s="636">
        <f t="shared" si="39"/>
        <v>1894</v>
      </c>
      <c r="P13" s="769">
        <v>225589</v>
      </c>
      <c r="Q13" s="636">
        <f t="shared" si="31"/>
        <v>690</v>
      </c>
      <c r="R13" s="768">
        <v>214329</v>
      </c>
      <c r="S13" s="636">
        <f t="shared" si="32"/>
        <v>140</v>
      </c>
      <c r="T13" s="768">
        <v>391212</v>
      </c>
      <c r="U13" s="636">
        <f t="shared" si="1"/>
        <v>251</v>
      </c>
      <c r="V13" s="768">
        <v>383010</v>
      </c>
      <c r="W13" s="636">
        <f t="shared" si="2"/>
        <v>3815.4700000000003</v>
      </c>
      <c r="X13" s="769">
        <v>646162</v>
      </c>
      <c r="Y13" s="636">
        <f t="shared" si="3"/>
        <v>0</v>
      </c>
      <c r="Z13" s="768">
        <v>653115</v>
      </c>
      <c r="AA13" s="636">
        <f t="shared" si="4"/>
        <v>3934.7200000000003</v>
      </c>
      <c r="AB13" s="768">
        <v>973547</v>
      </c>
      <c r="AC13" s="636">
        <f t="shared" si="33"/>
        <v>0</v>
      </c>
      <c r="AD13" s="768">
        <v>841496</v>
      </c>
      <c r="AE13" s="636">
        <f t="shared" si="20"/>
        <v>11.13</v>
      </c>
      <c r="AF13" s="768">
        <v>950175</v>
      </c>
      <c r="AG13" s="636">
        <f t="shared" ref="AG13:AG36" si="42">IF(AF13&gt;=AF12,AF13-AF12,0)*0.53</f>
        <v>1661.5500000000002</v>
      </c>
      <c r="AH13" s="769">
        <v>318217</v>
      </c>
      <c r="AI13" s="636">
        <f t="shared" si="6"/>
        <v>1117.24</v>
      </c>
      <c r="AJ13" s="769">
        <v>23463</v>
      </c>
      <c r="AK13" s="636">
        <f t="shared" ref="AK13" si="43">IF(AJ13&gt;=AJ12,AJ13-AJ12,0)*0.53</f>
        <v>3754.52</v>
      </c>
      <c r="AL13" s="768">
        <v>549692</v>
      </c>
      <c r="AM13" s="636">
        <f t="shared" si="8"/>
        <v>113.95</v>
      </c>
      <c r="AN13" s="636">
        <f t="shared" si="21"/>
        <v>14408.580000000002</v>
      </c>
      <c r="AO13" s="768">
        <v>7992744</v>
      </c>
      <c r="AP13" s="636">
        <f t="shared" si="22"/>
        <v>303.86250000000001</v>
      </c>
      <c r="AQ13" s="768">
        <v>733944</v>
      </c>
      <c r="AR13" s="636">
        <f t="shared" si="9"/>
        <v>175</v>
      </c>
      <c r="AS13" s="769">
        <v>480</v>
      </c>
      <c r="AT13" s="636">
        <f t="shared" si="23"/>
        <v>156</v>
      </c>
      <c r="AU13" s="769">
        <v>821800</v>
      </c>
      <c r="AV13" s="636">
        <f t="shared" si="10"/>
        <v>65</v>
      </c>
      <c r="AW13" s="769">
        <v>2807233</v>
      </c>
      <c r="AX13" s="636">
        <f t="shared" si="11"/>
        <v>1047</v>
      </c>
      <c r="AY13" s="769">
        <v>230597</v>
      </c>
      <c r="AZ13" s="636">
        <f t="shared" si="12"/>
        <v>11</v>
      </c>
      <c r="BA13" s="769">
        <v>20369152</v>
      </c>
      <c r="BB13" s="636">
        <f t="shared" si="13"/>
        <v>5007</v>
      </c>
      <c r="BC13" s="768">
        <v>619198</v>
      </c>
      <c r="BD13" s="636">
        <f t="shared" si="13"/>
        <v>278</v>
      </c>
      <c r="BE13" s="768">
        <v>39930</v>
      </c>
      <c r="BF13" s="636">
        <f t="shared" si="13"/>
        <v>64</v>
      </c>
      <c r="BG13" s="769">
        <v>25558729</v>
      </c>
      <c r="BH13" s="636">
        <f t="shared" si="24"/>
        <v>6556.2</v>
      </c>
      <c r="BI13" s="636">
        <f t="shared" si="25"/>
        <v>13663.0625</v>
      </c>
      <c r="BJ13" s="636">
        <f t="shared" si="26"/>
        <v>28071.642500000002</v>
      </c>
      <c r="BK13" s="769">
        <v>1475043</v>
      </c>
      <c r="BL13" s="636">
        <f t="shared" si="14"/>
        <v>251</v>
      </c>
      <c r="BM13" s="769">
        <v>4198248</v>
      </c>
      <c r="BN13" s="636">
        <f t="shared" si="15"/>
        <v>1485</v>
      </c>
      <c r="BO13" s="769">
        <v>440043</v>
      </c>
      <c r="BP13" s="636">
        <f t="shared" si="16"/>
        <v>79</v>
      </c>
      <c r="BQ13" s="769">
        <v>550552</v>
      </c>
      <c r="BR13" s="636">
        <f t="shared" si="41"/>
        <v>160</v>
      </c>
      <c r="BS13" s="692">
        <f t="shared" si="27"/>
        <v>34125.642500000002</v>
      </c>
      <c r="BT13" s="693">
        <v>167</v>
      </c>
      <c r="BU13" s="692">
        <f t="shared" ref="BU13:BU19" si="44">IF(BS13&gt;0,BS13/BT12,0)</f>
        <v>225.99763245033114</v>
      </c>
      <c r="BV13" s="693"/>
      <c r="BW13" s="692" t="e">
        <f t="shared" si="29"/>
        <v>#DIV/0!</v>
      </c>
      <c r="BX13" s="692">
        <f t="shared" si="34"/>
        <v>39554.988874999995</v>
      </c>
      <c r="BY13" s="692">
        <f t="shared" si="30"/>
        <v>261.95356870860923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25249718</v>
      </c>
      <c r="J14" s="636">
        <f t="shared" si="18"/>
        <v>5235</v>
      </c>
      <c r="K14" s="636">
        <f t="shared" si="19"/>
        <v>3742</v>
      </c>
      <c r="L14" s="769">
        <v>112586</v>
      </c>
      <c r="M14" s="636">
        <f t="shared" si="40"/>
        <v>1834</v>
      </c>
      <c r="N14" s="769">
        <v>147735</v>
      </c>
      <c r="O14" s="636">
        <f t="shared" si="39"/>
        <v>1908</v>
      </c>
      <c r="P14" s="769">
        <v>225603</v>
      </c>
      <c r="Q14" s="636">
        <f t="shared" si="31"/>
        <v>420</v>
      </c>
      <c r="R14" s="768">
        <v>214465</v>
      </c>
      <c r="S14" s="636">
        <f t="shared" si="32"/>
        <v>136</v>
      </c>
      <c r="T14" s="768">
        <v>391460</v>
      </c>
      <c r="U14" s="636">
        <f t="shared" si="1"/>
        <v>248</v>
      </c>
      <c r="V14" s="768">
        <v>389952</v>
      </c>
      <c r="W14" s="636">
        <f t="shared" si="2"/>
        <v>3679.26</v>
      </c>
      <c r="X14" s="769">
        <v>646162</v>
      </c>
      <c r="Y14" s="636">
        <f t="shared" si="3"/>
        <v>0</v>
      </c>
      <c r="Z14" s="769">
        <v>658818</v>
      </c>
      <c r="AA14" s="636">
        <f t="shared" si="4"/>
        <v>3022.59</v>
      </c>
      <c r="AB14" s="768">
        <v>975232</v>
      </c>
      <c r="AC14" s="636">
        <f t="shared" si="33"/>
        <v>893.05000000000007</v>
      </c>
      <c r="AD14" s="768">
        <v>841518</v>
      </c>
      <c r="AE14" s="636">
        <f t="shared" si="20"/>
        <v>11.66</v>
      </c>
      <c r="AF14" s="768">
        <v>953147</v>
      </c>
      <c r="AG14" s="636">
        <f t="shared" si="42"/>
        <v>1575.16</v>
      </c>
      <c r="AH14" s="768">
        <v>320305</v>
      </c>
      <c r="AI14" s="636">
        <f t="shared" si="6"/>
        <v>1106.6400000000001</v>
      </c>
      <c r="AJ14" s="768">
        <v>30496</v>
      </c>
      <c r="AK14" s="636">
        <f t="shared" ref="AK14:AK36" si="45">IF(AJ14&gt;=AJ13,AJ14-AJ13,0)*0.53</f>
        <v>3727.4900000000002</v>
      </c>
      <c r="AL14" s="768">
        <v>549897</v>
      </c>
      <c r="AM14" s="636">
        <f t="shared" si="8"/>
        <v>108.65</v>
      </c>
      <c r="AN14" s="636">
        <f t="shared" si="21"/>
        <v>14124.5</v>
      </c>
      <c r="AO14" s="768">
        <v>7995148</v>
      </c>
      <c r="AP14" s="636">
        <f t="shared" si="22"/>
        <v>270.45</v>
      </c>
      <c r="AQ14" s="769">
        <v>734095</v>
      </c>
      <c r="AR14" s="636">
        <f t="shared" si="9"/>
        <v>151</v>
      </c>
      <c r="AS14" s="769">
        <v>635</v>
      </c>
      <c r="AT14" s="636">
        <f t="shared" si="23"/>
        <v>155</v>
      </c>
      <c r="AU14" s="769">
        <v>821844</v>
      </c>
      <c r="AV14" s="636">
        <f t="shared" si="10"/>
        <v>44</v>
      </c>
      <c r="AW14" s="768">
        <v>2808290</v>
      </c>
      <c r="AX14" s="636">
        <f t="shared" si="11"/>
        <v>1057</v>
      </c>
      <c r="AY14" s="769">
        <v>230608</v>
      </c>
      <c r="AZ14" s="636">
        <f t="shared" si="12"/>
        <v>11</v>
      </c>
      <c r="BA14" s="769">
        <v>20373992</v>
      </c>
      <c r="BB14" s="636">
        <f t="shared" si="13"/>
        <v>4840</v>
      </c>
      <c r="BC14" s="768">
        <v>619406</v>
      </c>
      <c r="BD14" s="636">
        <f t="shared" si="13"/>
        <v>208</v>
      </c>
      <c r="BE14" s="768">
        <v>39997</v>
      </c>
      <c r="BF14" s="636">
        <f t="shared" si="13"/>
        <v>67</v>
      </c>
      <c r="BG14" s="769">
        <v>25565929</v>
      </c>
      <c r="BH14" s="636">
        <f t="shared" si="24"/>
        <v>6372.9</v>
      </c>
      <c r="BI14" s="636">
        <f t="shared" si="25"/>
        <v>13176.349999999999</v>
      </c>
      <c r="BJ14" s="636">
        <f t="shared" si="26"/>
        <v>27300.85</v>
      </c>
      <c r="BK14" s="769">
        <v>1475315</v>
      </c>
      <c r="BL14" s="636">
        <f t="shared" si="14"/>
        <v>272</v>
      </c>
      <c r="BM14" s="769">
        <v>4199656</v>
      </c>
      <c r="BN14" s="636">
        <f t="shared" si="15"/>
        <v>1408</v>
      </c>
      <c r="BO14" s="769">
        <v>440133</v>
      </c>
      <c r="BP14" s="636">
        <f t="shared" si="16"/>
        <v>90</v>
      </c>
      <c r="BQ14" s="769">
        <v>550705</v>
      </c>
      <c r="BR14" s="636">
        <f t="shared" si="41"/>
        <v>153</v>
      </c>
      <c r="BS14" s="692">
        <f t="shared" si="27"/>
        <v>32955.85</v>
      </c>
      <c r="BT14" s="693">
        <v>158</v>
      </c>
      <c r="BU14" s="692">
        <f t="shared" si="44"/>
        <v>197.34041916167664</v>
      </c>
      <c r="BV14" s="693"/>
      <c r="BW14" s="692" t="e">
        <f t="shared" si="29"/>
        <v>#DIV/0!</v>
      </c>
      <c r="BX14" s="692">
        <f t="shared" si="34"/>
        <v>38088.227499999994</v>
      </c>
      <c r="BY14" s="692">
        <f t="shared" si="30"/>
        <v>228.07321856287422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25255125</v>
      </c>
      <c r="J15" s="636">
        <f t="shared" si="18"/>
        <v>5407</v>
      </c>
      <c r="K15" s="636">
        <f t="shared" si="19"/>
        <v>3663</v>
      </c>
      <c r="L15" s="769">
        <v>114441</v>
      </c>
      <c r="M15" s="636">
        <f t="shared" si="40"/>
        <v>1855</v>
      </c>
      <c r="N15" s="769">
        <v>149543</v>
      </c>
      <c r="O15" s="636">
        <f t="shared" si="39"/>
        <v>1808</v>
      </c>
      <c r="P15" s="769">
        <v>225625</v>
      </c>
      <c r="Q15" s="636">
        <f t="shared" si="31"/>
        <v>660</v>
      </c>
      <c r="R15" s="768">
        <v>214611</v>
      </c>
      <c r="S15" s="636">
        <f t="shared" si="32"/>
        <v>146</v>
      </c>
      <c r="T15" s="768">
        <v>391726</v>
      </c>
      <c r="U15" s="636">
        <f t="shared" si="1"/>
        <v>266</v>
      </c>
      <c r="V15" s="768">
        <v>396421</v>
      </c>
      <c r="W15" s="636">
        <f t="shared" si="2"/>
        <v>3428.57</v>
      </c>
      <c r="X15" s="769">
        <v>646162</v>
      </c>
      <c r="Y15" s="636">
        <f t="shared" si="3"/>
        <v>0</v>
      </c>
      <c r="Z15" s="769">
        <v>658818</v>
      </c>
      <c r="AA15" s="636">
        <f t="shared" si="4"/>
        <v>0</v>
      </c>
      <c r="AB15" s="768">
        <v>982467</v>
      </c>
      <c r="AC15" s="636">
        <f t="shared" si="33"/>
        <v>3834.55</v>
      </c>
      <c r="AD15" s="768">
        <v>841543</v>
      </c>
      <c r="AE15" s="636">
        <f t="shared" si="20"/>
        <v>13.25</v>
      </c>
      <c r="AF15" s="768">
        <v>956279</v>
      </c>
      <c r="AG15" s="636">
        <f t="shared" si="42"/>
        <v>1659.96</v>
      </c>
      <c r="AH15" s="769">
        <v>322469</v>
      </c>
      <c r="AI15" s="636">
        <f t="shared" si="6"/>
        <v>1146.92</v>
      </c>
      <c r="AJ15" s="769">
        <v>37781</v>
      </c>
      <c r="AK15" s="636">
        <f t="shared" si="45"/>
        <v>3861.05</v>
      </c>
      <c r="AL15" s="768">
        <v>550117</v>
      </c>
      <c r="AM15" s="636">
        <f t="shared" si="8"/>
        <v>116.60000000000001</v>
      </c>
      <c r="AN15" s="636">
        <f t="shared" si="21"/>
        <v>14060.900000000003</v>
      </c>
      <c r="AO15" s="768">
        <v>7997844</v>
      </c>
      <c r="AP15" s="636">
        <f t="shared" si="22"/>
        <v>303.3</v>
      </c>
      <c r="AQ15" s="768">
        <v>734273</v>
      </c>
      <c r="AR15" s="636">
        <f t="shared" si="9"/>
        <v>178</v>
      </c>
      <c r="AS15" s="769">
        <v>801</v>
      </c>
      <c r="AT15" s="636">
        <f t="shared" si="23"/>
        <v>166</v>
      </c>
      <c r="AU15" s="768">
        <v>821894</v>
      </c>
      <c r="AV15" s="636">
        <f t="shared" si="10"/>
        <v>50</v>
      </c>
      <c r="AW15" s="769">
        <v>2809333</v>
      </c>
      <c r="AX15" s="636">
        <f t="shared" si="11"/>
        <v>1043</v>
      </c>
      <c r="AY15" s="769">
        <v>230620</v>
      </c>
      <c r="AZ15" s="636">
        <f t="shared" si="12"/>
        <v>12</v>
      </c>
      <c r="BA15" s="769">
        <v>20379230</v>
      </c>
      <c r="BB15" s="636">
        <f t="shared" si="13"/>
        <v>5238</v>
      </c>
      <c r="BC15" s="768">
        <v>619607</v>
      </c>
      <c r="BD15" s="636">
        <f t="shared" si="13"/>
        <v>201</v>
      </c>
      <c r="BE15" s="768">
        <v>40073</v>
      </c>
      <c r="BF15" s="636">
        <f t="shared" si="13"/>
        <v>76</v>
      </c>
      <c r="BG15" s="769">
        <v>25573697</v>
      </c>
      <c r="BH15" s="636">
        <f t="shared" si="24"/>
        <v>6889.25</v>
      </c>
      <c r="BI15" s="636">
        <f t="shared" si="25"/>
        <v>14156.55</v>
      </c>
      <c r="BJ15" s="636">
        <f t="shared" si="26"/>
        <v>28217.450000000004</v>
      </c>
      <c r="BK15" s="769">
        <v>1475611</v>
      </c>
      <c r="BL15" s="636">
        <f t="shared" si="14"/>
        <v>296</v>
      </c>
      <c r="BM15" s="768">
        <v>4201195</v>
      </c>
      <c r="BN15" s="636">
        <f t="shared" si="15"/>
        <v>1539</v>
      </c>
      <c r="BO15" s="769">
        <v>440229</v>
      </c>
      <c r="BP15" s="636">
        <f t="shared" si="16"/>
        <v>96</v>
      </c>
      <c r="BQ15" s="769">
        <v>550848</v>
      </c>
      <c r="BR15" s="636">
        <f t="shared" si="41"/>
        <v>143</v>
      </c>
      <c r="BS15" s="692">
        <f t="shared" si="27"/>
        <v>34284.449999999997</v>
      </c>
      <c r="BT15" s="693">
        <v>162</v>
      </c>
      <c r="BU15" s="692">
        <f t="shared" si="44"/>
        <v>216.99018987341771</v>
      </c>
      <c r="BV15" s="693"/>
      <c r="BW15" s="692" t="e">
        <f t="shared" si="29"/>
        <v>#DIV/0!</v>
      </c>
      <c r="BX15" s="692">
        <f t="shared" si="34"/>
        <v>39724.117499999993</v>
      </c>
      <c r="BY15" s="692">
        <f t="shared" si="30"/>
        <v>251.41846518987339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25260550</v>
      </c>
      <c r="J16" s="636">
        <f t="shared" si="18"/>
        <v>5425</v>
      </c>
      <c r="K16" s="636">
        <f t="shared" si="19"/>
        <v>3653</v>
      </c>
      <c r="L16" s="769">
        <v>116291</v>
      </c>
      <c r="M16" s="636">
        <f t="shared" si="40"/>
        <v>1850</v>
      </c>
      <c r="N16" s="769">
        <v>151346</v>
      </c>
      <c r="O16" s="636">
        <f t="shared" si="39"/>
        <v>1803</v>
      </c>
      <c r="P16" s="769">
        <v>225640</v>
      </c>
      <c r="Q16" s="636">
        <f t="shared" si="31"/>
        <v>450</v>
      </c>
      <c r="R16" s="768">
        <v>214748</v>
      </c>
      <c r="S16" s="636">
        <f t="shared" si="32"/>
        <v>137</v>
      </c>
      <c r="T16" s="768">
        <v>391976</v>
      </c>
      <c r="U16" s="636">
        <f t="shared" si="1"/>
        <v>250</v>
      </c>
      <c r="V16" s="768">
        <v>402492</v>
      </c>
      <c r="W16" s="636">
        <f t="shared" si="2"/>
        <v>3217.63</v>
      </c>
      <c r="X16" s="769">
        <v>646162</v>
      </c>
      <c r="Y16" s="636">
        <f t="shared" si="3"/>
        <v>0</v>
      </c>
      <c r="Z16" s="769">
        <v>658818</v>
      </c>
      <c r="AA16" s="636">
        <f t="shared" si="4"/>
        <v>0</v>
      </c>
      <c r="AB16" s="768">
        <v>989227</v>
      </c>
      <c r="AC16" s="636">
        <f t="shared" si="33"/>
        <v>3582.8</v>
      </c>
      <c r="AD16" s="768">
        <v>841566</v>
      </c>
      <c r="AE16" s="636">
        <f t="shared" si="20"/>
        <v>12.190000000000001</v>
      </c>
      <c r="AF16" s="768">
        <v>959248</v>
      </c>
      <c r="AG16" s="636">
        <f t="shared" si="42"/>
        <v>1573.5700000000002</v>
      </c>
      <c r="AH16" s="768">
        <v>324540</v>
      </c>
      <c r="AI16" s="636">
        <f t="shared" si="6"/>
        <v>1097.6300000000001</v>
      </c>
      <c r="AJ16" s="768">
        <v>44773</v>
      </c>
      <c r="AK16" s="636">
        <f t="shared" si="45"/>
        <v>3705.76</v>
      </c>
      <c r="AL16" s="768">
        <v>550337</v>
      </c>
      <c r="AM16" s="636">
        <f t="shared" si="8"/>
        <v>116.60000000000001</v>
      </c>
      <c r="AN16" s="636">
        <f t="shared" si="21"/>
        <v>13306.18</v>
      </c>
      <c r="AO16" s="768">
        <v>8000440</v>
      </c>
      <c r="AP16" s="636">
        <f t="shared" si="22"/>
        <v>292.05</v>
      </c>
      <c r="AQ16" s="768">
        <v>734421</v>
      </c>
      <c r="AR16" s="636">
        <f t="shared" si="9"/>
        <v>148</v>
      </c>
      <c r="AS16" s="769">
        <v>951</v>
      </c>
      <c r="AT16" s="636">
        <f t="shared" si="23"/>
        <v>150</v>
      </c>
      <c r="AU16" s="768">
        <v>821955</v>
      </c>
      <c r="AV16" s="636">
        <f t="shared" si="10"/>
        <v>61</v>
      </c>
      <c r="AW16" s="768">
        <v>2810361</v>
      </c>
      <c r="AX16" s="636">
        <f t="shared" si="11"/>
        <v>1028</v>
      </c>
      <c r="AY16" s="768">
        <v>230631</v>
      </c>
      <c r="AZ16" s="636">
        <f t="shared" si="12"/>
        <v>11</v>
      </c>
      <c r="BA16" s="768">
        <v>20384206</v>
      </c>
      <c r="BB16" s="636">
        <f t="shared" si="13"/>
        <v>4976</v>
      </c>
      <c r="BC16" s="768">
        <v>619809</v>
      </c>
      <c r="BD16" s="636">
        <f t="shared" si="13"/>
        <v>202</v>
      </c>
      <c r="BE16" s="768">
        <v>40144</v>
      </c>
      <c r="BF16" s="636">
        <f t="shared" si="13"/>
        <v>71</v>
      </c>
      <c r="BG16" s="769">
        <v>25580843</v>
      </c>
      <c r="BH16" s="636">
        <f t="shared" si="24"/>
        <v>6315.55</v>
      </c>
      <c r="BI16" s="636">
        <f t="shared" si="25"/>
        <v>13254.6</v>
      </c>
      <c r="BJ16" s="636">
        <f t="shared" si="26"/>
        <v>26560.78</v>
      </c>
      <c r="BK16" s="769">
        <v>1475889</v>
      </c>
      <c r="BL16" s="636">
        <f t="shared" si="14"/>
        <v>278</v>
      </c>
      <c r="BM16" s="769">
        <v>4202592</v>
      </c>
      <c r="BN16" s="636">
        <f t="shared" si="15"/>
        <v>1397</v>
      </c>
      <c r="BO16" s="768">
        <v>440333</v>
      </c>
      <c r="BP16" s="636">
        <f t="shared" si="16"/>
        <v>104</v>
      </c>
      <c r="BQ16" s="768">
        <v>551003</v>
      </c>
      <c r="BR16" s="636">
        <f t="shared" si="41"/>
        <v>155</v>
      </c>
      <c r="BS16" s="692">
        <f t="shared" si="27"/>
        <v>32435.78</v>
      </c>
      <c r="BT16" s="693">
        <v>186</v>
      </c>
      <c r="BU16" s="692">
        <f t="shared" si="44"/>
        <v>200.22086419753086</v>
      </c>
      <c r="BV16" s="693"/>
      <c r="BW16" s="692" t="e">
        <f t="shared" si="29"/>
        <v>#DIV/0!</v>
      </c>
      <c r="BX16" s="692">
        <f t="shared" si="34"/>
        <v>37503.646999999997</v>
      </c>
      <c r="BY16" s="692">
        <f>IF(BX16&gt;0,BX16/BT15,0)</f>
        <v>231.50399382716049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25266143</v>
      </c>
      <c r="J17" s="636">
        <f>IF(I17&gt;=I16,I17-I16,0)</f>
        <v>5593</v>
      </c>
      <c r="K17" s="636">
        <f t="shared" si="19"/>
        <v>4182</v>
      </c>
      <c r="L17" s="769">
        <v>118214</v>
      </c>
      <c r="M17" s="636">
        <f t="shared" si="40"/>
        <v>1923</v>
      </c>
      <c r="N17" s="769">
        <v>153605</v>
      </c>
      <c r="O17" s="636">
        <f t="shared" si="39"/>
        <v>2259</v>
      </c>
      <c r="P17" s="769">
        <v>225665</v>
      </c>
      <c r="Q17" s="636">
        <f t="shared" si="31"/>
        <v>750</v>
      </c>
      <c r="R17" s="768">
        <v>214888</v>
      </c>
      <c r="S17" s="636">
        <f t="shared" si="32"/>
        <v>140</v>
      </c>
      <c r="T17" s="768">
        <v>392230</v>
      </c>
      <c r="U17" s="636">
        <f t="shared" si="1"/>
        <v>254</v>
      </c>
      <c r="V17" s="768">
        <v>409568</v>
      </c>
      <c r="W17" s="636">
        <f t="shared" si="2"/>
        <v>3750.28</v>
      </c>
      <c r="X17" s="769">
        <v>646162</v>
      </c>
      <c r="Y17" s="636">
        <f t="shared" si="3"/>
        <v>0</v>
      </c>
      <c r="Z17" s="772">
        <v>658818</v>
      </c>
      <c r="AA17" s="636">
        <f t="shared" si="4"/>
        <v>0</v>
      </c>
      <c r="AB17" s="768">
        <v>996585</v>
      </c>
      <c r="AC17" s="636">
        <f t="shared" si="33"/>
        <v>3899.7400000000002</v>
      </c>
      <c r="AD17" s="768">
        <v>841612</v>
      </c>
      <c r="AE17" s="636">
        <f t="shared" si="20"/>
        <v>24.380000000000003</v>
      </c>
      <c r="AF17" s="768">
        <v>965851</v>
      </c>
      <c r="AG17" s="636">
        <f t="shared" si="42"/>
        <v>3499.59</v>
      </c>
      <c r="AH17" s="768">
        <v>327052</v>
      </c>
      <c r="AI17" s="636">
        <f t="shared" si="6"/>
        <v>1331.3600000000001</v>
      </c>
      <c r="AJ17" s="768">
        <v>51960</v>
      </c>
      <c r="AK17" s="636">
        <f t="shared" si="45"/>
        <v>3809.11</v>
      </c>
      <c r="AL17" s="768">
        <v>550564</v>
      </c>
      <c r="AM17" s="636">
        <f t="shared" si="8"/>
        <v>120.31</v>
      </c>
      <c r="AN17" s="636">
        <f t="shared" si="21"/>
        <v>16434.770000000004</v>
      </c>
      <c r="AO17" s="707">
        <v>8002240</v>
      </c>
      <c r="AP17" s="636">
        <f t="shared" si="22"/>
        <v>202.5</v>
      </c>
      <c r="AQ17" s="768">
        <v>734662</v>
      </c>
      <c r="AR17" s="636">
        <f t="shared" si="9"/>
        <v>241</v>
      </c>
      <c r="AS17" s="768">
        <v>1154</v>
      </c>
      <c r="AT17" s="636">
        <f t="shared" si="23"/>
        <v>203</v>
      </c>
      <c r="AU17" s="768">
        <v>822018</v>
      </c>
      <c r="AV17" s="636">
        <f t="shared" si="10"/>
        <v>63</v>
      </c>
      <c r="AW17" s="768">
        <v>2811374</v>
      </c>
      <c r="AX17" s="636">
        <f t="shared" si="11"/>
        <v>1013</v>
      </c>
      <c r="AY17" s="768">
        <v>230642</v>
      </c>
      <c r="AZ17" s="636">
        <f t="shared" si="12"/>
        <v>11</v>
      </c>
      <c r="BA17" s="768">
        <v>20389240</v>
      </c>
      <c r="BB17" s="636">
        <f t="shared" si="13"/>
        <v>5034</v>
      </c>
      <c r="BC17" s="768">
        <v>620036</v>
      </c>
      <c r="BD17" s="636">
        <f t="shared" si="13"/>
        <v>227</v>
      </c>
      <c r="BE17" s="768">
        <v>40214</v>
      </c>
      <c r="BF17" s="636">
        <f t="shared" si="13"/>
        <v>70</v>
      </c>
      <c r="BG17" s="769">
        <v>25588261</v>
      </c>
      <c r="BH17" s="636">
        <f t="shared" si="24"/>
        <v>6566.05</v>
      </c>
      <c r="BI17" s="636">
        <f t="shared" si="25"/>
        <v>13630.55</v>
      </c>
      <c r="BJ17" s="636">
        <f t="shared" si="26"/>
        <v>30065.320000000003</v>
      </c>
      <c r="BK17" s="769">
        <v>1476170</v>
      </c>
      <c r="BL17" s="636">
        <f t="shared" si="14"/>
        <v>281</v>
      </c>
      <c r="BM17" s="768">
        <v>4204028</v>
      </c>
      <c r="BN17" s="636">
        <f t="shared" si="15"/>
        <v>1436</v>
      </c>
      <c r="BO17" s="707">
        <v>440448</v>
      </c>
      <c r="BP17" s="636">
        <f t="shared" si="16"/>
        <v>115</v>
      </c>
      <c r="BQ17" s="768">
        <v>551157</v>
      </c>
      <c r="BR17" s="636">
        <f t="shared" si="41"/>
        <v>154</v>
      </c>
      <c r="BS17" s="692">
        <f t="shared" si="27"/>
        <v>36408.320000000007</v>
      </c>
      <c r="BT17" s="693">
        <v>192</v>
      </c>
      <c r="BU17" s="692">
        <f t="shared" si="44"/>
        <v>195.74365591397853</v>
      </c>
      <c r="BV17" s="693"/>
      <c r="BW17" s="692" t="e">
        <f t="shared" si="29"/>
        <v>#DIV/0!</v>
      </c>
      <c r="BX17" s="692">
        <f t="shared" si="34"/>
        <v>42207.068000000007</v>
      </c>
      <c r="BY17" s="692">
        <f>IF(BX17&gt;0,BX17/BT16,0)</f>
        <v>226.91972043010756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25271494</v>
      </c>
      <c r="J18" s="636">
        <f t="shared" si="18"/>
        <v>5351</v>
      </c>
      <c r="K18" s="636">
        <f t="shared" si="19"/>
        <v>4382</v>
      </c>
      <c r="L18" s="769">
        <v>120140</v>
      </c>
      <c r="M18" s="636">
        <f t="shared" si="40"/>
        <v>1926</v>
      </c>
      <c r="N18" s="769">
        <v>156061</v>
      </c>
      <c r="O18" s="636">
        <f t="shared" si="39"/>
        <v>2456</v>
      </c>
      <c r="P18" s="769">
        <v>225690</v>
      </c>
      <c r="Q18" s="636">
        <f t="shared" si="31"/>
        <v>750</v>
      </c>
      <c r="R18" s="768">
        <v>215031</v>
      </c>
      <c r="S18" s="636">
        <f t="shared" si="32"/>
        <v>143</v>
      </c>
      <c r="T18" s="768">
        <v>392497</v>
      </c>
      <c r="U18" s="636">
        <f t="shared" si="1"/>
        <v>267</v>
      </c>
      <c r="V18" s="768">
        <v>416359</v>
      </c>
      <c r="W18" s="636">
        <f t="shared" si="2"/>
        <v>3599.23</v>
      </c>
      <c r="X18" s="769">
        <v>646162</v>
      </c>
      <c r="Y18" s="636">
        <f t="shared" si="3"/>
        <v>0</v>
      </c>
      <c r="Z18" s="768">
        <v>658818</v>
      </c>
      <c r="AA18" s="636">
        <f t="shared" si="4"/>
        <v>0</v>
      </c>
      <c r="AB18" s="768">
        <v>999999</v>
      </c>
      <c r="AC18" s="636">
        <f t="shared" si="33"/>
        <v>1809.42</v>
      </c>
      <c r="AD18" s="768">
        <v>841612</v>
      </c>
      <c r="AE18" s="636">
        <f t="shared" si="20"/>
        <v>0</v>
      </c>
      <c r="AF18" s="768">
        <v>965851</v>
      </c>
      <c r="AG18" s="636">
        <f t="shared" si="42"/>
        <v>0</v>
      </c>
      <c r="AH18" s="768">
        <v>328752</v>
      </c>
      <c r="AI18" s="636">
        <f t="shared" si="6"/>
        <v>901</v>
      </c>
      <c r="AJ18" s="768">
        <v>59017</v>
      </c>
      <c r="AK18" s="636">
        <f t="shared" si="45"/>
        <v>3740.21</v>
      </c>
      <c r="AL18" s="768">
        <v>550764</v>
      </c>
      <c r="AM18" s="636">
        <f t="shared" si="8"/>
        <v>106</v>
      </c>
      <c r="AN18" s="636">
        <f t="shared" si="21"/>
        <v>10155.86</v>
      </c>
      <c r="AO18" s="768">
        <v>8005940</v>
      </c>
      <c r="AP18" s="636">
        <f t="shared" si="22"/>
        <v>416.25</v>
      </c>
      <c r="AQ18" s="769">
        <v>734762</v>
      </c>
      <c r="AR18" s="636">
        <f t="shared" si="9"/>
        <v>100</v>
      </c>
      <c r="AS18" s="769">
        <v>1224</v>
      </c>
      <c r="AT18" s="636">
        <f t="shared" si="23"/>
        <v>70</v>
      </c>
      <c r="AU18" s="769">
        <v>822084</v>
      </c>
      <c r="AV18" s="636">
        <f t="shared" si="10"/>
        <v>66</v>
      </c>
      <c r="AW18" s="769">
        <v>2812365</v>
      </c>
      <c r="AX18" s="636">
        <f t="shared" si="11"/>
        <v>991</v>
      </c>
      <c r="AY18" s="768">
        <v>230654</v>
      </c>
      <c r="AZ18" s="636">
        <f t="shared" si="12"/>
        <v>12</v>
      </c>
      <c r="BA18" s="768">
        <v>20394245</v>
      </c>
      <c r="BB18" s="636">
        <f t="shared" si="13"/>
        <v>5005</v>
      </c>
      <c r="BC18" s="768">
        <v>620271</v>
      </c>
      <c r="BD18" s="636">
        <f t="shared" si="13"/>
        <v>235</v>
      </c>
      <c r="BE18" s="768">
        <v>40285</v>
      </c>
      <c r="BF18" s="636">
        <f t="shared" si="13"/>
        <v>71</v>
      </c>
      <c r="BG18" s="769">
        <v>25595497.666666701</v>
      </c>
      <c r="BH18" s="636">
        <f t="shared" si="24"/>
        <v>6370.166666701436</v>
      </c>
      <c r="BI18" s="636">
        <f t="shared" si="25"/>
        <v>13336.416666701436</v>
      </c>
      <c r="BJ18" s="636">
        <f t="shared" si="26"/>
        <v>23492.276666701437</v>
      </c>
      <c r="BK18" s="769">
        <v>1476456</v>
      </c>
      <c r="BL18" s="636">
        <f t="shared" si="14"/>
        <v>286</v>
      </c>
      <c r="BM18" s="768">
        <v>4205477</v>
      </c>
      <c r="BN18" s="636">
        <f t="shared" si="15"/>
        <v>1449</v>
      </c>
      <c r="BO18" s="768">
        <v>440569</v>
      </c>
      <c r="BP18" s="636">
        <f t="shared" si="16"/>
        <v>121</v>
      </c>
      <c r="BQ18" s="768">
        <v>551317</v>
      </c>
      <c r="BR18" s="636">
        <f t="shared" si="41"/>
        <v>160</v>
      </c>
      <c r="BS18" s="692">
        <f t="shared" si="27"/>
        <v>29593.276666701437</v>
      </c>
      <c r="BT18" s="693">
        <v>154</v>
      </c>
      <c r="BU18" s="692">
        <f t="shared" si="44"/>
        <v>154.13164930573666</v>
      </c>
      <c r="BV18" s="693"/>
      <c r="BW18" s="692" t="e">
        <f t="shared" si="29"/>
        <v>#DIV/0!</v>
      </c>
      <c r="BX18" s="692">
        <f t="shared" si="34"/>
        <v>34369.76816670665</v>
      </c>
      <c r="BY18" s="692">
        <f>IF(BX18&gt;0,BX18/BT17,0)</f>
        <v>179.00920920159714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25276992</v>
      </c>
      <c r="J19" s="636">
        <f t="shared" si="18"/>
        <v>5498</v>
      </c>
      <c r="K19" s="636">
        <f t="shared" si="19"/>
        <v>4303</v>
      </c>
      <c r="L19" s="769">
        <v>122130</v>
      </c>
      <c r="M19" s="636">
        <f t="shared" si="40"/>
        <v>1990</v>
      </c>
      <c r="N19" s="769">
        <v>158374</v>
      </c>
      <c r="O19" s="636">
        <f t="shared" si="39"/>
        <v>2313</v>
      </c>
      <c r="P19" s="769">
        <v>225717</v>
      </c>
      <c r="Q19" s="636">
        <f t="shared" ref="Q19:Q35" si="46">IF(P19&gt;=P18,P19-P18,0)*30</f>
        <v>810</v>
      </c>
      <c r="R19" s="768">
        <v>215174</v>
      </c>
      <c r="S19" s="636">
        <f t="shared" si="32"/>
        <v>143</v>
      </c>
      <c r="T19" s="768">
        <v>392746</v>
      </c>
      <c r="U19" s="636">
        <f t="shared" si="1"/>
        <v>249</v>
      </c>
      <c r="V19" s="768">
        <v>421876</v>
      </c>
      <c r="W19" s="636">
        <f t="shared" si="2"/>
        <v>2924.01</v>
      </c>
      <c r="X19" s="769">
        <v>646162</v>
      </c>
      <c r="Y19" s="636">
        <f t="shared" si="3"/>
        <v>0</v>
      </c>
      <c r="Z19" s="768">
        <v>658818</v>
      </c>
      <c r="AA19" s="636">
        <f t="shared" si="4"/>
        <v>0</v>
      </c>
      <c r="AB19" s="768">
        <v>9709</v>
      </c>
      <c r="AC19" s="636">
        <f t="shared" si="33"/>
        <v>0</v>
      </c>
      <c r="AD19" s="768">
        <v>841635</v>
      </c>
      <c r="AE19" s="636">
        <f t="shared" si="20"/>
        <v>12.190000000000001</v>
      </c>
      <c r="AF19" s="768">
        <v>968631</v>
      </c>
      <c r="AG19" s="636">
        <f t="shared" si="42"/>
        <v>1473.4</v>
      </c>
      <c r="AH19" s="769">
        <v>330699</v>
      </c>
      <c r="AI19" s="636">
        <f t="shared" si="6"/>
        <v>1031.9100000000001</v>
      </c>
      <c r="AJ19" s="769">
        <v>65819</v>
      </c>
      <c r="AK19" s="636">
        <f t="shared" si="45"/>
        <v>3605.0600000000004</v>
      </c>
      <c r="AL19" s="768">
        <v>550982</v>
      </c>
      <c r="AM19" s="636">
        <f t="shared" si="8"/>
        <v>115.54</v>
      </c>
      <c r="AN19" s="636">
        <f t="shared" si="21"/>
        <v>9162.11</v>
      </c>
      <c r="AO19" s="768">
        <v>8008453</v>
      </c>
      <c r="AP19" s="636">
        <f t="shared" si="22"/>
        <v>282.71250000000003</v>
      </c>
      <c r="AQ19" s="768">
        <v>734917</v>
      </c>
      <c r="AR19" s="636">
        <f t="shared" si="9"/>
        <v>155</v>
      </c>
      <c r="AS19" s="769">
        <v>1331</v>
      </c>
      <c r="AT19" s="636">
        <f t="shared" si="23"/>
        <v>107</v>
      </c>
      <c r="AU19" s="768">
        <v>822151</v>
      </c>
      <c r="AV19" s="636">
        <f t="shared" si="10"/>
        <v>67</v>
      </c>
      <c r="AW19" s="769">
        <v>2813354</v>
      </c>
      <c r="AX19" s="636">
        <f t="shared" si="11"/>
        <v>989</v>
      </c>
      <c r="AY19" s="768">
        <v>230665</v>
      </c>
      <c r="AZ19" s="636">
        <f t="shared" ref="AZ19:AZ36" si="47">IF(AY19&gt;=AY18,AY19-AY18,0)</f>
        <v>11</v>
      </c>
      <c r="BA19" s="769">
        <v>20399579</v>
      </c>
      <c r="BB19" s="636">
        <f t="shared" si="13"/>
        <v>5334</v>
      </c>
      <c r="BC19" s="768">
        <v>620503</v>
      </c>
      <c r="BD19" s="636">
        <f t="shared" si="13"/>
        <v>232</v>
      </c>
      <c r="BE19" s="768">
        <v>40356</v>
      </c>
      <c r="BF19" s="636">
        <f t="shared" si="13"/>
        <v>71</v>
      </c>
      <c r="BG19" s="769">
        <v>25603115</v>
      </c>
      <c r="BH19" s="636">
        <f t="shared" si="24"/>
        <v>6768.0333332985638</v>
      </c>
      <c r="BI19" s="636">
        <f t="shared" si="25"/>
        <v>14016.745833298563</v>
      </c>
      <c r="BJ19" s="636">
        <f t="shared" si="26"/>
        <v>23178.855833298563</v>
      </c>
      <c r="BK19" s="769">
        <v>1476744</v>
      </c>
      <c r="BL19" s="636">
        <f t="shared" si="14"/>
        <v>288</v>
      </c>
      <c r="BM19" s="768">
        <v>4206893</v>
      </c>
      <c r="BN19" s="636">
        <f t="shared" si="15"/>
        <v>1416</v>
      </c>
      <c r="BO19" s="707">
        <v>440687</v>
      </c>
      <c r="BP19" s="636">
        <f t="shared" si="16"/>
        <v>118</v>
      </c>
      <c r="BQ19" s="769">
        <v>551476</v>
      </c>
      <c r="BR19" s="636">
        <f t="shared" si="41"/>
        <v>159</v>
      </c>
      <c r="BS19" s="692">
        <f t="shared" si="27"/>
        <v>29486.855833298563</v>
      </c>
      <c r="BT19" s="693">
        <v>187</v>
      </c>
      <c r="BU19" s="692">
        <f t="shared" si="44"/>
        <v>191.47308982661406</v>
      </c>
      <c r="BV19" s="693"/>
      <c r="BW19" s="692" t="e">
        <f t="shared" si="29"/>
        <v>#DIV/0!</v>
      </c>
      <c r="BX19" s="692">
        <f t="shared" si="34"/>
        <v>34274.384208293348</v>
      </c>
      <c r="BY19" s="692">
        <f>IF(BX19&gt;0,BX19/BT18,0)</f>
        <v>222.56093641748927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25283568</v>
      </c>
      <c r="J20" s="636">
        <f>IF(I20&gt;=I19,I20-I19,0)</f>
        <v>6576</v>
      </c>
      <c r="K20" s="636">
        <f t="shared" si="19"/>
        <v>4664</v>
      </c>
      <c r="L20" s="769">
        <v>124499</v>
      </c>
      <c r="M20" s="636">
        <f t="shared" si="40"/>
        <v>2369</v>
      </c>
      <c r="N20" s="769">
        <v>160669</v>
      </c>
      <c r="O20" s="636">
        <f t="shared" si="39"/>
        <v>2295</v>
      </c>
      <c r="P20" s="769">
        <v>225747</v>
      </c>
      <c r="Q20" s="636">
        <f t="shared" si="46"/>
        <v>900</v>
      </c>
      <c r="R20" s="768">
        <v>215345</v>
      </c>
      <c r="S20" s="636">
        <f t="shared" si="32"/>
        <v>171</v>
      </c>
      <c r="T20" s="768">
        <v>393038</v>
      </c>
      <c r="U20" s="636">
        <f t="shared" si="1"/>
        <v>292</v>
      </c>
      <c r="V20" s="768">
        <v>429337</v>
      </c>
      <c r="W20" s="636">
        <f t="shared" si="2"/>
        <v>3954.3300000000004</v>
      </c>
      <c r="X20" s="769">
        <v>646162</v>
      </c>
      <c r="Y20" s="636">
        <f t="shared" si="3"/>
        <v>0</v>
      </c>
      <c r="Z20" s="769">
        <v>664617</v>
      </c>
      <c r="AA20" s="636">
        <f t="shared" si="4"/>
        <v>3073.4700000000003</v>
      </c>
      <c r="AB20" s="768">
        <v>12136</v>
      </c>
      <c r="AC20" s="636">
        <f t="shared" si="33"/>
        <v>1286.3100000000002</v>
      </c>
      <c r="AD20" s="768">
        <v>841662</v>
      </c>
      <c r="AE20" s="636">
        <f t="shared" si="20"/>
        <v>14.31</v>
      </c>
      <c r="AF20" s="768">
        <v>970659</v>
      </c>
      <c r="AG20" s="636">
        <f t="shared" si="42"/>
        <v>1074.8400000000001</v>
      </c>
      <c r="AH20" s="768">
        <v>332450</v>
      </c>
      <c r="AI20" s="636">
        <f t="shared" si="6"/>
        <v>928.03000000000009</v>
      </c>
      <c r="AJ20" s="768">
        <v>74182</v>
      </c>
      <c r="AK20" s="636">
        <f t="shared" si="45"/>
        <v>4432.3900000000003</v>
      </c>
      <c r="AL20" s="768">
        <v>551240</v>
      </c>
      <c r="AM20" s="636">
        <f t="shared" si="8"/>
        <v>136.74</v>
      </c>
      <c r="AN20" s="636">
        <f t="shared" si="21"/>
        <v>14900.42</v>
      </c>
      <c r="AO20" s="768">
        <v>8011072</v>
      </c>
      <c r="AP20" s="636">
        <f t="shared" si="22"/>
        <v>294.63749999999999</v>
      </c>
      <c r="AQ20" s="769">
        <v>735093</v>
      </c>
      <c r="AR20" s="636">
        <f t="shared" si="9"/>
        <v>176</v>
      </c>
      <c r="AS20" s="769">
        <v>1575</v>
      </c>
      <c r="AT20" s="636">
        <f>IF(AS20&gt;=AS19,AS20-AS19,0)</f>
        <v>244</v>
      </c>
      <c r="AU20" s="768">
        <v>822222</v>
      </c>
      <c r="AV20" s="636">
        <f>IF(AU20&gt;=AU19,AU20-AU19,0)</f>
        <v>71</v>
      </c>
      <c r="AW20" s="768">
        <v>2814426</v>
      </c>
      <c r="AX20" s="636">
        <f t="shared" si="11"/>
        <v>1072</v>
      </c>
      <c r="AY20" s="768">
        <v>230679</v>
      </c>
      <c r="AZ20" s="636">
        <f t="shared" si="47"/>
        <v>14</v>
      </c>
      <c r="BA20" s="768">
        <v>20405768</v>
      </c>
      <c r="BB20" s="636">
        <f t="shared" si="13"/>
        <v>6189</v>
      </c>
      <c r="BC20" s="768">
        <v>620791</v>
      </c>
      <c r="BD20" s="636">
        <f t="shared" si="13"/>
        <v>288</v>
      </c>
      <c r="BE20" s="768">
        <v>40425</v>
      </c>
      <c r="BF20" s="636">
        <f t="shared" si="13"/>
        <v>69</v>
      </c>
      <c r="BG20" s="769">
        <v>25611977</v>
      </c>
      <c r="BH20" s="636">
        <f t="shared" si="24"/>
        <v>7889.65</v>
      </c>
      <c r="BI20" s="636">
        <f t="shared" si="25"/>
        <v>16307.2875</v>
      </c>
      <c r="BJ20" s="636">
        <f t="shared" si="26"/>
        <v>31207.7075</v>
      </c>
      <c r="BK20" s="769">
        <v>1477088</v>
      </c>
      <c r="BL20" s="636">
        <f t="shared" si="14"/>
        <v>344</v>
      </c>
      <c r="BM20" s="768">
        <v>4208561</v>
      </c>
      <c r="BN20" s="636">
        <f t="shared" si="15"/>
        <v>1668</v>
      </c>
      <c r="BO20" s="768">
        <v>440822</v>
      </c>
      <c r="BP20" s="636">
        <f t="shared" si="16"/>
        <v>135</v>
      </c>
      <c r="BQ20" s="768">
        <v>551637</v>
      </c>
      <c r="BR20" s="636">
        <f t="shared" si="41"/>
        <v>161</v>
      </c>
      <c r="BS20" s="692">
        <f t="shared" si="27"/>
        <v>38683.707499999997</v>
      </c>
      <c r="BT20" s="693">
        <v>223</v>
      </c>
      <c r="BU20" s="692">
        <f>IF(BS20&gt;0,BS20/BT20,0)</f>
        <v>173.46954035874438</v>
      </c>
      <c r="BV20" s="693"/>
      <c r="BW20" s="692" t="e">
        <f t="shared" si="29"/>
        <v>#DIV/0!</v>
      </c>
      <c r="BX20" s="692">
        <f t="shared" si="34"/>
        <v>44891.263624999992</v>
      </c>
      <c r="BY20" s="692">
        <f t="shared" ref="BY20:BY36" si="48">IF(BX20&gt;0,BX20/BT20,0)</f>
        <v>201.30611491031388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25288168</v>
      </c>
      <c r="J21" s="636">
        <f>IF(I21&gt;=I20,I21-I20,0)</f>
        <v>4600</v>
      </c>
      <c r="K21" s="636">
        <f t="shared" si="19"/>
        <v>3235</v>
      </c>
      <c r="L21" s="769">
        <v>126118</v>
      </c>
      <c r="M21" s="636">
        <f t="shared" si="40"/>
        <v>1619</v>
      </c>
      <c r="N21" s="769">
        <v>162285</v>
      </c>
      <c r="O21" s="636">
        <f t="shared" si="39"/>
        <v>1616</v>
      </c>
      <c r="P21" s="769">
        <v>225771</v>
      </c>
      <c r="Q21" s="636">
        <f t="shared" si="46"/>
        <v>720</v>
      </c>
      <c r="R21" s="768">
        <v>215457</v>
      </c>
      <c r="S21" s="636">
        <f t="shared" ref="S21:S35" si="49">IF(R21&gt;=R20,R21-R20,0)</f>
        <v>112</v>
      </c>
      <c r="T21" s="768">
        <v>393232</v>
      </c>
      <c r="U21" s="636">
        <f t="shared" si="1"/>
        <v>194</v>
      </c>
      <c r="V21" s="768">
        <v>434921</v>
      </c>
      <c r="W21" s="636">
        <f t="shared" si="2"/>
        <v>2959.52</v>
      </c>
      <c r="X21" s="769">
        <v>646162</v>
      </c>
      <c r="Y21" s="636">
        <f t="shared" si="3"/>
        <v>0</v>
      </c>
      <c r="Z21" s="769">
        <v>670290</v>
      </c>
      <c r="AA21" s="636">
        <f t="shared" si="4"/>
        <v>3006.69</v>
      </c>
      <c r="AB21" s="768">
        <v>12136</v>
      </c>
      <c r="AC21" s="636">
        <f t="shared" si="33"/>
        <v>0</v>
      </c>
      <c r="AD21" s="768">
        <v>841680</v>
      </c>
      <c r="AE21" s="636">
        <f t="shared" si="20"/>
        <v>9.5400000000000009</v>
      </c>
      <c r="AF21" s="768">
        <v>971601</v>
      </c>
      <c r="AG21" s="636">
        <f t="shared" si="42"/>
        <v>499.26000000000005</v>
      </c>
      <c r="AH21" s="769">
        <v>333383</v>
      </c>
      <c r="AI21" s="636">
        <f t="shared" si="6"/>
        <v>494.49</v>
      </c>
      <c r="AJ21" s="769">
        <v>79485</v>
      </c>
      <c r="AK21" s="636">
        <f t="shared" si="45"/>
        <v>2810.59</v>
      </c>
      <c r="AL21" s="768">
        <v>551411</v>
      </c>
      <c r="AM21" s="636">
        <f t="shared" si="8"/>
        <v>90.63000000000001</v>
      </c>
      <c r="AN21" s="636">
        <f t="shared" si="21"/>
        <v>9870.7199999999993</v>
      </c>
      <c r="AO21" s="768">
        <v>8012790</v>
      </c>
      <c r="AP21" s="636">
        <f t="shared" si="22"/>
        <v>193.27500000000001</v>
      </c>
      <c r="AQ21" s="768">
        <v>735244</v>
      </c>
      <c r="AR21" s="636">
        <f t="shared" si="9"/>
        <v>151</v>
      </c>
      <c r="AS21" s="769">
        <v>1731</v>
      </c>
      <c r="AT21" s="636">
        <f>IF(AS21&gt;=AS20,AS21-AS20,0)</f>
        <v>156</v>
      </c>
      <c r="AU21" s="768">
        <v>822258</v>
      </c>
      <c r="AV21" s="636">
        <f>IF(AU21&gt;=AU20,AU21-AU20,0)</f>
        <v>36</v>
      </c>
      <c r="AW21" s="768">
        <v>2815148</v>
      </c>
      <c r="AX21" s="636">
        <f t="shared" si="11"/>
        <v>722</v>
      </c>
      <c r="AY21" s="769">
        <v>230688</v>
      </c>
      <c r="AZ21" s="636">
        <f t="shared" si="47"/>
        <v>9</v>
      </c>
      <c r="BA21" s="769">
        <v>20410061</v>
      </c>
      <c r="BB21" s="636">
        <f t="shared" si="13"/>
        <v>4293</v>
      </c>
      <c r="BC21" s="768">
        <v>620995</v>
      </c>
      <c r="BD21" s="636">
        <f t="shared" si="13"/>
        <v>204</v>
      </c>
      <c r="BE21" s="768">
        <v>40480</v>
      </c>
      <c r="BF21" s="636">
        <f t="shared" si="13"/>
        <v>55</v>
      </c>
      <c r="BG21" s="769">
        <v>25617844</v>
      </c>
      <c r="BH21" s="636">
        <f t="shared" si="24"/>
        <v>5230.55</v>
      </c>
      <c r="BI21" s="636">
        <f t="shared" si="25"/>
        <v>11049.825000000001</v>
      </c>
      <c r="BJ21" s="636">
        <f t="shared" si="26"/>
        <v>20920.544999999998</v>
      </c>
      <c r="BK21" s="769">
        <v>1477315</v>
      </c>
      <c r="BL21" s="636">
        <f t="shared" si="14"/>
        <v>227</v>
      </c>
      <c r="BM21" s="768">
        <v>4209652</v>
      </c>
      <c r="BN21" s="636">
        <f t="shared" si="15"/>
        <v>1091</v>
      </c>
      <c r="BO21" s="768">
        <v>440912</v>
      </c>
      <c r="BP21" s="636">
        <f t="shared" si="16"/>
        <v>90</v>
      </c>
      <c r="BQ21" s="768">
        <v>551742</v>
      </c>
      <c r="BR21" s="636">
        <f t="shared" si="41"/>
        <v>105</v>
      </c>
      <c r="BS21" s="692">
        <f t="shared" si="27"/>
        <v>26240.544999999998</v>
      </c>
      <c r="BT21" s="693">
        <v>253</v>
      </c>
      <c r="BU21" s="692">
        <f t="shared" ref="BU21:BU36" si="50">IF(BS21&gt;0,BS21/BT21,0)</f>
        <v>103.71756916996047</v>
      </c>
      <c r="BV21" s="693"/>
      <c r="BW21" s="692" t="e">
        <f t="shared" si="29"/>
        <v>#DIV/0!</v>
      </c>
      <c r="BX21" s="692">
        <f t="shared" si="34"/>
        <v>30500.626749999996</v>
      </c>
      <c r="BY21" s="692">
        <f t="shared" si="48"/>
        <v>120.55583695652172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25293927</v>
      </c>
      <c r="J22" s="636">
        <f t="shared" ref="J22:J31" si="51">IF(I22&gt;=I21,I22-I21,0)</f>
        <v>5759</v>
      </c>
      <c r="K22" s="636">
        <f t="shared" si="19"/>
        <v>4643</v>
      </c>
      <c r="L22" s="769">
        <v>128086</v>
      </c>
      <c r="M22" s="636">
        <f t="shared" si="40"/>
        <v>1968</v>
      </c>
      <c r="N22" s="769">
        <v>164960</v>
      </c>
      <c r="O22" s="636">
        <f t="shared" si="39"/>
        <v>2675</v>
      </c>
      <c r="P22" s="769">
        <v>225798</v>
      </c>
      <c r="Q22" s="636">
        <f t="shared" si="46"/>
        <v>810</v>
      </c>
      <c r="R22" s="768">
        <v>215605</v>
      </c>
      <c r="S22" s="636">
        <f t="shared" si="49"/>
        <v>148</v>
      </c>
      <c r="T22" s="768">
        <v>393494</v>
      </c>
      <c r="U22" s="636">
        <f t="shared" si="1"/>
        <v>262</v>
      </c>
      <c r="V22" s="768">
        <v>443257</v>
      </c>
      <c r="W22" s="636">
        <f t="shared" ref="W22:W28" si="52">IF(V22&gt;=V21,V22-V21,0)*0.53</f>
        <v>4418.08</v>
      </c>
      <c r="X22" s="769">
        <v>646162</v>
      </c>
      <c r="Y22" s="636">
        <f t="shared" si="3"/>
        <v>0</v>
      </c>
      <c r="Z22" s="768">
        <v>677871</v>
      </c>
      <c r="AA22" s="636">
        <f t="shared" si="4"/>
        <v>4017.9300000000003</v>
      </c>
      <c r="AB22" s="768">
        <v>12136</v>
      </c>
      <c r="AC22" s="636">
        <f t="shared" si="33"/>
        <v>0</v>
      </c>
      <c r="AD22" s="768">
        <v>841701</v>
      </c>
      <c r="AE22" s="636">
        <f t="shared" si="20"/>
        <v>11.13</v>
      </c>
      <c r="AF22" s="768">
        <v>972976</v>
      </c>
      <c r="AG22" s="636">
        <f t="shared" si="42"/>
        <v>728.75</v>
      </c>
      <c r="AH22" s="769">
        <v>334589</v>
      </c>
      <c r="AI22" s="636">
        <f t="shared" si="6"/>
        <v>639.18000000000006</v>
      </c>
      <c r="AJ22" s="769">
        <v>86708</v>
      </c>
      <c r="AK22" s="636">
        <f t="shared" si="45"/>
        <v>3828.19</v>
      </c>
      <c r="AL22" s="768">
        <v>551621</v>
      </c>
      <c r="AM22" s="636">
        <f t="shared" si="8"/>
        <v>111.30000000000001</v>
      </c>
      <c r="AN22" s="636">
        <f t="shared" si="21"/>
        <v>13754.56</v>
      </c>
      <c r="AO22" s="768">
        <v>8015173</v>
      </c>
      <c r="AP22" s="636">
        <f t="shared" si="22"/>
        <v>268.08750000000003</v>
      </c>
      <c r="AQ22" s="768">
        <v>735408</v>
      </c>
      <c r="AR22" s="636">
        <f t="shared" si="9"/>
        <v>164</v>
      </c>
      <c r="AS22" s="769">
        <v>1913</v>
      </c>
      <c r="AT22" s="636">
        <f t="shared" si="23"/>
        <v>182</v>
      </c>
      <c r="AU22" s="768">
        <v>822307</v>
      </c>
      <c r="AV22" s="636">
        <f t="shared" si="10"/>
        <v>49</v>
      </c>
      <c r="AW22" s="769">
        <v>2815987</v>
      </c>
      <c r="AX22" s="636">
        <f t="shared" si="11"/>
        <v>839</v>
      </c>
      <c r="AY22" s="769">
        <v>230699</v>
      </c>
      <c r="AZ22" s="636">
        <f t="shared" si="47"/>
        <v>11</v>
      </c>
      <c r="BA22" s="769">
        <v>20415102</v>
      </c>
      <c r="BB22" s="636">
        <f t="shared" si="13"/>
        <v>5041</v>
      </c>
      <c r="BC22" s="768">
        <v>621224</v>
      </c>
      <c r="BD22" s="636">
        <f t="shared" si="13"/>
        <v>229</v>
      </c>
      <c r="BE22" s="768">
        <v>40535</v>
      </c>
      <c r="BF22" s="636">
        <f t="shared" si="13"/>
        <v>55</v>
      </c>
      <c r="BG22" s="769">
        <v>25625471</v>
      </c>
      <c r="BH22" s="636">
        <f t="shared" si="24"/>
        <v>6756.05</v>
      </c>
      <c r="BI22" s="636">
        <f t="shared" si="25"/>
        <v>13594.137500000001</v>
      </c>
      <c r="BJ22" s="636">
        <f t="shared" si="26"/>
        <v>27348.697500000002</v>
      </c>
      <c r="BK22" s="769">
        <v>1477614</v>
      </c>
      <c r="BL22" s="636">
        <f t="shared" si="14"/>
        <v>299</v>
      </c>
      <c r="BM22" s="768">
        <v>4211128</v>
      </c>
      <c r="BN22" s="636">
        <f t="shared" si="15"/>
        <v>1476</v>
      </c>
      <c r="BO22" s="707">
        <v>441087</v>
      </c>
      <c r="BP22" s="636">
        <f t="shared" si="16"/>
        <v>175</v>
      </c>
      <c r="BQ22" s="769">
        <v>551870</v>
      </c>
      <c r="BR22" s="636">
        <f t="shared" si="41"/>
        <v>128</v>
      </c>
      <c r="BS22" s="692">
        <f t="shared" si="27"/>
        <v>33917.697499999995</v>
      </c>
      <c r="BT22" s="693">
        <v>197</v>
      </c>
      <c r="BU22" s="692">
        <f t="shared" si="50"/>
        <v>172.17105329949237</v>
      </c>
      <c r="BV22" s="693"/>
      <c r="BW22" s="692" t="e">
        <f t="shared" si="29"/>
        <v>#DIV/0!</v>
      </c>
      <c r="BX22" s="692">
        <f t="shared" si="34"/>
        <v>39369.85212499999</v>
      </c>
      <c r="BY22" s="692">
        <f t="shared" si="48"/>
        <v>199.84696510152278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25299151</v>
      </c>
      <c r="J23" s="636">
        <f t="shared" si="51"/>
        <v>5224</v>
      </c>
      <c r="K23" s="636">
        <f t="shared" si="19"/>
        <v>4313</v>
      </c>
      <c r="L23" s="769">
        <v>129936</v>
      </c>
      <c r="M23" s="636">
        <f t="shared" si="40"/>
        <v>1850</v>
      </c>
      <c r="N23" s="769">
        <v>167423</v>
      </c>
      <c r="O23" s="636">
        <f t="shared" si="39"/>
        <v>2463</v>
      </c>
      <c r="P23" s="769">
        <v>225822</v>
      </c>
      <c r="Q23" s="636">
        <f t="shared" si="46"/>
        <v>720</v>
      </c>
      <c r="R23" s="768">
        <v>215742</v>
      </c>
      <c r="S23" s="636">
        <f t="shared" si="49"/>
        <v>137</v>
      </c>
      <c r="T23" s="768">
        <v>393731</v>
      </c>
      <c r="U23" s="636">
        <f t="shared" si="1"/>
        <v>237</v>
      </c>
      <c r="V23" s="768">
        <v>450054</v>
      </c>
      <c r="W23" s="636">
        <f t="shared" si="52"/>
        <v>3602.4100000000003</v>
      </c>
      <c r="X23" s="769">
        <v>649296</v>
      </c>
      <c r="Y23" s="636">
        <f t="shared" si="3"/>
        <v>1661.02</v>
      </c>
      <c r="Z23" s="772">
        <v>681648</v>
      </c>
      <c r="AA23" s="636">
        <f t="shared" si="4"/>
        <v>2001.8100000000002</v>
      </c>
      <c r="AB23" s="768">
        <v>12136</v>
      </c>
      <c r="AC23" s="636">
        <f t="shared" si="33"/>
        <v>0</v>
      </c>
      <c r="AD23" s="768">
        <v>841725</v>
      </c>
      <c r="AE23" s="636">
        <f t="shared" si="20"/>
        <v>12.72</v>
      </c>
      <c r="AF23" s="768">
        <v>974188</v>
      </c>
      <c r="AG23" s="636">
        <f t="shared" si="42"/>
        <v>642.36</v>
      </c>
      <c r="AH23" s="768">
        <v>335757</v>
      </c>
      <c r="AI23" s="636">
        <f t="shared" si="6"/>
        <v>619.04000000000008</v>
      </c>
      <c r="AJ23" s="768">
        <v>93655</v>
      </c>
      <c r="AK23" s="636">
        <f t="shared" si="45"/>
        <v>3681.9100000000003</v>
      </c>
      <c r="AL23" s="768">
        <v>551822</v>
      </c>
      <c r="AM23" s="636">
        <f t="shared" si="8"/>
        <v>106.53</v>
      </c>
      <c r="AN23" s="636">
        <f t="shared" si="21"/>
        <v>12327.800000000001</v>
      </c>
      <c r="AO23" s="707">
        <v>8017627</v>
      </c>
      <c r="AP23" s="636">
        <f t="shared" si="22"/>
        <v>276.07499999999999</v>
      </c>
      <c r="AQ23" s="768">
        <v>735562</v>
      </c>
      <c r="AR23" s="636">
        <f t="shared" si="9"/>
        <v>154</v>
      </c>
      <c r="AS23" s="768">
        <v>2087</v>
      </c>
      <c r="AT23" s="636">
        <f t="shared" si="23"/>
        <v>174</v>
      </c>
      <c r="AU23" s="768">
        <v>822369</v>
      </c>
      <c r="AV23" s="636">
        <f t="shared" si="10"/>
        <v>62</v>
      </c>
      <c r="AW23" s="768">
        <v>2816804</v>
      </c>
      <c r="AX23" s="636">
        <f t="shared" si="11"/>
        <v>817</v>
      </c>
      <c r="AY23" s="769">
        <v>230710</v>
      </c>
      <c r="AZ23" s="636">
        <f t="shared" si="47"/>
        <v>11</v>
      </c>
      <c r="BA23" s="768">
        <v>20420553</v>
      </c>
      <c r="BB23" s="636">
        <f t="shared" si="13"/>
        <v>5451</v>
      </c>
      <c r="BC23" s="768">
        <v>621463</v>
      </c>
      <c r="BD23" s="636">
        <f t="shared" si="13"/>
        <v>239</v>
      </c>
      <c r="BE23" s="768">
        <v>40590</v>
      </c>
      <c r="BF23" s="636">
        <f t="shared" si="13"/>
        <v>55</v>
      </c>
      <c r="BG23" s="769">
        <v>25632452</v>
      </c>
      <c r="BH23" s="636">
        <f t="shared" si="24"/>
        <v>6185</v>
      </c>
      <c r="BI23" s="636">
        <f t="shared" si="25"/>
        <v>13424.075000000001</v>
      </c>
      <c r="BJ23" s="636">
        <f t="shared" si="26"/>
        <v>25751.875</v>
      </c>
      <c r="BK23" s="769">
        <v>1477889</v>
      </c>
      <c r="BL23" s="636">
        <f t="shared" si="14"/>
        <v>275</v>
      </c>
      <c r="BM23" s="768">
        <v>4212493</v>
      </c>
      <c r="BN23" s="636">
        <f t="shared" si="15"/>
        <v>1365</v>
      </c>
      <c r="BO23" s="768">
        <v>441142</v>
      </c>
      <c r="BP23" s="636">
        <f t="shared" si="16"/>
        <v>55</v>
      </c>
      <c r="BQ23" s="769">
        <v>552027</v>
      </c>
      <c r="BR23" s="636">
        <f t="shared" si="41"/>
        <v>157</v>
      </c>
      <c r="BS23" s="692">
        <f t="shared" si="27"/>
        <v>31695.875000000004</v>
      </c>
      <c r="BT23" s="693">
        <v>212</v>
      </c>
      <c r="BU23" s="692">
        <f t="shared" si="50"/>
        <v>149.50884433962267</v>
      </c>
      <c r="BV23" s="693"/>
      <c r="BW23" s="692" t="e">
        <f t="shared" si="29"/>
        <v>#DIV/0!</v>
      </c>
      <c r="BX23" s="692">
        <f t="shared" si="34"/>
        <v>36774.256249999999</v>
      </c>
      <c r="BY23" s="692">
        <f t="shared" si="48"/>
        <v>173.46347287735847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25304911</v>
      </c>
      <c r="J24" s="636">
        <f t="shared" si="51"/>
        <v>5760</v>
      </c>
      <c r="K24" s="636">
        <f t="shared" si="19"/>
        <v>3883</v>
      </c>
      <c r="L24" s="769">
        <v>131857</v>
      </c>
      <c r="M24" s="636">
        <f t="shared" si="40"/>
        <v>1921</v>
      </c>
      <c r="N24" s="769">
        <v>169385</v>
      </c>
      <c r="O24" s="636">
        <f t="shared" si="39"/>
        <v>1962</v>
      </c>
      <c r="P24" s="769">
        <v>225847</v>
      </c>
      <c r="Q24" s="636">
        <f>IF(P24&gt;=P23,P24-P23,0)*30</f>
        <v>750</v>
      </c>
      <c r="R24" s="768">
        <v>215885</v>
      </c>
      <c r="S24" s="636">
        <f t="shared" si="49"/>
        <v>143</v>
      </c>
      <c r="T24" s="768">
        <v>393992</v>
      </c>
      <c r="U24" s="636">
        <f t="shared" si="1"/>
        <v>261</v>
      </c>
      <c r="V24" s="768">
        <v>452755</v>
      </c>
      <c r="W24" s="636">
        <f t="shared" si="52"/>
        <v>1431.53</v>
      </c>
      <c r="X24" s="769">
        <v>654723</v>
      </c>
      <c r="Y24" s="636">
        <f t="shared" si="3"/>
        <v>2876.31</v>
      </c>
      <c r="Z24" s="769">
        <v>684478</v>
      </c>
      <c r="AA24" s="636">
        <f t="shared" si="4"/>
        <v>1499.9</v>
      </c>
      <c r="AB24" s="768">
        <v>16643</v>
      </c>
      <c r="AC24" s="636">
        <f t="shared" si="33"/>
        <v>2388.71</v>
      </c>
      <c r="AD24" s="768">
        <v>841747</v>
      </c>
      <c r="AE24" s="636">
        <f t="shared" si="20"/>
        <v>11.66</v>
      </c>
      <c r="AF24" s="768">
        <v>975411</v>
      </c>
      <c r="AG24" s="636">
        <f t="shared" si="42"/>
        <v>648.19000000000005</v>
      </c>
      <c r="AH24" s="769">
        <v>337284</v>
      </c>
      <c r="AI24" s="636">
        <f t="shared" si="6"/>
        <v>809.31000000000006</v>
      </c>
      <c r="AJ24" s="769">
        <v>101353</v>
      </c>
      <c r="AK24" s="636">
        <f t="shared" si="45"/>
        <v>4079.94</v>
      </c>
      <c r="AL24" s="768">
        <v>552032</v>
      </c>
      <c r="AM24" s="636">
        <f t="shared" si="8"/>
        <v>111.30000000000001</v>
      </c>
      <c r="AN24" s="636">
        <f t="shared" si="21"/>
        <v>13856.85</v>
      </c>
      <c r="AO24" s="768">
        <v>8020010</v>
      </c>
      <c r="AP24" s="636">
        <f t="shared" si="22"/>
        <v>268.08750000000003</v>
      </c>
      <c r="AQ24" s="769">
        <v>735714</v>
      </c>
      <c r="AR24" s="636">
        <f t="shared" si="9"/>
        <v>152</v>
      </c>
      <c r="AS24" s="769">
        <v>2263</v>
      </c>
      <c r="AT24" s="636">
        <f t="shared" si="23"/>
        <v>176</v>
      </c>
      <c r="AU24" s="768">
        <v>822427</v>
      </c>
      <c r="AV24" s="636">
        <f t="shared" si="10"/>
        <v>58</v>
      </c>
      <c r="AW24" s="768">
        <v>2817654</v>
      </c>
      <c r="AX24" s="636">
        <f t="shared" si="11"/>
        <v>850</v>
      </c>
      <c r="AY24" s="769">
        <v>230722</v>
      </c>
      <c r="AZ24" s="636">
        <f t="shared" si="47"/>
        <v>12</v>
      </c>
      <c r="BA24" s="768">
        <v>20425776</v>
      </c>
      <c r="BB24" s="636">
        <f t="shared" si="13"/>
        <v>5223</v>
      </c>
      <c r="BC24" s="768">
        <v>621736</v>
      </c>
      <c r="BD24" s="636">
        <f t="shared" si="13"/>
        <v>273</v>
      </c>
      <c r="BE24" s="768">
        <v>40645</v>
      </c>
      <c r="BF24" s="636">
        <f t="shared" si="13"/>
        <v>55</v>
      </c>
      <c r="BG24" s="769">
        <v>25639784</v>
      </c>
      <c r="BH24" s="636">
        <f t="shared" si="24"/>
        <v>6495.45</v>
      </c>
      <c r="BI24" s="636">
        <f t="shared" si="25"/>
        <v>13562.537499999999</v>
      </c>
      <c r="BJ24" s="636">
        <f t="shared" si="26"/>
        <v>27419.387499999997</v>
      </c>
      <c r="BK24" s="769">
        <v>1478175</v>
      </c>
      <c r="BL24" s="636">
        <f t="shared" si="14"/>
        <v>286</v>
      </c>
      <c r="BM24" s="769">
        <v>4213939</v>
      </c>
      <c r="BN24" s="636">
        <f t="shared" si="15"/>
        <v>1446</v>
      </c>
      <c r="BO24" s="768">
        <v>441255</v>
      </c>
      <c r="BP24" s="636">
        <f t="shared" si="16"/>
        <v>113</v>
      </c>
      <c r="BQ24" s="769">
        <v>552162</v>
      </c>
      <c r="BR24" s="636">
        <f t="shared" si="41"/>
        <v>135</v>
      </c>
      <c r="BS24" s="692">
        <f t="shared" si="27"/>
        <v>33929.387499999997</v>
      </c>
      <c r="BT24" s="693">
        <v>179</v>
      </c>
      <c r="BU24" s="692">
        <f t="shared" si="50"/>
        <v>189.54965083798882</v>
      </c>
      <c r="BV24" s="693"/>
      <c r="BW24" s="692" t="e">
        <f t="shared" si="29"/>
        <v>#DIV/0!</v>
      </c>
      <c r="BX24" s="692">
        <f t="shared" si="34"/>
        <v>39356.295624999992</v>
      </c>
      <c r="BY24" s="692">
        <f t="shared" si="48"/>
        <v>219.86757332402229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25310253</v>
      </c>
      <c r="J25" s="636">
        <f t="shared" si="51"/>
        <v>5342</v>
      </c>
      <c r="K25" s="636">
        <f t="shared" si="19"/>
        <v>3901</v>
      </c>
      <c r="L25" s="769">
        <v>133838</v>
      </c>
      <c r="M25" s="636">
        <f t="shared" si="40"/>
        <v>1981</v>
      </c>
      <c r="N25" s="769">
        <v>171305</v>
      </c>
      <c r="O25" s="636">
        <f t="shared" si="39"/>
        <v>1920</v>
      </c>
      <c r="P25" s="769">
        <v>225873</v>
      </c>
      <c r="Q25" s="636">
        <f t="shared" si="46"/>
        <v>780</v>
      </c>
      <c r="R25" s="768">
        <v>216029</v>
      </c>
      <c r="S25" s="636">
        <f t="shared" si="49"/>
        <v>144</v>
      </c>
      <c r="T25" s="768">
        <v>394247</v>
      </c>
      <c r="U25" s="636">
        <f t="shared" si="1"/>
        <v>255</v>
      </c>
      <c r="V25" s="768">
        <v>452755</v>
      </c>
      <c r="W25" s="636">
        <f t="shared" si="52"/>
        <v>0</v>
      </c>
      <c r="X25" s="769">
        <v>662574</v>
      </c>
      <c r="Y25" s="636">
        <f t="shared" si="3"/>
        <v>4161.0300000000007</v>
      </c>
      <c r="Z25" s="772">
        <v>684478</v>
      </c>
      <c r="AA25" s="636">
        <f t="shared" si="4"/>
        <v>0</v>
      </c>
      <c r="AB25" s="768">
        <v>23645</v>
      </c>
      <c r="AC25" s="636">
        <f t="shared" si="33"/>
        <v>3711.0600000000004</v>
      </c>
      <c r="AD25" s="768">
        <v>841769</v>
      </c>
      <c r="AE25" s="636">
        <f t="shared" si="20"/>
        <v>11.66</v>
      </c>
      <c r="AF25" s="768">
        <v>975953</v>
      </c>
      <c r="AG25" s="636">
        <f t="shared" si="42"/>
        <v>287.26</v>
      </c>
      <c r="AH25" s="769">
        <v>339088</v>
      </c>
      <c r="AI25" s="636">
        <f t="shared" si="6"/>
        <v>956.12</v>
      </c>
      <c r="AJ25" s="769">
        <v>108874</v>
      </c>
      <c r="AK25" s="636">
        <f t="shared" si="45"/>
        <v>3986.13</v>
      </c>
      <c r="AL25" s="768">
        <v>552257</v>
      </c>
      <c r="AM25" s="636">
        <f t="shared" si="8"/>
        <v>119.25</v>
      </c>
      <c r="AN25" s="636">
        <f t="shared" si="21"/>
        <v>13232.510000000002</v>
      </c>
      <c r="AO25" s="768">
        <v>8022552</v>
      </c>
      <c r="AP25" s="636">
        <f t="shared" si="22"/>
        <v>285.97500000000002</v>
      </c>
      <c r="AQ25" s="768">
        <v>735895</v>
      </c>
      <c r="AR25" s="636">
        <f>IF(AQ25&gt;=AQ24,AQ25-AQ24,0)</f>
        <v>181</v>
      </c>
      <c r="AS25" s="769">
        <v>2448</v>
      </c>
      <c r="AT25" s="636">
        <f t="shared" si="23"/>
        <v>185</v>
      </c>
      <c r="AU25" s="768">
        <v>822493</v>
      </c>
      <c r="AV25" s="636">
        <f t="shared" si="10"/>
        <v>66</v>
      </c>
      <c r="AW25" s="769">
        <v>2818515</v>
      </c>
      <c r="AX25" s="636">
        <f t="shared" si="11"/>
        <v>861</v>
      </c>
      <c r="AY25" s="769">
        <v>230733</v>
      </c>
      <c r="AZ25" s="636">
        <f t="shared" si="47"/>
        <v>11</v>
      </c>
      <c r="BA25" s="768">
        <v>20431088</v>
      </c>
      <c r="BB25" s="636">
        <f t="shared" si="13"/>
        <v>5312</v>
      </c>
      <c r="BC25" s="768">
        <v>622021</v>
      </c>
      <c r="BD25" s="636">
        <f t="shared" si="13"/>
        <v>285</v>
      </c>
      <c r="BE25" s="768">
        <v>40702</v>
      </c>
      <c r="BF25" s="636">
        <f t="shared" si="13"/>
        <v>57</v>
      </c>
      <c r="BG25" s="769">
        <v>25647119</v>
      </c>
      <c r="BH25" s="636">
        <f t="shared" si="24"/>
        <v>6525.7999999999993</v>
      </c>
      <c r="BI25" s="636">
        <f t="shared" si="25"/>
        <v>13769.775</v>
      </c>
      <c r="BJ25" s="636">
        <f t="shared" si="26"/>
        <v>27002.285000000003</v>
      </c>
      <c r="BK25" s="769">
        <v>1478390</v>
      </c>
      <c r="BL25" s="636">
        <f t="shared" si="14"/>
        <v>215</v>
      </c>
      <c r="BM25" s="769">
        <v>4215347</v>
      </c>
      <c r="BN25" s="636">
        <f t="shared" si="15"/>
        <v>1408</v>
      </c>
      <c r="BO25" s="707">
        <v>441363</v>
      </c>
      <c r="BP25" s="636">
        <f t="shared" si="16"/>
        <v>108</v>
      </c>
      <c r="BQ25" s="768">
        <v>552289</v>
      </c>
      <c r="BR25" s="636">
        <f t="shared" si="41"/>
        <v>127</v>
      </c>
      <c r="BS25" s="692">
        <f t="shared" si="27"/>
        <v>33124.285000000003</v>
      </c>
      <c r="BT25" s="693">
        <v>213</v>
      </c>
      <c r="BU25" s="692">
        <f t="shared" si="50"/>
        <v>155.5130751173709</v>
      </c>
      <c r="BV25" s="693"/>
      <c r="BW25" s="692" t="e">
        <f t="shared" si="29"/>
        <v>#DIV/0!</v>
      </c>
      <c r="BX25" s="692">
        <f t="shared" si="34"/>
        <v>38443.927750000003</v>
      </c>
      <c r="BY25" s="692">
        <f t="shared" si="48"/>
        <v>180.48792370892019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25315839</v>
      </c>
      <c r="J26" s="636">
        <f t="shared" si="51"/>
        <v>5586</v>
      </c>
      <c r="K26" s="636">
        <f t="shared" si="19"/>
        <v>3857</v>
      </c>
      <c r="L26" s="769">
        <v>135800</v>
      </c>
      <c r="M26" s="636">
        <f t="shared" si="40"/>
        <v>1962</v>
      </c>
      <c r="N26" s="769">
        <v>173200</v>
      </c>
      <c r="O26" s="636">
        <f t="shared" si="39"/>
        <v>1895</v>
      </c>
      <c r="P26" s="769">
        <v>225897</v>
      </c>
      <c r="Q26" s="636">
        <f t="shared" si="46"/>
        <v>720</v>
      </c>
      <c r="R26" s="768">
        <v>216162</v>
      </c>
      <c r="S26" s="636">
        <f t="shared" si="49"/>
        <v>133</v>
      </c>
      <c r="T26" s="768">
        <v>394481</v>
      </c>
      <c r="U26" s="636">
        <f t="shared" si="1"/>
        <v>234</v>
      </c>
      <c r="V26" s="768">
        <v>452755</v>
      </c>
      <c r="W26" s="636">
        <f t="shared" si="52"/>
        <v>0</v>
      </c>
      <c r="X26" s="769">
        <v>669896</v>
      </c>
      <c r="Y26" s="636">
        <f t="shared" si="3"/>
        <v>3880.6600000000003</v>
      </c>
      <c r="Z26" s="768">
        <v>684478</v>
      </c>
      <c r="AA26" s="636">
        <f t="shared" si="4"/>
        <v>0</v>
      </c>
      <c r="AB26" s="768">
        <v>29632</v>
      </c>
      <c r="AC26" s="636">
        <f t="shared" si="33"/>
        <v>3173.11</v>
      </c>
      <c r="AD26" s="768">
        <v>841792</v>
      </c>
      <c r="AE26" s="636">
        <f t="shared" si="20"/>
        <v>12.190000000000001</v>
      </c>
      <c r="AF26" s="768">
        <v>976023</v>
      </c>
      <c r="AG26" s="636">
        <f t="shared" si="42"/>
        <v>37.1</v>
      </c>
      <c r="AH26" s="768">
        <v>340614</v>
      </c>
      <c r="AI26" s="636">
        <f t="shared" si="6"/>
        <v>808.78000000000009</v>
      </c>
      <c r="AJ26" s="768">
        <v>115606</v>
      </c>
      <c r="AK26" s="636">
        <f t="shared" si="45"/>
        <v>3567.96</v>
      </c>
      <c r="AL26" s="768">
        <v>552463</v>
      </c>
      <c r="AM26" s="636">
        <f t="shared" si="8"/>
        <v>109.18</v>
      </c>
      <c r="AN26" s="636">
        <f t="shared" si="21"/>
        <v>11588.98</v>
      </c>
      <c r="AO26" s="768">
        <v>8024958</v>
      </c>
      <c r="AP26" s="636">
        <f t="shared" si="22"/>
        <v>270.67500000000001</v>
      </c>
      <c r="AQ26" s="769">
        <v>736048</v>
      </c>
      <c r="AR26" s="636">
        <f>IF(AQ26&gt;=AQ25,AQ26-AQ25,0)</f>
        <v>153</v>
      </c>
      <c r="AS26" s="769">
        <v>2618</v>
      </c>
      <c r="AT26" s="636">
        <f t="shared" si="23"/>
        <v>170</v>
      </c>
      <c r="AU26" s="768">
        <v>822546</v>
      </c>
      <c r="AV26" s="636">
        <f t="shared" si="10"/>
        <v>53</v>
      </c>
      <c r="AW26" s="768">
        <v>2819332</v>
      </c>
      <c r="AX26" s="636">
        <f t="shared" si="11"/>
        <v>817</v>
      </c>
      <c r="AY26" s="769">
        <v>230744</v>
      </c>
      <c r="AZ26" s="636">
        <f t="shared" si="47"/>
        <v>11</v>
      </c>
      <c r="BA26" s="768">
        <v>20436110</v>
      </c>
      <c r="BB26" s="636">
        <f t="shared" si="13"/>
        <v>5022</v>
      </c>
      <c r="BC26" s="768">
        <v>622299</v>
      </c>
      <c r="BD26" s="636">
        <f t="shared" si="13"/>
        <v>278</v>
      </c>
      <c r="BE26" s="768">
        <v>40756</v>
      </c>
      <c r="BF26" s="636">
        <f t="shared" si="13"/>
        <v>54</v>
      </c>
      <c r="BG26" s="769">
        <v>25654188</v>
      </c>
      <c r="BH26" s="636">
        <f t="shared" si="24"/>
        <v>6269.1500000000005</v>
      </c>
      <c r="BI26" s="636">
        <f t="shared" si="25"/>
        <v>13097.825000000001</v>
      </c>
      <c r="BJ26" s="636">
        <f t="shared" si="26"/>
        <v>24686.805</v>
      </c>
      <c r="BK26" s="769">
        <v>1478664</v>
      </c>
      <c r="BL26" s="636">
        <f t="shared" si="14"/>
        <v>274</v>
      </c>
      <c r="BM26" s="768">
        <v>4216738</v>
      </c>
      <c r="BN26" s="636">
        <f t="shared" si="15"/>
        <v>1391</v>
      </c>
      <c r="BO26" s="768">
        <v>441465</v>
      </c>
      <c r="BP26" s="636">
        <f t="shared" si="16"/>
        <v>102</v>
      </c>
      <c r="BQ26" s="768">
        <v>552417</v>
      </c>
      <c r="BR26" s="636">
        <f t="shared" si="41"/>
        <v>128</v>
      </c>
      <c r="BS26" s="692">
        <f t="shared" si="27"/>
        <v>30992.805</v>
      </c>
      <c r="BT26" s="693">
        <v>247</v>
      </c>
      <c r="BU26" s="692">
        <f t="shared" si="50"/>
        <v>125.47694331983806</v>
      </c>
      <c r="BV26" s="693"/>
      <c r="BW26" s="692" t="e">
        <f t="shared" si="29"/>
        <v>#DIV/0!</v>
      </c>
      <c r="BX26" s="692">
        <f t="shared" si="34"/>
        <v>35965.725749999998</v>
      </c>
      <c r="BY26" s="692">
        <f t="shared" si="48"/>
        <v>145.61022570850201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25322767</v>
      </c>
      <c r="J27" s="636">
        <f t="shared" si="51"/>
        <v>6928</v>
      </c>
      <c r="K27" s="636">
        <f t="shared" si="19"/>
        <v>5294</v>
      </c>
      <c r="L27" s="769">
        <v>138244</v>
      </c>
      <c r="M27" s="636">
        <f t="shared" si="40"/>
        <v>2444</v>
      </c>
      <c r="N27" s="769">
        <v>176050</v>
      </c>
      <c r="O27" s="636">
        <f t="shared" si="39"/>
        <v>2850</v>
      </c>
      <c r="P27" s="769">
        <v>225919</v>
      </c>
      <c r="Q27" s="636">
        <f>IF(P27&gt;=P26,P27-P26,0)*30</f>
        <v>660</v>
      </c>
      <c r="R27" s="768">
        <v>216319</v>
      </c>
      <c r="S27" s="636">
        <f>IF(R27&gt;=R26,R27-R26,0)</f>
        <v>157</v>
      </c>
      <c r="T27" s="768">
        <v>394767</v>
      </c>
      <c r="U27" s="636">
        <f t="shared" si="1"/>
        <v>286</v>
      </c>
      <c r="V27" s="768">
        <v>452755</v>
      </c>
      <c r="W27" s="636">
        <f t="shared" si="52"/>
        <v>0</v>
      </c>
      <c r="X27" s="769">
        <v>677218</v>
      </c>
      <c r="Y27" s="636">
        <f t="shared" si="3"/>
        <v>3880.6600000000003</v>
      </c>
      <c r="Z27" s="768">
        <v>684478</v>
      </c>
      <c r="AA27" s="636">
        <f t="shared" si="4"/>
        <v>0</v>
      </c>
      <c r="AB27" s="768">
        <v>37508</v>
      </c>
      <c r="AC27" s="636">
        <f t="shared" si="33"/>
        <v>4174.2800000000007</v>
      </c>
      <c r="AD27" s="768">
        <v>841820</v>
      </c>
      <c r="AE27" s="636">
        <f t="shared" si="20"/>
        <v>14.84</v>
      </c>
      <c r="AF27" s="768">
        <v>976053</v>
      </c>
      <c r="AG27" s="636">
        <f t="shared" si="42"/>
        <v>15.9</v>
      </c>
      <c r="AH27" s="769">
        <v>342140</v>
      </c>
      <c r="AI27" s="636">
        <f t="shared" si="6"/>
        <v>808.78000000000009</v>
      </c>
      <c r="AJ27" s="768">
        <v>123948</v>
      </c>
      <c r="AK27" s="636">
        <f t="shared" si="45"/>
        <v>4421.26</v>
      </c>
      <c r="AL27" s="768">
        <v>552723</v>
      </c>
      <c r="AM27" s="636">
        <f t="shared" si="8"/>
        <v>137.80000000000001</v>
      </c>
      <c r="AN27" s="636">
        <f t="shared" si="21"/>
        <v>13453.52</v>
      </c>
      <c r="AO27" s="768">
        <v>8027655</v>
      </c>
      <c r="AP27" s="636">
        <f t="shared" si="22"/>
        <v>303.41250000000002</v>
      </c>
      <c r="AQ27" s="768">
        <v>736251</v>
      </c>
      <c r="AR27" s="636">
        <f>IF(AQ27&gt;=AQ26,AQ27-AQ26,0)</f>
        <v>203</v>
      </c>
      <c r="AS27" s="769">
        <v>2797</v>
      </c>
      <c r="AT27" s="636">
        <f t="shared" si="23"/>
        <v>179</v>
      </c>
      <c r="AU27" s="768">
        <v>822607</v>
      </c>
      <c r="AV27" s="636">
        <f t="shared" si="10"/>
        <v>61</v>
      </c>
      <c r="AW27" s="768">
        <v>2820332</v>
      </c>
      <c r="AX27" s="636">
        <f t="shared" si="11"/>
        <v>1000</v>
      </c>
      <c r="AY27" s="769">
        <v>230755</v>
      </c>
      <c r="AZ27" s="636">
        <f t="shared" si="47"/>
        <v>11</v>
      </c>
      <c r="BA27" s="768">
        <v>20442392</v>
      </c>
      <c r="BB27" s="636">
        <f t="shared" si="13"/>
        <v>6282</v>
      </c>
      <c r="BC27" s="768">
        <v>622577</v>
      </c>
      <c r="BD27" s="636">
        <f t="shared" si="13"/>
        <v>278</v>
      </c>
      <c r="BE27" s="768">
        <v>40812</v>
      </c>
      <c r="BF27" s="636">
        <f t="shared" si="13"/>
        <v>56</v>
      </c>
      <c r="BG27" s="769">
        <v>25661257</v>
      </c>
      <c r="BH27" s="636">
        <f t="shared" si="24"/>
        <v>6183.6500000000005</v>
      </c>
      <c r="BI27" s="636">
        <f t="shared" si="25"/>
        <v>14557.0625</v>
      </c>
      <c r="BJ27" s="636">
        <f t="shared" si="26"/>
        <v>28010.5825</v>
      </c>
      <c r="BK27" s="769">
        <v>1478998</v>
      </c>
      <c r="BL27" s="636">
        <f t="shared" si="14"/>
        <v>334</v>
      </c>
      <c r="BM27" s="768">
        <v>4218244</v>
      </c>
      <c r="BN27" s="636">
        <f t="shared" si="15"/>
        <v>1506</v>
      </c>
      <c r="BO27" s="768">
        <v>441582</v>
      </c>
      <c r="BP27" s="636">
        <f t="shared" si="16"/>
        <v>117</v>
      </c>
      <c r="BQ27" s="769">
        <v>552572</v>
      </c>
      <c r="BR27" s="636">
        <f t="shared" si="41"/>
        <v>155</v>
      </c>
      <c r="BS27" s="692">
        <f t="shared" si="27"/>
        <v>35598.582500000004</v>
      </c>
      <c r="BT27" s="693">
        <v>238</v>
      </c>
      <c r="BU27" s="692">
        <f t="shared" si="50"/>
        <v>149.57387605042018</v>
      </c>
      <c r="BV27" s="693"/>
      <c r="BW27" s="692" t="e">
        <f t="shared" si="29"/>
        <v>#DIV/0!</v>
      </c>
      <c r="BX27" s="692">
        <f t="shared" si="34"/>
        <v>41235.369875000004</v>
      </c>
      <c r="BY27" s="692">
        <f t="shared" si="48"/>
        <v>173.25785661764706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25327551</v>
      </c>
      <c r="J28" s="636">
        <f t="shared" si="51"/>
        <v>4784</v>
      </c>
      <c r="K28" s="636">
        <f t="shared" si="19"/>
        <v>3275</v>
      </c>
      <c r="L28" s="769">
        <v>139785</v>
      </c>
      <c r="M28" s="636">
        <f t="shared" si="40"/>
        <v>1541</v>
      </c>
      <c r="N28" s="769">
        <v>177784</v>
      </c>
      <c r="O28" s="636">
        <f t="shared" si="0"/>
        <v>1734</v>
      </c>
      <c r="P28" s="769">
        <v>225941</v>
      </c>
      <c r="Q28" s="636">
        <f t="shared" si="46"/>
        <v>660</v>
      </c>
      <c r="R28" s="768">
        <v>216442</v>
      </c>
      <c r="S28" s="636">
        <f>IF(R28&gt;=R27,R28-R27,0)</f>
        <v>123</v>
      </c>
      <c r="T28" s="768">
        <v>394995</v>
      </c>
      <c r="U28" s="636">
        <f>IF(T28&gt;=T27,T28-T27,0)</f>
        <v>228</v>
      </c>
      <c r="V28" s="768">
        <v>452755</v>
      </c>
      <c r="W28" s="636">
        <f t="shared" si="52"/>
        <v>0</v>
      </c>
      <c r="X28" s="769">
        <v>685049</v>
      </c>
      <c r="Y28" s="636">
        <f t="shared" si="3"/>
        <v>4150.43</v>
      </c>
      <c r="Z28" s="768">
        <v>684478</v>
      </c>
      <c r="AA28" s="636">
        <f t="shared" si="4"/>
        <v>0</v>
      </c>
      <c r="AB28" s="768">
        <v>42919</v>
      </c>
      <c r="AC28" s="636">
        <f t="shared" si="33"/>
        <v>2867.83</v>
      </c>
      <c r="AD28" s="768">
        <v>841841</v>
      </c>
      <c r="AE28" s="636">
        <f t="shared" si="20"/>
        <v>11.13</v>
      </c>
      <c r="AF28" s="768">
        <v>976694</v>
      </c>
      <c r="AG28" s="636">
        <f t="shared" si="42"/>
        <v>339.73</v>
      </c>
      <c r="AH28" s="769">
        <v>343896</v>
      </c>
      <c r="AI28" s="636">
        <f t="shared" si="6"/>
        <v>930.68000000000006</v>
      </c>
      <c r="AJ28" s="769">
        <v>129445</v>
      </c>
      <c r="AK28" s="636">
        <f t="shared" si="45"/>
        <v>2913.4100000000003</v>
      </c>
      <c r="AL28" s="768">
        <v>552881</v>
      </c>
      <c r="AM28" s="636">
        <f t="shared" si="8"/>
        <v>83.740000000000009</v>
      </c>
      <c r="AN28" s="636">
        <f t="shared" si="21"/>
        <v>11296.95</v>
      </c>
      <c r="AO28" s="768">
        <v>8030219</v>
      </c>
      <c r="AP28" s="636">
        <f t="shared" si="22"/>
        <v>288.45</v>
      </c>
      <c r="AQ28" s="768">
        <v>736408</v>
      </c>
      <c r="AR28" s="636">
        <f>IF(AQ28&gt;=AQ27,AQ28-AQ27,0)</f>
        <v>157</v>
      </c>
      <c r="AS28" s="769">
        <v>2980</v>
      </c>
      <c r="AT28" s="636">
        <f t="shared" si="23"/>
        <v>183</v>
      </c>
      <c r="AU28" s="768">
        <v>822644</v>
      </c>
      <c r="AV28" s="636">
        <f t="shared" si="10"/>
        <v>37</v>
      </c>
      <c r="AW28" s="768">
        <v>2821022</v>
      </c>
      <c r="AX28" s="636">
        <f t="shared" si="11"/>
        <v>690</v>
      </c>
      <c r="AY28" s="768">
        <v>230766</v>
      </c>
      <c r="AZ28" s="636">
        <f t="shared" si="47"/>
        <v>11</v>
      </c>
      <c r="BA28" s="768">
        <v>20447545</v>
      </c>
      <c r="BB28" s="636">
        <f t="shared" si="13"/>
        <v>5153</v>
      </c>
      <c r="BC28" s="768">
        <v>622872</v>
      </c>
      <c r="BD28" s="636">
        <f t="shared" si="13"/>
        <v>295</v>
      </c>
      <c r="BE28" s="768">
        <v>40867.5</v>
      </c>
      <c r="BF28" s="636">
        <f t="shared" si="13"/>
        <v>55.5</v>
      </c>
      <c r="BG28" s="769">
        <v>25668459</v>
      </c>
      <c r="BH28" s="636">
        <f t="shared" si="24"/>
        <v>6230.7</v>
      </c>
      <c r="BI28" s="636">
        <f t="shared" si="25"/>
        <v>13100.65</v>
      </c>
      <c r="BJ28" s="636">
        <f t="shared" si="26"/>
        <v>24397.599999999999</v>
      </c>
      <c r="BK28" s="769">
        <v>1479298</v>
      </c>
      <c r="BL28" s="636">
        <f t="shared" si="14"/>
        <v>300</v>
      </c>
      <c r="BM28" s="768">
        <v>4219895</v>
      </c>
      <c r="BN28" s="636">
        <f t="shared" si="15"/>
        <v>1651</v>
      </c>
      <c r="BO28" s="768">
        <v>441705</v>
      </c>
      <c r="BP28" s="636">
        <f t="shared" si="16"/>
        <v>123</v>
      </c>
      <c r="BQ28" s="768">
        <v>552745</v>
      </c>
      <c r="BR28" s="636">
        <f t="shared" si="41"/>
        <v>173</v>
      </c>
      <c r="BS28" s="692">
        <f t="shared" si="27"/>
        <v>29841.599999999999</v>
      </c>
      <c r="BT28" s="693">
        <v>249</v>
      </c>
      <c r="BU28" s="692">
        <f t="shared" si="50"/>
        <v>119.84578313253012</v>
      </c>
      <c r="BV28" s="693"/>
      <c r="BW28" s="692" t="e">
        <f t="shared" si="29"/>
        <v>#DIV/0!</v>
      </c>
      <c r="BX28" s="692">
        <f t="shared" si="34"/>
        <v>34614.839999999997</v>
      </c>
      <c r="BY28" s="692">
        <f t="shared" si="48"/>
        <v>139.01542168674698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25331078</v>
      </c>
      <c r="J29" s="636">
        <f t="shared" si="51"/>
        <v>3527</v>
      </c>
      <c r="K29" s="636">
        <f t="shared" si="19"/>
        <v>4324</v>
      </c>
      <c r="L29" s="769">
        <v>141823</v>
      </c>
      <c r="M29" s="636">
        <f t="shared" ref="M29:M36" si="53">IF(L29&gt;=L28,L29-L28,0)</f>
        <v>2038</v>
      </c>
      <c r="N29" s="769">
        <v>180070</v>
      </c>
      <c r="O29" s="636">
        <f t="shared" si="0"/>
        <v>2286</v>
      </c>
      <c r="P29" s="769">
        <v>225959</v>
      </c>
      <c r="Q29" s="636">
        <f t="shared" si="46"/>
        <v>540</v>
      </c>
      <c r="R29" s="768">
        <v>216585</v>
      </c>
      <c r="S29" s="636">
        <f>IF(R29&gt;=R28,R29-R28,0)</f>
        <v>143</v>
      </c>
      <c r="T29" s="768">
        <v>395268</v>
      </c>
      <c r="U29" s="636">
        <f t="shared" ref="U29:U36" si="54">IF(T29&gt;=T28,T29-T28,0)</f>
        <v>273</v>
      </c>
      <c r="V29" s="768">
        <v>452755</v>
      </c>
      <c r="W29" s="636">
        <f t="shared" si="2"/>
        <v>0</v>
      </c>
      <c r="X29" s="769">
        <v>692691</v>
      </c>
      <c r="Y29" s="636">
        <f t="shared" si="3"/>
        <v>4050.26</v>
      </c>
      <c r="Z29" s="768">
        <v>684478</v>
      </c>
      <c r="AA29" s="636">
        <f t="shared" si="4"/>
        <v>0</v>
      </c>
      <c r="AB29" s="768">
        <v>49474</v>
      </c>
      <c r="AC29" s="636">
        <f t="shared" si="33"/>
        <v>3474.15</v>
      </c>
      <c r="AD29" s="768">
        <v>841857</v>
      </c>
      <c r="AE29" s="636">
        <f t="shared" si="20"/>
        <v>8.48</v>
      </c>
      <c r="AF29" s="768">
        <v>978891</v>
      </c>
      <c r="AG29" s="636">
        <f t="shared" si="42"/>
        <v>1164.4100000000001</v>
      </c>
      <c r="AH29" s="768">
        <v>345929</v>
      </c>
      <c r="AI29" s="636">
        <f t="shared" si="6"/>
        <v>1077.49</v>
      </c>
      <c r="AJ29" s="768">
        <v>136926</v>
      </c>
      <c r="AK29" s="636">
        <f t="shared" si="45"/>
        <v>3964.9300000000003</v>
      </c>
      <c r="AL29" s="768">
        <v>553090</v>
      </c>
      <c r="AM29" s="636">
        <f t="shared" si="8"/>
        <v>110.77000000000001</v>
      </c>
      <c r="AN29" s="636">
        <f t="shared" si="21"/>
        <v>13850.49</v>
      </c>
      <c r="AO29" s="768">
        <v>8032706</v>
      </c>
      <c r="AP29" s="636">
        <f t="shared" si="22"/>
        <v>279.78750000000002</v>
      </c>
      <c r="AQ29" s="768">
        <v>736581</v>
      </c>
      <c r="AR29" s="636">
        <f t="shared" si="9"/>
        <v>173</v>
      </c>
      <c r="AS29" s="768">
        <v>3137</v>
      </c>
      <c r="AT29" s="636">
        <f t="shared" si="23"/>
        <v>157</v>
      </c>
      <c r="AU29" s="768">
        <v>822695</v>
      </c>
      <c r="AV29" s="636">
        <f t="shared" si="10"/>
        <v>51</v>
      </c>
      <c r="AW29" s="768">
        <v>2821876</v>
      </c>
      <c r="AX29" s="636">
        <f t="shared" si="11"/>
        <v>854</v>
      </c>
      <c r="AY29" s="768">
        <v>230777</v>
      </c>
      <c r="AZ29" s="636">
        <f t="shared" si="47"/>
        <v>11</v>
      </c>
      <c r="BA29" s="768">
        <v>20451425</v>
      </c>
      <c r="BB29" s="636">
        <f t="shared" si="13"/>
        <v>3880</v>
      </c>
      <c r="BC29" s="768">
        <v>623041</v>
      </c>
      <c r="BD29" s="636">
        <f t="shared" si="13"/>
        <v>169</v>
      </c>
      <c r="BE29" s="768">
        <v>40872</v>
      </c>
      <c r="BF29" s="636">
        <f t="shared" si="13"/>
        <v>4.5</v>
      </c>
      <c r="BG29" s="769">
        <v>25676317</v>
      </c>
      <c r="BH29" s="636">
        <f t="shared" si="24"/>
        <v>7172.8</v>
      </c>
      <c r="BI29" s="636">
        <f t="shared" si="25"/>
        <v>12752.087500000001</v>
      </c>
      <c r="BJ29" s="636">
        <f t="shared" si="26"/>
        <v>26602.577499999999</v>
      </c>
      <c r="BK29" s="769">
        <v>1479514</v>
      </c>
      <c r="BL29" s="636">
        <f t="shared" si="14"/>
        <v>216</v>
      </c>
      <c r="BM29" s="768">
        <v>4221069</v>
      </c>
      <c r="BN29" s="636">
        <f t="shared" si="15"/>
        <v>1174</v>
      </c>
      <c r="BO29" s="807">
        <v>441787</v>
      </c>
      <c r="BP29" s="636">
        <f t="shared" si="16"/>
        <v>82</v>
      </c>
      <c r="BQ29" s="769">
        <v>552865</v>
      </c>
      <c r="BR29" s="636">
        <f t="shared" si="41"/>
        <v>120</v>
      </c>
      <c r="BS29" s="692">
        <f t="shared" si="27"/>
        <v>30669.577499999999</v>
      </c>
      <c r="BT29" s="693">
        <v>231</v>
      </c>
      <c r="BU29" s="692">
        <f t="shared" si="50"/>
        <v>132.76873376623377</v>
      </c>
      <c r="BV29" s="693"/>
      <c r="BW29" s="692" t="e">
        <f t="shared" si="29"/>
        <v>#DIV/0!</v>
      </c>
      <c r="BX29" s="692">
        <f t="shared" si="34"/>
        <v>35513.014124999994</v>
      </c>
      <c r="BY29" s="692">
        <f t="shared" si="48"/>
        <v>153.73599188311687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25335427</v>
      </c>
      <c r="J30" s="636">
        <f t="shared" si="51"/>
        <v>4349</v>
      </c>
      <c r="K30" s="636">
        <f t="shared" si="19"/>
        <v>4346</v>
      </c>
      <c r="L30" s="769">
        <v>143809</v>
      </c>
      <c r="M30" s="636">
        <f t="shared" si="53"/>
        <v>1986</v>
      </c>
      <c r="N30" s="769">
        <v>182430</v>
      </c>
      <c r="O30" s="636">
        <f t="shared" si="0"/>
        <v>2360</v>
      </c>
      <c r="P30" s="769">
        <v>225983</v>
      </c>
      <c r="Q30" s="636">
        <f t="shared" si="46"/>
        <v>720</v>
      </c>
      <c r="R30" s="768">
        <v>216723</v>
      </c>
      <c r="S30" s="636">
        <f>IF(R30&gt;=R29,R30-R29,0)</f>
        <v>138</v>
      </c>
      <c r="T30" s="768">
        <v>395537</v>
      </c>
      <c r="U30" s="636">
        <f t="shared" si="54"/>
        <v>269</v>
      </c>
      <c r="V30" s="768">
        <v>452755</v>
      </c>
      <c r="W30" s="636">
        <f>IF(V30&gt;=V29,V30-V29,0)*0.53</f>
        <v>0</v>
      </c>
      <c r="X30" s="769">
        <v>699795</v>
      </c>
      <c r="Y30" s="636">
        <f t="shared" si="3"/>
        <v>3765.1200000000003</v>
      </c>
      <c r="Z30" s="768">
        <v>684478</v>
      </c>
      <c r="AA30" s="636">
        <f t="shared" si="4"/>
        <v>0</v>
      </c>
      <c r="AB30" s="768">
        <v>56500</v>
      </c>
      <c r="AC30" s="636">
        <f t="shared" si="33"/>
        <v>3723.78</v>
      </c>
      <c r="AD30" s="768">
        <v>841879</v>
      </c>
      <c r="AE30" s="636">
        <f t="shared" si="20"/>
        <v>11.66</v>
      </c>
      <c r="AF30" s="768">
        <v>981746</v>
      </c>
      <c r="AG30" s="636">
        <f t="shared" si="42"/>
        <v>1513.15</v>
      </c>
      <c r="AH30" s="768">
        <v>347989</v>
      </c>
      <c r="AI30" s="636">
        <f t="shared" si="6"/>
        <v>1091.8</v>
      </c>
      <c r="AJ30" s="768">
        <v>144349</v>
      </c>
      <c r="AK30" s="636">
        <f t="shared" si="45"/>
        <v>3934.19</v>
      </c>
      <c r="AL30" s="768">
        <v>553290</v>
      </c>
      <c r="AM30" s="636">
        <f t="shared" si="8"/>
        <v>106</v>
      </c>
      <c r="AN30" s="636">
        <f t="shared" si="21"/>
        <v>14145.7</v>
      </c>
      <c r="AO30" s="707">
        <v>8035495</v>
      </c>
      <c r="AP30" s="636">
        <f t="shared" si="22"/>
        <v>313.76249999999999</v>
      </c>
      <c r="AQ30" s="769">
        <v>736748</v>
      </c>
      <c r="AR30" s="636">
        <f t="shared" si="9"/>
        <v>167</v>
      </c>
      <c r="AS30" s="768">
        <v>3344</v>
      </c>
      <c r="AT30" s="636">
        <f t="shared" si="23"/>
        <v>207</v>
      </c>
      <c r="AU30" s="768">
        <v>822764</v>
      </c>
      <c r="AV30" s="636">
        <f t="shared" si="10"/>
        <v>69</v>
      </c>
      <c r="AW30" s="768">
        <v>2822728</v>
      </c>
      <c r="AX30" s="636">
        <f t="shared" si="11"/>
        <v>852</v>
      </c>
      <c r="AY30" s="768">
        <v>230788</v>
      </c>
      <c r="AZ30" s="636">
        <f t="shared" si="47"/>
        <v>11</v>
      </c>
      <c r="BA30" s="768">
        <v>20456695</v>
      </c>
      <c r="BB30" s="636">
        <f t="shared" si="13"/>
        <v>5270</v>
      </c>
      <c r="BC30" s="768">
        <v>623289</v>
      </c>
      <c r="BD30" s="636">
        <f t="shared" si="13"/>
        <v>248</v>
      </c>
      <c r="BE30" s="768">
        <v>40927</v>
      </c>
      <c r="BF30" s="636">
        <f t="shared" si="13"/>
        <v>55</v>
      </c>
      <c r="BG30" s="769">
        <v>25683359</v>
      </c>
      <c r="BH30" s="636">
        <f t="shared" si="24"/>
        <v>6178.4</v>
      </c>
      <c r="BI30" s="636">
        <f t="shared" si="25"/>
        <v>13371.162499999999</v>
      </c>
      <c r="BJ30" s="636">
        <f t="shared" si="26"/>
        <v>27516.862499999999</v>
      </c>
      <c r="BK30" s="769">
        <v>1479795</v>
      </c>
      <c r="BL30" s="636">
        <f t="shared" si="14"/>
        <v>281</v>
      </c>
      <c r="BM30" s="768">
        <v>4222552</v>
      </c>
      <c r="BN30" s="805">
        <f t="shared" si="15"/>
        <v>1483</v>
      </c>
      <c r="BO30" s="803">
        <v>441892</v>
      </c>
      <c r="BP30" s="806">
        <f t="shared" si="16"/>
        <v>105</v>
      </c>
      <c r="BQ30" s="768">
        <v>553014</v>
      </c>
      <c r="BR30" s="636">
        <f t="shared" si="41"/>
        <v>149</v>
      </c>
      <c r="BS30" s="692">
        <f t="shared" si="27"/>
        <v>32585.862499999999</v>
      </c>
      <c r="BT30" s="693">
        <v>197</v>
      </c>
      <c r="BU30" s="692">
        <f t="shared" si="50"/>
        <v>165.4104695431472</v>
      </c>
      <c r="BV30" s="693"/>
      <c r="BW30" s="692" t="e">
        <f t="shared" si="29"/>
        <v>#DIV/0!</v>
      </c>
      <c r="BX30" s="692">
        <f t="shared" si="34"/>
        <v>37797.741875</v>
      </c>
      <c r="BY30" s="692">
        <f t="shared" si="48"/>
        <v>191.86671002538071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25339035</v>
      </c>
      <c r="J31" s="636">
        <f t="shared" si="51"/>
        <v>3608</v>
      </c>
      <c r="K31" s="636">
        <f t="shared" si="19"/>
        <v>4270</v>
      </c>
      <c r="L31" s="769">
        <v>145859</v>
      </c>
      <c r="M31" s="636">
        <f t="shared" si="53"/>
        <v>2050</v>
      </c>
      <c r="N31" s="769">
        <v>184650</v>
      </c>
      <c r="O31" s="636">
        <f t="shared" si="0"/>
        <v>2220</v>
      </c>
      <c r="P31" s="769">
        <v>226005</v>
      </c>
      <c r="Q31" s="636">
        <f t="shared" si="46"/>
        <v>660</v>
      </c>
      <c r="R31" s="768">
        <v>216864</v>
      </c>
      <c r="S31" s="636">
        <f t="shared" si="49"/>
        <v>141</v>
      </c>
      <c r="T31" s="768">
        <v>395798</v>
      </c>
      <c r="U31" s="636">
        <f t="shared" si="54"/>
        <v>261</v>
      </c>
      <c r="V31" s="768">
        <v>452755</v>
      </c>
      <c r="W31" s="636">
        <f>IF(V31&gt;=V30,V31-V30,0)*0.53</f>
        <v>0</v>
      </c>
      <c r="X31" s="769">
        <v>707755</v>
      </c>
      <c r="Y31" s="636">
        <f t="shared" si="3"/>
        <v>4218.8</v>
      </c>
      <c r="Z31" s="768">
        <v>684478</v>
      </c>
      <c r="AA31" s="636">
        <f t="shared" si="4"/>
        <v>0</v>
      </c>
      <c r="AB31" s="768">
        <v>63459</v>
      </c>
      <c r="AC31" s="636">
        <f t="shared" si="33"/>
        <v>3688.27</v>
      </c>
      <c r="AD31" s="768">
        <v>841903</v>
      </c>
      <c r="AE31" s="636">
        <f t="shared" si="20"/>
        <v>12.72</v>
      </c>
      <c r="AF31" s="768">
        <v>984572</v>
      </c>
      <c r="AG31" s="636">
        <f t="shared" si="42"/>
        <v>1497.78</v>
      </c>
      <c r="AH31" s="769">
        <v>350087</v>
      </c>
      <c r="AI31" s="636">
        <f t="shared" si="6"/>
        <v>1111.94</v>
      </c>
      <c r="AJ31" s="769">
        <v>151237</v>
      </c>
      <c r="AK31" s="636">
        <f t="shared" si="45"/>
        <v>3650.6400000000003</v>
      </c>
      <c r="AL31" s="768">
        <v>553513</v>
      </c>
      <c r="AM31" s="636">
        <f t="shared" si="8"/>
        <v>118.19000000000001</v>
      </c>
      <c r="AN31" s="636">
        <f t="shared" si="21"/>
        <v>14298.340000000002</v>
      </c>
      <c r="AO31" s="768">
        <v>8038284</v>
      </c>
      <c r="AP31" s="636">
        <f t="shared" si="22"/>
        <v>313.76249999999999</v>
      </c>
      <c r="AQ31" s="768">
        <v>736926</v>
      </c>
      <c r="AR31" s="636">
        <f t="shared" si="9"/>
        <v>178</v>
      </c>
      <c r="AS31" s="768">
        <v>3530</v>
      </c>
      <c r="AT31" s="636">
        <f t="shared" si="23"/>
        <v>186</v>
      </c>
      <c r="AU31" s="768">
        <v>822832</v>
      </c>
      <c r="AV31" s="636">
        <f t="shared" si="10"/>
        <v>68</v>
      </c>
      <c r="AW31" s="768">
        <v>2823614</v>
      </c>
      <c r="AX31" s="636">
        <f t="shared" si="11"/>
        <v>886</v>
      </c>
      <c r="AY31" s="769">
        <v>230799</v>
      </c>
      <c r="AZ31" s="636">
        <f t="shared" si="47"/>
        <v>11</v>
      </c>
      <c r="BA31" s="768">
        <v>20462092</v>
      </c>
      <c r="BB31" s="636">
        <f t="shared" si="13"/>
        <v>5397</v>
      </c>
      <c r="BC31" s="768">
        <v>623541</v>
      </c>
      <c r="BD31" s="636">
        <f t="shared" si="13"/>
        <v>252</v>
      </c>
      <c r="BE31" s="768">
        <v>40982</v>
      </c>
      <c r="BF31" s="636">
        <f t="shared" si="13"/>
        <v>55</v>
      </c>
      <c r="BG31" s="768">
        <v>25690778</v>
      </c>
      <c r="BH31" s="636">
        <f t="shared" si="24"/>
        <v>6722.8</v>
      </c>
      <c r="BI31" s="636">
        <f t="shared" si="25"/>
        <v>14069.5625</v>
      </c>
      <c r="BJ31" s="636">
        <f t="shared" si="26"/>
        <v>28367.902500000004</v>
      </c>
      <c r="BK31" s="769">
        <v>1480038</v>
      </c>
      <c r="BL31" s="636">
        <f t="shared" si="14"/>
        <v>243</v>
      </c>
      <c r="BM31" s="769">
        <v>4223663</v>
      </c>
      <c r="BN31" s="805">
        <f t="shared" si="15"/>
        <v>1111</v>
      </c>
      <c r="BO31" s="804">
        <v>441997</v>
      </c>
      <c r="BP31" s="806">
        <f t="shared" si="16"/>
        <v>105</v>
      </c>
      <c r="BQ31" s="768">
        <v>553163</v>
      </c>
      <c r="BR31" s="636">
        <f t="shared" si="41"/>
        <v>149</v>
      </c>
      <c r="BS31" s="692">
        <f t="shared" si="27"/>
        <v>32635.902500000004</v>
      </c>
      <c r="BT31" s="693">
        <v>229</v>
      </c>
      <c r="BU31" s="692">
        <f t="shared" si="50"/>
        <v>142.51485807860263</v>
      </c>
      <c r="BV31" s="693"/>
      <c r="BW31" s="692" t="e">
        <f t="shared" si="29"/>
        <v>#DIV/0!</v>
      </c>
      <c r="BX31" s="692">
        <f t="shared" si="34"/>
        <v>37828.287875000002</v>
      </c>
      <c r="BY31" s="692">
        <f t="shared" si="48"/>
        <v>165.18903002183407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25344276</v>
      </c>
      <c r="J32" s="636">
        <f t="shared" si="18"/>
        <v>5241</v>
      </c>
      <c r="K32" s="636">
        <f t="shared" si="19"/>
        <v>4553</v>
      </c>
      <c r="L32" s="769">
        <v>147766</v>
      </c>
      <c r="M32" s="636">
        <f t="shared" si="53"/>
        <v>1907</v>
      </c>
      <c r="N32" s="769">
        <v>187296</v>
      </c>
      <c r="O32" s="636">
        <f t="shared" si="0"/>
        <v>2646</v>
      </c>
      <c r="P32" s="769">
        <v>226031</v>
      </c>
      <c r="Q32" s="636">
        <f t="shared" si="46"/>
        <v>780</v>
      </c>
      <c r="R32" s="768">
        <v>217011</v>
      </c>
      <c r="S32" s="636">
        <f t="shared" si="49"/>
        <v>147</v>
      </c>
      <c r="T32" s="768">
        <v>396081</v>
      </c>
      <c r="U32" s="636">
        <f t="shared" si="54"/>
        <v>283</v>
      </c>
      <c r="V32" s="768">
        <v>453497</v>
      </c>
      <c r="W32" s="636">
        <f>IF(V32&gt;=V31,V32-V31,0)*0.53</f>
        <v>393.26000000000005</v>
      </c>
      <c r="X32" s="769">
        <v>714843</v>
      </c>
      <c r="Y32" s="636">
        <f t="shared" si="3"/>
        <v>3756.6400000000003</v>
      </c>
      <c r="Z32" s="768">
        <v>684478</v>
      </c>
      <c r="AA32" s="636">
        <f t="shared" si="4"/>
        <v>0</v>
      </c>
      <c r="AB32" s="768">
        <v>68783</v>
      </c>
      <c r="AC32" s="636">
        <f t="shared" si="33"/>
        <v>2821.7200000000003</v>
      </c>
      <c r="AD32" s="768">
        <v>841947</v>
      </c>
      <c r="AE32" s="636">
        <f t="shared" si="20"/>
        <v>23.32</v>
      </c>
      <c r="AF32" s="768">
        <v>987761</v>
      </c>
      <c r="AG32" s="636">
        <f t="shared" si="42"/>
        <v>1690.17</v>
      </c>
      <c r="AH32" s="768">
        <v>352085</v>
      </c>
      <c r="AI32" s="636">
        <f t="shared" si="6"/>
        <v>1058.94</v>
      </c>
      <c r="AJ32" s="768">
        <v>157956</v>
      </c>
      <c r="AK32" s="636">
        <f t="shared" si="45"/>
        <v>3561.07</v>
      </c>
      <c r="AL32" s="768">
        <v>553723</v>
      </c>
      <c r="AM32" s="636">
        <f t="shared" si="8"/>
        <v>111.30000000000001</v>
      </c>
      <c r="AN32" s="636">
        <f t="shared" si="21"/>
        <v>13416.42</v>
      </c>
      <c r="AO32" s="768">
        <v>8041166</v>
      </c>
      <c r="AP32" s="636">
        <f t="shared" si="22"/>
        <v>324.22500000000002</v>
      </c>
      <c r="AQ32" s="769">
        <v>737096</v>
      </c>
      <c r="AR32" s="636">
        <f t="shared" si="9"/>
        <v>170</v>
      </c>
      <c r="AS32" s="768">
        <v>3696</v>
      </c>
      <c r="AT32" s="636">
        <f t="shared" si="23"/>
        <v>166</v>
      </c>
      <c r="AU32" s="768">
        <v>822897</v>
      </c>
      <c r="AV32" s="636">
        <f t="shared" si="10"/>
        <v>65</v>
      </c>
      <c r="AW32" s="768">
        <v>2824492</v>
      </c>
      <c r="AX32" s="636">
        <f t="shared" si="11"/>
        <v>878</v>
      </c>
      <c r="AY32" s="769">
        <v>230811</v>
      </c>
      <c r="AZ32" s="636">
        <f t="shared" si="47"/>
        <v>12</v>
      </c>
      <c r="BA32" s="768">
        <v>20467506</v>
      </c>
      <c r="BB32" s="636">
        <f t="shared" si="13"/>
        <v>5414</v>
      </c>
      <c r="BC32" s="768">
        <v>623786</v>
      </c>
      <c r="BD32" s="636">
        <f t="shared" si="13"/>
        <v>245</v>
      </c>
      <c r="BE32" s="768">
        <v>41288</v>
      </c>
      <c r="BF32" s="636">
        <f t="shared" si="13"/>
        <v>306</v>
      </c>
      <c r="BG32" s="769">
        <v>25698364</v>
      </c>
      <c r="BH32" s="636">
        <f t="shared" si="24"/>
        <v>6734.25</v>
      </c>
      <c r="BI32" s="636">
        <f t="shared" si="25"/>
        <v>14314.475</v>
      </c>
      <c r="BJ32" s="636">
        <f t="shared" si="26"/>
        <v>27730.895</v>
      </c>
      <c r="BK32" s="769">
        <v>1480216</v>
      </c>
      <c r="BL32" s="636">
        <f t="shared" si="14"/>
        <v>178</v>
      </c>
      <c r="BM32" s="769">
        <v>4225132</v>
      </c>
      <c r="BN32" s="805">
        <f t="shared" si="15"/>
        <v>1469</v>
      </c>
      <c r="BO32" s="804">
        <v>442103</v>
      </c>
      <c r="BP32" s="806">
        <f t="shared" si="16"/>
        <v>106</v>
      </c>
      <c r="BQ32" s="768">
        <v>553306</v>
      </c>
      <c r="BR32" s="636">
        <f t="shared" si="41"/>
        <v>143</v>
      </c>
      <c r="BS32" s="692">
        <f t="shared" si="27"/>
        <v>33751.894999999997</v>
      </c>
      <c r="BT32" s="693">
        <v>224</v>
      </c>
      <c r="BU32" s="692">
        <f t="shared" si="50"/>
        <v>150.67810267857141</v>
      </c>
      <c r="BV32" s="695"/>
      <c r="BW32" s="692" t="e">
        <f t="shared" si="29"/>
        <v>#DIV/0!</v>
      </c>
      <c r="BX32" s="692">
        <f t="shared" si="34"/>
        <v>39165.679249999994</v>
      </c>
      <c r="BY32" s="692">
        <f t="shared" si="48"/>
        <v>174.84678236607141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25349644</v>
      </c>
      <c r="J33" s="636">
        <f t="shared" si="18"/>
        <v>5368</v>
      </c>
      <c r="K33" s="636">
        <f t="shared" si="19"/>
        <v>4215</v>
      </c>
      <c r="L33" s="769">
        <v>149630</v>
      </c>
      <c r="M33" s="636">
        <f t="shared" si="53"/>
        <v>1864</v>
      </c>
      <c r="N33" s="769">
        <v>189647</v>
      </c>
      <c r="O33" s="636">
        <f t="shared" si="0"/>
        <v>2351</v>
      </c>
      <c r="P33" s="769">
        <v>226051</v>
      </c>
      <c r="Q33" s="636">
        <f t="shared" si="46"/>
        <v>600</v>
      </c>
      <c r="R33" s="768">
        <v>217146</v>
      </c>
      <c r="S33" s="636">
        <f t="shared" si="49"/>
        <v>135</v>
      </c>
      <c r="T33" s="768">
        <v>396329</v>
      </c>
      <c r="U33" s="636">
        <f t="shared" si="54"/>
        <v>248</v>
      </c>
      <c r="V33" s="768">
        <v>459798</v>
      </c>
      <c r="W33" s="636">
        <f t="shared" si="2"/>
        <v>3339.53</v>
      </c>
      <c r="X33" s="769">
        <v>720795</v>
      </c>
      <c r="Y33" s="636">
        <f t="shared" si="3"/>
        <v>3154.56</v>
      </c>
      <c r="Z33" s="768">
        <v>684478</v>
      </c>
      <c r="AA33" s="636">
        <f t="shared" si="4"/>
        <v>0</v>
      </c>
      <c r="AB33" s="768">
        <v>68783</v>
      </c>
      <c r="AC33" s="636">
        <f t="shared" si="33"/>
        <v>0</v>
      </c>
      <c r="AD33" s="768">
        <v>842007</v>
      </c>
      <c r="AE33" s="636">
        <f t="shared" si="20"/>
        <v>31.8</v>
      </c>
      <c r="AF33" s="768">
        <v>990754</v>
      </c>
      <c r="AG33" s="636">
        <f t="shared" si="42"/>
        <v>1586.2900000000002</v>
      </c>
      <c r="AH33" s="768">
        <v>354058</v>
      </c>
      <c r="AI33" s="636">
        <f t="shared" si="6"/>
        <v>1045.69</v>
      </c>
      <c r="AJ33" s="768">
        <v>164707</v>
      </c>
      <c r="AK33" s="636">
        <f t="shared" si="45"/>
        <v>3578.03</v>
      </c>
      <c r="AL33" s="768">
        <v>553943</v>
      </c>
      <c r="AM33" s="636">
        <f t="shared" si="8"/>
        <v>116.60000000000001</v>
      </c>
      <c r="AN33" s="636">
        <f t="shared" si="21"/>
        <v>12852.500000000002</v>
      </c>
      <c r="AO33" s="768">
        <v>8043976</v>
      </c>
      <c r="AP33" s="636">
        <f t="shared" si="22"/>
        <v>316.125</v>
      </c>
      <c r="AQ33" s="768">
        <v>737264</v>
      </c>
      <c r="AR33" s="636">
        <f t="shared" si="9"/>
        <v>168</v>
      </c>
      <c r="AS33" s="769">
        <v>3875</v>
      </c>
      <c r="AT33" s="636">
        <f t="shared" si="23"/>
        <v>179</v>
      </c>
      <c r="AU33" s="768">
        <v>822967</v>
      </c>
      <c r="AV33" s="636">
        <f t="shared" si="10"/>
        <v>70</v>
      </c>
      <c r="AW33" s="768">
        <v>2825384</v>
      </c>
      <c r="AX33" s="636">
        <f t="shared" si="11"/>
        <v>892</v>
      </c>
      <c r="AY33" s="769">
        <v>230822</v>
      </c>
      <c r="AZ33" s="636">
        <f t="shared" si="47"/>
        <v>11</v>
      </c>
      <c r="BA33" s="768">
        <v>20473037</v>
      </c>
      <c r="BB33" s="636">
        <f t="shared" si="13"/>
        <v>5531</v>
      </c>
      <c r="BC33" s="768">
        <v>624028</v>
      </c>
      <c r="BD33" s="636">
        <f t="shared" si="13"/>
        <v>242</v>
      </c>
      <c r="BE33" s="768">
        <v>41358</v>
      </c>
      <c r="BF33" s="636">
        <f t="shared" si="13"/>
        <v>70</v>
      </c>
      <c r="BG33" s="769">
        <v>25705580</v>
      </c>
      <c r="BH33" s="636">
        <f t="shared" si="24"/>
        <v>6392.0499999999993</v>
      </c>
      <c r="BI33" s="636">
        <f t="shared" si="25"/>
        <v>13871.174999999999</v>
      </c>
      <c r="BJ33" s="636">
        <f t="shared" si="26"/>
        <v>26723.675000000003</v>
      </c>
      <c r="BK33" s="769">
        <v>1480511</v>
      </c>
      <c r="BL33" s="636">
        <f t="shared" si="14"/>
        <v>295</v>
      </c>
      <c r="BM33" s="768">
        <v>4226540</v>
      </c>
      <c r="BN33" s="805">
        <f t="shared" si="15"/>
        <v>1408</v>
      </c>
      <c r="BO33" s="768">
        <v>442206</v>
      </c>
      <c r="BP33" s="806">
        <f t="shared" si="16"/>
        <v>103</v>
      </c>
      <c r="BQ33" s="768">
        <v>553450</v>
      </c>
      <c r="BR33" s="636">
        <f t="shared" si="41"/>
        <v>144</v>
      </c>
      <c r="BS33" s="692">
        <f t="shared" si="27"/>
        <v>32691.674999999999</v>
      </c>
      <c r="BT33" s="693">
        <v>224</v>
      </c>
      <c r="BU33" s="692">
        <f t="shared" si="50"/>
        <v>145.94497767857143</v>
      </c>
      <c r="BV33" s="693"/>
      <c r="BW33" s="692" t="e">
        <f t="shared" si="29"/>
        <v>#DIV/0!</v>
      </c>
      <c r="BX33" s="692">
        <f t="shared" si="34"/>
        <v>37865.426249999997</v>
      </c>
      <c r="BY33" s="692">
        <f t="shared" si="48"/>
        <v>169.04208147321427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25354068</v>
      </c>
      <c r="J34" s="636">
        <f t="shared" si="18"/>
        <v>4424</v>
      </c>
      <c r="K34" s="636">
        <f t="shared" si="19"/>
        <v>4355</v>
      </c>
      <c r="L34" s="769">
        <v>151608</v>
      </c>
      <c r="M34" s="636">
        <f t="shared" si="53"/>
        <v>1978</v>
      </c>
      <c r="N34" s="769">
        <v>192024</v>
      </c>
      <c r="O34" s="636">
        <f t="shared" si="0"/>
        <v>2377</v>
      </c>
      <c r="P34" s="769">
        <v>226075</v>
      </c>
      <c r="Q34" s="636">
        <f t="shared" si="46"/>
        <v>720</v>
      </c>
      <c r="R34" s="768">
        <v>217290</v>
      </c>
      <c r="S34" s="636">
        <f t="shared" si="49"/>
        <v>144</v>
      </c>
      <c r="T34" s="768">
        <v>396600</v>
      </c>
      <c r="U34" s="636">
        <f t="shared" si="54"/>
        <v>271</v>
      </c>
      <c r="V34" s="768">
        <v>466099</v>
      </c>
      <c r="W34" s="636">
        <f t="shared" si="2"/>
        <v>3339.53</v>
      </c>
      <c r="X34" s="769">
        <v>727504</v>
      </c>
      <c r="Y34" s="636">
        <f t="shared" si="3"/>
        <v>3555.77</v>
      </c>
      <c r="Z34" s="768">
        <v>684478</v>
      </c>
      <c r="AA34" s="636">
        <f t="shared" si="4"/>
        <v>0</v>
      </c>
      <c r="AB34" s="768">
        <v>68783</v>
      </c>
      <c r="AC34" s="636">
        <f t="shared" si="33"/>
        <v>0</v>
      </c>
      <c r="AD34" s="768">
        <v>842041</v>
      </c>
      <c r="AE34" s="636">
        <f t="shared" si="20"/>
        <v>18.02</v>
      </c>
      <c r="AF34" s="768">
        <v>993747</v>
      </c>
      <c r="AG34" s="636">
        <f t="shared" si="42"/>
        <v>1586.2900000000002</v>
      </c>
      <c r="AH34" s="769">
        <v>356047</v>
      </c>
      <c r="AI34" s="636">
        <f t="shared" si="6"/>
        <v>1054.17</v>
      </c>
      <c r="AJ34" s="768">
        <v>171510</v>
      </c>
      <c r="AK34" s="636">
        <f t="shared" si="45"/>
        <v>3605.59</v>
      </c>
      <c r="AL34" s="768">
        <v>554156</v>
      </c>
      <c r="AM34" s="636">
        <f t="shared" si="8"/>
        <v>112.89</v>
      </c>
      <c r="AN34" s="636">
        <f t="shared" si="21"/>
        <v>13272.26</v>
      </c>
      <c r="AO34" s="707">
        <v>8046811</v>
      </c>
      <c r="AP34" s="636">
        <f t="shared" si="22"/>
        <v>318.9375</v>
      </c>
      <c r="AQ34" s="769">
        <v>737438</v>
      </c>
      <c r="AR34" s="636">
        <f t="shared" si="9"/>
        <v>174</v>
      </c>
      <c r="AS34" s="768">
        <v>4055</v>
      </c>
      <c r="AT34" s="636">
        <f t="shared" si="23"/>
        <v>180</v>
      </c>
      <c r="AU34" s="768">
        <v>823028</v>
      </c>
      <c r="AV34" s="636">
        <f t="shared" si="10"/>
        <v>61</v>
      </c>
      <c r="AW34" s="768">
        <v>2826276</v>
      </c>
      <c r="AX34" s="636">
        <f t="shared" si="11"/>
        <v>892</v>
      </c>
      <c r="AY34" s="768">
        <v>230833</v>
      </c>
      <c r="AZ34" s="636">
        <f t="shared" si="47"/>
        <v>11</v>
      </c>
      <c r="BA34" s="768">
        <v>20478490</v>
      </c>
      <c r="BB34" s="636">
        <f t="shared" si="13"/>
        <v>5453</v>
      </c>
      <c r="BC34" s="768">
        <v>624270</v>
      </c>
      <c r="BD34" s="636">
        <f t="shared" si="13"/>
        <v>242</v>
      </c>
      <c r="BE34" s="768">
        <v>41538</v>
      </c>
      <c r="BF34" s="636">
        <f t="shared" si="13"/>
        <v>180</v>
      </c>
      <c r="BG34" s="768">
        <v>25713042</v>
      </c>
      <c r="BH34" s="636">
        <f t="shared" si="24"/>
        <v>6618.2999999999993</v>
      </c>
      <c r="BI34" s="636">
        <f t="shared" si="25"/>
        <v>14130.237499999999</v>
      </c>
      <c r="BJ34" s="636">
        <f t="shared" si="26"/>
        <v>27402.497499999998</v>
      </c>
      <c r="BK34" s="769">
        <v>1480721</v>
      </c>
      <c r="BL34" s="636">
        <f t="shared" si="14"/>
        <v>210</v>
      </c>
      <c r="BM34" s="769">
        <v>4227988</v>
      </c>
      <c r="BN34" s="805">
        <f t="shared" si="15"/>
        <v>1448</v>
      </c>
      <c r="BO34" s="768">
        <v>442304</v>
      </c>
      <c r="BP34" s="806">
        <f t="shared" si="16"/>
        <v>98</v>
      </c>
      <c r="BQ34" s="769">
        <v>553598</v>
      </c>
      <c r="BR34" s="636">
        <f t="shared" si="41"/>
        <v>148</v>
      </c>
      <c r="BS34" s="692">
        <f t="shared" si="27"/>
        <v>32546.497500000001</v>
      </c>
      <c r="BT34" s="693">
        <v>224</v>
      </c>
      <c r="BU34" s="692">
        <f t="shared" si="50"/>
        <v>145.29686383928572</v>
      </c>
      <c r="BV34" s="693"/>
      <c r="BW34" s="692" t="e">
        <f t="shared" si="29"/>
        <v>#DIV/0!</v>
      </c>
      <c r="BX34" s="692">
        <f t="shared" si="34"/>
        <v>37752.472125</v>
      </c>
      <c r="BY34" s="692">
        <f t="shared" si="48"/>
        <v>168.53782198660716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25358857</v>
      </c>
      <c r="J35" s="636">
        <f t="shared" si="18"/>
        <v>4789</v>
      </c>
      <c r="K35" s="636">
        <f t="shared" si="19"/>
        <v>4339</v>
      </c>
      <c r="L35" s="769">
        <v>153545</v>
      </c>
      <c r="M35" s="636">
        <f t="shared" si="53"/>
        <v>1937</v>
      </c>
      <c r="N35" s="769">
        <v>194426</v>
      </c>
      <c r="O35" s="636">
        <f t="shared" si="0"/>
        <v>2402</v>
      </c>
      <c r="P35" s="769">
        <v>226098</v>
      </c>
      <c r="Q35" s="636">
        <f t="shared" si="46"/>
        <v>690</v>
      </c>
      <c r="R35" s="768">
        <v>217431</v>
      </c>
      <c r="S35" s="636">
        <f t="shared" si="49"/>
        <v>141</v>
      </c>
      <c r="T35" s="768">
        <v>396865</v>
      </c>
      <c r="U35" s="636">
        <f t="shared" si="54"/>
        <v>265</v>
      </c>
      <c r="V35" s="768">
        <v>472400</v>
      </c>
      <c r="W35" s="636">
        <f t="shared" si="2"/>
        <v>3339.53</v>
      </c>
      <c r="X35" s="769">
        <v>734024</v>
      </c>
      <c r="Y35" s="636">
        <f t="shared" si="3"/>
        <v>3455.6000000000004</v>
      </c>
      <c r="Z35" s="768">
        <v>684478</v>
      </c>
      <c r="AA35" s="636">
        <f t="shared" si="4"/>
        <v>0</v>
      </c>
      <c r="AB35" s="768">
        <v>68783</v>
      </c>
      <c r="AC35" s="636">
        <f t="shared" si="33"/>
        <v>0</v>
      </c>
      <c r="AD35" s="768">
        <v>842083</v>
      </c>
      <c r="AE35" s="636">
        <f t="shared" si="20"/>
        <v>22.26</v>
      </c>
      <c r="AF35" s="768">
        <v>996740</v>
      </c>
      <c r="AG35" s="636">
        <f t="shared" si="42"/>
        <v>1586.2900000000002</v>
      </c>
      <c r="AH35" s="768">
        <v>358033</v>
      </c>
      <c r="AI35" s="636">
        <f t="shared" si="6"/>
        <v>1052.5800000000002</v>
      </c>
      <c r="AJ35" s="769">
        <v>178289</v>
      </c>
      <c r="AK35" s="636">
        <f t="shared" si="45"/>
        <v>3592.8700000000003</v>
      </c>
      <c r="AL35" s="768">
        <v>554371</v>
      </c>
      <c r="AM35" s="636">
        <f t="shared" si="8"/>
        <v>113.95</v>
      </c>
      <c r="AN35" s="636">
        <f t="shared" si="21"/>
        <v>13163.080000000004</v>
      </c>
      <c r="AO35" s="768">
        <v>8049644</v>
      </c>
      <c r="AP35" s="636">
        <f t="shared" si="22"/>
        <v>318.71250000000003</v>
      </c>
      <c r="AQ35" s="768">
        <v>737609</v>
      </c>
      <c r="AR35" s="636">
        <f t="shared" si="9"/>
        <v>171</v>
      </c>
      <c r="AS35" s="769">
        <v>4234</v>
      </c>
      <c r="AT35" s="636">
        <f>IF(AS35&gt;=AS34,AS35-AS34,0)</f>
        <v>179</v>
      </c>
      <c r="AU35" s="768">
        <v>823094</v>
      </c>
      <c r="AV35" s="636">
        <f t="shared" si="10"/>
        <v>66</v>
      </c>
      <c r="AW35" s="768">
        <v>2827168</v>
      </c>
      <c r="AX35" s="636">
        <f t="shared" si="11"/>
        <v>892</v>
      </c>
      <c r="AY35" s="769">
        <v>230844</v>
      </c>
      <c r="AZ35" s="636">
        <f t="shared" si="47"/>
        <v>11</v>
      </c>
      <c r="BA35" s="768">
        <v>20483962</v>
      </c>
      <c r="BB35" s="636">
        <f t="shared" si="13"/>
        <v>5472</v>
      </c>
      <c r="BC35" s="768">
        <v>624512</v>
      </c>
      <c r="BD35" s="636">
        <f t="shared" si="13"/>
        <v>242</v>
      </c>
      <c r="BE35" s="768">
        <v>41698</v>
      </c>
      <c r="BF35" s="636">
        <f t="shared" si="13"/>
        <v>160</v>
      </c>
      <c r="BG35" s="769">
        <v>25720443</v>
      </c>
      <c r="BH35" s="636">
        <f t="shared" si="24"/>
        <v>6562</v>
      </c>
      <c r="BI35" s="636">
        <f t="shared" si="25"/>
        <v>14073.7125</v>
      </c>
      <c r="BJ35" s="636">
        <f t="shared" si="26"/>
        <v>27236.792500000003</v>
      </c>
      <c r="BK35" s="769">
        <v>1480954</v>
      </c>
      <c r="BL35" s="636">
        <f t="shared" si="14"/>
        <v>233</v>
      </c>
      <c r="BM35" s="769">
        <v>4229427</v>
      </c>
      <c r="BN35" s="805">
        <f t="shared" si="15"/>
        <v>1439</v>
      </c>
      <c r="BO35" s="807">
        <v>442405</v>
      </c>
      <c r="BP35" s="806">
        <f t="shared" si="16"/>
        <v>101</v>
      </c>
      <c r="BQ35" s="768">
        <v>553744</v>
      </c>
      <c r="BR35" s="636">
        <f t="shared" si="41"/>
        <v>146</v>
      </c>
      <c r="BS35" s="692">
        <f t="shared" si="27"/>
        <v>32715.792500000003</v>
      </c>
      <c r="BT35" s="693">
        <v>224</v>
      </c>
      <c r="BU35" s="692">
        <f t="shared" si="50"/>
        <v>146.05264508928573</v>
      </c>
      <c r="BV35" s="693"/>
      <c r="BW35" s="692" t="e">
        <f t="shared" si="29"/>
        <v>#DIV/0!</v>
      </c>
      <c r="BX35" s="692">
        <f t="shared" si="34"/>
        <v>37933.661375000003</v>
      </c>
      <c r="BY35" s="692">
        <f t="shared" si="48"/>
        <v>169.3467025669643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25358857</v>
      </c>
      <c r="J36" s="636">
        <f t="shared" si="18"/>
        <v>0</v>
      </c>
      <c r="K36" s="636">
        <f t="shared" si="19"/>
        <v>0</v>
      </c>
      <c r="L36" s="769">
        <v>153545</v>
      </c>
      <c r="M36" s="636">
        <f t="shared" si="53"/>
        <v>0</v>
      </c>
      <c r="N36" s="769">
        <v>194426</v>
      </c>
      <c r="O36" s="636">
        <f t="shared" si="0"/>
        <v>0</v>
      </c>
      <c r="P36" s="769">
        <v>226098</v>
      </c>
      <c r="Q36" s="636">
        <f>IF(P36&gt;=P35,P36-P35,0)*30</f>
        <v>0</v>
      </c>
      <c r="R36" s="768">
        <v>217431</v>
      </c>
      <c r="S36" s="636">
        <f>IF(R36&gt;=R35,R36-R35,0)</f>
        <v>0</v>
      </c>
      <c r="T36" s="768">
        <v>396865</v>
      </c>
      <c r="U36" s="636">
        <f t="shared" si="54"/>
        <v>0</v>
      </c>
      <c r="V36" s="768">
        <v>472400</v>
      </c>
      <c r="W36" s="636">
        <f t="shared" si="2"/>
        <v>0</v>
      </c>
      <c r="X36" s="769">
        <v>734024</v>
      </c>
      <c r="Y36" s="636">
        <f t="shared" si="3"/>
        <v>0</v>
      </c>
      <c r="Z36" s="768">
        <v>684478</v>
      </c>
      <c r="AA36" s="636">
        <f t="shared" si="4"/>
        <v>0</v>
      </c>
      <c r="AB36" s="768">
        <v>68783</v>
      </c>
      <c r="AC36" s="636">
        <f t="shared" si="33"/>
        <v>0</v>
      </c>
      <c r="AD36" s="768">
        <v>842083</v>
      </c>
      <c r="AE36" s="636">
        <f t="shared" si="20"/>
        <v>0</v>
      </c>
      <c r="AF36" s="768">
        <v>996740</v>
      </c>
      <c r="AG36" s="636">
        <f t="shared" si="42"/>
        <v>0</v>
      </c>
      <c r="AH36" s="768">
        <v>358033</v>
      </c>
      <c r="AI36" s="636">
        <f t="shared" si="6"/>
        <v>0</v>
      </c>
      <c r="AJ36" s="769">
        <v>178289</v>
      </c>
      <c r="AK36" s="636">
        <f t="shared" si="45"/>
        <v>0</v>
      </c>
      <c r="AL36" s="768">
        <v>554371</v>
      </c>
      <c r="AM36" s="636">
        <f t="shared" si="8"/>
        <v>0</v>
      </c>
      <c r="AN36" s="636">
        <f t="shared" si="21"/>
        <v>0</v>
      </c>
      <c r="AO36" s="768">
        <v>8049644</v>
      </c>
      <c r="AP36" s="636">
        <f t="shared" si="22"/>
        <v>0</v>
      </c>
      <c r="AQ36" s="768">
        <v>737609</v>
      </c>
      <c r="AR36" s="636">
        <f t="shared" si="9"/>
        <v>0</v>
      </c>
      <c r="AS36" s="769">
        <v>4234</v>
      </c>
      <c r="AT36" s="636">
        <f>IF(AS36&gt;=AS35,AS36-AS35,0)</f>
        <v>0</v>
      </c>
      <c r="AU36" s="768">
        <v>823094</v>
      </c>
      <c r="AV36" s="636">
        <f t="shared" si="10"/>
        <v>0</v>
      </c>
      <c r="AW36" s="768">
        <v>2827168</v>
      </c>
      <c r="AX36" s="636">
        <f t="shared" si="11"/>
        <v>0</v>
      </c>
      <c r="AY36" s="769">
        <v>230844</v>
      </c>
      <c r="AZ36" s="636">
        <f t="shared" si="47"/>
        <v>0</v>
      </c>
      <c r="BA36" s="768">
        <v>20483962</v>
      </c>
      <c r="BB36" s="636">
        <f t="shared" si="13"/>
        <v>0</v>
      </c>
      <c r="BC36" s="768">
        <v>624512</v>
      </c>
      <c r="BD36" s="636">
        <f t="shared" si="13"/>
        <v>0</v>
      </c>
      <c r="BE36" s="768">
        <v>41698</v>
      </c>
      <c r="BF36" s="636">
        <f t="shared" si="13"/>
        <v>0</v>
      </c>
      <c r="BG36" s="769">
        <v>25720443</v>
      </c>
      <c r="BH36" s="636">
        <f t="shared" si="24"/>
        <v>0</v>
      </c>
      <c r="BI36" s="636">
        <f t="shared" si="25"/>
        <v>0</v>
      </c>
      <c r="BJ36" s="636">
        <f t="shared" si="26"/>
        <v>0</v>
      </c>
      <c r="BK36" s="769">
        <v>1480954</v>
      </c>
      <c r="BL36" s="636">
        <f t="shared" si="14"/>
        <v>0</v>
      </c>
      <c r="BM36" s="769">
        <v>4229427</v>
      </c>
      <c r="BN36" s="805">
        <f t="shared" si="15"/>
        <v>0</v>
      </c>
      <c r="BO36" s="807">
        <v>442405</v>
      </c>
      <c r="BP36" s="806">
        <f t="shared" si="16"/>
        <v>0</v>
      </c>
      <c r="BQ36" s="768">
        <v>553744</v>
      </c>
      <c r="BR36" s="636">
        <f t="shared" si="41"/>
        <v>0</v>
      </c>
      <c r="BS36" s="692">
        <f t="shared" si="27"/>
        <v>0</v>
      </c>
      <c r="BT36" s="693"/>
      <c r="BU36" s="692">
        <f t="shared" si="50"/>
        <v>0</v>
      </c>
      <c r="BV36" s="720"/>
      <c r="BW36" s="692">
        <f t="shared" si="29"/>
        <v>0</v>
      </c>
      <c r="BX36" s="692">
        <f t="shared" si="34"/>
        <v>0</v>
      </c>
      <c r="BY36" s="692">
        <f t="shared" si="48"/>
        <v>0</v>
      </c>
      <c r="BZ36" s="694">
        <f t="shared" si="35"/>
        <v>0</v>
      </c>
    </row>
    <row r="37" spans="1:78" s="3" customFormat="1" ht="36.75" customHeight="1">
      <c r="A37" s="541" t="s">
        <v>125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156687.33333329856</v>
      </c>
      <c r="K37" s="711">
        <f>SUM(K6:K36)</f>
        <v>121861.00000000031</v>
      </c>
      <c r="L37" s="696"/>
      <c r="M37" s="552">
        <f>SUM(M6:M36)</f>
        <v>57357.333333333299</v>
      </c>
      <c r="N37" s="696"/>
      <c r="O37" s="552">
        <f>SUM(O6:O36)</f>
        <v>64503.666666667006</v>
      </c>
      <c r="P37" s="696"/>
      <c r="Q37" s="552">
        <f>SUM(Q6:Q36)</f>
        <v>20160</v>
      </c>
      <c r="R37" s="715"/>
      <c r="S37" s="552">
        <f>SUM(S6:S36)</f>
        <v>4217</v>
      </c>
      <c r="T37" s="715"/>
      <c r="U37" s="552">
        <f>SUM(U6:U36)</f>
        <v>7674</v>
      </c>
      <c r="V37" s="696"/>
      <c r="W37" s="552">
        <f>SUM(W6:W36)</f>
        <v>64569.9</v>
      </c>
      <c r="X37" s="768"/>
      <c r="Y37" s="552">
        <f>SUM(Y5:Y36)</f>
        <v>58653.863333333502</v>
      </c>
      <c r="Z37" s="712"/>
      <c r="AA37" s="711">
        <f>SUM(AA6:AA36)</f>
        <v>35105.61</v>
      </c>
      <c r="AB37" s="696"/>
      <c r="AC37" s="552">
        <f>SUM(AC6:AC36)</f>
        <v>55397.72</v>
      </c>
      <c r="AD37" s="784"/>
      <c r="AE37" s="711">
        <f>SUM(AE6:AE36)</f>
        <v>403.33</v>
      </c>
      <c r="AF37" s="784"/>
      <c r="AG37" s="711">
        <f>SUM(AG6:AG36)</f>
        <v>37764.089999999997</v>
      </c>
      <c r="AH37" s="697"/>
      <c r="AI37" s="552">
        <f>SUM(AI6:AI36)</f>
        <v>29878.75</v>
      </c>
      <c r="AJ37" s="697"/>
      <c r="AK37" s="552">
        <f>SUM(AK6:AK36)</f>
        <v>103648.56666666492</v>
      </c>
      <c r="AL37" s="711"/>
      <c r="AM37" s="552">
        <f>SUM(AM6:AM36)</f>
        <v>3351.3666666665022</v>
      </c>
      <c r="AN37" s="711">
        <f>SUM(AN6:AN36)</f>
        <v>388773.19666666497</v>
      </c>
      <c r="AO37" s="773"/>
      <c r="AP37" s="552">
        <f>SUM(AP6:AP36)</f>
        <v>8811.4499999999989</v>
      </c>
      <c r="AQ37" s="697"/>
      <c r="AR37" s="552">
        <f>SUM(AR6:AR36)</f>
        <v>4971.6666666669771</v>
      </c>
      <c r="AS37" s="697"/>
      <c r="AT37" s="552">
        <f>SUM(AT6:AT36)</f>
        <v>4700.6857142857152</v>
      </c>
      <c r="AU37" s="697"/>
      <c r="AV37" s="552">
        <f>SUM(AV6:AV36)</f>
        <v>1790</v>
      </c>
      <c r="AW37" s="697"/>
      <c r="AX37" s="552">
        <f>SUM(AX6:AX36)</f>
        <v>28037.740740740206</v>
      </c>
      <c r="AY37" s="697"/>
      <c r="AZ37" s="552">
        <f>SUM(AZ6:AZ36)</f>
        <v>767.33333333299379</v>
      </c>
      <c r="BA37" s="697"/>
      <c r="BB37" s="552">
        <f>SUM(BB6:BB36)</f>
        <v>154626.66666670144</v>
      </c>
      <c r="BC37" s="784"/>
      <c r="BD37" s="552">
        <f>SUM(BD6:BD36)</f>
        <v>7239.6666666669771</v>
      </c>
      <c r="BE37" s="784"/>
      <c r="BF37" s="552">
        <f>SUM(BF6:BF36)</f>
        <v>2327.6666666667006</v>
      </c>
      <c r="BG37" s="697"/>
      <c r="BH37" s="711">
        <f>SUM(BH6:BH36)</f>
        <v>195182.73333329725</v>
      </c>
      <c r="BI37" s="711">
        <f>SUM(BI6:BI36)</f>
        <v>408455.60978835839</v>
      </c>
      <c r="BJ37" s="711">
        <f>SUM(BJ6:BJ36)</f>
        <v>797228.80645502335</v>
      </c>
      <c r="BK37" s="696"/>
      <c r="BL37" s="552">
        <f>SUM(BL6:BL36)</f>
        <v>8347.3333333299961</v>
      </c>
      <c r="BM37" s="697"/>
      <c r="BN37" s="552">
        <f>SUM(BN6:BN36)</f>
        <v>42680.666666669771</v>
      </c>
      <c r="BO37" s="773"/>
      <c r="BP37" s="552">
        <f>SUM(BP6:BP36)</f>
        <v>3067.3333333330229</v>
      </c>
      <c r="BQ37" s="697"/>
      <c r="BR37" s="552">
        <f>SUM(BR6:BR36)</f>
        <v>4407</v>
      </c>
      <c r="BS37" s="552">
        <f>SUM(BS6:BS36)</f>
        <v>974076.13978832192</v>
      </c>
      <c r="BT37" s="698">
        <f>SUM(BT6:BT36)</f>
        <v>5867</v>
      </c>
      <c r="BU37" s="699">
        <f>IF(BS37&gt;0,BS37/BT37,0)</f>
        <v>166.02627233480857</v>
      </c>
      <c r="BV37" s="698">
        <f>SUM(BV6:BV35)</f>
        <v>0</v>
      </c>
      <c r="BW37" s="699" t="e">
        <f>IF(BS37&gt;0,BS37/BV37,0)</f>
        <v>#DIV/0!</v>
      </c>
      <c r="BX37" s="544">
        <f>SUM(BX6:BX35)</f>
        <v>1129259.56075657</v>
      </c>
      <c r="BY37" s="699">
        <f>IF(BX37&gt;0,BX37/BT37,0)</f>
        <v>192.47648896481505</v>
      </c>
      <c r="BZ37" s="700" t="e">
        <f>IF(BX37&gt;0,BX37/BV37,0)</f>
        <v>#DIV/0!</v>
      </c>
    </row>
    <row r="38" spans="1:78" s="3" customFormat="1" ht="36.75" customHeight="1">
      <c r="A38" s="545" t="s">
        <v>126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5222.9111111099519</v>
      </c>
      <c r="K38" s="701">
        <f>K37/J39</f>
        <v>4062.0333333333433</v>
      </c>
      <c r="L38" s="702"/>
      <c r="M38" s="701">
        <f>M37/J39</f>
        <v>1911.9111111111099</v>
      </c>
      <c r="N38" s="702"/>
      <c r="O38" s="701">
        <f>O37/J39</f>
        <v>2150.1222222222336</v>
      </c>
      <c r="P38" s="702"/>
      <c r="Q38" s="701">
        <f>Q37/J39</f>
        <v>672</v>
      </c>
      <c r="R38" s="716"/>
      <c r="S38" s="701">
        <f>S37/J39</f>
        <v>140.56666666666666</v>
      </c>
      <c r="T38" s="716"/>
      <c r="U38" s="701">
        <f>U37/J39</f>
        <v>255.8</v>
      </c>
      <c r="V38" s="702"/>
      <c r="W38" s="701">
        <f>W37/J39</f>
        <v>2152.33</v>
      </c>
      <c r="X38" s="702"/>
      <c r="Y38" s="701">
        <f>Y37/J39</f>
        <v>1955.1287777777834</v>
      </c>
      <c r="Z38" s="703"/>
      <c r="AA38" s="701">
        <f>AA37/J39</f>
        <v>1170.1870000000001</v>
      </c>
      <c r="AB38" s="702"/>
      <c r="AC38" s="701">
        <f>AC37/J39</f>
        <v>1846.5906666666667</v>
      </c>
      <c r="AD38" s="783"/>
      <c r="AE38" s="701">
        <f>AE37/J39</f>
        <v>13.444333333333333</v>
      </c>
      <c r="AF38" s="783"/>
      <c r="AG38" s="701">
        <f>AG37/J39</f>
        <v>1258.8029999999999</v>
      </c>
      <c r="AH38" s="704"/>
      <c r="AI38" s="701">
        <f>AI37/J39</f>
        <v>995.95833333333337</v>
      </c>
      <c r="AJ38" s="704"/>
      <c r="AK38" s="701">
        <f>AK37/J39</f>
        <v>3454.952222222164</v>
      </c>
      <c r="AL38" s="701"/>
      <c r="AM38" s="701">
        <f>AM37/J39</f>
        <v>111.71222222221674</v>
      </c>
      <c r="AN38" s="701">
        <f>AN37/J39</f>
        <v>12959.1065555555</v>
      </c>
      <c r="AO38" s="704"/>
      <c r="AP38" s="701">
        <f>AP37/J39</f>
        <v>293.71499999999997</v>
      </c>
      <c r="AQ38" s="704"/>
      <c r="AR38" s="701">
        <f>AR37/J39</f>
        <v>165.72222222223257</v>
      </c>
      <c r="AS38" s="704"/>
      <c r="AT38" s="701">
        <f>AT37/J39</f>
        <v>156.68952380952385</v>
      </c>
      <c r="AU38" s="704"/>
      <c r="AV38" s="701">
        <f>AV37/J39</f>
        <v>59.666666666666664</v>
      </c>
      <c r="AW38" s="704"/>
      <c r="AX38" s="701">
        <f>AX37/J39</f>
        <v>934.59135802467358</v>
      </c>
      <c r="AY38" s="704"/>
      <c r="AZ38" s="701">
        <f>AZ37/J39</f>
        <v>25.57777777776646</v>
      </c>
      <c r="BA38" s="704"/>
      <c r="BB38" s="701">
        <f>BB37/J39</f>
        <v>5154.2222222233813</v>
      </c>
      <c r="BC38" s="783"/>
      <c r="BD38" s="701">
        <f>BD37/J39</f>
        <v>241.32222222223257</v>
      </c>
      <c r="BE38" s="783"/>
      <c r="BF38" s="701">
        <f>BF37/J39</f>
        <v>77.588888888890025</v>
      </c>
      <c r="BG38" s="704"/>
      <c r="BH38" s="701">
        <f>BH37/J39</f>
        <v>6506.0911111099085</v>
      </c>
      <c r="BI38" s="701"/>
      <c r="BJ38" s="701"/>
      <c r="BK38" s="702"/>
      <c r="BL38" s="701">
        <f>BL37/J39</f>
        <v>278.24444444433323</v>
      </c>
      <c r="BM38" s="704"/>
      <c r="BN38" s="701">
        <f>BN37/J39</f>
        <v>1422.6888888889923</v>
      </c>
      <c r="BO38" s="704"/>
      <c r="BP38" s="701">
        <f>BP37/J39</f>
        <v>102.24444444443409</v>
      </c>
      <c r="BQ38" s="704"/>
      <c r="BR38" s="701">
        <f>BR37/J39</f>
        <v>146.9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127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128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31"/>
      <c r="B45" s="83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5 BT7:BT36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6" activePane="bottomRight" state="frozen"/>
      <selection pane="bottomRight" activeCell="K36" sqref="K36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4">
        <f>Elect!A1</f>
        <v>44805</v>
      </c>
      <c r="B1" s="579"/>
      <c r="C1" s="580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581"/>
      <c r="P1" s="866"/>
      <c r="Q1" s="866"/>
      <c r="R1" s="866"/>
      <c r="S1" s="2"/>
      <c r="T1" s="582" t="s">
        <v>129</v>
      </c>
      <c r="U1" s="566"/>
      <c r="V1" s="565">
        <v>4</v>
      </c>
      <c r="W1" s="564" t="s">
        <v>130</v>
      </c>
      <c r="X1" s="583"/>
      <c r="Y1" s="584"/>
      <c r="Z1" s="566"/>
    </row>
    <row r="2" spans="1:26" ht="39.75" customHeight="1" thickBot="1">
      <c r="A2" s="865"/>
      <c r="B2" s="586"/>
      <c r="C2" s="580"/>
      <c r="O2" s="581"/>
      <c r="P2" s="867"/>
      <c r="Q2" s="867"/>
      <c r="R2" s="867"/>
    </row>
    <row r="3" spans="1:26" s="3" customFormat="1" ht="42" customHeight="1" thickBot="1">
      <c r="A3" s="856" t="s">
        <v>1</v>
      </c>
      <c r="B3" s="587"/>
      <c r="C3" s="588"/>
      <c r="D3" s="588"/>
      <c r="E3" s="589" t="s">
        <v>131</v>
      </c>
      <c r="F3" s="588"/>
      <c r="G3" s="588"/>
      <c r="H3" s="590"/>
      <c r="I3" s="886" t="s">
        <v>132</v>
      </c>
      <c r="J3" s="887"/>
      <c r="K3" s="887"/>
      <c r="L3" s="887"/>
      <c r="M3" s="888"/>
      <c r="N3" s="878" t="s">
        <v>133</v>
      </c>
      <c r="O3" s="879"/>
      <c r="P3" s="859" t="s">
        <v>134</v>
      </c>
      <c r="Q3" s="859"/>
      <c r="R3" s="859" t="s">
        <v>135</v>
      </c>
      <c r="S3" s="859"/>
      <c r="T3" s="874" t="s">
        <v>136</v>
      </c>
      <c r="U3" s="870" t="s">
        <v>137</v>
      </c>
      <c r="V3" s="870" t="s">
        <v>138</v>
      </c>
      <c r="W3" s="870" t="s">
        <v>139</v>
      </c>
      <c r="X3" s="871" t="s">
        <v>140</v>
      </c>
      <c r="Y3" s="591" t="s">
        <v>77</v>
      </c>
      <c r="Z3" s="592" t="s">
        <v>77</v>
      </c>
    </row>
    <row r="4" spans="1:26" s="3" customFormat="1" ht="45" customHeight="1" thickBot="1">
      <c r="A4" s="857"/>
      <c r="B4" s="880" t="s">
        <v>141</v>
      </c>
      <c r="C4" s="881"/>
      <c r="D4" s="882" t="s">
        <v>142</v>
      </c>
      <c r="E4" s="883"/>
      <c r="F4" s="882" t="s">
        <v>143</v>
      </c>
      <c r="G4" s="883"/>
      <c r="H4" s="862" t="s">
        <v>144</v>
      </c>
      <c r="I4" s="884" t="s">
        <v>145</v>
      </c>
      <c r="J4" s="885"/>
      <c r="K4" s="884" t="s">
        <v>146</v>
      </c>
      <c r="L4" s="885"/>
      <c r="M4" s="792"/>
      <c r="N4" s="862" t="s">
        <v>147</v>
      </c>
      <c r="O4" s="862" t="s">
        <v>148</v>
      </c>
      <c r="P4" s="860" t="s">
        <v>149</v>
      </c>
      <c r="Q4" s="860" t="s">
        <v>150</v>
      </c>
      <c r="R4" s="860" t="s">
        <v>149</v>
      </c>
      <c r="S4" s="860" t="s">
        <v>150</v>
      </c>
      <c r="T4" s="875"/>
      <c r="U4" s="860"/>
      <c r="V4" s="860"/>
      <c r="W4" s="860"/>
      <c r="X4" s="872"/>
      <c r="Y4" s="868" t="s">
        <v>122</v>
      </c>
      <c r="Z4" s="853" t="s">
        <v>123</v>
      </c>
    </row>
    <row r="5" spans="1:26" s="3" customFormat="1" ht="48.75" customHeight="1" thickBot="1">
      <c r="A5" s="858"/>
      <c r="B5" s="593" t="s">
        <v>151</v>
      </c>
      <c r="C5" s="791" t="s">
        <v>152</v>
      </c>
      <c r="D5" s="594" t="s">
        <v>151</v>
      </c>
      <c r="E5" s="791" t="s">
        <v>152</v>
      </c>
      <c r="F5" s="594" t="s">
        <v>151</v>
      </c>
      <c r="G5" s="791" t="s">
        <v>152</v>
      </c>
      <c r="H5" s="863"/>
      <c r="I5" s="725" t="s">
        <v>151</v>
      </c>
      <c r="J5" s="726"/>
      <c r="K5" s="725" t="s">
        <v>151</v>
      </c>
      <c r="L5" s="726"/>
      <c r="M5" s="724"/>
      <c r="N5" s="861"/>
      <c r="O5" s="861"/>
      <c r="P5" s="861"/>
      <c r="Q5" s="861"/>
      <c r="R5" s="861"/>
      <c r="S5" s="861"/>
      <c r="T5" s="876"/>
      <c r="U5" s="861"/>
      <c r="V5" s="861"/>
      <c r="W5" s="861"/>
      <c r="X5" s="873"/>
      <c r="Y5" s="869"/>
      <c r="Z5" s="854"/>
    </row>
    <row r="6" spans="1:26" s="3" customFormat="1" ht="36.75" customHeight="1">
      <c r="A6" s="595"/>
      <c r="B6" s="767">
        <v>88206</v>
      </c>
      <c r="C6" s="636">
        <f t="shared" ref="C6:C37" si="0">IF(B6&gt;=B5,B6-B5,0)*10*0.58</f>
        <v>0</v>
      </c>
      <c r="D6" s="770">
        <v>10876</v>
      </c>
      <c r="E6" s="636">
        <f t="shared" ref="E6:E37" si="1">IF(D6&gt;=D5,D6-D5,0)*10*0.58</f>
        <v>0</v>
      </c>
      <c r="F6" s="766">
        <v>41649</v>
      </c>
      <c r="G6" s="636">
        <f>IF(F6&gt;=F5,F6-F5,0)*0.58</f>
        <v>0</v>
      </c>
      <c r="H6" s="708"/>
      <c r="I6" s="766">
        <v>294</v>
      </c>
      <c r="J6" s="723"/>
      <c r="K6" s="766">
        <v>5156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88228</v>
      </c>
      <c r="C7" s="636">
        <f t="shared" si="0"/>
        <v>127.6</v>
      </c>
      <c r="D7" s="770">
        <v>10902</v>
      </c>
      <c r="E7" s="636">
        <f t="shared" si="1"/>
        <v>150.79999999999998</v>
      </c>
      <c r="F7" s="766">
        <v>41835</v>
      </c>
      <c r="G7" s="636">
        <f t="shared" ref="G7:G31" si="2">IF(F7&gt;=F6,F7-F6,0)*0.58</f>
        <v>107.88</v>
      </c>
      <c r="H7" s="636">
        <f t="shared" ref="H7:H37" si="3">C7+E7+G7</f>
        <v>386.28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224.04239999999996</v>
      </c>
      <c r="R7" s="109"/>
      <c r="S7" s="436">
        <f>IF(R7-R6&gt;0,R7-R6,0)</f>
        <v>0</v>
      </c>
      <c r="T7" s="706">
        <f>Elect!BT6</f>
        <v>156</v>
      </c>
      <c r="U7" s="604">
        <f>H7/T7</f>
        <v>2.4761538461538461</v>
      </c>
      <c r="V7" s="706">
        <f>Elect!BV6</f>
        <v>0</v>
      </c>
      <c r="W7" s="604" t="e">
        <f>H7/V7</f>
        <v>#DIV/0!</v>
      </c>
      <c r="X7" s="429">
        <f>H7*V1</f>
        <v>1545.12</v>
      </c>
      <c r="Y7" s="604">
        <f>IF(X7&gt;0,X7/T7,0)</f>
        <v>9.9046153846153846</v>
      </c>
      <c r="Z7" s="607">
        <v>0</v>
      </c>
    </row>
    <row r="8" spans="1:26" s="3" customFormat="1" ht="36.75" customHeight="1">
      <c r="A8" s="595">
        <v>2</v>
      </c>
      <c r="B8" s="767">
        <v>88246</v>
      </c>
      <c r="C8" s="636">
        <f t="shared" si="0"/>
        <v>104.39999999999999</v>
      </c>
      <c r="D8" s="770">
        <v>10927</v>
      </c>
      <c r="E8" s="636">
        <f t="shared" si="1"/>
        <v>145</v>
      </c>
      <c r="F8" s="766">
        <v>42058</v>
      </c>
      <c r="G8" s="636">
        <f t="shared" si="2"/>
        <v>129.34</v>
      </c>
      <c r="H8" s="636">
        <f t="shared" si="3"/>
        <v>378.74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219.66919999999999</v>
      </c>
      <c r="R8" s="109"/>
      <c r="S8" s="436">
        <f t="shared" ref="S8:S37" si="6">IF(R8-R7&gt;0,R8-R7,0)</f>
        <v>0</v>
      </c>
      <c r="T8" s="706">
        <f>Elect!BT7</f>
        <v>188</v>
      </c>
      <c r="U8" s="604">
        <f t="shared" ref="U8:U37" si="7">H8/T8</f>
        <v>2.0145744680851063</v>
      </c>
      <c r="V8" s="706">
        <f>Elect!BV7</f>
        <v>0</v>
      </c>
      <c r="W8" s="604" t="e">
        <f t="shared" ref="W8:W37" si="8">H8/V8</f>
        <v>#DIV/0!</v>
      </c>
      <c r="X8" s="429">
        <f>H8*V1</f>
        <v>1514.96</v>
      </c>
      <c r="Y8" s="604">
        <f>IF(X8&gt;0,X8/T8,0)</f>
        <v>8.0582978723404253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88266</v>
      </c>
      <c r="C9" s="636">
        <f t="shared" si="0"/>
        <v>115.99999999999999</v>
      </c>
      <c r="D9" s="770">
        <v>10952</v>
      </c>
      <c r="E9" s="636">
        <f t="shared" si="1"/>
        <v>145</v>
      </c>
      <c r="F9" s="766">
        <v>42283</v>
      </c>
      <c r="G9" s="636">
        <f t="shared" si="2"/>
        <v>130.5</v>
      </c>
      <c r="H9" s="636">
        <f t="shared" si="3"/>
        <v>391.5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227.07</v>
      </c>
      <c r="R9" s="109"/>
      <c r="S9" s="436">
        <f t="shared" si="6"/>
        <v>0</v>
      </c>
      <c r="T9" s="706">
        <f>Elect!BT8</f>
        <v>162</v>
      </c>
      <c r="U9" s="604">
        <f t="shared" si="7"/>
        <v>2.4166666666666665</v>
      </c>
      <c r="V9" s="706">
        <f>Elect!BV8</f>
        <v>0</v>
      </c>
      <c r="W9" s="604" t="e">
        <f t="shared" si="8"/>
        <v>#DIV/0!</v>
      </c>
      <c r="X9" s="429">
        <f>H9*V1</f>
        <v>1566</v>
      </c>
      <c r="Y9" s="604">
        <f t="shared" ref="Y9:Y37" si="9">IF(X9&gt;0,X9/T9,0)</f>
        <v>9.6666666666666661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88286</v>
      </c>
      <c r="C10" s="636">
        <f t="shared" si="0"/>
        <v>115.99999999999999</v>
      </c>
      <c r="D10" s="770">
        <v>10978</v>
      </c>
      <c r="E10" s="636">
        <f t="shared" si="1"/>
        <v>150.79999999999998</v>
      </c>
      <c r="F10" s="766">
        <v>42511</v>
      </c>
      <c r="G10" s="636">
        <f t="shared" si="2"/>
        <v>132.23999999999998</v>
      </c>
      <c r="H10" s="636">
        <f t="shared" si="3"/>
        <v>399.03999999999996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231.44319999999996</v>
      </c>
      <c r="R10" s="109"/>
      <c r="S10" s="436">
        <f t="shared" si="6"/>
        <v>0</v>
      </c>
      <c r="T10" s="706">
        <f>Elect!BT9</f>
        <v>164</v>
      </c>
      <c r="U10" s="604">
        <f t="shared" si="7"/>
        <v>2.433170731707317</v>
      </c>
      <c r="V10" s="706">
        <f>Elect!BV9</f>
        <v>0</v>
      </c>
      <c r="W10" s="604" t="e">
        <f t="shared" si="8"/>
        <v>#DIV/0!</v>
      </c>
      <c r="X10" s="429">
        <f>H10*V1</f>
        <v>1596.1599999999999</v>
      </c>
      <c r="Y10" s="604">
        <f t="shared" si="9"/>
        <v>9.7326829268292681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88305</v>
      </c>
      <c r="C11" s="636">
        <f t="shared" si="0"/>
        <v>110.19999999999999</v>
      </c>
      <c r="D11" s="770">
        <v>11004</v>
      </c>
      <c r="E11" s="636">
        <f t="shared" si="1"/>
        <v>150.79999999999998</v>
      </c>
      <c r="F11" s="766">
        <v>42737</v>
      </c>
      <c r="G11" s="636">
        <f t="shared" si="2"/>
        <v>131.07999999999998</v>
      </c>
      <c r="H11" s="636">
        <f t="shared" si="3"/>
        <v>392.08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227.40639999999996</v>
      </c>
      <c r="R11" s="109"/>
      <c r="S11" s="436">
        <f t="shared" si="6"/>
        <v>0</v>
      </c>
      <c r="T11" s="706">
        <f>Elect!BT10</f>
        <v>131</v>
      </c>
      <c r="U11" s="604">
        <f t="shared" si="7"/>
        <v>2.9929770992366409</v>
      </c>
      <c r="V11" s="706">
        <f>Elect!BV10</f>
        <v>0</v>
      </c>
      <c r="W11" s="604" t="e">
        <f t="shared" si="8"/>
        <v>#DIV/0!</v>
      </c>
      <c r="X11" s="429">
        <f>H11*V1</f>
        <v>1568.32</v>
      </c>
      <c r="Y11" s="604">
        <f t="shared" si="9"/>
        <v>11.971908396946564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88325</v>
      </c>
      <c r="C12" s="636">
        <f t="shared" si="0"/>
        <v>115.99999999999999</v>
      </c>
      <c r="D12" s="770">
        <v>11030</v>
      </c>
      <c r="E12" s="636">
        <f t="shared" si="1"/>
        <v>150.79999999999998</v>
      </c>
      <c r="F12" s="766">
        <v>42960</v>
      </c>
      <c r="G12" s="636">
        <f t="shared" si="2"/>
        <v>129.34</v>
      </c>
      <c r="H12" s="636">
        <f t="shared" si="3"/>
        <v>396.14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229.76119999999997</v>
      </c>
      <c r="R12" s="109"/>
      <c r="S12" s="436">
        <f t="shared" si="6"/>
        <v>0</v>
      </c>
      <c r="T12" s="706">
        <f>Elect!BT11</f>
        <v>145</v>
      </c>
      <c r="U12" s="604">
        <f t="shared" si="7"/>
        <v>2.7319999999999998</v>
      </c>
      <c r="V12" s="706">
        <f>Elect!BV11</f>
        <v>0</v>
      </c>
      <c r="W12" s="604" t="e">
        <f t="shared" si="8"/>
        <v>#DIV/0!</v>
      </c>
      <c r="X12" s="429">
        <f>H12*V1</f>
        <v>1584.56</v>
      </c>
      <c r="Y12" s="604">
        <f t="shared" si="9"/>
        <v>10.927999999999999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88351</v>
      </c>
      <c r="C13" s="636">
        <f t="shared" si="0"/>
        <v>150.79999999999998</v>
      </c>
      <c r="D13" s="770">
        <v>11064</v>
      </c>
      <c r="E13" s="636">
        <f t="shared" si="1"/>
        <v>197.2</v>
      </c>
      <c r="F13" s="766">
        <v>43258</v>
      </c>
      <c r="G13" s="636">
        <f t="shared" si="2"/>
        <v>172.83999999999997</v>
      </c>
      <c r="H13" s="636">
        <f t="shared" si="3"/>
        <v>520.83999999999992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302.08719999999994</v>
      </c>
      <c r="R13" s="109"/>
      <c r="S13" s="436">
        <f t="shared" si="6"/>
        <v>0</v>
      </c>
      <c r="T13" s="706">
        <f>Elect!BT12</f>
        <v>151</v>
      </c>
      <c r="U13" s="604">
        <f t="shared" si="7"/>
        <v>3.4492715231788074</v>
      </c>
      <c r="V13" s="706">
        <f>Elect!BV12</f>
        <v>0</v>
      </c>
      <c r="W13" s="604" t="e">
        <f t="shared" si="8"/>
        <v>#DIV/0!</v>
      </c>
      <c r="X13" s="429">
        <f>H13*V1</f>
        <v>2083.3599999999997</v>
      </c>
      <c r="Y13" s="604">
        <f t="shared" si="9"/>
        <v>13.797086092715229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88362</v>
      </c>
      <c r="C14" s="636">
        <f>IF(B14&gt;=B13,B14-B13,0)*10*0.58</f>
        <v>63.8</v>
      </c>
      <c r="D14" s="770">
        <v>11078</v>
      </c>
      <c r="E14" s="636">
        <f t="shared" si="1"/>
        <v>81.199999999999989</v>
      </c>
      <c r="F14" s="766">
        <v>43414</v>
      </c>
      <c r="G14" s="636">
        <f t="shared" si="2"/>
        <v>90.47999999999999</v>
      </c>
      <c r="H14" s="636">
        <f t="shared" si="3"/>
        <v>235.48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136.57839999999999</v>
      </c>
      <c r="R14" s="109"/>
      <c r="S14" s="436">
        <f t="shared" si="6"/>
        <v>0</v>
      </c>
      <c r="T14" s="706">
        <f>Elect!BT13</f>
        <v>167</v>
      </c>
      <c r="U14" s="604">
        <f t="shared" si="7"/>
        <v>1.410059880239521</v>
      </c>
      <c r="V14" s="706">
        <f>Elect!BV13</f>
        <v>0</v>
      </c>
      <c r="W14" s="604" t="e">
        <f t="shared" si="8"/>
        <v>#DIV/0!</v>
      </c>
      <c r="X14" s="429">
        <f>H14*V1</f>
        <v>941.92</v>
      </c>
      <c r="Y14" s="604">
        <f t="shared" si="9"/>
        <v>5.640239520958084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88382</v>
      </c>
      <c r="C15" s="636">
        <f>IF(B15&gt;=B14,B15-B14,0)*10*0.58</f>
        <v>115.99999999999999</v>
      </c>
      <c r="D15" s="770">
        <v>11104</v>
      </c>
      <c r="E15" s="636">
        <f t="shared" si="1"/>
        <v>150.79999999999998</v>
      </c>
      <c r="F15" s="766">
        <v>43649</v>
      </c>
      <c r="G15" s="636">
        <f t="shared" si="2"/>
        <v>136.29999999999998</v>
      </c>
      <c r="H15" s="636">
        <f t="shared" si="3"/>
        <v>403.09999999999991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233.79799999999994</v>
      </c>
      <c r="R15" s="109"/>
      <c r="S15" s="436">
        <f t="shared" si="6"/>
        <v>0</v>
      </c>
      <c r="T15" s="706">
        <f>Elect!BT14</f>
        <v>158</v>
      </c>
      <c r="U15" s="604">
        <f t="shared" si="7"/>
        <v>2.5512658227848095</v>
      </c>
      <c r="V15" s="706">
        <f>Elect!BV14</f>
        <v>0</v>
      </c>
      <c r="W15" s="604" t="e">
        <f t="shared" si="8"/>
        <v>#DIV/0!</v>
      </c>
      <c r="X15" s="429">
        <f>H15*V1</f>
        <v>1612.3999999999996</v>
      </c>
      <c r="Y15" s="604">
        <f t="shared" si="9"/>
        <v>10.205063291139238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88401</v>
      </c>
      <c r="C16" s="636">
        <f>IF(B16&gt;=B15,B16-B15,0)*10*0.58</f>
        <v>110.19999999999999</v>
      </c>
      <c r="D16" s="770">
        <v>11129</v>
      </c>
      <c r="E16" s="636">
        <f t="shared" si="1"/>
        <v>145</v>
      </c>
      <c r="F16" s="766">
        <v>43875</v>
      </c>
      <c r="G16" s="636">
        <f t="shared" si="2"/>
        <v>131.07999999999998</v>
      </c>
      <c r="H16" s="636">
        <f t="shared" si="3"/>
        <v>386.28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224.04239999999996</v>
      </c>
      <c r="R16" s="109"/>
      <c r="S16" s="436">
        <f t="shared" si="6"/>
        <v>0</v>
      </c>
      <c r="T16" s="706">
        <f>Elect!BT15</f>
        <v>162</v>
      </c>
      <c r="U16" s="604">
        <f t="shared" si="7"/>
        <v>2.3844444444444441</v>
      </c>
      <c r="V16" s="706">
        <f>Elect!BV15</f>
        <v>0</v>
      </c>
      <c r="W16" s="604" t="e">
        <f t="shared" si="8"/>
        <v>#DIV/0!</v>
      </c>
      <c r="X16" s="429">
        <f>H16*V1</f>
        <v>1545.12</v>
      </c>
      <c r="Y16" s="604">
        <f t="shared" si="9"/>
        <v>9.5377777777777766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88420</v>
      </c>
      <c r="C17" s="636">
        <f t="shared" si="0"/>
        <v>110.19999999999999</v>
      </c>
      <c r="D17" s="770">
        <v>11156</v>
      </c>
      <c r="E17" s="636">
        <f t="shared" si="1"/>
        <v>156.6</v>
      </c>
      <c r="F17" s="766">
        <v>44112</v>
      </c>
      <c r="G17" s="636">
        <f t="shared" si="2"/>
        <v>137.45999999999998</v>
      </c>
      <c r="H17" s="636">
        <f t="shared" si="3"/>
        <v>404.25999999999993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234.47079999999994</v>
      </c>
      <c r="R17" s="109"/>
      <c r="S17" s="436">
        <f t="shared" si="6"/>
        <v>0</v>
      </c>
      <c r="T17" s="706">
        <f>Elect!BT16</f>
        <v>186</v>
      </c>
      <c r="U17" s="604">
        <f t="shared" si="7"/>
        <v>2.1734408602150532</v>
      </c>
      <c r="V17" s="706">
        <f>Elect!BV16</f>
        <v>0</v>
      </c>
      <c r="W17" s="604" t="e">
        <f t="shared" si="8"/>
        <v>#DIV/0!</v>
      </c>
      <c r="X17" s="429">
        <f>H17*V1</f>
        <v>1617.0399999999997</v>
      </c>
      <c r="Y17" s="604">
        <f t="shared" si="9"/>
        <v>8.6937634408602129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88439</v>
      </c>
      <c r="C18" s="636">
        <f t="shared" si="0"/>
        <v>110.19999999999999</v>
      </c>
      <c r="D18" s="770">
        <v>11179</v>
      </c>
      <c r="E18" s="636">
        <f t="shared" si="1"/>
        <v>133.39999999999998</v>
      </c>
      <c r="F18" s="766">
        <v>44329</v>
      </c>
      <c r="G18" s="636">
        <f t="shared" si="2"/>
        <v>125.85999999999999</v>
      </c>
      <c r="H18" s="636">
        <f t="shared" si="3"/>
        <v>369.45999999999992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214.28679999999994</v>
      </c>
      <c r="R18" s="109"/>
      <c r="S18" s="436">
        <f t="shared" si="6"/>
        <v>0</v>
      </c>
      <c r="T18" s="706">
        <f>Elect!BT17</f>
        <v>192</v>
      </c>
      <c r="U18" s="604">
        <f t="shared" si="7"/>
        <v>1.9242708333333329</v>
      </c>
      <c r="V18" s="706">
        <f>Elect!BV17</f>
        <v>0</v>
      </c>
      <c r="W18" s="604" t="e">
        <f t="shared" si="8"/>
        <v>#DIV/0!</v>
      </c>
      <c r="X18" s="429">
        <f>H18*V1</f>
        <v>1477.8399999999997</v>
      </c>
      <c r="Y18" s="604">
        <f t="shared" si="9"/>
        <v>7.6970833333333317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88464</v>
      </c>
      <c r="C19" s="636">
        <f t="shared" si="0"/>
        <v>145</v>
      </c>
      <c r="D19" s="770">
        <v>11207</v>
      </c>
      <c r="E19" s="636">
        <f t="shared" si="1"/>
        <v>162.39999999999998</v>
      </c>
      <c r="F19" s="766">
        <v>44553</v>
      </c>
      <c r="G19" s="636">
        <f t="shared" si="2"/>
        <v>129.91999999999999</v>
      </c>
      <c r="H19" s="636">
        <f t="shared" si="3"/>
        <v>437.31999999999994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253.64559999999994</v>
      </c>
      <c r="R19" s="109"/>
      <c r="S19" s="436">
        <f t="shared" si="6"/>
        <v>0</v>
      </c>
      <c r="T19" s="706">
        <f>Elect!BT18</f>
        <v>154</v>
      </c>
      <c r="U19" s="604">
        <f t="shared" si="7"/>
        <v>2.8397402597402595</v>
      </c>
      <c r="V19" s="706">
        <f>Elect!BV18</f>
        <v>0</v>
      </c>
      <c r="W19" s="604" t="e">
        <f t="shared" si="8"/>
        <v>#DIV/0!</v>
      </c>
      <c r="X19" s="429">
        <f>H19*V1</f>
        <v>1749.2799999999997</v>
      </c>
      <c r="Y19" s="604">
        <f t="shared" si="9"/>
        <v>11.358961038961038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88479</v>
      </c>
      <c r="C20" s="636">
        <f t="shared" si="0"/>
        <v>87</v>
      </c>
      <c r="D20" s="770">
        <v>11232</v>
      </c>
      <c r="E20" s="636">
        <f t="shared" si="1"/>
        <v>145</v>
      </c>
      <c r="F20" s="766">
        <v>44777</v>
      </c>
      <c r="G20" s="636">
        <f t="shared" si="2"/>
        <v>129.91999999999999</v>
      </c>
      <c r="H20" s="636">
        <f t="shared" si="3"/>
        <v>361.91999999999996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209.91359999999997</v>
      </c>
      <c r="R20" s="109"/>
      <c r="S20" s="436">
        <f t="shared" si="6"/>
        <v>0</v>
      </c>
      <c r="T20" s="706">
        <f>Elect!BT19</f>
        <v>187</v>
      </c>
      <c r="U20" s="604">
        <f t="shared" si="7"/>
        <v>1.9354010695187163</v>
      </c>
      <c r="V20" s="706">
        <f>Elect!BV19</f>
        <v>0</v>
      </c>
      <c r="W20" s="604" t="e">
        <f t="shared" si="8"/>
        <v>#DIV/0!</v>
      </c>
      <c r="X20" s="429">
        <f>H20*V1</f>
        <v>1447.6799999999998</v>
      </c>
      <c r="Y20" s="604">
        <f t="shared" si="9"/>
        <v>7.7416042780748651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88500.666666666701</v>
      </c>
      <c r="C21" s="636">
        <f t="shared" si="0"/>
        <v>125.66666666686359</v>
      </c>
      <c r="D21" s="770">
        <v>11259</v>
      </c>
      <c r="E21" s="636">
        <f t="shared" si="1"/>
        <v>156.6</v>
      </c>
      <c r="F21" s="766">
        <v>45001</v>
      </c>
      <c r="G21" s="636">
        <f t="shared" si="2"/>
        <v>129.91999999999999</v>
      </c>
      <c r="H21" s="636">
        <f t="shared" si="3"/>
        <v>412.18666666686352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239.06826666678083</v>
      </c>
      <c r="R21" s="109"/>
      <c r="S21" s="436">
        <f t="shared" si="6"/>
        <v>0</v>
      </c>
      <c r="T21" s="706">
        <f>Elect!BT20</f>
        <v>223</v>
      </c>
      <c r="U21" s="604">
        <f t="shared" si="7"/>
        <v>1.8483707025419889</v>
      </c>
      <c r="V21" s="706">
        <f>Elect!BV20</f>
        <v>0</v>
      </c>
      <c r="W21" s="604" t="e">
        <f t="shared" si="8"/>
        <v>#DIV/0!</v>
      </c>
      <c r="X21" s="429">
        <f>H21*V1</f>
        <v>1648.7466666674541</v>
      </c>
      <c r="Y21" s="604">
        <f t="shared" si="9"/>
        <v>7.3934828101679555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88525</v>
      </c>
      <c r="C22" s="636">
        <f>IF(B22&gt;=B21,B22-B21,0)*10*0.58</f>
        <v>141.13333333313639</v>
      </c>
      <c r="D22" s="770">
        <v>11291</v>
      </c>
      <c r="E22" s="636">
        <f t="shared" si="1"/>
        <v>185.6</v>
      </c>
      <c r="F22" s="766">
        <v>45277</v>
      </c>
      <c r="G22" s="636">
        <f t="shared" si="2"/>
        <v>160.07999999999998</v>
      </c>
      <c r="H22" s="636">
        <f t="shared" si="3"/>
        <v>486.81333333313637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282.3517333332191</v>
      </c>
      <c r="R22" s="109"/>
      <c r="S22" s="436">
        <f t="shared" si="6"/>
        <v>0</v>
      </c>
      <c r="T22" s="706">
        <f>Elect!BT21</f>
        <v>253</v>
      </c>
      <c r="U22" s="604">
        <f t="shared" si="7"/>
        <v>1.9241633728582466</v>
      </c>
      <c r="V22" s="706">
        <f>Elect!BV21</f>
        <v>0</v>
      </c>
      <c r="W22" s="604" t="e">
        <f t="shared" si="8"/>
        <v>#DIV/0!</v>
      </c>
      <c r="X22" s="429">
        <f>H22*V1</f>
        <v>1947.2533333325455</v>
      </c>
      <c r="Y22" s="604">
        <f t="shared" si="9"/>
        <v>7.6966534914329863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88541</v>
      </c>
      <c r="C23" s="636">
        <f>IF(B23&gt;=B22,B23-B22,0)*10*0.58</f>
        <v>92.8</v>
      </c>
      <c r="D23" s="770">
        <v>11312</v>
      </c>
      <c r="E23" s="636">
        <f t="shared" si="1"/>
        <v>121.8</v>
      </c>
      <c r="F23" s="766">
        <v>45472</v>
      </c>
      <c r="G23" s="636">
        <f t="shared" si="2"/>
        <v>113.1</v>
      </c>
      <c r="H23" s="636">
        <f t="shared" si="3"/>
        <v>327.7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190.06599999999997</v>
      </c>
      <c r="R23" s="109"/>
      <c r="S23" s="436">
        <f t="shared" si="6"/>
        <v>0</v>
      </c>
      <c r="T23" s="706">
        <f>Elect!BT22</f>
        <v>197</v>
      </c>
      <c r="U23" s="604">
        <f t="shared" si="7"/>
        <v>1.6634517766497461</v>
      </c>
      <c r="V23" s="706">
        <f>Elect!BV22</f>
        <v>0</v>
      </c>
      <c r="W23" s="604" t="e">
        <f t="shared" si="8"/>
        <v>#DIV/0!</v>
      </c>
      <c r="X23" s="429">
        <f>H23*V1</f>
        <v>1310.8</v>
      </c>
      <c r="Y23" s="604">
        <f t="shared" si="9"/>
        <v>6.6538071065989843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88562</v>
      </c>
      <c r="C24" s="636">
        <f>IF(B24&gt;=B23,B24-B23,0)*10*0.58</f>
        <v>121.8</v>
      </c>
      <c r="D24" s="770">
        <v>11340</v>
      </c>
      <c r="E24" s="636">
        <f t="shared" si="1"/>
        <v>162.39999999999998</v>
      </c>
      <c r="F24" s="766">
        <v>45701</v>
      </c>
      <c r="G24" s="636">
        <f t="shared" si="2"/>
        <v>132.82</v>
      </c>
      <c r="H24" s="636">
        <f t="shared" si="3"/>
        <v>417.02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241.87159999999997</v>
      </c>
      <c r="R24" s="109"/>
      <c r="S24" s="436">
        <f t="shared" si="6"/>
        <v>0</v>
      </c>
      <c r="T24" s="706">
        <f>Elect!BT23</f>
        <v>212</v>
      </c>
      <c r="U24" s="604">
        <f t="shared" si="7"/>
        <v>1.9670754716981131</v>
      </c>
      <c r="V24" s="706">
        <f>Elect!BV23</f>
        <v>0</v>
      </c>
      <c r="W24" s="604" t="e">
        <f t="shared" si="8"/>
        <v>#DIV/0!</v>
      </c>
      <c r="X24" s="429">
        <f>H24*V1</f>
        <v>1668.08</v>
      </c>
      <c r="Y24" s="604">
        <f t="shared" si="9"/>
        <v>7.8683018867924526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88584</v>
      </c>
      <c r="C25" s="636">
        <f>IF(B25&gt;=B24,B25-B24,0)*10*0.58</f>
        <v>127.6</v>
      </c>
      <c r="D25" s="770">
        <v>11370</v>
      </c>
      <c r="E25" s="636">
        <f t="shared" si="1"/>
        <v>174</v>
      </c>
      <c r="F25" s="766">
        <v>45937</v>
      </c>
      <c r="G25" s="636">
        <f t="shared" si="2"/>
        <v>136.88</v>
      </c>
      <c r="H25" s="636">
        <f t="shared" si="3"/>
        <v>438.48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254.3184</v>
      </c>
      <c r="R25" s="109"/>
      <c r="S25" s="436">
        <f t="shared" si="6"/>
        <v>0</v>
      </c>
      <c r="T25" s="706">
        <f>Elect!BT24</f>
        <v>179</v>
      </c>
      <c r="U25" s="604">
        <f t="shared" si="7"/>
        <v>2.449608938547486</v>
      </c>
      <c r="V25" s="706">
        <f>Elect!BV24</f>
        <v>0</v>
      </c>
      <c r="W25" s="604" t="e">
        <f t="shared" si="8"/>
        <v>#DIV/0!</v>
      </c>
      <c r="X25" s="429">
        <f>H25*V1</f>
        <v>1753.92</v>
      </c>
      <c r="Y25" s="604">
        <f t="shared" si="9"/>
        <v>9.7984357541899438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88604</v>
      </c>
      <c r="C26" s="636">
        <f t="shared" si="0"/>
        <v>115.99999999999999</v>
      </c>
      <c r="D26" s="770">
        <v>11396</v>
      </c>
      <c r="E26" s="636">
        <f t="shared" si="1"/>
        <v>150.79999999999998</v>
      </c>
      <c r="F26" s="766">
        <v>46156</v>
      </c>
      <c r="G26" s="636">
        <f t="shared" si="2"/>
        <v>127.02</v>
      </c>
      <c r="H26" s="636">
        <f t="shared" si="3"/>
        <v>393.81999999999994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228.41559999999996</v>
      </c>
      <c r="R26" s="109"/>
      <c r="S26" s="436">
        <f t="shared" si="6"/>
        <v>0</v>
      </c>
      <c r="T26" s="706">
        <f>Elect!BT25</f>
        <v>213</v>
      </c>
      <c r="U26" s="604">
        <f t="shared" si="7"/>
        <v>1.8489201877934269</v>
      </c>
      <c r="V26" s="706">
        <f>Elect!BV25</f>
        <v>0</v>
      </c>
      <c r="W26" s="604" t="e">
        <f t="shared" si="8"/>
        <v>#DIV/0!</v>
      </c>
      <c r="X26" s="429">
        <f>H26*V1</f>
        <v>1575.2799999999997</v>
      </c>
      <c r="Y26" s="604">
        <f t="shared" si="9"/>
        <v>7.3956807511737077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88626</v>
      </c>
      <c r="C27" s="636">
        <f t="shared" si="0"/>
        <v>127.6</v>
      </c>
      <c r="D27" s="770">
        <v>11425</v>
      </c>
      <c r="E27" s="636">
        <f t="shared" si="1"/>
        <v>168.2</v>
      </c>
      <c r="F27" s="766">
        <v>46388</v>
      </c>
      <c r="G27" s="636">
        <f t="shared" si="2"/>
        <v>134.56</v>
      </c>
      <c r="H27" s="636">
        <f t="shared" si="3"/>
        <v>430.35999999999996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249.60879999999995</v>
      </c>
      <c r="R27" s="109"/>
      <c r="S27" s="436">
        <f t="shared" si="6"/>
        <v>0</v>
      </c>
      <c r="T27" s="706">
        <f>Elect!BT26</f>
        <v>247</v>
      </c>
      <c r="U27" s="604">
        <f t="shared" si="7"/>
        <v>1.7423481781376517</v>
      </c>
      <c r="V27" s="706">
        <f>Elect!BV26</f>
        <v>0</v>
      </c>
      <c r="W27" s="604" t="e">
        <f t="shared" si="8"/>
        <v>#DIV/0!</v>
      </c>
      <c r="X27" s="429">
        <f>H27*V1</f>
        <v>1721.4399999999998</v>
      </c>
      <c r="Y27" s="604">
        <f t="shared" si="9"/>
        <v>6.969392712550607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88648</v>
      </c>
      <c r="C28" s="636">
        <f>IF(B28&gt;=B27,B28-B27,0)*10*0.58</f>
        <v>127.6</v>
      </c>
      <c r="D28" s="770">
        <v>11454</v>
      </c>
      <c r="E28" s="636">
        <f t="shared" si="1"/>
        <v>168.2</v>
      </c>
      <c r="F28" s="766">
        <v>46603</v>
      </c>
      <c r="G28" s="636">
        <f t="shared" si="2"/>
        <v>124.69999999999999</v>
      </c>
      <c r="H28" s="636">
        <f t="shared" si="3"/>
        <v>420.49999999999994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243.88999999999996</v>
      </c>
      <c r="R28" s="109"/>
      <c r="S28" s="436">
        <f t="shared" si="6"/>
        <v>0</v>
      </c>
      <c r="T28" s="706">
        <f>Elect!BT27</f>
        <v>238</v>
      </c>
      <c r="U28" s="604">
        <f t="shared" si="7"/>
        <v>1.7668067226890753</v>
      </c>
      <c r="V28" s="706">
        <f>Elect!BV27</f>
        <v>0</v>
      </c>
      <c r="W28" s="604" t="e">
        <f t="shared" si="8"/>
        <v>#DIV/0!</v>
      </c>
      <c r="X28" s="429">
        <f>H28*V1</f>
        <v>1681.9999999999998</v>
      </c>
      <c r="Y28" s="604">
        <f t="shared" si="9"/>
        <v>7.0672268907563014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88670</v>
      </c>
      <c r="C29" s="636">
        <f>IF(B29&gt;=B28,B29-B28,0)*10*0.58</f>
        <v>127.6</v>
      </c>
      <c r="D29" s="770">
        <v>11483</v>
      </c>
      <c r="E29" s="636">
        <f t="shared" si="1"/>
        <v>168.2</v>
      </c>
      <c r="F29" s="766">
        <v>46841</v>
      </c>
      <c r="G29" s="636">
        <f t="shared" si="2"/>
        <v>138.04</v>
      </c>
      <c r="H29" s="636">
        <f t="shared" si="3"/>
        <v>433.83999999999992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251.62719999999993</v>
      </c>
      <c r="R29" s="458"/>
      <c r="S29" s="436">
        <f t="shared" si="6"/>
        <v>0</v>
      </c>
      <c r="T29" s="706">
        <f>Elect!BT28</f>
        <v>249</v>
      </c>
      <c r="U29" s="604">
        <f t="shared" si="7"/>
        <v>1.7423293172690759</v>
      </c>
      <c r="V29" s="706">
        <f>Elect!BV28</f>
        <v>0</v>
      </c>
      <c r="W29" s="604" t="e">
        <f t="shared" si="8"/>
        <v>#DIV/0!</v>
      </c>
      <c r="X29" s="429">
        <f>H29*V1</f>
        <v>1735.3599999999997</v>
      </c>
      <c r="Y29" s="604">
        <f t="shared" si="9"/>
        <v>6.9693172690763037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88690</v>
      </c>
      <c r="C30" s="636">
        <f t="shared" si="0"/>
        <v>115.99999999999999</v>
      </c>
      <c r="D30" s="770">
        <v>11511</v>
      </c>
      <c r="E30" s="636">
        <f t="shared" si="1"/>
        <v>162.39999999999998</v>
      </c>
      <c r="F30" s="766">
        <v>47076</v>
      </c>
      <c r="G30" s="636">
        <f t="shared" si="2"/>
        <v>136.29999999999998</v>
      </c>
      <c r="H30" s="636">
        <f t="shared" si="3"/>
        <v>414.69999999999993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240.52599999999995</v>
      </c>
      <c r="R30" s="458"/>
      <c r="S30" s="436">
        <f t="shared" si="6"/>
        <v>0</v>
      </c>
      <c r="T30" s="706">
        <f>Elect!BT29</f>
        <v>231</v>
      </c>
      <c r="U30" s="604">
        <f t="shared" si="7"/>
        <v>1.7952380952380949</v>
      </c>
      <c r="V30" s="706">
        <f>Elect!BV29</f>
        <v>0</v>
      </c>
      <c r="W30" s="604" t="e">
        <f t="shared" si="8"/>
        <v>#DIV/0!</v>
      </c>
      <c r="X30" s="429">
        <f>H30*V1</f>
        <v>1658.7999999999997</v>
      </c>
      <c r="Y30" s="604">
        <f t="shared" si="9"/>
        <v>7.1809523809523794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88716</v>
      </c>
      <c r="C31" s="636">
        <f t="shared" si="0"/>
        <v>150.79999999999998</v>
      </c>
      <c r="D31" s="770">
        <v>11542</v>
      </c>
      <c r="E31" s="636">
        <f t="shared" si="1"/>
        <v>179.79999999999998</v>
      </c>
      <c r="F31" s="766">
        <v>47340</v>
      </c>
      <c r="G31" s="636">
        <f t="shared" si="2"/>
        <v>153.11999999999998</v>
      </c>
      <c r="H31" s="636">
        <f t="shared" si="3"/>
        <v>483.71999999999991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280.55759999999992</v>
      </c>
      <c r="R31" s="458"/>
      <c r="S31" s="436">
        <f t="shared" si="6"/>
        <v>0</v>
      </c>
      <c r="T31" s="706">
        <f>Elect!BT30</f>
        <v>197</v>
      </c>
      <c r="U31" s="604">
        <f t="shared" si="7"/>
        <v>2.455431472081218</v>
      </c>
      <c r="V31" s="706">
        <f>Elect!BV30</f>
        <v>0</v>
      </c>
      <c r="W31" s="604" t="e">
        <f t="shared" si="8"/>
        <v>#DIV/0!</v>
      </c>
      <c r="X31" s="429">
        <f>H31*V1</f>
        <v>1934.8799999999997</v>
      </c>
      <c r="Y31" s="604">
        <f t="shared" si="9"/>
        <v>9.8217258883248721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88733</v>
      </c>
      <c r="C32" s="636">
        <f>IF(B32&gt;=B31,B32-B31,0)*10*0.58</f>
        <v>98.6</v>
      </c>
      <c r="D32" s="770">
        <v>11566</v>
      </c>
      <c r="E32" s="636">
        <f t="shared" si="1"/>
        <v>139.19999999999999</v>
      </c>
      <c r="F32" s="766">
        <v>47534</v>
      </c>
      <c r="G32" s="636">
        <f t="shared" ref="G32:G35" si="12">IF(F32&gt;=F31,F32-F31,0)*0.58</f>
        <v>112.52</v>
      </c>
      <c r="H32" s="636">
        <f t="shared" si="3"/>
        <v>350.32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203.18559999999999</v>
      </c>
      <c r="R32" s="458"/>
      <c r="S32" s="436">
        <f t="shared" si="6"/>
        <v>0</v>
      </c>
      <c r="T32" s="706">
        <f>Elect!BT31</f>
        <v>229</v>
      </c>
      <c r="U32" s="604">
        <f t="shared" si="7"/>
        <v>1.5297816593886462</v>
      </c>
      <c r="V32" s="706">
        <f>Elect!BV31</f>
        <v>0</v>
      </c>
      <c r="W32" s="604" t="e">
        <f t="shared" si="8"/>
        <v>#DIV/0!</v>
      </c>
      <c r="X32" s="429">
        <f>H32*V1</f>
        <v>1401.28</v>
      </c>
      <c r="Y32" s="604">
        <f t="shared" si="9"/>
        <v>6.1191266375545847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88754</v>
      </c>
      <c r="C33" s="636">
        <f t="shared" si="0"/>
        <v>121.8</v>
      </c>
      <c r="D33" s="770">
        <v>11593</v>
      </c>
      <c r="E33" s="636">
        <f t="shared" si="1"/>
        <v>156.6</v>
      </c>
      <c r="F33" s="766">
        <v>47752</v>
      </c>
      <c r="G33" s="636">
        <f t="shared" si="12"/>
        <v>126.44</v>
      </c>
      <c r="H33" s="636">
        <f t="shared" si="3"/>
        <v>404.84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234.80719999999997</v>
      </c>
      <c r="R33" s="458"/>
      <c r="S33" s="436">
        <f t="shared" si="6"/>
        <v>0</v>
      </c>
      <c r="T33" s="706">
        <f>Elect!BT32</f>
        <v>224</v>
      </c>
      <c r="U33" s="604">
        <f t="shared" si="7"/>
        <v>1.8073214285714285</v>
      </c>
      <c r="V33" s="706">
        <f>Elect!BV32</f>
        <v>0</v>
      </c>
      <c r="W33" s="604" t="e">
        <f t="shared" si="8"/>
        <v>#DIV/0!</v>
      </c>
      <c r="X33" s="429">
        <f>H33*V1</f>
        <v>1619.36</v>
      </c>
      <c r="Y33" s="604">
        <f t="shared" si="9"/>
        <v>7.2292857142857141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88776</v>
      </c>
      <c r="C34" s="636">
        <f t="shared" si="0"/>
        <v>127.6</v>
      </c>
      <c r="D34" s="770">
        <v>11623</v>
      </c>
      <c r="E34" s="636">
        <f t="shared" si="1"/>
        <v>174</v>
      </c>
      <c r="F34" s="766">
        <v>47999</v>
      </c>
      <c r="G34" s="636">
        <f t="shared" si="12"/>
        <v>143.26</v>
      </c>
      <c r="H34" s="636">
        <f t="shared" si="3"/>
        <v>444.86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258.0188</v>
      </c>
      <c r="R34" s="458"/>
      <c r="S34" s="436">
        <f t="shared" si="6"/>
        <v>0</v>
      </c>
      <c r="T34" s="706">
        <f>Elect!BT33</f>
        <v>224</v>
      </c>
      <c r="U34" s="604">
        <f t="shared" si="7"/>
        <v>1.9859821428571429</v>
      </c>
      <c r="V34" s="706">
        <f>Elect!BV33</f>
        <v>0</v>
      </c>
      <c r="W34" s="604" t="e">
        <f t="shared" si="8"/>
        <v>#DIV/0!</v>
      </c>
      <c r="X34" s="429">
        <f>H34*V1</f>
        <v>1779.44</v>
      </c>
      <c r="Y34" s="604">
        <f t="shared" si="9"/>
        <v>7.9439285714285717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88799</v>
      </c>
      <c r="C35" s="636">
        <f t="shared" si="0"/>
        <v>133.39999999999998</v>
      </c>
      <c r="D35" s="770">
        <v>11653</v>
      </c>
      <c r="E35" s="636">
        <f t="shared" si="1"/>
        <v>174</v>
      </c>
      <c r="F35" s="766">
        <v>48167</v>
      </c>
      <c r="G35" s="636">
        <f t="shared" si="12"/>
        <v>97.44</v>
      </c>
      <c r="H35" s="636">
        <f t="shared" si="3"/>
        <v>404.84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234.80719999999997</v>
      </c>
      <c r="R35" s="458"/>
      <c r="S35" s="436">
        <f t="shared" si="6"/>
        <v>0</v>
      </c>
      <c r="T35" s="706">
        <f>Elect!BT34</f>
        <v>224</v>
      </c>
      <c r="U35" s="604">
        <f t="shared" si="7"/>
        <v>1.8073214285714285</v>
      </c>
      <c r="V35" s="706">
        <f>Elect!BV34</f>
        <v>0</v>
      </c>
      <c r="W35" s="604" t="e">
        <f t="shared" si="8"/>
        <v>#DIV/0!</v>
      </c>
      <c r="X35" s="429">
        <f>H35*V1</f>
        <v>1619.36</v>
      </c>
      <c r="Y35" s="604">
        <f t="shared" si="9"/>
        <v>7.2292857142857141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88821</v>
      </c>
      <c r="C36" s="636">
        <f t="shared" si="0"/>
        <v>127.6</v>
      </c>
      <c r="D36" s="770">
        <v>11683</v>
      </c>
      <c r="E36" s="636">
        <f t="shared" si="1"/>
        <v>174</v>
      </c>
      <c r="F36" s="766">
        <v>48399</v>
      </c>
      <c r="G36" s="636">
        <f>IF(F36&gt;=F35,F36-F35,0)*0.58</f>
        <v>134.56</v>
      </c>
      <c r="H36" s="636">
        <f t="shared" si="3"/>
        <v>436.16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252.97280000000001</v>
      </c>
      <c r="R36" s="458"/>
      <c r="S36" s="436">
        <f t="shared" si="6"/>
        <v>0</v>
      </c>
      <c r="T36" s="706">
        <f>Elect!BT35</f>
        <v>224</v>
      </c>
      <c r="U36" s="604">
        <f t="shared" si="7"/>
        <v>1.9471428571428573</v>
      </c>
      <c r="V36" s="706">
        <f>Elect!BV35</f>
        <v>0</v>
      </c>
      <c r="W36" s="604" t="e">
        <f t="shared" si="8"/>
        <v>#DIV/0!</v>
      </c>
      <c r="X36" s="429">
        <f>H36*V1</f>
        <v>1744.64</v>
      </c>
      <c r="Y36" s="604">
        <f t="shared" si="9"/>
        <v>7.7885714285714291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88821</v>
      </c>
      <c r="C37" s="636">
        <f t="shared" si="0"/>
        <v>0</v>
      </c>
      <c r="D37" s="770">
        <v>11683</v>
      </c>
      <c r="E37" s="636">
        <f t="shared" si="1"/>
        <v>0</v>
      </c>
      <c r="F37" s="766">
        <v>48399</v>
      </c>
      <c r="G37" s="636">
        <f>IF(F37&gt;=F36,F37-F36,0)*0.58</f>
        <v>0</v>
      </c>
      <c r="H37" s="636">
        <f t="shared" si="3"/>
        <v>0</v>
      </c>
      <c r="I37" s="766">
        <v>302</v>
      </c>
      <c r="J37" s="722"/>
      <c r="K37" s="808">
        <v>5261</v>
      </c>
      <c r="L37" s="722"/>
      <c r="M37" s="722"/>
      <c r="N37" s="526"/>
      <c r="O37" s="535">
        <f t="shared" si="4"/>
        <v>0</v>
      </c>
      <c r="P37" s="526"/>
      <c r="Q37" s="436">
        <f t="shared" si="5"/>
        <v>0</v>
      </c>
      <c r="R37" s="721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125</v>
      </c>
      <c r="B38" s="800"/>
      <c r="C38" s="727">
        <f>SUM(C7:C37)</f>
        <v>3567</v>
      </c>
      <c r="D38" s="538"/>
      <c r="E38" s="727">
        <f>SUM(E7:E37)</f>
        <v>4680.5999999999995</v>
      </c>
      <c r="F38" s="538"/>
      <c r="G38" s="727">
        <f>SUM(G7:G37)</f>
        <v>3915</v>
      </c>
      <c r="H38" s="727">
        <f>SUM(H7:H37)</f>
        <v>12162.6</v>
      </c>
      <c r="I38" s="727">
        <f>I37-I6</f>
        <v>8</v>
      </c>
      <c r="J38" s="542"/>
      <c r="K38" s="727">
        <f>K37-K6</f>
        <v>105</v>
      </c>
      <c r="L38" s="542"/>
      <c r="M38" s="542"/>
      <c r="N38" s="538"/>
      <c r="O38" s="542">
        <f>SUM(O7:O36)</f>
        <v>0</v>
      </c>
      <c r="P38" s="538"/>
      <c r="Q38" s="542">
        <f>SUM(Q7:Q34)</f>
        <v>6566.5279999999993</v>
      </c>
      <c r="R38" s="538"/>
      <c r="S38" s="542">
        <f>SUM(S7:S34)</f>
        <v>0</v>
      </c>
      <c r="T38" s="543">
        <f>SUM(T7:T36)</f>
        <v>5867</v>
      </c>
      <c r="U38" s="605">
        <f>IF(H38&gt;0,H38/T38,0)</f>
        <v>2.0730526674620759</v>
      </c>
      <c r="V38" s="659">
        <f>SUM(V7:V36)</f>
        <v>0</v>
      </c>
      <c r="W38" s="605" t="e">
        <f>IF(H38&gt;0,H38/V38,0)</f>
        <v>#DIV/0!</v>
      </c>
      <c r="X38" s="608">
        <f>SUM(X7:X36)</f>
        <v>48650.400000000001</v>
      </c>
      <c r="Y38" s="605">
        <f t="shared" ref="Y38:Y44" si="13">IF(X38&gt;0,X38/T38,0)</f>
        <v>8.2922106698483038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126</v>
      </c>
      <c r="B39" s="800"/>
      <c r="C39" s="547">
        <f>C38/B48</f>
        <v>118.9</v>
      </c>
      <c r="D39" s="539"/>
      <c r="E39" s="547">
        <f>E38/B48</f>
        <v>156.01999999999998</v>
      </c>
      <c r="F39" s="539"/>
      <c r="G39" s="547">
        <f>G38/B48</f>
        <v>130.5</v>
      </c>
      <c r="H39" s="547">
        <f>H38/B48</f>
        <v>405.42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218.88426666666663</v>
      </c>
      <c r="R39" s="539"/>
      <c r="S39" s="547" t="e">
        <f>S38/C48</f>
        <v>#DIV/0!</v>
      </c>
      <c r="T39" s="548">
        <f>T38/B48</f>
        <v>195.56666666666666</v>
      </c>
      <c r="U39" s="606">
        <f>IF(H39&gt;0,H39/T39,0)</f>
        <v>2.0730526674620759</v>
      </c>
      <c r="V39" s="619">
        <f>V38/B48</f>
        <v>0</v>
      </c>
      <c r="W39" s="605" t="e">
        <f>IF(H39&gt;0,H39/V39,0)</f>
        <v>#DIV/0!</v>
      </c>
      <c r="X39" s="610">
        <f>X38/B48</f>
        <v>1621.68</v>
      </c>
      <c r="Y39" s="606">
        <f t="shared" si="13"/>
        <v>8.2922106698483038</v>
      </c>
      <c r="Z39" s="611" t="e">
        <f t="shared" si="14"/>
        <v>#DIV/0!</v>
      </c>
    </row>
    <row r="40" spans="1:26" s="3" customFormat="1" ht="36.75" customHeight="1">
      <c r="A40" s="597" t="s">
        <v>153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154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155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156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157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158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160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127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77" t="s">
        <v>131</v>
      </c>
      <c r="B136" s="877"/>
      <c r="C136" s="877"/>
      <c r="D136" s="877"/>
      <c r="E136" s="877"/>
      <c r="F136" s="877"/>
      <c r="G136" s="877"/>
      <c r="H136" s="877"/>
      <c r="I136" s="877"/>
      <c r="J136" s="877"/>
      <c r="K136" s="877"/>
      <c r="L136" s="877"/>
      <c r="M136" s="877"/>
      <c r="N136" s="87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1" activePane="bottomRight" state="frozen"/>
      <selection pane="bottomRight" activeCell="K23" sqref="K23:K28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44805</v>
      </c>
      <c r="E1" s="849" t="s">
        <v>49</v>
      </c>
      <c r="H1" s="564" t="s">
        <v>161</v>
      </c>
      <c r="I1" s="667"/>
      <c r="J1" s="565">
        <v>3.9</v>
      </c>
    </row>
    <row r="2" spans="1:13" ht="23.25" customHeight="1">
      <c r="A2" s="889"/>
      <c r="C2" s="27"/>
      <c r="E2" s="849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50"/>
      <c r="F3" s="27"/>
      <c r="G3" s="27"/>
      <c r="H3" s="27"/>
      <c r="I3" s="27"/>
    </row>
    <row r="4" spans="1:13" ht="53.25" customHeight="1">
      <c r="A4" s="660" t="s">
        <v>162</v>
      </c>
      <c r="B4" s="891" t="s">
        <v>163</v>
      </c>
      <c r="C4" s="892"/>
      <c r="D4" s="891" t="s">
        <v>164</v>
      </c>
      <c r="E4" s="892"/>
      <c r="F4" s="891" t="s">
        <v>165</v>
      </c>
      <c r="G4" s="892"/>
      <c r="H4" s="534" t="s">
        <v>166</v>
      </c>
      <c r="I4" s="534" t="s">
        <v>167</v>
      </c>
      <c r="J4" s="533" t="s">
        <v>168</v>
      </c>
      <c r="K4" s="733" t="s">
        <v>169</v>
      </c>
      <c r="L4" s="23"/>
      <c r="M4" s="23"/>
    </row>
    <row r="5" spans="1:13" ht="26.25" customHeight="1" thickBot="1">
      <c r="A5" s="661"/>
      <c r="B5" s="137" t="s">
        <v>53</v>
      </c>
      <c r="C5" s="138" t="s">
        <v>54</v>
      </c>
      <c r="D5" s="137" t="s">
        <v>53</v>
      </c>
      <c r="E5" s="138" t="s">
        <v>54</v>
      </c>
      <c r="F5" s="137" t="s">
        <v>53</v>
      </c>
      <c r="G5" s="138" t="s">
        <v>54</v>
      </c>
      <c r="H5" s="25" t="s">
        <v>170</v>
      </c>
      <c r="I5" s="25" t="s">
        <v>170</v>
      </c>
      <c r="J5" s="25" t="s">
        <v>170</v>
      </c>
      <c r="K5" s="138" t="s">
        <v>54</v>
      </c>
      <c r="L5" s="23"/>
      <c r="M5" s="23"/>
    </row>
    <row r="6" spans="1:13" s="3" customFormat="1" ht="41.25" customHeight="1">
      <c r="A6" s="662"/>
      <c r="B6" s="763">
        <v>8292047</v>
      </c>
      <c r="C6" s="636">
        <f t="shared" ref="C6:C14" si="0">IF(B6&gt;=B5,B6-B5,0)*1.06</f>
        <v>0</v>
      </c>
      <c r="D6" s="770">
        <v>558668.55555555597</v>
      </c>
      <c r="E6" s="636">
        <f>IF(D6&gt;=D5,D6-D5,0)*0.7</f>
        <v>0</v>
      </c>
      <c r="F6" s="770">
        <v>621429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8292918</v>
      </c>
      <c r="C7" s="636">
        <f t="shared" si="0"/>
        <v>923.26</v>
      </c>
      <c r="D7" s="770">
        <v>558946</v>
      </c>
      <c r="E7" s="636">
        <f t="shared" ref="E7:E35" si="2">IF(D7&gt;=D6,D7-D6,0)*0.7</f>
        <v>194.21111111082135</v>
      </c>
      <c r="F7" s="770">
        <v>621510</v>
      </c>
      <c r="G7" s="636">
        <f t="shared" si="1"/>
        <v>81</v>
      </c>
      <c r="H7" s="636">
        <f>(E7*0.55)*1.61</f>
        <v>171.97393888863232</v>
      </c>
      <c r="I7" s="636">
        <f>C7*J1</f>
        <v>3600.7139999999999</v>
      </c>
      <c r="J7" s="636">
        <f>G7*J1</f>
        <v>315.89999999999998</v>
      </c>
      <c r="K7" s="692">
        <f t="shared" ref="K7:K37" si="3">C7+E7</f>
        <v>1117.4711111108213</v>
      </c>
    </row>
    <row r="8" spans="1:13" s="3" customFormat="1" ht="41.25" customHeight="1">
      <c r="A8" s="662">
        <v>2</v>
      </c>
      <c r="B8" s="763">
        <v>8293801</v>
      </c>
      <c r="C8" s="636">
        <f t="shared" si="0"/>
        <v>935.98</v>
      </c>
      <c r="D8" s="770">
        <v>559288</v>
      </c>
      <c r="E8" s="636">
        <f t="shared" si="2"/>
        <v>239.39999999999998</v>
      </c>
      <c r="F8" s="770">
        <v>621597</v>
      </c>
      <c r="G8" s="636">
        <f t="shared" si="1"/>
        <v>87</v>
      </c>
      <c r="H8" s="636">
        <f t="shared" ref="H8:H37" si="4">(E8*0.55)*1.61</f>
        <v>211.98869999999999</v>
      </c>
      <c r="I8" s="636">
        <f>C8*J1</f>
        <v>3650.3220000000001</v>
      </c>
      <c r="J8" s="636">
        <f>G8*J1</f>
        <v>339.3</v>
      </c>
      <c r="K8" s="692">
        <f t="shared" si="3"/>
        <v>1175.3800000000001</v>
      </c>
    </row>
    <row r="9" spans="1:13" s="3" customFormat="1" ht="41.25" customHeight="1">
      <c r="A9" s="662">
        <v>3</v>
      </c>
      <c r="B9" s="763">
        <v>8294757</v>
      </c>
      <c r="C9" s="636">
        <f t="shared" si="0"/>
        <v>1013.36</v>
      </c>
      <c r="D9" s="770">
        <v>559626</v>
      </c>
      <c r="E9" s="636">
        <f t="shared" si="2"/>
        <v>236.6</v>
      </c>
      <c r="F9" s="770">
        <v>621687</v>
      </c>
      <c r="G9" s="636">
        <f t="shared" si="1"/>
        <v>90</v>
      </c>
      <c r="H9" s="636">
        <f>(E9*0.55)*1.61</f>
        <v>209.5093</v>
      </c>
      <c r="I9" s="636">
        <f>C9*J1</f>
        <v>3952.1039999999998</v>
      </c>
      <c r="J9" s="636">
        <f>G9*J1</f>
        <v>351</v>
      </c>
      <c r="K9" s="692">
        <f>C9+E9</f>
        <v>1249.96</v>
      </c>
    </row>
    <row r="10" spans="1:13" s="3" customFormat="1" ht="41.25" customHeight="1">
      <c r="A10" s="662">
        <v>4</v>
      </c>
      <c r="B10" s="763">
        <v>8295752</v>
      </c>
      <c r="C10" s="636">
        <f>IF(B10&gt;=B9,B10-B9,0)*1.06</f>
        <v>1054.7</v>
      </c>
      <c r="D10" s="770">
        <v>559961</v>
      </c>
      <c r="E10" s="636">
        <f t="shared" si="2"/>
        <v>234.49999999999997</v>
      </c>
      <c r="F10" s="770">
        <v>621764</v>
      </c>
      <c r="G10" s="636">
        <f t="shared" si="1"/>
        <v>77</v>
      </c>
      <c r="H10" s="636">
        <f>(E10*0.55)*1.61</f>
        <v>207.64975000000001</v>
      </c>
      <c r="I10" s="636">
        <f>C10*J1</f>
        <v>4113.33</v>
      </c>
      <c r="J10" s="636">
        <f>G10*J1</f>
        <v>300.3</v>
      </c>
      <c r="K10" s="692">
        <f t="shared" si="3"/>
        <v>1289.2</v>
      </c>
    </row>
    <row r="11" spans="1:13" s="3" customFormat="1" ht="41.25" customHeight="1">
      <c r="A11" s="662">
        <v>5</v>
      </c>
      <c r="B11" s="763">
        <v>8296747</v>
      </c>
      <c r="C11" s="636">
        <f>IF(B11&gt;=B10,B11-B10,0)*1.06</f>
        <v>1054.7</v>
      </c>
      <c r="D11" s="770">
        <v>560328</v>
      </c>
      <c r="E11" s="636">
        <f t="shared" si="2"/>
        <v>256.89999999999998</v>
      </c>
      <c r="F11" s="770">
        <v>621844</v>
      </c>
      <c r="G11" s="636">
        <f t="shared" si="1"/>
        <v>80</v>
      </c>
      <c r="H11" s="636">
        <f t="shared" si="4"/>
        <v>227.48495</v>
      </c>
      <c r="I11" s="636">
        <f>C11*J1</f>
        <v>4113.33</v>
      </c>
      <c r="J11" s="636">
        <f>G11*J1</f>
        <v>312</v>
      </c>
      <c r="K11" s="692">
        <f t="shared" si="3"/>
        <v>1311.6</v>
      </c>
    </row>
    <row r="12" spans="1:13" s="3" customFormat="1" ht="41.25" customHeight="1">
      <c r="A12" s="662">
        <v>6</v>
      </c>
      <c r="B12" s="763">
        <v>8297722</v>
      </c>
      <c r="C12" s="636">
        <f>IF(B12&gt;=B11,B12-B11,0)*1.06</f>
        <v>1033.5</v>
      </c>
      <c r="D12" s="770">
        <v>560718</v>
      </c>
      <c r="E12" s="636">
        <f t="shared" si="2"/>
        <v>273</v>
      </c>
      <c r="F12" s="770">
        <v>621940</v>
      </c>
      <c r="G12" s="636">
        <f t="shared" si="1"/>
        <v>96</v>
      </c>
      <c r="H12" s="636">
        <f t="shared" si="4"/>
        <v>241.74150000000003</v>
      </c>
      <c r="I12" s="636">
        <f>C12*J1</f>
        <v>4030.65</v>
      </c>
      <c r="J12" s="636">
        <f>G12*J1</f>
        <v>374.4</v>
      </c>
      <c r="K12" s="692">
        <f t="shared" si="3"/>
        <v>1306.5</v>
      </c>
    </row>
    <row r="13" spans="1:13" s="3" customFormat="1" ht="41.25" customHeight="1">
      <c r="A13" s="662">
        <v>7</v>
      </c>
      <c r="B13" s="763">
        <v>8298710.3333333302</v>
      </c>
      <c r="C13" s="636">
        <f>IF(B13&gt;=B12,B13-B12,0)*1.06</f>
        <v>1047.6333333300427</v>
      </c>
      <c r="D13" s="770">
        <v>561234</v>
      </c>
      <c r="E13" s="636">
        <f t="shared" si="2"/>
        <v>361.2</v>
      </c>
      <c r="F13" s="770">
        <v>622065</v>
      </c>
      <c r="G13" s="636">
        <f t="shared" si="1"/>
        <v>125</v>
      </c>
      <c r="H13" s="636">
        <f t="shared" si="4"/>
        <v>319.8426</v>
      </c>
      <c r="I13" s="636">
        <f>C13*J1</f>
        <v>4085.7699999871661</v>
      </c>
      <c r="J13" s="636">
        <f>G13*J1</f>
        <v>487.5</v>
      </c>
      <c r="K13" s="692">
        <f t="shared" si="3"/>
        <v>1408.8333333300427</v>
      </c>
    </row>
    <row r="14" spans="1:13" s="3" customFormat="1" ht="41.25" customHeight="1">
      <c r="A14" s="662">
        <v>8</v>
      </c>
      <c r="B14" s="763">
        <v>8299679</v>
      </c>
      <c r="C14" s="636">
        <f t="shared" si="0"/>
        <v>1026.7866666699574</v>
      </c>
      <c r="D14" s="770">
        <v>561534</v>
      </c>
      <c r="E14" s="636">
        <f t="shared" si="2"/>
        <v>210</v>
      </c>
      <c r="F14" s="770">
        <v>622115</v>
      </c>
      <c r="G14" s="636">
        <f t="shared" si="1"/>
        <v>50</v>
      </c>
      <c r="H14" s="636">
        <f t="shared" si="4"/>
        <v>185.95500000000004</v>
      </c>
      <c r="I14" s="636">
        <f>C14*J1</f>
        <v>4004.4680000128337</v>
      </c>
      <c r="J14" s="636">
        <f>G14*J1</f>
        <v>195</v>
      </c>
      <c r="K14" s="692">
        <f t="shared" si="3"/>
        <v>1236.7866666699574</v>
      </c>
    </row>
    <row r="15" spans="1:13" s="3" customFormat="1" ht="41.25" customHeight="1">
      <c r="A15" s="662">
        <v>9</v>
      </c>
      <c r="B15" s="763">
        <v>8300714</v>
      </c>
      <c r="C15" s="636">
        <f t="shared" ref="C15:C26" si="5">IF(B15&gt;=B14,B15-B14,0)*1.06</f>
        <v>1097.1000000000001</v>
      </c>
      <c r="D15" s="770">
        <v>561949</v>
      </c>
      <c r="E15" s="636">
        <f t="shared" si="2"/>
        <v>290.5</v>
      </c>
      <c r="F15" s="770">
        <v>622210</v>
      </c>
      <c r="G15" s="636">
        <f t="shared" si="1"/>
        <v>95</v>
      </c>
      <c r="H15" s="636">
        <f t="shared" si="4"/>
        <v>257.23775000000001</v>
      </c>
      <c r="I15" s="636">
        <f>C15*J1</f>
        <v>4278.6900000000005</v>
      </c>
      <c r="J15" s="636">
        <f>G15*J1</f>
        <v>370.5</v>
      </c>
      <c r="K15" s="692">
        <f t="shared" si="3"/>
        <v>1387.6000000000001</v>
      </c>
    </row>
    <row r="16" spans="1:13" s="3" customFormat="1" ht="41.25" customHeight="1">
      <c r="A16" s="662">
        <v>10</v>
      </c>
      <c r="B16" s="763">
        <v>8301719</v>
      </c>
      <c r="C16" s="636">
        <f t="shared" si="5"/>
        <v>1065.3</v>
      </c>
      <c r="D16" s="770">
        <v>562325</v>
      </c>
      <c r="E16" s="636">
        <f t="shared" si="2"/>
        <v>263.2</v>
      </c>
      <c r="F16" s="770">
        <v>622288</v>
      </c>
      <c r="G16" s="636">
        <f t="shared" si="1"/>
        <v>78</v>
      </c>
      <c r="H16" s="636">
        <f t="shared" si="4"/>
        <v>233.06360000000004</v>
      </c>
      <c r="I16" s="636">
        <f>C16*J1</f>
        <v>4154.67</v>
      </c>
      <c r="J16" s="636">
        <f>G16*J1</f>
        <v>304.2</v>
      </c>
      <c r="K16" s="692">
        <f t="shared" si="3"/>
        <v>1328.5</v>
      </c>
    </row>
    <row r="17" spans="1:11" s="3" customFormat="1" ht="41.25" customHeight="1">
      <c r="A17" s="662">
        <v>11</v>
      </c>
      <c r="B17" s="763">
        <v>8302881</v>
      </c>
      <c r="C17" s="636">
        <f t="shared" si="5"/>
        <v>1231.72</v>
      </c>
      <c r="D17" s="770">
        <v>562822</v>
      </c>
      <c r="E17" s="636">
        <f t="shared" si="2"/>
        <v>347.9</v>
      </c>
      <c r="F17" s="770">
        <v>622345</v>
      </c>
      <c r="G17" s="636">
        <f t="shared" si="1"/>
        <v>57</v>
      </c>
      <c r="H17" s="636">
        <f t="shared" si="4"/>
        <v>308.06545</v>
      </c>
      <c r="I17" s="636">
        <f>C17*J1</f>
        <v>4803.7079999999996</v>
      </c>
      <c r="J17" s="636">
        <f>G17*J1</f>
        <v>222.29999999999998</v>
      </c>
      <c r="K17" s="692">
        <f t="shared" si="3"/>
        <v>1579.62</v>
      </c>
    </row>
    <row r="18" spans="1:11" s="3" customFormat="1" ht="41.25" customHeight="1">
      <c r="A18" s="662">
        <v>12</v>
      </c>
      <c r="B18" s="763">
        <v>8303932</v>
      </c>
      <c r="C18" s="636">
        <f t="shared" si="5"/>
        <v>1114.06</v>
      </c>
      <c r="D18" s="770">
        <v>563092</v>
      </c>
      <c r="E18" s="636">
        <f t="shared" si="2"/>
        <v>189</v>
      </c>
      <c r="F18" s="770">
        <v>622449</v>
      </c>
      <c r="G18" s="636">
        <f t="shared" ref="G18:G20" si="6">IF(F18&gt;=F17,F18-F17,0)</f>
        <v>104</v>
      </c>
      <c r="H18" s="636">
        <f t="shared" si="4"/>
        <v>167.35950000000003</v>
      </c>
      <c r="I18" s="636">
        <f>C18*J1</f>
        <v>4344.8339999999998</v>
      </c>
      <c r="J18" s="636">
        <f>G18*J1</f>
        <v>405.59999999999997</v>
      </c>
      <c r="K18" s="692">
        <f t="shared" si="3"/>
        <v>1303.06</v>
      </c>
    </row>
    <row r="19" spans="1:11" s="3" customFormat="1" ht="41.25" customHeight="1">
      <c r="A19" s="662">
        <v>13</v>
      </c>
      <c r="B19" s="763">
        <v>8305003</v>
      </c>
      <c r="C19" s="636">
        <f>IF(B19&gt;=B18,B19-B18,0)*1.06</f>
        <v>1135.26</v>
      </c>
      <c r="D19" s="770">
        <v>563511</v>
      </c>
      <c r="E19" s="636">
        <f>IF(D19&gt;=D18,D19-D18,0)*0.7</f>
        <v>293.29999999999995</v>
      </c>
      <c r="F19" s="770">
        <v>622531</v>
      </c>
      <c r="G19" s="636">
        <f t="shared" si="6"/>
        <v>82</v>
      </c>
      <c r="H19" s="636">
        <f t="shared" si="4"/>
        <v>259.71715</v>
      </c>
      <c r="I19" s="636">
        <f>C19*J1</f>
        <v>4427.5140000000001</v>
      </c>
      <c r="J19" s="636">
        <f>G19*J1</f>
        <v>319.8</v>
      </c>
      <c r="K19" s="692">
        <f t="shared" si="3"/>
        <v>1428.56</v>
      </c>
    </row>
    <row r="20" spans="1:11" s="3" customFormat="1" ht="41.25" customHeight="1">
      <c r="A20" s="662">
        <v>14</v>
      </c>
      <c r="B20" s="763">
        <v>8306080</v>
      </c>
      <c r="C20" s="636">
        <f>IF(B20&gt;=B19,B20-B19,0)*1.06</f>
        <v>1141.6200000000001</v>
      </c>
      <c r="D20" s="770">
        <v>563847</v>
      </c>
      <c r="E20" s="636">
        <f>IF(D20&gt;=D19,D20-D19,0)*0.7</f>
        <v>235.2</v>
      </c>
      <c r="F20" s="770">
        <v>622605</v>
      </c>
      <c r="G20" s="636">
        <f t="shared" si="6"/>
        <v>74</v>
      </c>
      <c r="H20" s="636">
        <f t="shared" si="4"/>
        <v>208.26960000000003</v>
      </c>
      <c r="I20" s="636">
        <f>C20*J1</f>
        <v>4452.3180000000002</v>
      </c>
      <c r="J20" s="636">
        <f>G20*J1</f>
        <v>288.59999999999997</v>
      </c>
      <c r="K20" s="692">
        <f t="shared" si="3"/>
        <v>1376.8200000000002</v>
      </c>
    </row>
    <row r="21" spans="1:11" s="3" customFormat="1" ht="41.25" customHeight="1">
      <c r="A21" s="662">
        <v>15</v>
      </c>
      <c r="B21" s="763">
        <v>8307153</v>
      </c>
      <c r="C21" s="636">
        <f>IF(B21&gt;=B20,B21-B20,0)*1.06</f>
        <v>1137.3800000000001</v>
      </c>
      <c r="D21" s="770">
        <v>564238.33333333302</v>
      </c>
      <c r="E21" s="636">
        <f>IF(D21&gt;=D20,D21-D20,0)*0.7</f>
        <v>273.93333333311602</v>
      </c>
      <c r="F21" s="770">
        <v>622684.33333333302</v>
      </c>
      <c r="G21" s="636">
        <f t="shared" ref="G21:G37" si="7">IF(F21&gt;=F20,F21-F20,0)</f>
        <v>79.333333333022892</v>
      </c>
      <c r="H21" s="636">
        <f t="shared" si="4"/>
        <v>242.56796666647426</v>
      </c>
      <c r="I21" s="636">
        <f>C21*J1</f>
        <v>4435.7820000000002</v>
      </c>
      <c r="J21" s="636">
        <f>G21*J1</f>
        <v>309.39999999878927</v>
      </c>
      <c r="K21" s="692">
        <f t="shared" si="3"/>
        <v>1411.3133333331161</v>
      </c>
    </row>
    <row r="22" spans="1:11" s="3" customFormat="1" ht="41.25" customHeight="1">
      <c r="A22" s="662">
        <v>16</v>
      </c>
      <c r="B22" s="763">
        <v>8308645</v>
      </c>
      <c r="C22" s="636">
        <f t="shared" si="5"/>
        <v>1581.52</v>
      </c>
      <c r="D22" s="770">
        <v>564731</v>
      </c>
      <c r="E22" s="636">
        <f t="shared" si="2"/>
        <v>344.86666666688393</v>
      </c>
      <c r="F22" s="770">
        <v>622796</v>
      </c>
      <c r="G22" s="636">
        <f t="shared" si="7"/>
        <v>111.66666666697711</v>
      </c>
      <c r="H22" s="636">
        <f t="shared" si="4"/>
        <v>305.37943333352581</v>
      </c>
      <c r="I22" s="636">
        <f>C22*J1</f>
        <v>6167.9279999999999</v>
      </c>
      <c r="J22" s="636">
        <f>G22*J1</f>
        <v>435.50000000121071</v>
      </c>
      <c r="K22" s="692">
        <f t="shared" si="3"/>
        <v>1926.3866666668839</v>
      </c>
    </row>
    <row r="23" spans="1:11" s="3" customFormat="1" ht="41.25" customHeight="1">
      <c r="A23" s="662">
        <v>17</v>
      </c>
      <c r="B23" s="763">
        <v>8309668</v>
      </c>
      <c r="C23" s="636">
        <f t="shared" si="5"/>
        <v>1084.3800000000001</v>
      </c>
      <c r="D23" s="770">
        <v>565067</v>
      </c>
      <c r="E23" s="636">
        <f t="shared" si="2"/>
        <v>235.2</v>
      </c>
      <c r="F23" s="770">
        <v>622867</v>
      </c>
      <c r="G23" s="636">
        <f t="shared" si="7"/>
        <v>71</v>
      </c>
      <c r="H23" s="636">
        <f t="shared" si="4"/>
        <v>208.26960000000003</v>
      </c>
      <c r="I23" s="636">
        <f>C23*J1</f>
        <v>4229.0820000000003</v>
      </c>
      <c r="J23" s="636">
        <f>G23*J1</f>
        <v>276.89999999999998</v>
      </c>
      <c r="K23" s="692">
        <f t="shared" si="3"/>
        <v>1319.5800000000002</v>
      </c>
    </row>
    <row r="24" spans="1:11" s="3" customFormat="1" ht="41.25" customHeight="1">
      <c r="A24" s="662">
        <v>18</v>
      </c>
      <c r="B24" s="763">
        <v>8310875</v>
      </c>
      <c r="C24" s="636">
        <f t="shared" si="5"/>
        <v>1279.42</v>
      </c>
      <c r="D24" s="770">
        <v>565480</v>
      </c>
      <c r="E24" s="636">
        <f t="shared" si="2"/>
        <v>289.09999999999997</v>
      </c>
      <c r="F24" s="770">
        <v>622942</v>
      </c>
      <c r="G24" s="636">
        <f t="shared" si="7"/>
        <v>75</v>
      </c>
      <c r="H24" s="636">
        <f t="shared" si="4"/>
        <v>255.99805000000001</v>
      </c>
      <c r="I24" s="636">
        <f>C24*J1</f>
        <v>4989.7380000000003</v>
      </c>
      <c r="J24" s="636">
        <f>G24*J1</f>
        <v>292.5</v>
      </c>
      <c r="K24" s="692">
        <f t="shared" si="3"/>
        <v>1568.52</v>
      </c>
    </row>
    <row r="25" spans="1:11" s="3" customFormat="1" ht="41.25" customHeight="1">
      <c r="A25" s="662">
        <v>19</v>
      </c>
      <c r="B25" s="763">
        <v>8312150</v>
      </c>
      <c r="C25" s="636">
        <f t="shared" si="5"/>
        <v>1351.5</v>
      </c>
      <c r="D25" s="770">
        <v>565977</v>
      </c>
      <c r="E25" s="636">
        <f t="shared" si="2"/>
        <v>347.9</v>
      </c>
      <c r="F25" s="770">
        <v>623022</v>
      </c>
      <c r="G25" s="636">
        <f t="shared" si="7"/>
        <v>80</v>
      </c>
      <c r="H25" s="636">
        <f t="shared" si="4"/>
        <v>308.06545</v>
      </c>
      <c r="I25" s="636">
        <f>C25*J1</f>
        <v>5270.8499999999995</v>
      </c>
      <c r="J25" s="636">
        <f>G25*J1</f>
        <v>312</v>
      </c>
      <c r="K25" s="692">
        <f t="shared" si="3"/>
        <v>1699.4</v>
      </c>
    </row>
    <row r="26" spans="1:11" s="3" customFormat="1" ht="41.25" customHeight="1">
      <c r="A26" s="662">
        <v>20</v>
      </c>
      <c r="B26" s="763">
        <v>8313190</v>
      </c>
      <c r="C26" s="636">
        <f t="shared" si="5"/>
        <v>1102.4000000000001</v>
      </c>
      <c r="D26" s="770">
        <v>566389</v>
      </c>
      <c r="E26" s="636">
        <f t="shared" si="2"/>
        <v>288.39999999999998</v>
      </c>
      <c r="F26" s="770">
        <v>623111</v>
      </c>
      <c r="G26" s="636">
        <f t="shared" si="7"/>
        <v>89</v>
      </c>
      <c r="H26" s="636">
        <f t="shared" si="4"/>
        <v>255.37820000000002</v>
      </c>
      <c r="I26" s="636">
        <f>C26*J1</f>
        <v>4299.3600000000006</v>
      </c>
      <c r="J26" s="636">
        <f>G26*J1</f>
        <v>347.09999999999997</v>
      </c>
      <c r="K26" s="692">
        <f t="shared" si="3"/>
        <v>1390.8000000000002</v>
      </c>
    </row>
    <row r="27" spans="1:11" s="3" customFormat="1" ht="41.25" customHeight="1">
      <c r="A27" s="662">
        <v>21</v>
      </c>
      <c r="B27" s="763">
        <v>8314386.6666666698</v>
      </c>
      <c r="C27" s="636">
        <f>IF(B27&gt;=B26,B27-B26,0)*1.06</f>
        <v>1268.4666666699575</v>
      </c>
      <c r="D27" s="770">
        <v>566809</v>
      </c>
      <c r="E27" s="636">
        <f t="shared" si="2"/>
        <v>294</v>
      </c>
      <c r="F27" s="770">
        <v>623201</v>
      </c>
      <c r="G27" s="636">
        <f t="shared" si="7"/>
        <v>90</v>
      </c>
      <c r="H27" s="636">
        <f t="shared" si="4"/>
        <v>260.33700000000005</v>
      </c>
      <c r="I27" s="636">
        <f>C27*J1</f>
        <v>4947.0200000128343</v>
      </c>
      <c r="J27" s="636">
        <f>G27*J1</f>
        <v>351</v>
      </c>
      <c r="K27" s="692">
        <f t="shared" si="3"/>
        <v>1562.4666666699575</v>
      </c>
    </row>
    <row r="28" spans="1:11" s="3" customFormat="1" ht="41.25" customHeight="1">
      <c r="A28" s="662">
        <v>22</v>
      </c>
      <c r="B28" s="763">
        <v>8315397</v>
      </c>
      <c r="C28" s="636">
        <f>IF(B28&gt;=B27,B28-B27,0)*1.06</f>
        <v>1070.9533333300428</v>
      </c>
      <c r="D28" s="770">
        <v>567205</v>
      </c>
      <c r="E28" s="636">
        <f t="shared" si="2"/>
        <v>277.2</v>
      </c>
      <c r="F28" s="770">
        <v>623275</v>
      </c>
      <c r="G28" s="636">
        <f t="shared" si="7"/>
        <v>74</v>
      </c>
      <c r="H28" s="636">
        <f>(E28*0.55)*1.61</f>
        <v>245.46060000000003</v>
      </c>
      <c r="I28" s="636">
        <f>C28*J1</f>
        <v>4176.7179999871669</v>
      </c>
      <c r="J28" s="636">
        <f>G28*J1</f>
        <v>288.59999999999997</v>
      </c>
      <c r="K28" s="692">
        <f t="shared" si="3"/>
        <v>1348.1533333300429</v>
      </c>
    </row>
    <row r="29" spans="1:11" s="3" customFormat="1" ht="41.25" customHeight="1">
      <c r="A29" s="662">
        <v>23</v>
      </c>
      <c r="B29" s="763">
        <v>8316590</v>
      </c>
      <c r="C29" s="636">
        <f>IF(B29&gt;=B28,B29-B28,0)*1.06</f>
        <v>1264.5800000000002</v>
      </c>
      <c r="D29" s="770">
        <v>567611</v>
      </c>
      <c r="E29" s="636">
        <f t="shared" si="2"/>
        <v>284.2</v>
      </c>
      <c r="F29" s="770">
        <v>623367</v>
      </c>
      <c r="G29" s="636">
        <f t="shared" si="7"/>
        <v>92</v>
      </c>
      <c r="H29" s="636">
        <f>(E29*0.55)*1.61</f>
        <v>251.65910000000002</v>
      </c>
      <c r="I29" s="636">
        <f>C29*J1</f>
        <v>4931.8620000000001</v>
      </c>
      <c r="J29" s="636">
        <f>G29*J1</f>
        <v>358.8</v>
      </c>
      <c r="K29" s="692">
        <f t="shared" si="3"/>
        <v>1548.7800000000002</v>
      </c>
    </row>
    <row r="30" spans="1:11" s="3" customFormat="1" ht="41.25" customHeight="1">
      <c r="A30" s="662">
        <v>24</v>
      </c>
      <c r="B30" s="763">
        <v>8317945</v>
      </c>
      <c r="C30" s="636">
        <f>IF(B30&gt;=B29,B30-B29,0)*1.06</f>
        <v>1436.3000000000002</v>
      </c>
      <c r="D30" s="770">
        <v>568024</v>
      </c>
      <c r="E30" s="636">
        <f t="shared" si="2"/>
        <v>289.09999999999997</v>
      </c>
      <c r="F30" s="770">
        <v>623446</v>
      </c>
      <c r="G30" s="636">
        <f t="shared" si="7"/>
        <v>79</v>
      </c>
      <c r="H30" s="636">
        <f>(E30*0.55)*1.61</f>
        <v>255.99805000000001</v>
      </c>
      <c r="I30" s="636">
        <f>C30*J1</f>
        <v>5601.5700000000006</v>
      </c>
      <c r="J30" s="636">
        <f>G30*J1</f>
        <v>308.09999999999997</v>
      </c>
      <c r="K30" s="692">
        <f t="shared" si="3"/>
        <v>1725.4</v>
      </c>
    </row>
    <row r="31" spans="1:11" s="3" customFormat="1" ht="41.25" customHeight="1">
      <c r="A31" s="662">
        <v>25</v>
      </c>
      <c r="B31" s="763">
        <v>8319496</v>
      </c>
      <c r="C31" s="636">
        <f>IF(B31&gt;=B30,B31-B30,0)*1.06</f>
        <v>1644.0600000000002</v>
      </c>
      <c r="D31" s="770">
        <v>568564</v>
      </c>
      <c r="E31" s="636">
        <f t="shared" si="2"/>
        <v>378</v>
      </c>
      <c r="F31" s="770">
        <v>623538</v>
      </c>
      <c r="G31" s="636">
        <f t="shared" si="7"/>
        <v>92</v>
      </c>
      <c r="H31" s="636">
        <f t="shared" si="4"/>
        <v>334.71900000000005</v>
      </c>
      <c r="I31" s="636">
        <f>C31*J3</f>
        <v>0</v>
      </c>
      <c r="J31" s="636">
        <f>G31*J1</f>
        <v>358.8</v>
      </c>
      <c r="K31" s="692">
        <f t="shared" si="3"/>
        <v>2022.0600000000002</v>
      </c>
    </row>
    <row r="32" spans="1:11" s="3" customFormat="1" ht="41.25" customHeight="1">
      <c r="A32" s="662">
        <v>26</v>
      </c>
      <c r="B32" s="763">
        <v>8320732</v>
      </c>
      <c r="C32" s="636">
        <f>IF(B32&gt;=B31,B32-B31,0)*1.06</f>
        <v>1310.1600000000001</v>
      </c>
      <c r="D32" s="770">
        <v>568820</v>
      </c>
      <c r="E32" s="636">
        <f t="shared" si="2"/>
        <v>179.2</v>
      </c>
      <c r="F32" s="770">
        <v>623612</v>
      </c>
      <c r="G32" s="636">
        <f t="shared" si="7"/>
        <v>74</v>
      </c>
      <c r="H32" s="636">
        <f t="shared" si="4"/>
        <v>158.6816</v>
      </c>
      <c r="I32" s="636">
        <f>C32*J1</f>
        <v>5109.6239999999998</v>
      </c>
      <c r="J32" s="636">
        <f>G32*J1</f>
        <v>288.59999999999997</v>
      </c>
      <c r="K32" s="692">
        <f t="shared" si="3"/>
        <v>1489.3600000000001</v>
      </c>
    </row>
    <row r="33" spans="1:13" s="205" customFormat="1" ht="41.25" customHeight="1">
      <c r="A33" s="663">
        <v>27</v>
      </c>
      <c r="B33" s="763">
        <v>8321936</v>
      </c>
      <c r="C33" s="636">
        <f t="shared" ref="C33:C37" si="8">IF(B33&gt;=B32,B33-B32,0)*1.06</f>
        <v>1276.24</v>
      </c>
      <c r="D33" s="770">
        <v>569220</v>
      </c>
      <c r="E33" s="636">
        <f t="shared" si="2"/>
        <v>280</v>
      </c>
      <c r="F33" s="770">
        <v>623712</v>
      </c>
      <c r="G33" s="636">
        <f t="shared" si="7"/>
        <v>100</v>
      </c>
      <c r="H33" s="636">
        <f t="shared" si="4"/>
        <v>247.94000000000003</v>
      </c>
      <c r="I33" s="636">
        <f>C33*J1</f>
        <v>4977.3360000000002</v>
      </c>
      <c r="J33" s="636">
        <f>G33*J1</f>
        <v>390</v>
      </c>
      <c r="K33" s="692">
        <f t="shared" si="3"/>
        <v>1556.24</v>
      </c>
    </row>
    <row r="34" spans="1:13" s="205" customFormat="1" ht="41.25" customHeight="1">
      <c r="A34" s="663">
        <v>28</v>
      </c>
      <c r="B34" s="763">
        <v>8323383</v>
      </c>
      <c r="C34" s="636">
        <f t="shared" si="8"/>
        <v>1533.8200000000002</v>
      </c>
      <c r="D34" s="770">
        <v>569618</v>
      </c>
      <c r="E34" s="636">
        <f t="shared" si="2"/>
        <v>278.59999999999997</v>
      </c>
      <c r="F34" s="770">
        <v>623794</v>
      </c>
      <c r="G34" s="636">
        <f t="shared" si="7"/>
        <v>82</v>
      </c>
      <c r="H34" s="636">
        <f t="shared" si="4"/>
        <v>246.7003</v>
      </c>
      <c r="I34" s="636">
        <f>C34*J1</f>
        <v>5981.8980000000001</v>
      </c>
      <c r="J34" s="636">
        <f>G34*J1</f>
        <v>319.8</v>
      </c>
      <c r="K34" s="692">
        <f t="shared" si="3"/>
        <v>1812.42</v>
      </c>
    </row>
    <row r="35" spans="1:13" s="205" customFormat="1" ht="41.25" customHeight="1">
      <c r="A35" s="662">
        <v>29</v>
      </c>
      <c r="B35" s="763">
        <v>8324319</v>
      </c>
      <c r="C35" s="636">
        <f t="shared" si="8"/>
        <v>992.16000000000008</v>
      </c>
      <c r="D35" s="770">
        <v>570030</v>
      </c>
      <c r="E35" s="636">
        <f t="shared" si="2"/>
        <v>288.39999999999998</v>
      </c>
      <c r="F35" s="770">
        <v>623865</v>
      </c>
      <c r="G35" s="636">
        <f t="shared" si="7"/>
        <v>71</v>
      </c>
      <c r="H35" s="636">
        <f t="shared" si="4"/>
        <v>255.37820000000002</v>
      </c>
      <c r="I35" s="636">
        <f>C35*J1</f>
        <v>3869.4240000000004</v>
      </c>
      <c r="J35" s="636">
        <f>G35*J1</f>
        <v>276.89999999999998</v>
      </c>
      <c r="K35" s="692">
        <f t="shared" si="3"/>
        <v>1280.56</v>
      </c>
    </row>
    <row r="36" spans="1:13" s="205" customFormat="1" ht="41.25" customHeight="1">
      <c r="A36" s="663">
        <v>30</v>
      </c>
      <c r="B36" s="763">
        <v>8325662</v>
      </c>
      <c r="C36" s="636">
        <f t="shared" si="8"/>
        <v>1423.5800000000002</v>
      </c>
      <c r="D36" s="770">
        <v>570405</v>
      </c>
      <c r="E36" s="636">
        <f>IF(D36&gt;=D35,D36-D35,0)*0.7</f>
        <v>262.5</v>
      </c>
      <c r="F36" s="770">
        <v>623957</v>
      </c>
      <c r="G36" s="636">
        <f t="shared" si="7"/>
        <v>92</v>
      </c>
      <c r="H36" s="636">
        <f t="shared" si="4"/>
        <v>232.44375000000002</v>
      </c>
      <c r="I36" s="636">
        <f>C36*J1</f>
        <v>5551.9620000000004</v>
      </c>
      <c r="J36" s="636">
        <f>G36*J1</f>
        <v>358.8</v>
      </c>
      <c r="K36" s="692">
        <f t="shared" si="3"/>
        <v>1686.0800000000002</v>
      </c>
    </row>
    <row r="37" spans="1:13" s="205" customFormat="1" ht="41.25" customHeight="1">
      <c r="A37" s="663">
        <v>31</v>
      </c>
      <c r="B37" s="763">
        <v>8325662</v>
      </c>
      <c r="C37" s="636">
        <f t="shared" si="8"/>
        <v>0</v>
      </c>
      <c r="D37" s="770">
        <v>570405</v>
      </c>
      <c r="E37" s="636">
        <f>IF(D37&gt;=D36,D37-D36,0)*0.7</f>
        <v>0</v>
      </c>
      <c r="F37" s="770">
        <v>623957</v>
      </c>
      <c r="G37" s="636">
        <f t="shared" si="7"/>
        <v>0</v>
      </c>
      <c r="H37" s="636">
        <f t="shared" si="4"/>
        <v>0</v>
      </c>
      <c r="I37" s="636">
        <f>C37*J1</f>
        <v>0</v>
      </c>
      <c r="J37" s="636">
        <f>G37*J1</f>
        <v>0</v>
      </c>
      <c r="K37" s="692">
        <f t="shared" si="3"/>
        <v>0</v>
      </c>
    </row>
    <row r="38" spans="1:13" s="205" customFormat="1" ht="41.25" customHeight="1">
      <c r="A38" s="664" t="s">
        <v>125</v>
      </c>
      <c r="B38" s="687"/>
      <c r="C38" s="688">
        <f>SUM(C7:C37)</f>
        <v>35631.900000000009</v>
      </c>
      <c r="D38" s="687"/>
      <c r="E38" s="688">
        <f>SUM(E7:E37)</f>
        <v>8215.5111111108199</v>
      </c>
      <c r="F38" s="687"/>
      <c r="G38" s="688">
        <f>SUM(G7:G37)</f>
        <v>2528</v>
      </c>
      <c r="H38" s="689">
        <f>SUM(H6:H37)</f>
        <v>7274.8350888886343</v>
      </c>
      <c r="I38" s="689">
        <f>SUM(I6:I37)</f>
        <v>132552.57600000003</v>
      </c>
      <c r="J38" s="689">
        <f>SUM(J6:J37)</f>
        <v>9859.1999999999989</v>
      </c>
      <c r="K38" s="734">
        <f>SUM(K6:K37)</f>
        <v>43847.411111110814</v>
      </c>
    </row>
    <row r="39" spans="1:13" s="205" customFormat="1" ht="41.25" customHeight="1" thickBot="1">
      <c r="A39" s="665" t="s">
        <v>171</v>
      </c>
      <c r="B39" s="690"/>
      <c r="C39" s="691">
        <f>C38/A42</f>
        <v>1187.7300000000002</v>
      </c>
      <c r="D39" s="690"/>
      <c r="E39" s="691">
        <f>E38/A42</f>
        <v>273.85037037036068</v>
      </c>
      <c r="F39" s="690"/>
      <c r="G39" s="691">
        <f>G38/A42</f>
        <v>84.266666666666666</v>
      </c>
      <c r="H39" s="691">
        <f>H38/A42</f>
        <v>242.49450296295447</v>
      </c>
      <c r="I39" s="691">
        <f>I38/A42</f>
        <v>4418.4192000000012</v>
      </c>
      <c r="J39" s="691">
        <f>J38/A42</f>
        <v>328.64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127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20">
        <f>Elect!A1</f>
        <v>44805</v>
      </c>
      <c r="B1" s="168"/>
      <c r="C1" s="168"/>
      <c r="H1" s="139"/>
      <c r="I1" s="140"/>
      <c r="J1" s="141"/>
      <c r="K1" s="141"/>
      <c r="L1" s="922" t="s">
        <v>172</v>
      </c>
      <c r="M1" s="922"/>
      <c r="N1" s="922"/>
      <c r="P1" s="923">
        <f>Elect!A1</f>
        <v>44805</v>
      </c>
      <c r="Q1" s="92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21"/>
      <c r="B2" s="907" t="s">
        <v>173</v>
      </c>
      <c r="C2" s="908"/>
      <c r="D2" s="908"/>
      <c r="E2" s="908"/>
      <c r="F2" s="908"/>
      <c r="G2" s="924"/>
      <c r="H2" s="907" t="s">
        <v>131</v>
      </c>
      <c r="I2" s="908"/>
      <c r="J2" s="908"/>
      <c r="K2" s="908"/>
      <c r="L2" s="908"/>
      <c r="M2" s="908"/>
      <c r="N2" s="908"/>
      <c r="O2" s="908"/>
      <c r="P2" s="924"/>
      <c r="Q2" s="147"/>
      <c r="R2" s="793"/>
      <c r="S2" s="148"/>
      <c r="T2" s="149"/>
      <c r="U2" s="150" t="s">
        <v>174</v>
      </c>
      <c r="V2" s="149"/>
      <c r="W2" s="149"/>
      <c r="X2" s="149"/>
      <c r="Y2" s="149"/>
      <c r="Z2" s="796"/>
      <c r="AA2" s="795"/>
      <c r="AB2" s="151"/>
      <c r="AC2" s="169" t="s">
        <v>175</v>
      </c>
      <c r="AD2" s="794"/>
      <c r="AE2" s="797"/>
      <c r="AF2" s="152"/>
      <c r="AG2" s="895" t="s">
        <v>49</v>
      </c>
      <c r="AH2" s="896"/>
      <c r="AI2" s="896"/>
      <c r="AJ2" s="354" t="s">
        <v>176</v>
      </c>
      <c r="AK2" s="901" t="s">
        <v>177</v>
      </c>
      <c r="AL2" s="903" t="s">
        <v>178</v>
      </c>
      <c r="AM2" s="903" t="s">
        <v>179</v>
      </c>
      <c r="AN2" s="893" t="s">
        <v>180</v>
      </c>
      <c r="AO2" s="911" t="s">
        <v>181</v>
      </c>
      <c r="AP2" s="912" t="s">
        <v>182</v>
      </c>
      <c r="AQ2" s="914" t="s">
        <v>183</v>
      </c>
      <c r="AR2" s="916" t="s">
        <v>184</v>
      </c>
      <c r="AS2" s="918" t="s">
        <v>182</v>
      </c>
      <c r="AT2" s="909" t="s">
        <v>185</v>
      </c>
      <c r="AU2" s="910"/>
      <c r="AV2" s="907" t="s">
        <v>186</v>
      </c>
      <c r="AW2" s="908"/>
      <c r="AX2" s="172"/>
      <c r="AY2" s="173"/>
      <c r="AZ2" s="174" t="s">
        <v>187</v>
      </c>
      <c r="BA2" s="174"/>
      <c r="BB2" s="175"/>
      <c r="BC2" s="155"/>
      <c r="BD2" s="153"/>
      <c r="BE2" s="793" t="s">
        <v>188</v>
      </c>
      <c r="BF2" s="793"/>
      <c r="BG2" s="154"/>
      <c r="BH2" s="174"/>
      <c r="BI2" s="174"/>
      <c r="BJ2" s="174" t="s">
        <v>189</v>
      </c>
      <c r="BK2" s="174"/>
      <c r="BL2" s="175"/>
      <c r="BM2" s="793"/>
      <c r="BN2" s="793"/>
      <c r="BO2" s="793" t="s">
        <v>190</v>
      </c>
      <c r="BP2" s="793"/>
      <c r="BQ2" s="154"/>
    </row>
    <row r="3" spans="1:69" ht="174.75" customHeight="1" thickBot="1">
      <c r="A3" s="156" t="s">
        <v>63</v>
      </c>
      <c r="B3" s="925" t="s">
        <v>191</v>
      </c>
      <c r="C3" s="926"/>
      <c r="D3" s="927" t="s">
        <v>65</v>
      </c>
      <c r="E3" s="928"/>
      <c r="F3" s="929" t="s">
        <v>66</v>
      </c>
      <c r="G3" s="930"/>
      <c r="H3" s="929" t="s">
        <v>192</v>
      </c>
      <c r="I3" s="930"/>
      <c r="J3" s="931" t="s">
        <v>193</v>
      </c>
      <c r="K3" s="932"/>
      <c r="L3" s="933" t="s">
        <v>194</v>
      </c>
      <c r="M3" s="934"/>
      <c r="N3" s="152" t="s">
        <v>195</v>
      </c>
      <c r="O3" s="897" t="s">
        <v>144</v>
      </c>
      <c r="P3" s="898"/>
      <c r="Q3" s="897" t="s">
        <v>196</v>
      </c>
      <c r="R3" s="898"/>
      <c r="S3" s="899" t="s">
        <v>197</v>
      </c>
      <c r="T3" s="900"/>
      <c r="U3" s="899" t="s">
        <v>198</v>
      </c>
      <c r="V3" s="900"/>
      <c r="W3" s="905" t="s">
        <v>199</v>
      </c>
      <c r="X3" s="906"/>
      <c r="Y3" s="899" t="s">
        <v>200</v>
      </c>
      <c r="Z3" s="900"/>
      <c r="AA3" s="905" t="s">
        <v>201</v>
      </c>
      <c r="AB3" s="906"/>
      <c r="AC3" s="899" t="s">
        <v>202</v>
      </c>
      <c r="AD3" s="900"/>
      <c r="AE3" s="157" t="s">
        <v>203</v>
      </c>
      <c r="AF3" s="386" t="s">
        <v>204</v>
      </c>
      <c r="AG3" s="181" t="s">
        <v>205</v>
      </c>
      <c r="AH3" s="158" t="s">
        <v>206</v>
      </c>
      <c r="AI3" s="159" t="s">
        <v>150</v>
      </c>
      <c r="AJ3" s="355">
        <v>0</v>
      </c>
      <c r="AK3" s="902"/>
      <c r="AL3" s="904"/>
      <c r="AM3" s="904"/>
      <c r="AN3" s="894"/>
      <c r="AO3" s="969"/>
      <c r="AP3" s="913"/>
      <c r="AQ3" s="915"/>
      <c r="AR3" s="917"/>
      <c r="AS3" s="919"/>
      <c r="AT3" s="161" t="s">
        <v>207</v>
      </c>
      <c r="AU3" s="161" t="s">
        <v>208</v>
      </c>
      <c r="AV3" s="160" t="s">
        <v>136</v>
      </c>
      <c r="AW3" s="162" t="s">
        <v>138</v>
      </c>
      <c r="AX3" s="176" t="s">
        <v>137</v>
      </c>
      <c r="AY3" s="177" t="s">
        <v>139</v>
      </c>
      <c r="AZ3" s="356" t="s">
        <v>140</v>
      </c>
      <c r="BA3" s="178" t="s">
        <v>209</v>
      </c>
      <c r="BB3" s="179" t="s">
        <v>210</v>
      </c>
      <c r="BC3" s="387" t="s">
        <v>137</v>
      </c>
      <c r="BD3" s="388" t="s">
        <v>139</v>
      </c>
      <c r="BE3" s="357" t="s">
        <v>140</v>
      </c>
      <c r="BF3" s="164" t="s">
        <v>209</v>
      </c>
      <c r="BG3" s="165" t="s">
        <v>210</v>
      </c>
      <c r="BH3" s="177" t="s">
        <v>137</v>
      </c>
      <c r="BI3" s="177" t="s">
        <v>139</v>
      </c>
      <c r="BJ3" s="356" t="s">
        <v>140</v>
      </c>
      <c r="BK3" s="178" t="s">
        <v>209</v>
      </c>
      <c r="BL3" s="179" t="s">
        <v>210</v>
      </c>
      <c r="BM3" s="163" t="s">
        <v>137</v>
      </c>
      <c r="BN3" s="163" t="s">
        <v>139</v>
      </c>
      <c r="BO3" s="357" t="s">
        <v>140</v>
      </c>
      <c r="BP3" s="164" t="s">
        <v>209</v>
      </c>
      <c r="BQ3" s="165" t="s">
        <v>210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5548.333333298564</v>
      </c>
      <c r="D5" s="461">
        <v>0</v>
      </c>
      <c r="E5" s="460">
        <f>Elect!M6</f>
        <v>1485.3333333332994</v>
      </c>
      <c r="F5" s="461">
        <v>20</v>
      </c>
      <c r="G5" s="460">
        <f>Elect!O6</f>
        <v>1757.6666666670062</v>
      </c>
      <c r="H5" s="461">
        <v>800</v>
      </c>
      <c r="I5" s="460">
        <f>Water!C7</f>
        <v>127.6</v>
      </c>
      <c r="J5" s="461">
        <v>0</v>
      </c>
      <c r="K5" s="460">
        <f>Water!E7</f>
        <v>150.79999999999998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386.28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224.04239999999996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923.26</v>
      </c>
      <c r="AI5" s="465" t="e">
        <f>Gas!#REF!</f>
        <v>#REF!</v>
      </c>
      <c r="AJ5" s="466">
        <f>Gas!J7</f>
        <v>315.89999999999998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162</v>
      </c>
      <c r="AU5" s="460">
        <f>Elect!BP6</f>
        <v>80.333333333022892</v>
      </c>
      <c r="AV5" s="460" t="e">
        <f>Elect!#REF!</f>
        <v>#REF!</v>
      </c>
      <c r="AW5" s="460">
        <f>Elect!BR6</f>
        <v>162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2.4761538461538461</v>
      </c>
      <c r="BN5" s="477" t="e">
        <f>Water!W7</f>
        <v>#DIV/0!</v>
      </c>
      <c r="BO5" s="472">
        <f>Water!X7</f>
        <v>1545.12</v>
      </c>
      <c r="BP5" s="477">
        <f>Water!Y7</f>
        <v>9.9046153846153846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6081</v>
      </c>
      <c r="D6" s="461">
        <v>0</v>
      </c>
      <c r="E6" s="460">
        <f>Elect!M7</f>
        <v>1978</v>
      </c>
      <c r="F6" s="461">
        <v>20</v>
      </c>
      <c r="G6" s="460">
        <f>Elect!O7</f>
        <v>2203</v>
      </c>
      <c r="H6" s="461">
        <v>936</v>
      </c>
      <c r="I6" s="460">
        <f>Water!C8</f>
        <v>104.39999999999999</v>
      </c>
      <c r="J6" s="461">
        <v>0</v>
      </c>
      <c r="K6" s="460">
        <f>Water!E8</f>
        <v>145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378.74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219.66919999999999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8292918</v>
      </c>
      <c r="AH6" s="464">
        <f>Gas!C8</f>
        <v>935.98</v>
      </c>
      <c r="AI6" s="465" t="e">
        <f>Gas!#REF!</f>
        <v>#REF!</v>
      </c>
      <c r="AJ6" s="466">
        <f>Gas!J8</f>
        <v>339.3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153</v>
      </c>
      <c r="AU6" s="460">
        <f>Elect!BP7</f>
        <v>91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549652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2.0145744680851063</v>
      </c>
      <c r="BN6" s="477" t="e">
        <f>Water!W8</f>
        <v>#DIV/0!</v>
      </c>
      <c r="BO6" s="472">
        <f>Water!X8</f>
        <v>1514.96</v>
      </c>
      <c r="BP6" s="477">
        <f>Water!Y8</f>
        <v>8.0582978723404253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4741</v>
      </c>
      <c r="D7" s="461">
        <v>0</v>
      </c>
      <c r="E7" s="460">
        <f>Elect!M8</f>
        <v>1768</v>
      </c>
      <c r="F7" s="461">
        <v>20</v>
      </c>
      <c r="G7" s="460">
        <f>Elect!O8</f>
        <v>1966</v>
      </c>
      <c r="H7" s="461">
        <v>685</v>
      </c>
      <c r="I7" s="460">
        <f>Water!C9</f>
        <v>115.99999999999999</v>
      </c>
      <c r="J7" s="461">
        <v>0</v>
      </c>
      <c r="K7" s="460">
        <f>Water!E9</f>
        <v>145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391.5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227.07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8294757</v>
      </c>
      <c r="AH7" s="464">
        <f>Gas!C9</f>
        <v>1013.36</v>
      </c>
      <c r="AI7" s="465" t="e">
        <f>Gas!#REF!</f>
        <v>#REF!</v>
      </c>
      <c r="AJ7" s="466">
        <f>Gas!J9</f>
        <v>351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150</v>
      </c>
      <c r="AU7" s="460">
        <f>Elect!BP8</f>
        <v>81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549802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2.4166666666666665</v>
      </c>
      <c r="BN7" s="477" t="e">
        <f>Water!W9</f>
        <v>#DIV/0!</v>
      </c>
      <c r="BO7" s="472">
        <f>Water!X9</f>
        <v>1566</v>
      </c>
      <c r="BP7" s="477">
        <f>Water!Y9</f>
        <v>9.6666666666666661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4676</v>
      </c>
      <c r="D8" s="461">
        <v>0</v>
      </c>
      <c r="E8" s="460">
        <f>Elect!M9</f>
        <v>1837</v>
      </c>
      <c r="F8" s="461">
        <v>20</v>
      </c>
      <c r="G8" s="460">
        <f>Elect!O9</f>
        <v>2272</v>
      </c>
      <c r="H8" s="461">
        <v>786</v>
      </c>
      <c r="I8" s="460">
        <f>Water!C10</f>
        <v>115.99999999999999</v>
      </c>
      <c r="J8" s="461">
        <v>0</v>
      </c>
      <c r="K8" s="460">
        <f>Water!E10</f>
        <v>150.79999999999998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399.03999999999996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231.44319999999996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8295752</v>
      </c>
      <c r="AH8" s="464">
        <f>Gas!C10</f>
        <v>1054.7</v>
      </c>
      <c r="AI8" s="465" t="e">
        <f>Gas!#REF!</f>
        <v>#REF!</v>
      </c>
      <c r="AJ8" s="466">
        <f>Gas!J10</f>
        <v>300.3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163</v>
      </c>
      <c r="AU8" s="460">
        <f>Elect!BP9</f>
        <v>91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549965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2.433170731707317</v>
      </c>
      <c r="BN8" s="477" t="e">
        <f>Water!W10</f>
        <v>#DIV/0!</v>
      </c>
      <c r="BO8" s="472">
        <f>Water!X10</f>
        <v>1596.1599999999999</v>
      </c>
      <c r="BP8" s="477">
        <f>Water!Y10</f>
        <v>9.7326829268292681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5153</v>
      </c>
      <c r="D9" s="461">
        <v>0</v>
      </c>
      <c r="E9" s="460">
        <f>Elect!M10</f>
        <v>1803</v>
      </c>
      <c r="F9" s="461">
        <v>20</v>
      </c>
      <c r="G9" s="460">
        <f>Elect!O10</f>
        <v>2043</v>
      </c>
      <c r="H9" s="461">
        <v>789</v>
      </c>
      <c r="I9" s="460">
        <f>Water!C11</f>
        <v>110.19999999999999</v>
      </c>
      <c r="J9" s="461">
        <v>0</v>
      </c>
      <c r="K9" s="460">
        <f>Water!E11</f>
        <v>150.79999999999998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392.08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227.40639999999996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8296747</v>
      </c>
      <c r="AH9" s="464">
        <f>Gas!C11</f>
        <v>1054.7</v>
      </c>
      <c r="AI9" s="465" t="e">
        <f>Gas!#REF!</f>
        <v>#REF!</v>
      </c>
      <c r="AJ9" s="466">
        <f>Gas!J11</f>
        <v>312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139</v>
      </c>
      <c r="AU9" s="460">
        <f>Elect!BP10</f>
        <v>89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550104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2.9929770992366409</v>
      </c>
      <c r="BN9" s="477" t="e">
        <f>Water!W11</f>
        <v>#DIV/0!</v>
      </c>
      <c r="BO9" s="472">
        <f>Water!X11</f>
        <v>1568.32</v>
      </c>
      <c r="BP9" s="477">
        <f>Water!Y11</f>
        <v>11.971908396946564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5128</v>
      </c>
      <c r="D10" s="461">
        <v>0</v>
      </c>
      <c r="E10" s="460">
        <f>Elect!M11</f>
        <v>1896</v>
      </c>
      <c r="F10" s="461">
        <v>20</v>
      </c>
      <c r="G10" s="460">
        <f>Elect!O11</f>
        <v>1876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150.79999999999998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396.14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229.76119999999997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8297722</v>
      </c>
      <c r="AH10" s="464">
        <f>Gas!C12</f>
        <v>1033.5</v>
      </c>
      <c r="AI10" s="465" t="e">
        <f>Gas!#REF!</f>
        <v>#REF!</v>
      </c>
      <c r="AJ10" s="466">
        <f>Gas!J12</f>
        <v>374.4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148</v>
      </c>
      <c r="AU10" s="460">
        <f>Elect!BP11</f>
        <v>113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550252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2.7319999999999998</v>
      </c>
      <c r="BN10" s="477" t="e">
        <f>Water!W12</f>
        <v>#DIV/0!</v>
      </c>
      <c r="BO10" s="472">
        <f>Water!X12</f>
        <v>1584.56</v>
      </c>
      <c r="BP10" s="477">
        <f>Water!Y12</f>
        <v>10.927999999999999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5622</v>
      </c>
      <c r="D11" s="461">
        <v>0</v>
      </c>
      <c r="E11" s="460">
        <f>Elect!M12</f>
        <v>1911</v>
      </c>
      <c r="F11" s="461">
        <v>20</v>
      </c>
      <c r="G11" s="460">
        <f>Elect!O12</f>
        <v>1893</v>
      </c>
      <c r="H11" s="461">
        <v>871</v>
      </c>
      <c r="I11" s="460">
        <f>Water!C13</f>
        <v>150.79999999999998</v>
      </c>
      <c r="J11" s="461">
        <v>0</v>
      </c>
      <c r="K11" s="460">
        <f>Water!E13</f>
        <v>197.2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520.83999999999992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302.08719999999994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8298710.3333333302</v>
      </c>
      <c r="AH11" s="464">
        <f>Gas!C13</f>
        <v>1047.6333333300427</v>
      </c>
      <c r="AI11" s="465" t="e">
        <f>Gas!#REF!</f>
        <v>#REF!</v>
      </c>
      <c r="AJ11" s="466">
        <f>Gas!J13</f>
        <v>487.5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140</v>
      </c>
      <c r="AU11" s="460">
        <f>Elect!BP12</f>
        <v>81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550392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3.4492715231788074</v>
      </c>
      <c r="BN11" s="477" t="e">
        <f>Water!W13</f>
        <v>#DIV/0!</v>
      </c>
      <c r="BO11" s="472">
        <f>Water!X13</f>
        <v>2083.3599999999997</v>
      </c>
      <c r="BP11" s="477">
        <f>Water!Y13</f>
        <v>13.797086092715229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5364</v>
      </c>
      <c r="D12" s="461">
        <v>0</v>
      </c>
      <c r="E12" s="460">
        <f>Elect!M13</f>
        <v>1886</v>
      </c>
      <c r="F12" s="461">
        <v>20</v>
      </c>
      <c r="G12" s="460">
        <f>Elect!O13</f>
        <v>1894</v>
      </c>
      <c r="H12" s="461">
        <v>963</v>
      </c>
      <c r="I12" s="460">
        <f>Water!C14</f>
        <v>63.8</v>
      </c>
      <c r="J12" s="461">
        <v>0</v>
      </c>
      <c r="K12" s="460">
        <f>Water!E14</f>
        <v>81.199999999999989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235.48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136.57839999999999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8299679</v>
      </c>
      <c r="AH12" s="464">
        <f>Gas!C14</f>
        <v>1026.7866666699574</v>
      </c>
      <c r="AI12" s="465" t="e">
        <f>Gas!#REF!</f>
        <v>#REF!</v>
      </c>
      <c r="AJ12" s="466">
        <f>Gas!J14</f>
        <v>195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160</v>
      </c>
      <c r="AU12" s="460">
        <f>Elect!BP13</f>
        <v>79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550552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1.410059880239521</v>
      </c>
      <c r="BN12" s="477" t="e">
        <f>Water!W14</f>
        <v>#DIV/0!</v>
      </c>
      <c r="BO12" s="472">
        <f>Water!X14</f>
        <v>941.92</v>
      </c>
      <c r="BP12" s="477">
        <f>Water!Y14</f>
        <v>5.640239520958084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5235</v>
      </c>
      <c r="D13" s="461">
        <v>0</v>
      </c>
      <c r="E13" s="460">
        <f>Elect!M14</f>
        <v>1834</v>
      </c>
      <c r="F13" s="461">
        <v>20</v>
      </c>
      <c r="G13" s="460">
        <f>Elect!O14</f>
        <v>1908</v>
      </c>
      <c r="H13" s="461">
        <v>790</v>
      </c>
      <c r="I13" s="460">
        <f>Water!C15</f>
        <v>115.99999999999999</v>
      </c>
      <c r="J13" s="461">
        <v>0</v>
      </c>
      <c r="K13" s="460">
        <f>Water!E15</f>
        <v>150.79999999999998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403.09999999999991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233.79799999999994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8300714</v>
      </c>
      <c r="AH13" s="464">
        <f>Gas!C15</f>
        <v>1097.1000000000001</v>
      </c>
      <c r="AI13" s="465" t="e">
        <f>Gas!#REF!</f>
        <v>#REF!</v>
      </c>
      <c r="AJ13" s="466">
        <f>Gas!J15</f>
        <v>370.5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153</v>
      </c>
      <c r="AU13" s="460">
        <f>Elect!BP14</f>
        <v>90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550705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2.5512658227848095</v>
      </c>
      <c r="BN13" s="477" t="e">
        <f>Water!W15</f>
        <v>#DIV/0!</v>
      </c>
      <c r="BO13" s="472">
        <f>Water!X15</f>
        <v>1612.3999999999996</v>
      </c>
      <c r="BP13" s="477">
        <f>Water!Y15</f>
        <v>10.205063291139238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5407</v>
      </c>
      <c r="D14" s="461">
        <v>0</v>
      </c>
      <c r="E14" s="460">
        <f>Elect!M15</f>
        <v>1855</v>
      </c>
      <c r="F14" s="461">
        <v>20</v>
      </c>
      <c r="G14" s="460">
        <f>Elect!O15</f>
        <v>1808</v>
      </c>
      <c r="H14" s="461">
        <v>792</v>
      </c>
      <c r="I14" s="460">
        <f>Water!C16</f>
        <v>110.19999999999999</v>
      </c>
      <c r="J14" s="461">
        <v>0</v>
      </c>
      <c r="K14" s="460">
        <f>Water!E16</f>
        <v>145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386.28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224.04239999999996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8301719</v>
      </c>
      <c r="AH14" s="464">
        <f>Gas!C16</f>
        <v>1065.3</v>
      </c>
      <c r="AI14" s="465" t="e">
        <f>Gas!#REF!</f>
        <v>#REF!</v>
      </c>
      <c r="AJ14" s="466">
        <f>Gas!J16</f>
        <v>304.2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143</v>
      </c>
      <c r="AU14" s="460">
        <f>Elect!BP15</f>
        <v>96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550848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2.3844444444444441</v>
      </c>
      <c r="BN14" s="477" t="e">
        <f>Water!W16</f>
        <v>#DIV/0!</v>
      </c>
      <c r="BO14" s="472">
        <f>Water!X16</f>
        <v>1545.12</v>
      </c>
      <c r="BP14" s="477">
        <f>Water!Y16</f>
        <v>9.5377777777777766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5425</v>
      </c>
      <c r="D15" s="461">
        <v>0</v>
      </c>
      <c r="E15" s="460">
        <f>Elect!M16</f>
        <v>1850</v>
      </c>
      <c r="F15" s="461">
        <v>20</v>
      </c>
      <c r="G15" s="460">
        <f>Elect!O16</f>
        <v>1803</v>
      </c>
      <c r="H15" s="461">
        <v>817</v>
      </c>
      <c r="I15" s="460">
        <f>Water!C17</f>
        <v>110.19999999999999</v>
      </c>
      <c r="J15" s="461">
        <v>0</v>
      </c>
      <c r="K15" s="460">
        <f>Water!E17</f>
        <v>156.6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404.25999999999993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234.47079999999994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1231.72</v>
      </c>
      <c r="AI15" s="465" t="e">
        <f>Gas!#REF!</f>
        <v>#REF!</v>
      </c>
      <c r="AJ15" s="466">
        <f>Gas!J17</f>
        <v>222.29999999999998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155</v>
      </c>
      <c r="AU15" s="460">
        <f>Elect!BP16</f>
        <v>104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551003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2.1734408602150532</v>
      </c>
      <c r="BN15" s="477" t="e">
        <f>Water!W17</f>
        <v>#DIV/0!</v>
      </c>
      <c r="BO15" s="472">
        <f>Water!X17</f>
        <v>1617.0399999999997</v>
      </c>
      <c r="BP15" s="477">
        <f>Water!Y17</f>
        <v>8.6937634408602129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5593</v>
      </c>
      <c r="D16" s="461">
        <v>0</v>
      </c>
      <c r="E16" s="460">
        <f>Elect!M17</f>
        <v>1923</v>
      </c>
      <c r="F16" s="461">
        <v>20</v>
      </c>
      <c r="G16" s="460">
        <f>Elect!O17</f>
        <v>2259</v>
      </c>
      <c r="H16" s="461">
        <v>907</v>
      </c>
      <c r="I16" s="460">
        <f>Water!C18</f>
        <v>110.19999999999999</v>
      </c>
      <c r="J16" s="461">
        <v>0</v>
      </c>
      <c r="K16" s="460">
        <f>Water!E18</f>
        <v>133.39999999999998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369.45999999999992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214.28679999999994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8303932</v>
      </c>
      <c r="AH16" s="464">
        <f>Gas!C18</f>
        <v>1114.06</v>
      </c>
      <c r="AI16" s="465" t="e">
        <f>Gas!#REF!</f>
        <v>#REF!</v>
      </c>
      <c r="AJ16" s="466">
        <f>Gas!J18</f>
        <v>405.59999999999997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154</v>
      </c>
      <c r="AU16" s="460">
        <f>Elect!BP17</f>
        <v>115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551157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1.9242708333333329</v>
      </c>
      <c r="BN16" s="477" t="e">
        <f>Water!W18</f>
        <v>#DIV/0!</v>
      </c>
      <c r="BO16" s="472">
        <f>Water!X18</f>
        <v>1477.8399999999997</v>
      </c>
      <c r="BP16" s="477">
        <f>Water!Y18</f>
        <v>7.6970833333333317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5351</v>
      </c>
      <c r="D17" s="461">
        <v>0</v>
      </c>
      <c r="E17" s="460">
        <f>Elect!M18</f>
        <v>1926</v>
      </c>
      <c r="F17" s="461">
        <v>20</v>
      </c>
      <c r="G17" s="460">
        <f>Elect!O18</f>
        <v>2456</v>
      </c>
      <c r="H17" s="461">
        <v>812</v>
      </c>
      <c r="I17" s="460">
        <f>Water!C19</f>
        <v>145</v>
      </c>
      <c r="J17" s="461">
        <v>0</v>
      </c>
      <c r="K17" s="460">
        <f>Water!E19</f>
        <v>162.39999999999998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437.31999999999994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253.64559999999994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8305003</v>
      </c>
      <c r="AH17" s="464">
        <f>Gas!C19</f>
        <v>1135.26</v>
      </c>
      <c r="AI17" s="465" t="e">
        <f>Gas!#REF!</f>
        <v>#REF!</v>
      </c>
      <c r="AJ17" s="466">
        <f>Gas!J19</f>
        <v>319.8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160</v>
      </c>
      <c r="AU17" s="460">
        <f>Elect!BP18</f>
        <v>121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551317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2.8397402597402595</v>
      </c>
      <c r="BN17" s="477" t="e">
        <f>Water!W19</f>
        <v>#DIV/0!</v>
      </c>
      <c r="BO17" s="472">
        <f>Water!X19</f>
        <v>1749.2799999999997</v>
      </c>
      <c r="BP17" s="477">
        <f>Water!Y19</f>
        <v>11.358961038961038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5498</v>
      </c>
      <c r="D18" s="461">
        <v>0</v>
      </c>
      <c r="E18" s="460">
        <f>Elect!M19</f>
        <v>1990</v>
      </c>
      <c r="F18" s="461">
        <v>30</v>
      </c>
      <c r="G18" s="460">
        <f>Elect!O19</f>
        <v>2313</v>
      </c>
      <c r="H18" s="461">
        <v>810</v>
      </c>
      <c r="I18" s="460">
        <f>Water!C20</f>
        <v>87</v>
      </c>
      <c r="J18" s="461">
        <v>0</v>
      </c>
      <c r="K18" s="460">
        <f>Water!E20</f>
        <v>145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361.91999999999996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209.91359999999997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8306080</v>
      </c>
      <c r="AH18" s="464">
        <f>Gas!C20</f>
        <v>1141.6200000000001</v>
      </c>
      <c r="AI18" s="465" t="e">
        <f>Gas!#REF!</f>
        <v>#REF!</v>
      </c>
      <c r="AJ18" s="466">
        <f>Gas!J20</f>
        <v>288.59999999999997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159</v>
      </c>
      <c r="AU18" s="460">
        <f>Elect!BP19</f>
        <v>118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549499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1.9354010695187163</v>
      </c>
      <c r="BN18" s="477" t="e">
        <f>Water!W20</f>
        <v>#DIV/0!</v>
      </c>
      <c r="BO18" s="472">
        <f>Water!X20</f>
        <v>1447.6799999999998</v>
      </c>
      <c r="BP18" s="477">
        <f>Water!Y20</f>
        <v>7.7416042780748651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6576</v>
      </c>
      <c r="D19" s="461">
        <v>0</v>
      </c>
      <c r="E19" s="460">
        <f>Elect!M20</f>
        <v>2369</v>
      </c>
      <c r="F19" s="461">
        <v>20</v>
      </c>
      <c r="G19" s="460">
        <f>Elect!O20</f>
        <v>2295</v>
      </c>
      <c r="H19" s="461">
        <v>841</v>
      </c>
      <c r="I19" s="460">
        <f>Water!C21</f>
        <v>125.66666666686359</v>
      </c>
      <c r="J19" s="461">
        <v>0</v>
      </c>
      <c r="K19" s="460">
        <f>Water!E21</f>
        <v>156.6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412.18666666686352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239.06826666678083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8307153</v>
      </c>
      <c r="AH19" s="464">
        <f>Gas!C21</f>
        <v>1137.3800000000001</v>
      </c>
      <c r="AI19" s="465" t="e">
        <f>Gas!#REF!</f>
        <v>#REF!</v>
      </c>
      <c r="AJ19" s="466">
        <f>Gas!J21</f>
        <v>309.39999999878927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161</v>
      </c>
      <c r="AU19" s="460">
        <f>Elect!BP20</f>
        <v>135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551637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1.8483707025419889</v>
      </c>
      <c r="BN19" s="477" t="e">
        <f>Water!W21</f>
        <v>#DIV/0!</v>
      </c>
      <c r="BO19" s="472">
        <f>Water!X21</f>
        <v>1648.7466666674541</v>
      </c>
      <c r="BP19" s="477">
        <f>Water!Y21</f>
        <v>7.3934828101679555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4600</v>
      </c>
      <c r="D20" s="461">
        <v>0</v>
      </c>
      <c r="E20" s="460">
        <f>Elect!M21</f>
        <v>1619</v>
      </c>
      <c r="F20" s="461">
        <v>20</v>
      </c>
      <c r="G20" s="460">
        <f>Elect!O21</f>
        <v>1616</v>
      </c>
      <c r="H20" s="461">
        <v>932</v>
      </c>
      <c r="I20" s="460">
        <f>Water!C22</f>
        <v>141.13333333313639</v>
      </c>
      <c r="J20" s="461">
        <v>0</v>
      </c>
      <c r="K20" s="460">
        <f>Water!E22</f>
        <v>185.6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486.81333333313637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282.3517333332191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8308645</v>
      </c>
      <c r="AH20" s="464">
        <f>Gas!C22</f>
        <v>1581.52</v>
      </c>
      <c r="AI20" s="465" t="e">
        <f>Gas!#REF!</f>
        <v>#REF!</v>
      </c>
      <c r="AJ20" s="466">
        <f>Gas!J22</f>
        <v>435.50000000121071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105</v>
      </c>
      <c r="AU20" s="460">
        <f>Elect!BP21</f>
        <v>90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551742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1.9241633728582466</v>
      </c>
      <c r="BN20" s="477" t="e">
        <f>Water!W22</f>
        <v>#DIV/0!</v>
      </c>
      <c r="BO20" s="472">
        <f>Water!X22</f>
        <v>1947.2533333325455</v>
      </c>
      <c r="BP20" s="477">
        <f>Water!Y22</f>
        <v>7.6966534914329863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5759</v>
      </c>
      <c r="D21" s="461">
        <v>0</v>
      </c>
      <c r="E21" s="460">
        <f>Elect!M22</f>
        <v>1968</v>
      </c>
      <c r="F21" s="461">
        <v>20</v>
      </c>
      <c r="G21" s="460">
        <f>Elect!O22</f>
        <v>2675</v>
      </c>
      <c r="H21" s="461">
        <v>972</v>
      </c>
      <c r="I21" s="460">
        <f>Water!C23</f>
        <v>92.8</v>
      </c>
      <c r="J21" s="461">
        <v>0</v>
      </c>
      <c r="K21" s="460">
        <f>Water!E23</f>
        <v>121.8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327.7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190.06599999999997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8309668</v>
      </c>
      <c r="AH21" s="464">
        <f>Gas!C23</f>
        <v>1084.3800000000001</v>
      </c>
      <c r="AI21" s="465" t="e">
        <f>Gas!#REF!</f>
        <v>#REF!</v>
      </c>
      <c r="AJ21" s="466">
        <f>Gas!J23</f>
        <v>276.89999999999998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128</v>
      </c>
      <c r="AU21" s="460">
        <f>Elect!BP22</f>
        <v>175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1.6634517766497461</v>
      </c>
      <c r="BN21" s="477" t="e">
        <f>Water!W23</f>
        <v>#DIV/0!</v>
      </c>
      <c r="BO21" s="472">
        <f>Water!X23</f>
        <v>1310.8</v>
      </c>
      <c r="BP21" s="477">
        <f>Water!Y23</f>
        <v>6.6538071065989843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5224</v>
      </c>
      <c r="D22" s="461">
        <v>0</v>
      </c>
      <c r="E22" s="460">
        <f>Elect!M23</f>
        <v>1850</v>
      </c>
      <c r="F22" s="461">
        <v>20</v>
      </c>
      <c r="G22" s="460">
        <f>Elect!O23</f>
        <v>2463</v>
      </c>
      <c r="H22" s="461">
        <v>864</v>
      </c>
      <c r="I22" s="460">
        <f>Water!C24</f>
        <v>121.8</v>
      </c>
      <c r="J22" s="461">
        <v>0</v>
      </c>
      <c r="K22" s="460">
        <f>Water!E24</f>
        <v>162.39999999999998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417.02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241.87159999999997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8310875</v>
      </c>
      <c r="AH22" s="464">
        <f>Gas!C24</f>
        <v>1279.42</v>
      </c>
      <c r="AI22" s="465" t="e">
        <f>Gas!#REF!</f>
        <v>#REF!</v>
      </c>
      <c r="AJ22" s="466">
        <f>Gas!J24</f>
        <v>292.5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157</v>
      </c>
      <c r="AU22" s="460">
        <f>Elect!BP23</f>
        <v>55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552027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1.9670754716981131</v>
      </c>
      <c r="BN22" s="477" t="e">
        <f>Water!W24</f>
        <v>#DIV/0!</v>
      </c>
      <c r="BO22" s="472">
        <f>Water!X24</f>
        <v>1668.08</v>
      </c>
      <c r="BP22" s="477">
        <f>Water!Y24</f>
        <v>7.8683018867924526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5760</v>
      </c>
      <c r="D23" s="461">
        <v>0</v>
      </c>
      <c r="E23" s="460">
        <f>Elect!M24</f>
        <v>1921</v>
      </c>
      <c r="F23" s="461">
        <v>30</v>
      </c>
      <c r="G23" s="460">
        <f>Elect!O24</f>
        <v>1962</v>
      </c>
      <c r="H23" s="461">
        <v>894</v>
      </c>
      <c r="I23" s="460">
        <f>Water!C25</f>
        <v>127.6</v>
      </c>
      <c r="J23" s="461">
        <v>0</v>
      </c>
      <c r="K23" s="460">
        <f>Water!E25</f>
        <v>174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438.48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254.3184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8312150</v>
      </c>
      <c r="AH23" s="464">
        <f>Gas!C25</f>
        <v>1351.5</v>
      </c>
      <c r="AI23" s="465" t="e">
        <f>Gas!#REF!</f>
        <v>#REF!</v>
      </c>
      <c r="AJ23" s="466">
        <f>Gas!J25</f>
        <v>312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135</v>
      </c>
      <c r="AU23" s="460">
        <f>Elect!BP24</f>
        <v>113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552162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2.449608938547486</v>
      </c>
      <c r="BN23" s="477" t="e">
        <f>Water!W25</f>
        <v>#DIV/0!</v>
      </c>
      <c r="BO23" s="472">
        <f>Water!X25</f>
        <v>1753.92</v>
      </c>
      <c r="BP23" s="477">
        <f>Water!Y25</f>
        <v>9.7984357541899438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5342</v>
      </c>
      <c r="D24" s="461">
        <v>0</v>
      </c>
      <c r="E24" s="460">
        <f>Elect!M25</f>
        <v>1981</v>
      </c>
      <c r="F24" s="461">
        <v>20</v>
      </c>
      <c r="G24" s="460">
        <f>Elect!O25</f>
        <v>1920</v>
      </c>
      <c r="H24" s="461">
        <v>944</v>
      </c>
      <c r="I24" s="460">
        <f>Water!C26</f>
        <v>115.99999999999999</v>
      </c>
      <c r="J24" s="461">
        <v>0</v>
      </c>
      <c r="K24" s="460">
        <f>Water!E26</f>
        <v>150.79999999999998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393.81999999999994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228.41559999999996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8313190</v>
      </c>
      <c r="AH24" s="464">
        <f>Gas!C26</f>
        <v>1102.4000000000001</v>
      </c>
      <c r="AI24" s="465" t="e">
        <f>Gas!#REF!</f>
        <v>#REF!</v>
      </c>
      <c r="AJ24" s="466">
        <f>Gas!J26</f>
        <v>347.09999999999997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127</v>
      </c>
      <c r="AU24" s="460">
        <f>Elect!BP25</f>
        <v>108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552289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1.8489201877934269</v>
      </c>
      <c r="BN24" s="477" t="e">
        <f>Water!W26</f>
        <v>#DIV/0!</v>
      </c>
      <c r="BO24" s="472">
        <f>Water!X26</f>
        <v>1575.2799999999997</v>
      </c>
      <c r="BP24" s="477">
        <f>Water!Y26</f>
        <v>7.3956807511737077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5586</v>
      </c>
      <c r="D25" s="461">
        <v>0</v>
      </c>
      <c r="E25" s="460">
        <f>Elect!M26</f>
        <v>1962</v>
      </c>
      <c r="F25" s="461">
        <v>20</v>
      </c>
      <c r="G25" s="460">
        <f>Elect!O26</f>
        <v>1895</v>
      </c>
      <c r="H25" s="461">
        <v>916</v>
      </c>
      <c r="I25" s="460">
        <f>Water!C27</f>
        <v>127.6</v>
      </c>
      <c r="J25" s="461">
        <v>0</v>
      </c>
      <c r="K25" s="460">
        <f>Water!E27</f>
        <v>168.2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430.35999999999996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249.60879999999995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8314386.6666666698</v>
      </c>
      <c r="AH25" s="464">
        <f>Gas!C27</f>
        <v>1268.4666666699575</v>
      </c>
      <c r="AI25" s="465" t="e">
        <f>Gas!#REF!</f>
        <v>#REF!</v>
      </c>
      <c r="AJ25" s="466">
        <f>Gas!J27</f>
        <v>351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128</v>
      </c>
      <c r="AU25" s="460">
        <f>Elect!BP26</f>
        <v>102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552417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1.7423481781376517</v>
      </c>
      <c r="BN25" s="477" t="e">
        <f>Water!W27</f>
        <v>#DIV/0!</v>
      </c>
      <c r="BO25" s="472">
        <f>Water!X27</f>
        <v>1721.4399999999998</v>
      </c>
      <c r="BP25" s="477">
        <f>Water!Y27</f>
        <v>6.969392712550607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6928</v>
      </c>
      <c r="D26" s="461">
        <v>0</v>
      </c>
      <c r="E26" s="460">
        <f>Elect!M27</f>
        <v>2444</v>
      </c>
      <c r="F26" s="461">
        <v>20</v>
      </c>
      <c r="G26" s="460">
        <f>Elect!O27</f>
        <v>2850</v>
      </c>
      <c r="H26" s="461">
        <v>931</v>
      </c>
      <c r="I26" s="460">
        <f>Water!C28</f>
        <v>127.6</v>
      </c>
      <c r="J26" s="461">
        <v>0</v>
      </c>
      <c r="K26" s="460">
        <f>Water!E28</f>
        <v>168.2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420.49999999999994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243.88999999999996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8315397</v>
      </c>
      <c r="AH26" s="464">
        <f>Gas!C28</f>
        <v>1070.9533333300428</v>
      </c>
      <c r="AI26" s="465" t="e">
        <f>Gas!#REF!</f>
        <v>#REF!</v>
      </c>
      <c r="AJ26" s="466">
        <f>Gas!J28</f>
        <v>288.59999999999997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155</v>
      </c>
      <c r="AU26" s="460">
        <f>Elect!BP27</f>
        <v>117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552572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1.7668067226890753</v>
      </c>
      <c r="BN26" s="477" t="e">
        <f>Water!W28</f>
        <v>#DIV/0!</v>
      </c>
      <c r="BO26" s="472">
        <f>Water!X28</f>
        <v>1681.9999999999998</v>
      </c>
      <c r="BP26" s="477">
        <f>Water!Y28</f>
        <v>7.0672268907563014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4784</v>
      </c>
      <c r="D27" s="461">
        <v>0</v>
      </c>
      <c r="E27" s="460">
        <f>Elect!M28</f>
        <v>1541</v>
      </c>
      <c r="F27" s="461">
        <v>30</v>
      </c>
      <c r="G27" s="460">
        <f>Elect!O28</f>
        <v>1734</v>
      </c>
      <c r="H27" s="461">
        <v>1009</v>
      </c>
      <c r="I27" s="460">
        <f>Water!C29</f>
        <v>127.6</v>
      </c>
      <c r="J27" s="461">
        <v>0</v>
      </c>
      <c r="K27" s="460">
        <f>Water!E29</f>
        <v>168.2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433.83999999999992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251.62719999999993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8316590</v>
      </c>
      <c r="AH27" s="464">
        <f>Gas!C29</f>
        <v>1264.5800000000002</v>
      </c>
      <c r="AI27" s="465" t="e">
        <f>Gas!#REF!</f>
        <v>#REF!</v>
      </c>
      <c r="AJ27" s="466">
        <f>Gas!J29</f>
        <v>358.8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173</v>
      </c>
      <c r="AU27" s="460">
        <f>Elect!BP28</f>
        <v>123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552745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1.7423293172690759</v>
      </c>
      <c r="BN27" s="477" t="e">
        <f>Water!W29</f>
        <v>#DIV/0!</v>
      </c>
      <c r="BO27" s="472">
        <f>Water!X29</f>
        <v>1735.3599999999997</v>
      </c>
      <c r="BP27" s="477">
        <f>Water!Y29</f>
        <v>6.9693172690763037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3527</v>
      </c>
      <c r="D28" s="461">
        <v>0</v>
      </c>
      <c r="E28" s="460">
        <f>Elect!M29</f>
        <v>2038</v>
      </c>
      <c r="F28" s="461">
        <v>20</v>
      </c>
      <c r="G28" s="460">
        <f>Elect!O29</f>
        <v>2286</v>
      </c>
      <c r="H28" s="461">
        <v>891</v>
      </c>
      <c r="I28" s="460">
        <f>Water!C30</f>
        <v>115.99999999999999</v>
      </c>
      <c r="J28" s="461">
        <v>0</v>
      </c>
      <c r="K28" s="460">
        <f>Water!E30</f>
        <v>162.39999999999998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414.69999999999993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240.52599999999995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8317945</v>
      </c>
      <c r="AH28" s="464">
        <f>Gas!C30</f>
        <v>1436.3000000000002</v>
      </c>
      <c r="AI28" s="465" t="e">
        <f>Gas!#REF!</f>
        <v>#REF!</v>
      </c>
      <c r="AJ28" s="466">
        <f>Gas!J30</f>
        <v>308.09999999999997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120</v>
      </c>
      <c r="AU28" s="460">
        <f>Elect!BP29</f>
        <v>82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552865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1.7952380952380949</v>
      </c>
      <c r="BN28" s="477" t="e">
        <f>Water!W30</f>
        <v>#DIV/0!</v>
      </c>
      <c r="BO28" s="472">
        <f>Water!X30</f>
        <v>1658.7999999999997</v>
      </c>
      <c r="BP28" s="477">
        <f>Water!Y30</f>
        <v>7.1809523809523794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4349</v>
      </c>
      <c r="D29" s="461">
        <v>0</v>
      </c>
      <c r="E29" s="460">
        <f>Elect!M30</f>
        <v>1986</v>
      </c>
      <c r="F29" s="461">
        <v>20</v>
      </c>
      <c r="G29" s="460">
        <f>Elect!O30</f>
        <v>2360</v>
      </c>
      <c r="H29" s="461">
        <v>1008</v>
      </c>
      <c r="I29" s="460">
        <f>Water!C31</f>
        <v>150.79999999999998</v>
      </c>
      <c r="J29" s="461">
        <v>0</v>
      </c>
      <c r="K29" s="460">
        <f>Water!E31</f>
        <v>179.79999999999998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483.71999999999991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280.55759999999992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8319496</v>
      </c>
      <c r="AH29" s="464">
        <f>Gas!C31</f>
        <v>1644.0600000000002</v>
      </c>
      <c r="AI29" s="465" t="e">
        <f>Gas!#REF!</f>
        <v>#REF!</v>
      </c>
      <c r="AJ29" s="466">
        <f>Gas!J31</f>
        <v>358.8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149</v>
      </c>
      <c r="AU29" s="460">
        <f>Elect!BP30</f>
        <v>105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553014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2.455431472081218</v>
      </c>
      <c r="BN29" s="477" t="e">
        <f>Water!W31</f>
        <v>#DIV/0!</v>
      </c>
      <c r="BO29" s="472">
        <f>Water!X31</f>
        <v>1934.8799999999997</v>
      </c>
      <c r="BP29" s="477">
        <f>Water!Y31</f>
        <v>9.8217258883248721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3608</v>
      </c>
      <c r="D30" s="461">
        <v>0</v>
      </c>
      <c r="E30" s="460">
        <f>Elect!M31</f>
        <v>2050</v>
      </c>
      <c r="F30" s="461">
        <v>20</v>
      </c>
      <c r="G30" s="460">
        <f>Elect!O31</f>
        <v>2220</v>
      </c>
      <c r="H30" s="461">
        <v>760</v>
      </c>
      <c r="I30" s="460">
        <f>Water!C32</f>
        <v>98.6</v>
      </c>
      <c r="J30" s="461">
        <v>0</v>
      </c>
      <c r="K30" s="460">
        <f>Water!E32</f>
        <v>139.19999999999999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350.32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203.18559999999999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8320732</v>
      </c>
      <c r="AH30" s="464">
        <f>Gas!C32</f>
        <v>1310.1600000000001</v>
      </c>
      <c r="AI30" s="465" t="e">
        <f>Gas!#REF!</f>
        <v>#REF!</v>
      </c>
      <c r="AJ30" s="466">
        <f>Gas!J32</f>
        <v>288.59999999999997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149</v>
      </c>
      <c r="AU30" s="460">
        <f>Elect!BP31</f>
        <v>105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553163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1.5297816593886462</v>
      </c>
      <c r="BN30" s="477" t="e">
        <f>Water!W32</f>
        <v>#DIV/0!</v>
      </c>
      <c r="BO30" s="472">
        <f>Water!X32</f>
        <v>1401.28</v>
      </c>
      <c r="BP30" s="477">
        <f>Water!Y32</f>
        <v>6.1191266375545847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5241</v>
      </c>
      <c r="D31" s="461">
        <v>0</v>
      </c>
      <c r="E31" s="460">
        <f>Elect!M32</f>
        <v>1907</v>
      </c>
      <c r="F31" s="461">
        <v>30</v>
      </c>
      <c r="G31" s="460">
        <f>Elect!O32</f>
        <v>2646</v>
      </c>
      <c r="H31" s="461">
        <v>1010</v>
      </c>
      <c r="I31" s="460">
        <f>Water!C33</f>
        <v>121.8</v>
      </c>
      <c r="J31" s="461">
        <v>0</v>
      </c>
      <c r="K31" s="460">
        <f>Water!E33</f>
        <v>156.6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404.84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234.80719999999997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8321936</v>
      </c>
      <c r="AH31" s="464">
        <f>Gas!C33</f>
        <v>1276.24</v>
      </c>
      <c r="AI31" s="465" t="e">
        <f>Gas!#REF!</f>
        <v>#REF!</v>
      </c>
      <c r="AJ31" s="466">
        <f>Gas!J33</f>
        <v>390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143</v>
      </c>
      <c r="AU31" s="460">
        <f>Elect!BP32</f>
        <v>106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553306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1.8073214285714285</v>
      </c>
      <c r="BN31" s="477" t="e">
        <f>Water!W33</f>
        <v>#DIV/0!</v>
      </c>
      <c r="BO31" s="472">
        <f>Water!X33</f>
        <v>1619.36</v>
      </c>
      <c r="BP31" s="477">
        <f>Water!Y33</f>
        <v>7.2292857142857141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5368</v>
      </c>
      <c r="D32" s="482">
        <v>0</v>
      </c>
      <c r="E32" s="481">
        <f>Elect!M33</f>
        <v>1864</v>
      </c>
      <c r="F32" s="482">
        <v>20</v>
      </c>
      <c r="G32" s="481">
        <f>Elect!O33</f>
        <v>2351</v>
      </c>
      <c r="H32" s="482">
        <v>1008</v>
      </c>
      <c r="I32" s="481">
        <f>Water!C34</f>
        <v>127.6</v>
      </c>
      <c r="J32" s="482">
        <v>0</v>
      </c>
      <c r="K32" s="481">
        <f>Water!E34</f>
        <v>174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444.86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258.0188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8323383</v>
      </c>
      <c r="AH32" s="485">
        <f>Gas!C34</f>
        <v>1533.8200000000002</v>
      </c>
      <c r="AI32" s="486" t="e">
        <f>Gas!#REF!</f>
        <v>#REF!</v>
      </c>
      <c r="AJ32" s="487">
        <f>Gas!J34</f>
        <v>319.8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144</v>
      </c>
      <c r="AU32" s="481">
        <f>Elect!BP33</f>
        <v>103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553450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1.9859821428571429</v>
      </c>
      <c r="BN32" s="498" t="e">
        <f>Water!W34</f>
        <v>#DIV/0!</v>
      </c>
      <c r="BO32" s="493">
        <f>Water!X34</f>
        <v>1779.44</v>
      </c>
      <c r="BP32" s="498">
        <f>Water!Y34</f>
        <v>7.9439285714285717</v>
      </c>
      <c r="BQ32" s="499" t="e">
        <f>Water!Z34</f>
        <v>#DIV/0!</v>
      </c>
    </row>
    <row r="33" spans="1:98" s="521" customFormat="1" ht="72" customHeight="1">
      <c r="A33" s="443" t="s">
        <v>125</v>
      </c>
      <c r="B33" s="500">
        <v>931200</v>
      </c>
      <c r="C33" s="501">
        <f>Elect!J34</f>
        <v>4424</v>
      </c>
      <c r="D33" s="502">
        <v>0</v>
      </c>
      <c r="E33" s="501">
        <f>Elect!M34</f>
        <v>1978</v>
      </c>
      <c r="F33" s="502">
        <v>600</v>
      </c>
      <c r="G33" s="501">
        <f>Elect!O34</f>
        <v>2377</v>
      </c>
      <c r="H33" s="502">
        <v>24543</v>
      </c>
      <c r="I33" s="501">
        <f>Water!C38</f>
        <v>3567</v>
      </c>
      <c r="J33" s="502">
        <v>0</v>
      </c>
      <c r="K33" s="501">
        <f>Water!E39</f>
        <v>156.01999999999998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12162.6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6566.5279999999993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35631.900000000009</v>
      </c>
      <c r="AI33" s="506" t="e">
        <f>Gas!#REF!</f>
        <v>#REF!</v>
      </c>
      <c r="AJ33" s="507">
        <f>Gas!J38</f>
        <v>9859.1999999999989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148</v>
      </c>
      <c r="AU33" s="506">
        <f>Elect!BP34</f>
        <v>98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553598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2.0730526674620759</v>
      </c>
      <c r="BN33" s="518" t="e">
        <f>Water!W38</f>
        <v>#DIV/0!</v>
      </c>
      <c r="BO33" s="513">
        <f>Water!X38</f>
        <v>48650.400000000001</v>
      </c>
      <c r="BP33" s="518">
        <f>Water!Y38</f>
        <v>8.2922106698483038</v>
      </c>
      <c r="BQ33" s="519" t="e">
        <f>Water!Z38</f>
        <v>#DIV/0!</v>
      </c>
    </row>
    <row r="34" spans="1:98" s="523" customFormat="1" ht="72" customHeight="1" thickBot="1">
      <c r="A34" s="444" t="s">
        <v>126</v>
      </c>
      <c r="B34" s="500">
        <v>33257.142857142855</v>
      </c>
      <c r="C34" s="501">
        <f>Elect!J35</f>
        <v>4789</v>
      </c>
      <c r="D34" s="502">
        <v>0</v>
      </c>
      <c r="E34" s="501">
        <f>Elect!M35</f>
        <v>1937</v>
      </c>
      <c r="F34" s="502">
        <v>21.428571428571427</v>
      </c>
      <c r="G34" s="501">
        <f>Elect!O35</f>
        <v>2402</v>
      </c>
      <c r="H34" s="502">
        <v>876.53571428571433</v>
      </c>
      <c r="I34" s="501">
        <f>Water!C39</f>
        <v>118.9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405.42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218.88426666666663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1187.7300000000002</v>
      </c>
      <c r="AI34" s="506" t="e">
        <f>Gas!#REF!</f>
        <v>#REF!</v>
      </c>
      <c r="AJ34" s="507">
        <f>Gas!J39</f>
        <v>328.64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146</v>
      </c>
      <c r="AU34" s="506">
        <f>Elect!BP35</f>
        <v>101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553744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2.0730526674620759</v>
      </c>
      <c r="BN34" s="518" t="e">
        <f>Water!W39</f>
        <v>#DIV/0!</v>
      </c>
      <c r="BO34" s="513">
        <f>Water!X39</f>
        <v>1621.68</v>
      </c>
      <c r="BP34" s="518">
        <f>Water!Y39</f>
        <v>8.2922106698483038</v>
      </c>
      <c r="BQ34" s="519" t="e">
        <f>Water!Z39</f>
        <v>#DIV/0!</v>
      </c>
    </row>
    <row r="35" spans="1:98" s="523" customFormat="1" ht="72" customHeight="1">
      <c r="A35" s="445" t="s">
        <v>153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549337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5" t="s">
        <v>213</v>
      </c>
      <c r="B4" s="935"/>
      <c r="C4" s="935"/>
      <c r="D4" s="935"/>
      <c r="E4" s="935"/>
      <c r="F4" s="935"/>
      <c r="G4" s="108">
        <f>Elect!A1</f>
        <v>44805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214</v>
      </c>
      <c r="B7" s="99" t="s">
        <v>215</v>
      </c>
      <c r="C7" s="99" t="s">
        <v>216</v>
      </c>
      <c r="D7" s="99" t="s">
        <v>215</v>
      </c>
      <c r="E7" s="99" t="s">
        <v>216</v>
      </c>
      <c r="F7" s="99" t="s">
        <v>217</v>
      </c>
      <c r="G7" s="100" t="s">
        <v>218</v>
      </c>
      <c r="H7" s="100" t="s">
        <v>219</v>
      </c>
      <c r="I7" s="99" t="s">
        <v>125</v>
      </c>
      <c r="J7" s="101" t="s">
        <v>125</v>
      </c>
    </row>
    <row r="8" spans="1:10" ht="13.5" thickBot="1">
      <c r="A8" s="102"/>
      <c r="B8" s="103" t="s">
        <v>220</v>
      </c>
      <c r="C8" s="103" t="s">
        <v>220</v>
      </c>
      <c r="D8" s="103" t="s">
        <v>221</v>
      </c>
      <c r="E8" s="103" t="s">
        <v>221</v>
      </c>
      <c r="F8" s="104" t="s">
        <v>222</v>
      </c>
      <c r="G8" s="103" t="s">
        <v>12</v>
      </c>
      <c r="H8" s="103"/>
      <c r="I8" s="104" t="s">
        <v>223</v>
      </c>
      <c r="J8" s="105" t="s">
        <v>224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6"/>
      <c r="B3" s="938">
        <f>Elect!A1</f>
        <v>44805</v>
      </c>
      <c r="C3" s="939"/>
      <c r="D3" s="939"/>
      <c r="E3" s="940"/>
    </row>
    <row r="4" spans="1:5" ht="14.25" customHeight="1" thickBot="1">
      <c r="A4" s="937"/>
      <c r="B4" s="941" t="s">
        <v>12</v>
      </c>
      <c r="C4" s="942"/>
      <c r="D4" s="943" t="s">
        <v>226</v>
      </c>
      <c r="E4" s="944"/>
    </row>
    <row r="5" spans="1:5" ht="13.5" thickBot="1">
      <c r="A5" s="34" t="s">
        <v>227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228</v>
      </c>
      <c r="B6" s="38"/>
      <c r="C6" s="39"/>
      <c r="D6" s="40"/>
      <c r="E6" s="41"/>
    </row>
    <row r="7" spans="1:5" ht="13.5" thickBot="1">
      <c r="A7" s="117" t="s">
        <v>229</v>
      </c>
      <c r="B7" s="42"/>
      <c r="C7" s="43" t="s">
        <v>230</v>
      </c>
      <c r="D7" s="42" t="s">
        <v>230</v>
      </c>
      <c r="E7" s="43" t="s">
        <v>230</v>
      </c>
    </row>
    <row r="8" spans="1:5">
      <c r="A8" s="118" t="s">
        <v>231</v>
      </c>
      <c r="B8" s="42"/>
      <c r="C8" s="43" t="s">
        <v>230</v>
      </c>
      <c r="D8" s="44" t="s">
        <v>230</v>
      </c>
      <c r="E8" s="45" t="s">
        <v>230</v>
      </c>
    </row>
    <row r="9" spans="1:5" ht="13.5" thickBot="1">
      <c r="A9" s="118" t="s">
        <v>232</v>
      </c>
      <c r="B9" s="359"/>
      <c r="C9" s="360" t="s">
        <v>230</v>
      </c>
      <c r="D9" s="44" t="s">
        <v>230</v>
      </c>
      <c r="E9" s="45" t="s">
        <v>230</v>
      </c>
    </row>
    <row r="10" spans="1:5" ht="13.5" thickBot="1">
      <c r="A10" s="119" t="s">
        <v>233</v>
      </c>
      <c r="B10" s="76"/>
      <c r="C10" s="361"/>
      <c r="D10" s="48"/>
      <c r="E10" s="47"/>
    </row>
    <row r="11" spans="1:5" ht="13.5" thickBot="1">
      <c r="A11" s="362" t="s">
        <v>234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235</v>
      </c>
      <c r="B12" s="366"/>
      <c r="C12" s="366" t="s">
        <v>230</v>
      </c>
      <c r="D12" s="52">
        <v>0</v>
      </c>
      <c r="E12" s="53" t="e">
        <v>#REF!</v>
      </c>
    </row>
    <row r="13" spans="1:5" ht="13.5" thickBot="1">
      <c r="A13" s="120" t="s">
        <v>236</v>
      </c>
      <c r="B13" s="76"/>
      <c r="C13" s="77"/>
      <c r="D13" s="42" t="s">
        <v>230</v>
      </c>
      <c r="E13" s="43" t="s">
        <v>230</v>
      </c>
    </row>
    <row r="14" spans="1:5">
      <c r="A14" s="117" t="s">
        <v>237</v>
      </c>
      <c r="B14" s="42"/>
      <c r="C14" s="63" t="s">
        <v>230</v>
      </c>
      <c r="D14" s="55"/>
      <c r="E14" s="56"/>
    </row>
    <row r="15" spans="1:5" ht="13.5" thickBot="1">
      <c r="A15" s="118" t="s">
        <v>238</v>
      </c>
      <c r="B15" s="44"/>
      <c r="C15" s="54" t="s">
        <v>230</v>
      </c>
      <c r="D15" s="58"/>
      <c r="E15" s="59"/>
    </row>
    <row r="16" spans="1:5" ht="13.5" thickBot="1">
      <c r="A16" s="118" t="s">
        <v>239</v>
      </c>
      <c r="B16" s="44"/>
      <c r="C16" s="54" t="s">
        <v>230</v>
      </c>
      <c r="D16" s="61"/>
      <c r="E16" s="62"/>
    </row>
    <row r="17" spans="1:5">
      <c r="A17" s="118" t="s">
        <v>240</v>
      </c>
      <c r="B17" s="44"/>
      <c r="C17" s="54" t="s">
        <v>230</v>
      </c>
      <c r="D17" s="44" t="s">
        <v>230</v>
      </c>
      <c r="E17" s="54" t="s">
        <v>230</v>
      </c>
    </row>
    <row r="18" spans="1:5">
      <c r="A18" s="118" t="s">
        <v>241</v>
      </c>
      <c r="B18" s="44"/>
      <c r="C18" s="54" t="s">
        <v>230</v>
      </c>
      <c r="D18" s="44" t="s">
        <v>230</v>
      </c>
      <c r="E18" s="54" t="s">
        <v>230</v>
      </c>
    </row>
    <row r="19" spans="1:5">
      <c r="A19" s="118" t="s">
        <v>242</v>
      </c>
      <c r="B19" s="44"/>
      <c r="C19" s="54" t="s">
        <v>230</v>
      </c>
      <c r="D19" s="44" t="s">
        <v>230</v>
      </c>
      <c r="E19" s="54" t="s">
        <v>230</v>
      </c>
    </row>
    <row r="20" spans="1:5">
      <c r="A20" s="118" t="s">
        <v>243</v>
      </c>
      <c r="B20" s="44"/>
      <c r="C20" s="64" t="e">
        <f>#REF!</f>
        <v>#REF!</v>
      </c>
      <c r="D20" s="44" t="s">
        <v>230</v>
      </c>
      <c r="E20" s="54" t="s">
        <v>230</v>
      </c>
    </row>
    <row r="21" spans="1:5">
      <c r="A21" s="118" t="s">
        <v>244</v>
      </c>
      <c r="B21" s="44"/>
      <c r="C21" s="54" t="s">
        <v>230</v>
      </c>
      <c r="D21" s="44" t="s">
        <v>230</v>
      </c>
      <c r="E21" s="54" t="s">
        <v>230</v>
      </c>
    </row>
    <row r="22" spans="1:5">
      <c r="A22" s="118" t="s">
        <v>245</v>
      </c>
      <c r="B22" s="44"/>
      <c r="C22" s="54">
        <f>Water!S38</f>
        <v>0</v>
      </c>
      <c r="D22" s="44" t="s">
        <v>230</v>
      </c>
      <c r="E22" s="54" t="s">
        <v>230</v>
      </c>
    </row>
    <row r="23" spans="1:5" ht="13.5" thickBot="1">
      <c r="A23" s="121" t="s">
        <v>246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247</v>
      </c>
      <c r="B24" s="49"/>
      <c r="C24" s="60"/>
      <c r="D24" s="55" t="s">
        <v>230</v>
      </c>
      <c r="E24" s="56" t="s">
        <v>230</v>
      </c>
    </row>
    <row r="25" spans="1:5">
      <c r="A25" s="123" t="s">
        <v>248</v>
      </c>
      <c r="B25" s="42"/>
      <c r="C25" s="67">
        <f>Elect!J34</f>
        <v>4424</v>
      </c>
      <c r="D25" s="55">
        <v>12266</v>
      </c>
      <c r="E25" s="66">
        <v>814</v>
      </c>
    </row>
    <row r="26" spans="1:5" ht="13.5" thickBot="1">
      <c r="A26" s="128" t="s">
        <v>249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250</v>
      </c>
      <c r="B27" s="44"/>
      <c r="C27" s="69">
        <f>Water!H38</f>
        <v>12162.6</v>
      </c>
      <c r="D27" s="61"/>
      <c r="E27" s="62"/>
    </row>
    <row r="28" spans="1:5">
      <c r="A28" s="124" t="s">
        <v>251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252</v>
      </c>
      <c r="B29" s="44"/>
      <c r="C29" s="45" t="s">
        <v>230</v>
      </c>
      <c r="D29" s="70">
        <v>28880</v>
      </c>
      <c r="E29" s="66">
        <v>32980</v>
      </c>
    </row>
    <row r="30" spans="1:5" ht="13.5" thickBot="1">
      <c r="A30" s="125" t="s">
        <v>253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255</v>
      </c>
      <c r="B32" s="76"/>
      <c r="C32" s="77"/>
      <c r="D32" s="71" t="e">
        <v>#REF!</v>
      </c>
      <c r="E32" s="56" t="s">
        <v>230</v>
      </c>
    </row>
    <row r="33" spans="1:6" ht="13.5" thickBot="1">
      <c r="A33" s="123" t="s">
        <v>256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257</v>
      </c>
      <c r="B34" s="44"/>
      <c r="C34" s="69">
        <f>YTD!Q5</f>
        <v>0</v>
      </c>
      <c r="D34" s="74"/>
      <c r="E34" s="75"/>
    </row>
    <row r="35" spans="1:6" ht="13.5" thickBot="1">
      <c r="A35" s="124" t="s">
        <v>258</v>
      </c>
      <c r="B35" s="44"/>
      <c r="C35" s="69">
        <f>YTD!Q6</f>
        <v>0</v>
      </c>
      <c r="D35" s="61"/>
      <c r="E35" s="62"/>
    </row>
    <row r="36" spans="1:6">
      <c r="A36" s="128" t="s">
        <v>259</v>
      </c>
      <c r="B36" s="44"/>
      <c r="C36" s="82"/>
      <c r="D36" s="78" t="e">
        <v>#REF!</v>
      </c>
      <c r="E36" s="66" t="e">
        <v>#REF!</v>
      </c>
    </row>
    <row r="37" spans="1:6">
      <c r="A37" s="128" t="s">
        <v>260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263</v>
      </c>
      <c r="B40" s="76"/>
      <c r="C40" s="77"/>
      <c r="D40" s="55">
        <v>1583714</v>
      </c>
      <c r="E40" s="66">
        <v>1940567</v>
      </c>
    </row>
    <row r="41" spans="1:6">
      <c r="A41" s="367" t="s">
        <v>264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266</v>
      </c>
      <c r="B43" s="130"/>
      <c r="C43" s="64">
        <f>Water!X38</f>
        <v>48650.400000000001</v>
      </c>
      <c r="D43" s="58">
        <v>112</v>
      </c>
      <c r="E43" s="66">
        <v>97.529999999999944</v>
      </c>
    </row>
    <row r="44" spans="1:6" ht="13.5" thickBot="1">
      <c r="A44" s="129" t="s">
        <v>267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268</v>
      </c>
      <c r="B45" s="131"/>
      <c r="C45" s="54" t="s">
        <v>230</v>
      </c>
      <c r="D45" s="78">
        <v>2138156.84</v>
      </c>
      <c r="E45" s="66" t="e">
        <v>#REF!</v>
      </c>
    </row>
    <row r="46" spans="1:6" ht="13.5" thickBot="1">
      <c r="A46" s="132" t="s">
        <v>269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270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271</v>
      </c>
      <c r="B48" s="197"/>
      <c r="C48" s="89"/>
      <c r="D48" s="65">
        <v>330278</v>
      </c>
      <c r="E48" s="66" t="e">
        <v>#REF!</v>
      </c>
    </row>
    <row r="49" spans="1:6">
      <c r="A49" s="202" t="s">
        <v>272</v>
      </c>
      <c r="B49" s="195"/>
      <c r="C49" s="203">
        <v>6</v>
      </c>
      <c r="D49" s="44" t="s">
        <v>230</v>
      </c>
      <c r="E49" s="54" t="s">
        <v>230</v>
      </c>
    </row>
    <row r="50" spans="1:6" ht="13.5" thickBot="1">
      <c r="A50" s="222" t="s">
        <v>136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274</v>
      </c>
      <c r="B52" s="131"/>
      <c r="C52" s="54">
        <v>75064</v>
      </c>
      <c r="D52" s="61"/>
      <c r="E52" s="62"/>
    </row>
    <row r="53" spans="1:6" ht="13.5" thickBot="1">
      <c r="A53" s="204" t="s">
        <v>275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44805</v>
      </c>
      <c r="C1" s="774"/>
      <c r="D1" s="774"/>
      <c r="E1" s="774"/>
      <c r="F1" s="774"/>
      <c r="G1" s="774"/>
      <c r="H1" s="211" t="s">
        <v>280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281</v>
      </c>
      <c r="D3" s="227" t="s">
        <v>282</v>
      </c>
      <c r="E3" s="227" t="s">
        <v>283</v>
      </c>
      <c r="F3" s="227" t="s">
        <v>284</v>
      </c>
      <c r="G3" s="227" t="s">
        <v>285</v>
      </c>
      <c r="H3" s="227" t="s">
        <v>286</v>
      </c>
      <c r="I3" s="227" t="s">
        <v>287</v>
      </c>
      <c r="J3" s="227" t="s">
        <v>288</v>
      </c>
      <c r="K3" s="227" t="s">
        <v>289</v>
      </c>
      <c r="L3" s="227" t="s">
        <v>290</v>
      </c>
      <c r="M3" s="227" t="s">
        <v>291</v>
      </c>
      <c r="N3" s="227" t="s">
        <v>292</v>
      </c>
      <c r="O3" s="228" t="s">
        <v>293</v>
      </c>
      <c r="P3" s="229" t="s">
        <v>294</v>
      </c>
      <c r="Q3" s="230" t="s">
        <v>295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297</v>
      </c>
      <c r="B5" s="296"/>
      <c r="C5" s="234">
        <v>25072</v>
      </c>
      <c r="D5" s="380">
        <f>Elect!BP34</f>
        <v>98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25170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298</v>
      </c>
      <c r="B6" s="298"/>
      <c r="C6" s="235">
        <v>50662</v>
      </c>
      <c r="D6" s="235">
        <f>Elect!BR34</f>
        <v>148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50810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300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310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320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330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340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341</v>
      </c>
      <c r="B51" s="312" t="s">
        <v>342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350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360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361</v>
      </c>
      <c r="B77" s="320" t="s">
        <v>362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310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320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330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340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350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310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320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330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340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350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370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380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320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330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340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350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320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330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340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350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385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281</v>
      </c>
      <c r="D2340" s="268" t="s">
        <v>282</v>
      </c>
      <c r="E2340" s="268" t="s">
        <v>283</v>
      </c>
      <c r="F2340" s="268" t="s">
        <v>284</v>
      </c>
      <c r="G2340" s="268" t="s">
        <v>285</v>
      </c>
      <c r="H2340" s="268" t="s">
        <v>286</v>
      </c>
      <c r="I2340" s="268" t="s">
        <v>287</v>
      </c>
      <c r="J2340" s="268" t="s">
        <v>288</v>
      </c>
      <c r="K2340" s="268" t="s">
        <v>289</v>
      </c>
      <c r="L2340" s="268" t="s">
        <v>290</v>
      </c>
      <c r="M2340" s="268" t="s">
        <v>291</v>
      </c>
      <c r="N2340" s="269" t="s">
        <v>292</v>
      </c>
      <c r="O2340" s="226" t="s">
        <v>386</v>
      </c>
      <c r="P2340" s="270" t="s">
        <v>294</v>
      </c>
      <c r="Q2340" s="230" t="s">
        <v>387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366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388</v>
      </c>
      <c r="B2345" s="782" t="s">
        <v>389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390</v>
      </c>
      <c r="B2346" s="782" t="s">
        <v>389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391</v>
      </c>
      <c r="B2347" s="782" t="s">
        <v>389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392</v>
      </c>
      <c r="B2348" s="782" t="s">
        <v>389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310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393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281</v>
      </c>
      <c r="D2357" s="268" t="s">
        <v>282</v>
      </c>
      <c r="E2357" s="268" t="s">
        <v>283</v>
      </c>
      <c r="F2357" s="268" t="s">
        <v>284</v>
      </c>
      <c r="G2357" s="268" t="s">
        <v>285</v>
      </c>
      <c r="H2357" s="268" t="s">
        <v>286</v>
      </c>
      <c r="I2357" s="268" t="s">
        <v>287</v>
      </c>
      <c r="J2357" s="268" t="s">
        <v>288</v>
      </c>
      <c r="K2357" s="268" t="s">
        <v>289</v>
      </c>
      <c r="L2357" s="268" t="s">
        <v>290</v>
      </c>
      <c r="M2357" s="268" t="s">
        <v>291</v>
      </c>
      <c r="N2357" s="269" t="s">
        <v>292</v>
      </c>
      <c r="O2357" s="226" t="s">
        <v>386</v>
      </c>
      <c r="P2357" s="270" t="s">
        <v>294</v>
      </c>
      <c r="Q2357" s="230" t="s">
        <v>387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388</v>
      </c>
      <c r="B2362" s="782" t="s">
        <v>389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390</v>
      </c>
      <c r="B2363" s="782" t="s">
        <v>389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391</v>
      </c>
      <c r="B2364" s="782" t="s">
        <v>389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392</v>
      </c>
      <c r="B2365" s="782" t="s">
        <v>389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310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D52" sqref="D52:F5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394</v>
      </c>
      <c r="F6" s="669"/>
      <c r="G6" s="668"/>
      <c r="H6" s="670">
        <f>Elect!A1</f>
        <v>44805</v>
      </c>
      <c r="I6" s="668"/>
      <c r="J6" s="668"/>
      <c r="K6" s="668"/>
    </row>
    <row r="9" spans="2:13" ht="13.5" customHeight="1">
      <c r="B9" s="945" t="s">
        <v>395</v>
      </c>
      <c r="C9" s="946"/>
      <c r="D9" s="946"/>
      <c r="E9" s="946"/>
      <c r="F9" s="946"/>
      <c r="G9" s="946"/>
      <c r="H9" s="946"/>
      <c r="I9" s="946"/>
      <c r="J9" s="946"/>
      <c r="K9" s="946"/>
      <c r="L9" s="946"/>
      <c r="M9" s="946"/>
    </row>
    <row r="10" spans="2:13" ht="13.5" customHeight="1" thickBot="1">
      <c r="B10" s="947"/>
      <c r="C10" s="948"/>
      <c r="D10" s="948"/>
      <c r="E10" s="948"/>
      <c r="F10" s="948"/>
      <c r="G10" s="948"/>
      <c r="H10" s="948"/>
      <c r="I10" s="948"/>
      <c r="J10" s="948"/>
      <c r="K10" s="948"/>
      <c r="L10" s="948"/>
      <c r="M10" s="948"/>
    </row>
    <row r="11" spans="2:13" ht="16.5" thickBot="1">
      <c r="B11" s="958" t="s">
        <v>396</v>
      </c>
      <c r="C11" s="958"/>
      <c r="D11" s="958" t="s">
        <v>397</v>
      </c>
      <c r="E11" s="958"/>
      <c r="F11" s="958" t="s">
        <v>398</v>
      </c>
      <c r="G11" s="958"/>
      <c r="H11" s="956" t="s">
        <v>399</v>
      </c>
      <c r="I11" s="957"/>
      <c r="J11" s="956" t="s">
        <v>400</v>
      </c>
      <c r="K11" s="957"/>
      <c r="L11" s="956" t="s">
        <v>401</v>
      </c>
      <c r="M11" s="957"/>
    </row>
    <row r="12" spans="2:13" ht="16.5" thickBot="1">
      <c r="B12" s="671" t="s">
        <v>402</v>
      </c>
      <c r="C12" s="671" t="s">
        <v>403</v>
      </c>
      <c r="D12" s="671" t="s">
        <v>402</v>
      </c>
      <c r="E12" s="671" t="s">
        <v>403</v>
      </c>
      <c r="F12" s="671" t="s">
        <v>402</v>
      </c>
      <c r="G12" s="671" t="s">
        <v>403</v>
      </c>
      <c r="H12" s="671" t="s">
        <v>402</v>
      </c>
      <c r="I12" s="671" t="s">
        <v>403</v>
      </c>
      <c r="J12" s="671" t="s">
        <v>402</v>
      </c>
      <c r="K12" s="671" t="s">
        <v>403</v>
      </c>
      <c r="L12" s="671" t="s">
        <v>402</v>
      </c>
      <c r="M12" s="671" t="s">
        <v>403</v>
      </c>
    </row>
    <row r="13" spans="2:13" ht="13.5" thickBot="1">
      <c r="B13" s="672">
        <f>Elect!AN37</f>
        <v>388773.19666666497</v>
      </c>
      <c r="C13" s="758">
        <f>(B13*1.15)+(2879*60*0.72)</f>
        <v>571461.97616666462</v>
      </c>
      <c r="D13" s="672">
        <f>Elect!J37</f>
        <v>156687.33333329856</v>
      </c>
      <c r="E13" s="758">
        <f>(D13*1.15)+(573*60)+10000</f>
        <v>224570.43333329333</v>
      </c>
      <c r="F13" s="672">
        <f>Elect!BI37</f>
        <v>408455.60978835839</v>
      </c>
      <c r="G13" s="758">
        <f>(F13*1.15)</f>
        <v>469723.95125661208</v>
      </c>
      <c r="H13" s="672">
        <f>Elect!Q37</f>
        <v>20160</v>
      </c>
      <c r="I13" s="758">
        <f>H13*1.6+1500</f>
        <v>33756</v>
      </c>
      <c r="J13" s="799">
        <f>B13+D13+F13+H13</f>
        <v>974076.13978832192</v>
      </c>
      <c r="K13" s="759">
        <f>G13+E13+C13+I13</f>
        <v>1299512.36075657</v>
      </c>
      <c r="L13" s="799">
        <f>B13+F13</f>
        <v>797228.80645502335</v>
      </c>
      <c r="M13" s="760">
        <f>C13+G13</f>
        <v>1041185.9274232767</v>
      </c>
    </row>
    <row r="16" spans="2:13" ht="0.75" customHeight="1" thickBot="1">
      <c r="K16">
        <f>K18</f>
        <v>1592143.2640899024</v>
      </c>
    </row>
    <row r="17" spans="4:11" ht="13.5" customHeight="1">
      <c r="E17" s="949" t="s">
        <v>404</v>
      </c>
      <c r="F17" s="950"/>
      <c r="J17" s="756" t="s">
        <v>405</v>
      </c>
      <c r="K17" s="757">
        <f>K13/J13</f>
        <v>1.3340973130077585</v>
      </c>
    </row>
    <row r="18" spans="4:11" ht="34.5" customHeight="1" thickBot="1">
      <c r="E18" s="951"/>
      <c r="F18" s="952"/>
      <c r="J18" s="756" t="s">
        <v>406</v>
      </c>
      <c r="K18" s="761">
        <f>K13+F20+F27+G35</f>
        <v>1592143.2640899024</v>
      </c>
    </row>
    <row r="19" spans="4:11" ht="13.5" thickBot="1">
      <c r="E19" s="674" t="s">
        <v>407</v>
      </c>
      <c r="F19" s="674" t="s">
        <v>403</v>
      </c>
    </row>
    <row r="20" spans="4:11" ht="13.5" thickBot="1">
      <c r="E20" s="953">
        <f>Water!H38</f>
        <v>12162.6</v>
      </c>
      <c r="F20" s="955">
        <f>E20*10</f>
        <v>121626</v>
      </c>
    </row>
    <row r="21" spans="4:11" ht="13.5" thickBot="1">
      <c r="E21" s="954"/>
      <c r="F21" s="955"/>
    </row>
    <row r="23" spans="4:11" ht="13.5" thickBot="1"/>
    <row r="24" spans="4:11" ht="13.5" thickBot="1">
      <c r="E24" s="959" t="s">
        <v>408</v>
      </c>
      <c r="F24" s="959"/>
    </row>
    <row r="25" spans="4:11" ht="11.25" customHeight="1" thickBot="1">
      <c r="E25" s="959"/>
      <c r="F25" s="959"/>
      <c r="H25" s="83"/>
    </row>
    <row r="26" spans="4:11" ht="13.5" thickBot="1">
      <c r="E26" s="674" t="s">
        <v>407</v>
      </c>
      <c r="F26" s="674" t="s">
        <v>403</v>
      </c>
    </row>
    <row r="27" spans="4:11" ht="13.5" thickBot="1">
      <c r="E27" s="954">
        <f>Gas!C38</f>
        <v>35631.900000000009</v>
      </c>
      <c r="F27" s="955">
        <f>E27*3.9</f>
        <v>138964.41000000003</v>
      </c>
    </row>
    <row r="28" spans="4:11" ht="13.5" thickBot="1">
      <c r="E28" s="954"/>
      <c r="F28" s="955"/>
    </row>
    <row r="30" spans="4:11" ht="13.5" thickBot="1"/>
    <row r="31" spans="4:11" ht="20.25">
      <c r="D31" s="960" t="s">
        <v>409</v>
      </c>
      <c r="E31" s="961"/>
      <c r="F31" s="961"/>
      <c r="G31" s="962"/>
      <c r="H31" s="676"/>
      <c r="I31" s="676"/>
    </row>
    <row r="32" spans="4:11" ht="21" thickBot="1">
      <c r="D32" s="945"/>
      <c r="E32" s="946"/>
      <c r="F32" s="946"/>
      <c r="G32" s="963"/>
      <c r="H32" s="676"/>
      <c r="I32" s="676"/>
    </row>
    <row r="33" spans="3:9" ht="13.5" thickBot="1">
      <c r="D33" s="677" t="s">
        <v>410</v>
      </c>
      <c r="E33" s="677" t="s">
        <v>411</v>
      </c>
      <c r="F33" s="677" t="s">
        <v>412</v>
      </c>
      <c r="G33" s="677" t="s">
        <v>403</v>
      </c>
      <c r="H33" s="678"/>
      <c r="I33" s="678"/>
    </row>
    <row r="34" spans="3:9" ht="13.5" thickBot="1">
      <c r="C34" s="739"/>
      <c r="D34" s="682">
        <f>Gas!D6</f>
        <v>558668.55555555597</v>
      </c>
      <c r="E34" s="682">
        <f>Gas!D36</f>
        <v>570405</v>
      </c>
      <c r="F34" s="714">
        <f>Gas!E38</f>
        <v>8215.5111111108199</v>
      </c>
      <c r="G34" s="798">
        <f>F34*3.9</f>
        <v>32040.493333332197</v>
      </c>
      <c r="H34" s="680"/>
      <c r="I34" s="680"/>
    </row>
    <row r="35" spans="3:9" ht="18.75" thickBot="1">
      <c r="D35" s="967" t="s">
        <v>413</v>
      </c>
      <c r="E35" s="967"/>
      <c r="F35" s="967"/>
      <c r="G35" s="798">
        <f>G34</f>
        <v>32040.493333332197</v>
      </c>
      <c r="H35" s="33"/>
      <c r="I35" s="33"/>
    </row>
    <row r="37" spans="3:9" ht="13.5" thickBot="1"/>
    <row r="38" spans="3:9" ht="20.25">
      <c r="D38" s="960" t="s">
        <v>414</v>
      </c>
      <c r="E38" s="961"/>
      <c r="F38" s="961"/>
      <c r="G38" s="962"/>
      <c r="H38" s="676"/>
      <c r="I38" s="676"/>
    </row>
    <row r="39" spans="3:9" ht="21" thickBot="1">
      <c r="D39" s="945"/>
      <c r="E39" s="946"/>
      <c r="F39" s="946"/>
      <c r="G39" s="963"/>
      <c r="H39" s="676"/>
      <c r="I39" s="676"/>
    </row>
    <row r="40" spans="3:9" ht="18.75" customHeight="1" thickBot="1">
      <c r="D40" s="677" t="s">
        <v>410</v>
      </c>
      <c r="E40" s="677" t="s">
        <v>411</v>
      </c>
      <c r="F40" s="677" t="s">
        <v>402</v>
      </c>
      <c r="G40" s="677" t="s">
        <v>403</v>
      </c>
      <c r="H40" s="678"/>
      <c r="I40" s="678"/>
    </row>
    <row r="41" spans="3:9" ht="13.5" thickBot="1">
      <c r="C41" s="679" t="s">
        <v>90</v>
      </c>
      <c r="D41" s="683">
        <f>Elect!R5</f>
        <v>213214</v>
      </c>
      <c r="E41" s="762">
        <f>Elect!R36</f>
        <v>217431</v>
      </c>
      <c r="F41" s="684">
        <f>E41-D41</f>
        <v>4217</v>
      </c>
      <c r="G41" s="764">
        <f>F41*1.15</f>
        <v>4849.5499999999993</v>
      </c>
      <c r="H41" s="685"/>
      <c r="I41" s="685"/>
    </row>
    <row r="42" spans="3:9" ht="13.5" thickBot="1">
      <c r="C42" s="679" t="s">
        <v>91</v>
      </c>
      <c r="D42" s="683">
        <f>Elect!T5</f>
        <v>389191</v>
      </c>
      <c r="E42" s="683">
        <f>Elect!T36</f>
        <v>396865</v>
      </c>
      <c r="F42" s="684">
        <f>E42-D42</f>
        <v>7674</v>
      </c>
      <c r="G42" s="764">
        <f>F42*1.15</f>
        <v>8825.0999999999985</v>
      </c>
      <c r="H42" s="685"/>
      <c r="I42" s="685"/>
    </row>
    <row r="43" spans="3:9" ht="18.75" thickBot="1">
      <c r="D43" s="964" t="s">
        <v>413</v>
      </c>
      <c r="E43" s="965"/>
      <c r="F43" s="966"/>
      <c r="G43" s="765">
        <f>G42+G41</f>
        <v>13674.649999999998</v>
      </c>
      <c r="H43" s="33"/>
      <c r="I43" s="33"/>
    </row>
    <row r="44" spans="3:9">
      <c r="F44" s="225"/>
    </row>
    <row r="48" spans="3:9" ht="13.5" thickBot="1"/>
    <row r="49" spans="3:7">
      <c r="D49" s="960" t="s">
        <v>415</v>
      </c>
      <c r="E49" s="961"/>
      <c r="F49" s="961"/>
      <c r="G49" s="962"/>
    </row>
    <row r="50" spans="3:7" ht="13.5" thickBot="1">
      <c r="D50" s="945"/>
      <c r="E50" s="946"/>
      <c r="F50" s="946"/>
      <c r="G50" s="963"/>
    </row>
    <row r="51" spans="3:7" ht="13.5" thickBot="1">
      <c r="D51" s="677" t="s">
        <v>410</v>
      </c>
      <c r="E51" s="677" t="s">
        <v>411</v>
      </c>
      <c r="F51" s="677" t="s">
        <v>407</v>
      </c>
      <c r="G51" s="677" t="s">
        <v>403</v>
      </c>
    </row>
    <row r="52" spans="3:7" ht="13.5" thickBot="1">
      <c r="C52" s="679" t="s">
        <v>416</v>
      </c>
      <c r="D52" s="682">
        <f>Water!I6</f>
        <v>294</v>
      </c>
      <c r="E52" s="683">
        <f>Water!I37</f>
        <v>302</v>
      </c>
      <c r="F52" s="799">
        <f>E52-D52</f>
        <v>8</v>
      </c>
      <c r="G52" s="675">
        <f>F52*10</f>
        <v>80</v>
      </c>
    </row>
    <row r="53" spans="3:7" ht="13.5" thickBot="1">
      <c r="C53" s="679" t="s">
        <v>417</v>
      </c>
      <c r="D53" s="683">
        <f>Water!K6</f>
        <v>5156</v>
      </c>
      <c r="E53" s="683">
        <f>Water!K37</f>
        <v>5261</v>
      </c>
      <c r="F53" s="684">
        <f>E53-D53</f>
        <v>105</v>
      </c>
      <c r="G53" s="673">
        <f>F53*10</f>
        <v>1050</v>
      </c>
    </row>
    <row r="54" spans="3:7" ht="18.75" thickBot="1">
      <c r="D54" s="964" t="s">
        <v>413</v>
      </c>
      <c r="E54" s="965"/>
      <c r="F54" s="966"/>
      <c r="G54" s="681">
        <f>G52+G53</f>
        <v>1130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2023-03-09T20:43:55Z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