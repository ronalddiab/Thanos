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6" i="7"/>
  <c r="BJ7" i="7"/>
  <c r="BJ8" i="7"/>
  <c r="BJ9" i="7"/>
  <c r="BJ10" i="7"/>
  <c r="BJ11" i="7"/>
  <c r="BJ29" i="7"/>
  <c r="BJ30" i="7"/>
  <c r="BJ31" i="7"/>
  <c r="BJ32" i="7"/>
  <c r="BJ33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<sst xmlns="http://schemas.openxmlformats.org/spreadsheetml/2006/main" count="315" uniqueCount="148">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</sst>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S18" sqref="S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 t="e">
        <f>Submetering!E13+Submetering!F13+Submetering!G13+Submetering!H13+Submetering!J13-Submetering!AV13</f>
        <v>#VALUE!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 t="e">
        <f>'FS Desroches Daily'!CM15</f>
        <v>#VALUE!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4.9000000000014552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6.6999999999989086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 t="str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 t="str">
        <f>IF(LPG!F19-LPG!F18&lt;0,"0",(LPG!F19-LPG!F18)*1.8315)</f>
        <v>0</v>
      </c>
      <c r="AY12" s="31" t="str">
        <f>IF(LPG!H19-LPG!H18&lt;0,"0",(LPG!H19-LPG!H18)*1.8315)</f>
        <v>0</v>
      </c>
      <c r="AZ12" s="31" t="str">
        <f>IF(LPG!J19-LPG!J18&lt;0,"0",(LPG!J19-LPG!J18)*1.8315)</f>
        <v>0</v>
      </c>
      <c r="BA12" s="31" t="str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 t="str">
        <f>'FS Desroches Daily'!D15</f>
        <v>0</v>
      </c>
      <c r="F13" s="32" t="str">
        <f>'FS Desroches Daily'!F15</f>
        <v>0</v>
      </c>
      <c r="G13" s="31" t="str">
        <f>'FS Desroches Daily'!H15</f>
        <v>0</v>
      </c>
      <c r="H13" s="32" t="str">
        <f>'FS Desroches Daily'!J15</f>
        <v>0</v>
      </c>
      <c r="I13" s="31" t="str">
        <f>'FS Desroches Daily'!L15</f>
        <v>0</v>
      </c>
      <c r="J13" s="32" t="str">
        <f>'FS Desroches Daily'!N15</f>
        <v/>
      </c>
      <c r="K13" s="13" t="str">
        <f>'FS Desroches Daily'!P15</f>
        <v/>
      </c>
      <c r="L13" s="31" t="str">
        <f>'FS Desroches Daily'!R15</f>
        <v/>
      </c>
      <c r="M13" s="31" t="e">
        <f>'FS Desroches Daily'!T15</f>
        <v>#VALUE!</v>
      </c>
      <c r="N13" s="31" t="str">
        <f>'FS Desroches Daily'!V15</f>
        <v/>
      </c>
      <c r="O13" s="31" t="str">
        <f>'FS Desroches Daily'!X15</f>
        <v/>
      </c>
      <c r="P13" s="31" t="str">
        <f>'FS Desroches Daily'!Z15</f>
        <v/>
      </c>
      <c r="Q13" s="31" t="str">
        <f>'FS Desroches Daily'!AB15</f>
        <v/>
      </c>
      <c r="R13" s="31" t="str">
        <f>'FS Desroches Daily'!AD15</f>
        <v/>
      </c>
      <c r="S13" s="31" t="str">
        <f>'FS Desroches Daily'!AF15</f>
        <v/>
      </c>
      <c r="T13" s="31" t="str">
        <f>'FS Desroches Daily'!AH15</f>
        <v/>
      </c>
      <c r="U13" s="35" t="str">
        <f>'FS Desroches Daily'!AJ15</f>
        <v/>
      </c>
      <c r="V13" s="35" t="str">
        <f>'FS Desroches Daily'!AL15</f>
        <v/>
      </c>
      <c r="W13" s="35" t="str">
        <f>'FS Desroches Daily'!AN15</f>
        <v/>
      </c>
      <c r="X13" s="35" t="str">
        <f>'FS Desroches Daily'!AP15</f>
        <v/>
      </c>
      <c r="Y13" s="35" t="str">
        <f>'FS Desroches Daily'!AR15</f>
        <v/>
      </c>
      <c r="Z13" s="35" t="str">
        <f>'FS Desroches Daily'!AT15</f>
        <v/>
      </c>
      <c r="AA13" s="35" t="str">
        <f>'FS Desroches Daily'!AT15</f>
        <v/>
      </c>
      <c r="AB13" s="35" t="str">
        <f>'FS Desroches Daily'!AV15</f>
        <v/>
      </c>
      <c r="AC13" s="35" t="str">
        <f>'FS Desroches Daily'!AZ15</f>
        <v/>
      </c>
      <c r="AD13" s="35" t="str">
        <f>'FS Desroches Daily'!BB15</f>
        <v/>
      </c>
      <c r="AE13" s="35" t="str">
        <f>'FS Desroches Daily'!BD15</f>
        <v/>
      </c>
      <c r="AF13" s="31" t="str">
        <f>'FS Desroches Daily'!BF15</f>
        <v/>
      </c>
      <c r="AG13" s="32" t="str">
        <f>'FS Desroches Daily'!BH15</f>
        <v/>
      </c>
      <c r="AH13" s="32" t="str">
        <f>'FS Desroches Daily'!BJ15</f>
        <v/>
      </c>
      <c r="AI13" s="32" t="str">
        <f>'FS Desroches Daily'!BL15</f>
        <v/>
      </c>
      <c r="AJ13" s="32" t="str">
        <f>'FS Desroches Daily'!BN15</f>
        <v/>
      </c>
      <c r="AK13" s="32" t="str">
        <f>'FS Desroches Daily'!BP15</f>
        <v/>
      </c>
      <c r="AL13" s="32" t="str">
        <f>'FS Desroches Daily'!BR15</f>
        <v/>
      </c>
      <c r="AM13" s="32" t="str">
        <f>'FS Desroches Daily'!BT15</f>
        <v/>
      </c>
      <c r="AN13" s="32" t="str">
        <f>'FS Desroches Daily'!BV15</f>
        <v/>
      </c>
      <c r="AO13" s="32" t="str">
        <f>'FS Desroches Daily'!BX15</f>
        <v/>
      </c>
      <c r="AP13" s="32" t="str">
        <f>'FS Desroches Daily'!BZ15</f>
        <v/>
      </c>
      <c r="AQ13" s="31" t="str">
        <f>'FS Desroches Daily'!CB15</f>
        <v/>
      </c>
      <c r="AR13" s="31" t="str">
        <f>'FS Desroches Daily'!CD15</f>
        <v/>
      </c>
      <c r="AS13" s="31" t="str">
        <f>'FS Desroches Daily'!CF15</f>
        <v/>
      </c>
      <c r="AT13" s="31" t="str">
        <f>'FS Desroches Daily'!CH15</f>
        <v/>
      </c>
      <c r="AU13" s="31" t="str">
        <f>'FS Desroches Daily'!CJ15</f>
        <v/>
      </c>
      <c r="AV13" s="31" t="str">
        <f>'FS Desroches Daily'!CL15</f>
        <v/>
      </c>
      <c r="AW13" s="31" t="e">
        <f>'FS Desroches Daily'!CM15</f>
        <v>#VALUE!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40700.000000000189</v>
      </c>
      <c r="F33" s="17">
        <f t="shared" ref="F33:BC33" si="0">SUM(F2:F32)</f>
        <v>38899.999999999935</v>
      </c>
      <c r="G33" s="17">
        <f t="shared" si="0"/>
        <v>46899.999999999949</v>
      </c>
      <c r="H33" s="17">
        <f t="shared" si="0"/>
        <v>19099.999999999894</v>
      </c>
      <c r="I33" s="17">
        <f t="shared" si="0"/>
        <v>32700.000000000171</v>
      </c>
      <c r="J33" s="17">
        <f t="shared" si="0"/>
        <v>20300.000000000211</v>
      </c>
      <c r="K33" s="17">
        <f t="shared" si="0"/>
        <v>237</v>
      </c>
      <c r="L33" s="17">
        <f t="shared" si="0"/>
        <v>56</v>
      </c>
      <c r="M33" s="17" t="e">
        <f t="shared" si="0"/>
        <v>#VALUE!</v>
      </c>
      <c r="N33" s="17">
        <f t="shared" si="0"/>
        <v>5828.8999999999069</v>
      </c>
      <c r="O33" s="17">
        <f t="shared" si="0"/>
        <v>4059.9999999999454</v>
      </c>
      <c r="P33" s="17">
        <f t="shared" si="0"/>
        <v>34299.999999999993</v>
      </c>
      <c r="Q33" s="17">
        <f t="shared" si="0"/>
        <v>4039.9999999999636</v>
      </c>
      <c r="R33" s="17">
        <f t="shared" si="0"/>
        <v>4610.0000000000136</v>
      </c>
      <c r="S33" s="17">
        <f t="shared" si="0"/>
        <v>10269.999999999982</v>
      </c>
      <c r="T33" s="17">
        <f t="shared" si="0"/>
        <v>533</v>
      </c>
      <c r="U33" s="35">
        <f t="shared" si="0"/>
        <v>10900.000000000131</v>
      </c>
      <c r="V33" s="35">
        <f t="shared" si="0"/>
        <v>3189.9999999999977</v>
      </c>
      <c r="W33" s="35">
        <f t="shared" si="0"/>
        <v>2099.9999999999659</v>
      </c>
      <c r="X33" s="35">
        <f t="shared" si="0"/>
        <v>3030.0000000000296</v>
      </c>
      <c r="Y33" s="35">
        <f t="shared" si="0"/>
        <v>2620.0000000000045</v>
      </c>
      <c r="Z33" s="35">
        <f t="shared" si="0"/>
        <v>3269.9999999999818</v>
      </c>
      <c r="AA33" s="35">
        <f t="shared" si="0"/>
        <v>3269.9999999999818</v>
      </c>
      <c r="AB33" s="35">
        <f t="shared" si="0"/>
        <v>2649.9999999999773</v>
      </c>
      <c r="AC33" s="35">
        <f t="shared" si="0"/>
        <v>2060.0000000000023</v>
      </c>
      <c r="AD33" s="35">
        <f t="shared" si="0"/>
        <v>2220.0000000000273</v>
      </c>
      <c r="AE33" s="35">
        <f t="shared" si="0"/>
        <v>2080.0000000000409</v>
      </c>
      <c r="AF33" s="17">
        <f t="shared" si="0"/>
        <v>542</v>
      </c>
      <c r="AG33" s="32">
        <f t="shared" si="0"/>
        <v>470.00000000002728</v>
      </c>
      <c r="AH33" s="32">
        <f t="shared" si="0"/>
        <v>489.99999999995225</v>
      </c>
      <c r="AI33" s="32">
        <f t="shared" si="0"/>
        <v>740.00000000000909</v>
      </c>
      <c r="AJ33" s="32">
        <f t="shared" si="0"/>
        <v>489.99999999998067</v>
      </c>
      <c r="AK33" s="32">
        <f t="shared" si="0"/>
        <v>409.99999999996817</v>
      </c>
      <c r="AL33" s="32">
        <f t="shared" si="0"/>
        <v>502</v>
      </c>
      <c r="AM33" s="32">
        <f t="shared" si="0"/>
        <v>530.00000000000114</v>
      </c>
      <c r="AN33" s="32">
        <f t="shared" si="0"/>
        <v>511</v>
      </c>
      <c r="AO33" s="32">
        <f t="shared" si="0"/>
        <v>469.99999999999886</v>
      </c>
      <c r="AP33" s="32">
        <f t="shared" si="0"/>
        <v>587</v>
      </c>
      <c r="AQ33" s="17">
        <f t="shared" si="0"/>
        <v>858.5</v>
      </c>
      <c r="AR33" s="17">
        <f t="shared" si="0"/>
        <v>156.60000000000218</v>
      </c>
      <c r="AS33" s="17">
        <f t="shared" si="0"/>
        <v>49.899999999999636</v>
      </c>
      <c r="AT33" s="17">
        <f t="shared" si="0"/>
        <v>648.19999999999709</v>
      </c>
      <c r="AU33" s="17">
        <f t="shared" si="0"/>
        <v>3495</v>
      </c>
      <c r="AV33" s="17">
        <f t="shared" si="0"/>
        <v>11799.999999999955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53.113500000000002</v>
      </c>
      <c r="BC33" s="17">
        <f t="shared" si="0"/>
        <v>454</v>
      </c>
    </row>
    <row r="35" spans="5:55" x14ac:dyDescent="0.25">
      <c r="E35" s="38">
        <f>E33/E37</f>
        <v>0.2591729390338654</v>
      </c>
      <c r="G35" s="29" t="e">
        <f>G33-M36</f>
        <v>#VALUE!</v>
      </c>
      <c r="AE35" s="35">
        <f>SUM(U33:AE33)</f>
        <v>37390.000000000146</v>
      </c>
      <c r="AG35" s="32">
        <f>SUM(AG33:AP33)</f>
        <v>5199.9999999999372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157038.00000000015</v>
      </c>
      <c r="G37" s="37" t="e">
        <f>M36/E37</f>
        <v>#VALUE!</v>
      </c>
      <c r="M37" s="35">
        <f>AE35</f>
        <v>37390.000000000146</v>
      </c>
    </row>
    <row r="38" spans="5:55" x14ac:dyDescent="0.25">
      <c r="L38" s="27">
        <f>M38/E37</f>
        <v>3.3113004495726718E-2</v>
      </c>
      <c r="M38" s="29">
        <f>AG35</f>
        <v>5199.9999999999372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C1" zoomScale="82" zoomScaleNormal="82" workbookViewId="0">
      <pane ySplit="1" topLeftCell="A2" activePane="bottomLeft" state="frozen"/>
      <selection pane="bottomLeft" activeCell="BE15" sqref="BE1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9020.2000000000007</v>
      </c>
      <c r="CF12" s="67">
        <f t="shared" si="40"/>
        <v>4.9000000000014552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9026.9</v>
      </c>
      <c r="CF13" s="67">
        <f t="shared" si="40"/>
        <v>6.6999999999989086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9029.6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/>
      <c r="D15" s="64" t="str">
        <f t="shared" si="0"/>
        <v>0</v>
      </c>
      <c r="E15" s="58"/>
      <c r="F15" s="64" t="str">
        <f t="shared" si="1"/>
        <v>0</v>
      </c>
      <c r="G15" s="58"/>
      <c r="H15" s="64" t="str">
        <f t="shared" si="2"/>
        <v>0</v>
      </c>
      <c r="I15" s="58"/>
      <c r="J15" s="64" t="str">
        <f t="shared" si="3"/>
        <v>0</v>
      </c>
      <c r="K15" s="58"/>
      <c r="L15" s="64" t="str">
        <f t="shared" si="48"/>
        <v>0</v>
      </c>
      <c r="M15" s="58"/>
      <c r="N15" s="64" t="str">
        <f t="shared" si="49"/>
        <v/>
      </c>
      <c r="O15" s="58"/>
      <c r="P15" s="67" t="str">
        <f t="shared" si="6"/>
        <v/>
      </c>
      <c r="Q15" s="58"/>
      <c r="R15" s="67" t="str">
        <f>IF((Q15-Q14&lt;0), "",Q15-Q14)</f>
        <v/>
      </c>
      <c r="S15" s="58"/>
      <c r="T15" s="67" t="e">
        <f t="shared" si="8"/>
        <v>#VALUE!</v>
      </c>
      <c r="U15" s="58"/>
      <c r="V15" s="67" t="str">
        <f t="shared" si="9"/>
        <v/>
      </c>
      <c r="W15" s="58"/>
      <c r="X15" s="65" t="str">
        <f t="shared" si="10"/>
        <v/>
      </c>
      <c r="Y15" s="58"/>
      <c r="Z15" s="65" t="str">
        <f t="shared" si="11"/>
        <v/>
      </c>
      <c r="AA15" s="58"/>
      <c r="AB15" s="65" t="str">
        <f t="shared" si="12"/>
        <v/>
      </c>
      <c r="AC15" s="58"/>
      <c r="AD15" s="65" t="str">
        <f t="shared" si="13"/>
        <v/>
      </c>
      <c r="AE15" s="58"/>
      <c r="AF15" s="65" t="str">
        <f t="shared" si="14"/>
        <v/>
      </c>
      <c r="AG15" s="58"/>
      <c r="AH15" s="67" t="str">
        <f t="shared" si="15"/>
        <v/>
      </c>
      <c r="AI15" s="58"/>
      <c r="AJ15" s="65" t="str">
        <f t="shared" si="16"/>
        <v/>
      </c>
      <c r="AK15" s="58"/>
      <c r="AL15" s="65" t="str">
        <f t="shared" si="17"/>
        <v/>
      </c>
      <c r="AM15" s="58"/>
      <c r="AN15" s="65" t="str">
        <f t="shared" si="18"/>
        <v/>
      </c>
      <c r="AO15" s="58"/>
      <c r="AP15" s="65" t="str">
        <f t="shared" si="19"/>
        <v/>
      </c>
      <c r="AQ15" s="58"/>
      <c r="AR15" s="65" t="str">
        <f t="shared" si="20"/>
        <v/>
      </c>
      <c r="AS15" s="58"/>
      <c r="AT15" s="65" t="str">
        <f t="shared" si="21"/>
        <v/>
      </c>
      <c r="AU15" s="58"/>
      <c r="AV15" s="65" t="str">
        <f t="shared" si="22"/>
        <v/>
      </c>
      <c r="AW15" s="58"/>
      <c r="AX15" s="65" t="str">
        <f t="shared" si="23"/>
        <v/>
      </c>
      <c r="AY15" s="58"/>
      <c r="AZ15" s="65" t="str">
        <f t="shared" si="24"/>
        <v/>
      </c>
      <c r="BA15" s="58"/>
      <c r="BB15" s="65" t="str">
        <f t="shared" si="25"/>
        <v/>
      </c>
      <c r="BC15" s="58"/>
      <c r="BD15" s="65" t="str">
        <f t="shared" si="26"/>
        <v/>
      </c>
      <c r="BE15" s="59"/>
      <c r="BF15" s="67" t="str">
        <f t="shared" si="27"/>
        <v/>
      </c>
      <c r="BG15" s="60"/>
      <c r="BH15" s="65" t="str">
        <f t="shared" si="28"/>
        <v/>
      </c>
      <c r="BI15" s="60"/>
      <c r="BJ15" s="65" t="str">
        <f t="shared" si="29"/>
        <v/>
      </c>
      <c r="BK15" s="60"/>
      <c r="BL15" s="65" t="str">
        <f t="shared" si="30"/>
        <v/>
      </c>
      <c r="BM15" s="60"/>
      <c r="BN15" s="65" t="str">
        <f t="shared" si="31"/>
        <v/>
      </c>
      <c r="BO15" s="60"/>
      <c r="BP15" s="65" t="str">
        <f t="shared" si="32"/>
        <v/>
      </c>
      <c r="BQ15" s="60"/>
      <c r="BR15" s="65" t="str">
        <f t="shared" si="33"/>
        <v/>
      </c>
      <c r="BS15" s="60"/>
      <c r="BT15" s="65" t="str">
        <f t="shared" si="34"/>
        <v/>
      </c>
      <c r="BU15" s="60"/>
      <c r="BV15" s="65" t="str">
        <f t="shared" si="35"/>
        <v/>
      </c>
      <c r="BW15" s="60"/>
      <c r="BX15" s="65" t="str">
        <f t="shared" si="36"/>
        <v/>
      </c>
      <c r="BY15" s="60"/>
      <c r="BZ15" s="67" t="str">
        <f t="shared" si="37"/>
        <v/>
      </c>
      <c r="CA15" s="60"/>
      <c r="CB15" s="67" t="str">
        <f t="shared" si="38"/>
        <v/>
      </c>
      <c r="CC15" s="60"/>
      <c r="CD15" s="67" t="str">
        <f t="shared" si="39"/>
        <v/>
      </c>
      <c r="CE15" s="60"/>
      <c r="CF15" s="67" t="str">
        <f t="shared" si="40"/>
        <v/>
      </c>
      <c r="CG15" s="60"/>
      <c r="CH15" s="67" t="str">
        <f t="shared" si="41"/>
        <v/>
      </c>
      <c r="CI15" s="60"/>
      <c r="CJ15" s="67" t="str">
        <f t="shared" si="42"/>
        <v/>
      </c>
      <c r="CK15" s="60"/>
      <c r="CL15" s="64" t="str">
        <f t="shared" si="43"/>
        <v/>
      </c>
      <c r="CM15" s="65" t="e">
        <f t="shared" si="50"/>
        <v>#VALUE!</v>
      </c>
      <c r="CN15" s="62"/>
      <c r="CO15" s="62"/>
      <c r="CP15" s="68"/>
      <c r="CQ15" s="67" t="str">
        <f t="shared" si="51"/>
        <v/>
      </c>
      <c r="CR15" s="68"/>
      <c r="CS15" s="67" t="str">
        <f t="shared" si="44"/>
        <v/>
      </c>
      <c r="CT15" s="75"/>
      <c r="CU15" s="67" t="str">
        <f t="shared" si="45"/>
        <v/>
      </c>
      <c r="CV15" s="68"/>
      <c r="CW15" s="67" t="str">
        <f t="shared" si="46"/>
        <v/>
      </c>
      <c r="CX15" s="58"/>
      <c r="CY15" s="67" t="str">
        <f t="shared" si="47"/>
        <v/>
      </c>
    </row>
    <row r="16" spans="1:103" ht="25.5" customHeight="1" thickBot="1" x14ac:dyDescent="0.45">
      <c r="A16" s="63">
        <v>44939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>IF((I16-I15&lt;0), "0",(I16-I15)*1000000)</f>
        <v>0</v>
      </c>
      <c r="K16" s="58"/>
      <c r="L16" s="64">
        <f t="shared" si="48"/>
        <v>0</v>
      </c>
      <c r="M16" s="58"/>
      <c r="N16" s="64">
        <f t="shared" si="49"/>
        <v>0</v>
      </c>
      <c r="O16" s="58"/>
      <c r="P16" s="67">
        <f t="shared" si="6"/>
        <v>0</v>
      </c>
      <c r="Q16" s="58"/>
      <c r="R16" s="67">
        <f t="shared" si="7"/>
        <v>0</v>
      </c>
      <c r="S16" s="58"/>
      <c r="T16" s="67">
        <f t="shared" si="8"/>
        <v>0</v>
      </c>
      <c r="U16" s="58"/>
      <c r="V16" s="67">
        <f t="shared" si="9"/>
        <v>0</v>
      </c>
      <c r="W16" s="58"/>
      <c r="X16" s="65">
        <f t="shared" si="10"/>
        <v>0</v>
      </c>
      <c r="Y16" s="58"/>
      <c r="Z16" s="65">
        <f t="shared" si="11"/>
        <v>0</v>
      </c>
      <c r="AA16" s="58"/>
      <c r="AB16" s="65">
        <f t="shared" si="12"/>
        <v>0</v>
      </c>
      <c r="AC16" s="58"/>
      <c r="AD16" s="65">
        <f t="shared" si="13"/>
        <v>0</v>
      </c>
      <c r="AE16" s="58"/>
      <c r="AF16" s="65">
        <f t="shared" si="14"/>
        <v>0</v>
      </c>
      <c r="AG16" s="58"/>
      <c r="AH16" s="67">
        <f t="shared" si="15"/>
        <v>0</v>
      </c>
      <c r="AI16" s="58"/>
      <c r="AJ16" s="65">
        <f t="shared" si="16"/>
        <v>0</v>
      </c>
      <c r="AK16" s="58"/>
      <c r="AL16" s="65">
        <f t="shared" si="17"/>
        <v>0</v>
      </c>
      <c r="AM16" s="58"/>
      <c r="AN16" s="65">
        <f t="shared" si="18"/>
        <v>0</v>
      </c>
      <c r="AO16" s="58"/>
      <c r="AP16" s="65">
        <f t="shared" si="19"/>
        <v>0</v>
      </c>
      <c r="AQ16" s="58"/>
      <c r="AR16" s="65">
        <f t="shared" si="20"/>
        <v>0</v>
      </c>
      <c r="AS16" s="58"/>
      <c r="AT16" s="65">
        <f t="shared" si="21"/>
        <v>0</v>
      </c>
      <c r="AU16" s="58"/>
      <c r="AV16" s="65">
        <f t="shared" si="22"/>
        <v>0</v>
      </c>
      <c r="AW16" s="58"/>
      <c r="AX16" s="65">
        <f t="shared" si="23"/>
        <v>0</v>
      </c>
      <c r="AY16" s="58"/>
      <c r="AZ16" s="65">
        <f t="shared" si="24"/>
        <v>0</v>
      </c>
      <c r="BA16" s="58"/>
      <c r="BB16" s="65">
        <f t="shared" si="25"/>
        <v>0</v>
      </c>
      <c r="BC16" s="58"/>
      <c r="BD16" s="65">
        <f t="shared" si="26"/>
        <v>0</v>
      </c>
      <c r="BE16" s="59"/>
      <c r="BF16" s="67">
        <f t="shared" si="27"/>
        <v>0</v>
      </c>
      <c r="BG16" s="60"/>
      <c r="BH16" s="65">
        <f t="shared" si="28"/>
        <v>0</v>
      </c>
      <c r="BI16" s="60"/>
      <c r="BJ16" s="65">
        <f t="shared" si="29"/>
        <v>0</v>
      </c>
      <c r="BK16" s="60"/>
      <c r="BL16" s="65">
        <f t="shared" si="30"/>
        <v>0</v>
      </c>
      <c r="BM16" s="60"/>
      <c r="BN16" s="65">
        <f t="shared" si="31"/>
        <v>0</v>
      </c>
      <c r="BO16" s="60"/>
      <c r="BP16" s="65">
        <f t="shared" si="32"/>
        <v>0</v>
      </c>
      <c r="BQ16" s="60"/>
      <c r="BR16" s="65">
        <f t="shared" si="33"/>
        <v>0</v>
      </c>
      <c r="BS16" s="60"/>
      <c r="BT16" s="65">
        <f t="shared" si="34"/>
        <v>0</v>
      </c>
      <c r="BU16" s="60"/>
      <c r="BV16" s="65">
        <f t="shared" si="35"/>
        <v>0</v>
      </c>
      <c r="BW16" s="60"/>
      <c r="BX16" s="65">
        <f t="shared" si="36"/>
        <v>0</v>
      </c>
      <c r="BY16" s="60"/>
      <c r="BZ16" s="67">
        <f t="shared" si="37"/>
        <v>0</v>
      </c>
      <c r="CA16" s="60"/>
      <c r="CB16" s="67">
        <f t="shared" si="38"/>
        <v>0</v>
      </c>
      <c r="CC16" s="60"/>
      <c r="CD16" s="67">
        <f t="shared" si="39"/>
        <v>0</v>
      </c>
      <c r="CE16" s="60"/>
      <c r="CF16" s="67">
        <f t="shared" si="40"/>
        <v>0</v>
      </c>
      <c r="CG16" s="60"/>
      <c r="CH16" s="67">
        <f t="shared" si="41"/>
        <v>0</v>
      </c>
      <c r="CI16" s="60"/>
      <c r="CJ16" s="67">
        <f t="shared" si="42"/>
        <v>0</v>
      </c>
      <c r="CK16" s="60"/>
      <c r="CL16" s="64">
        <f t="shared" si="43"/>
        <v>0</v>
      </c>
      <c r="CM16" s="65">
        <f t="shared" si="50"/>
        <v>0</v>
      </c>
      <c r="CN16" s="62"/>
      <c r="CO16" s="62"/>
      <c r="CP16" s="68"/>
      <c r="CQ16" s="67">
        <f t="shared" si="51"/>
        <v>0</v>
      </c>
      <c r="CR16" s="68"/>
      <c r="CS16" s="67">
        <f t="shared" si="44"/>
        <v>0</v>
      </c>
      <c r="CT16" s="75"/>
      <c r="CU16" s="67">
        <f t="shared" si="45"/>
        <v>0</v>
      </c>
      <c r="CV16" s="68"/>
      <c r="CW16" s="67">
        <f t="shared" si="46"/>
        <v>0</v>
      </c>
      <c r="CX16" s="58"/>
      <c r="CY16" s="67">
        <f t="shared" si="47"/>
        <v>0</v>
      </c>
    </row>
    <row r="17" spans="1:103" ht="25.5" customHeight="1" thickBot="1" x14ac:dyDescent="0.45">
      <c r="A17" s="63">
        <v>44940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8"/>
        <v>0</v>
      </c>
      <c r="M17" s="58"/>
      <c r="N17" s="64">
        <f t="shared" si="49"/>
        <v>0</v>
      </c>
      <c r="O17" s="58"/>
      <c r="P17" s="67">
        <f t="shared" si="6"/>
        <v>0</v>
      </c>
      <c r="Q17" s="58"/>
      <c r="R17" s="67">
        <f t="shared" si="7"/>
        <v>0</v>
      </c>
      <c r="S17" s="58"/>
      <c r="T17" s="67">
        <f t="shared" si="8"/>
        <v>0</v>
      </c>
      <c r="U17" s="58"/>
      <c r="V17" s="67">
        <f t="shared" si="9"/>
        <v>0</v>
      </c>
      <c r="W17" s="58"/>
      <c r="X17" s="65">
        <f t="shared" si="10"/>
        <v>0</v>
      </c>
      <c r="Y17" s="58"/>
      <c r="Z17" s="65">
        <f t="shared" si="11"/>
        <v>0</v>
      </c>
      <c r="AA17" s="58"/>
      <c r="AB17" s="65">
        <f t="shared" si="12"/>
        <v>0</v>
      </c>
      <c r="AC17" s="58"/>
      <c r="AD17" s="65">
        <f t="shared" si="13"/>
        <v>0</v>
      </c>
      <c r="AE17" s="58"/>
      <c r="AF17" s="65">
        <f t="shared" si="14"/>
        <v>0</v>
      </c>
      <c r="AG17" s="58"/>
      <c r="AH17" s="67">
        <f t="shared" si="15"/>
        <v>0</v>
      </c>
      <c r="AI17" s="58"/>
      <c r="AJ17" s="65">
        <f t="shared" si="16"/>
        <v>0</v>
      </c>
      <c r="AK17" s="58"/>
      <c r="AL17" s="65">
        <f t="shared" si="17"/>
        <v>0</v>
      </c>
      <c r="AM17" s="58"/>
      <c r="AN17" s="65">
        <f t="shared" si="18"/>
        <v>0</v>
      </c>
      <c r="AO17" s="58"/>
      <c r="AP17" s="65">
        <f t="shared" si="19"/>
        <v>0</v>
      </c>
      <c r="AQ17" s="58"/>
      <c r="AR17" s="65">
        <f t="shared" si="20"/>
        <v>0</v>
      </c>
      <c r="AS17" s="58"/>
      <c r="AT17" s="65">
        <f t="shared" si="21"/>
        <v>0</v>
      </c>
      <c r="AU17" s="58"/>
      <c r="AV17" s="65">
        <f t="shared" si="22"/>
        <v>0</v>
      </c>
      <c r="AW17" s="58"/>
      <c r="AX17" s="65">
        <f t="shared" si="23"/>
        <v>0</v>
      </c>
      <c r="AY17" s="58"/>
      <c r="AZ17" s="65">
        <f t="shared" si="24"/>
        <v>0</v>
      </c>
      <c r="BA17" s="58"/>
      <c r="BB17" s="65">
        <f t="shared" si="25"/>
        <v>0</v>
      </c>
      <c r="BC17" s="58"/>
      <c r="BD17" s="65">
        <f t="shared" si="26"/>
        <v>0</v>
      </c>
      <c r="BE17" s="59"/>
      <c r="BF17" s="67">
        <f t="shared" si="27"/>
        <v>0</v>
      </c>
      <c r="BG17" s="60"/>
      <c r="BH17" s="65">
        <f t="shared" si="28"/>
        <v>0</v>
      </c>
      <c r="BI17" s="60"/>
      <c r="BJ17" s="65">
        <f t="shared" si="29"/>
        <v>0</v>
      </c>
      <c r="BK17" s="60"/>
      <c r="BL17" s="65">
        <f t="shared" si="30"/>
        <v>0</v>
      </c>
      <c r="BM17" s="60"/>
      <c r="BN17" s="65">
        <f t="shared" si="31"/>
        <v>0</v>
      </c>
      <c r="BO17" s="60"/>
      <c r="BP17" s="65">
        <f t="shared" si="32"/>
        <v>0</v>
      </c>
      <c r="BQ17" s="60"/>
      <c r="BR17" s="65">
        <f t="shared" si="33"/>
        <v>0</v>
      </c>
      <c r="BS17" s="60"/>
      <c r="BT17" s="65">
        <f t="shared" si="34"/>
        <v>0</v>
      </c>
      <c r="BU17" s="60"/>
      <c r="BV17" s="65">
        <f t="shared" si="35"/>
        <v>0</v>
      </c>
      <c r="BW17" s="60"/>
      <c r="BX17" s="65">
        <f t="shared" si="36"/>
        <v>0</v>
      </c>
      <c r="BY17" s="60"/>
      <c r="BZ17" s="67">
        <f t="shared" si="37"/>
        <v>0</v>
      </c>
      <c r="CA17" s="60"/>
      <c r="CB17" s="67">
        <f t="shared" si="38"/>
        <v>0</v>
      </c>
      <c r="CC17" s="60"/>
      <c r="CD17" s="67">
        <f t="shared" si="39"/>
        <v>0</v>
      </c>
      <c r="CE17" s="60"/>
      <c r="CF17" s="67">
        <f t="shared" si="40"/>
        <v>0</v>
      </c>
      <c r="CG17" s="60"/>
      <c r="CH17" s="67">
        <f t="shared" si="41"/>
        <v>0</v>
      </c>
      <c r="CI17" s="60"/>
      <c r="CJ17" s="67">
        <f t="shared" si="42"/>
        <v>0</v>
      </c>
      <c r="CK17" s="60"/>
      <c r="CL17" s="64">
        <f t="shared" si="43"/>
        <v>0</v>
      </c>
      <c r="CM17" s="65">
        <f t="shared" si="50"/>
        <v>0</v>
      </c>
      <c r="CN17" s="62"/>
      <c r="CO17" s="62"/>
      <c r="CP17" s="68"/>
      <c r="CQ17" s="67">
        <f t="shared" si="51"/>
        <v>0</v>
      </c>
      <c r="CR17" s="68"/>
      <c r="CS17" s="67">
        <f t="shared" si="44"/>
        <v>0</v>
      </c>
      <c r="CT17" s="75"/>
      <c r="CU17" s="67">
        <f t="shared" si="45"/>
        <v>0</v>
      </c>
      <c r="CV17" s="68"/>
      <c r="CW17" s="67">
        <f t="shared" si="46"/>
        <v>0</v>
      </c>
      <c r="CX17" s="58"/>
      <c r="CY17" s="67">
        <f t="shared" si="47"/>
        <v>0</v>
      </c>
    </row>
    <row r="18" spans="1:103" ht="25.5" customHeight="1" thickBot="1" x14ac:dyDescent="0.45">
      <c r="A18" s="63">
        <v>44941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8"/>
        <v>0</v>
      </c>
      <c r="M18" s="58"/>
      <c r="N18" s="64">
        <f t="shared" si="49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8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31"/>
        <v>0</v>
      </c>
      <c r="BO18" s="60"/>
      <c r="BP18" s="65">
        <f t="shared" si="32"/>
        <v>0</v>
      </c>
      <c r="BQ18" s="60"/>
      <c r="BR18" s="65">
        <f t="shared" si="33"/>
        <v>0</v>
      </c>
      <c r="BS18" s="60"/>
      <c r="BT18" s="65">
        <f t="shared" si="34"/>
        <v>0</v>
      </c>
      <c r="BU18" s="60"/>
      <c r="BV18" s="65">
        <f t="shared" si="35"/>
        <v>0</v>
      </c>
      <c r="BW18" s="60"/>
      <c r="BX18" s="65">
        <f t="shared" si="36"/>
        <v>0</v>
      </c>
      <c r="BY18" s="60"/>
      <c r="BZ18" s="67">
        <f t="shared" si="37"/>
        <v>0</v>
      </c>
      <c r="CA18" s="60"/>
      <c r="CB18" s="67">
        <f t="shared" si="38"/>
        <v>0</v>
      </c>
      <c r="CC18" s="60"/>
      <c r="CD18" s="67">
        <f t="shared" si="39"/>
        <v>0</v>
      </c>
      <c r="CE18" s="60"/>
      <c r="CF18" s="67">
        <f t="shared" si="40"/>
        <v>0</v>
      </c>
      <c r="CG18" s="60"/>
      <c r="CH18" s="67">
        <f t="shared" si="41"/>
        <v>0</v>
      </c>
      <c r="CI18" s="60"/>
      <c r="CJ18" s="67">
        <f t="shared" si="42"/>
        <v>0</v>
      </c>
      <c r="CK18" s="60"/>
      <c r="CL18" s="64">
        <f t="shared" si="43"/>
        <v>0</v>
      </c>
      <c r="CM18" s="65">
        <f t="shared" si="50"/>
        <v>0</v>
      </c>
      <c r="CN18" s="62"/>
      <c r="CO18" s="62"/>
      <c r="CP18" s="68"/>
      <c r="CQ18" s="67">
        <f t="shared" si="51"/>
        <v>0</v>
      </c>
      <c r="CR18" s="68"/>
      <c r="CS18" s="67">
        <f t="shared" si="44"/>
        <v>0</v>
      </c>
      <c r="CT18" s="75"/>
      <c r="CU18" s="67">
        <f t="shared" si="45"/>
        <v>0</v>
      </c>
      <c r="CV18" s="68"/>
      <c r="CW18" s="67">
        <f t="shared" si="46"/>
        <v>0</v>
      </c>
      <c r="CX18" s="58"/>
      <c r="CY18" s="67">
        <f t="shared" si="47"/>
        <v>0</v>
      </c>
    </row>
    <row r="19" spans="1:103" ht="25.5" customHeight="1" thickBot="1" x14ac:dyDescent="0.45">
      <c r="A19" s="63">
        <v>44942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8"/>
        <v>0</v>
      </c>
      <c r="M19" s="58"/>
      <c r="N19" s="64">
        <f t="shared" si="49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31"/>
        <v>0</v>
      </c>
      <c r="BO19" s="60"/>
      <c r="BP19" s="65">
        <f t="shared" si="32"/>
        <v>0</v>
      </c>
      <c r="BQ19" s="60"/>
      <c r="BR19" s="65">
        <f t="shared" si="33"/>
        <v>0</v>
      </c>
      <c r="BS19" s="60"/>
      <c r="BT19" s="65">
        <f t="shared" si="34"/>
        <v>0</v>
      </c>
      <c r="BU19" s="60"/>
      <c r="BV19" s="65">
        <f t="shared" si="35"/>
        <v>0</v>
      </c>
      <c r="BW19" s="60"/>
      <c r="BX19" s="65">
        <f t="shared" si="36"/>
        <v>0</v>
      </c>
      <c r="BY19" s="60"/>
      <c r="BZ19" s="67">
        <f t="shared" si="37"/>
        <v>0</v>
      </c>
      <c r="CA19" s="60"/>
      <c r="CB19" s="67">
        <f t="shared" si="38"/>
        <v>0</v>
      </c>
      <c r="CC19" s="60"/>
      <c r="CD19" s="67">
        <f t="shared" si="39"/>
        <v>0</v>
      </c>
      <c r="CE19" s="60"/>
      <c r="CF19" s="67">
        <f t="shared" si="40"/>
        <v>0</v>
      </c>
      <c r="CG19" s="60"/>
      <c r="CH19" s="67">
        <f t="shared" si="41"/>
        <v>0</v>
      </c>
      <c r="CI19" s="60"/>
      <c r="CJ19" s="67">
        <f t="shared" si="42"/>
        <v>0</v>
      </c>
      <c r="CK19" s="60"/>
      <c r="CL19" s="64">
        <f t="shared" si="43"/>
        <v>0</v>
      </c>
      <c r="CM19" s="65">
        <f t="shared" si="50"/>
        <v>0</v>
      </c>
      <c r="CN19" s="62"/>
      <c r="CO19" s="62"/>
      <c r="CP19" s="68"/>
      <c r="CQ19" s="67">
        <f t="shared" si="51"/>
        <v>0</v>
      </c>
      <c r="CR19" s="68"/>
      <c r="CS19" s="67">
        <f t="shared" si="44"/>
        <v>0</v>
      </c>
      <c r="CT19" s="75"/>
      <c r="CU19" s="67">
        <f t="shared" si="45"/>
        <v>0</v>
      </c>
      <c r="CV19" s="68"/>
      <c r="CW19" s="67">
        <f t="shared" si="46"/>
        <v>0</v>
      </c>
      <c r="CX19" s="58"/>
      <c r="CY19" s="67">
        <f t="shared" si="47"/>
        <v>0</v>
      </c>
    </row>
    <row r="20" spans="1:103" ht="25.5" customHeight="1" thickBot="1" x14ac:dyDescent="0.45">
      <c r="A20" s="63">
        <v>44943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8"/>
        <v>0</v>
      </c>
      <c r="M20" s="58"/>
      <c r="N20" s="64">
        <f t="shared" si="49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50"/>
        <v>0</v>
      </c>
      <c r="CN20" s="62"/>
      <c r="CO20" s="62"/>
      <c r="CP20" s="68"/>
      <c r="CQ20" s="67">
        <f t="shared" si="51"/>
        <v>0</v>
      </c>
      <c r="CR20" s="68"/>
      <c r="CS20" s="67">
        <f t="shared" si="44"/>
        <v>0</v>
      </c>
      <c r="CT20" s="75"/>
      <c r="CU20" s="67">
        <f t="shared" si="45"/>
        <v>0</v>
      </c>
      <c r="CV20" s="68"/>
      <c r="CW20" s="67">
        <f t="shared" si="46"/>
        <v>0</v>
      </c>
      <c r="CX20" s="58"/>
      <c r="CY20" s="67">
        <f t="shared" si="47"/>
        <v>0</v>
      </c>
    </row>
    <row r="21" spans="1:103" ht="25.5" customHeight="1" thickBot="1" x14ac:dyDescent="0.45">
      <c r="A21" s="63">
        <v>44944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8"/>
        <v>0</v>
      </c>
      <c r="M21" s="58"/>
      <c r="N21" s="64">
        <f t="shared" si="49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50"/>
        <v>0</v>
      </c>
      <c r="CN21" s="62"/>
      <c r="CO21" s="62"/>
      <c r="CP21" s="68"/>
      <c r="CQ21" s="67">
        <f t="shared" si="51"/>
        <v>0</v>
      </c>
      <c r="CR21" s="68"/>
      <c r="CS21" s="67">
        <f t="shared" si="44"/>
        <v>0</v>
      </c>
      <c r="CT21" s="75"/>
      <c r="CU21" s="67">
        <f t="shared" si="45"/>
        <v>0</v>
      </c>
      <c r="CV21" s="68"/>
      <c r="CW21" s="67">
        <f t="shared" si="46"/>
        <v>0</v>
      </c>
      <c r="CX21" s="58"/>
      <c r="CY21" s="67">
        <f t="shared" si="47"/>
        <v>0</v>
      </c>
    </row>
    <row r="22" spans="1:103" ht="25.5" customHeight="1" thickBot="1" x14ac:dyDescent="0.45">
      <c r="A22" s="63">
        <v>44945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8"/>
        <v>0</v>
      </c>
      <c r="M22" s="58"/>
      <c r="N22" s="64">
        <f t="shared" si="49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50"/>
        <v>0</v>
      </c>
      <c r="CN22" s="62"/>
      <c r="CO22" s="62"/>
      <c r="CP22" s="68"/>
      <c r="CQ22" s="67">
        <f t="shared" si="51"/>
        <v>0</v>
      </c>
      <c r="CR22" s="68"/>
      <c r="CS22" s="67">
        <f t="shared" si="44"/>
        <v>0</v>
      </c>
      <c r="CT22" s="75"/>
      <c r="CU22" s="67">
        <f t="shared" si="45"/>
        <v>0</v>
      </c>
      <c r="CV22" s="68"/>
      <c r="CW22" s="67">
        <f t="shared" si="46"/>
        <v>0</v>
      </c>
      <c r="CX22" s="58"/>
      <c r="CY22" s="67">
        <f t="shared" si="47"/>
        <v>0</v>
      </c>
    </row>
    <row r="23" spans="1:103" ht="25.5" customHeight="1" thickBot="1" x14ac:dyDescent="0.45">
      <c r="A23" s="63">
        <v>44946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8"/>
        <v>0</v>
      </c>
      <c r="M23" s="58"/>
      <c r="N23" s="64">
        <f t="shared" si="49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>CQ23+CS23</f>
        <v>0</v>
      </c>
      <c r="CN23" s="62"/>
      <c r="CO23" s="62"/>
      <c r="CP23" s="68"/>
      <c r="CQ23" s="67">
        <f t="shared" si="51"/>
        <v>0</v>
      </c>
      <c r="CR23" s="68"/>
      <c r="CS23" s="67">
        <f t="shared" si="44"/>
        <v>0</v>
      </c>
      <c r="CT23" s="75"/>
      <c r="CU23" s="67">
        <f t="shared" si="45"/>
        <v>0</v>
      </c>
      <c r="CV23" s="68"/>
      <c r="CW23" s="67">
        <f t="shared" si="46"/>
        <v>0</v>
      </c>
      <c r="CX23" s="58"/>
      <c r="CY23" s="67">
        <f t="shared" si="47"/>
        <v>0</v>
      </c>
    </row>
    <row r="24" spans="1:103" ht="25.5" customHeight="1" thickBot="1" x14ac:dyDescent="0.45">
      <c r="A24" s="63">
        <v>44947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8"/>
        <v>0</v>
      </c>
      <c r="M24" s="58"/>
      <c r="N24" s="64">
        <f t="shared" si="49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50"/>
        <v>0</v>
      </c>
      <c r="CN24" s="62"/>
      <c r="CO24" s="62"/>
      <c r="CP24" s="68"/>
      <c r="CQ24" s="67">
        <f t="shared" si="51"/>
        <v>0</v>
      </c>
      <c r="CR24" s="68"/>
      <c r="CS24" s="67">
        <f t="shared" si="44"/>
        <v>0</v>
      </c>
      <c r="CT24" s="75"/>
      <c r="CU24" s="67">
        <f t="shared" si="45"/>
        <v>0</v>
      </c>
      <c r="CV24" s="68"/>
      <c r="CW24" s="67">
        <f t="shared" si="46"/>
        <v>0</v>
      </c>
      <c r="CX24" s="58"/>
      <c r="CY24" s="67">
        <f t="shared" si="47"/>
        <v>0</v>
      </c>
    </row>
    <row r="25" spans="1:103" ht="25.5" customHeight="1" thickBot="1" x14ac:dyDescent="0.45">
      <c r="A25" s="63">
        <v>44948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8"/>
        <v>0</v>
      </c>
      <c r="M25" s="58"/>
      <c r="N25" s="64">
        <f t="shared" si="49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50"/>
        <v>0</v>
      </c>
      <c r="CN25" s="62"/>
      <c r="CO25" s="62"/>
      <c r="CP25" s="68"/>
      <c r="CQ25" s="67">
        <f t="shared" si="51"/>
        <v>0</v>
      </c>
      <c r="CR25" s="68"/>
      <c r="CS25" s="67">
        <f t="shared" si="44"/>
        <v>0</v>
      </c>
      <c r="CT25" s="75"/>
      <c r="CU25" s="67">
        <f t="shared" si="45"/>
        <v>0</v>
      </c>
      <c r="CV25" s="68"/>
      <c r="CW25" s="67">
        <f t="shared" si="46"/>
        <v>0</v>
      </c>
      <c r="CX25" s="58"/>
      <c r="CY25" s="67">
        <f t="shared" si="47"/>
        <v>0</v>
      </c>
    </row>
    <row r="26" spans="1:103" ht="25.5" customHeight="1" thickBot="1" x14ac:dyDescent="0.45">
      <c r="A26" s="63">
        <v>44949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8"/>
        <v>0</v>
      </c>
      <c r="M26" s="58"/>
      <c r="N26" s="64">
        <f t="shared" si="49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50"/>
        <v>0</v>
      </c>
      <c r="CN26" s="62"/>
      <c r="CO26" s="62"/>
      <c r="CP26" s="68"/>
      <c r="CQ26" s="67">
        <f t="shared" si="51"/>
        <v>0</v>
      </c>
      <c r="CR26" s="68"/>
      <c r="CS26" s="67">
        <f t="shared" si="44"/>
        <v>0</v>
      </c>
      <c r="CT26" s="75"/>
      <c r="CU26" s="67">
        <f t="shared" si="45"/>
        <v>0</v>
      </c>
      <c r="CV26" s="68"/>
      <c r="CW26" s="67">
        <f t="shared" si="46"/>
        <v>0</v>
      </c>
      <c r="CX26" s="58"/>
      <c r="CY26" s="67">
        <f t="shared" si="47"/>
        <v>0</v>
      </c>
    </row>
    <row r="27" spans="1:103" ht="25.5" customHeight="1" thickBot="1" x14ac:dyDescent="0.45">
      <c r="A27" s="63">
        <v>44950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8"/>
        <v>0</v>
      </c>
      <c r="M27" s="58"/>
      <c r="N27" s="64">
        <f t="shared" si="49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50"/>
        <v>0</v>
      </c>
      <c r="CN27" s="62"/>
      <c r="CO27" s="62"/>
      <c r="CP27" s="68"/>
      <c r="CQ27" s="67">
        <f t="shared" si="51"/>
        <v>0</v>
      </c>
      <c r="CR27" s="68"/>
      <c r="CS27" s="67">
        <f t="shared" si="44"/>
        <v>0</v>
      </c>
      <c r="CT27" s="75"/>
      <c r="CU27" s="67">
        <f t="shared" si="45"/>
        <v>0</v>
      </c>
      <c r="CV27" s="68"/>
      <c r="CW27" s="67">
        <f t="shared" si="46"/>
        <v>0</v>
      </c>
      <c r="CX27" s="58"/>
      <c r="CY27" s="67">
        <f t="shared" si="47"/>
        <v>0</v>
      </c>
    </row>
    <row r="28" spans="1:103" ht="25.5" customHeight="1" thickBot="1" x14ac:dyDescent="0.45">
      <c r="A28" s="63">
        <v>44951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8"/>
        <v>0</v>
      </c>
      <c r="M28" s="58"/>
      <c r="N28" s="64">
        <f t="shared" si="49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50"/>
        <v>0</v>
      </c>
      <c r="CN28" s="62"/>
      <c r="CO28" s="62"/>
      <c r="CP28" s="68"/>
      <c r="CQ28" s="67">
        <f t="shared" si="51"/>
        <v>0</v>
      </c>
      <c r="CR28" s="68"/>
      <c r="CS28" s="67">
        <f t="shared" si="44"/>
        <v>0</v>
      </c>
      <c r="CT28" s="75"/>
      <c r="CU28" s="67">
        <f t="shared" si="45"/>
        <v>0</v>
      </c>
      <c r="CV28" s="68"/>
      <c r="CW28" s="67">
        <f t="shared" si="46"/>
        <v>0</v>
      </c>
      <c r="CX28" s="58"/>
      <c r="CY28" s="67">
        <f t="shared" si="47"/>
        <v>0</v>
      </c>
    </row>
    <row r="29" spans="1:103" ht="25.5" customHeight="1" thickBot="1" x14ac:dyDescent="0.45">
      <c r="A29" s="63">
        <v>44952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8"/>
        <v>0</v>
      </c>
      <c r="M29" s="58"/>
      <c r="N29" s="64">
        <f t="shared" si="49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50"/>
        <v>0</v>
      </c>
      <c r="CN29" s="62"/>
      <c r="CO29" s="62"/>
      <c r="CP29" s="68"/>
      <c r="CQ29" s="67">
        <f t="shared" si="51"/>
        <v>0</v>
      </c>
      <c r="CR29" s="68"/>
      <c r="CS29" s="67">
        <f t="shared" si="44"/>
        <v>0</v>
      </c>
      <c r="CT29" s="75"/>
      <c r="CU29" s="67">
        <f t="shared" si="45"/>
        <v>0</v>
      </c>
      <c r="CV29" s="68"/>
      <c r="CW29" s="67">
        <f t="shared" si="46"/>
        <v>0</v>
      </c>
      <c r="CX29" s="58"/>
      <c r="CY29" s="67">
        <f t="shared" si="47"/>
        <v>0</v>
      </c>
    </row>
    <row r="30" spans="1:103" ht="25.5" customHeight="1" thickBot="1" x14ac:dyDescent="0.45">
      <c r="A30" s="63">
        <v>44953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8"/>
        <v>0</v>
      </c>
      <c r="M30" s="58"/>
      <c r="N30" s="64">
        <f t="shared" si="49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50"/>
        <v>0</v>
      </c>
      <c r="CN30" s="62"/>
      <c r="CO30" s="62"/>
      <c r="CP30" s="68"/>
      <c r="CQ30" s="67">
        <f t="shared" si="51"/>
        <v>0</v>
      </c>
      <c r="CR30" s="68"/>
      <c r="CS30" s="67">
        <f t="shared" si="44"/>
        <v>0</v>
      </c>
      <c r="CT30" s="75"/>
      <c r="CU30" s="67">
        <f t="shared" si="45"/>
        <v>0</v>
      </c>
      <c r="CV30" s="68"/>
      <c r="CW30" s="67">
        <f t="shared" si="46"/>
        <v>0</v>
      </c>
      <c r="CX30" s="58"/>
      <c r="CY30" s="67">
        <f t="shared" si="47"/>
        <v>0</v>
      </c>
    </row>
    <row r="31" spans="1:103" ht="25.5" customHeight="1" thickBot="1" x14ac:dyDescent="0.45">
      <c r="A31" s="63">
        <v>44954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8"/>
        <v>0</v>
      </c>
      <c r="M31" s="58"/>
      <c r="N31" s="64">
        <f t="shared" si="49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50"/>
        <v>0</v>
      </c>
      <c r="CN31" s="62"/>
      <c r="CO31" s="62"/>
      <c r="CP31" s="68"/>
      <c r="CQ31" s="67">
        <f t="shared" si="51"/>
        <v>0</v>
      </c>
      <c r="CR31" s="68"/>
      <c r="CS31" s="67">
        <f t="shared" si="44"/>
        <v>0</v>
      </c>
      <c r="CT31" s="75"/>
      <c r="CU31" s="67">
        <f t="shared" si="45"/>
        <v>0</v>
      </c>
      <c r="CV31" s="68"/>
      <c r="CW31" s="67">
        <f t="shared" si="46"/>
        <v>0</v>
      </c>
      <c r="CX31" s="58"/>
      <c r="CY31" s="67">
        <f t="shared" si="47"/>
        <v>0</v>
      </c>
    </row>
    <row r="32" spans="1:103" ht="25.5" customHeight="1" thickBot="1" x14ac:dyDescent="0.45">
      <c r="A32" s="63">
        <v>44955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8"/>
        <v>0</v>
      </c>
      <c r="M32" s="58"/>
      <c r="N32" s="64">
        <f t="shared" si="49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50"/>
        <v>0</v>
      </c>
      <c r="CN32" s="62"/>
      <c r="CO32" s="62"/>
      <c r="CP32" s="68"/>
      <c r="CQ32" s="67">
        <f t="shared" si="51"/>
        <v>0</v>
      </c>
      <c r="CR32" s="68"/>
      <c r="CS32" s="67">
        <f t="shared" si="44"/>
        <v>0</v>
      </c>
      <c r="CT32" s="75"/>
      <c r="CU32" s="67">
        <f t="shared" si="45"/>
        <v>0</v>
      </c>
      <c r="CV32" s="68"/>
      <c r="CW32" s="67">
        <f t="shared" si="46"/>
        <v>0</v>
      </c>
      <c r="CX32" s="58"/>
      <c r="CY32" s="67">
        <f t="shared" si="47"/>
        <v>0</v>
      </c>
    </row>
    <row r="33" spans="1:103" ht="25.5" customHeight="1" thickBot="1" x14ac:dyDescent="0.45">
      <c r="A33" s="63">
        <v>44956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8"/>
        <v>0</v>
      </c>
      <c r="M33" s="58"/>
      <c r="N33" s="64">
        <f t="shared" si="49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50"/>
        <v>0</v>
      </c>
      <c r="CN33" s="62"/>
      <c r="CO33" s="62"/>
      <c r="CP33" s="68"/>
      <c r="CQ33" s="67">
        <f t="shared" si="51"/>
        <v>0</v>
      </c>
      <c r="CR33" s="68"/>
      <c r="CS33" s="67">
        <f t="shared" si="44"/>
        <v>0</v>
      </c>
      <c r="CT33" s="75"/>
      <c r="CU33" s="67">
        <f t="shared" si="45"/>
        <v>0</v>
      </c>
      <c r="CV33" s="68"/>
      <c r="CW33" s="67">
        <f t="shared" si="46"/>
        <v>0</v>
      </c>
      <c r="CX33" s="58"/>
      <c r="CY33" s="67">
        <f t="shared" si="47"/>
        <v>0</v>
      </c>
    </row>
    <row r="34" spans="1:103" ht="25.5" customHeight="1" thickBot="1" x14ac:dyDescent="0.45">
      <c r="A34" s="63">
        <v>44957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8"/>
        <v>0</v>
      </c>
      <c r="M34" s="58"/>
      <c r="N34" s="64">
        <f t="shared" si="49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50"/>
        <v>0</v>
      </c>
      <c r="CN34" s="62"/>
      <c r="CO34" s="62"/>
      <c r="CP34" s="68"/>
      <c r="CQ34" s="67">
        <f t="shared" si="51"/>
        <v>0</v>
      </c>
      <c r="CR34" s="68"/>
      <c r="CS34" s="67">
        <f t="shared" si="44"/>
        <v>0</v>
      </c>
      <c r="CT34" s="75"/>
      <c r="CU34" s="67">
        <f t="shared" si="45"/>
        <v>0</v>
      </c>
      <c r="CV34" s="68"/>
      <c r="CW34" s="67">
        <f t="shared" si="46"/>
        <v>0</v>
      </c>
      <c r="CX34" s="58"/>
      <c r="CY34" s="67">
        <f t="shared" si="4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C18" sqref="C18:Q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/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/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-233</v>
      </c>
    </row>
    <row r="20" spans="1:20" x14ac:dyDescent="0.25">
      <c r="A20" s="73">
        <v>44939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44940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44941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44942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44943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44944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44945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44946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44947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44948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44949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44950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44951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44952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44953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44954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44955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44956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2023-01-12T17:48:47Z</dcterms:modified>
</cp:coreProperties>
</file>