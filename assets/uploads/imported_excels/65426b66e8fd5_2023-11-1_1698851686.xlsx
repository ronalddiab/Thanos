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1" documentId="8_{06C11BAA-5839-4568-ACF5-9A1B416FDA19}" xr6:coauthVersionLast="47" xr6:coauthVersionMax="47" xr10:uidLastSave="{95501A08-C4C2-4B16-ACBD-670EEAAC7D43}"/>
  <bookViews>
    <workbookView xWindow="-96" yWindow="-96" windowWidth="18192" windowHeight="11472" tabRatio="61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E32" i="4"/>
  <c r="F32" i="4"/>
  <c r="G32" i="4"/>
  <c r="G2" i="4"/>
  <c r="F2" i="4"/>
  <c r="E2" i="4"/>
  <c r="L3" i="4" l="1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2" i="4"/>
  <c r="I2" i="4"/>
  <c r="E29" i="5"/>
  <c r="E30" i="5"/>
  <c r="E31" i="5"/>
  <c r="E3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32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<sst xmlns="http://schemas.openxmlformats.org/spreadsheetml/2006/main" count="226" uniqueCount="58">
  <si>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</si>
  <si>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</si>
  <si>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</si>
  <si>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</si>
  <si>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</si>
  <si>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</si>
  <si>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</si>
  <si>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</si>
  <si>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</si>
  <si>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</si>
  <si>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</si>
  <si>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</si>
  <si>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</si>
  <si>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</si>
  <si>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</si>
  <si>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</si>
  <si>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</si>
  <si>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</si>
  <si>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</si>
  <si>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</si>
  <si>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</si>
  <si>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</si>
  <si>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</si>
  <si>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</si>
  <si>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</si>
  <si>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</si>
  <si>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</si>
  <si>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</si>
  <si>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</si>
  <si>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</si>
  <si>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</si>
  <si>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</si>
  <si>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</si>
  <si>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</si>
  <si>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</si>
  <si>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</si>
  <si>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</si>
  <si>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</si>
  <si>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</si>
  <si>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</si>
  <si>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Sharif</t>
  </si>
  <si>
    <t>Parithi</t>
  </si>
  <si>
    <t>Venkat</t>
  </si>
  <si>
    <t>Prakash/Masud</t>
  </si>
  <si>
    <t>Masud/Ullah</t>
  </si>
  <si>
    <t>Ullah</t>
  </si>
  <si>
    <t>Suresh/Ramu</t>
  </si>
  <si>
    <t>Depak</t>
  </si>
  <si>
    <t>Depak/Praba</t>
  </si>
  <si>
    <t>Depak/Prabha</t>
  </si>
  <si>
    <t>Veera</t>
  </si>
  <si>
    <t>Suresh</t>
  </si>
  <si>
    <t>Suresh/Venkat</t>
  </si>
  <si>
    <t>Ullah/Depak</t>
  </si>
  <si>
    <t>Prakash/Prabha</t>
  </si>
  <si>
    <t>Veera/Depak</t>
  </si>
  <si>
    <t>Prabha/Depak</t>
  </si>
  <si>
    <t>Ullah/Venkat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</si>
</sst>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1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2" xfId="0" applyFont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5" borderId="6" xfId="0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9" fontId="0" fillId="0" borderId="2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4"/>
  <sheetViews>
    <sheetView tabSelected="1" workbookViewId="0">
      <selection activeCell="F17" sqref="F17"/>
    </sheetView>
  </sheetViews>
  <sheetFormatPr defaultColWidth="11.5234375" defaultRowHeight="14.4" x14ac:dyDescent="0.55000000000000004"/>
  <cols>
    <col min="1" max="1" width="30" style="14" customWidth="1"/>
    <col min="2" max="3" width="11.5234375" style="14"/>
    <col min="4" max="4" width="13.3671875" style="14" customWidth="1"/>
    <col min="5" max="5" width="16.15625" style="45" customWidth="1"/>
    <col min="6" max="6" width="12.5234375" style="42" customWidth="1"/>
    <col min="7" max="7" width="13" style="15" customWidth="1"/>
    <col min="8" max="8" width="11.5234375" style="42"/>
    <col min="9" max="9" width="11.5234375" style="15"/>
    <col min="10" max="10" width="11.5234375" style="42"/>
    <col min="11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2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3" t="s">
        <v>29</v>
      </c>
      <c r="F1" s="41" t="s">
        <v>30</v>
      </c>
      <c r="G1" s="18" t="s">
        <v>38</v>
      </c>
      <c r="H1" s="41" t="s">
        <v>31</v>
      </c>
      <c r="I1" s="18" t="s">
        <v>32</v>
      </c>
      <c r="J1" s="41" t="s">
        <v>33</v>
      </c>
      <c r="K1" s="17" t="s">
        <v>34</v>
      </c>
      <c r="L1" s="17" t="s">
        <v>35</v>
      </c>
    </row>
    <row r="2" spans="1:12" s="9" customFormat="1" ht="12.3" x14ac:dyDescent="0.4">
      <c r="A2" s="9" t="s">
        <v>39</v>
      </c>
      <c r="B2" s="9">
        <v>1</v>
      </c>
      <c r="C2" s="10">
        <v>10</v>
      </c>
      <c r="D2" s="9">
        <v>2023</v>
      </c>
      <c r="E2" s="44">
        <f>'Submetering '!E2+'Submetering '!F2+'Submetering '!G2</f>
        <v>11880</v>
      </c>
      <c r="F2" s="10">
        <v>0.28699999999999998</v>
      </c>
      <c r="G2" s="13">
        <f>-'Submetering '!J2+'Submetering '!K2</f>
        <v>689</v>
      </c>
      <c r="H2" s="10">
        <v>0.22420000000000001</v>
      </c>
      <c r="I2" s="13">
        <f>'Submetering '!L2*10+'Submetering '!M2</f>
        <v>146</v>
      </c>
      <c r="J2" s="10">
        <v>2.74</v>
      </c>
      <c r="K2" s="9">
        <v>197</v>
      </c>
      <c r="L2" s="9">
        <v>197</v>
      </c>
    </row>
    <row r="3" spans="1:12" s="12" customFormat="1" x14ac:dyDescent="0.55000000000000004">
      <c r="A3" s="9" t="s">
        <v>39</v>
      </c>
      <c r="B3" s="12">
        <f>B2+1</f>
        <v>2</v>
      </c>
      <c r="C3" s="10">
        <v>10</v>
      </c>
      <c r="D3" s="9">
        <v>2023</v>
      </c>
      <c r="E3" s="44">
        <f>'Submetering '!E3+'Submetering '!F3+'Submetering '!G3</f>
        <v>12105</v>
      </c>
      <c r="F3" s="10">
        <v>0.28699999999999998</v>
      </c>
      <c r="G3" s="13">
        <f>-'Submetering '!J3+'Submetering '!K3</f>
        <v>650</v>
      </c>
      <c r="H3" s="10">
        <v>0.22420000000000001</v>
      </c>
      <c r="I3" s="13">
        <f>'Submetering '!L3*10+'Submetering '!M3</f>
        <v>131</v>
      </c>
      <c r="J3" s="10">
        <v>2.74</v>
      </c>
      <c r="K3" s="9">
        <v>208</v>
      </c>
      <c r="L3" s="9">
        <v>208</v>
      </c>
    </row>
    <row r="4" spans="1:12" s="12" customFormat="1" x14ac:dyDescent="0.55000000000000004">
      <c r="A4" s="9" t="s">
        <v>39</v>
      </c>
      <c r="B4" s="12">
        <f t="shared" ref="B4:B32" si="0">B3+1</f>
        <v>3</v>
      </c>
      <c r="C4" s="10">
        <v>10</v>
      </c>
      <c r="D4" s="9">
        <v>2023</v>
      </c>
      <c r="E4" s="44">
        <f>'Submetering '!E4+'Submetering '!F4+'Submetering '!G4</f>
        <v>12390</v>
      </c>
      <c r="F4" s="10">
        <v>0.28699999999999998</v>
      </c>
      <c r="G4" s="13">
        <f>-'Submetering '!J4+'Submetering '!K4</f>
        <v>666</v>
      </c>
      <c r="H4" s="10">
        <v>0.22420000000000001</v>
      </c>
      <c r="I4" s="13">
        <f>'Submetering '!L4*10+'Submetering '!M4</f>
        <v>143</v>
      </c>
      <c r="J4" s="10">
        <v>2.74</v>
      </c>
      <c r="K4" s="9">
        <v>223</v>
      </c>
      <c r="L4" s="9">
        <v>223</v>
      </c>
    </row>
    <row r="5" spans="1:12" s="12" customFormat="1" x14ac:dyDescent="0.55000000000000004">
      <c r="A5" s="9" t="s">
        <v>39</v>
      </c>
      <c r="B5" s="12">
        <f t="shared" si="0"/>
        <v>4</v>
      </c>
      <c r="C5" s="10">
        <v>10</v>
      </c>
      <c r="D5" s="9">
        <v>2023</v>
      </c>
      <c r="E5" s="44">
        <f>'Submetering '!E5+'Submetering '!F5+'Submetering '!G5</f>
        <v>12285</v>
      </c>
      <c r="F5" s="10">
        <v>0.28699999999999998</v>
      </c>
      <c r="G5" s="13">
        <f>-'Submetering '!J5+'Submetering '!K5</f>
        <v>698</v>
      </c>
      <c r="H5" s="10">
        <v>0.22420000000000001</v>
      </c>
      <c r="I5" s="13">
        <f>'Submetering '!L5*10+'Submetering '!M5</f>
        <v>176</v>
      </c>
      <c r="J5" s="10">
        <v>2.74</v>
      </c>
      <c r="K5" s="9">
        <v>206</v>
      </c>
      <c r="L5" s="9">
        <v>206</v>
      </c>
    </row>
    <row r="6" spans="1:12" s="12" customFormat="1" x14ac:dyDescent="0.55000000000000004">
      <c r="A6" s="9" t="s">
        <v>39</v>
      </c>
      <c r="B6" s="12">
        <f t="shared" si="0"/>
        <v>5</v>
      </c>
      <c r="C6" s="10">
        <v>10</v>
      </c>
      <c r="D6" s="9">
        <v>2023</v>
      </c>
      <c r="E6" s="44">
        <f>'Submetering '!E6+'Submetering '!F6+'Submetering '!G6</f>
        <v>12315</v>
      </c>
      <c r="F6" s="10">
        <v>0.28699999999999998</v>
      </c>
      <c r="G6" s="13">
        <f>-'Submetering '!J6+'Submetering '!K6</f>
        <v>692</v>
      </c>
      <c r="H6" s="10">
        <v>0.22420000000000001</v>
      </c>
      <c r="I6" s="13">
        <f>'Submetering '!L6*10+'Submetering '!M6</f>
        <v>122</v>
      </c>
      <c r="J6" s="10">
        <v>2.74</v>
      </c>
      <c r="K6" s="9">
        <v>202</v>
      </c>
      <c r="L6" s="9">
        <v>202</v>
      </c>
    </row>
    <row r="7" spans="1:12" s="12" customFormat="1" x14ac:dyDescent="0.55000000000000004">
      <c r="A7" s="9" t="s">
        <v>39</v>
      </c>
      <c r="B7" s="12">
        <f t="shared" si="0"/>
        <v>6</v>
      </c>
      <c r="C7" s="10">
        <v>10</v>
      </c>
      <c r="D7" s="9">
        <v>2023</v>
      </c>
      <c r="E7" s="44">
        <f>'Submetering '!E7+'Submetering '!F7+'Submetering '!G7</f>
        <v>12735</v>
      </c>
      <c r="F7" s="10">
        <v>0.28699999999999998</v>
      </c>
      <c r="G7" s="13">
        <f>-'Submetering '!J7+'Submetering '!K7</f>
        <v>718</v>
      </c>
      <c r="H7" s="10">
        <v>0.22420000000000001</v>
      </c>
      <c r="I7" s="13">
        <f>'Submetering '!L7*10+'Submetering '!M7</f>
        <v>143</v>
      </c>
      <c r="J7" s="10">
        <v>2.74</v>
      </c>
      <c r="K7" s="9">
        <v>215</v>
      </c>
      <c r="L7" s="9">
        <v>215</v>
      </c>
    </row>
    <row r="8" spans="1:12" s="12" customFormat="1" x14ac:dyDescent="0.55000000000000004">
      <c r="A8" s="9" t="s">
        <v>39</v>
      </c>
      <c r="B8" s="12">
        <f t="shared" si="0"/>
        <v>7</v>
      </c>
      <c r="C8" s="10">
        <v>10</v>
      </c>
      <c r="D8" s="9">
        <v>2023</v>
      </c>
      <c r="E8" s="44">
        <f>'Submetering '!E8+'Submetering '!F8+'Submetering '!G8</f>
        <v>14100</v>
      </c>
      <c r="F8" s="10">
        <v>0.28699999999999998</v>
      </c>
      <c r="G8" s="13">
        <f>-'Submetering '!J8+'Submetering '!K8</f>
        <v>777</v>
      </c>
      <c r="H8" s="10">
        <v>0.22420000000000001</v>
      </c>
      <c r="I8" s="13">
        <f>'Submetering '!L8*10+'Submetering '!M8</f>
        <v>157</v>
      </c>
      <c r="J8" s="10">
        <v>2.74</v>
      </c>
      <c r="K8" s="9">
        <v>207</v>
      </c>
      <c r="L8" s="9">
        <v>207</v>
      </c>
    </row>
    <row r="9" spans="1:12" s="12" customFormat="1" x14ac:dyDescent="0.55000000000000004">
      <c r="A9" s="9" t="s">
        <v>39</v>
      </c>
      <c r="B9" s="12">
        <f t="shared" si="0"/>
        <v>8</v>
      </c>
      <c r="C9" s="10">
        <v>10</v>
      </c>
      <c r="D9" s="9">
        <v>2023</v>
      </c>
      <c r="E9" s="44">
        <f>'Submetering '!E9+'Submetering '!F9+'Submetering '!G9</f>
        <v>11355</v>
      </c>
      <c r="F9" s="10">
        <v>0.28699999999999998</v>
      </c>
      <c r="G9" s="13">
        <f>-'Submetering '!J9+'Submetering '!K9</f>
        <v>662</v>
      </c>
      <c r="H9" s="10">
        <v>0.22420000000000001</v>
      </c>
      <c r="I9" s="13">
        <f>'Submetering '!L9*10+'Submetering '!M9</f>
        <v>130</v>
      </c>
      <c r="J9" s="10">
        <v>2.74</v>
      </c>
      <c r="K9" s="9">
        <v>154</v>
      </c>
      <c r="L9" s="9">
        <v>154</v>
      </c>
    </row>
    <row r="10" spans="1:12" s="12" customFormat="1" x14ac:dyDescent="0.55000000000000004">
      <c r="A10" s="9" t="s">
        <v>39</v>
      </c>
      <c r="B10" s="12">
        <f t="shared" si="0"/>
        <v>9</v>
      </c>
      <c r="C10" s="10">
        <v>10</v>
      </c>
      <c r="D10" s="9">
        <v>2023</v>
      </c>
      <c r="E10" s="44">
        <f>'Submetering '!E10+'Submetering '!F10+'Submetering '!G10</f>
        <v>12060</v>
      </c>
      <c r="F10" s="10">
        <v>0.28699999999999998</v>
      </c>
      <c r="G10" s="13">
        <f>-'Submetering '!J10+'Submetering '!K10</f>
        <v>704</v>
      </c>
      <c r="H10" s="10">
        <v>0.22420000000000001</v>
      </c>
      <c r="I10" s="13">
        <f>'Submetering '!L10*10+'Submetering '!M10</f>
        <v>230</v>
      </c>
      <c r="J10" s="10">
        <v>2.74</v>
      </c>
      <c r="K10" s="9">
        <v>161</v>
      </c>
      <c r="L10" s="9">
        <v>161</v>
      </c>
    </row>
    <row r="11" spans="1:12" s="12" customFormat="1" x14ac:dyDescent="0.55000000000000004">
      <c r="A11" s="9" t="s">
        <v>39</v>
      </c>
      <c r="B11" s="12">
        <f t="shared" si="0"/>
        <v>10</v>
      </c>
      <c r="C11" s="10">
        <v>10</v>
      </c>
      <c r="D11" s="9">
        <v>2023</v>
      </c>
      <c r="E11" s="44">
        <f>'Submetering '!E11+'Submetering '!F11+'Submetering '!G11</f>
        <v>12105</v>
      </c>
      <c r="F11" s="10">
        <v>0.28699999999999998</v>
      </c>
      <c r="G11" s="13">
        <f>-'Submetering '!J11+'Submetering '!K11</f>
        <v>754</v>
      </c>
      <c r="H11" s="10">
        <v>0.22420000000000001</v>
      </c>
      <c r="I11" s="13">
        <f>'Submetering '!L11*10+'Submetering '!M11</f>
        <v>70</v>
      </c>
      <c r="J11" s="10">
        <v>2.74</v>
      </c>
      <c r="K11" s="9">
        <v>170</v>
      </c>
      <c r="L11" s="9">
        <v>170</v>
      </c>
    </row>
    <row r="12" spans="1:12" s="12" customFormat="1" x14ac:dyDescent="0.55000000000000004">
      <c r="A12" s="9" t="s">
        <v>39</v>
      </c>
      <c r="B12" s="12">
        <f t="shared" si="0"/>
        <v>11</v>
      </c>
      <c r="C12" s="10">
        <v>10</v>
      </c>
      <c r="D12" s="9">
        <v>2023</v>
      </c>
      <c r="E12" s="44">
        <f>'Submetering '!E12+'Submetering '!F12+'Submetering '!G12</f>
        <v>12480</v>
      </c>
      <c r="F12" s="10">
        <v>0.28699999999999998</v>
      </c>
      <c r="G12" s="13">
        <f>-'Submetering '!J12+'Submetering '!K12</f>
        <v>638</v>
      </c>
      <c r="H12" s="10">
        <v>0.22420000000000001</v>
      </c>
      <c r="I12" s="13">
        <f>'Submetering '!L12*10+'Submetering '!M12</f>
        <v>138</v>
      </c>
      <c r="J12" s="10">
        <v>2.74</v>
      </c>
      <c r="K12" s="9">
        <v>164</v>
      </c>
      <c r="L12" s="9">
        <v>164</v>
      </c>
    </row>
    <row r="13" spans="1:12" s="12" customFormat="1" x14ac:dyDescent="0.55000000000000004">
      <c r="A13" s="9" t="s">
        <v>39</v>
      </c>
      <c r="B13" s="12">
        <f t="shared" si="0"/>
        <v>12</v>
      </c>
      <c r="C13" s="10">
        <v>10</v>
      </c>
      <c r="D13" s="9">
        <v>2023</v>
      </c>
      <c r="E13" s="44">
        <f>'Submetering '!E13+'Submetering '!F13+'Submetering '!G13</f>
        <v>12825</v>
      </c>
      <c r="F13" s="10">
        <v>0.28699999999999998</v>
      </c>
      <c r="G13" s="13">
        <f>-'Submetering '!J13+'Submetering '!K13</f>
        <v>631</v>
      </c>
      <c r="H13" s="10">
        <v>0.22420000000000001</v>
      </c>
      <c r="I13" s="13">
        <f>'Submetering '!L13*10+'Submetering '!M13</f>
        <v>145</v>
      </c>
      <c r="J13" s="10">
        <v>2.74</v>
      </c>
      <c r="K13" s="9">
        <v>149</v>
      </c>
      <c r="L13" s="9">
        <v>149</v>
      </c>
    </row>
    <row r="14" spans="1:12" s="12" customFormat="1" x14ac:dyDescent="0.55000000000000004">
      <c r="A14" s="9" t="s">
        <v>39</v>
      </c>
      <c r="B14" s="12">
        <f t="shared" si="0"/>
        <v>13</v>
      </c>
      <c r="C14" s="10">
        <v>10</v>
      </c>
      <c r="D14" s="9">
        <v>2023</v>
      </c>
      <c r="E14" s="44">
        <f>'Submetering '!E14+'Submetering '!F14+'Submetering '!G14</f>
        <v>12645</v>
      </c>
      <c r="F14" s="10">
        <v>0.28699999999999998</v>
      </c>
      <c r="G14" s="13">
        <f>-'Submetering '!J14+'Submetering '!K14</f>
        <v>704</v>
      </c>
      <c r="H14" s="10">
        <v>0.22420000000000001</v>
      </c>
      <c r="I14" s="13">
        <f>'Submetering '!L14*10+'Submetering '!M14</f>
        <v>119</v>
      </c>
      <c r="J14" s="10">
        <v>2.74</v>
      </c>
      <c r="K14" s="9">
        <v>155</v>
      </c>
      <c r="L14" s="9">
        <v>155</v>
      </c>
    </row>
    <row r="15" spans="1:12" s="12" customFormat="1" x14ac:dyDescent="0.55000000000000004">
      <c r="A15" s="9" t="s">
        <v>39</v>
      </c>
      <c r="B15" s="12">
        <f t="shared" si="0"/>
        <v>14</v>
      </c>
      <c r="C15" s="10">
        <v>10</v>
      </c>
      <c r="D15" s="9">
        <v>2023</v>
      </c>
      <c r="E15" s="44">
        <f>'Submetering '!E15+'Submetering '!F15+'Submetering '!G15</f>
        <v>13260</v>
      </c>
      <c r="F15" s="10">
        <v>0.28699999999999998</v>
      </c>
      <c r="G15" s="13">
        <f>-'Submetering '!J15+'Submetering '!K15</f>
        <v>787</v>
      </c>
      <c r="H15" s="10">
        <v>0.22420000000000001</v>
      </c>
      <c r="I15" s="13">
        <f>'Submetering '!L15*10+'Submetering '!M15</f>
        <v>155</v>
      </c>
      <c r="J15" s="10">
        <v>2.74</v>
      </c>
      <c r="K15" s="9">
        <v>167</v>
      </c>
      <c r="L15" s="9">
        <v>167</v>
      </c>
    </row>
    <row r="16" spans="1:12" s="12" customFormat="1" x14ac:dyDescent="0.55000000000000004">
      <c r="A16" s="9" t="s">
        <v>39</v>
      </c>
      <c r="B16" s="12">
        <f t="shared" si="0"/>
        <v>15</v>
      </c>
      <c r="C16" s="10">
        <v>10</v>
      </c>
      <c r="D16" s="9">
        <v>2023</v>
      </c>
      <c r="E16" s="44">
        <f>'Submetering '!E16+'Submetering '!F16+'Submetering '!G16</f>
        <v>12660</v>
      </c>
      <c r="F16" s="10">
        <v>0.28699999999999998</v>
      </c>
      <c r="G16" s="13">
        <f>-'Submetering '!J16+'Submetering '!K16</f>
        <v>659</v>
      </c>
      <c r="H16" s="10">
        <v>0.22420000000000001</v>
      </c>
      <c r="I16" s="13">
        <f>'Submetering '!L16*10+'Submetering '!M16</f>
        <v>146</v>
      </c>
      <c r="J16" s="10">
        <v>2.74</v>
      </c>
      <c r="K16" s="9">
        <v>203</v>
      </c>
      <c r="L16" s="9">
        <v>203</v>
      </c>
    </row>
    <row r="17" spans="1:12" s="12" customFormat="1" x14ac:dyDescent="0.55000000000000004">
      <c r="A17" s="9" t="s">
        <v>39</v>
      </c>
      <c r="B17" s="12">
        <f t="shared" si="0"/>
        <v>16</v>
      </c>
      <c r="C17" s="10">
        <v>10</v>
      </c>
      <c r="D17" s="9">
        <v>2023</v>
      </c>
      <c r="E17" s="44">
        <f>'Submetering '!E17+'Submetering '!F17+'Submetering '!G17</f>
        <v>11880</v>
      </c>
      <c r="F17" s="10">
        <v>0.28699999999999998</v>
      </c>
      <c r="G17" s="13">
        <f>-'Submetering '!J17+'Submetering '!K17</f>
        <v>822</v>
      </c>
      <c r="H17" s="10">
        <v>0.22420000000000001</v>
      </c>
      <c r="I17" s="13">
        <f>'Submetering '!L17*10+'Submetering '!M17</f>
        <v>131</v>
      </c>
      <c r="J17" s="10">
        <v>2.74</v>
      </c>
      <c r="K17" s="9">
        <v>214</v>
      </c>
      <c r="L17" s="9">
        <v>214</v>
      </c>
    </row>
    <row r="18" spans="1:12" s="12" customFormat="1" x14ac:dyDescent="0.55000000000000004">
      <c r="A18" s="9" t="s">
        <v>39</v>
      </c>
      <c r="B18" s="12">
        <f t="shared" si="0"/>
        <v>17</v>
      </c>
      <c r="C18" s="10">
        <v>10</v>
      </c>
      <c r="D18" s="9">
        <v>2023</v>
      </c>
      <c r="E18" s="44">
        <f>'Submetering '!E18+'Submetering '!F18+'Submetering '!G18</f>
        <v>12420</v>
      </c>
      <c r="F18" s="10">
        <v>0.28699999999999998</v>
      </c>
      <c r="G18" s="13">
        <f>-'Submetering '!J18+'Submetering '!K18</f>
        <v>839</v>
      </c>
      <c r="H18" s="10">
        <v>0.22420000000000001</v>
      </c>
      <c r="I18" s="13">
        <f>'Submetering '!L18*10+'Submetering '!M18</f>
        <v>136</v>
      </c>
      <c r="J18" s="10">
        <v>2.74</v>
      </c>
      <c r="K18" s="9">
        <v>232</v>
      </c>
      <c r="L18" s="9">
        <v>232</v>
      </c>
    </row>
    <row r="19" spans="1:12" s="12" customFormat="1" x14ac:dyDescent="0.55000000000000004">
      <c r="A19" s="9" t="s">
        <v>39</v>
      </c>
      <c r="B19" s="12">
        <f t="shared" si="0"/>
        <v>18</v>
      </c>
      <c r="C19" s="10">
        <v>10</v>
      </c>
      <c r="D19" s="9">
        <v>2023</v>
      </c>
      <c r="E19" s="44">
        <f>'Submetering '!E19+'Submetering '!F19+'Submetering '!G19</f>
        <v>12525</v>
      </c>
      <c r="F19" s="10">
        <v>0.28699999999999998</v>
      </c>
      <c r="G19" s="13">
        <f>-'Submetering '!J19+'Submetering '!K19</f>
        <v>826</v>
      </c>
      <c r="H19" s="10">
        <v>0.22420000000000001</v>
      </c>
      <c r="I19" s="13">
        <f>'Submetering '!L19*10+'Submetering '!M19</f>
        <v>130</v>
      </c>
      <c r="J19" s="10">
        <v>2.74</v>
      </c>
      <c r="K19" s="9">
        <v>222</v>
      </c>
      <c r="L19" s="9">
        <v>222</v>
      </c>
    </row>
    <row r="20" spans="1:12" s="12" customFormat="1" x14ac:dyDescent="0.55000000000000004">
      <c r="A20" s="9" t="s">
        <v>39</v>
      </c>
      <c r="B20" s="12">
        <f t="shared" si="0"/>
        <v>19</v>
      </c>
      <c r="C20" s="10">
        <v>10</v>
      </c>
      <c r="D20" s="9">
        <v>2023</v>
      </c>
      <c r="E20" s="44">
        <f>'Submetering '!E20+'Submetering '!F20+'Submetering '!G20</f>
        <v>14250</v>
      </c>
      <c r="F20" s="10">
        <v>0.28699999999999998</v>
      </c>
      <c r="G20" s="13">
        <f>-'Submetering '!J20+'Submetering '!K20</f>
        <v>682</v>
      </c>
      <c r="H20" s="10">
        <v>0.22420000000000001</v>
      </c>
      <c r="I20" s="13">
        <f>'Submetering '!L20*10+'Submetering '!M20</f>
        <v>141</v>
      </c>
      <c r="J20" s="10">
        <v>2.74</v>
      </c>
      <c r="K20" s="9">
        <v>197</v>
      </c>
      <c r="L20" s="9">
        <v>197</v>
      </c>
    </row>
    <row r="21" spans="1:12" s="12" customFormat="1" x14ac:dyDescent="0.55000000000000004">
      <c r="A21" s="9" t="s">
        <v>39</v>
      </c>
      <c r="B21" s="12">
        <f t="shared" si="0"/>
        <v>20</v>
      </c>
      <c r="C21" s="10">
        <v>10</v>
      </c>
      <c r="D21" s="9">
        <v>2023</v>
      </c>
      <c r="E21" s="44">
        <f>'Submetering '!E21+'Submetering '!F21+'Submetering '!G21</f>
        <v>11835</v>
      </c>
      <c r="F21" s="10">
        <v>0.28699999999999998</v>
      </c>
      <c r="G21" s="13">
        <f>-'Submetering '!J21+'Submetering '!K21</f>
        <v>798</v>
      </c>
      <c r="H21" s="10">
        <v>0.22420000000000001</v>
      </c>
      <c r="I21" s="13">
        <f>'Submetering '!L21*10+'Submetering '!M21</f>
        <v>113</v>
      </c>
      <c r="J21" s="10">
        <v>2.74</v>
      </c>
      <c r="K21" s="9">
        <v>175</v>
      </c>
      <c r="L21" s="9">
        <v>175</v>
      </c>
    </row>
    <row r="22" spans="1:12" s="12" customFormat="1" x14ac:dyDescent="0.55000000000000004">
      <c r="A22" s="9" t="s">
        <v>39</v>
      </c>
      <c r="B22" s="12">
        <f t="shared" si="0"/>
        <v>21</v>
      </c>
      <c r="C22" s="10">
        <v>10</v>
      </c>
      <c r="D22" s="9">
        <v>2023</v>
      </c>
      <c r="E22" s="44">
        <f>'Submetering '!E22+'Submetering '!F22+'Submetering '!G22</f>
        <v>12645</v>
      </c>
      <c r="F22" s="10">
        <v>0.28699999999999998</v>
      </c>
      <c r="G22" s="13">
        <f>-'Submetering '!J22+'Submetering '!K22</f>
        <v>672</v>
      </c>
      <c r="H22" s="10">
        <v>0.22420000000000001</v>
      </c>
      <c r="I22" s="13">
        <f>'Submetering '!L22*10+'Submetering '!M22</f>
        <v>169</v>
      </c>
      <c r="J22" s="10">
        <v>2.74</v>
      </c>
      <c r="K22" s="9">
        <v>171</v>
      </c>
      <c r="L22" s="9">
        <v>171</v>
      </c>
    </row>
    <row r="23" spans="1:12" s="12" customFormat="1" x14ac:dyDescent="0.55000000000000004">
      <c r="A23" s="9" t="s">
        <v>39</v>
      </c>
      <c r="B23" s="12">
        <f t="shared" si="0"/>
        <v>22</v>
      </c>
      <c r="C23" s="10">
        <v>10</v>
      </c>
      <c r="D23" s="9">
        <v>2023</v>
      </c>
      <c r="E23" s="44">
        <f>'Submetering '!E23+'Submetering '!F23+'Submetering '!G23</f>
        <v>12105</v>
      </c>
      <c r="F23" s="10">
        <v>0.28699999999999998</v>
      </c>
      <c r="G23" s="13">
        <f>-'Submetering '!J23+'Submetering '!K23</f>
        <v>810</v>
      </c>
      <c r="H23" s="10">
        <v>0.22420000000000001</v>
      </c>
      <c r="I23" s="13">
        <f>'Submetering '!L23*10+'Submetering '!M23</f>
        <v>113</v>
      </c>
      <c r="J23" s="10">
        <v>2.74</v>
      </c>
      <c r="K23" s="9">
        <v>133</v>
      </c>
      <c r="L23" s="9">
        <v>133</v>
      </c>
    </row>
    <row r="24" spans="1:12" s="12" customFormat="1" x14ac:dyDescent="0.55000000000000004">
      <c r="A24" s="9" t="s">
        <v>39</v>
      </c>
      <c r="B24" s="12">
        <f t="shared" si="0"/>
        <v>23</v>
      </c>
      <c r="C24" s="10">
        <v>10</v>
      </c>
      <c r="D24" s="9">
        <v>2023</v>
      </c>
      <c r="E24" s="44">
        <f>'Submetering '!E24+'Submetering '!F24+'Submetering '!G24</f>
        <v>11445</v>
      </c>
      <c r="F24" s="10">
        <v>0.28699999999999998</v>
      </c>
      <c r="G24" s="13">
        <f>-'Submetering '!J24+'Submetering '!K24</f>
        <v>673</v>
      </c>
      <c r="H24" s="10">
        <v>0.22420000000000001</v>
      </c>
      <c r="I24" s="13">
        <f>'Submetering '!L24*10+'Submetering '!M24</f>
        <v>123</v>
      </c>
      <c r="J24" s="10">
        <v>2.74</v>
      </c>
      <c r="K24" s="9">
        <v>149</v>
      </c>
      <c r="L24" s="9">
        <v>149</v>
      </c>
    </row>
    <row r="25" spans="1:12" s="12" customFormat="1" x14ac:dyDescent="0.55000000000000004">
      <c r="A25" s="9" t="s">
        <v>39</v>
      </c>
      <c r="B25" s="12">
        <f t="shared" si="0"/>
        <v>24</v>
      </c>
      <c r="C25" s="10">
        <v>10</v>
      </c>
      <c r="D25" s="9">
        <v>2023</v>
      </c>
      <c r="E25" s="44">
        <f>'Submetering '!E25+'Submetering '!F25+'Submetering '!G25</f>
        <v>11940</v>
      </c>
      <c r="F25" s="10">
        <v>0.28699999999999998</v>
      </c>
      <c r="G25" s="13">
        <f>-'Submetering '!J25+'Submetering '!K25</f>
        <v>751</v>
      </c>
      <c r="H25" s="10">
        <v>0.22420000000000001</v>
      </c>
      <c r="I25" s="13">
        <f>'Submetering '!L25*10+'Submetering '!M25</f>
        <v>110</v>
      </c>
      <c r="J25" s="10">
        <v>2.74</v>
      </c>
      <c r="K25" s="9">
        <v>164</v>
      </c>
      <c r="L25" s="9">
        <v>164</v>
      </c>
    </row>
    <row r="26" spans="1:12" s="12" customFormat="1" x14ac:dyDescent="0.55000000000000004">
      <c r="A26" s="9" t="s">
        <v>39</v>
      </c>
      <c r="B26" s="12">
        <f>B25+1</f>
        <v>25</v>
      </c>
      <c r="C26" s="10">
        <v>10</v>
      </c>
      <c r="D26" s="9">
        <v>2023</v>
      </c>
      <c r="E26" s="44">
        <f>'Submetering '!E26+'Submetering '!F26+'Submetering '!G26</f>
        <v>12330</v>
      </c>
      <c r="F26" s="10">
        <v>0.28699999999999998</v>
      </c>
      <c r="G26" s="13">
        <f>-'Submetering '!J26+'Submetering '!K26</f>
        <v>749</v>
      </c>
      <c r="H26" s="10">
        <v>0.22420000000000001</v>
      </c>
      <c r="I26" s="13">
        <f>'Submetering '!L26*10+'Submetering '!M26</f>
        <v>121</v>
      </c>
      <c r="J26" s="10">
        <v>2.74</v>
      </c>
      <c r="K26" s="9">
        <v>200</v>
      </c>
      <c r="L26" s="9">
        <v>200</v>
      </c>
    </row>
    <row r="27" spans="1:12" s="12" customFormat="1" x14ac:dyDescent="0.55000000000000004">
      <c r="A27" s="9" t="s">
        <v>39</v>
      </c>
      <c r="B27" s="12">
        <f t="shared" si="0"/>
        <v>26</v>
      </c>
      <c r="C27" s="10">
        <v>10</v>
      </c>
      <c r="D27" s="9">
        <v>2023</v>
      </c>
      <c r="E27" s="44">
        <f>'Submetering '!E27+'Submetering '!F27+'Submetering '!G27</f>
        <v>12300</v>
      </c>
      <c r="F27" s="10">
        <v>0.28699999999999998</v>
      </c>
      <c r="G27" s="13">
        <f>-'Submetering '!J27+'Submetering '!K27</f>
        <v>782</v>
      </c>
      <c r="H27" s="10">
        <v>0.22420000000000001</v>
      </c>
      <c r="I27" s="13">
        <f>'Submetering '!L27*10+'Submetering '!M27</f>
        <v>135</v>
      </c>
      <c r="J27" s="10">
        <v>2.74</v>
      </c>
      <c r="K27" s="9">
        <v>189</v>
      </c>
      <c r="L27" s="9">
        <v>189</v>
      </c>
    </row>
    <row r="28" spans="1:12" s="12" customFormat="1" x14ac:dyDescent="0.55000000000000004">
      <c r="A28" s="9" t="s">
        <v>39</v>
      </c>
      <c r="B28" s="12">
        <f t="shared" si="0"/>
        <v>27</v>
      </c>
      <c r="C28" s="10">
        <v>10</v>
      </c>
      <c r="D28" s="9">
        <v>2023</v>
      </c>
      <c r="E28" s="44">
        <f>'Submetering '!E28+'Submetering '!F28+'Submetering '!G28</f>
        <v>13920</v>
      </c>
      <c r="F28" s="10">
        <v>0.28699999999999998</v>
      </c>
      <c r="G28" s="13">
        <f>-'Submetering '!J28+'Submetering '!K28</f>
        <v>818</v>
      </c>
      <c r="H28" s="10">
        <v>0.22420000000000001</v>
      </c>
      <c r="I28" s="13">
        <f>'Submetering '!L28*10+'Submetering '!M28</f>
        <v>148</v>
      </c>
      <c r="J28" s="10">
        <v>2.74</v>
      </c>
      <c r="K28" s="9">
        <v>168</v>
      </c>
      <c r="L28" s="9">
        <v>168</v>
      </c>
    </row>
    <row r="29" spans="1:12" s="12" customFormat="1" x14ac:dyDescent="0.55000000000000004">
      <c r="A29" s="9" t="s">
        <v>39</v>
      </c>
      <c r="B29" s="12">
        <f t="shared" si="0"/>
        <v>28</v>
      </c>
      <c r="C29" s="10">
        <v>10</v>
      </c>
      <c r="D29" s="9">
        <v>2023</v>
      </c>
      <c r="E29" s="44">
        <f>'Submetering '!E29+'Submetering '!F29+'Submetering '!G29</f>
        <v>11640</v>
      </c>
      <c r="F29" s="10">
        <v>0.28699999999999998</v>
      </c>
      <c r="G29" s="13">
        <f>-'Submetering '!J29+'Submetering '!K29</f>
        <v>810</v>
      </c>
      <c r="H29" s="10">
        <v>0.22420000000000001</v>
      </c>
      <c r="I29" s="13">
        <f>'Submetering '!L29*10+'Submetering '!M29</f>
        <v>119</v>
      </c>
      <c r="J29" s="10">
        <v>2.74</v>
      </c>
      <c r="K29" s="9">
        <v>128</v>
      </c>
      <c r="L29" s="9">
        <v>128</v>
      </c>
    </row>
    <row r="30" spans="1:12" s="12" customFormat="1" x14ac:dyDescent="0.55000000000000004">
      <c r="A30" s="9" t="s">
        <v>39</v>
      </c>
      <c r="B30" s="12">
        <f t="shared" si="0"/>
        <v>29</v>
      </c>
      <c r="C30" s="10">
        <v>10</v>
      </c>
      <c r="D30" s="9">
        <v>2023</v>
      </c>
      <c r="E30" s="44">
        <f>'Submetering '!E30+'Submetering '!F30+'Submetering '!G30</f>
        <v>12285</v>
      </c>
      <c r="F30" s="10">
        <v>0.28699999999999998</v>
      </c>
      <c r="G30" s="13">
        <f>-'Submetering '!J30+'Submetering '!K30</f>
        <v>640</v>
      </c>
      <c r="H30" s="10">
        <v>0.22420000000000001</v>
      </c>
      <c r="I30" s="13">
        <f>'Submetering '!L30*10+'Submetering '!M30</f>
        <v>134</v>
      </c>
      <c r="J30" s="10">
        <v>2.74</v>
      </c>
      <c r="K30" s="9">
        <v>152</v>
      </c>
      <c r="L30" s="9">
        <v>152</v>
      </c>
    </row>
    <row r="31" spans="1:12" s="9" customFormat="1" x14ac:dyDescent="0.55000000000000004">
      <c r="A31" s="9" t="s">
        <v>39</v>
      </c>
      <c r="B31" s="12">
        <f t="shared" si="0"/>
        <v>30</v>
      </c>
      <c r="C31" s="10">
        <v>10</v>
      </c>
      <c r="D31" s="9">
        <v>2023</v>
      </c>
      <c r="E31" s="44">
        <f>'Submetering '!E31+'Submetering '!F31+'Submetering '!G31</f>
        <v>11730</v>
      </c>
      <c r="F31" s="10">
        <v>0.28699999999999998</v>
      </c>
      <c r="G31" s="13">
        <f>-'Submetering '!J31+'Submetering '!K31</f>
        <v>761</v>
      </c>
      <c r="H31" s="10">
        <v>0.22420000000000001</v>
      </c>
      <c r="I31" s="13">
        <f>'Submetering '!L31*10+'Submetering '!M31</f>
        <v>117</v>
      </c>
      <c r="J31" s="10">
        <v>2.74</v>
      </c>
      <c r="K31" s="9">
        <v>190</v>
      </c>
      <c r="L31" s="9">
        <v>190</v>
      </c>
    </row>
    <row r="32" spans="1:12" s="9" customFormat="1" x14ac:dyDescent="0.55000000000000004">
      <c r="A32" s="9" t="s">
        <v>39</v>
      </c>
      <c r="B32" s="12">
        <f t="shared" si="0"/>
        <v>31</v>
      </c>
      <c r="C32" s="10">
        <v>10</v>
      </c>
      <c r="D32" s="9">
        <v>2023</v>
      </c>
      <c r="E32" s="44">
        <f>'Submetering '!E32+'Submetering '!F32+'Submetering '!G32</f>
        <v>11805</v>
      </c>
      <c r="F32" s="10">
        <v>0.28699999999999998</v>
      </c>
      <c r="G32" s="13">
        <f>-'Submetering '!J32+'Submetering '!K32</f>
        <v>809</v>
      </c>
      <c r="H32" s="10">
        <v>0.22420000000000001</v>
      </c>
      <c r="I32" s="13">
        <f>'Submetering '!L32*10+'Submetering '!M32</f>
        <v>105</v>
      </c>
      <c r="J32" s="10">
        <v>2.74</v>
      </c>
      <c r="K32" s="9">
        <v>233</v>
      </c>
      <c r="L32" s="9">
        <v>233</v>
      </c>
    </row>
    <row r="33" spans="9:9" x14ac:dyDescent="0.55000000000000004">
      <c r="I33" s="15" t="s">
        <v>37</v>
      </c>
    </row>
    <row r="34" spans="9:9" x14ac:dyDescent="0.55000000000000004">
      <c r="I34" s="1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B1" zoomScale="80" zoomScaleNormal="80" workbookViewId="0">
      <selection activeCell="AB30" sqref="AB30"/>
    </sheetView>
  </sheetViews>
  <sheetFormatPr defaultColWidth="11.5234375" defaultRowHeight="14.4" x14ac:dyDescent="0.55000000000000004"/>
  <cols>
    <col min="1" max="1" width="18.3671875" style="14" customWidth="1"/>
    <col min="2" max="3" width="11.5234375" style="14"/>
    <col min="4" max="4" width="13.367187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5"/>
    <col min="25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37" t="s">
        <v>25</v>
      </c>
      <c r="B1" s="37" t="s">
        <v>26</v>
      </c>
      <c r="C1" s="37" t="s">
        <v>27</v>
      </c>
      <c r="D1" s="37" t="s">
        <v>28</v>
      </c>
      <c r="E1" s="38" t="s">
        <v>19</v>
      </c>
      <c r="F1" s="38" t="s">
        <v>20</v>
      </c>
      <c r="G1" s="38" t="s">
        <v>21</v>
      </c>
      <c r="H1" s="38" t="s">
        <v>22</v>
      </c>
      <c r="I1" s="38" t="s">
        <v>23</v>
      </c>
      <c r="J1" s="39" t="s">
        <v>1</v>
      </c>
      <c r="K1" s="39" t="s">
        <v>24</v>
      </c>
      <c r="L1" s="40" t="s">
        <v>4</v>
      </c>
      <c r="M1" s="40" t="s">
        <v>5</v>
      </c>
      <c r="N1" s="40" t="s">
        <v>6</v>
      </c>
      <c r="O1" s="40" t="s">
        <v>7</v>
      </c>
      <c r="P1" s="40" t="s">
        <v>8</v>
      </c>
      <c r="Q1" s="40" t="s">
        <v>9</v>
      </c>
      <c r="R1" s="40" t="s">
        <v>10</v>
      </c>
      <c r="S1" s="40" t="s">
        <v>11</v>
      </c>
      <c r="T1" s="40" t="s">
        <v>12</v>
      </c>
      <c r="U1" s="40" t="s">
        <v>13</v>
      </c>
      <c r="V1" s="40" t="s">
        <v>14</v>
      </c>
      <c r="W1" s="40" t="s">
        <v>15</v>
      </c>
      <c r="X1" s="40" t="s">
        <v>16</v>
      </c>
      <c r="Y1" s="36" t="s">
        <v>34</v>
      </c>
      <c r="Z1" s="36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10</v>
      </c>
      <c r="D2" s="9">
        <v>2023</v>
      </c>
      <c r="E2" s="34">
        <f>(IF((Electrical!B3-Electrical!B2)&lt;0,"0",(Electrical!B3-Electrical!B2)))*15</f>
        <v>5310</v>
      </c>
      <c r="F2" s="34">
        <f>(IF((Electrical!C3-Electrical!C2)&lt;0,"0",(Electrical!C3-Electrical!C2)))*15</f>
        <v>2805</v>
      </c>
      <c r="G2" s="34">
        <f>(IF((Electrical!D3-Electrical!D2)&lt;0,"0",(Electrical!D3-Electrical!D2)))*15</f>
        <v>3765</v>
      </c>
      <c r="H2" s="34">
        <f>IF((Electrical!E3-Electrical!E2)&lt;0,"0",(Electrical!E3-Electrical!E2))</f>
        <v>3613</v>
      </c>
      <c r="I2" s="34">
        <f>IF((Electrical!F3-Electrical!F2)&lt;0,"0",(Electrical!F3-Electrical!F2))</f>
        <v>432</v>
      </c>
      <c r="J2" s="34">
        <f>IF((Gas!B3-Gas!B2)&lt;0,"0",(Gas!B3-Gas!B2))</f>
        <v>0</v>
      </c>
      <c r="K2" s="34">
        <f>IF((Gas!C3-Gas!C2)&lt;0,"0",(Gas!C3-Gas!C2))</f>
        <v>689</v>
      </c>
      <c r="L2" s="34">
        <f>IF((Water!B3-Water!B2)&lt;0,"0",(Water!B3-Water!B2))</f>
        <v>12</v>
      </c>
      <c r="M2" s="34">
        <f>IF((Water!C3-Water!C2)&lt;0,"0",(Water!C3-Water!C2))</f>
        <v>26</v>
      </c>
      <c r="N2" s="34">
        <f>IF((Water!D3-Water!D2)&lt;0,"0",(Water!D3-Water!D2))</f>
        <v>0</v>
      </c>
      <c r="O2" s="34">
        <f>IF((Water!E3-Water!E2)&lt;0,"0",(Water!E3-Water!E2))</f>
        <v>17</v>
      </c>
      <c r="P2" s="34">
        <f>IF((Water!F3-Water!F2)&lt;0,"0",(Water!F3-Water!F2))</f>
        <v>0</v>
      </c>
      <c r="Q2" s="34">
        <f>IF((Water!G3-Water!G2)&lt;0,"0",(Water!G3-Water!G2))</f>
        <v>0</v>
      </c>
      <c r="R2" s="34">
        <f>IF((Water!H3-Water!H2)&lt;0,"0",(Water!H3-Water!H2))</f>
        <v>0</v>
      </c>
      <c r="S2" s="34">
        <f>IF((Water!I3-Water!I2)&lt;0,"0",(Water!I3-Water!I2))</f>
        <v>0</v>
      </c>
      <c r="T2" s="34">
        <f>IF((Water!J3-Water!J2)&lt;0,"0",(Water!J3-Water!J2))</f>
        <v>1</v>
      </c>
      <c r="U2" s="34">
        <f>IF((Water!K3-Water!K2)&lt;0,"0",(Water!K3-Water!K2))</f>
        <v>0</v>
      </c>
      <c r="V2" s="34">
        <f>IF((Water!L3-Water!L2)&lt;0,"0",(Water!L3-Water!L2))</f>
        <v>0</v>
      </c>
      <c r="W2" s="34">
        <f>IF((Water!M3-Water!M2)&lt;0,"0",(Water!M3-Water!M2))</f>
        <v>0</v>
      </c>
      <c r="X2" s="34">
        <f>IF((Water!N3-Water!N2)&lt;0,"0",(Water!N3-Water!N2))</f>
        <v>33</v>
      </c>
      <c r="Y2" s="9">
        <v>197</v>
      </c>
      <c r="Z2" s="9">
        <v>197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10</v>
      </c>
      <c r="D3" s="9">
        <v>2023</v>
      </c>
      <c r="E3" s="34">
        <f>(IF((Electrical!B4-Electrical!B3)&lt;0,"0",(Electrical!B4-Electrical!B3)))*15</f>
        <v>4380</v>
      </c>
      <c r="F3" s="34">
        <f>(IF((Electrical!C4-Electrical!C3)&lt;0,"0",(Electrical!C4-Electrical!C3)))*15</f>
        <v>3960</v>
      </c>
      <c r="G3" s="34">
        <f>(IF((Electrical!D4-Electrical!D3)&lt;0,"0",(Electrical!D4-Electrical!D3)))*15</f>
        <v>3765</v>
      </c>
      <c r="H3" s="34">
        <f>IF((Electrical!E4-Electrical!E3)&lt;0,"0",(Electrical!E4-Electrical!E3))</f>
        <v>3844</v>
      </c>
      <c r="I3" s="34">
        <f>IF((Electrical!F4-Electrical!F3)&lt;0,"0",(Electrical!F4-Electrical!F3))</f>
        <v>390</v>
      </c>
      <c r="J3" s="34">
        <f>IF((Gas!B4-Gas!B3)&lt;0,"0",(Gas!B4-Gas!B3))</f>
        <v>0</v>
      </c>
      <c r="K3" s="34">
        <f>IF((Gas!C4-Gas!C3)&lt;0,"0",(Gas!C4-Gas!C3))</f>
        <v>650</v>
      </c>
      <c r="L3" s="34">
        <f>IF((Water!B4-Water!B3)&lt;0,"0",(Water!B4-Water!B3))</f>
        <v>10</v>
      </c>
      <c r="M3" s="34">
        <f>IF((Water!C4-Water!C3)&lt;0,"0",(Water!C4-Water!C3))</f>
        <v>31</v>
      </c>
      <c r="N3" s="34">
        <f>IF((Water!D4-Water!D3)&lt;0,"0",(Water!D4-Water!D3))</f>
        <v>0</v>
      </c>
      <c r="O3" s="34">
        <f>IF((Water!E4-Water!E3)&lt;0,"0",(Water!E4-Water!E3))</f>
        <v>10</v>
      </c>
      <c r="P3" s="34">
        <f>IF((Water!F4-Water!F3)&lt;0,"0",(Water!F4-Water!F3))</f>
        <v>0</v>
      </c>
      <c r="Q3" s="34">
        <f>IF((Water!G4-Water!G3)&lt;0,"0",(Water!G4-Water!G3))</f>
        <v>0</v>
      </c>
      <c r="R3" s="34">
        <f>IF((Water!H4-Water!H3)&lt;0,"0",(Water!H4-Water!H3))</f>
        <v>0</v>
      </c>
      <c r="S3" s="34">
        <f>IF((Water!I4-Water!I3)&lt;0,"0",(Water!I4-Water!I3))</f>
        <v>0</v>
      </c>
      <c r="T3" s="34">
        <f>IF((Water!J4-Water!J3)&lt;0,"0",(Water!J4-Water!J3))</f>
        <v>4</v>
      </c>
      <c r="U3" s="34">
        <f>IF((Water!K4-Water!K3)&lt;0,"0",(Water!K4-Water!K3))</f>
        <v>0</v>
      </c>
      <c r="V3" s="34">
        <f>IF((Water!L4-Water!L3)&lt;0,"0",(Water!L4-Water!L3))</f>
        <v>0</v>
      </c>
      <c r="W3" s="34">
        <f>IF((Water!M4-Water!M3)&lt;0,"0",(Water!M4-Water!M3))</f>
        <v>0</v>
      </c>
      <c r="X3" s="34">
        <f>IF((Water!N4-Water!N3)&lt;0,"0",(Water!N4-Water!N3))</f>
        <v>33</v>
      </c>
      <c r="Y3" s="9">
        <v>208</v>
      </c>
      <c r="Z3" s="9">
        <v>208</v>
      </c>
    </row>
    <row r="4" spans="1:26" s="12" customFormat="1" x14ac:dyDescent="0.55000000000000004">
      <c r="A4" s="9" t="s">
        <v>36</v>
      </c>
      <c r="B4" s="12">
        <f t="shared" ref="B4:B32" si="0">B3+1</f>
        <v>3</v>
      </c>
      <c r="C4" s="10">
        <v>10</v>
      </c>
      <c r="D4" s="9">
        <v>2023</v>
      </c>
      <c r="E4" s="34">
        <f>(IF((Electrical!B5-Electrical!B4)&lt;0,"0",(Electrical!B5-Electrical!B4)))*15</f>
        <v>3660</v>
      </c>
      <c r="F4" s="34">
        <f>(IF((Electrical!C5-Electrical!C4)&lt;0,"0",(Electrical!C5-Electrical!C4)))*15</f>
        <v>4815</v>
      </c>
      <c r="G4" s="34">
        <f>(IF((Electrical!D5-Electrical!D4)&lt;0,"0",(Electrical!D5-Electrical!D4)))*15</f>
        <v>3915</v>
      </c>
      <c r="H4" s="34">
        <f>IF((Electrical!E5-Electrical!E4)&lt;0,"0",(Electrical!E5-Electrical!E4))</f>
        <v>3671</v>
      </c>
      <c r="I4" s="34">
        <f>IF((Electrical!F5-Electrical!F4)&lt;0,"0",(Electrical!F5-Electrical!F4))</f>
        <v>415</v>
      </c>
      <c r="J4" s="34">
        <f>IF((Gas!B5-Gas!B4)&lt;0,"0",(Gas!B5-Gas!B4))</f>
        <v>0</v>
      </c>
      <c r="K4" s="34">
        <f>IF((Gas!C5-Gas!C4)&lt;0,"0",(Gas!C5-Gas!C4))</f>
        <v>666</v>
      </c>
      <c r="L4" s="34">
        <f>IF((Water!B5-Water!B4)&lt;0,"0",(Water!B5-Water!B4))</f>
        <v>12</v>
      </c>
      <c r="M4" s="34">
        <f>IF((Water!C5-Water!C4)&lt;0,"0",(Water!C5-Water!C4))</f>
        <v>23</v>
      </c>
      <c r="N4" s="34">
        <f>IF((Water!D5-Water!D4)&lt;0,"0",(Water!D5-Water!D4))</f>
        <v>0</v>
      </c>
      <c r="O4" s="34">
        <f>IF((Water!E5-Water!E4)&lt;0,"0",(Water!E5-Water!E4))</f>
        <v>21</v>
      </c>
      <c r="P4" s="34">
        <f>IF((Water!F5-Water!F4)&lt;0,"0",(Water!F5-Water!F4))</f>
        <v>0</v>
      </c>
      <c r="Q4" s="34">
        <f>IF((Water!G5-Water!G4)&lt;0,"0",(Water!G5-Water!G4))</f>
        <v>0</v>
      </c>
      <c r="R4" s="34">
        <f>IF((Water!H5-Water!H4)&lt;0,"0",(Water!H5-Water!H4))</f>
        <v>0</v>
      </c>
      <c r="S4" s="34">
        <f>IF((Water!I5-Water!I4)&lt;0,"0",(Water!I5-Water!I4))</f>
        <v>0</v>
      </c>
      <c r="T4" s="34">
        <f>IF((Water!J5-Water!J4)&lt;0,"0",(Water!J5-Water!J4))</f>
        <v>1</v>
      </c>
      <c r="U4" s="34">
        <f>IF((Water!K5-Water!K4)&lt;0,"0",(Water!K5-Water!K4))</f>
        <v>0</v>
      </c>
      <c r="V4" s="34">
        <f>IF((Water!L5-Water!L4)&lt;0,"0",(Water!L5-Water!L4))</f>
        <v>0</v>
      </c>
      <c r="W4" s="34">
        <f>IF((Water!M5-Water!M4)&lt;0,"0",(Water!M5-Water!M4))</f>
        <v>0</v>
      </c>
      <c r="X4" s="34">
        <f>IF((Water!N5-Water!N4)&lt;0,"0",(Water!N5-Water!N4))</f>
        <v>47</v>
      </c>
      <c r="Y4" s="9">
        <v>223</v>
      </c>
      <c r="Z4" s="9">
        <v>223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10</v>
      </c>
      <c r="D5" s="9">
        <v>2023</v>
      </c>
      <c r="E5" s="34">
        <f>(IF((Electrical!B6-Electrical!B5)&lt;0,"0",(Electrical!B6-Electrical!B5)))*15</f>
        <v>3675</v>
      </c>
      <c r="F5" s="34">
        <f>(IF((Electrical!C6-Electrical!C5)&lt;0,"0",(Electrical!C6-Electrical!C5)))*15</f>
        <v>4830</v>
      </c>
      <c r="G5" s="34">
        <f>(IF((Electrical!D6-Electrical!D5)&lt;0,"0",(Electrical!D6-Electrical!D5)))*15</f>
        <v>3780</v>
      </c>
      <c r="H5" s="34">
        <f>IF((Electrical!E6-Electrical!E5)&lt;0,"0",(Electrical!E6-Electrical!E5))</f>
        <v>3773</v>
      </c>
      <c r="I5" s="34">
        <f>IF((Electrical!F6-Electrical!F5)&lt;0,"0",(Electrical!F6-Electrical!F5))</f>
        <v>607</v>
      </c>
      <c r="J5" s="34">
        <f>IF((Gas!B6-Gas!B5)&lt;0,"0",(Gas!B6-Gas!B5))</f>
        <v>0</v>
      </c>
      <c r="K5" s="34">
        <f>IF((Gas!C6-Gas!C5)&lt;0,"0",(Gas!C6-Gas!C5))</f>
        <v>698</v>
      </c>
      <c r="L5" s="34">
        <f>IF((Water!B6-Water!B5)&lt;0,"0",(Water!B6-Water!B5))</f>
        <v>15</v>
      </c>
      <c r="M5" s="34">
        <f>IF((Water!C6-Water!C5)&lt;0,"0",(Water!C6-Water!C5))</f>
        <v>26</v>
      </c>
      <c r="N5" s="34">
        <f>IF((Water!D6-Water!D5)&lt;0,"0",(Water!D6-Water!D5))</f>
        <v>0</v>
      </c>
      <c r="O5" s="34">
        <f>IF((Water!E6-Water!E5)&lt;0,"0",(Water!E6-Water!E5))</f>
        <v>20</v>
      </c>
      <c r="P5" s="34">
        <f>IF((Water!F6-Water!F5)&lt;0,"0",(Water!F6-Water!F5))</f>
        <v>0</v>
      </c>
      <c r="Q5" s="34">
        <f>IF((Water!G6-Water!G5)&lt;0,"0",(Water!G6-Water!G5))</f>
        <v>0</v>
      </c>
      <c r="R5" s="34">
        <f>IF((Water!H6-Water!H5)&lt;0,"0",(Water!H6-Water!H5))</f>
        <v>0</v>
      </c>
      <c r="S5" s="34">
        <f>IF((Water!I6-Water!I5)&lt;0,"0",(Water!I6-Water!I5))</f>
        <v>0</v>
      </c>
      <c r="T5" s="34">
        <f>IF((Water!J6-Water!J5)&lt;0,"0",(Water!J6-Water!J5))</f>
        <v>0</v>
      </c>
      <c r="U5" s="34">
        <f>IF((Water!K6-Water!K5)&lt;0,"0",(Water!K6-Water!K5))</f>
        <v>0</v>
      </c>
      <c r="V5" s="34">
        <f>IF((Water!L6-Water!L5)&lt;0,"0",(Water!L6-Water!L5))</f>
        <v>0</v>
      </c>
      <c r="W5" s="34">
        <f>IF((Water!M6-Water!M5)&lt;0,"0",(Water!M6-Water!M5))</f>
        <v>0</v>
      </c>
      <c r="X5" s="34">
        <f>IF((Water!N6-Water!N5)&lt;0,"0",(Water!N6-Water!N5))</f>
        <v>33</v>
      </c>
      <c r="Y5" s="9">
        <v>206</v>
      </c>
      <c r="Z5" s="9">
        <v>206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10</v>
      </c>
      <c r="D6" s="9">
        <v>2023</v>
      </c>
      <c r="E6" s="34">
        <f>(IF((Electrical!B7-Electrical!B6)&lt;0,"0",(Electrical!B7-Electrical!B6)))*15</f>
        <v>3540</v>
      </c>
      <c r="F6" s="34">
        <f>(IF((Electrical!C7-Electrical!C6)&lt;0,"0",(Electrical!C7-Electrical!C6)))*15</f>
        <v>5130</v>
      </c>
      <c r="G6" s="34">
        <f>(IF((Electrical!D7-Electrical!D6)&lt;0,"0",(Electrical!D7-Electrical!D6)))*15</f>
        <v>3645</v>
      </c>
      <c r="H6" s="34">
        <f>IF((Electrical!E7-Electrical!E6)&lt;0,"0",(Electrical!E7-Electrical!E6))</f>
        <v>4123</v>
      </c>
      <c r="I6" s="34">
        <f>IF((Electrical!F7-Electrical!F6)&lt;0,"0",(Electrical!F7-Electrical!F6))</f>
        <v>227</v>
      </c>
      <c r="J6" s="34">
        <f>IF((Gas!B7-Gas!B6)&lt;0,"0",(Gas!B7-Gas!B6))</f>
        <v>0</v>
      </c>
      <c r="K6" s="34">
        <f>IF((Gas!C7-Gas!C6)&lt;0,"0",(Gas!C7-Gas!C6))</f>
        <v>692</v>
      </c>
      <c r="L6" s="34">
        <f>IF((Water!B7-Water!B6)&lt;0,"0",(Water!B7-Water!B6))</f>
        <v>10</v>
      </c>
      <c r="M6" s="34">
        <f>IF((Water!C7-Water!C6)&lt;0,"0",(Water!C7-Water!C6))</f>
        <v>22</v>
      </c>
      <c r="N6" s="34">
        <f>IF((Water!D7-Water!D6)&lt;0,"0",(Water!D7-Water!D6))</f>
        <v>0</v>
      </c>
      <c r="O6" s="34">
        <f>IF((Water!E7-Water!E6)&lt;0,"0",(Water!E7-Water!E6))</f>
        <v>10</v>
      </c>
      <c r="P6" s="34">
        <f>IF((Water!F7-Water!F6)&lt;0,"0",(Water!F7-Water!F6))</f>
        <v>0</v>
      </c>
      <c r="Q6" s="34">
        <f>IF((Water!G7-Water!G6)&lt;0,"0",(Water!G7-Water!G6))</f>
        <v>0</v>
      </c>
      <c r="R6" s="34">
        <f>IF((Water!H7-Water!H6)&lt;0,"0",(Water!H7-Water!H6))</f>
        <v>0</v>
      </c>
      <c r="S6" s="34">
        <f>IF((Water!I7-Water!I6)&lt;0,"0",(Water!I7-Water!I6))</f>
        <v>0</v>
      </c>
      <c r="T6" s="34">
        <f>IF((Water!J7-Water!J6)&lt;0,"0",(Water!J7-Water!J6))</f>
        <v>5</v>
      </c>
      <c r="U6" s="34">
        <f>IF((Water!K7-Water!K6)&lt;0,"0",(Water!K7-Water!K6))</f>
        <v>0</v>
      </c>
      <c r="V6" s="34">
        <f>IF((Water!L7-Water!L6)&lt;0,"0",(Water!L7-Water!L6))</f>
        <v>0</v>
      </c>
      <c r="W6" s="34">
        <f>IF((Water!M7-Water!M6)&lt;0,"0",(Water!M7-Water!M6))</f>
        <v>0</v>
      </c>
      <c r="X6" s="34">
        <f>IF((Water!N7-Water!N6)&lt;0,"0",(Water!N7-Water!N6))</f>
        <v>32</v>
      </c>
      <c r="Y6" s="9">
        <v>202</v>
      </c>
      <c r="Z6" s="9">
        <v>202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10</v>
      </c>
      <c r="D7" s="9">
        <v>2023</v>
      </c>
      <c r="E7" s="34">
        <f>(IF((Electrical!B8-Electrical!B7)&lt;0,"0",(Electrical!B8-Electrical!B7)))*15</f>
        <v>4635</v>
      </c>
      <c r="F7" s="34">
        <f>(IF((Electrical!C8-Electrical!C7)&lt;0,"0",(Electrical!C8-Electrical!C7)))*15</f>
        <v>4350</v>
      </c>
      <c r="G7" s="34">
        <f>(IF((Electrical!D8-Electrical!D7)&lt;0,"0",(Electrical!D8-Electrical!D7)))*15</f>
        <v>3750</v>
      </c>
      <c r="H7" s="34">
        <f>IF((Electrical!E8-Electrical!E7)&lt;0,"0",(Electrical!E8-Electrical!E7))</f>
        <v>4248</v>
      </c>
      <c r="I7" s="34">
        <f>IF((Electrical!F8-Electrical!F7)&lt;0,"0",(Electrical!F8-Electrical!F7))</f>
        <v>400</v>
      </c>
      <c r="J7" s="34">
        <f>IF((Gas!B8-Gas!B7)&lt;0,"0",(Gas!B8-Gas!B7))</f>
        <v>0</v>
      </c>
      <c r="K7" s="34">
        <f>IF((Gas!C8-Gas!C7)&lt;0,"0",(Gas!C8-Gas!C7))</f>
        <v>718</v>
      </c>
      <c r="L7" s="34">
        <f>IF((Water!B8-Water!B7)&lt;0,"0",(Water!B8-Water!B7))</f>
        <v>12</v>
      </c>
      <c r="M7" s="34">
        <f>IF((Water!C8-Water!C7)&lt;0,"0",(Water!C8-Water!C7))</f>
        <v>23</v>
      </c>
      <c r="N7" s="34">
        <f>IF((Water!D8-Water!D7)&lt;0,"0",(Water!D8-Water!D7))</f>
        <v>0</v>
      </c>
      <c r="O7" s="34">
        <f>IF((Water!E8-Water!E7)&lt;0,"0",(Water!E8-Water!E7))</f>
        <v>14</v>
      </c>
      <c r="P7" s="34">
        <f>IF((Water!F8-Water!F7)&lt;0,"0",(Water!F8-Water!F7))</f>
        <v>0</v>
      </c>
      <c r="Q7" s="34">
        <f>IF((Water!G8-Water!G7)&lt;0,"0",(Water!G8-Water!G7))</f>
        <v>0</v>
      </c>
      <c r="R7" s="34">
        <f>IF((Water!H8-Water!H7)&lt;0,"0",(Water!H8-Water!H7))</f>
        <v>0</v>
      </c>
      <c r="S7" s="34">
        <f>IF((Water!I8-Water!I7)&lt;0,"0",(Water!I8-Water!I7))</f>
        <v>0</v>
      </c>
      <c r="T7" s="34">
        <f>IF((Water!J8-Water!J7)&lt;0,"0",(Water!J8-Water!J7))</f>
        <v>1</v>
      </c>
      <c r="U7" s="34">
        <f>IF((Water!K8-Water!K7)&lt;0,"0",(Water!K8-Water!K7))</f>
        <v>0</v>
      </c>
      <c r="V7" s="34">
        <f>IF((Water!L8-Water!L7)&lt;0,"0",(Water!L8-Water!L7))</f>
        <v>0</v>
      </c>
      <c r="W7" s="34">
        <f>IF((Water!M8-Water!M7)&lt;0,"0",(Water!M8-Water!M7))</f>
        <v>0</v>
      </c>
      <c r="X7" s="34">
        <f>IF((Water!N8-Water!N7)&lt;0,"0",(Water!N8-Water!N7))</f>
        <v>48</v>
      </c>
      <c r="Y7" s="9">
        <v>215</v>
      </c>
      <c r="Z7" s="9">
        <v>215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10</v>
      </c>
      <c r="D8" s="9">
        <v>2023</v>
      </c>
      <c r="E8" s="34">
        <f>(IF((Electrical!B9-Electrical!B8)&lt;0,"0",(Electrical!B9-Electrical!B8)))*15</f>
        <v>4680</v>
      </c>
      <c r="F8" s="34">
        <f>(IF((Electrical!C9-Electrical!C8)&lt;0,"0",(Electrical!C9-Electrical!C8)))*15</f>
        <v>5280</v>
      </c>
      <c r="G8" s="34">
        <f>(IF((Electrical!D9-Electrical!D8)&lt;0,"0",(Electrical!D9-Electrical!D8)))*15</f>
        <v>4140</v>
      </c>
      <c r="H8" s="34">
        <f>IF((Electrical!E9-Electrical!E8)&lt;0,"0",(Electrical!E9-Electrical!E8))</f>
        <v>4751</v>
      </c>
      <c r="I8" s="34">
        <f>IF((Electrical!F9-Electrical!F8)&lt;0,"0",(Electrical!F9-Electrical!F8))</f>
        <v>457</v>
      </c>
      <c r="J8" s="34">
        <f>IF((Gas!B9-Gas!B8)&lt;0,"0",(Gas!B9-Gas!B8))</f>
        <v>0</v>
      </c>
      <c r="K8" s="34">
        <f>IF((Gas!C9-Gas!C8)&lt;0,"0",(Gas!C9-Gas!C8))</f>
        <v>777</v>
      </c>
      <c r="L8" s="34">
        <f>IF((Water!B9-Water!B8)&lt;0,"0",(Water!B9-Water!B8))</f>
        <v>13</v>
      </c>
      <c r="M8" s="34">
        <f>IF((Water!C9-Water!C8)&lt;0,"0",(Water!C9-Water!C8))</f>
        <v>27</v>
      </c>
      <c r="N8" s="34">
        <f>IF((Water!D9-Water!D8)&lt;0,"0",(Water!D9-Water!D8))</f>
        <v>0</v>
      </c>
      <c r="O8" s="34">
        <f>IF((Water!E9-Water!E8)&lt;0,"0",(Water!E9-Water!E8))</f>
        <v>24</v>
      </c>
      <c r="P8" s="34">
        <f>IF((Water!F9-Water!F8)&lt;0,"0",(Water!F9-Water!F8))</f>
        <v>0</v>
      </c>
      <c r="Q8" s="34">
        <f>IF((Water!G9-Water!G8)&lt;0,"0",(Water!G9-Water!G8))</f>
        <v>0</v>
      </c>
      <c r="R8" s="34">
        <f>IF((Water!H9-Water!H8)&lt;0,"0",(Water!H9-Water!H8))</f>
        <v>0</v>
      </c>
      <c r="S8" s="34">
        <f>IF((Water!I9-Water!I8)&lt;0,"0",(Water!I9-Water!I8))</f>
        <v>0</v>
      </c>
      <c r="T8" s="34">
        <f>IF((Water!J9-Water!J8)&lt;0,"0",(Water!J9-Water!J8))</f>
        <v>1</v>
      </c>
      <c r="U8" s="34">
        <f>IF((Water!K9-Water!K8)&lt;0,"0",(Water!K9-Water!K8))</f>
        <v>0</v>
      </c>
      <c r="V8" s="34">
        <f>IF((Water!L9-Water!L8)&lt;0,"0",(Water!L9-Water!L8))</f>
        <v>0</v>
      </c>
      <c r="W8" s="34">
        <f>IF((Water!M9-Water!M8)&lt;0,"0",(Water!M9-Water!M8))</f>
        <v>0</v>
      </c>
      <c r="X8" s="34">
        <f>IF((Water!N9-Water!N8)&lt;0,"0",(Water!N9-Water!N8))</f>
        <v>48</v>
      </c>
      <c r="Y8" s="9">
        <v>207</v>
      </c>
      <c r="Z8" s="9">
        <v>207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10</v>
      </c>
      <c r="D9" s="9">
        <v>2023</v>
      </c>
      <c r="E9" s="34">
        <f>(IF((Electrical!B10-Electrical!B9)&lt;0,"0",(Electrical!B10-Electrical!B9)))*15</f>
        <v>3210</v>
      </c>
      <c r="F9" s="34">
        <f>(IF((Electrical!C10-Electrical!C9)&lt;0,"0",(Electrical!C10-Electrical!C9)))*15</f>
        <v>4665</v>
      </c>
      <c r="G9" s="34">
        <f>(IF((Electrical!D10-Electrical!D9)&lt;0,"0",(Electrical!D10-Electrical!D9)))*15</f>
        <v>3480</v>
      </c>
      <c r="H9" s="34">
        <f>IF((Electrical!E10-Electrical!E9)&lt;0,"0",(Electrical!E10-Electrical!E9))</f>
        <v>3675</v>
      </c>
      <c r="I9" s="34">
        <f>IF((Electrical!F10-Electrical!F9)&lt;0,"0",(Electrical!F10-Electrical!F9))</f>
        <v>356</v>
      </c>
      <c r="J9" s="34">
        <f>IF((Gas!B10-Gas!B9)&lt;0,"0",(Gas!B10-Gas!B9))</f>
        <v>0</v>
      </c>
      <c r="K9" s="34">
        <f>IF((Gas!C10-Gas!C9)&lt;0,"0",(Gas!C10-Gas!C9))</f>
        <v>662</v>
      </c>
      <c r="L9" s="34">
        <f>IF((Water!B10-Water!B9)&lt;0,"0",(Water!B10-Water!B9))</f>
        <v>11</v>
      </c>
      <c r="M9" s="34">
        <f>IF((Water!C10-Water!C9)&lt;0,"0",(Water!C10-Water!C9))</f>
        <v>20</v>
      </c>
      <c r="N9" s="34">
        <f>IF((Water!D10-Water!D9)&lt;0,"0",(Water!D10-Water!D9))</f>
        <v>0</v>
      </c>
      <c r="O9" s="34">
        <f>IF((Water!E10-Water!E9)&lt;0,"0",(Water!E10-Water!E9))</f>
        <v>4</v>
      </c>
      <c r="P9" s="34">
        <f>IF((Water!F10-Water!F9)&lt;0,"0",(Water!F10-Water!F9))</f>
        <v>0</v>
      </c>
      <c r="Q9" s="34">
        <f>IF((Water!G10-Water!G9)&lt;0,"0",(Water!G10-Water!G9))</f>
        <v>0</v>
      </c>
      <c r="R9" s="34">
        <f>IF((Water!H10-Water!H9)&lt;0,"0",(Water!H10-Water!H9))</f>
        <v>0</v>
      </c>
      <c r="S9" s="34">
        <f>IF((Water!I10-Water!I9)&lt;0,"0",(Water!I10-Water!I9))</f>
        <v>0</v>
      </c>
      <c r="T9" s="34">
        <f>IF((Water!J10-Water!J9)&lt;0,"0",(Water!J10-Water!J9))</f>
        <v>1</v>
      </c>
      <c r="U9" s="34">
        <f>IF((Water!K10-Water!K9)&lt;0,"0",(Water!K10-Water!K9))</f>
        <v>0</v>
      </c>
      <c r="V9" s="34">
        <f>IF((Water!L10-Water!L9)&lt;0,"0",(Water!L10-Water!L9))</f>
        <v>0</v>
      </c>
      <c r="W9" s="34">
        <f>IF((Water!M10-Water!M9)&lt;0,"0",(Water!M10-Water!M9))</f>
        <v>0</v>
      </c>
      <c r="X9" s="34">
        <f>IF((Water!N10-Water!N9)&lt;0,"0",(Water!N10-Water!N9))</f>
        <v>32</v>
      </c>
      <c r="Y9" s="9">
        <v>154</v>
      </c>
      <c r="Z9" s="9">
        <v>154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10</v>
      </c>
      <c r="D10" s="9">
        <v>2023</v>
      </c>
      <c r="E10" s="34">
        <f>(IF((Electrical!B11-Electrical!B10)&lt;0,"0",(Electrical!B11-Electrical!B10)))*15</f>
        <v>4230</v>
      </c>
      <c r="F10" s="34">
        <f>(IF((Electrical!C11-Electrical!C10)&lt;0,"0",(Electrical!C11-Electrical!C10)))*15</f>
        <v>4050</v>
      </c>
      <c r="G10" s="34">
        <f>(IF((Electrical!D11-Electrical!D10)&lt;0,"0",(Electrical!D11-Electrical!D10)))*15</f>
        <v>3780</v>
      </c>
      <c r="H10" s="34">
        <f>IF((Electrical!E11-Electrical!E10)&lt;0,"0",(Electrical!E11-Electrical!E10))</f>
        <v>4005</v>
      </c>
      <c r="I10" s="34">
        <f>IF((Electrical!F11-Electrical!F10)&lt;0,"0",(Electrical!F11-Electrical!F10))</f>
        <v>386</v>
      </c>
      <c r="J10" s="34">
        <f>IF((Gas!B11-Gas!B10)&lt;0,"0",(Gas!B11-Gas!B10))</f>
        <v>0</v>
      </c>
      <c r="K10" s="34">
        <f>IF((Gas!C11-Gas!C10)&lt;0,"0",(Gas!C11-Gas!C10))</f>
        <v>704</v>
      </c>
      <c r="L10" s="34">
        <f>IF((Water!B11-Water!B10)&lt;0,"0",(Water!B11-Water!B10))</f>
        <v>11</v>
      </c>
      <c r="M10" s="34">
        <f>IF((Water!C11-Water!C10)&lt;0,"0",(Water!C11-Water!C10))</f>
        <v>120</v>
      </c>
      <c r="N10" s="34">
        <f>IF((Water!D11-Water!D10)&lt;0,"0",(Water!D11-Water!D10))</f>
        <v>0</v>
      </c>
      <c r="O10" s="34">
        <f>IF((Water!E11-Water!E10)&lt;0,"0",(Water!E11-Water!E10))</f>
        <v>11</v>
      </c>
      <c r="P10" s="34">
        <f>IF((Water!F11-Water!F10)&lt;0,"0",(Water!F11-Water!F10))</f>
        <v>0</v>
      </c>
      <c r="Q10" s="34">
        <f>IF((Water!G11-Water!G10)&lt;0,"0",(Water!G11-Water!G10))</f>
        <v>0</v>
      </c>
      <c r="R10" s="34">
        <f>IF((Water!H11-Water!H10)&lt;0,"0",(Water!H11-Water!H10))</f>
        <v>0</v>
      </c>
      <c r="S10" s="34">
        <f>IF((Water!I11-Water!I10)&lt;0,"0",(Water!I11-Water!I10))</f>
        <v>0</v>
      </c>
      <c r="T10" s="34">
        <f>IF((Water!J11-Water!J10)&lt;0,"0",(Water!J11-Water!J10))</f>
        <v>7</v>
      </c>
      <c r="U10" s="34">
        <f>IF((Water!K11-Water!K10)&lt;0,"0",(Water!K11-Water!K10))</f>
        <v>0</v>
      </c>
      <c r="V10" s="34">
        <f>IF((Water!L11-Water!L10)&lt;0,"0",(Water!L11-Water!L10))</f>
        <v>0</v>
      </c>
      <c r="W10" s="34">
        <f>IF((Water!M11-Water!M10)&lt;0,"0",(Water!M11-Water!M10))</f>
        <v>0</v>
      </c>
      <c r="X10" s="34">
        <f>IF((Water!N11-Water!N10)&lt;0,"0",(Water!N11-Water!N10))</f>
        <v>49</v>
      </c>
      <c r="Y10" s="9">
        <v>161</v>
      </c>
      <c r="Z10" s="9">
        <v>161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10</v>
      </c>
      <c r="D11" s="9">
        <v>2023</v>
      </c>
      <c r="E11" s="34">
        <f>(IF((Electrical!B12-Electrical!B11)&lt;0,"0",(Electrical!B12-Electrical!B11)))*15</f>
        <v>4620</v>
      </c>
      <c r="F11" s="34">
        <f>(IF((Electrical!C12-Electrical!C11)&lt;0,"0",(Electrical!C12-Electrical!C11)))*15</f>
        <v>3765</v>
      </c>
      <c r="G11" s="34">
        <f>(IF((Electrical!D12-Electrical!D11)&lt;0,"0",(Electrical!D12-Electrical!D11)))*15</f>
        <v>3720</v>
      </c>
      <c r="H11" s="34">
        <f>IF((Electrical!E12-Electrical!E11)&lt;0,"0",(Electrical!E12-Electrical!E11))</f>
        <v>3498</v>
      </c>
      <c r="I11" s="34">
        <f>IF((Electrical!F12-Electrical!F11)&lt;0,"0",(Electrical!F12-Electrical!F11))</f>
        <v>364</v>
      </c>
      <c r="J11" s="34">
        <f>IF((Gas!B12-Gas!B11)&lt;0,"0",(Gas!B12-Gas!B11))</f>
        <v>0</v>
      </c>
      <c r="K11" s="34">
        <f>IF((Gas!C12-Gas!C11)&lt;0,"0",(Gas!C12-Gas!C11))</f>
        <v>754</v>
      </c>
      <c r="L11" s="34">
        <f>IF((Water!B12-Water!B11)&lt;0,"0",(Water!B12-Water!B11))</f>
        <v>7</v>
      </c>
      <c r="M11" s="34" t="str">
        <f>IF((Water!C12-Water!C11)&lt;0,"0",(Water!C12-Water!C11))</f>
        <v>0</v>
      </c>
      <c r="N11" s="34">
        <f>IF((Water!D12-Water!D11)&lt;0,"0",(Water!D12-Water!D11))</f>
        <v>0</v>
      </c>
      <c r="O11" s="34">
        <f>IF((Water!E12-Water!E11)&lt;0,"0",(Water!E12-Water!E11))</f>
        <v>9</v>
      </c>
      <c r="P11" s="34">
        <f>IF((Water!F12-Water!F11)&lt;0,"0",(Water!F12-Water!F11))</f>
        <v>0</v>
      </c>
      <c r="Q11" s="34">
        <f>IF((Water!G12-Water!G11)&lt;0,"0",(Water!G12-Water!G11))</f>
        <v>0</v>
      </c>
      <c r="R11" s="34">
        <f>IF((Water!H12-Water!H11)&lt;0,"0",(Water!H12-Water!H11))</f>
        <v>0</v>
      </c>
      <c r="S11" s="34">
        <f>IF((Water!I12-Water!I11)&lt;0,"0",(Water!I12-Water!I11))</f>
        <v>0</v>
      </c>
      <c r="T11" s="34">
        <f>IF((Water!J12-Water!J11)&lt;0,"0",(Water!J12-Water!J11))</f>
        <v>0</v>
      </c>
      <c r="U11" s="34">
        <f>IF((Water!K12-Water!K11)&lt;0,"0",(Water!K12-Water!K11))</f>
        <v>0</v>
      </c>
      <c r="V11" s="34">
        <f>IF((Water!L12-Water!L11)&lt;0,"0",(Water!L12-Water!L11))</f>
        <v>0</v>
      </c>
      <c r="W11" s="34">
        <f>IF((Water!M12-Water!M11)&lt;0,"0",(Water!M12-Water!M11))</f>
        <v>0</v>
      </c>
      <c r="X11" s="34">
        <f>IF((Water!N12-Water!N11)&lt;0,"0",(Water!N12-Water!N11))</f>
        <v>33</v>
      </c>
      <c r="Y11" s="9">
        <v>170</v>
      </c>
      <c r="Z11" s="9">
        <v>170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10</v>
      </c>
      <c r="D12" s="9">
        <v>2023</v>
      </c>
      <c r="E12" s="34">
        <f>(IF((Electrical!B13-Electrical!B12)&lt;0,"0",(Electrical!B13-Electrical!B12)))*15</f>
        <v>4950</v>
      </c>
      <c r="F12" s="34">
        <f>(IF((Electrical!C13-Electrical!C12)&lt;0,"0",(Electrical!C13-Electrical!C12)))*15</f>
        <v>3825</v>
      </c>
      <c r="G12" s="34">
        <f>(IF((Electrical!D13-Electrical!D12)&lt;0,"0",(Electrical!D13-Electrical!D12)))*15</f>
        <v>3705</v>
      </c>
      <c r="H12" s="34">
        <f>IF((Electrical!E13-Electrical!E12)&lt;0,"0",(Electrical!E13-Electrical!E12))</f>
        <v>4065</v>
      </c>
      <c r="I12" s="34">
        <f>IF((Electrical!F13-Electrical!F12)&lt;0,"0",(Electrical!F13-Electrical!F12))</f>
        <v>371</v>
      </c>
      <c r="J12" s="34">
        <f>IF((Gas!B13-Gas!B12)&lt;0,"0",(Gas!B13-Gas!B12))</f>
        <v>0</v>
      </c>
      <c r="K12" s="34">
        <f>IF((Gas!C13-Gas!C12)&lt;0,"0",(Gas!C13-Gas!C12))</f>
        <v>638</v>
      </c>
      <c r="L12" s="34">
        <f>IF((Water!B13-Water!B12)&lt;0,"0",(Water!B13-Water!B12))</f>
        <v>12</v>
      </c>
      <c r="M12" s="34">
        <f>IF((Water!C13-Water!C12)&lt;0,"0",(Water!C13-Water!C12))</f>
        <v>18</v>
      </c>
      <c r="N12" s="34">
        <f>IF((Water!D13-Water!D12)&lt;0,"0",(Water!D13-Water!D12))</f>
        <v>0</v>
      </c>
      <c r="O12" s="34">
        <f>IF((Water!E13-Water!E12)&lt;0,"0",(Water!E13-Water!E12))</f>
        <v>9</v>
      </c>
      <c r="P12" s="34">
        <f>IF((Water!F13-Water!F12)&lt;0,"0",(Water!F13-Water!F12))</f>
        <v>0</v>
      </c>
      <c r="Q12" s="34">
        <f>IF((Water!G13-Water!G12)&lt;0,"0",(Water!G13-Water!G12))</f>
        <v>0</v>
      </c>
      <c r="R12" s="34">
        <f>IF((Water!H13-Water!H12)&lt;0,"0",(Water!H13-Water!H12))</f>
        <v>0</v>
      </c>
      <c r="S12" s="34">
        <f>IF((Water!I13-Water!I12)&lt;0,"0",(Water!I13-Water!I12))</f>
        <v>0</v>
      </c>
      <c r="T12" s="34">
        <f>IF((Water!J13-Water!J12)&lt;0,"0",(Water!J13-Water!J12))</f>
        <v>0</v>
      </c>
      <c r="U12" s="34">
        <f>IF((Water!K13-Water!K12)&lt;0,"0",(Water!K13-Water!K12))</f>
        <v>0</v>
      </c>
      <c r="V12" s="34">
        <f>IF((Water!L13-Water!L12)&lt;0,"0",(Water!L13-Water!L12))</f>
        <v>0</v>
      </c>
      <c r="W12" s="34">
        <f>IF((Water!M13-Water!M12)&lt;0,"0",(Water!M13-Water!M12))</f>
        <v>0</v>
      </c>
      <c r="X12" s="34">
        <f>IF((Water!N13-Water!N12)&lt;0,"0",(Water!N13-Water!N12))</f>
        <v>34</v>
      </c>
      <c r="Y12" s="9">
        <v>164</v>
      </c>
      <c r="Z12" s="9">
        <v>164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10</v>
      </c>
      <c r="D13" s="9">
        <v>2023</v>
      </c>
      <c r="E13" s="34">
        <f>(IF((Electrical!B14-Electrical!B13)&lt;0,"0",(Electrical!B14-Electrical!B13)))*15</f>
        <v>4980</v>
      </c>
      <c r="F13" s="34">
        <f>(IF((Electrical!C14-Electrical!C13)&lt;0,"0",(Electrical!C14-Electrical!C13)))*15</f>
        <v>4020</v>
      </c>
      <c r="G13" s="34">
        <f>(IF((Electrical!D14-Electrical!D13)&lt;0,"0",(Electrical!D14-Electrical!D13)))*15</f>
        <v>3825</v>
      </c>
      <c r="H13" s="34">
        <f>IF((Electrical!E14-Electrical!E13)&lt;0,"0",(Electrical!E14-Electrical!E13))</f>
        <v>4310</v>
      </c>
      <c r="I13" s="34">
        <f>IF((Electrical!F14-Electrical!F13)&lt;0,"0",(Electrical!F14-Electrical!F13))</f>
        <v>378</v>
      </c>
      <c r="J13" s="34">
        <f>IF((Gas!B14-Gas!B13)&lt;0,"0",(Gas!B14-Gas!B13))</f>
        <v>0</v>
      </c>
      <c r="K13" s="34">
        <f>IF((Gas!C14-Gas!C13)&lt;0,"0",(Gas!C14-Gas!C13))</f>
        <v>631</v>
      </c>
      <c r="L13" s="34">
        <f>IF((Water!B14-Water!B13)&lt;0,"0",(Water!B14-Water!B13))</f>
        <v>12</v>
      </c>
      <c r="M13" s="34">
        <f>IF((Water!C14-Water!C13)&lt;0,"0",(Water!C14-Water!C13))</f>
        <v>25</v>
      </c>
      <c r="N13" s="34">
        <f>IF((Water!D14-Water!D13)&lt;0,"0",(Water!D14-Water!D13))</f>
        <v>0</v>
      </c>
      <c r="O13" s="34">
        <f>IF((Water!E14-Water!E13)&lt;0,"0",(Water!E14-Water!E13))</f>
        <v>7</v>
      </c>
      <c r="P13" s="34">
        <f>IF((Water!F14-Water!F13)&lt;0,"0",(Water!F14-Water!F13))</f>
        <v>0</v>
      </c>
      <c r="Q13" s="34">
        <f>IF((Water!G14-Water!G13)&lt;0,"0",(Water!G14-Water!G13))</f>
        <v>0</v>
      </c>
      <c r="R13" s="34">
        <f>IF((Water!H14-Water!H13)&lt;0,"0",(Water!H14-Water!H13))</f>
        <v>0</v>
      </c>
      <c r="S13" s="34">
        <f>IF((Water!I14-Water!I13)&lt;0,"0",(Water!I14-Water!I13))</f>
        <v>0</v>
      </c>
      <c r="T13" s="34">
        <f>IF((Water!J14-Water!J13)&lt;0,"0",(Water!J14-Water!J13))</f>
        <v>1</v>
      </c>
      <c r="U13" s="34">
        <f>IF((Water!K14-Water!K13)&lt;0,"0",(Water!K14-Water!K13))</f>
        <v>0</v>
      </c>
      <c r="V13" s="34">
        <f>IF((Water!L14-Water!L13)&lt;0,"0",(Water!L14-Water!L13))</f>
        <v>0</v>
      </c>
      <c r="W13" s="34">
        <f>IF((Water!M14-Water!M13)&lt;0,"0",(Water!M14-Water!M13))</f>
        <v>0</v>
      </c>
      <c r="X13" s="34">
        <f>IF((Water!N14-Water!N13)&lt;0,"0",(Water!N14-Water!N13))</f>
        <v>51</v>
      </c>
      <c r="Y13" s="9">
        <v>149</v>
      </c>
      <c r="Z13" s="9">
        <v>149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10</v>
      </c>
      <c r="D14" s="9">
        <v>2023</v>
      </c>
      <c r="E14" s="34">
        <f>(IF((Electrical!B15-Electrical!B14)&lt;0,"0",(Electrical!B15-Electrical!B14)))*15</f>
        <v>5100</v>
      </c>
      <c r="F14" s="34">
        <f>(IF((Electrical!C15-Electrical!C14)&lt;0,"0",(Electrical!C15-Electrical!C14)))*15</f>
        <v>3765</v>
      </c>
      <c r="G14" s="34">
        <f>(IF((Electrical!D15-Electrical!D14)&lt;0,"0",(Electrical!D15-Electrical!D14)))*15</f>
        <v>3780</v>
      </c>
      <c r="H14" s="34">
        <f>IF((Electrical!E15-Electrical!E14)&lt;0,"0",(Electrical!E15-Electrical!E14))</f>
        <v>3825</v>
      </c>
      <c r="I14" s="34">
        <f>IF((Electrical!F15-Electrical!F14)&lt;0,"0",(Electrical!F15-Electrical!F14))</f>
        <v>374</v>
      </c>
      <c r="J14" s="34">
        <f>IF((Gas!B15-Gas!B14)&lt;0,"0",(Gas!B15-Gas!B14))</f>
        <v>0</v>
      </c>
      <c r="K14" s="34">
        <f>IF((Gas!C15-Gas!C14)&lt;0,"0",(Gas!C15-Gas!C14))</f>
        <v>704</v>
      </c>
      <c r="L14" s="34">
        <f>IF((Water!B15-Water!B14)&lt;0,"0",(Water!B15-Water!B14))</f>
        <v>10</v>
      </c>
      <c r="M14" s="34">
        <f>IF((Water!C15-Water!C14)&lt;0,"0",(Water!C15-Water!C14))</f>
        <v>19</v>
      </c>
      <c r="N14" s="34">
        <f>IF((Water!D15-Water!D14)&lt;0,"0",(Water!D15-Water!D14))</f>
        <v>0</v>
      </c>
      <c r="O14" s="34">
        <f>IF((Water!E15-Water!E14)&lt;0,"0",(Water!E15-Water!E14))</f>
        <v>12</v>
      </c>
      <c r="P14" s="34">
        <f>IF((Water!F15-Water!F14)&lt;0,"0",(Water!F15-Water!F14))</f>
        <v>0</v>
      </c>
      <c r="Q14" s="34">
        <f>IF((Water!G15-Water!G14)&lt;0,"0",(Water!G15-Water!G14))</f>
        <v>0</v>
      </c>
      <c r="R14" s="34">
        <f>IF((Water!H15-Water!H14)&lt;0,"0",(Water!H15-Water!H14))</f>
        <v>0</v>
      </c>
      <c r="S14" s="34">
        <f>IF((Water!I15-Water!I14)&lt;0,"0",(Water!I15-Water!I14))</f>
        <v>0</v>
      </c>
      <c r="T14" s="34">
        <f>IF((Water!J15-Water!J14)&lt;0,"0",(Water!J15-Water!J14))</f>
        <v>1</v>
      </c>
      <c r="U14" s="34">
        <f>IF((Water!K15-Water!K14)&lt;0,"0",(Water!K15-Water!K14))</f>
        <v>0</v>
      </c>
      <c r="V14" s="34">
        <f>IF((Water!L15-Water!L14)&lt;0,"0",(Water!L15-Water!L14))</f>
        <v>0</v>
      </c>
      <c r="W14" s="34">
        <f>IF((Water!M15-Water!M14)&lt;0,"0",(Water!M15-Water!M14))</f>
        <v>0</v>
      </c>
      <c r="X14" s="34">
        <f>IF((Water!N15-Water!N14)&lt;0,"0",(Water!N15-Water!N14))</f>
        <v>34</v>
      </c>
      <c r="Y14" s="9">
        <v>155</v>
      </c>
      <c r="Z14" s="9">
        <v>155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10</v>
      </c>
      <c r="D15" s="9">
        <v>2023</v>
      </c>
      <c r="E15" s="34">
        <f>(IF((Electrical!B16-Electrical!B15)&lt;0,"0",(Electrical!B16-Electrical!B15)))*15</f>
        <v>5565</v>
      </c>
      <c r="F15" s="34">
        <f>(IF((Electrical!C16-Electrical!C15)&lt;0,"0",(Electrical!C16-Electrical!C15)))*15</f>
        <v>3750</v>
      </c>
      <c r="G15" s="34">
        <f>(IF((Electrical!D16-Electrical!D15)&lt;0,"0",(Electrical!D16-Electrical!D15)))*15</f>
        <v>3945</v>
      </c>
      <c r="H15" s="34">
        <f>IF((Electrical!E16-Electrical!E15)&lt;0,"0",(Electrical!E16-Electrical!E15))</f>
        <v>4324</v>
      </c>
      <c r="I15" s="34">
        <f>IF((Electrical!F16-Electrical!F15)&lt;0,"0",(Electrical!F16-Electrical!F15))</f>
        <v>379</v>
      </c>
      <c r="J15" s="34">
        <f>IF((Gas!B16-Gas!B15)&lt;0,"0",(Gas!B16-Gas!B15))</f>
        <v>0</v>
      </c>
      <c r="K15" s="34">
        <f>IF((Gas!C16-Gas!C15)&lt;0,"0",(Gas!C16-Gas!C15))</f>
        <v>787</v>
      </c>
      <c r="L15" s="34">
        <f>IF((Water!B16-Water!B15)&lt;0,"0",(Water!B16-Water!B15))</f>
        <v>13</v>
      </c>
      <c r="M15" s="34">
        <f>IF((Water!C16-Water!C15)&lt;0,"0",(Water!C16-Water!C15))</f>
        <v>25</v>
      </c>
      <c r="N15" s="34">
        <f>IF((Water!D16-Water!D15)&lt;0,"0",(Water!D16-Water!D15))</f>
        <v>0</v>
      </c>
      <c r="O15" s="34">
        <f>IF((Water!E16-Water!E15)&lt;0,"0",(Water!E16-Water!E15))</f>
        <v>11</v>
      </c>
      <c r="P15" s="34">
        <f>IF((Water!F16-Water!F15)&lt;0,"0",(Water!F16-Water!F15))</f>
        <v>0</v>
      </c>
      <c r="Q15" s="34">
        <f>IF((Water!G16-Water!G15)&lt;0,"0",(Water!G16-Water!G15))</f>
        <v>0</v>
      </c>
      <c r="R15" s="34">
        <f>IF((Water!H16-Water!H15)&lt;0,"0",(Water!H16-Water!H15))</f>
        <v>0</v>
      </c>
      <c r="S15" s="34">
        <f>IF((Water!I16-Water!I15)&lt;0,"0",(Water!I16-Water!I15))</f>
        <v>0</v>
      </c>
      <c r="T15" s="34">
        <f>IF((Water!J16-Water!J15)&lt;0,"0",(Water!J16-Water!J15))</f>
        <v>1</v>
      </c>
      <c r="U15" s="34">
        <f>IF((Water!K16-Water!K15)&lt;0,"0",(Water!K16-Water!K15))</f>
        <v>0</v>
      </c>
      <c r="V15" s="34">
        <f>IF((Water!L16-Water!L15)&lt;0,"0",(Water!L16-Water!L15))</f>
        <v>0</v>
      </c>
      <c r="W15" s="34">
        <f>IF((Water!M16-Water!M15)&lt;0,"0",(Water!M16-Water!M15))</f>
        <v>0</v>
      </c>
      <c r="X15" s="34">
        <f>IF((Water!N16-Water!N15)&lt;0,"0",(Water!N16-Water!N15))</f>
        <v>50</v>
      </c>
      <c r="Y15" s="9">
        <v>167</v>
      </c>
      <c r="Z15" s="9">
        <v>167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10</v>
      </c>
      <c r="D16" s="9">
        <v>2023</v>
      </c>
      <c r="E16" s="34">
        <f>(IF((Electrical!B17-Electrical!B16)&lt;0,"0",(Electrical!B17-Electrical!B16)))*15</f>
        <v>4950</v>
      </c>
      <c r="F16" s="34">
        <f>(IF((Electrical!C17-Electrical!C16)&lt;0,"0",(Electrical!C17-Electrical!C16)))*15</f>
        <v>3855</v>
      </c>
      <c r="G16" s="34">
        <f>(IF((Electrical!D17-Electrical!D16)&lt;0,"0",(Electrical!D17-Electrical!D16)))*15</f>
        <v>3855</v>
      </c>
      <c r="H16" s="34">
        <f>IF((Electrical!E17-Electrical!E16)&lt;0,"0",(Electrical!E17-Electrical!E16))</f>
        <v>4146</v>
      </c>
      <c r="I16" s="34">
        <f>IF((Electrical!F17-Electrical!F16)&lt;0,"0",(Electrical!F17-Electrical!F16))</f>
        <v>372</v>
      </c>
      <c r="J16" s="34">
        <f>IF((Gas!B17-Gas!B16)&lt;0,"0",(Gas!B17-Gas!B16))</f>
        <v>0</v>
      </c>
      <c r="K16" s="34">
        <f>IF((Gas!C17-Gas!C16)&lt;0,"0",(Gas!C17-Gas!C16))</f>
        <v>659</v>
      </c>
      <c r="L16" s="34">
        <f>IF((Water!B17-Water!B16)&lt;0,"0",(Water!B17-Water!B16))</f>
        <v>12</v>
      </c>
      <c r="M16" s="34">
        <f>IF((Water!C17-Water!C16)&lt;0,"0",(Water!C17-Water!C16))</f>
        <v>26</v>
      </c>
      <c r="N16" s="34">
        <f>IF((Water!D17-Water!D16)&lt;0,"0",(Water!D17-Water!D16))</f>
        <v>0</v>
      </c>
      <c r="O16" s="34">
        <f>IF((Water!E17-Water!E16)&lt;0,"0",(Water!E17-Water!E16))</f>
        <v>11</v>
      </c>
      <c r="P16" s="34">
        <f>IF((Water!F17-Water!F16)&lt;0,"0",(Water!F17-Water!F16))</f>
        <v>0</v>
      </c>
      <c r="Q16" s="34">
        <f>IF((Water!G17-Water!G16)&lt;0,"0",(Water!G17-Water!G16))</f>
        <v>0</v>
      </c>
      <c r="R16" s="34">
        <f>IF((Water!H17-Water!H16)&lt;0,"0",(Water!H17-Water!H16))</f>
        <v>0</v>
      </c>
      <c r="S16" s="34">
        <f>IF((Water!I17-Water!I16)&lt;0,"0",(Water!I17-Water!I16))</f>
        <v>0</v>
      </c>
      <c r="T16" s="34">
        <f>IF((Water!J17-Water!J16)&lt;0,"0",(Water!J17-Water!J16))</f>
        <v>1</v>
      </c>
      <c r="U16" s="34">
        <f>IF((Water!K17-Water!K16)&lt;0,"0",(Water!K17-Water!K16))</f>
        <v>0</v>
      </c>
      <c r="V16" s="34">
        <f>IF((Water!L17-Water!L16)&lt;0,"0",(Water!L17-Water!L16))</f>
        <v>0</v>
      </c>
      <c r="W16" s="34">
        <f>IF((Water!M17-Water!M16)&lt;0,"0",(Water!M17-Water!M16))</f>
        <v>0</v>
      </c>
      <c r="X16" s="34">
        <f>IF((Water!N17-Water!N16)&lt;0,"0",(Water!N17-Water!N16))</f>
        <v>48</v>
      </c>
      <c r="Y16" s="9">
        <v>203</v>
      </c>
      <c r="Z16" s="9">
        <v>203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10</v>
      </c>
      <c r="D17" s="9">
        <v>2023</v>
      </c>
      <c r="E17" s="34">
        <f>(IF((Electrical!B18-Electrical!B17)&lt;0,"0",(Electrical!B18-Electrical!B17)))*15</f>
        <v>4605</v>
      </c>
      <c r="F17" s="34">
        <f>(IF((Electrical!C18-Electrical!C17)&lt;0,"0",(Electrical!C18-Electrical!C17)))*15</f>
        <v>3525</v>
      </c>
      <c r="G17" s="34">
        <f>(IF((Electrical!D18-Electrical!D17)&lt;0,"0",(Electrical!D18-Electrical!D17)))*15</f>
        <v>3750</v>
      </c>
      <c r="H17" s="34">
        <f>IF((Electrical!E18-Electrical!E17)&lt;0,"0",(Electrical!E18-Electrical!E17))</f>
        <v>3749</v>
      </c>
      <c r="I17" s="34">
        <f>IF((Electrical!F18-Electrical!F17)&lt;0,"0",(Electrical!F18-Electrical!F17))</f>
        <v>376</v>
      </c>
      <c r="J17" s="34">
        <f>IF((Gas!B18-Gas!B17)&lt;0,"0",(Gas!B18-Gas!B17))</f>
        <v>0</v>
      </c>
      <c r="K17" s="34">
        <f>IF((Gas!C18-Gas!C17)&lt;0,"0",(Gas!C18-Gas!C17))</f>
        <v>822</v>
      </c>
      <c r="L17" s="34">
        <f>IF((Water!B18-Water!B17)&lt;0,"0",(Water!B18-Water!B17))</f>
        <v>10</v>
      </c>
      <c r="M17" s="34">
        <f>IF((Water!C18-Water!C17)&lt;0,"0",(Water!C18-Water!C17))</f>
        <v>31</v>
      </c>
      <c r="N17" s="34">
        <f>IF((Water!D18-Water!D17)&lt;0,"0",(Water!D18-Water!D17))</f>
        <v>0</v>
      </c>
      <c r="O17" s="34">
        <f>IF((Water!E18-Water!E17)&lt;0,"0",(Water!E18-Water!E17))</f>
        <v>12</v>
      </c>
      <c r="P17" s="34">
        <f>IF((Water!F18-Water!F17)&lt;0,"0",(Water!F18-Water!F17))</f>
        <v>0</v>
      </c>
      <c r="Q17" s="34">
        <f>IF((Water!G18-Water!G17)&lt;0,"0",(Water!G18-Water!G17))</f>
        <v>0</v>
      </c>
      <c r="R17" s="34">
        <f>IF((Water!H18-Water!H17)&lt;0,"0",(Water!H18-Water!H17))</f>
        <v>0</v>
      </c>
      <c r="S17" s="34">
        <f>IF((Water!I18-Water!I17)&lt;0,"0",(Water!I18-Water!I17))</f>
        <v>0</v>
      </c>
      <c r="T17" s="34">
        <f>IF((Water!J18-Water!J17)&lt;0,"0",(Water!J18-Water!J17))</f>
        <v>7</v>
      </c>
      <c r="U17" s="34">
        <f>IF((Water!K18-Water!K17)&lt;0,"0",(Water!K18-Water!K17))</f>
        <v>0</v>
      </c>
      <c r="V17" s="34">
        <f>IF((Water!L18-Water!L17)&lt;0,"0",(Water!L18-Water!L17))</f>
        <v>0</v>
      </c>
      <c r="W17" s="34">
        <f>IF((Water!M18-Water!M17)&lt;0,"0",(Water!M18-Water!M17))</f>
        <v>0</v>
      </c>
      <c r="X17" s="34">
        <f>IF((Water!N18-Water!N17)&lt;0,"0",(Water!N18-Water!N17))</f>
        <v>32</v>
      </c>
      <c r="Y17" s="9">
        <v>214</v>
      </c>
      <c r="Z17" s="9">
        <v>214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10</v>
      </c>
      <c r="D18" s="9">
        <v>2023</v>
      </c>
      <c r="E18" s="34">
        <f>(IF((Electrical!B19-Electrical!B18)&lt;0,"0",(Electrical!B19-Electrical!B18)))*15</f>
        <v>5460</v>
      </c>
      <c r="F18" s="34">
        <f>(IF((Electrical!C19-Electrical!C18)&lt;0,"0",(Electrical!C19-Electrical!C18)))*15</f>
        <v>3135</v>
      </c>
      <c r="G18" s="34">
        <f>(IF((Electrical!D19-Electrical!D18)&lt;0,"0",(Electrical!D19-Electrical!D18)))*15</f>
        <v>3825</v>
      </c>
      <c r="H18" s="34">
        <f>IF((Electrical!E19-Electrical!E18)&lt;0,"0",(Electrical!E19-Electrical!E18))</f>
        <v>4176</v>
      </c>
      <c r="I18" s="34">
        <f>IF((Electrical!F19-Electrical!F18)&lt;0,"0",(Electrical!F19-Electrical!F18))</f>
        <v>413</v>
      </c>
      <c r="J18" s="34">
        <f>IF((Gas!B19-Gas!B18)&lt;0,"0",(Gas!B19-Gas!B18))</f>
        <v>0</v>
      </c>
      <c r="K18" s="34">
        <f>IF((Gas!C19-Gas!C18)&lt;0,"0",(Gas!C19-Gas!C18))</f>
        <v>839</v>
      </c>
      <c r="L18" s="34">
        <f>IF((Water!B19-Water!B18)&lt;0,"0",(Water!B19-Water!B18))</f>
        <v>11</v>
      </c>
      <c r="M18" s="34">
        <f>IF((Water!C19-Water!C18)&lt;0,"0",(Water!C19-Water!C18))</f>
        <v>26</v>
      </c>
      <c r="N18" s="34">
        <f>IF((Water!D19-Water!D18)&lt;0,"0",(Water!D19-Water!D18))</f>
        <v>0</v>
      </c>
      <c r="O18" s="34">
        <f>IF((Water!E19-Water!E18)&lt;0,"0",(Water!E19-Water!E18))</f>
        <v>13</v>
      </c>
      <c r="P18" s="34">
        <f>IF((Water!F19-Water!F18)&lt;0,"0",(Water!F19-Water!F18))</f>
        <v>0</v>
      </c>
      <c r="Q18" s="34">
        <f>IF((Water!G19-Water!G18)&lt;0,"0",(Water!G19-Water!G18))</f>
        <v>0</v>
      </c>
      <c r="R18" s="34">
        <f>IF((Water!H19-Water!H18)&lt;0,"0",(Water!H19-Water!H18))</f>
        <v>0</v>
      </c>
      <c r="S18" s="34">
        <f>IF((Water!I19-Water!I18)&lt;0,"0",(Water!I19-Water!I18))</f>
        <v>0</v>
      </c>
      <c r="T18" s="34">
        <f>IF((Water!J19-Water!J18)&lt;0,"0",(Water!J19-Water!J18))</f>
        <v>1</v>
      </c>
      <c r="U18" s="34">
        <f>IF((Water!K19-Water!K18)&lt;0,"0",(Water!K19-Water!K18))</f>
        <v>0</v>
      </c>
      <c r="V18" s="34">
        <f>IF((Water!L19-Water!L18)&lt;0,"0",(Water!L19-Water!L18))</f>
        <v>0</v>
      </c>
      <c r="W18" s="34">
        <f>IF((Water!M19-Water!M18)&lt;0,"0",(Water!M19-Water!M18))</f>
        <v>0</v>
      </c>
      <c r="X18" s="34">
        <f>IF((Water!N19-Water!N18)&lt;0,"0",(Water!N19-Water!N18))</f>
        <v>50</v>
      </c>
      <c r="Y18" s="9">
        <v>232</v>
      </c>
      <c r="Z18" s="9">
        <v>232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10</v>
      </c>
      <c r="D19" s="9">
        <v>2023</v>
      </c>
      <c r="E19" s="34">
        <f>(IF((Electrical!B20-Electrical!B19)&lt;0,"0",(Electrical!B20-Electrical!B19)))*15</f>
        <v>4995</v>
      </c>
      <c r="F19" s="34">
        <f>(IF((Electrical!C20-Electrical!C19)&lt;0,"0",(Electrical!C20-Electrical!C19)))*15</f>
        <v>3780</v>
      </c>
      <c r="G19" s="34">
        <f>(IF((Electrical!D20-Electrical!D19)&lt;0,"0",(Electrical!D20-Electrical!D19)))*15</f>
        <v>3750</v>
      </c>
      <c r="H19" s="34">
        <f>IF((Electrical!E20-Electrical!E19)&lt;0,"0",(Electrical!E20-Electrical!E19))</f>
        <v>3806</v>
      </c>
      <c r="I19" s="34">
        <f>IF((Electrical!F20-Electrical!F19)&lt;0,"0",(Electrical!F20-Electrical!F19))</f>
        <v>379</v>
      </c>
      <c r="J19" s="34">
        <f>IF((Gas!B20-Gas!B19)&lt;0,"0",(Gas!B20-Gas!B19))</f>
        <v>0</v>
      </c>
      <c r="K19" s="34">
        <f>IF((Gas!C20-Gas!C19)&lt;0,"0",(Gas!C20-Gas!C19))</f>
        <v>826</v>
      </c>
      <c r="L19" s="34">
        <f>IF((Water!B20-Water!B19)&lt;0,"0",(Water!B20-Water!B19))</f>
        <v>11</v>
      </c>
      <c r="M19" s="34">
        <f>IF((Water!C20-Water!C19)&lt;0,"0",(Water!C20-Water!C19))</f>
        <v>20</v>
      </c>
      <c r="N19" s="34">
        <f>IF((Water!D20-Water!D19)&lt;0,"0",(Water!D20-Water!D19))</f>
        <v>0</v>
      </c>
      <c r="O19" s="34">
        <f>IF((Water!E20-Water!E19)&lt;0,"0",(Water!E20-Water!E19))</f>
        <v>12</v>
      </c>
      <c r="P19" s="34">
        <f>IF((Water!F20-Water!F19)&lt;0,"0",(Water!F20-Water!F19))</f>
        <v>0</v>
      </c>
      <c r="Q19" s="34">
        <f>IF((Water!G20-Water!G19)&lt;0,"0",(Water!G20-Water!G19))</f>
        <v>0</v>
      </c>
      <c r="R19" s="34">
        <f>IF((Water!H20-Water!H19)&lt;0,"0",(Water!H20-Water!H19))</f>
        <v>0</v>
      </c>
      <c r="S19" s="34">
        <f>IF((Water!I20-Water!I19)&lt;0,"0",(Water!I20-Water!I19))</f>
        <v>0</v>
      </c>
      <c r="T19" s="34">
        <f>IF((Water!J20-Water!J19)&lt;0,"0",(Water!J20-Water!J19))</f>
        <v>0</v>
      </c>
      <c r="U19" s="34">
        <f>IF((Water!K20-Water!K19)&lt;0,"0",(Water!K20-Water!K19))</f>
        <v>0</v>
      </c>
      <c r="V19" s="34">
        <f>IF((Water!L20-Water!L19)&lt;0,"0",(Water!L20-Water!L19))</f>
        <v>0</v>
      </c>
      <c r="W19" s="34">
        <f>IF((Water!M20-Water!M19)&lt;0,"0",(Water!M20-Water!M19))</f>
        <v>0</v>
      </c>
      <c r="X19" s="34">
        <f>IF((Water!N20-Water!N19)&lt;0,"0",(Water!N20-Water!N19))</f>
        <v>33</v>
      </c>
      <c r="Y19" s="9">
        <v>222</v>
      </c>
      <c r="Z19" s="9">
        <v>222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10</v>
      </c>
      <c r="D20" s="9">
        <v>2023</v>
      </c>
      <c r="E20" s="34">
        <f>(IF((Electrical!B21-Electrical!B20)&lt;0,"0",(Electrical!B21-Electrical!B20)))*15</f>
        <v>3750</v>
      </c>
      <c r="F20" s="34">
        <f>(IF((Electrical!C21-Electrical!C20)&lt;0,"0",(Electrical!C21-Electrical!C20)))*15</f>
        <v>6645</v>
      </c>
      <c r="G20" s="34">
        <f>(IF((Electrical!D21-Electrical!D20)&lt;0,"0",(Electrical!D21-Electrical!D20)))*15</f>
        <v>3855</v>
      </c>
      <c r="H20" s="34">
        <f>IF((Electrical!E21-Electrical!E20)&lt;0,"0",(Electrical!E21-Electrical!E20))</f>
        <v>4422</v>
      </c>
      <c r="I20" s="34">
        <f>IF((Electrical!F21-Electrical!F20)&lt;0,"0",(Electrical!F21-Electrical!F20))</f>
        <v>404</v>
      </c>
      <c r="J20" s="34">
        <f>IF((Gas!B21-Gas!B20)&lt;0,"0",(Gas!B21-Gas!B20))</f>
        <v>0</v>
      </c>
      <c r="K20" s="34">
        <f>IF((Gas!C21-Gas!C20)&lt;0,"0",(Gas!C21-Gas!C20))</f>
        <v>682</v>
      </c>
      <c r="L20" s="34">
        <f>IF((Water!B21-Water!B20)&lt;0,"0",(Water!B21-Water!B20))</f>
        <v>12</v>
      </c>
      <c r="M20" s="34">
        <f>IF((Water!C21-Water!C20)&lt;0,"0",(Water!C21-Water!C20))</f>
        <v>21</v>
      </c>
      <c r="N20" s="34">
        <f>IF((Water!D21-Water!D20)&lt;0,"0",(Water!D21-Water!D20))</f>
        <v>0</v>
      </c>
      <c r="O20" s="34">
        <f>IF((Water!E21-Water!E20)&lt;0,"0",(Water!E21-Water!E20))</f>
        <v>14</v>
      </c>
      <c r="P20" s="34">
        <f>IF((Water!F21-Water!F20)&lt;0,"0",(Water!F21-Water!F20))</f>
        <v>0</v>
      </c>
      <c r="Q20" s="34">
        <f>IF((Water!G21-Water!G20)&lt;0,"0",(Water!G21-Water!G20))</f>
        <v>0</v>
      </c>
      <c r="R20" s="34">
        <f>IF((Water!H21-Water!H20)&lt;0,"0",(Water!H21-Water!H20))</f>
        <v>0</v>
      </c>
      <c r="S20" s="34">
        <f>IF((Water!I21-Water!I20)&lt;0,"0",(Water!I21-Water!I20))</f>
        <v>0</v>
      </c>
      <c r="T20" s="34">
        <f>IF((Water!J21-Water!J20)&lt;0,"0",(Water!J21-Water!J20))</f>
        <v>0</v>
      </c>
      <c r="U20" s="34">
        <f>IF((Water!K21-Water!K20)&lt;0,"0",(Water!K21-Water!K20))</f>
        <v>0</v>
      </c>
      <c r="V20" s="34">
        <f>IF((Water!L21-Water!L20)&lt;0,"0",(Water!L21-Water!L20))</f>
        <v>0</v>
      </c>
      <c r="W20" s="34">
        <f>IF((Water!M21-Water!M20)&lt;0,"0",(Water!M21-Water!M20))</f>
        <v>0</v>
      </c>
      <c r="X20" s="34">
        <f>IF((Water!N21-Water!N20)&lt;0,"0",(Water!N21-Water!N20))</f>
        <v>49</v>
      </c>
      <c r="Y20" s="9">
        <v>197</v>
      </c>
      <c r="Z20" s="9">
        <v>197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10</v>
      </c>
      <c r="D21" s="9">
        <v>2023</v>
      </c>
      <c r="E21" s="34">
        <f>(IF((Electrical!B22-Electrical!B21)&lt;0,"0",(Electrical!B22-Electrical!B21)))*15</f>
        <v>4650</v>
      </c>
      <c r="F21" s="34">
        <f>(IF((Electrical!C22-Electrical!C21)&lt;0,"0",(Electrical!C22-Electrical!C21)))*15</f>
        <v>3435</v>
      </c>
      <c r="G21" s="34">
        <f>(IF((Electrical!D22-Electrical!D21)&lt;0,"0",(Electrical!D22-Electrical!D21)))*15</f>
        <v>3750</v>
      </c>
      <c r="H21" s="34">
        <f>IF((Electrical!E22-Electrical!E21)&lt;0,"0",(Electrical!E22-Electrical!E21))</f>
        <v>4078</v>
      </c>
      <c r="I21" s="34">
        <f>IF((Electrical!F22-Electrical!F21)&lt;0,"0",(Electrical!F22-Electrical!F21))</f>
        <v>361</v>
      </c>
      <c r="J21" s="34">
        <f>IF((Gas!B22-Gas!B21)&lt;0,"0",(Gas!B22-Gas!B21))</f>
        <v>0</v>
      </c>
      <c r="K21" s="34">
        <f>IF((Gas!C22-Gas!C21)&lt;0,"0",(Gas!C22-Gas!C21))</f>
        <v>798</v>
      </c>
      <c r="L21" s="34">
        <f>IF((Water!B22-Water!B21)&lt;0,"0",(Water!B22-Water!B21))</f>
        <v>11</v>
      </c>
      <c r="M21" s="34">
        <f>IF((Water!C22-Water!C21)&lt;0,"0",(Water!C22-Water!C21))</f>
        <v>3</v>
      </c>
      <c r="N21" s="34">
        <f>IF((Water!D22-Water!D21)&lt;0,"0",(Water!D22-Water!D21))</f>
        <v>0</v>
      </c>
      <c r="O21" s="34">
        <f>IF((Water!E22-Water!E21)&lt;0,"0",(Water!E22-Water!E21))</f>
        <v>13</v>
      </c>
      <c r="P21" s="34">
        <f>IF((Water!F22-Water!F21)&lt;0,"0",(Water!F22-Water!F21))</f>
        <v>0</v>
      </c>
      <c r="Q21" s="34">
        <f>IF((Water!G22-Water!G21)&lt;0,"0",(Water!G22-Water!G21))</f>
        <v>0</v>
      </c>
      <c r="R21" s="34">
        <f>IF((Water!H22-Water!H21)&lt;0,"0",(Water!H22-Water!H21))</f>
        <v>0</v>
      </c>
      <c r="S21" s="34">
        <f>IF((Water!I22-Water!I21)&lt;0,"0",(Water!I22-Water!I21))</f>
        <v>0</v>
      </c>
      <c r="T21" s="34">
        <f>IF((Water!J22-Water!J21)&lt;0,"0",(Water!J22-Water!J21))</f>
        <v>0</v>
      </c>
      <c r="U21" s="34">
        <f>IF((Water!K22-Water!K21)&lt;0,"0",(Water!K22-Water!K21))</f>
        <v>0</v>
      </c>
      <c r="V21" s="34">
        <f>IF((Water!L22-Water!L21)&lt;0,"0",(Water!L22-Water!L21))</f>
        <v>0</v>
      </c>
      <c r="W21" s="34">
        <f>IF((Water!M22-Water!M21)&lt;0,"0",(Water!M22-Water!M21))</f>
        <v>0</v>
      </c>
      <c r="X21" s="34">
        <f>IF((Water!N22-Water!N21)&lt;0,"0",(Water!N22-Water!N21))</f>
        <v>32</v>
      </c>
      <c r="Y21" s="9">
        <v>175</v>
      </c>
      <c r="Z21" s="9">
        <v>175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10</v>
      </c>
      <c r="D22" s="9">
        <v>2023</v>
      </c>
      <c r="E22" s="34">
        <f>(IF((Electrical!B23-Electrical!B22)&lt;0,"0",(Electrical!B23-Electrical!B22)))*15</f>
        <v>4950</v>
      </c>
      <c r="F22" s="34">
        <f>(IF((Electrical!C23-Electrical!C22)&lt;0,"0",(Electrical!C23-Electrical!C22)))*15</f>
        <v>3870</v>
      </c>
      <c r="G22" s="34">
        <f>(IF((Electrical!D23-Electrical!D22)&lt;0,"0",(Electrical!D23-Electrical!D22)))*15</f>
        <v>3825</v>
      </c>
      <c r="H22" s="34">
        <f>IF((Electrical!E23-Electrical!E22)&lt;0,"0",(Electrical!E23-Electrical!E22))</f>
        <v>3918</v>
      </c>
      <c r="I22" s="34">
        <f>IF((Electrical!F23-Electrical!F22)&lt;0,"0",(Electrical!F23-Electrical!F22))</f>
        <v>395</v>
      </c>
      <c r="J22" s="34">
        <f>IF((Gas!B23-Gas!B22)&lt;0,"0",(Gas!B23-Gas!B22))</f>
        <v>0</v>
      </c>
      <c r="K22" s="34">
        <f>IF((Gas!C23-Gas!C22)&lt;0,"0",(Gas!C23-Gas!C22))</f>
        <v>672</v>
      </c>
      <c r="L22" s="34">
        <f>IF((Water!B23-Water!B22)&lt;0,"0",(Water!B23-Water!B22))</f>
        <v>12</v>
      </c>
      <c r="M22" s="34">
        <f>IF((Water!C23-Water!C22)&lt;0,"0",(Water!C23-Water!C22))</f>
        <v>49</v>
      </c>
      <c r="N22" s="34">
        <f>IF((Water!D23-Water!D22)&lt;0,"0",(Water!D23-Water!D22))</f>
        <v>0</v>
      </c>
      <c r="O22" s="34">
        <f>IF((Water!E23-Water!E22)&lt;0,"0",(Water!E23-Water!E22))</f>
        <v>12</v>
      </c>
      <c r="P22" s="34">
        <f>IF((Water!F23-Water!F22)&lt;0,"0",(Water!F23-Water!F22))</f>
        <v>0</v>
      </c>
      <c r="Q22" s="34">
        <f>IF((Water!G23-Water!G22)&lt;0,"0",(Water!G23-Water!G22))</f>
        <v>0</v>
      </c>
      <c r="R22" s="34">
        <f>IF((Water!H23-Water!H22)&lt;0,"0",(Water!H23-Water!H22))</f>
        <v>0</v>
      </c>
      <c r="S22" s="34">
        <f>IF((Water!I23-Water!I22)&lt;0,"0",(Water!I23-Water!I22))</f>
        <v>0</v>
      </c>
      <c r="T22" s="34">
        <f>IF((Water!J23-Water!J22)&lt;0,"0",(Water!J23-Water!J22))</f>
        <v>1</v>
      </c>
      <c r="U22" s="34">
        <f>IF((Water!K23-Water!K22)&lt;0,"0",(Water!K23-Water!K22))</f>
        <v>0</v>
      </c>
      <c r="V22" s="34">
        <f>IF((Water!L23-Water!L22)&lt;0,"0",(Water!L23-Water!L22))</f>
        <v>0</v>
      </c>
      <c r="W22" s="34">
        <f>IF((Water!M23-Water!M22)&lt;0,"0",(Water!M23-Water!M22))</f>
        <v>0</v>
      </c>
      <c r="X22" s="34">
        <f>IF((Water!N23-Water!N22)&lt;0,"0",(Water!N23-Water!N22))</f>
        <v>48</v>
      </c>
      <c r="Y22" s="9">
        <v>171</v>
      </c>
      <c r="Z22" s="9">
        <v>171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10</v>
      </c>
      <c r="D23" s="9">
        <v>2023</v>
      </c>
      <c r="E23" s="34">
        <f>(IF((Electrical!B24-Electrical!B23)&lt;0,"0",(Electrical!B24-Electrical!B23)))*15</f>
        <v>4680</v>
      </c>
      <c r="F23" s="34">
        <f>(IF((Electrical!C24-Electrical!C23)&lt;0,"0",(Electrical!C24-Electrical!C23)))*15</f>
        <v>3600</v>
      </c>
      <c r="G23" s="34">
        <f>(IF((Electrical!D24-Electrical!D23)&lt;0,"0",(Electrical!D24-Electrical!D23)))*15</f>
        <v>3825</v>
      </c>
      <c r="H23" s="34">
        <f>IF((Electrical!E24-Electrical!E23)&lt;0,"0",(Electrical!E24-Electrical!E23))</f>
        <v>3655</v>
      </c>
      <c r="I23" s="34">
        <f>IF((Electrical!F24-Electrical!F23)&lt;0,"0",(Electrical!F24-Electrical!F23))</f>
        <v>369</v>
      </c>
      <c r="J23" s="34">
        <f>IF((Gas!B24-Gas!B23)&lt;0,"0",(Gas!B24-Gas!B23))</f>
        <v>0</v>
      </c>
      <c r="K23" s="34">
        <f>IF((Gas!C24-Gas!C23)&lt;0,"0",(Gas!C24-Gas!C23))</f>
        <v>810</v>
      </c>
      <c r="L23" s="34">
        <f>IF((Water!B24-Water!B23)&lt;0,"0",(Water!B24-Water!B23))</f>
        <v>9</v>
      </c>
      <c r="M23" s="34">
        <f>IF((Water!C24-Water!C23)&lt;0,"0",(Water!C24-Water!C23))</f>
        <v>23</v>
      </c>
      <c r="N23" s="34">
        <f>IF((Water!D24-Water!D23)&lt;0,"0",(Water!D24-Water!D23))</f>
        <v>0</v>
      </c>
      <c r="O23" s="34">
        <f>IF((Water!E24-Water!E23)&lt;0,"0",(Water!E24-Water!E23))</f>
        <v>10</v>
      </c>
      <c r="P23" s="34">
        <f>IF((Water!F24-Water!F23)&lt;0,"0",(Water!F24-Water!F23))</f>
        <v>0</v>
      </c>
      <c r="Q23" s="34">
        <f>IF((Water!G24-Water!G23)&lt;0,"0",(Water!G24-Water!G23))</f>
        <v>0</v>
      </c>
      <c r="R23" s="34">
        <f>IF((Water!H24-Water!H23)&lt;0,"0",(Water!H24-Water!H23))</f>
        <v>0</v>
      </c>
      <c r="S23" s="34">
        <f>IF((Water!I24-Water!I23)&lt;0,"0",(Water!I24-Water!I23))</f>
        <v>0</v>
      </c>
      <c r="T23" s="34">
        <f>IF((Water!J24-Water!J23)&lt;0,"0",(Water!J24-Water!J23))</f>
        <v>0</v>
      </c>
      <c r="U23" s="34">
        <f>IF((Water!K24-Water!K23)&lt;0,"0",(Water!K24-Water!K23))</f>
        <v>0</v>
      </c>
      <c r="V23" s="34">
        <f>IF((Water!L24-Water!L23)&lt;0,"0",(Water!L24-Water!L23))</f>
        <v>0</v>
      </c>
      <c r="W23" s="34">
        <f>IF((Water!M24-Water!M23)&lt;0,"0",(Water!M24-Water!M23))</f>
        <v>0</v>
      </c>
      <c r="X23" s="34">
        <f>IF((Water!N24-Water!N23)&lt;0,"0",(Water!N24-Water!N23))</f>
        <v>33</v>
      </c>
      <c r="Y23" s="9">
        <v>133</v>
      </c>
      <c r="Z23" s="9">
        <v>133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10</v>
      </c>
      <c r="D24" s="9">
        <v>2023</v>
      </c>
      <c r="E24" s="34">
        <f>(IF((Electrical!B25-Electrical!B24)&lt;0,"0",(Electrical!B25-Electrical!B24)))*15</f>
        <v>4215</v>
      </c>
      <c r="F24" s="34">
        <f>(IF((Electrical!C25-Electrical!C24)&lt;0,"0",(Electrical!C25-Electrical!C24)))*15</f>
        <v>3555</v>
      </c>
      <c r="G24" s="34">
        <f>(IF((Electrical!D25-Electrical!D24)&lt;0,"0",(Electrical!D25-Electrical!D24)))*15</f>
        <v>3675</v>
      </c>
      <c r="H24" s="34">
        <f>IF((Electrical!E25-Electrical!E24)&lt;0,"0",(Electrical!E25-Electrical!E24))</f>
        <v>3368</v>
      </c>
      <c r="I24" s="34">
        <f>IF((Electrical!F25-Electrical!F24)&lt;0,"0",(Electrical!F25-Electrical!F24))</f>
        <v>376</v>
      </c>
      <c r="J24" s="34">
        <f>IF((Gas!B25-Gas!B24)&lt;0,"0",(Gas!B25-Gas!B24))</f>
        <v>0</v>
      </c>
      <c r="K24" s="34">
        <f>IF((Gas!C25-Gas!C24)&lt;0,"0",(Gas!C25-Gas!C24))</f>
        <v>673</v>
      </c>
      <c r="L24" s="34">
        <f>IF((Water!B25-Water!B24)&lt;0,"0",(Water!B25-Water!B24))</f>
        <v>10</v>
      </c>
      <c r="M24" s="34">
        <f>IF((Water!C25-Water!C24)&lt;0,"0",(Water!C25-Water!C24))</f>
        <v>23</v>
      </c>
      <c r="N24" s="34">
        <f>IF((Water!D25-Water!D24)&lt;0,"0",(Water!D25-Water!D24))</f>
        <v>0</v>
      </c>
      <c r="O24" s="34">
        <f>IF((Water!E25-Water!E24)&lt;0,"0",(Water!E25-Water!E24))</f>
        <v>9</v>
      </c>
      <c r="P24" s="34">
        <f>IF((Water!F25-Water!F24)&lt;0,"0",(Water!F25-Water!F24))</f>
        <v>0</v>
      </c>
      <c r="Q24" s="34">
        <f>IF((Water!G25-Water!G24)&lt;0,"0",(Water!G25-Water!G24))</f>
        <v>0</v>
      </c>
      <c r="R24" s="34">
        <f>IF((Water!H25-Water!H24)&lt;0,"0",(Water!H25-Water!H24))</f>
        <v>0</v>
      </c>
      <c r="S24" s="34">
        <f>IF((Water!I25-Water!I24)&lt;0,"0",(Water!I25-Water!I24))</f>
        <v>0</v>
      </c>
      <c r="T24" s="34">
        <f>IF((Water!J25-Water!J24)&lt;0,"0",(Water!J25-Water!J24))</f>
        <v>9</v>
      </c>
      <c r="U24" s="34">
        <f>IF((Water!K25-Water!K24)&lt;0,"0",(Water!K25-Water!K24))</f>
        <v>0</v>
      </c>
      <c r="V24" s="34">
        <f>IF((Water!L25-Water!L24)&lt;0,"0",(Water!L25-Water!L24))</f>
        <v>0</v>
      </c>
      <c r="W24" s="34">
        <f>IF((Water!M25-Water!M24)&lt;0,"0",(Water!M25-Water!M24))</f>
        <v>0</v>
      </c>
      <c r="X24" s="34">
        <f>IF((Water!N25-Water!N24)&lt;0,"0",(Water!N25-Water!N24))</f>
        <v>32</v>
      </c>
      <c r="Y24" s="9">
        <v>149</v>
      </c>
      <c r="Z24" s="9">
        <v>149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10</v>
      </c>
      <c r="D25" s="9">
        <v>2023</v>
      </c>
      <c r="E25" s="34">
        <f>(IF((Electrical!B26-Electrical!B25)&lt;0,"0",(Electrical!B26-Electrical!B25)))*15</f>
        <v>4290</v>
      </c>
      <c r="F25" s="34">
        <f>(IF((Electrical!C26-Electrical!C25)&lt;0,"0",(Electrical!C26-Electrical!C25)))*15</f>
        <v>3855</v>
      </c>
      <c r="G25" s="34">
        <f>(IF((Electrical!D26-Electrical!D25)&lt;0,"0",(Electrical!D26-Electrical!D25)))*15</f>
        <v>3795</v>
      </c>
      <c r="H25" s="34">
        <f>IF((Electrical!E26-Electrical!E25)&lt;0,"0",(Electrical!E26-Electrical!E25))</f>
        <v>3562</v>
      </c>
      <c r="I25" s="34">
        <f>IF((Electrical!F26-Electrical!F25)&lt;0,"0",(Electrical!F26-Electrical!F25))</f>
        <v>376</v>
      </c>
      <c r="J25" s="34">
        <f>IF((Gas!B26-Gas!B25)&lt;0,"0",(Gas!B26-Gas!B25))</f>
        <v>0</v>
      </c>
      <c r="K25" s="34">
        <f>IF((Gas!C26-Gas!C25)&lt;0,"0",(Gas!C26-Gas!C25))</f>
        <v>751</v>
      </c>
      <c r="L25" s="34">
        <f>IF((Water!B26-Water!B25)&lt;0,"0",(Water!B26-Water!B25))</f>
        <v>9</v>
      </c>
      <c r="M25" s="34">
        <f>IF((Water!C26-Water!C25)&lt;0,"0",(Water!C26-Water!C25))</f>
        <v>20</v>
      </c>
      <c r="N25" s="34">
        <f>IF((Water!D26-Water!D25)&lt;0,"0",(Water!D26-Water!D25))</f>
        <v>0</v>
      </c>
      <c r="O25" s="34">
        <f>IF((Water!E26-Water!E25)&lt;0,"0",(Water!E26-Water!E25))</f>
        <v>9</v>
      </c>
      <c r="P25" s="34">
        <f>IF((Water!F26-Water!F25)&lt;0,"0",(Water!F26-Water!F25))</f>
        <v>0</v>
      </c>
      <c r="Q25" s="34">
        <f>IF((Water!G26-Water!G25)&lt;0,"0",(Water!G26-Water!G25))</f>
        <v>0</v>
      </c>
      <c r="R25" s="34">
        <f>IF((Water!H26-Water!H25)&lt;0,"0",(Water!H26-Water!H25))</f>
        <v>0</v>
      </c>
      <c r="S25" s="34">
        <f>IF((Water!I26-Water!I25)&lt;0,"0",(Water!I26-Water!I25))</f>
        <v>0</v>
      </c>
      <c r="T25" s="34">
        <f>IF((Water!J26-Water!J25)&lt;0,"0",(Water!J26-Water!J25))</f>
        <v>1</v>
      </c>
      <c r="U25" s="34">
        <f>IF((Water!K26-Water!K25)&lt;0,"0",(Water!K26-Water!K25))</f>
        <v>0</v>
      </c>
      <c r="V25" s="34">
        <f>IF((Water!L26-Water!L25)&lt;0,"0",(Water!L26-Water!L25))</f>
        <v>0</v>
      </c>
      <c r="W25" s="34">
        <f>IF((Water!M26-Water!M25)&lt;0,"0",(Water!M26-Water!M25))</f>
        <v>0</v>
      </c>
      <c r="X25" s="34">
        <f>IF((Water!N26-Water!N25)&lt;0,"0",(Water!N26-Water!N25))</f>
        <v>32</v>
      </c>
      <c r="Y25" s="9">
        <v>164</v>
      </c>
      <c r="Z25" s="9">
        <v>164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10</v>
      </c>
      <c r="D26" s="9">
        <v>2023</v>
      </c>
      <c r="E26" s="34">
        <f>(IF((Electrical!B27-Electrical!B26)&lt;0,"0",(Electrical!B27-Electrical!B26)))*15</f>
        <v>4770</v>
      </c>
      <c r="F26" s="34">
        <f>(IF((Electrical!C27-Electrical!C26)&lt;0,"0",(Electrical!C27-Electrical!C26)))*15</f>
        <v>3705</v>
      </c>
      <c r="G26" s="34">
        <f>(IF((Electrical!D27-Electrical!D26)&lt;0,"0",(Electrical!D27-Electrical!D26)))*15</f>
        <v>3855</v>
      </c>
      <c r="H26" s="34">
        <f>IF((Electrical!E27-Electrical!E26)&lt;0,"0",(Electrical!E27-Electrical!E26))</f>
        <v>3644</v>
      </c>
      <c r="I26" s="34">
        <f>IF((Electrical!F27-Electrical!F26)&lt;0,"0",(Electrical!F27-Electrical!F26))</f>
        <v>381</v>
      </c>
      <c r="J26" s="34">
        <f>IF((Gas!B27-Gas!B26)&lt;0,"0",(Gas!B27-Gas!B26))</f>
        <v>0</v>
      </c>
      <c r="K26" s="34">
        <f>IF((Gas!C27-Gas!C26)&lt;0,"0",(Gas!C27-Gas!C26))</f>
        <v>749</v>
      </c>
      <c r="L26" s="34">
        <f>IF((Water!B27-Water!B26)&lt;0,"0",(Water!B27-Water!B26))</f>
        <v>10</v>
      </c>
      <c r="M26" s="34">
        <f>IF((Water!C27-Water!C26)&lt;0,"0",(Water!C27-Water!C26))</f>
        <v>21</v>
      </c>
      <c r="N26" s="34">
        <f>IF((Water!D27-Water!D26)&lt;0,"0",(Water!D27-Water!D26))</f>
        <v>0</v>
      </c>
      <c r="O26" s="34">
        <f>IF((Water!E27-Water!E26)&lt;0,"0",(Water!E27-Water!E26))</f>
        <v>11</v>
      </c>
      <c r="P26" s="34">
        <f>IF((Water!F27-Water!F26)&lt;0,"0",(Water!F27-Water!F26))</f>
        <v>0</v>
      </c>
      <c r="Q26" s="34">
        <f>IF((Water!G27-Water!G26)&lt;0,"0",(Water!G27-Water!G26))</f>
        <v>0</v>
      </c>
      <c r="R26" s="34">
        <f>IF((Water!H27-Water!H26)&lt;0,"0",(Water!H27-Water!H26))</f>
        <v>0</v>
      </c>
      <c r="S26" s="34">
        <f>IF((Water!I27-Water!I26)&lt;0,"0",(Water!I27-Water!I26))</f>
        <v>0</v>
      </c>
      <c r="T26" s="34">
        <f>IF((Water!J27-Water!J26)&lt;0,"0",(Water!J27-Water!J26))</f>
        <v>0</v>
      </c>
      <c r="U26" s="34">
        <f>IF((Water!K27-Water!K26)&lt;0,"0",(Water!K27-Water!K26))</f>
        <v>0</v>
      </c>
      <c r="V26" s="34">
        <f>IF((Water!L27-Water!L26)&lt;0,"0",(Water!L27-Water!L26))</f>
        <v>0</v>
      </c>
      <c r="W26" s="34">
        <f>IF((Water!M27-Water!M26)&lt;0,"0",(Water!M27-Water!M26))</f>
        <v>0</v>
      </c>
      <c r="X26" s="34">
        <f>IF((Water!N27-Water!N26)&lt;0,"0",(Water!N27-Water!N26))</f>
        <v>41</v>
      </c>
      <c r="Y26" s="9">
        <v>200</v>
      </c>
      <c r="Z26" s="9">
        <v>200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10</v>
      </c>
      <c r="D27" s="9">
        <v>2023</v>
      </c>
      <c r="E27" s="34">
        <f>(IF((Electrical!B28-Electrical!B27)&lt;0,"0",(Electrical!B28-Electrical!B27)))*15</f>
        <v>4830</v>
      </c>
      <c r="F27" s="34">
        <f>(IF((Electrical!C28-Electrical!C27)&lt;0,"0",(Electrical!C28-Electrical!C27)))*15</f>
        <v>3765</v>
      </c>
      <c r="G27" s="34">
        <f>(IF((Electrical!D28-Electrical!D27)&lt;0,"0",(Electrical!D28-Electrical!D27)))*15</f>
        <v>3705</v>
      </c>
      <c r="H27" s="34">
        <f>IF((Electrical!E28-Electrical!E27)&lt;0,"0",(Electrical!E28-Electrical!E27))</f>
        <v>4065</v>
      </c>
      <c r="I27" s="34">
        <f>IF((Electrical!F28-Electrical!F27)&lt;0,"0",(Electrical!F28-Electrical!F27))</f>
        <v>399</v>
      </c>
      <c r="J27" s="34">
        <f>IF((Gas!B28-Gas!B27)&lt;0,"0",(Gas!B28-Gas!B27))</f>
        <v>0</v>
      </c>
      <c r="K27" s="34">
        <f>IF((Gas!C28-Gas!C27)&lt;0,"0",(Gas!C28-Gas!C27))</f>
        <v>782</v>
      </c>
      <c r="L27" s="34">
        <f>IF((Water!B28-Water!B27)&lt;0,"0",(Water!B28-Water!B27))</f>
        <v>11</v>
      </c>
      <c r="M27" s="34">
        <f>IF((Water!C28-Water!C27)&lt;0,"0",(Water!C28-Water!C27))</f>
        <v>25</v>
      </c>
      <c r="N27" s="34">
        <f>IF((Water!D28-Water!D27)&lt;0,"0",(Water!D28-Water!D27))</f>
        <v>0</v>
      </c>
      <c r="O27" s="34">
        <f>IF((Water!E28-Water!E27)&lt;0,"0",(Water!E28-Water!E27))</f>
        <v>14</v>
      </c>
      <c r="P27" s="34">
        <f>IF((Water!F28-Water!F27)&lt;0,"0",(Water!F28-Water!F27))</f>
        <v>0</v>
      </c>
      <c r="Q27" s="34">
        <f>IF((Water!G28-Water!G27)&lt;0,"0",(Water!G28-Water!G27))</f>
        <v>0</v>
      </c>
      <c r="R27" s="34">
        <f>IF((Water!H28-Water!H27)&lt;0,"0",(Water!H28-Water!H27))</f>
        <v>0</v>
      </c>
      <c r="S27" s="34">
        <f>IF((Water!I28-Water!I27)&lt;0,"0",(Water!I28-Water!I27))</f>
        <v>0</v>
      </c>
      <c r="T27" s="34">
        <f>IF((Water!J28-Water!J27)&lt;0,"0",(Water!J28-Water!J27))</f>
        <v>5</v>
      </c>
      <c r="U27" s="34">
        <f>IF((Water!K28-Water!K27)&lt;0,"0",(Water!K28-Water!K27))</f>
        <v>0</v>
      </c>
      <c r="V27" s="34">
        <f>IF((Water!L28-Water!L27)&lt;0,"0",(Water!L28-Water!L27))</f>
        <v>0</v>
      </c>
      <c r="W27" s="34">
        <f>IF((Water!M28-Water!M27)&lt;0,"0",(Water!M28-Water!M27))</f>
        <v>0</v>
      </c>
      <c r="X27" s="34">
        <f>IF((Water!N28-Water!N27)&lt;0,"0",(Water!N28-Water!N27))</f>
        <v>39</v>
      </c>
      <c r="Y27" s="9">
        <v>189</v>
      </c>
      <c r="Z27" s="9">
        <v>189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10</v>
      </c>
      <c r="D28" s="9">
        <v>2023</v>
      </c>
      <c r="E28" s="34">
        <f>(IF((Electrical!B29-Electrical!B28)&lt;0,"0",(Electrical!B29-Electrical!B28)))*15</f>
        <v>5235</v>
      </c>
      <c r="F28" s="34">
        <f>(IF((Electrical!C29-Electrical!C28)&lt;0,"0",(Electrical!C29-Electrical!C28)))*15</f>
        <v>3885</v>
      </c>
      <c r="G28" s="34">
        <f>(IF((Electrical!D29-Electrical!D28)&lt;0,"0",(Electrical!D29-Electrical!D28)))*15</f>
        <v>4800</v>
      </c>
      <c r="H28" s="34">
        <f>IF((Electrical!E29-Electrical!E28)&lt;0,"0",(Electrical!E29-Electrical!E28))</f>
        <v>3827</v>
      </c>
      <c r="I28" s="34">
        <f>IF((Electrical!F29-Electrical!F28)&lt;0,"0",(Electrical!F29-Electrical!F28))</f>
        <v>387</v>
      </c>
      <c r="J28" s="34">
        <f>IF((Gas!B29-Gas!B28)&lt;0,"0",(Gas!B29-Gas!B28))</f>
        <v>0</v>
      </c>
      <c r="K28" s="34">
        <f>IF((Gas!C29-Gas!C28)&lt;0,"0",(Gas!C29-Gas!C28))</f>
        <v>818</v>
      </c>
      <c r="L28" s="34">
        <f>IF((Water!B29-Water!B28)&lt;0,"0",(Water!B29-Water!B28))</f>
        <v>12</v>
      </c>
      <c r="M28" s="34">
        <f>IF((Water!C29-Water!C28)&lt;0,"0",(Water!C29-Water!C28))</f>
        <v>28</v>
      </c>
      <c r="N28" s="34">
        <f>IF((Water!D29-Water!D28)&lt;0,"0",(Water!D29-Water!D28))</f>
        <v>0</v>
      </c>
      <c r="O28" s="34">
        <f>IF((Water!E29-Water!E28)&lt;0,"0",(Water!E29-Water!E28))</f>
        <v>13</v>
      </c>
      <c r="P28" s="34">
        <f>IF((Water!F29-Water!F28)&lt;0,"0",(Water!F29-Water!F28))</f>
        <v>0</v>
      </c>
      <c r="Q28" s="34">
        <f>IF((Water!G29-Water!G28)&lt;0,"0",(Water!G29-Water!G28))</f>
        <v>0</v>
      </c>
      <c r="R28" s="34">
        <f>IF((Water!H29-Water!H28)&lt;0,"0",(Water!H29-Water!H28))</f>
        <v>0</v>
      </c>
      <c r="S28" s="34">
        <f>IF((Water!I29-Water!I28)&lt;0,"0",(Water!I29-Water!I28))</f>
        <v>0</v>
      </c>
      <c r="T28" s="34">
        <f>IF((Water!J29-Water!J28)&lt;0,"0",(Water!J29-Water!J28))</f>
        <v>2</v>
      </c>
      <c r="U28" s="34">
        <f>IF((Water!K29-Water!K28)&lt;0,"0",(Water!K29-Water!K28))</f>
        <v>0</v>
      </c>
      <c r="V28" s="34">
        <f>IF((Water!L29-Water!L28)&lt;0,"0",(Water!L29-Water!L28))</f>
        <v>0</v>
      </c>
      <c r="W28" s="34">
        <f>IF((Water!M29-Water!M28)&lt;0,"0",(Water!M29-Water!M28))</f>
        <v>0</v>
      </c>
      <c r="X28" s="34">
        <f>IF((Water!N29-Water!N28)&lt;0,"0",(Water!N29-Water!N28))</f>
        <v>49</v>
      </c>
      <c r="Y28" s="9">
        <v>168</v>
      </c>
      <c r="Z28" s="9">
        <v>168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10</v>
      </c>
      <c r="D29" s="9">
        <v>2023</v>
      </c>
      <c r="E29" s="34">
        <f>(IF((Electrical!B30-Electrical!B29)&lt;0,"0",(Electrical!B30-Electrical!B29)))*15</f>
        <v>5070</v>
      </c>
      <c r="F29" s="34">
        <f>(IF((Electrical!C30-Electrical!C29)&lt;0,"0",(Electrical!C30-Electrical!C29)))*15</f>
        <v>3600</v>
      </c>
      <c r="G29" s="34">
        <f>(IF((Electrical!D30-Electrical!D29)&lt;0,"0",(Electrical!D30-Electrical!D29)))*15</f>
        <v>2970</v>
      </c>
      <c r="H29" s="34">
        <f>IF((Electrical!E30-Electrical!E29)&lt;0,"0",(Electrical!E30-Electrical!E29))</f>
        <v>3779</v>
      </c>
      <c r="I29" s="34">
        <f>IF((Electrical!F30-Electrical!F29)&lt;0,"0",(Electrical!F30-Electrical!F29))</f>
        <v>379</v>
      </c>
      <c r="J29" s="34">
        <f>IF((Gas!B30-Gas!B29)&lt;0,"0",(Gas!B30-Gas!B29))</f>
        <v>0</v>
      </c>
      <c r="K29" s="34">
        <f>IF((Gas!C30-Gas!C29)&lt;0,"0",(Gas!C30-Gas!C29))</f>
        <v>810</v>
      </c>
      <c r="L29" s="34">
        <f>IF((Water!B30-Water!B29)&lt;0,"0",(Water!B30-Water!B29))</f>
        <v>10</v>
      </c>
      <c r="M29" s="34">
        <f>IF((Water!C30-Water!C29)&lt;0,"0",(Water!C30-Water!C29))</f>
        <v>19</v>
      </c>
      <c r="N29" s="34">
        <f>IF((Water!D30-Water!D29)&lt;0,"0",(Water!D30-Water!D29))</f>
        <v>0</v>
      </c>
      <c r="O29" s="34">
        <f>IF((Water!E30-Water!E29)&lt;0,"0",(Water!E30-Water!E29))</f>
        <v>11</v>
      </c>
      <c r="P29" s="34">
        <f>IF((Water!F30-Water!F29)&lt;0,"0",(Water!F30-Water!F29))</f>
        <v>0</v>
      </c>
      <c r="Q29" s="34">
        <f>IF((Water!G30-Water!G29)&lt;0,"0",(Water!G30-Water!G29))</f>
        <v>0</v>
      </c>
      <c r="R29" s="34">
        <f>IF((Water!H30-Water!H29)&lt;0,"0",(Water!H30-Water!H29))</f>
        <v>0</v>
      </c>
      <c r="S29" s="34">
        <f>IF((Water!I30-Water!I29)&lt;0,"0",(Water!I30-Water!I29))</f>
        <v>0</v>
      </c>
      <c r="T29" s="34">
        <f>IF((Water!J30-Water!J29)&lt;0,"0",(Water!J30-Water!J29))</f>
        <v>0</v>
      </c>
      <c r="U29" s="34">
        <f>IF((Water!K30-Water!K29)&lt;0,"0",(Water!K30-Water!K29))</f>
        <v>0</v>
      </c>
      <c r="V29" s="34">
        <f>IF((Water!L30-Water!L29)&lt;0,"0",(Water!L30-Water!L29))</f>
        <v>0</v>
      </c>
      <c r="W29" s="34">
        <f>IF((Water!M30-Water!M29)&lt;0,"0",(Water!M30-Water!M29))</f>
        <v>0</v>
      </c>
      <c r="X29" s="34">
        <f>IF((Water!N30-Water!N29)&lt;0,"0",(Water!N30-Water!N29))</f>
        <v>32</v>
      </c>
      <c r="Y29" s="9">
        <v>128</v>
      </c>
      <c r="Z29" s="9">
        <v>128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10</v>
      </c>
      <c r="D30" s="9">
        <v>2023</v>
      </c>
      <c r="E30" s="34">
        <f>(IF((Electrical!B31-Electrical!B30)&lt;0,"0",(Electrical!B31-Electrical!B30)))*15</f>
        <v>5025</v>
      </c>
      <c r="F30" s="34">
        <f>(IF((Electrical!C31-Electrical!C30)&lt;0,"0",(Electrical!C31-Electrical!C30)))*15</f>
        <v>3570</v>
      </c>
      <c r="G30" s="34">
        <f>(IF((Electrical!D31-Electrical!D30)&lt;0,"0",(Electrical!D31-Electrical!D30)))*15</f>
        <v>3690</v>
      </c>
      <c r="H30" s="34">
        <f>IF((Electrical!E31-Electrical!E30)&lt;0,"0",(Electrical!E31-Electrical!E30))</f>
        <v>3843</v>
      </c>
      <c r="I30" s="34">
        <f>IF((Electrical!F31-Electrical!F30)&lt;0,"0",(Electrical!F31-Electrical!F30))</f>
        <v>373</v>
      </c>
      <c r="J30" s="34">
        <f>IF((Gas!B31-Gas!B30)&lt;0,"0",(Gas!B31-Gas!B30))</f>
        <v>0</v>
      </c>
      <c r="K30" s="34">
        <f>IF((Gas!C31-Gas!C30)&lt;0,"0",(Gas!C31-Gas!C30))</f>
        <v>640</v>
      </c>
      <c r="L30" s="34">
        <f>IF((Water!B31-Water!B30)&lt;0,"0",(Water!B31-Water!B30))</f>
        <v>11</v>
      </c>
      <c r="M30" s="34">
        <f>IF((Water!C31-Water!C30)&lt;0,"0",(Water!C31-Water!C30))</f>
        <v>24</v>
      </c>
      <c r="N30" s="34">
        <f>IF((Water!D31-Water!D30)&lt;0,"0",(Water!D31-Water!D30))</f>
        <v>0</v>
      </c>
      <c r="O30" s="34">
        <f>IF((Water!E31-Water!E30)&lt;0,"0",(Water!E31-Water!E30))</f>
        <v>11</v>
      </c>
      <c r="P30" s="34">
        <f>IF((Water!F31-Water!F30)&lt;0,"0",(Water!F31-Water!F30))</f>
        <v>0</v>
      </c>
      <c r="Q30" s="34">
        <f>IF((Water!G31-Water!G30)&lt;0,"0",(Water!G31-Water!G30))</f>
        <v>0</v>
      </c>
      <c r="R30" s="34">
        <f>IF((Water!H31-Water!H30)&lt;0,"0",(Water!H31-Water!H30))</f>
        <v>0</v>
      </c>
      <c r="S30" s="34">
        <f>IF((Water!I31-Water!I30)&lt;0,"0",(Water!I31-Water!I30))</f>
        <v>0</v>
      </c>
      <c r="T30" s="34">
        <f>IF((Water!J31-Water!J30)&lt;0,"0",(Water!J31-Water!J30))</f>
        <v>1</v>
      </c>
      <c r="U30" s="34">
        <f>IF((Water!K31-Water!K30)&lt;0,"0",(Water!K31-Water!K30))</f>
        <v>0</v>
      </c>
      <c r="V30" s="34">
        <f>IF((Water!L31-Water!L30)&lt;0,"0",(Water!L31-Water!L30))</f>
        <v>0</v>
      </c>
      <c r="W30" s="34">
        <f>IF((Water!M31-Water!M30)&lt;0,"0",(Water!M31-Water!M30))</f>
        <v>0</v>
      </c>
      <c r="X30" s="34">
        <f>IF((Water!N31-Water!N30)&lt;0,"0",(Water!N31-Water!N30))</f>
        <v>33</v>
      </c>
      <c r="Y30" s="9">
        <v>152</v>
      </c>
      <c r="Z30" s="9">
        <v>152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10</v>
      </c>
      <c r="D31" s="9">
        <v>2023</v>
      </c>
      <c r="E31" s="34">
        <f>(IF((Electrical!B32-Electrical!B31)&lt;0,"0",(Electrical!B32-Electrical!B31)))*15</f>
        <v>4230</v>
      </c>
      <c r="F31" s="34">
        <f>(IF((Electrical!C32-Electrical!C31)&lt;0,"0",(Electrical!C32-Electrical!C31)))*15</f>
        <v>3735</v>
      </c>
      <c r="G31" s="34">
        <f>(IF((Electrical!D32-Electrical!D31)&lt;0,"0",(Electrical!D32-Electrical!D31)))*15</f>
        <v>3765</v>
      </c>
      <c r="H31" s="34">
        <f>IF((Electrical!E32-Electrical!E31)&lt;0,"0",(Electrical!E32-Electrical!E31))</f>
        <v>3465</v>
      </c>
      <c r="I31" s="34">
        <f>IF((Electrical!F32-Electrical!F31)&lt;0,"0",(Electrical!F32-Electrical!F31))</f>
        <v>382</v>
      </c>
      <c r="J31" s="34">
        <f>IF((Gas!B32-Gas!B31)&lt;0,"0",(Gas!B32-Gas!B31))</f>
        <v>0</v>
      </c>
      <c r="K31" s="34">
        <f>IF((Gas!C32-Gas!C31)&lt;0,"0",(Gas!C32-Gas!C31))</f>
        <v>761</v>
      </c>
      <c r="L31" s="34">
        <f>IF((Water!B32-Water!B31)&lt;0,"0",(Water!B32-Water!B31))</f>
        <v>9</v>
      </c>
      <c r="M31" s="34">
        <f>IF((Water!C32-Water!C31)&lt;0,"0",(Water!C32-Water!C31))</f>
        <v>27</v>
      </c>
      <c r="N31" s="34">
        <f>IF((Water!D32-Water!D31)&lt;0,"0",(Water!D32-Water!D31))</f>
        <v>0</v>
      </c>
      <c r="O31" s="34">
        <f>IF((Water!E32-Water!E31)&lt;0,"0",(Water!E32-Water!E31))</f>
        <v>13</v>
      </c>
      <c r="P31" s="34">
        <f>IF((Water!F32-Water!F31)&lt;0,"0",(Water!F32-Water!F31))</f>
        <v>0</v>
      </c>
      <c r="Q31" s="34">
        <f>IF((Water!G32-Water!G31)&lt;0,"0",(Water!G32-Water!G31))</f>
        <v>0</v>
      </c>
      <c r="R31" s="34">
        <f>IF((Water!H32-Water!H31)&lt;0,"0",(Water!H32-Water!H31))</f>
        <v>0</v>
      </c>
      <c r="S31" s="34">
        <f>IF((Water!I32-Water!I31)&lt;0,"0",(Water!I32-Water!I31))</f>
        <v>0</v>
      </c>
      <c r="T31" s="34">
        <f>IF((Water!J32-Water!J31)&lt;0,"0",(Water!J32-Water!J31))</f>
        <v>7</v>
      </c>
      <c r="U31" s="34">
        <f>IF((Water!K32-Water!K31)&lt;0,"0",(Water!K32-Water!K31))</f>
        <v>0</v>
      </c>
      <c r="V31" s="34">
        <f>IF((Water!L32-Water!L31)&lt;0,"0",(Water!L32-Water!L31))</f>
        <v>0</v>
      </c>
      <c r="W31" s="34">
        <f>IF((Water!M32-Water!M31)&lt;0,"0",(Water!M32-Water!M31))</f>
        <v>0</v>
      </c>
      <c r="X31" s="34">
        <f>IF((Water!N32-Water!N31)&lt;0,"0",(Water!N32-Water!N31))</f>
        <v>48</v>
      </c>
      <c r="Y31" s="9">
        <v>190</v>
      </c>
      <c r="Z31" s="9">
        <v>190</v>
      </c>
    </row>
    <row r="32" spans="1:26" s="9" customFormat="1" x14ac:dyDescent="0.55000000000000004">
      <c r="A32" s="9" t="s">
        <v>36</v>
      </c>
      <c r="B32" s="12">
        <f t="shared" si="0"/>
        <v>31</v>
      </c>
      <c r="C32" s="10">
        <v>10</v>
      </c>
      <c r="D32" s="9">
        <v>2023</v>
      </c>
      <c r="E32" s="34">
        <f>(IF((Electrical!B33-Electrical!B32)&lt;0,"0",(Electrical!B33-Electrical!B32)))*15</f>
        <v>4260</v>
      </c>
      <c r="F32" s="34">
        <f>(IF((Electrical!C33-Electrical!C32)&lt;0,"0",(Electrical!C33-Electrical!C32)))*15</f>
        <v>3945</v>
      </c>
      <c r="G32" s="34">
        <f>(IF((Electrical!D33-Electrical!D32)&lt;0,"0",(Electrical!D33-Electrical!D32)))*15</f>
        <v>3600</v>
      </c>
      <c r="H32" s="34">
        <f>IF((Electrical!E33-Electrical!E32)&lt;0,"0",(Electrical!E33-Electrical!E32))</f>
        <v>3791</v>
      </c>
      <c r="I32" s="34">
        <f>IF((Electrical!F33-Electrical!F32)&lt;0,"0",(Electrical!F33-Electrical!F32))</f>
        <v>373</v>
      </c>
      <c r="J32" s="34">
        <f>IF((Gas!B33-Gas!B32)&lt;0,"0",(Gas!B33-Gas!B32))</f>
        <v>0</v>
      </c>
      <c r="K32" s="34">
        <f>IF((Gas!C33-Gas!C32)&lt;0,"0",(Gas!C33-Gas!C32))</f>
        <v>809</v>
      </c>
      <c r="L32" s="34">
        <f>IF((Water!B33-Water!B32)&lt;0,"0",(Water!B33-Water!B32))</f>
        <v>9</v>
      </c>
      <c r="M32" s="34">
        <f>IF((Water!C33-Water!C32)&lt;0,"0",(Water!C33-Water!C32))</f>
        <v>15</v>
      </c>
      <c r="N32" s="34">
        <f>IF((Water!D33-Water!D32)&lt;0,"0",(Water!D33-Water!D32))</f>
        <v>0</v>
      </c>
      <c r="O32" s="34">
        <f>IF((Water!E33-Water!E32)&lt;0,"0",(Water!E33-Water!E32))</f>
        <v>11</v>
      </c>
      <c r="P32" s="34">
        <f>IF((Water!F33-Water!F32)&lt;0,"0",(Water!F33-Water!F32))</f>
        <v>0</v>
      </c>
      <c r="Q32" s="34">
        <f>IF((Water!G33-Water!G32)&lt;0,"0",(Water!G33-Water!G32))</f>
        <v>0</v>
      </c>
      <c r="R32" s="34">
        <f>IF((Water!H33-Water!H32)&lt;0,"0",(Water!H33-Water!H32))</f>
        <v>0</v>
      </c>
      <c r="S32" s="34">
        <f>IF((Water!I33-Water!I32)&lt;0,"0",(Water!I33-Water!I32))</f>
        <v>0</v>
      </c>
      <c r="T32" s="34">
        <f>IF((Water!J33-Water!J32)&lt;0,"0",(Water!J33-Water!J32))</f>
        <v>0</v>
      </c>
      <c r="U32" s="34">
        <f>IF((Water!K33-Water!K32)&lt;0,"0",(Water!K33-Water!K32))</f>
        <v>0</v>
      </c>
      <c r="V32" s="34">
        <f>IF((Water!L33-Water!L32)&lt;0,"0",(Water!L33-Water!L32))</f>
        <v>0</v>
      </c>
      <c r="W32" s="34">
        <f>IF((Water!M33-Water!M32)&lt;0,"0",(Water!M33-Water!M32))</f>
        <v>0</v>
      </c>
      <c r="X32" s="34">
        <f>IF((Water!N33-Water!N32)&lt;0,"0",(Water!N33-Water!N32))</f>
        <v>32</v>
      </c>
      <c r="Y32" s="9">
        <v>233</v>
      </c>
      <c r="Z32" s="9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4" zoomScale="70" zoomScaleNormal="70" workbookViewId="0">
      <selection activeCell="K29" sqref="K29"/>
    </sheetView>
  </sheetViews>
  <sheetFormatPr defaultColWidth="8.734375" defaultRowHeight="15.6" x14ac:dyDescent="0.6"/>
  <cols>
    <col min="1" max="1" width="8.734375" style="26"/>
    <col min="2" max="2" width="16.1015625" style="26" customWidth="1"/>
    <col min="3" max="3" width="16.5234375" style="26" customWidth="1"/>
    <col min="4" max="4" width="18.47265625" style="26" customWidth="1"/>
    <col min="5" max="5" width="18.62890625" style="26" customWidth="1"/>
    <col min="6" max="6" width="21" style="26" customWidth="1"/>
    <col min="7" max="7" width="30.3671875" style="26" customWidth="1"/>
    <col min="8" max="8" width="19" style="26" customWidth="1"/>
    <col min="9" max="9" width="13.734375" style="26" customWidth="1"/>
    <col min="10" max="10" width="14.26171875" style="26" customWidth="1"/>
    <col min="11" max="11" width="15" style="26" customWidth="1"/>
    <col min="12" max="12" width="14.5234375" style="26" customWidth="1"/>
    <col min="13" max="13" width="14.26171875" style="26" customWidth="1"/>
    <col min="14" max="14" width="10.3671875" style="26" customWidth="1"/>
    <col min="15" max="16384" width="8.734375" style="26"/>
  </cols>
  <sheetData>
    <row r="1" spans="1:7" ht="112.5" customHeight="1" x14ac:dyDescent="0.6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1" customFormat="1" ht="50.4" customHeight="1" x14ac:dyDescent="0.6">
      <c r="A2" s="30">
        <v>30</v>
      </c>
      <c r="B2" s="29">
        <v>68642</v>
      </c>
      <c r="C2" s="29">
        <v>51541</v>
      </c>
      <c r="D2" s="47">
        <v>51386</v>
      </c>
      <c r="E2" s="47">
        <v>684594</v>
      </c>
      <c r="F2" s="47">
        <v>77898</v>
      </c>
      <c r="G2" s="48" t="s">
        <v>40</v>
      </c>
    </row>
    <row r="3" spans="1:7" ht="15.75" customHeight="1" x14ac:dyDescent="0.6">
      <c r="A3" s="7">
        <v>1</v>
      </c>
      <c r="B3" s="27">
        <v>68996</v>
      </c>
      <c r="C3" s="27">
        <v>51728</v>
      </c>
      <c r="D3" s="46">
        <v>51637</v>
      </c>
      <c r="E3" s="46">
        <v>688207</v>
      </c>
      <c r="F3" s="46">
        <v>78330</v>
      </c>
      <c r="G3" s="28" t="s">
        <v>41</v>
      </c>
    </row>
    <row r="4" spans="1:7" x14ac:dyDescent="0.6">
      <c r="A4" s="7">
        <v>2</v>
      </c>
      <c r="B4" s="29">
        <v>69288</v>
      </c>
      <c r="C4" s="29">
        <v>51992</v>
      </c>
      <c r="D4" s="47">
        <v>51888</v>
      </c>
      <c r="E4" s="46">
        <v>692051</v>
      </c>
      <c r="F4" s="46">
        <v>78720</v>
      </c>
      <c r="G4" s="28" t="s">
        <v>42</v>
      </c>
    </row>
    <row r="5" spans="1:7" x14ac:dyDescent="0.6">
      <c r="A5" s="7">
        <v>3</v>
      </c>
      <c r="B5" s="29">
        <v>69532</v>
      </c>
      <c r="C5" s="29">
        <v>52313</v>
      </c>
      <c r="D5" s="46">
        <v>52149</v>
      </c>
      <c r="E5" s="46">
        <v>695722</v>
      </c>
      <c r="F5" s="46">
        <v>79135</v>
      </c>
      <c r="G5" s="28" t="s">
        <v>42</v>
      </c>
    </row>
    <row r="6" spans="1:7" x14ac:dyDescent="0.6">
      <c r="A6" s="7">
        <v>4</v>
      </c>
      <c r="B6" s="29">
        <v>69777</v>
      </c>
      <c r="C6" s="29">
        <v>52635</v>
      </c>
      <c r="D6" s="46">
        <v>52401</v>
      </c>
      <c r="E6" s="46">
        <v>699495</v>
      </c>
      <c r="F6" s="46">
        <v>79742</v>
      </c>
      <c r="G6" s="5" t="s">
        <v>43</v>
      </c>
    </row>
    <row r="7" spans="1:7" x14ac:dyDescent="0.6">
      <c r="A7" s="7">
        <v>5</v>
      </c>
      <c r="B7" s="29">
        <v>70013</v>
      </c>
      <c r="C7" s="29">
        <v>52977</v>
      </c>
      <c r="D7" s="46">
        <v>52644</v>
      </c>
      <c r="E7" s="46">
        <v>703618</v>
      </c>
      <c r="F7" s="46">
        <v>79969</v>
      </c>
      <c r="G7" s="5" t="s">
        <v>44</v>
      </c>
    </row>
    <row r="8" spans="1:7" x14ac:dyDescent="0.6">
      <c r="A8" s="7">
        <v>6</v>
      </c>
      <c r="B8" s="29">
        <v>70322</v>
      </c>
      <c r="C8" s="29">
        <v>53267</v>
      </c>
      <c r="D8" s="46">
        <v>52894</v>
      </c>
      <c r="E8" s="46">
        <v>707866</v>
      </c>
      <c r="F8" s="46">
        <v>80369</v>
      </c>
      <c r="G8" s="5" t="s">
        <v>45</v>
      </c>
    </row>
    <row r="9" spans="1:7" x14ac:dyDescent="0.6">
      <c r="A9" s="7">
        <v>7</v>
      </c>
      <c r="B9" s="29">
        <v>70634</v>
      </c>
      <c r="C9" s="29">
        <v>53619</v>
      </c>
      <c r="D9" s="46">
        <v>53170</v>
      </c>
      <c r="E9" s="46">
        <v>712617</v>
      </c>
      <c r="F9" s="46">
        <v>80826</v>
      </c>
      <c r="G9" s="5" t="s">
        <v>41</v>
      </c>
    </row>
    <row r="10" spans="1:7" x14ac:dyDescent="0.6">
      <c r="A10" s="7">
        <v>8</v>
      </c>
      <c r="B10" s="29">
        <v>70848</v>
      </c>
      <c r="C10" s="29">
        <v>53930</v>
      </c>
      <c r="D10" s="46">
        <v>53402</v>
      </c>
      <c r="E10" s="46">
        <v>716292</v>
      </c>
      <c r="F10" s="46">
        <v>81182</v>
      </c>
      <c r="G10" s="5" t="s">
        <v>46</v>
      </c>
    </row>
    <row r="11" spans="1:7" x14ac:dyDescent="0.6">
      <c r="A11" s="7">
        <v>9</v>
      </c>
      <c r="B11" s="29">
        <v>71130</v>
      </c>
      <c r="C11" s="29">
        <v>54200</v>
      </c>
      <c r="D11" s="46">
        <v>53654</v>
      </c>
      <c r="E11" s="46">
        <v>720297</v>
      </c>
      <c r="F11" s="46">
        <v>81568</v>
      </c>
      <c r="G11" s="5" t="s">
        <v>47</v>
      </c>
    </row>
    <row r="12" spans="1:7" x14ac:dyDescent="0.6">
      <c r="A12" s="7">
        <v>10</v>
      </c>
      <c r="B12" s="29">
        <v>71438</v>
      </c>
      <c r="C12" s="29">
        <v>54451</v>
      </c>
      <c r="D12" s="46">
        <v>53902</v>
      </c>
      <c r="E12" s="46">
        <v>723795</v>
      </c>
      <c r="F12" s="46">
        <v>81932</v>
      </c>
      <c r="G12" s="5" t="s">
        <v>47</v>
      </c>
    </row>
    <row r="13" spans="1:7" x14ac:dyDescent="0.6">
      <c r="A13" s="7">
        <v>11</v>
      </c>
      <c r="B13" s="29">
        <v>71768</v>
      </c>
      <c r="C13" s="29">
        <v>54706</v>
      </c>
      <c r="D13" s="46">
        <v>54149</v>
      </c>
      <c r="E13" s="46">
        <v>727860</v>
      </c>
      <c r="F13" s="46">
        <v>82303</v>
      </c>
      <c r="G13" s="5" t="s">
        <v>48</v>
      </c>
    </row>
    <row r="14" spans="1:7" x14ac:dyDescent="0.6">
      <c r="A14" s="7">
        <v>12</v>
      </c>
      <c r="B14" s="29">
        <v>72100</v>
      </c>
      <c r="C14" s="29">
        <v>54974</v>
      </c>
      <c r="D14" s="46">
        <v>54404</v>
      </c>
      <c r="E14" s="46">
        <v>732170</v>
      </c>
      <c r="F14" s="46">
        <v>82681</v>
      </c>
      <c r="G14" s="28" t="s">
        <v>50</v>
      </c>
    </row>
    <row r="15" spans="1:7" x14ac:dyDescent="0.6">
      <c r="A15" s="7">
        <v>13</v>
      </c>
      <c r="B15" s="29">
        <v>72440</v>
      </c>
      <c r="C15" s="29">
        <v>55225</v>
      </c>
      <c r="D15" s="46">
        <v>54656</v>
      </c>
      <c r="E15" s="46">
        <v>735995</v>
      </c>
      <c r="F15" s="46">
        <v>83055</v>
      </c>
      <c r="G15" s="50" t="s">
        <v>47</v>
      </c>
    </row>
    <row r="16" spans="1:7" x14ac:dyDescent="0.6">
      <c r="A16" s="7">
        <v>14</v>
      </c>
      <c r="B16" s="29">
        <v>72811</v>
      </c>
      <c r="C16" s="29">
        <v>55475</v>
      </c>
      <c r="D16" s="46">
        <v>54919</v>
      </c>
      <c r="E16" s="46">
        <v>740319</v>
      </c>
      <c r="F16" s="46">
        <v>83434</v>
      </c>
      <c r="G16" s="50" t="s">
        <v>51</v>
      </c>
    </row>
    <row r="17" spans="1:7" x14ac:dyDescent="0.6">
      <c r="A17" s="7">
        <v>15</v>
      </c>
      <c r="B17" s="29">
        <v>73141</v>
      </c>
      <c r="C17" s="29">
        <v>55732</v>
      </c>
      <c r="D17" s="46">
        <v>55176</v>
      </c>
      <c r="E17" s="46">
        <v>744465</v>
      </c>
      <c r="F17" s="46">
        <v>83806</v>
      </c>
      <c r="G17" s="50" t="s">
        <v>52</v>
      </c>
    </row>
    <row r="18" spans="1:7" x14ac:dyDescent="0.6">
      <c r="A18" s="7">
        <v>16</v>
      </c>
      <c r="B18" s="29">
        <v>73448</v>
      </c>
      <c r="C18" s="29">
        <v>55967</v>
      </c>
      <c r="D18" s="46">
        <v>55426</v>
      </c>
      <c r="E18" s="46">
        <v>748214</v>
      </c>
      <c r="F18" s="46">
        <v>84182</v>
      </c>
      <c r="G18" s="28" t="s">
        <v>45</v>
      </c>
    </row>
    <row r="19" spans="1:7" x14ac:dyDescent="0.6">
      <c r="A19" s="7">
        <v>17</v>
      </c>
      <c r="B19" s="29">
        <v>73812</v>
      </c>
      <c r="C19" s="29">
        <v>56176</v>
      </c>
      <c r="D19" s="46">
        <v>55681</v>
      </c>
      <c r="E19" s="46">
        <v>752390</v>
      </c>
      <c r="F19" s="46">
        <v>84595</v>
      </c>
      <c r="G19" s="28" t="s">
        <v>53</v>
      </c>
    </row>
    <row r="20" spans="1:7" x14ac:dyDescent="0.6">
      <c r="A20" s="7">
        <v>18</v>
      </c>
      <c r="B20" s="29">
        <v>74145</v>
      </c>
      <c r="C20" s="29">
        <v>56428</v>
      </c>
      <c r="D20" s="46">
        <v>55931</v>
      </c>
      <c r="E20" s="46">
        <v>756196</v>
      </c>
      <c r="F20" s="46">
        <v>84974</v>
      </c>
      <c r="G20" s="28" t="s">
        <v>45</v>
      </c>
    </row>
    <row r="21" spans="1:7" x14ac:dyDescent="0.6">
      <c r="A21" s="7">
        <v>19</v>
      </c>
      <c r="B21" s="29">
        <v>74395</v>
      </c>
      <c r="C21" s="29">
        <v>56871</v>
      </c>
      <c r="D21" s="46">
        <v>56188</v>
      </c>
      <c r="E21" s="46">
        <v>760618</v>
      </c>
      <c r="F21" s="46">
        <v>85378</v>
      </c>
      <c r="G21" s="28" t="s">
        <v>45</v>
      </c>
    </row>
    <row r="22" spans="1:7" x14ac:dyDescent="0.6">
      <c r="A22" s="7">
        <v>20</v>
      </c>
      <c r="B22" s="29">
        <v>74705</v>
      </c>
      <c r="C22" s="29">
        <v>57100</v>
      </c>
      <c r="D22" s="46">
        <v>56438</v>
      </c>
      <c r="E22" s="46">
        <v>764696</v>
      </c>
      <c r="F22" s="46">
        <v>85739</v>
      </c>
      <c r="G22" s="28" t="s">
        <v>45</v>
      </c>
    </row>
    <row r="23" spans="1:7" x14ac:dyDescent="0.6">
      <c r="A23" s="7">
        <v>21</v>
      </c>
      <c r="B23" s="29">
        <v>75035</v>
      </c>
      <c r="C23" s="29">
        <v>57358</v>
      </c>
      <c r="D23" s="46">
        <v>56693</v>
      </c>
      <c r="E23" s="46">
        <v>768614</v>
      </c>
      <c r="F23" s="46">
        <v>86134</v>
      </c>
      <c r="G23" s="28" t="s">
        <v>47</v>
      </c>
    </row>
    <row r="24" spans="1:7" x14ac:dyDescent="0.6">
      <c r="A24" s="7">
        <v>22</v>
      </c>
      <c r="B24" s="29">
        <v>75347</v>
      </c>
      <c r="C24" s="29">
        <v>57598</v>
      </c>
      <c r="D24" s="46">
        <v>56948</v>
      </c>
      <c r="E24" s="46">
        <v>772269</v>
      </c>
      <c r="F24" s="46">
        <v>86503</v>
      </c>
      <c r="G24" s="28" t="s">
        <v>54</v>
      </c>
    </row>
    <row r="25" spans="1:7" x14ac:dyDescent="0.6">
      <c r="A25" s="7">
        <v>23</v>
      </c>
      <c r="B25" s="29">
        <v>75628</v>
      </c>
      <c r="C25" s="29">
        <v>57835</v>
      </c>
      <c r="D25" s="46">
        <v>57193</v>
      </c>
      <c r="E25" s="46">
        <v>775637</v>
      </c>
      <c r="F25" s="46">
        <v>86879</v>
      </c>
      <c r="G25" s="28" t="s">
        <v>55</v>
      </c>
    </row>
    <row r="26" spans="1:7" x14ac:dyDescent="0.6">
      <c r="A26" s="7">
        <v>24</v>
      </c>
      <c r="B26" s="29">
        <v>75914</v>
      </c>
      <c r="C26" s="29">
        <v>58092</v>
      </c>
      <c r="D26" s="46">
        <v>57446</v>
      </c>
      <c r="E26" s="46">
        <v>779199</v>
      </c>
      <c r="F26" s="46">
        <v>87255</v>
      </c>
      <c r="G26" s="28" t="s">
        <v>50</v>
      </c>
    </row>
    <row r="27" spans="1:7" x14ac:dyDescent="0.6">
      <c r="A27" s="7">
        <v>25</v>
      </c>
      <c r="B27" s="29">
        <v>76232</v>
      </c>
      <c r="C27" s="29">
        <v>58339</v>
      </c>
      <c r="D27" s="46">
        <v>57703</v>
      </c>
      <c r="E27" s="46">
        <v>782843</v>
      </c>
      <c r="F27" s="46">
        <v>87636</v>
      </c>
      <c r="G27" s="28" t="s">
        <v>50</v>
      </c>
    </row>
    <row r="28" spans="1:7" x14ac:dyDescent="0.6">
      <c r="A28" s="7">
        <v>26</v>
      </c>
      <c r="B28" s="29">
        <v>76554</v>
      </c>
      <c r="C28" s="29">
        <v>58590</v>
      </c>
      <c r="D28" s="46">
        <v>57950</v>
      </c>
      <c r="E28" s="46">
        <v>786908</v>
      </c>
      <c r="F28" s="46">
        <v>88035</v>
      </c>
      <c r="G28" s="28" t="s">
        <v>50</v>
      </c>
    </row>
    <row r="29" spans="1:7" x14ac:dyDescent="0.6">
      <c r="A29" s="7">
        <v>27</v>
      </c>
      <c r="B29" s="29">
        <v>76903</v>
      </c>
      <c r="C29" s="29">
        <v>58849</v>
      </c>
      <c r="D29" s="46">
        <v>58270</v>
      </c>
      <c r="E29" s="46">
        <v>790735</v>
      </c>
      <c r="F29" s="46">
        <v>88422</v>
      </c>
      <c r="G29" s="5" t="s">
        <v>50</v>
      </c>
    </row>
    <row r="30" spans="1:7" x14ac:dyDescent="0.6">
      <c r="A30" s="7">
        <v>28</v>
      </c>
      <c r="B30" s="29">
        <v>77241</v>
      </c>
      <c r="C30" s="29">
        <v>59089</v>
      </c>
      <c r="D30" s="46">
        <v>58468</v>
      </c>
      <c r="E30" s="46">
        <v>794514</v>
      </c>
      <c r="F30" s="46">
        <v>88801</v>
      </c>
      <c r="G30" s="5" t="s">
        <v>56</v>
      </c>
    </row>
    <row r="31" spans="1:7" x14ac:dyDescent="0.6">
      <c r="A31" s="7">
        <v>29</v>
      </c>
      <c r="B31" s="29">
        <v>77576</v>
      </c>
      <c r="C31" s="29">
        <v>59327</v>
      </c>
      <c r="D31" s="46">
        <v>58714</v>
      </c>
      <c r="E31" s="46">
        <v>798357</v>
      </c>
      <c r="F31" s="46">
        <v>89174</v>
      </c>
      <c r="G31" s="5" t="s">
        <v>56</v>
      </c>
    </row>
    <row r="32" spans="1:7" x14ac:dyDescent="0.6">
      <c r="A32" s="7">
        <v>30</v>
      </c>
      <c r="B32" s="29">
        <v>77858</v>
      </c>
      <c r="C32" s="29">
        <v>59576</v>
      </c>
      <c r="D32" s="46">
        <v>58965</v>
      </c>
      <c r="E32" s="46">
        <v>801822</v>
      </c>
      <c r="F32" s="46">
        <v>89556</v>
      </c>
      <c r="G32" s="5" t="s">
        <v>57</v>
      </c>
    </row>
    <row r="33" spans="1:7" x14ac:dyDescent="0.6">
      <c r="A33" s="7">
        <v>31</v>
      </c>
      <c r="B33" s="29">
        <v>78142</v>
      </c>
      <c r="C33" s="29">
        <v>59839</v>
      </c>
      <c r="D33" s="46">
        <v>59205</v>
      </c>
      <c r="E33" s="46">
        <v>805613</v>
      </c>
      <c r="F33" s="46">
        <v>89929</v>
      </c>
      <c r="G33" s="5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5"/>
  <sheetViews>
    <sheetView topLeftCell="A16" zoomScale="85" zoomScaleNormal="85" workbookViewId="0">
      <selection activeCell="D29" sqref="D29:D33"/>
    </sheetView>
  </sheetViews>
  <sheetFormatPr defaultRowHeight="14.4" x14ac:dyDescent="0.55000000000000004"/>
  <cols>
    <col min="2" max="2" width="21.10156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25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3" customFormat="1" ht="29.25" customHeight="1" x14ac:dyDescent="0.55000000000000004">
      <c r="A2" s="32">
        <v>30</v>
      </c>
      <c r="B2" s="5">
        <v>0</v>
      </c>
      <c r="C2" s="5">
        <v>87693</v>
      </c>
      <c r="D2" s="5" t="s">
        <v>40</v>
      </c>
    </row>
    <row r="3" spans="1:4" ht="15.6" x14ac:dyDescent="0.55000000000000004">
      <c r="A3" s="4">
        <v>1</v>
      </c>
      <c r="B3" s="5">
        <v>0</v>
      </c>
      <c r="C3" s="5">
        <v>88382</v>
      </c>
      <c r="D3" s="28" t="s">
        <v>41</v>
      </c>
    </row>
    <row r="4" spans="1:4" ht="15.6" x14ac:dyDescent="0.55000000000000004">
      <c r="A4" s="4">
        <v>2</v>
      </c>
      <c r="B4" s="5">
        <v>0</v>
      </c>
      <c r="C4" s="5">
        <v>89032</v>
      </c>
      <c r="D4" s="28" t="s">
        <v>42</v>
      </c>
    </row>
    <row r="5" spans="1:4" ht="15.6" x14ac:dyDescent="0.55000000000000004">
      <c r="A5" s="4">
        <v>3</v>
      </c>
      <c r="B5" s="5">
        <v>0</v>
      </c>
      <c r="C5" s="5">
        <v>89698</v>
      </c>
      <c r="D5" s="28" t="s">
        <v>42</v>
      </c>
    </row>
    <row r="6" spans="1:4" x14ac:dyDescent="0.55000000000000004">
      <c r="A6" s="4">
        <v>4</v>
      </c>
      <c r="B6" s="5">
        <v>0</v>
      </c>
      <c r="C6" s="5">
        <v>90396</v>
      </c>
      <c r="D6" s="5" t="s">
        <v>43</v>
      </c>
    </row>
    <row r="7" spans="1:4" x14ac:dyDescent="0.55000000000000004">
      <c r="A7" s="4">
        <v>5</v>
      </c>
      <c r="B7" s="5">
        <v>0</v>
      </c>
      <c r="C7" s="5">
        <v>91088</v>
      </c>
      <c r="D7" s="5" t="s">
        <v>44</v>
      </c>
    </row>
    <row r="8" spans="1:4" x14ac:dyDescent="0.55000000000000004">
      <c r="A8" s="4">
        <v>6</v>
      </c>
      <c r="B8" s="5">
        <v>0</v>
      </c>
      <c r="C8" s="5">
        <v>91806</v>
      </c>
      <c r="D8" s="5" t="s">
        <v>45</v>
      </c>
    </row>
    <row r="9" spans="1:4" x14ac:dyDescent="0.55000000000000004">
      <c r="A9" s="4">
        <v>7</v>
      </c>
      <c r="B9" s="5">
        <v>0</v>
      </c>
      <c r="C9" s="5">
        <v>92583</v>
      </c>
      <c r="D9" s="5" t="s">
        <v>41</v>
      </c>
    </row>
    <row r="10" spans="1:4" x14ac:dyDescent="0.55000000000000004">
      <c r="A10" s="4">
        <v>8</v>
      </c>
      <c r="B10" s="5">
        <v>0</v>
      </c>
      <c r="C10" s="5">
        <v>93245</v>
      </c>
      <c r="D10" s="5" t="s">
        <v>46</v>
      </c>
    </row>
    <row r="11" spans="1:4" x14ac:dyDescent="0.55000000000000004">
      <c r="A11" s="4">
        <v>9</v>
      </c>
      <c r="B11" s="5">
        <v>0</v>
      </c>
      <c r="C11" s="5">
        <v>93949</v>
      </c>
      <c r="D11" s="5" t="s">
        <v>47</v>
      </c>
    </row>
    <row r="12" spans="1:4" x14ac:dyDescent="0.55000000000000004">
      <c r="A12" s="4">
        <v>10</v>
      </c>
      <c r="B12" s="5">
        <v>0</v>
      </c>
      <c r="C12" s="5">
        <v>94703</v>
      </c>
      <c r="D12" s="5" t="s">
        <v>47</v>
      </c>
    </row>
    <row r="13" spans="1:4" x14ac:dyDescent="0.55000000000000004">
      <c r="A13" s="4">
        <v>11</v>
      </c>
      <c r="B13" s="5">
        <v>0</v>
      </c>
      <c r="C13" s="5">
        <v>95341</v>
      </c>
      <c r="D13" s="5" t="s">
        <v>48</v>
      </c>
    </row>
    <row r="14" spans="1:4" x14ac:dyDescent="0.55000000000000004">
      <c r="A14" s="4">
        <v>12</v>
      </c>
      <c r="B14" s="5">
        <v>0</v>
      </c>
      <c r="C14" s="5">
        <v>95972</v>
      </c>
      <c r="D14" s="5" t="s">
        <v>50</v>
      </c>
    </row>
    <row r="15" spans="1:4" x14ac:dyDescent="0.55000000000000004">
      <c r="A15" s="4">
        <v>13</v>
      </c>
      <c r="B15" s="5">
        <v>0</v>
      </c>
      <c r="C15" s="5">
        <v>96676</v>
      </c>
      <c r="D15" s="50" t="s">
        <v>47</v>
      </c>
    </row>
    <row r="16" spans="1:4" x14ac:dyDescent="0.55000000000000004">
      <c r="A16" s="4">
        <v>14</v>
      </c>
      <c r="B16" s="5">
        <v>0</v>
      </c>
      <c r="C16" s="5">
        <v>97463</v>
      </c>
      <c r="D16" s="50" t="s">
        <v>51</v>
      </c>
    </row>
    <row r="17" spans="1:4" x14ac:dyDescent="0.55000000000000004">
      <c r="A17" s="4">
        <v>15</v>
      </c>
      <c r="B17" s="5">
        <v>0</v>
      </c>
      <c r="C17" s="5">
        <v>98122</v>
      </c>
      <c r="D17" s="50" t="s">
        <v>52</v>
      </c>
    </row>
    <row r="18" spans="1:4" x14ac:dyDescent="0.55000000000000004">
      <c r="A18" s="4">
        <v>16</v>
      </c>
      <c r="B18" s="5">
        <v>0</v>
      </c>
      <c r="C18" s="5">
        <v>98944</v>
      </c>
      <c r="D18" s="5" t="s">
        <v>45</v>
      </c>
    </row>
    <row r="19" spans="1:4" x14ac:dyDescent="0.55000000000000004">
      <c r="A19" s="4">
        <v>17</v>
      </c>
      <c r="B19" s="5">
        <v>0</v>
      </c>
      <c r="C19" s="5">
        <v>99783</v>
      </c>
      <c r="D19" s="5" t="s">
        <v>53</v>
      </c>
    </row>
    <row r="20" spans="1:4" x14ac:dyDescent="0.55000000000000004">
      <c r="A20" s="4">
        <v>18</v>
      </c>
      <c r="B20" s="5">
        <v>0</v>
      </c>
      <c r="C20" s="5">
        <v>100609</v>
      </c>
      <c r="D20" s="5" t="s">
        <v>45</v>
      </c>
    </row>
    <row r="21" spans="1:4" x14ac:dyDescent="0.55000000000000004">
      <c r="A21" s="4">
        <v>19</v>
      </c>
      <c r="B21" s="5">
        <v>0</v>
      </c>
      <c r="C21" s="5">
        <v>101291</v>
      </c>
      <c r="D21" s="5" t="s">
        <v>45</v>
      </c>
    </row>
    <row r="22" spans="1:4" x14ac:dyDescent="0.55000000000000004">
      <c r="A22" s="4">
        <v>20</v>
      </c>
      <c r="B22" s="5">
        <v>0</v>
      </c>
      <c r="C22" s="5">
        <v>102089</v>
      </c>
      <c r="D22" s="5" t="s">
        <v>45</v>
      </c>
    </row>
    <row r="23" spans="1:4" x14ac:dyDescent="0.55000000000000004">
      <c r="A23" s="4">
        <v>21</v>
      </c>
      <c r="B23" s="5">
        <v>0</v>
      </c>
      <c r="C23" s="5">
        <v>102761</v>
      </c>
      <c r="D23" s="5" t="s">
        <v>47</v>
      </c>
    </row>
    <row r="24" spans="1:4" x14ac:dyDescent="0.55000000000000004">
      <c r="A24" s="4">
        <v>22</v>
      </c>
      <c r="B24" s="5">
        <v>0</v>
      </c>
      <c r="C24" s="5">
        <v>103571</v>
      </c>
      <c r="D24" s="5" t="s">
        <v>54</v>
      </c>
    </row>
    <row r="25" spans="1:4" x14ac:dyDescent="0.55000000000000004">
      <c r="A25" s="4">
        <v>23</v>
      </c>
      <c r="B25" s="5">
        <v>0</v>
      </c>
      <c r="C25" s="5">
        <v>104244</v>
      </c>
      <c r="D25" s="5" t="s">
        <v>55</v>
      </c>
    </row>
    <row r="26" spans="1:4" x14ac:dyDescent="0.55000000000000004">
      <c r="A26" s="4">
        <v>24</v>
      </c>
      <c r="B26" s="5">
        <v>0</v>
      </c>
      <c r="C26" s="5">
        <v>104995</v>
      </c>
      <c r="D26" s="5" t="s">
        <v>50</v>
      </c>
    </row>
    <row r="27" spans="1:4" x14ac:dyDescent="0.55000000000000004">
      <c r="A27" s="4">
        <v>25</v>
      </c>
      <c r="B27" s="5">
        <v>0</v>
      </c>
      <c r="C27" s="5">
        <v>105744</v>
      </c>
      <c r="D27" s="5" t="s">
        <v>50</v>
      </c>
    </row>
    <row r="28" spans="1:4" x14ac:dyDescent="0.55000000000000004">
      <c r="A28" s="4">
        <v>26</v>
      </c>
      <c r="B28" s="5">
        <v>0</v>
      </c>
      <c r="C28" s="5">
        <v>106526</v>
      </c>
      <c r="D28" s="5" t="s">
        <v>50</v>
      </c>
    </row>
    <row r="29" spans="1:4" x14ac:dyDescent="0.55000000000000004">
      <c r="A29" s="4">
        <v>27</v>
      </c>
      <c r="B29" s="5">
        <v>0</v>
      </c>
      <c r="C29" s="5">
        <v>107344</v>
      </c>
      <c r="D29" s="5" t="s">
        <v>50</v>
      </c>
    </row>
    <row r="30" spans="1:4" x14ac:dyDescent="0.55000000000000004">
      <c r="A30" s="4">
        <v>28</v>
      </c>
      <c r="B30" s="5">
        <v>0</v>
      </c>
      <c r="C30" s="5">
        <v>108154</v>
      </c>
      <c r="D30" s="5" t="s">
        <v>56</v>
      </c>
    </row>
    <row r="31" spans="1:4" x14ac:dyDescent="0.55000000000000004">
      <c r="A31" s="4">
        <v>29</v>
      </c>
      <c r="B31" s="5">
        <v>0</v>
      </c>
      <c r="C31" s="5">
        <v>108794</v>
      </c>
      <c r="D31" s="5" t="s">
        <v>56</v>
      </c>
    </row>
    <row r="32" spans="1:4" x14ac:dyDescent="0.55000000000000004">
      <c r="A32" s="4">
        <v>30</v>
      </c>
      <c r="B32" s="5">
        <v>0</v>
      </c>
      <c r="C32" s="5">
        <v>109555</v>
      </c>
      <c r="D32" s="5" t="s">
        <v>57</v>
      </c>
    </row>
    <row r="33" spans="1:4" x14ac:dyDescent="0.55000000000000004">
      <c r="A33" s="4">
        <v>31</v>
      </c>
      <c r="B33" s="5">
        <v>0</v>
      </c>
      <c r="C33" s="5">
        <v>110364</v>
      </c>
      <c r="D33" s="5" t="s">
        <v>57</v>
      </c>
    </row>
    <row r="35" spans="1:4" ht="15.6" x14ac:dyDescent="0.6">
      <c r="A35" s="6" t="s">
        <v>37</v>
      </c>
      <c r="B35" s="6"/>
      <c r="C35" s="19"/>
      <c r="D35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zoomScale="85" zoomScaleNormal="85" workbookViewId="0">
      <selection activeCell="O29" sqref="O29:O33"/>
    </sheetView>
  </sheetViews>
  <sheetFormatPr defaultRowHeight="14.4" x14ac:dyDescent="0.55000000000000004"/>
  <cols>
    <col min="1" max="1" width="11.1015625" customWidth="1"/>
    <col min="2" max="2" width="19.62890625" customWidth="1"/>
    <col min="3" max="3" width="18.734375" customWidth="1"/>
    <col min="4" max="4" width="18.7890625" customWidth="1"/>
    <col min="5" max="5" width="16.26171875" customWidth="1"/>
    <col min="6" max="6" width="18.62890625" customWidth="1"/>
    <col min="7" max="7" width="18.15625" customWidth="1"/>
    <col min="8" max="8" width="16.62890625" customWidth="1"/>
    <col min="9" max="9" width="15.1015625" customWidth="1"/>
    <col min="10" max="10" width="14.26171875" customWidth="1"/>
    <col min="11" max="11" width="17.734375" customWidth="1"/>
    <col min="12" max="12" width="15" customWidth="1"/>
    <col min="13" max="13" width="16.62890625" customWidth="1"/>
    <col min="14" max="14" width="15.3671875" customWidth="1"/>
    <col min="15" max="15" width="19.47265625" customWidth="1"/>
  </cols>
  <sheetData>
    <row r="1" spans="1:15" ht="47.25" customHeight="1" x14ac:dyDescent="0.55000000000000004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3" customFormat="1" ht="47.25" customHeight="1" x14ac:dyDescent="0.55000000000000004">
      <c r="A2" s="32">
        <v>30</v>
      </c>
      <c r="B2" s="5">
        <v>1625</v>
      </c>
      <c r="C2" s="5">
        <v>7074</v>
      </c>
      <c r="D2" s="5">
        <v>0</v>
      </c>
      <c r="E2" s="5">
        <v>920</v>
      </c>
      <c r="F2" s="5">
        <v>0</v>
      </c>
      <c r="G2" s="5">
        <v>0</v>
      </c>
      <c r="H2" s="5">
        <v>0</v>
      </c>
      <c r="I2" s="5">
        <v>0</v>
      </c>
      <c r="J2" s="5">
        <v>138</v>
      </c>
      <c r="K2" s="5">
        <v>0</v>
      </c>
      <c r="L2" s="5">
        <v>0</v>
      </c>
      <c r="M2" s="5">
        <v>0</v>
      </c>
      <c r="N2" s="5">
        <v>7109</v>
      </c>
      <c r="O2" s="5" t="s">
        <v>40</v>
      </c>
    </row>
    <row r="3" spans="1:15" ht="15.6" x14ac:dyDescent="0.55000000000000004">
      <c r="A3" s="4">
        <v>1</v>
      </c>
      <c r="B3" s="5">
        <v>1637</v>
      </c>
      <c r="C3" s="5">
        <v>7100</v>
      </c>
      <c r="D3" s="5">
        <v>0</v>
      </c>
      <c r="E3" s="5">
        <v>937</v>
      </c>
      <c r="F3" s="5">
        <v>0</v>
      </c>
      <c r="G3" s="5">
        <v>0</v>
      </c>
      <c r="H3" s="5">
        <v>0</v>
      </c>
      <c r="I3" s="5">
        <v>0</v>
      </c>
      <c r="J3" s="5">
        <v>139</v>
      </c>
      <c r="K3" s="5">
        <v>0</v>
      </c>
      <c r="L3" s="5">
        <v>0</v>
      </c>
      <c r="M3" s="5">
        <v>0</v>
      </c>
      <c r="N3" s="5">
        <v>7142</v>
      </c>
      <c r="O3" s="28" t="s">
        <v>41</v>
      </c>
    </row>
    <row r="4" spans="1:15" ht="15.6" x14ac:dyDescent="0.55000000000000004">
      <c r="A4" s="4">
        <v>2</v>
      </c>
      <c r="B4" s="5">
        <v>1647</v>
      </c>
      <c r="C4" s="5">
        <v>7131</v>
      </c>
      <c r="D4" s="5">
        <v>0</v>
      </c>
      <c r="E4" s="5">
        <v>947</v>
      </c>
      <c r="F4" s="5">
        <v>0</v>
      </c>
      <c r="G4" s="5">
        <v>0</v>
      </c>
      <c r="H4" s="5">
        <v>0</v>
      </c>
      <c r="I4" s="5">
        <v>0</v>
      </c>
      <c r="J4" s="5">
        <v>143</v>
      </c>
      <c r="K4" s="5">
        <v>0</v>
      </c>
      <c r="L4" s="5">
        <v>0</v>
      </c>
      <c r="M4" s="5">
        <v>0</v>
      </c>
      <c r="N4" s="5">
        <v>7175</v>
      </c>
      <c r="O4" s="28" t="s">
        <v>42</v>
      </c>
    </row>
    <row r="5" spans="1:15" ht="15.6" x14ac:dyDescent="0.55000000000000004">
      <c r="A5" s="4">
        <v>3</v>
      </c>
      <c r="B5" s="5">
        <v>1659</v>
      </c>
      <c r="C5" s="5">
        <v>7154</v>
      </c>
      <c r="D5" s="5">
        <v>0</v>
      </c>
      <c r="E5" s="5">
        <v>968</v>
      </c>
      <c r="F5" s="5">
        <v>0</v>
      </c>
      <c r="G5" s="5">
        <v>0</v>
      </c>
      <c r="H5" s="5">
        <v>0</v>
      </c>
      <c r="I5" s="5">
        <v>0</v>
      </c>
      <c r="J5" s="5">
        <v>144</v>
      </c>
      <c r="K5" s="5">
        <v>0</v>
      </c>
      <c r="L5" s="5">
        <v>0</v>
      </c>
      <c r="M5" s="5">
        <v>0</v>
      </c>
      <c r="N5" s="5">
        <v>7222</v>
      </c>
      <c r="O5" s="28" t="s">
        <v>42</v>
      </c>
    </row>
    <row r="6" spans="1:15" x14ac:dyDescent="0.55000000000000004">
      <c r="A6" s="4">
        <v>4</v>
      </c>
      <c r="B6" s="5">
        <v>1674</v>
      </c>
      <c r="C6" s="5">
        <v>7180</v>
      </c>
      <c r="D6" s="5">
        <v>0</v>
      </c>
      <c r="E6" s="5">
        <v>988</v>
      </c>
      <c r="F6" s="5">
        <v>0</v>
      </c>
      <c r="G6" s="5">
        <v>0</v>
      </c>
      <c r="H6" s="5">
        <v>0</v>
      </c>
      <c r="I6" s="5">
        <v>0</v>
      </c>
      <c r="J6" s="5">
        <v>144</v>
      </c>
      <c r="K6" s="5">
        <v>0</v>
      </c>
      <c r="L6" s="5">
        <v>0</v>
      </c>
      <c r="M6" s="5">
        <v>0</v>
      </c>
      <c r="N6" s="5">
        <v>7255</v>
      </c>
      <c r="O6" s="5" t="s">
        <v>43</v>
      </c>
    </row>
    <row r="7" spans="1:15" x14ac:dyDescent="0.55000000000000004">
      <c r="A7" s="4">
        <v>5</v>
      </c>
      <c r="B7" s="5">
        <v>1684</v>
      </c>
      <c r="C7" s="5">
        <v>7202</v>
      </c>
      <c r="D7" s="5">
        <v>0</v>
      </c>
      <c r="E7" s="5">
        <v>998</v>
      </c>
      <c r="F7" s="5">
        <v>0</v>
      </c>
      <c r="G7" s="5">
        <v>0</v>
      </c>
      <c r="H7" s="5">
        <v>0</v>
      </c>
      <c r="I7" s="5">
        <v>0</v>
      </c>
      <c r="J7" s="5">
        <v>149</v>
      </c>
      <c r="K7" s="5">
        <v>0</v>
      </c>
      <c r="L7" s="5">
        <v>0</v>
      </c>
      <c r="M7" s="5">
        <v>0</v>
      </c>
      <c r="N7" s="5">
        <v>7287</v>
      </c>
      <c r="O7" s="5" t="s">
        <v>44</v>
      </c>
    </row>
    <row r="8" spans="1:15" x14ac:dyDescent="0.55000000000000004">
      <c r="A8" s="4">
        <v>6</v>
      </c>
      <c r="B8" s="5">
        <v>1696</v>
      </c>
      <c r="C8" s="5">
        <v>7225</v>
      </c>
      <c r="D8" s="5">
        <v>0</v>
      </c>
      <c r="E8" s="5">
        <v>1012</v>
      </c>
      <c r="F8" s="5">
        <v>0</v>
      </c>
      <c r="G8" s="5">
        <v>0</v>
      </c>
      <c r="H8" s="5">
        <v>0</v>
      </c>
      <c r="I8" s="5">
        <v>0</v>
      </c>
      <c r="J8" s="5">
        <v>150</v>
      </c>
      <c r="K8" s="5">
        <v>0</v>
      </c>
      <c r="L8" s="5">
        <v>0</v>
      </c>
      <c r="M8" s="5">
        <v>0</v>
      </c>
      <c r="N8" s="5">
        <v>7335</v>
      </c>
      <c r="O8" s="5" t="s">
        <v>45</v>
      </c>
    </row>
    <row r="9" spans="1:15" x14ac:dyDescent="0.55000000000000004">
      <c r="A9" s="4">
        <v>7</v>
      </c>
      <c r="B9" s="5">
        <v>1709</v>
      </c>
      <c r="C9" s="5">
        <v>7252</v>
      </c>
      <c r="D9" s="5">
        <v>0</v>
      </c>
      <c r="E9" s="5">
        <v>1036</v>
      </c>
      <c r="F9" s="5">
        <v>0</v>
      </c>
      <c r="G9" s="5">
        <v>0</v>
      </c>
      <c r="H9" s="5">
        <v>0</v>
      </c>
      <c r="I9" s="5">
        <v>0</v>
      </c>
      <c r="J9" s="5">
        <v>151</v>
      </c>
      <c r="K9" s="5">
        <v>0</v>
      </c>
      <c r="L9" s="5">
        <v>0</v>
      </c>
      <c r="M9" s="5">
        <v>0</v>
      </c>
      <c r="N9" s="5">
        <v>7383</v>
      </c>
      <c r="O9" s="5" t="s">
        <v>41</v>
      </c>
    </row>
    <row r="10" spans="1:15" x14ac:dyDescent="0.55000000000000004">
      <c r="A10" s="4">
        <v>8</v>
      </c>
      <c r="B10" s="5">
        <v>1720</v>
      </c>
      <c r="C10" s="5">
        <v>7272</v>
      </c>
      <c r="D10" s="5">
        <v>0</v>
      </c>
      <c r="E10" s="5">
        <v>1040</v>
      </c>
      <c r="F10" s="5">
        <v>0</v>
      </c>
      <c r="G10" s="5">
        <v>0</v>
      </c>
      <c r="H10" s="5">
        <v>0</v>
      </c>
      <c r="I10" s="5">
        <v>0</v>
      </c>
      <c r="J10" s="5">
        <v>152</v>
      </c>
      <c r="K10" s="5">
        <v>0</v>
      </c>
      <c r="L10" s="5">
        <v>0</v>
      </c>
      <c r="M10" s="5">
        <v>0</v>
      </c>
      <c r="N10" s="5">
        <v>7415</v>
      </c>
      <c r="O10" s="5" t="s">
        <v>46</v>
      </c>
    </row>
    <row r="11" spans="1:15" x14ac:dyDescent="0.55000000000000004">
      <c r="A11" s="4">
        <v>9</v>
      </c>
      <c r="B11" s="5">
        <v>1731</v>
      </c>
      <c r="C11" s="5">
        <v>7392</v>
      </c>
      <c r="D11" s="5">
        <v>0</v>
      </c>
      <c r="E11" s="5">
        <v>1051</v>
      </c>
      <c r="F11" s="5">
        <v>0</v>
      </c>
      <c r="G11" s="5">
        <v>0</v>
      </c>
      <c r="H11" s="5">
        <v>0</v>
      </c>
      <c r="I11" s="5">
        <v>0</v>
      </c>
      <c r="J11" s="5">
        <v>159</v>
      </c>
      <c r="K11" s="5">
        <v>0</v>
      </c>
      <c r="L11" s="5">
        <v>0</v>
      </c>
      <c r="M11" s="5">
        <v>0</v>
      </c>
      <c r="N11" s="5">
        <v>7464</v>
      </c>
      <c r="O11" s="5" t="s">
        <v>47</v>
      </c>
    </row>
    <row r="12" spans="1:15" x14ac:dyDescent="0.55000000000000004">
      <c r="A12" s="4">
        <v>10</v>
      </c>
      <c r="B12" s="5">
        <v>1738</v>
      </c>
      <c r="C12" s="5">
        <v>7319</v>
      </c>
      <c r="D12" s="5">
        <v>0</v>
      </c>
      <c r="E12" s="5">
        <v>1060</v>
      </c>
      <c r="F12" s="5">
        <v>0</v>
      </c>
      <c r="G12" s="5">
        <v>0</v>
      </c>
      <c r="H12" s="5">
        <v>0</v>
      </c>
      <c r="I12" s="5">
        <v>0</v>
      </c>
      <c r="J12" s="5">
        <v>159</v>
      </c>
      <c r="K12" s="5">
        <v>0</v>
      </c>
      <c r="L12" s="5">
        <v>0</v>
      </c>
      <c r="M12" s="5">
        <v>0</v>
      </c>
      <c r="N12" s="5">
        <v>7497</v>
      </c>
      <c r="O12" s="5" t="s">
        <v>47</v>
      </c>
    </row>
    <row r="13" spans="1:15" x14ac:dyDescent="0.55000000000000004">
      <c r="A13" s="4">
        <v>11</v>
      </c>
      <c r="B13" s="5">
        <v>1750</v>
      </c>
      <c r="C13" s="5">
        <v>7337</v>
      </c>
      <c r="D13" s="5">
        <v>0</v>
      </c>
      <c r="E13" s="5">
        <v>1069</v>
      </c>
      <c r="F13" s="5">
        <v>0</v>
      </c>
      <c r="G13" s="5">
        <v>0</v>
      </c>
      <c r="H13" s="5">
        <v>0</v>
      </c>
      <c r="I13" s="5">
        <v>0</v>
      </c>
      <c r="J13" s="5">
        <v>159</v>
      </c>
      <c r="K13" s="5">
        <v>0</v>
      </c>
      <c r="L13" s="5">
        <v>0</v>
      </c>
      <c r="M13" s="5">
        <v>0</v>
      </c>
      <c r="N13" s="5">
        <v>7531</v>
      </c>
      <c r="O13" s="49" t="s">
        <v>49</v>
      </c>
    </row>
    <row r="14" spans="1:15" x14ac:dyDescent="0.55000000000000004">
      <c r="A14" s="4">
        <v>12</v>
      </c>
      <c r="B14" s="5">
        <v>1762</v>
      </c>
      <c r="C14" s="5">
        <v>7362</v>
      </c>
      <c r="D14" s="5">
        <v>0</v>
      </c>
      <c r="E14" s="5">
        <v>1076</v>
      </c>
      <c r="F14" s="5">
        <v>0</v>
      </c>
      <c r="G14" s="5">
        <v>0</v>
      </c>
      <c r="H14" s="5">
        <v>0</v>
      </c>
      <c r="I14" s="5">
        <v>0</v>
      </c>
      <c r="J14" s="5">
        <v>160</v>
      </c>
      <c r="K14" s="5">
        <v>0</v>
      </c>
      <c r="L14" s="5">
        <v>0</v>
      </c>
      <c r="M14" s="5">
        <v>0</v>
      </c>
      <c r="N14" s="5">
        <v>7582</v>
      </c>
      <c r="O14" s="5" t="s">
        <v>50</v>
      </c>
    </row>
    <row r="15" spans="1:15" x14ac:dyDescent="0.55000000000000004">
      <c r="A15" s="4">
        <v>13</v>
      </c>
      <c r="B15" s="5">
        <v>1772</v>
      </c>
      <c r="C15" s="5">
        <v>7381</v>
      </c>
      <c r="D15" s="5">
        <v>0</v>
      </c>
      <c r="E15" s="5">
        <v>1088</v>
      </c>
      <c r="F15" s="5">
        <v>0</v>
      </c>
      <c r="G15" s="5">
        <v>0</v>
      </c>
      <c r="H15" s="5">
        <v>0</v>
      </c>
      <c r="I15" s="5">
        <v>0</v>
      </c>
      <c r="J15" s="5">
        <v>161</v>
      </c>
      <c r="K15" s="5">
        <v>0</v>
      </c>
      <c r="L15" s="5">
        <v>0</v>
      </c>
      <c r="M15" s="5">
        <v>0</v>
      </c>
      <c r="N15" s="5">
        <v>7616</v>
      </c>
      <c r="O15" s="5" t="s">
        <v>47</v>
      </c>
    </row>
    <row r="16" spans="1:15" x14ac:dyDescent="0.55000000000000004">
      <c r="A16" s="4">
        <v>14</v>
      </c>
      <c r="B16" s="5">
        <v>1785</v>
      </c>
      <c r="C16" s="5">
        <v>7406</v>
      </c>
      <c r="D16" s="5">
        <v>0</v>
      </c>
      <c r="E16" s="5">
        <v>1099</v>
      </c>
      <c r="F16" s="5">
        <v>0</v>
      </c>
      <c r="G16" s="5">
        <v>0</v>
      </c>
      <c r="H16" s="5">
        <v>0</v>
      </c>
      <c r="I16" s="5">
        <v>0</v>
      </c>
      <c r="J16" s="5">
        <v>162</v>
      </c>
      <c r="K16" s="5">
        <v>0</v>
      </c>
      <c r="L16" s="5">
        <v>0</v>
      </c>
      <c r="M16" s="5">
        <v>0</v>
      </c>
      <c r="N16" s="5">
        <v>7666</v>
      </c>
      <c r="O16" s="5" t="s">
        <v>51</v>
      </c>
    </row>
    <row r="17" spans="1:15" x14ac:dyDescent="0.55000000000000004">
      <c r="A17" s="4">
        <v>15</v>
      </c>
      <c r="B17" s="5">
        <v>1797</v>
      </c>
      <c r="C17" s="5">
        <v>7432</v>
      </c>
      <c r="D17" s="5">
        <v>0</v>
      </c>
      <c r="E17" s="5">
        <v>1110</v>
      </c>
      <c r="F17" s="5">
        <v>0</v>
      </c>
      <c r="G17" s="5">
        <v>0</v>
      </c>
      <c r="H17" s="5">
        <v>0</v>
      </c>
      <c r="I17" s="5">
        <v>0</v>
      </c>
      <c r="J17" s="5">
        <v>163</v>
      </c>
      <c r="K17" s="5">
        <v>0</v>
      </c>
      <c r="L17" s="5">
        <v>0</v>
      </c>
      <c r="M17" s="5">
        <v>0</v>
      </c>
      <c r="N17" s="5">
        <v>7714</v>
      </c>
      <c r="O17" s="5" t="s">
        <v>52</v>
      </c>
    </row>
    <row r="18" spans="1:15" x14ac:dyDescent="0.55000000000000004">
      <c r="A18" s="4">
        <v>16</v>
      </c>
      <c r="B18" s="5">
        <v>1807</v>
      </c>
      <c r="C18" s="5">
        <v>7463</v>
      </c>
      <c r="D18" s="5">
        <v>0</v>
      </c>
      <c r="E18" s="5">
        <v>1122</v>
      </c>
      <c r="F18" s="5">
        <v>0</v>
      </c>
      <c r="G18" s="5">
        <v>0</v>
      </c>
      <c r="H18" s="5">
        <v>0</v>
      </c>
      <c r="I18" s="5">
        <v>0</v>
      </c>
      <c r="J18" s="5">
        <v>170</v>
      </c>
      <c r="K18" s="5">
        <v>0</v>
      </c>
      <c r="L18" s="5">
        <v>0</v>
      </c>
      <c r="M18" s="5">
        <v>0</v>
      </c>
      <c r="N18" s="5">
        <v>7746</v>
      </c>
      <c r="O18" s="5" t="s">
        <v>45</v>
      </c>
    </row>
    <row r="19" spans="1:15" x14ac:dyDescent="0.55000000000000004">
      <c r="A19" s="4">
        <v>17</v>
      </c>
      <c r="B19" s="5">
        <v>1818</v>
      </c>
      <c r="C19" s="5">
        <v>7489</v>
      </c>
      <c r="D19" s="5">
        <v>0</v>
      </c>
      <c r="E19" s="5">
        <v>1135</v>
      </c>
      <c r="F19" s="5">
        <v>0</v>
      </c>
      <c r="G19" s="5">
        <v>0</v>
      </c>
      <c r="H19" s="5">
        <v>0</v>
      </c>
      <c r="I19" s="5">
        <v>0</v>
      </c>
      <c r="J19" s="5">
        <v>171</v>
      </c>
      <c r="K19" s="5">
        <v>0</v>
      </c>
      <c r="L19" s="5">
        <v>0</v>
      </c>
      <c r="M19" s="5">
        <v>0</v>
      </c>
      <c r="N19" s="5">
        <v>7796</v>
      </c>
      <c r="O19" s="5" t="s">
        <v>53</v>
      </c>
    </row>
    <row r="20" spans="1:15" x14ac:dyDescent="0.55000000000000004">
      <c r="A20" s="4">
        <v>18</v>
      </c>
      <c r="B20" s="5">
        <v>1829</v>
      </c>
      <c r="C20" s="5">
        <v>7509</v>
      </c>
      <c r="D20" s="5">
        <v>0</v>
      </c>
      <c r="E20" s="5">
        <v>1147</v>
      </c>
      <c r="F20" s="5">
        <v>0</v>
      </c>
      <c r="G20" s="5">
        <v>0</v>
      </c>
      <c r="H20" s="5">
        <v>0</v>
      </c>
      <c r="I20" s="5">
        <v>0</v>
      </c>
      <c r="J20" s="5">
        <v>171</v>
      </c>
      <c r="K20" s="5">
        <v>0</v>
      </c>
      <c r="L20" s="5">
        <v>0</v>
      </c>
      <c r="M20" s="5">
        <v>0</v>
      </c>
      <c r="N20" s="5">
        <v>7829</v>
      </c>
      <c r="O20" s="5" t="s">
        <v>45</v>
      </c>
    </row>
    <row r="21" spans="1:15" x14ac:dyDescent="0.55000000000000004">
      <c r="A21" s="4">
        <v>19</v>
      </c>
      <c r="B21" s="5">
        <v>1841</v>
      </c>
      <c r="C21" s="5">
        <v>7530</v>
      </c>
      <c r="D21" s="5">
        <v>0</v>
      </c>
      <c r="E21" s="5">
        <v>1161</v>
      </c>
      <c r="F21" s="5">
        <v>0</v>
      </c>
      <c r="G21" s="5">
        <v>0</v>
      </c>
      <c r="H21" s="5">
        <v>0</v>
      </c>
      <c r="I21" s="5">
        <v>0</v>
      </c>
      <c r="J21" s="5">
        <v>171</v>
      </c>
      <c r="K21" s="5">
        <v>0</v>
      </c>
      <c r="L21" s="5">
        <v>0</v>
      </c>
      <c r="M21" s="5">
        <v>0</v>
      </c>
      <c r="N21" s="5">
        <v>7878</v>
      </c>
      <c r="O21" s="5" t="s">
        <v>45</v>
      </c>
    </row>
    <row r="22" spans="1:15" x14ac:dyDescent="0.55000000000000004">
      <c r="A22" s="4">
        <v>20</v>
      </c>
      <c r="B22" s="5">
        <v>1852</v>
      </c>
      <c r="C22" s="5">
        <v>7533</v>
      </c>
      <c r="D22" s="5">
        <v>0</v>
      </c>
      <c r="E22" s="5">
        <v>1174</v>
      </c>
      <c r="F22" s="5">
        <v>0</v>
      </c>
      <c r="G22" s="5">
        <v>0</v>
      </c>
      <c r="H22" s="5">
        <v>0</v>
      </c>
      <c r="I22" s="5">
        <v>0</v>
      </c>
      <c r="J22" s="5">
        <v>171</v>
      </c>
      <c r="K22" s="5">
        <v>0</v>
      </c>
      <c r="L22" s="5">
        <v>0</v>
      </c>
      <c r="M22" s="5">
        <v>0</v>
      </c>
      <c r="N22" s="5">
        <v>7910</v>
      </c>
      <c r="O22" s="5" t="s">
        <v>45</v>
      </c>
    </row>
    <row r="23" spans="1:15" x14ac:dyDescent="0.55000000000000004">
      <c r="A23" s="4">
        <v>21</v>
      </c>
      <c r="B23" s="5">
        <v>1864</v>
      </c>
      <c r="C23" s="5">
        <v>7582</v>
      </c>
      <c r="D23" s="5">
        <v>0</v>
      </c>
      <c r="E23" s="5">
        <v>1186</v>
      </c>
      <c r="F23" s="5">
        <v>0</v>
      </c>
      <c r="G23" s="5">
        <v>0</v>
      </c>
      <c r="H23" s="5">
        <v>0</v>
      </c>
      <c r="I23" s="5">
        <v>0</v>
      </c>
      <c r="J23" s="5">
        <v>172</v>
      </c>
      <c r="K23" s="5">
        <v>0</v>
      </c>
      <c r="L23" s="5">
        <v>0</v>
      </c>
      <c r="M23" s="5">
        <v>0</v>
      </c>
      <c r="N23" s="5">
        <v>7958</v>
      </c>
      <c r="O23" s="5" t="s">
        <v>47</v>
      </c>
    </row>
    <row r="24" spans="1:15" x14ac:dyDescent="0.55000000000000004">
      <c r="A24" s="4">
        <v>22</v>
      </c>
      <c r="B24" s="5">
        <v>1873</v>
      </c>
      <c r="C24" s="5">
        <v>7605</v>
      </c>
      <c r="D24" s="5">
        <v>0</v>
      </c>
      <c r="E24" s="5">
        <v>1196</v>
      </c>
      <c r="F24" s="5">
        <v>0</v>
      </c>
      <c r="G24" s="5">
        <v>0</v>
      </c>
      <c r="H24" s="5">
        <v>0</v>
      </c>
      <c r="I24" s="5">
        <v>0</v>
      </c>
      <c r="J24" s="5">
        <v>172</v>
      </c>
      <c r="K24" s="5">
        <v>0</v>
      </c>
      <c r="L24" s="5">
        <v>0</v>
      </c>
      <c r="M24" s="5">
        <v>0</v>
      </c>
      <c r="N24" s="5">
        <v>7991</v>
      </c>
      <c r="O24" s="5" t="s">
        <v>54</v>
      </c>
    </row>
    <row r="25" spans="1:15" x14ac:dyDescent="0.55000000000000004">
      <c r="A25" s="4">
        <v>23</v>
      </c>
      <c r="B25" s="5">
        <v>1883</v>
      </c>
      <c r="C25" s="5">
        <v>7628</v>
      </c>
      <c r="D25" s="5">
        <v>0</v>
      </c>
      <c r="E25" s="5">
        <v>1205</v>
      </c>
      <c r="F25" s="5">
        <v>0</v>
      </c>
      <c r="G25" s="5">
        <v>0</v>
      </c>
      <c r="H25" s="5">
        <v>0</v>
      </c>
      <c r="I25" s="5">
        <v>0</v>
      </c>
      <c r="J25" s="5">
        <v>181</v>
      </c>
      <c r="K25" s="5">
        <v>0</v>
      </c>
      <c r="L25" s="5">
        <v>0</v>
      </c>
      <c r="M25" s="5">
        <v>0</v>
      </c>
      <c r="N25" s="5">
        <v>8023</v>
      </c>
      <c r="O25" s="5" t="s">
        <v>55</v>
      </c>
    </row>
    <row r="26" spans="1:15" x14ac:dyDescent="0.55000000000000004">
      <c r="A26" s="4">
        <v>24</v>
      </c>
      <c r="B26" s="5">
        <v>1892</v>
      </c>
      <c r="C26" s="5">
        <v>7648</v>
      </c>
      <c r="D26" s="5">
        <v>0</v>
      </c>
      <c r="E26" s="5">
        <v>1214</v>
      </c>
      <c r="F26" s="5">
        <v>0</v>
      </c>
      <c r="G26" s="5">
        <v>0</v>
      </c>
      <c r="H26" s="5">
        <v>0</v>
      </c>
      <c r="I26" s="5">
        <v>0</v>
      </c>
      <c r="J26" s="5">
        <v>182</v>
      </c>
      <c r="K26" s="5">
        <v>0</v>
      </c>
      <c r="L26" s="5">
        <v>0</v>
      </c>
      <c r="M26" s="5">
        <v>0</v>
      </c>
      <c r="N26" s="5">
        <v>8055</v>
      </c>
      <c r="O26" s="5" t="s">
        <v>50</v>
      </c>
    </row>
    <row r="27" spans="1:15" x14ac:dyDescent="0.55000000000000004">
      <c r="A27" s="4">
        <v>25</v>
      </c>
      <c r="B27" s="5">
        <v>1902</v>
      </c>
      <c r="C27" s="5">
        <v>7669</v>
      </c>
      <c r="D27" s="5">
        <v>0</v>
      </c>
      <c r="E27" s="5">
        <v>1225</v>
      </c>
      <c r="F27" s="5">
        <v>0</v>
      </c>
      <c r="G27" s="5">
        <v>0</v>
      </c>
      <c r="H27" s="5">
        <v>0</v>
      </c>
      <c r="I27" s="5">
        <v>0</v>
      </c>
      <c r="J27" s="5">
        <v>182</v>
      </c>
      <c r="K27" s="5">
        <v>0</v>
      </c>
      <c r="L27" s="5">
        <v>0</v>
      </c>
      <c r="M27" s="5">
        <v>0</v>
      </c>
      <c r="N27" s="5">
        <v>8096</v>
      </c>
      <c r="O27" s="5" t="s">
        <v>50</v>
      </c>
    </row>
    <row r="28" spans="1:15" x14ac:dyDescent="0.55000000000000004">
      <c r="A28" s="4">
        <v>26</v>
      </c>
      <c r="B28" s="5">
        <v>1913</v>
      </c>
      <c r="C28" s="5">
        <v>7694</v>
      </c>
      <c r="D28" s="5">
        <v>0</v>
      </c>
      <c r="E28" s="5">
        <v>1239</v>
      </c>
      <c r="F28" s="5">
        <v>0</v>
      </c>
      <c r="G28" s="5">
        <v>0</v>
      </c>
      <c r="H28" s="5">
        <v>0</v>
      </c>
      <c r="I28" s="5">
        <v>0</v>
      </c>
      <c r="J28" s="5">
        <v>187</v>
      </c>
      <c r="K28" s="5">
        <v>0</v>
      </c>
      <c r="L28" s="5">
        <v>0</v>
      </c>
      <c r="M28" s="5">
        <v>0</v>
      </c>
      <c r="N28" s="5">
        <v>8135</v>
      </c>
      <c r="O28" s="5" t="s">
        <v>50</v>
      </c>
    </row>
    <row r="29" spans="1:15" x14ac:dyDescent="0.55000000000000004">
      <c r="A29" s="4">
        <v>27</v>
      </c>
      <c r="B29" s="5">
        <v>1925</v>
      </c>
      <c r="C29" s="5">
        <v>7722</v>
      </c>
      <c r="D29" s="5">
        <v>0</v>
      </c>
      <c r="E29" s="5">
        <v>1252</v>
      </c>
      <c r="F29" s="5">
        <v>0</v>
      </c>
      <c r="G29" s="5">
        <v>0</v>
      </c>
      <c r="H29" s="5">
        <v>0</v>
      </c>
      <c r="I29" s="5">
        <v>0</v>
      </c>
      <c r="J29" s="5">
        <v>189</v>
      </c>
      <c r="K29" s="5">
        <v>0</v>
      </c>
      <c r="L29" s="5">
        <v>0</v>
      </c>
      <c r="M29" s="5">
        <v>0</v>
      </c>
      <c r="N29" s="5">
        <v>8184</v>
      </c>
      <c r="O29" s="5" t="s">
        <v>50</v>
      </c>
    </row>
    <row r="30" spans="1:15" x14ac:dyDescent="0.55000000000000004">
      <c r="A30" s="4">
        <v>28</v>
      </c>
      <c r="B30" s="5">
        <v>1935</v>
      </c>
      <c r="C30" s="5">
        <v>7741</v>
      </c>
      <c r="D30" s="5">
        <v>0</v>
      </c>
      <c r="E30" s="5">
        <v>1263</v>
      </c>
      <c r="F30" s="5">
        <v>0</v>
      </c>
      <c r="G30" s="5">
        <v>0</v>
      </c>
      <c r="H30" s="5">
        <v>0</v>
      </c>
      <c r="I30" s="5">
        <v>0</v>
      </c>
      <c r="J30" s="5">
        <v>189</v>
      </c>
      <c r="K30" s="5">
        <v>0</v>
      </c>
      <c r="L30" s="5">
        <v>0</v>
      </c>
      <c r="M30" s="5">
        <v>0</v>
      </c>
      <c r="N30" s="5">
        <v>8216</v>
      </c>
      <c r="O30" s="5" t="s">
        <v>56</v>
      </c>
    </row>
    <row r="31" spans="1:15" x14ac:dyDescent="0.55000000000000004">
      <c r="A31" s="4">
        <v>29</v>
      </c>
      <c r="B31" s="5">
        <v>1946</v>
      </c>
      <c r="C31" s="5">
        <v>7765</v>
      </c>
      <c r="D31" s="5">
        <v>0</v>
      </c>
      <c r="E31" s="5">
        <v>1274</v>
      </c>
      <c r="F31" s="5">
        <v>0</v>
      </c>
      <c r="G31" s="5">
        <v>0</v>
      </c>
      <c r="H31" s="5">
        <v>0</v>
      </c>
      <c r="I31" s="5">
        <v>0</v>
      </c>
      <c r="J31" s="5">
        <v>190</v>
      </c>
      <c r="K31" s="5">
        <v>0</v>
      </c>
      <c r="L31" s="5">
        <v>0</v>
      </c>
      <c r="M31" s="5">
        <v>0</v>
      </c>
      <c r="N31" s="5">
        <v>8249</v>
      </c>
      <c r="O31" s="5" t="s">
        <v>56</v>
      </c>
    </row>
    <row r="32" spans="1:15" x14ac:dyDescent="0.55000000000000004">
      <c r="A32" s="4">
        <v>30</v>
      </c>
      <c r="B32" s="5">
        <v>1955</v>
      </c>
      <c r="C32" s="5">
        <v>7792</v>
      </c>
      <c r="D32" s="5">
        <v>0</v>
      </c>
      <c r="E32" s="5">
        <v>1287</v>
      </c>
      <c r="F32" s="5">
        <v>0</v>
      </c>
      <c r="G32" s="5">
        <v>0</v>
      </c>
      <c r="H32" s="5">
        <v>0</v>
      </c>
      <c r="I32" s="5">
        <v>0</v>
      </c>
      <c r="J32" s="5">
        <v>197</v>
      </c>
      <c r="K32" s="5">
        <v>0</v>
      </c>
      <c r="L32" s="5">
        <v>0</v>
      </c>
      <c r="M32" s="5">
        <v>0</v>
      </c>
      <c r="N32" s="5">
        <v>8297</v>
      </c>
      <c r="O32" s="5" t="s">
        <v>57</v>
      </c>
    </row>
    <row r="33" spans="1:15" x14ac:dyDescent="0.55000000000000004">
      <c r="A33" s="4">
        <v>31</v>
      </c>
      <c r="B33" s="5">
        <v>1964</v>
      </c>
      <c r="C33" s="5">
        <v>7807</v>
      </c>
      <c r="D33" s="5">
        <v>0</v>
      </c>
      <c r="E33" s="5">
        <v>1298</v>
      </c>
      <c r="F33" s="5">
        <v>0</v>
      </c>
      <c r="G33" s="5">
        <v>0</v>
      </c>
      <c r="H33" s="5">
        <v>0</v>
      </c>
      <c r="I33" s="5">
        <v>0</v>
      </c>
      <c r="J33" s="5">
        <v>197</v>
      </c>
      <c r="K33" s="5">
        <v>0</v>
      </c>
      <c r="L33" s="5">
        <v>0</v>
      </c>
      <c r="M33" s="5">
        <v>0</v>
      </c>
      <c r="N33" s="5">
        <v>8329</v>
      </c>
      <c r="O33" s="5" t="s">
        <v>57</v>
      </c>
    </row>
    <row r="34" spans="1:15" ht="15.6" x14ac:dyDescent="0.6">
      <c r="A34" s="6" t="s">
        <v>3</v>
      </c>
    </row>
    <row r="35" spans="1:15" ht="15.6" x14ac:dyDescent="0.6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6382F7-EBB6-48FB-A7A5-1C4A1067F65C}">
  <ds:schemaRefs>
    <ds:schemaRef ds:uri="http://schemas.microsoft.com/office/2006/documentManagement/types"/>
    <ds:schemaRef ds:uri="http://purl.org/dc/terms/"/>
    <ds:schemaRef ds:uri="c0c63084-832f-4b13-a501-c844d9f3bfed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97EA806-EB29-47C8-917A-3B8FED30BE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2023-11-01T15:13:29Z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