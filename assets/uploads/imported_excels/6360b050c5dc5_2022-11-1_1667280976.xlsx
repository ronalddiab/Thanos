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<sst xmlns="http://schemas.openxmlformats.org/spreadsheetml/2006/main" count="106" uniqueCount="39">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</sst>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20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workbookViewId="0">
      <selection activeCell="O19" sqref="O1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22.3799999999992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572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v>0</v>
      </c>
      <c r="F3" s="13">
        <v>0.11799999999999999</v>
      </c>
      <c r="G3" s="15">
        <v>0</v>
      </c>
      <c r="H3" s="13">
        <v>0.99</v>
      </c>
      <c r="I3" s="15">
        <v>0</v>
      </c>
      <c r="J3" s="13">
        <v>8.1000000000000003E-2</v>
      </c>
      <c r="K3" s="21">
        <v>0</v>
      </c>
      <c r="L3" s="15">
        <v>0</v>
      </c>
      <c r="M3" s="14">
        <v>4.393629424766913</v>
      </c>
      <c r="N3" s="39"/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0</v>
      </c>
      <c r="F4" s="13">
        <v>0.11799999999999999</v>
      </c>
      <c r="G4" s="15">
        <f>'11 - 2022'!D10-'11 - 2022'!D9+'11 - 2022'!E10-'11 - 2022'!E9</f>
        <v>0</v>
      </c>
      <c r="H4" s="13">
        <v>0.99</v>
      </c>
      <c r="I4" s="15">
        <f>'11 - 2022'!J10-'11 - 2022'!J9</f>
        <v>0</v>
      </c>
      <c r="J4" s="13">
        <v>8.1000000000000003E-2</v>
      </c>
      <c r="K4" s="21">
        <f>'11 - 2022'!H10-'11 - 2022'!H9</f>
        <v>0</v>
      </c>
      <c r="L4" s="15">
        <f>'11 - 2022'!I10-'11 - 2022'!I9</f>
        <v>0</v>
      </c>
      <c r="M4" s="14">
        <v>4.393629424766913</v>
      </c>
      <c r="N4" s="16"/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0</v>
      </c>
      <c r="F5" s="13">
        <v>0.11799999999999999</v>
      </c>
      <c r="G5" s="15">
        <f>'11 - 2022'!D11-'11 - 2022'!D10+'11 - 2022'!E11-'11 - 2022'!E10</f>
        <v>0</v>
      </c>
      <c r="H5" s="13">
        <v>0.99</v>
      </c>
      <c r="I5" s="15">
        <f>'11 - 2022'!J11-'11 - 2022'!J10</f>
        <v>0</v>
      </c>
      <c r="J5" s="13">
        <v>8.1000000000000003E-2</v>
      </c>
      <c r="K5" s="21">
        <f>'11 - 2022'!H11-'11 - 2022'!H10</f>
        <v>0</v>
      </c>
      <c r="L5" s="15">
        <f>'11 - 2022'!I11-'11 - 2022'!I10</f>
        <v>0</v>
      </c>
      <c r="M5" s="14">
        <v>4.393629424766913</v>
      </c>
      <c r="N5" s="16"/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0</v>
      </c>
      <c r="F6" s="13">
        <v>0.11799999999999999</v>
      </c>
      <c r="G6" s="15">
        <f>'11 - 2022'!D12-'11 - 2022'!D11+'11 - 2022'!E12-'11 - 2022'!E11</f>
        <v>0</v>
      </c>
      <c r="H6" s="13">
        <v>0.99</v>
      </c>
      <c r="I6" s="15">
        <f>'11 - 2022'!J12-'11 - 2022'!J11</f>
        <v>0</v>
      </c>
      <c r="J6" s="13">
        <v>8.1000000000000003E-2</v>
      </c>
      <c r="K6" s="21">
        <f>'11 - 2022'!H12-'11 - 2022'!H11</f>
        <v>0</v>
      </c>
      <c r="L6" s="15">
        <f>'11 - 2022'!I12-'11 - 2022'!I11</f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0</v>
      </c>
      <c r="F7" s="13">
        <v>0.11799999999999999</v>
      </c>
      <c r="G7" s="15">
        <f>'11 - 2022'!D13-'11 - 2022'!D12+'11 - 2022'!E13-'11 - 2022'!E12</f>
        <v>0</v>
      </c>
      <c r="H7" s="13">
        <v>0.99</v>
      </c>
      <c r="I7" s="15">
        <f>'11 - 2022'!J13-'11 - 2022'!J12</f>
        <v>0</v>
      </c>
      <c r="J7" s="13">
        <v>8.1000000000000003E-2</v>
      </c>
      <c r="K7" s="21">
        <f>'11 - 2022'!H13-'11 - 2022'!H12</f>
        <v>0</v>
      </c>
      <c r="L7" s="15">
        <f>'11 - 2022'!I13-'11 - 2022'!I12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0</v>
      </c>
      <c r="F8" s="13">
        <v>0.11799999999999999</v>
      </c>
      <c r="G8" s="15">
        <f>'11 - 2022'!D14-'11 - 2022'!D13+'11 - 2022'!E14-'11 - 2022'!E13</f>
        <v>0</v>
      </c>
      <c r="H8" s="13">
        <v>0.99</v>
      </c>
      <c r="I8" s="15">
        <f>'11 - 2022'!J14-'11 - 2022'!J13</f>
        <v>0</v>
      </c>
      <c r="J8" s="13">
        <v>8.1000000000000003E-2</v>
      </c>
      <c r="K8" s="21">
        <f>'11 - 2022'!H14-'11 - 2022'!H13</f>
        <v>0</v>
      </c>
      <c r="L8" s="15">
        <f>'11 - 2022'!I14-'11 - 2022'!I13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0</v>
      </c>
      <c r="F9" s="13">
        <v>0.11799999999999999</v>
      </c>
      <c r="G9" s="15">
        <f>'11 - 2022'!D15-'11 - 2022'!D14+'11 - 2022'!E15-'11 - 2022'!E14</f>
        <v>0</v>
      </c>
      <c r="H9" s="13">
        <v>0.99</v>
      </c>
      <c r="I9" s="15">
        <f>'11 - 2022'!J15-'11 - 2022'!J14</f>
        <v>0</v>
      </c>
      <c r="J9" s="13">
        <v>8.1000000000000003E-2</v>
      </c>
      <c r="K9" s="21">
        <f>'11 - 2022'!H15-'11 - 2022'!H14</f>
        <v>0</v>
      </c>
      <c r="L9" s="15">
        <f>'11 - 2022'!I15-'11 - 2022'!I14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0</v>
      </c>
      <c r="F10" s="13">
        <v>0.11799999999999999</v>
      </c>
      <c r="G10" s="15">
        <f>'11 - 2022'!D16-'11 - 2022'!D15+'11 - 2022'!E16-'11 - 2022'!E15</f>
        <v>0</v>
      </c>
      <c r="H10" s="13">
        <v>0.99</v>
      </c>
      <c r="I10" s="15">
        <f>'11 - 2022'!J16-'11 - 2022'!J15</f>
        <v>0</v>
      </c>
      <c r="J10" s="13">
        <v>8.1000000000000003E-2</v>
      </c>
      <c r="K10" s="21">
        <f>'11 - 2022'!H16-'11 - 2022'!H15</f>
        <v>0</v>
      </c>
      <c r="L10" s="15">
        <f>'11 - 2022'!I16-'11 - 2022'!I15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0</v>
      </c>
      <c r="F11" s="13">
        <v>0.11799999999999999</v>
      </c>
      <c r="G11" s="15">
        <f>'11 - 2022'!D17-'11 - 2022'!D16+'11 - 2022'!E17-'11 - 2022'!E16</f>
        <v>0</v>
      </c>
      <c r="H11" s="13">
        <v>0.99</v>
      </c>
      <c r="I11" s="15">
        <f>'11 - 2022'!J17-'11 - 2022'!J16</f>
        <v>0</v>
      </c>
      <c r="J11" s="13">
        <v>8.1000000000000003E-2</v>
      </c>
      <c r="K11" s="21">
        <f>'11 - 2022'!H17-'11 - 2022'!H16</f>
        <v>0</v>
      </c>
      <c r="L11" s="15">
        <f>'11 - 2022'!I17-'11 - 2022'!I16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0</v>
      </c>
      <c r="F12" s="13">
        <v>0.11799999999999999</v>
      </c>
      <c r="G12" s="15">
        <f>'11 - 2022'!D18-'11 - 2022'!D17+'11 - 2022'!E18-'11 - 2022'!E17</f>
        <v>0</v>
      </c>
      <c r="H12" s="13">
        <v>0.99</v>
      </c>
      <c r="I12" s="15">
        <f>'11 - 2022'!J18-'11 - 2022'!J17</f>
        <v>0</v>
      </c>
      <c r="J12" s="13">
        <v>8.1000000000000003E-2</v>
      </c>
      <c r="K12" s="21">
        <f>'11 - 2022'!H18-'11 - 2022'!H17</f>
        <v>0</v>
      </c>
      <c r="L12" s="15">
        <f>'11 - 2022'!I18-'11 - 2022'!I17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0</v>
      </c>
      <c r="F13" s="13">
        <v>0.11799999999999999</v>
      </c>
      <c r="G13" s="15">
        <f>'11 - 2022'!D19-'11 - 2022'!D18+'11 - 2022'!E19-'11 - 2022'!E18</f>
        <v>0</v>
      </c>
      <c r="H13" s="13">
        <v>0.99</v>
      </c>
      <c r="I13" s="15">
        <f>'11 - 2022'!J19-'11 - 2022'!J18</f>
        <v>0</v>
      </c>
      <c r="J13" s="13">
        <v>8.1000000000000003E-2</v>
      </c>
      <c r="K13" s="21">
        <f>'11 - 2022'!H19-'11 - 2022'!H18</f>
        <v>0</v>
      </c>
      <c r="L13" s="15">
        <f>'11 - 2022'!I19-'11 - 2022'!I18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0</v>
      </c>
      <c r="F14" s="13">
        <v>0.11799999999999999</v>
      </c>
      <c r="G14" s="15">
        <f>'11 - 2022'!D20-'11 - 2022'!D19+'11 - 2022'!E20-'11 - 2022'!E19</f>
        <v>0</v>
      </c>
      <c r="H14" s="13">
        <v>0.99</v>
      </c>
      <c r="I14" s="15">
        <f>'11 - 2022'!J20-'11 - 2022'!J19</f>
        <v>0</v>
      </c>
      <c r="J14" s="13">
        <v>8.1000000000000003E-2</v>
      </c>
      <c r="K14" s="21">
        <f>'11 - 2022'!H20-'11 - 2022'!H19</f>
        <v>0</v>
      </c>
      <c r="L14" s="15">
        <f>'11 - 2022'!I20-'11 - 2022'!I19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0</v>
      </c>
      <c r="F15" s="13">
        <v>0.11799999999999999</v>
      </c>
      <c r="G15" s="15">
        <f>'11 - 2022'!D21-'11 - 2022'!D20+'11 - 2022'!E21-'11 - 2022'!E20</f>
        <v>0</v>
      </c>
      <c r="H15" s="13">
        <v>0.99</v>
      </c>
      <c r="I15" s="15">
        <f>'11 - 2022'!J21-'11 - 2022'!J20</f>
        <v>0</v>
      </c>
      <c r="J15" s="13">
        <v>8.1000000000000003E-2</v>
      </c>
      <c r="K15" s="21">
        <f>'11 - 2022'!H21-'11 - 2022'!H20</f>
        <v>0</v>
      </c>
      <c r="L15" s="15">
        <f>'11 - 2022'!I21-'11 - 2022'!I20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0</v>
      </c>
      <c r="F16" s="13">
        <v>0.11799999999999999</v>
      </c>
      <c r="G16" s="15">
        <f>'11 - 2022'!D22-'11 - 2022'!D21+'11 - 2022'!E22-'11 - 2022'!E21</f>
        <v>0</v>
      </c>
      <c r="H16" s="13">
        <v>0.99</v>
      </c>
      <c r="I16" s="15">
        <f>'11 - 2022'!J22-'11 - 2022'!J21</f>
        <v>0</v>
      </c>
      <c r="J16" s="13">
        <v>8.1000000000000003E-2</v>
      </c>
      <c r="K16" s="21">
        <f>'11 - 2022'!H22-'11 - 2022'!H21</f>
        <v>0</v>
      </c>
      <c r="L16" s="15">
        <f>'11 - 2022'!I22-'11 - 2022'!I21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0</v>
      </c>
      <c r="F17" s="13">
        <v>0.11799999999999999</v>
      </c>
      <c r="G17" s="15">
        <f>'11 - 2022'!D23-'11 - 2022'!D22+'11 - 2022'!E23-'11 - 2022'!E22</f>
        <v>0</v>
      </c>
      <c r="H17" s="13">
        <v>0.99</v>
      </c>
      <c r="I17" s="15">
        <f>'11 - 2022'!J23-'11 - 2022'!J22</f>
        <v>0</v>
      </c>
      <c r="J17" s="13">
        <v>8.1000000000000003E-2</v>
      </c>
      <c r="K17" s="21">
        <f>'11 - 2022'!H23-'11 - 2022'!H22</f>
        <v>0</v>
      </c>
      <c r="L17" s="15">
        <f>'11 - 2022'!I23-'11 - 2022'!I22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0</v>
      </c>
      <c r="F18" s="13">
        <v>0.11799999999999999</v>
      </c>
      <c r="G18" s="15">
        <f>'11 - 2022'!D24-'11 - 2022'!D23+'11 - 2022'!E24-'11 - 2022'!E23</f>
        <v>0</v>
      </c>
      <c r="H18" s="13">
        <v>0.99</v>
      </c>
      <c r="I18" s="15">
        <f>'11 - 2022'!J24-'11 - 2022'!J23</f>
        <v>0</v>
      </c>
      <c r="J18" s="13">
        <v>8.1000000000000003E-2</v>
      </c>
      <c r="K18" s="21">
        <f>'11 - 2022'!H24-'11 - 2022'!H23</f>
        <v>0</v>
      </c>
      <c r="L18" s="15">
        <f>'11 - 2022'!I24-'11 - 2022'!I23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0</v>
      </c>
      <c r="F19" s="13">
        <v>0.11799999999999999</v>
      </c>
      <c r="G19" s="15">
        <f>'11 - 2022'!D25-'11 - 2022'!D24+'11 - 2022'!E25-'11 - 2022'!E24</f>
        <v>0</v>
      </c>
      <c r="H19" s="13">
        <v>0.99</v>
      </c>
      <c r="I19" s="15">
        <f>'11 - 2022'!J25-'11 - 2022'!J24</f>
        <v>0</v>
      </c>
      <c r="J19" s="13">
        <v>8.1000000000000003E-2</v>
      </c>
      <c r="K19" s="21">
        <f>'11 - 2022'!H25-'11 - 2022'!H24</f>
        <v>0</v>
      </c>
      <c r="L19" s="15">
        <f>'11 - 2022'!I25-'11 - 2022'!I24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0</v>
      </c>
      <c r="F20" s="13">
        <v>0.11799999999999999</v>
      </c>
      <c r="G20" s="15">
        <f>'11 - 2022'!D26-'11 - 2022'!D25+'11 - 2022'!E26-'11 - 2022'!E25</f>
        <v>0</v>
      </c>
      <c r="H20" s="13">
        <v>0.99</v>
      </c>
      <c r="I20" s="15">
        <f>'11 - 2022'!J26-'11 - 2022'!J25</f>
        <v>0</v>
      </c>
      <c r="J20" s="13">
        <v>8.1000000000000003E-2</v>
      </c>
      <c r="K20" s="21">
        <f>'11 - 2022'!H26-'11 - 2022'!H25</f>
        <v>0</v>
      </c>
      <c r="L20" s="15">
        <f>'11 - 2022'!I26-'11 - 2022'!I25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0</v>
      </c>
      <c r="F21" s="13">
        <v>0.11799999999999999</v>
      </c>
      <c r="G21" s="15">
        <f>'11 - 2022'!D27-'11 - 2022'!D26+'11 - 2022'!E27-'11 - 2022'!E26</f>
        <v>0</v>
      </c>
      <c r="H21" s="13">
        <v>0.99</v>
      </c>
      <c r="I21" s="15">
        <f>'11 - 2022'!J27-'11 - 2022'!J26</f>
        <v>0</v>
      </c>
      <c r="J21" s="13">
        <v>8.1000000000000003E-2</v>
      </c>
      <c r="K21" s="21">
        <f>'11 - 2022'!H27-'11 - 2022'!H26</f>
        <v>0</v>
      </c>
      <c r="L21" s="15">
        <f>'11 - 2022'!I27-'11 - 2022'!I26</f>
        <v>0</v>
      </c>
      <c r="M21" s="14">
        <v>4.393629424766913</v>
      </c>
      <c r="N21" s="39"/>
    </row>
    <row r="22" spans="1:17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0</v>
      </c>
      <c r="F22" s="13">
        <v>0.11799999999999999</v>
      </c>
      <c r="G22" s="15">
        <f>'11 - 2022'!D28-'11 - 2022'!D27+'11 - 2022'!E28-'11 - 2022'!E27</f>
        <v>0</v>
      </c>
      <c r="H22" s="13">
        <v>0.99</v>
      </c>
      <c r="I22" s="15">
        <f>'11 - 2022'!J28-'11 - 2022'!J27</f>
        <v>0</v>
      </c>
      <c r="J22" s="13">
        <v>8.1000000000000003E-2</v>
      </c>
      <c r="K22" s="21">
        <f>'11 - 2022'!H28-'11 - 2022'!H27</f>
        <v>0</v>
      </c>
      <c r="L22" s="15">
        <f>'11 - 2022'!I28-'11 - 2022'!I27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0</v>
      </c>
      <c r="F23" s="13">
        <v>0.11799999999999999</v>
      </c>
      <c r="G23" s="15">
        <f>'11 - 2022'!D29-'11 - 2022'!D28+'11 - 2022'!E29-'11 - 2022'!E28</f>
        <v>0</v>
      </c>
      <c r="H23" s="13">
        <v>0.99</v>
      </c>
      <c r="I23" s="15">
        <f>'11 - 2022'!J29-'11 - 2022'!J28</f>
        <v>0</v>
      </c>
      <c r="J23" s="13">
        <v>8.1000000000000003E-2</v>
      </c>
      <c r="K23" s="21">
        <f>'11 - 2022'!H29-'11 - 2022'!H28</f>
        <v>0</v>
      </c>
      <c r="L23" s="15">
        <f>'11 - 2022'!I29-'11 - 2022'!I28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0</v>
      </c>
      <c r="F24" s="13">
        <v>0.11799999999999999</v>
      </c>
      <c r="G24" s="15">
        <f>'11 - 2022'!D30-'11 - 2022'!D29+'11 - 2022'!E30-'11 - 2022'!E29</f>
        <v>0</v>
      </c>
      <c r="H24" s="13">
        <v>0.99</v>
      </c>
      <c r="I24" s="15">
        <f>'11 - 2022'!J30-'11 - 2022'!J29</f>
        <v>0</v>
      </c>
      <c r="J24" s="13">
        <v>8.1000000000000003E-2</v>
      </c>
      <c r="K24" s="21">
        <f>'11 - 2022'!H30-'11 - 2022'!H29</f>
        <v>0</v>
      </c>
      <c r="L24" s="15">
        <f>'11 - 2022'!I30-'11 - 2022'!I29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0</v>
      </c>
      <c r="F25" s="13">
        <v>0.11799999999999999</v>
      </c>
      <c r="G25" s="15">
        <f>'11 - 2022'!D31-'11 - 2022'!D30+'11 - 2022'!E31-'11 - 2022'!E30</f>
        <v>0</v>
      </c>
      <c r="H25" s="13">
        <v>0.99</v>
      </c>
      <c r="I25" s="15">
        <f>'11 - 2022'!J31-'11 - 2022'!J30</f>
        <v>0</v>
      </c>
      <c r="J25" s="13">
        <v>8.1000000000000003E-2</v>
      </c>
      <c r="K25" s="21">
        <f>'11 - 2022'!H31-'11 - 2022'!H30</f>
        <v>0</v>
      </c>
      <c r="L25" s="15">
        <f>'11 - 2022'!I31-'11 - 2022'!I30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4" sqref="P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v>0</v>
      </c>
      <c r="F3" s="15">
        <v>0</v>
      </c>
      <c r="G3" s="13">
        <v>0.11799999999999999</v>
      </c>
      <c r="H3" s="15">
        <v>0</v>
      </c>
      <c r="I3" s="15">
        <v>0</v>
      </c>
      <c r="J3" s="15">
        <v>0</v>
      </c>
      <c r="K3" s="13">
        <v>0.74</v>
      </c>
      <c r="L3" s="39"/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0</v>
      </c>
      <c r="F4" s="15">
        <f>'11 - 2022'!C10-'11 - 2022'!C9</f>
        <v>0</v>
      </c>
      <c r="G4" s="13">
        <v>0.11799999999999999</v>
      </c>
      <c r="H4" s="15">
        <f>'11 - 2022'!E10-'11 - 2022'!E9</f>
        <v>0</v>
      </c>
      <c r="I4" s="15">
        <f>'11 - 2022'!F10-'11 - 2022'!F9</f>
        <v>0</v>
      </c>
      <c r="J4" s="15">
        <f>'11 - 2022'!G10-'11 - 2022'!G9</f>
        <v>0</v>
      </c>
      <c r="K4" s="13">
        <v>0.74</v>
      </c>
      <c r="L4" s="16"/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0</v>
      </c>
      <c r="F5" s="15">
        <f>'11 - 2022'!C11-'11 - 2022'!C10</f>
        <v>0</v>
      </c>
      <c r="G5" s="13">
        <v>0.11799999999999999</v>
      </c>
      <c r="H5" s="15">
        <f>'11 - 2022'!E11-'11 - 2022'!E10</f>
        <v>0</v>
      </c>
      <c r="I5" s="15">
        <f>'11 - 2022'!F11-'11 - 2022'!F10</f>
        <v>0</v>
      </c>
      <c r="J5" s="15">
        <f>'11 - 2022'!G11-'11 - 2022'!G10</f>
        <v>0</v>
      </c>
      <c r="K5" s="13">
        <v>0.74</v>
      </c>
      <c r="L5" s="16"/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0</v>
      </c>
      <c r="F6" s="15">
        <f>'11 - 2022'!C12-'11 - 2022'!C11</f>
        <v>0</v>
      </c>
      <c r="G6" s="13">
        <v>0.11799999999999999</v>
      </c>
      <c r="H6" s="15">
        <f>'11 - 2022'!E12-'11 - 2022'!E11</f>
        <v>0</v>
      </c>
      <c r="I6" s="15">
        <f>'11 - 2022'!F12-'11 - 2022'!F11</f>
        <v>0</v>
      </c>
      <c r="J6" s="15">
        <f>'11 - 2022'!G12-'11 - 2022'!G11</f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0</v>
      </c>
      <c r="F7" s="15">
        <f>'11 - 2022'!C13-'11 - 2022'!C12</f>
        <v>0</v>
      </c>
      <c r="G7" s="13">
        <v>0.11799999999999999</v>
      </c>
      <c r="H7" s="15">
        <f>'11 - 2022'!E13-'11 - 2022'!E12</f>
        <v>0</v>
      </c>
      <c r="I7" s="15">
        <f>'11 - 2022'!F13-'11 - 2022'!F12</f>
        <v>0</v>
      </c>
      <c r="J7" s="15">
        <f>'11 - 2022'!G13-'11 - 2022'!G12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0</v>
      </c>
      <c r="F8" s="15">
        <f>'11 - 2022'!C14-'11 - 2022'!C13</f>
        <v>0</v>
      </c>
      <c r="G8" s="13">
        <v>0.11799999999999999</v>
      </c>
      <c r="H8" s="15">
        <f>'11 - 2022'!E14-'11 - 2022'!E13</f>
        <v>0</v>
      </c>
      <c r="I8" s="15">
        <f>'11 - 2022'!F14-'11 - 2022'!F13</f>
        <v>0</v>
      </c>
      <c r="J8" s="15">
        <f>'11 - 2022'!G14-'11 - 2022'!G13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0</v>
      </c>
      <c r="F9" s="15">
        <f>'11 - 2022'!C15-'11 - 2022'!C14</f>
        <v>0</v>
      </c>
      <c r="G9" s="13">
        <v>0.11799999999999999</v>
      </c>
      <c r="H9" s="15">
        <f>'11 - 2022'!E15-'11 - 2022'!E14</f>
        <v>0</v>
      </c>
      <c r="I9" s="15">
        <f>'11 - 2022'!F15-'11 - 2022'!F14</f>
        <v>0</v>
      </c>
      <c r="J9" s="15">
        <f>'11 - 2022'!G15-'11 - 2022'!G14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0</v>
      </c>
      <c r="F10" s="15">
        <f>'11 - 2022'!C16-'11 - 2022'!C15</f>
        <v>0</v>
      </c>
      <c r="G10" s="13">
        <v>0.11799999999999999</v>
      </c>
      <c r="H10" s="15">
        <f>'11 - 2022'!E16-'11 - 2022'!E15</f>
        <v>0</v>
      </c>
      <c r="I10" s="15">
        <f>'11 - 2022'!F16-'11 - 2022'!F15</f>
        <v>0</v>
      </c>
      <c r="J10" s="15">
        <f>'11 - 2022'!G16-'11 - 2022'!G15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0</v>
      </c>
      <c r="F11" s="15">
        <f>'11 - 2022'!C17-'11 - 2022'!C16</f>
        <v>0</v>
      </c>
      <c r="G11" s="13">
        <v>0.11799999999999999</v>
      </c>
      <c r="H11" s="15">
        <f>'11 - 2022'!E17-'11 - 2022'!E16</f>
        <v>0</v>
      </c>
      <c r="I11" s="15">
        <f>'11 - 2022'!F17-'11 - 2022'!F16</f>
        <v>0</v>
      </c>
      <c r="J11" s="15">
        <f>'11 - 2022'!G17-'11 - 2022'!G16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0</v>
      </c>
      <c r="F12" s="15">
        <f>'11 - 2022'!C18-'11 - 2022'!C17</f>
        <v>0</v>
      </c>
      <c r="G12" s="13">
        <v>0.11799999999999999</v>
      </c>
      <c r="H12" s="15">
        <f>'11 - 2022'!E18-'11 - 2022'!E17</f>
        <v>0</v>
      </c>
      <c r="I12" s="15">
        <f>'11 - 2022'!F18-'11 - 2022'!F17</f>
        <v>0</v>
      </c>
      <c r="J12" s="15">
        <f>'11 - 2022'!G18-'11 - 2022'!G17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0</v>
      </c>
      <c r="F13" s="15">
        <f>'11 - 2022'!C19-'11 - 2022'!C18</f>
        <v>0</v>
      </c>
      <c r="G13" s="13">
        <v>0.11799999999999999</v>
      </c>
      <c r="H13" s="15">
        <f>'11 - 2022'!E19-'11 - 2022'!E18</f>
        <v>0</v>
      </c>
      <c r="I13" s="15">
        <f>'11 - 2022'!F19-'11 - 2022'!F18</f>
        <v>0</v>
      </c>
      <c r="J13" s="15">
        <f>'11 - 2022'!G19-'11 - 2022'!G18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0</v>
      </c>
      <c r="F14" s="15">
        <f>'11 - 2022'!C20-'11 - 2022'!C19</f>
        <v>0</v>
      </c>
      <c r="G14" s="13">
        <v>0.11799999999999999</v>
      </c>
      <c r="H14" s="15">
        <f>'11 - 2022'!E20-'11 - 2022'!E19</f>
        <v>0</v>
      </c>
      <c r="I14" s="15">
        <f>'11 - 2022'!F20-'11 - 2022'!F19</f>
        <v>0</v>
      </c>
      <c r="J14" s="15">
        <f>'11 - 2022'!G20-'11 - 2022'!G19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0</v>
      </c>
      <c r="F15" s="15">
        <f>'11 - 2022'!C21-'11 - 2022'!C20</f>
        <v>0</v>
      </c>
      <c r="G15" s="13">
        <v>0.11799999999999999</v>
      </c>
      <c r="H15" s="15">
        <f>'11 - 2022'!E21-'11 - 2022'!E20</f>
        <v>0</v>
      </c>
      <c r="I15" s="15">
        <f>'11 - 2022'!F21-'11 - 2022'!F20</f>
        <v>0</v>
      </c>
      <c r="J15" s="15">
        <f>'11 - 2022'!G21-'11 - 2022'!G20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0</v>
      </c>
      <c r="F16" s="15">
        <f>'11 - 2022'!C22-'11 - 2022'!C21</f>
        <v>0</v>
      </c>
      <c r="G16" s="13">
        <v>0.11799999999999999</v>
      </c>
      <c r="H16" s="15">
        <f>'11 - 2022'!E22-'11 - 2022'!E21</f>
        <v>0</v>
      </c>
      <c r="I16" s="15">
        <f>'11 - 2022'!F22-'11 - 2022'!F21</f>
        <v>0</v>
      </c>
      <c r="J16" s="15">
        <f>'11 - 2022'!G22-'11 - 2022'!G21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0</v>
      </c>
      <c r="F17" s="15">
        <f>'11 - 2022'!C23-'11 - 2022'!C22</f>
        <v>0</v>
      </c>
      <c r="G17" s="13">
        <v>0.11799999999999999</v>
      </c>
      <c r="H17" s="15">
        <f>'11 - 2022'!E23-'11 - 2022'!E22</f>
        <v>0</v>
      </c>
      <c r="I17" s="15">
        <f>'11 - 2022'!F23-'11 - 2022'!F22</f>
        <v>0</v>
      </c>
      <c r="J17" s="15">
        <f>'11 - 2022'!G23-'11 - 2022'!G22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0</v>
      </c>
      <c r="F18" s="15">
        <f>'11 - 2022'!C24-'11 - 2022'!C23</f>
        <v>0</v>
      </c>
      <c r="G18" s="13">
        <v>0.11799999999999999</v>
      </c>
      <c r="H18" s="15">
        <f>'11 - 2022'!E24-'11 - 2022'!E23</f>
        <v>0</v>
      </c>
      <c r="I18" s="15">
        <f>'11 - 2022'!F24-'11 - 2022'!F23</f>
        <v>0</v>
      </c>
      <c r="J18" s="15">
        <f>'11 - 2022'!G24-'11 - 2022'!G23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0</v>
      </c>
      <c r="F19" s="15">
        <f>'11 - 2022'!C25-'11 - 2022'!C24</f>
        <v>0</v>
      </c>
      <c r="G19" s="13">
        <v>0.11799999999999999</v>
      </c>
      <c r="H19" s="15">
        <f>'11 - 2022'!E25-'11 - 2022'!E24</f>
        <v>0</v>
      </c>
      <c r="I19" s="15">
        <f>'11 - 2022'!F25-'11 - 2022'!F24</f>
        <v>0</v>
      </c>
      <c r="J19" s="15">
        <f>'11 - 2022'!G25-'11 - 2022'!G24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0</v>
      </c>
      <c r="F20" s="15">
        <f>'11 - 2022'!C26-'11 - 2022'!C25</f>
        <v>0</v>
      </c>
      <c r="G20" s="13">
        <v>0.11799999999999999</v>
      </c>
      <c r="H20" s="15">
        <f>'11 - 2022'!E26-'11 - 2022'!E25</f>
        <v>0</v>
      </c>
      <c r="I20" s="15">
        <f>'11 - 2022'!F26-'11 - 2022'!F25</f>
        <v>0</v>
      </c>
      <c r="J20" s="15">
        <f>'11 - 2022'!G26-'11 - 2022'!G25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0</v>
      </c>
      <c r="F21" s="15">
        <f>'11 - 2022'!C27-'11 - 2022'!C26</f>
        <v>0</v>
      </c>
      <c r="G21" s="13">
        <v>0.11799999999999999</v>
      </c>
      <c r="H21" s="15">
        <f>'11 - 2022'!E27-'11 - 2022'!E26</f>
        <v>0</v>
      </c>
      <c r="I21" s="15">
        <f>'11 - 2022'!F27-'11 - 2022'!F26</f>
        <v>0</v>
      </c>
      <c r="J21" s="15">
        <f>'11 - 2022'!G27-'11 - 2022'!G26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0</v>
      </c>
      <c r="F22" s="15">
        <f>'11 - 2022'!C28-'11 - 2022'!C27</f>
        <v>0</v>
      </c>
      <c r="G22" s="13">
        <v>0.11799999999999999</v>
      </c>
      <c r="H22" s="15">
        <f>'11 - 2022'!E28-'11 - 2022'!E27</f>
        <v>0</v>
      </c>
      <c r="I22" s="15">
        <f>'11 - 2022'!F28-'11 - 2022'!F27</f>
        <v>0</v>
      </c>
      <c r="J22" s="15">
        <f>'11 - 2022'!G28-'11 - 2022'!G27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0</v>
      </c>
      <c r="F23" s="15">
        <f>'11 - 2022'!C29-'11 - 2022'!C28</f>
        <v>0</v>
      </c>
      <c r="G23" s="13">
        <v>0.11799999999999999</v>
      </c>
      <c r="H23" s="15">
        <f>'11 - 2022'!E29-'11 - 2022'!E28</f>
        <v>0</v>
      </c>
      <c r="I23" s="15">
        <f>'11 - 2022'!F29-'11 - 2022'!F28</f>
        <v>0</v>
      </c>
      <c r="J23" s="15">
        <f>'11 - 2022'!G29-'11 - 2022'!G28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0</v>
      </c>
      <c r="F24" s="15">
        <f>'11 - 2022'!C30-'11 - 2022'!C29</f>
        <v>0</v>
      </c>
      <c r="G24" s="13">
        <v>0.11799999999999999</v>
      </c>
      <c r="H24" s="15">
        <f>'11 - 2022'!E30-'11 - 2022'!E29</f>
        <v>0</v>
      </c>
      <c r="I24" s="15">
        <f>'11 - 2022'!F30-'11 - 2022'!F29</f>
        <v>0</v>
      </c>
      <c r="J24" s="15">
        <f>'11 - 2022'!G30-'11 - 2022'!G29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0</v>
      </c>
      <c r="F25" s="15">
        <f>'11 - 2022'!C31-'11 - 2022'!C30</f>
        <v>0</v>
      </c>
      <c r="G25" s="13">
        <v>0.11799999999999999</v>
      </c>
      <c r="H25" s="15">
        <f>'11 - 2022'!E31-'11 - 2022'!E30</f>
        <v>0</v>
      </c>
      <c r="I25" s="15">
        <f>'11 - 2022'!F31-'11 - 2022'!F30</f>
        <v>0</v>
      </c>
      <c r="J25" s="15">
        <f>'11 - 2022'!G31-'11 - 2022'!G30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L24" sqref="L24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2"/>
      <c r="L3" s="52"/>
    </row>
    <row r="4" spans="1:17" ht="16.5" thickBot="1" x14ac:dyDescent="0.3">
      <c r="A4" s="95" t="s">
        <v>38</v>
      </c>
      <c r="B4" s="95"/>
      <c r="C4" s="95"/>
      <c r="D4" s="95"/>
      <c r="E4" s="95"/>
      <c r="F4" s="95"/>
      <c r="G4" s="95"/>
      <c r="H4" s="95"/>
      <c r="I4" s="95"/>
      <c r="J4" s="95"/>
      <c r="K4" s="52"/>
      <c r="L4" s="52"/>
    </row>
    <row r="5" spans="1:17" ht="16.5" thickBot="1" x14ac:dyDescent="0.3">
      <c r="A5" s="53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53"/>
      <c r="L5" s="52"/>
    </row>
    <row r="6" spans="1:17" ht="12" customHeight="1" x14ac:dyDescent="0.25">
      <c r="A6" s="54" t="s">
        <v>3</v>
      </c>
      <c r="B6" s="55" t="s">
        <v>33</v>
      </c>
      <c r="C6" s="56" t="s">
        <v>34</v>
      </c>
      <c r="D6" s="56" t="s">
        <v>4</v>
      </c>
      <c r="E6" s="56" t="s">
        <v>5</v>
      </c>
      <c r="F6" s="56" t="s">
        <v>6</v>
      </c>
      <c r="G6" s="57" t="s">
        <v>7</v>
      </c>
      <c r="H6" s="56" t="s">
        <v>28</v>
      </c>
      <c r="I6" s="56" t="s">
        <v>29</v>
      </c>
      <c r="J6" s="56" t="s">
        <v>8</v>
      </c>
      <c r="K6" s="80" t="s">
        <v>31</v>
      </c>
      <c r="L6" s="81" t="s">
        <v>32</v>
      </c>
    </row>
    <row r="7" spans="1:17" s="27" customFormat="1" ht="12.95" customHeight="1" thickBot="1" x14ac:dyDescent="0.3">
      <c r="A7" s="82">
        <v>44865</v>
      </c>
      <c r="B7" s="83">
        <v>733438</v>
      </c>
      <c r="C7" s="84">
        <v>805563</v>
      </c>
      <c r="D7" s="85">
        <v>0.42</v>
      </c>
      <c r="E7" s="86">
        <v>5686.06</v>
      </c>
      <c r="F7" s="87">
        <v>3685.88</v>
      </c>
      <c r="G7" s="87">
        <v>47050.26</v>
      </c>
      <c r="H7" s="83">
        <v>14528</v>
      </c>
      <c r="I7" s="83">
        <v>176040</v>
      </c>
      <c r="J7" s="83">
        <v>61124038</v>
      </c>
      <c r="K7" s="88"/>
      <c r="L7" s="89"/>
      <c r="M7" s="26"/>
    </row>
    <row r="8" spans="1:17" s="29" customFormat="1" ht="12.95" customHeight="1" thickTop="1" thickBot="1" x14ac:dyDescent="0.3">
      <c r="A8" s="60">
        <f>A7+1</f>
        <v>44866</v>
      </c>
      <c r="B8" s="61">
        <v>737533</v>
      </c>
      <c r="C8" s="61">
        <v>811658</v>
      </c>
      <c r="D8" s="40"/>
      <c r="E8" s="62">
        <v>5708.86</v>
      </c>
      <c r="F8" s="41">
        <v>3696.64</v>
      </c>
      <c r="G8" s="61">
        <v>47079.95</v>
      </c>
      <c r="H8" s="83">
        <v>14528</v>
      </c>
      <c r="I8" s="61">
        <v>176612</v>
      </c>
      <c r="J8" s="61">
        <v>61153249</v>
      </c>
      <c r="K8" s="63"/>
      <c r="L8" s="64"/>
      <c r="M8" s="28"/>
    </row>
    <row r="9" spans="1:17" s="29" customFormat="1" ht="12.95" customHeight="1" thickTop="1" x14ac:dyDescent="0.25">
      <c r="A9" s="60">
        <f t="shared" ref="A9:A37" si="0">A8+1</f>
        <v>44867</v>
      </c>
      <c r="B9" s="45"/>
      <c r="C9" s="43"/>
      <c r="D9" s="44"/>
      <c r="E9" s="62"/>
      <c r="F9" s="43"/>
      <c r="G9" s="43"/>
      <c r="H9" s="45"/>
      <c r="I9" s="45"/>
      <c r="J9" s="45"/>
      <c r="K9" s="59"/>
      <c r="L9" s="65"/>
      <c r="M9" s="28"/>
    </row>
    <row r="10" spans="1:17" s="29" customFormat="1" ht="12.95" customHeight="1" x14ac:dyDescent="0.25">
      <c r="A10" s="60">
        <f t="shared" si="0"/>
        <v>44868</v>
      </c>
      <c r="B10" s="45"/>
      <c r="C10" s="45"/>
      <c r="D10" s="44"/>
      <c r="E10" s="66"/>
      <c r="F10" s="43"/>
      <c r="G10" s="43"/>
      <c r="H10" s="45"/>
      <c r="I10" s="45"/>
      <c r="J10" s="46"/>
      <c r="K10" s="59"/>
      <c r="L10" s="67"/>
      <c r="M10" s="28"/>
    </row>
    <row r="11" spans="1:17" s="29" customFormat="1" ht="12.95" customHeight="1" x14ac:dyDescent="0.25">
      <c r="A11" s="60">
        <f t="shared" si="0"/>
        <v>44869</v>
      </c>
      <c r="B11" s="45"/>
      <c r="C11" s="45"/>
      <c r="D11" s="44"/>
      <c r="E11" s="43"/>
      <c r="F11" s="43"/>
      <c r="G11" s="43"/>
      <c r="H11" s="45"/>
      <c r="I11" s="45"/>
      <c r="J11" s="45"/>
      <c r="K11" s="59"/>
      <c r="L11" s="67"/>
      <c r="M11" s="28"/>
    </row>
    <row r="12" spans="1:17" s="29" customFormat="1" ht="12.95" customHeight="1" x14ac:dyDescent="0.2">
      <c r="A12" s="60">
        <f t="shared" si="0"/>
        <v>44870</v>
      </c>
      <c r="B12" s="42"/>
      <c r="C12" s="42"/>
      <c r="D12" s="44"/>
      <c r="E12" s="68"/>
      <c r="F12" s="42"/>
      <c r="G12" s="42"/>
      <c r="H12" s="42"/>
      <c r="I12" s="42"/>
      <c r="J12" s="42"/>
      <c r="K12" s="59"/>
      <c r="L12" s="67"/>
      <c r="M12" s="28"/>
      <c r="N12" s="30"/>
    </row>
    <row r="13" spans="1:17" s="29" customFormat="1" ht="12.95" customHeight="1" x14ac:dyDescent="0.25">
      <c r="A13" s="60">
        <f t="shared" si="0"/>
        <v>44871</v>
      </c>
      <c r="B13" s="47"/>
      <c r="C13" s="43"/>
      <c r="D13" s="44"/>
      <c r="E13" s="66"/>
      <c r="F13" s="43"/>
      <c r="G13" s="43"/>
      <c r="H13" s="45"/>
      <c r="I13" s="43"/>
      <c r="J13" s="43"/>
      <c r="K13" s="59"/>
      <c r="L13" s="69"/>
      <c r="M13" s="28"/>
      <c r="N13" s="31"/>
      <c r="O13" s="31"/>
      <c r="P13" s="31"/>
      <c r="Q13" s="31"/>
    </row>
    <row r="14" spans="1:17" s="29" customFormat="1" ht="12.95" customHeight="1" x14ac:dyDescent="0.25">
      <c r="A14" s="60">
        <f t="shared" si="0"/>
        <v>44872</v>
      </c>
      <c r="B14" s="45"/>
      <c r="C14" s="45"/>
      <c r="D14" s="44"/>
      <c r="E14" s="66"/>
      <c r="F14" s="43"/>
      <c r="G14" s="43"/>
      <c r="H14" s="45"/>
      <c r="I14" s="45"/>
      <c r="J14" s="45"/>
      <c r="K14" s="59"/>
      <c r="L14" s="67"/>
      <c r="M14" s="28"/>
      <c r="N14" s="31"/>
      <c r="O14" s="31"/>
      <c r="P14" s="31"/>
      <c r="Q14" s="31"/>
    </row>
    <row r="15" spans="1:17" s="29" customFormat="1" ht="12.95" customHeight="1" x14ac:dyDescent="0.25">
      <c r="A15" s="60">
        <f t="shared" si="0"/>
        <v>44873</v>
      </c>
      <c r="B15" s="45"/>
      <c r="C15" s="45"/>
      <c r="D15" s="44"/>
      <c r="E15" s="43"/>
      <c r="F15" s="70"/>
      <c r="G15" s="43"/>
      <c r="H15" s="45"/>
      <c r="I15" s="45"/>
      <c r="J15" s="45"/>
      <c r="K15" s="59"/>
      <c r="L15" s="67"/>
      <c r="M15" s="28"/>
      <c r="N15" s="31"/>
      <c r="O15" s="31"/>
      <c r="P15" s="31"/>
      <c r="Q15" s="31"/>
    </row>
    <row r="16" spans="1:17" s="29" customFormat="1" ht="12.95" customHeight="1" x14ac:dyDescent="0.25">
      <c r="A16" s="60">
        <f t="shared" si="0"/>
        <v>44874</v>
      </c>
      <c r="B16" s="71"/>
      <c r="C16" s="45"/>
      <c r="D16" s="44"/>
      <c r="E16" s="43"/>
      <c r="F16" s="70"/>
      <c r="G16" s="43"/>
      <c r="H16" s="45"/>
      <c r="I16" s="45"/>
      <c r="J16" s="45"/>
      <c r="K16" s="59"/>
      <c r="L16" s="67"/>
      <c r="M16" s="28"/>
      <c r="N16" s="31"/>
      <c r="O16" s="31"/>
      <c r="P16" s="31"/>
      <c r="Q16" s="31"/>
    </row>
    <row r="17" spans="1:19" s="29" customFormat="1" ht="12.95" customHeight="1" x14ac:dyDescent="0.25">
      <c r="A17" s="60">
        <f t="shared" si="0"/>
        <v>44875</v>
      </c>
      <c r="B17" s="43"/>
      <c r="C17" s="43"/>
      <c r="D17" s="44"/>
      <c r="E17" s="43"/>
      <c r="F17" s="70"/>
      <c r="G17" s="43"/>
      <c r="H17" s="45"/>
      <c r="I17" s="43"/>
      <c r="J17" s="43"/>
      <c r="K17" s="59"/>
      <c r="L17" s="67"/>
      <c r="M17" s="28"/>
      <c r="N17" s="31"/>
      <c r="O17" s="31"/>
      <c r="P17" s="31"/>
      <c r="Q17" s="31"/>
    </row>
    <row r="18" spans="1:19" s="29" customFormat="1" ht="12.95" customHeight="1" x14ac:dyDescent="0.25">
      <c r="A18" s="60">
        <f t="shared" si="0"/>
        <v>44876</v>
      </c>
      <c r="B18" s="45"/>
      <c r="C18" s="45"/>
      <c r="D18" s="44"/>
      <c r="E18" s="43"/>
      <c r="F18" s="43"/>
      <c r="G18" s="43"/>
      <c r="H18" s="45"/>
      <c r="I18" s="45"/>
      <c r="J18" s="45"/>
      <c r="K18" s="59"/>
      <c r="L18" s="67"/>
      <c r="M18" s="28"/>
      <c r="N18" s="31"/>
      <c r="O18" s="22"/>
      <c r="P18" s="31"/>
      <c r="Q18" s="31"/>
    </row>
    <row r="19" spans="1:19" s="29" customFormat="1" ht="12.95" customHeight="1" x14ac:dyDescent="0.25">
      <c r="A19" s="60">
        <f t="shared" si="0"/>
        <v>44877</v>
      </c>
      <c r="B19" s="45"/>
      <c r="C19" s="45"/>
      <c r="D19" s="44"/>
      <c r="E19" s="43"/>
      <c r="F19" s="43"/>
      <c r="G19" s="43"/>
      <c r="H19" s="45"/>
      <c r="I19" s="45"/>
      <c r="J19" s="45"/>
      <c r="K19" s="59"/>
      <c r="L19" s="67"/>
      <c r="M19" s="28"/>
      <c r="N19" s="31"/>
      <c r="O19" s="22"/>
      <c r="P19" s="31"/>
      <c r="Q19" s="31"/>
    </row>
    <row r="20" spans="1:19" s="29" customFormat="1" ht="12.95" customHeight="1" x14ac:dyDescent="0.25">
      <c r="A20" s="60">
        <f t="shared" si="0"/>
        <v>44878</v>
      </c>
      <c r="B20" s="49"/>
      <c r="C20" s="49"/>
      <c r="D20" s="44"/>
      <c r="E20" s="45"/>
      <c r="F20" s="45"/>
      <c r="G20" s="50"/>
      <c r="H20" s="45"/>
      <c r="I20" s="49"/>
      <c r="J20" s="49"/>
      <c r="K20" s="59"/>
      <c r="L20" s="72"/>
      <c r="M20" s="28"/>
      <c r="N20" s="32"/>
      <c r="O20" s="31"/>
      <c r="P20" s="31"/>
      <c r="Q20" s="31"/>
    </row>
    <row r="21" spans="1:19" s="29" customFormat="1" ht="12.95" customHeight="1" x14ac:dyDescent="0.25">
      <c r="A21" s="60">
        <f t="shared" si="0"/>
        <v>44879</v>
      </c>
      <c r="B21" s="49"/>
      <c r="C21" s="49"/>
      <c r="D21" s="44"/>
      <c r="E21" s="50"/>
      <c r="F21" s="43"/>
      <c r="G21" s="50"/>
      <c r="H21" s="45"/>
      <c r="I21" s="49"/>
      <c r="J21" s="49"/>
      <c r="K21" s="59"/>
      <c r="L21" s="72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60">
        <f t="shared" si="0"/>
        <v>44880</v>
      </c>
      <c r="B22" s="45"/>
      <c r="C22" s="71"/>
      <c r="D22" s="44"/>
      <c r="E22" s="43"/>
      <c r="F22" s="43"/>
      <c r="G22" s="50"/>
      <c r="H22" s="45"/>
      <c r="I22" s="50"/>
      <c r="J22" s="49"/>
      <c r="K22" s="59"/>
      <c r="L22" s="72"/>
      <c r="M22" s="28"/>
      <c r="N22" s="32"/>
      <c r="O22" s="32"/>
      <c r="P22" s="31"/>
      <c r="Q22" s="31"/>
    </row>
    <row r="23" spans="1:19" s="29" customFormat="1" ht="12.95" customHeight="1" x14ac:dyDescent="0.25">
      <c r="A23" s="60">
        <f t="shared" si="0"/>
        <v>44881</v>
      </c>
      <c r="B23" s="49"/>
      <c r="C23" s="49"/>
      <c r="D23" s="44"/>
      <c r="E23" s="50"/>
      <c r="F23" s="43"/>
      <c r="G23" s="50"/>
      <c r="H23" s="45"/>
      <c r="I23" s="49"/>
      <c r="J23" s="49"/>
      <c r="K23" s="59"/>
      <c r="L23" s="72"/>
      <c r="M23" s="28"/>
      <c r="N23" s="32"/>
      <c r="O23" s="31"/>
      <c r="P23" s="31"/>
      <c r="Q23" s="31"/>
    </row>
    <row r="24" spans="1:19" s="29" customFormat="1" ht="12.95" customHeight="1" x14ac:dyDescent="0.25">
      <c r="A24" s="60">
        <f t="shared" si="0"/>
        <v>44882</v>
      </c>
      <c r="B24" s="49"/>
      <c r="C24" s="49"/>
      <c r="D24" s="44"/>
      <c r="E24" s="50"/>
      <c r="F24" s="43"/>
      <c r="G24" s="50"/>
      <c r="H24" s="45"/>
      <c r="I24" s="49"/>
      <c r="J24" s="49"/>
      <c r="K24" s="59"/>
      <c r="L24" s="73"/>
      <c r="M24" s="28"/>
      <c r="N24" s="32"/>
      <c r="O24" s="32"/>
      <c r="P24" s="31"/>
      <c r="Q24" s="31"/>
    </row>
    <row r="25" spans="1:19" s="29" customFormat="1" ht="12.95" customHeight="1" x14ac:dyDescent="0.25">
      <c r="A25" s="60">
        <f t="shared" si="0"/>
        <v>44883</v>
      </c>
      <c r="B25" s="50"/>
      <c r="C25" s="50"/>
      <c r="D25" s="44"/>
      <c r="E25" s="50"/>
      <c r="F25" s="43"/>
      <c r="G25" s="50"/>
      <c r="H25" s="45"/>
      <c r="I25" s="49"/>
      <c r="J25" s="49"/>
      <c r="K25" s="74"/>
      <c r="L25" s="73"/>
      <c r="M25" s="28"/>
      <c r="N25" s="32"/>
      <c r="O25" s="32"/>
      <c r="P25" s="31"/>
      <c r="Q25" s="31"/>
    </row>
    <row r="26" spans="1:19" s="29" customFormat="1" ht="12.95" customHeight="1" x14ac:dyDescent="0.2">
      <c r="A26" s="60">
        <f t="shared" si="0"/>
        <v>44884</v>
      </c>
      <c r="B26" s="50"/>
      <c r="C26" s="50"/>
      <c r="D26" s="48"/>
      <c r="E26" s="50"/>
      <c r="F26" s="43"/>
      <c r="G26" s="50"/>
      <c r="H26" s="45"/>
      <c r="I26" s="49"/>
      <c r="J26" s="49"/>
      <c r="K26" s="59"/>
      <c r="L26" s="73"/>
      <c r="M26" s="28"/>
      <c r="N26" s="32"/>
      <c r="O26" s="32"/>
      <c r="P26" s="31"/>
      <c r="Q26" s="31"/>
    </row>
    <row r="27" spans="1:19" s="29" customFormat="1" ht="12.95" customHeight="1" x14ac:dyDescent="0.25">
      <c r="A27" s="60">
        <f t="shared" si="0"/>
        <v>44885</v>
      </c>
      <c r="B27" s="49"/>
      <c r="C27" s="49"/>
      <c r="D27" s="44"/>
      <c r="E27" s="50"/>
      <c r="F27" s="43"/>
      <c r="G27" s="50"/>
      <c r="H27" s="45"/>
      <c r="I27" s="49"/>
      <c r="J27" s="49"/>
      <c r="K27" s="75"/>
      <c r="L27" s="72"/>
      <c r="M27" s="28"/>
    </row>
    <row r="28" spans="1:19" s="29" customFormat="1" ht="12.95" customHeight="1" x14ac:dyDescent="0.25">
      <c r="A28" s="60">
        <f t="shared" si="0"/>
        <v>44886</v>
      </c>
      <c r="B28" s="49"/>
      <c r="C28" s="49"/>
      <c r="D28" s="44"/>
      <c r="E28" s="50"/>
      <c r="F28" s="43"/>
      <c r="G28" s="50"/>
      <c r="H28" s="45"/>
      <c r="I28" s="49"/>
      <c r="J28" s="49"/>
      <c r="K28" s="59"/>
      <c r="L28" s="72"/>
      <c r="M28" s="28"/>
    </row>
    <row r="29" spans="1:19" s="29" customFormat="1" ht="12.95" customHeight="1" x14ac:dyDescent="0.25">
      <c r="A29" s="60">
        <f t="shared" si="0"/>
        <v>44887</v>
      </c>
      <c r="B29" s="49"/>
      <c r="C29" s="49"/>
      <c r="D29" s="44"/>
      <c r="E29" s="50"/>
      <c r="F29" s="43"/>
      <c r="G29" s="50"/>
      <c r="H29" s="45"/>
      <c r="I29" s="49"/>
      <c r="J29" s="49"/>
      <c r="K29" s="59"/>
      <c r="L29" s="72"/>
      <c r="M29" s="28"/>
      <c r="N29" s="30"/>
    </row>
    <row r="30" spans="1:19" s="29" customFormat="1" ht="12.95" customHeight="1" x14ac:dyDescent="0.25">
      <c r="A30" s="60">
        <f t="shared" si="0"/>
        <v>44888</v>
      </c>
      <c r="B30" s="49"/>
      <c r="C30" s="49"/>
      <c r="D30" s="44"/>
      <c r="E30" s="50"/>
      <c r="F30" s="43"/>
      <c r="G30" s="50"/>
      <c r="H30" s="45"/>
      <c r="I30" s="49"/>
      <c r="J30" s="49"/>
      <c r="K30" s="59"/>
      <c r="L30" s="72"/>
      <c r="M30" s="28"/>
    </row>
    <row r="31" spans="1:19" s="29" customFormat="1" ht="12.95" customHeight="1" x14ac:dyDescent="0.25">
      <c r="A31" s="60">
        <f t="shared" si="0"/>
        <v>44889</v>
      </c>
      <c r="B31" s="49"/>
      <c r="C31" s="49"/>
      <c r="D31" s="44"/>
      <c r="E31" s="50"/>
      <c r="F31" s="43"/>
      <c r="G31" s="50"/>
      <c r="H31" s="45"/>
      <c r="I31" s="49"/>
      <c r="J31" s="49"/>
      <c r="K31" s="59"/>
      <c r="L31" s="72"/>
      <c r="M31" s="28"/>
      <c r="N31" s="30"/>
      <c r="O31" s="30"/>
    </row>
    <row r="32" spans="1:19" s="29" customFormat="1" ht="12.95" customHeight="1" x14ac:dyDescent="0.25">
      <c r="A32" s="60">
        <f t="shared" si="0"/>
        <v>44890</v>
      </c>
      <c r="B32" s="49"/>
      <c r="C32" s="49"/>
      <c r="D32" s="44"/>
      <c r="E32" s="50"/>
      <c r="F32" s="43"/>
      <c r="G32" s="50"/>
      <c r="H32" s="45"/>
      <c r="I32" s="49"/>
      <c r="J32" s="49"/>
      <c r="K32" s="59"/>
      <c r="L32" s="72"/>
      <c r="M32" s="28"/>
      <c r="N32" s="30"/>
      <c r="O32" s="30"/>
    </row>
    <row r="33" spans="1:16" s="29" customFormat="1" ht="12.95" customHeight="1" x14ac:dyDescent="0.25">
      <c r="A33" s="60">
        <f t="shared" si="0"/>
        <v>44891</v>
      </c>
      <c r="B33" s="49"/>
      <c r="C33" s="49"/>
      <c r="D33" s="44"/>
      <c r="E33" s="50"/>
      <c r="F33" s="43"/>
      <c r="G33" s="50"/>
      <c r="H33" s="45"/>
      <c r="I33" s="49"/>
      <c r="J33" s="49"/>
      <c r="K33" s="59"/>
      <c r="L33" s="72"/>
      <c r="M33" s="34"/>
      <c r="N33" s="30"/>
      <c r="O33" s="30"/>
    </row>
    <row r="34" spans="1:16" s="29" customFormat="1" ht="12.95" customHeight="1" x14ac:dyDescent="0.25">
      <c r="A34" s="60">
        <f t="shared" si="0"/>
        <v>44892</v>
      </c>
      <c r="B34" s="49"/>
      <c r="C34" s="49"/>
      <c r="D34" s="44"/>
      <c r="E34" s="50"/>
      <c r="F34" s="43"/>
      <c r="G34" s="50"/>
      <c r="H34" s="45"/>
      <c r="I34" s="50"/>
      <c r="J34" s="50"/>
      <c r="K34" s="59"/>
      <c r="L34" s="76"/>
      <c r="M34" s="34"/>
      <c r="N34" s="30"/>
      <c r="P34" s="30"/>
    </row>
    <row r="35" spans="1:16" s="29" customFormat="1" ht="12.95" customHeight="1" x14ac:dyDescent="0.25">
      <c r="A35" s="60">
        <f>A34+1</f>
        <v>44893</v>
      </c>
      <c r="B35" s="45"/>
      <c r="C35" s="51"/>
      <c r="D35" s="44"/>
      <c r="E35" s="50"/>
      <c r="F35" s="43"/>
      <c r="G35" s="43"/>
      <c r="H35" s="45"/>
      <c r="I35" s="45"/>
      <c r="J35" s="45"/>
      <c r="K35" s="59"/>
      <c r="L35" s="72"/>
      <c r="M35" s="28"/>
      <c r="N35" s="30"/>
      <c r="O35" s="30"/>
    </row>
    <row r="36" spans="1:16" s="29" customFormat="1" ht="12.95" customHeight="1" x14ac:dyDescent="0.25">
      <c r="A36" s="58">
        <f t="shared" si="0"/>
        <v>44894</v>
      </c>
      <c r="B36" s="45"/>
      <c r="C36" s="51"/>
      <c r="D36" s="44"/>
      <c r="E36" s="50"/>
      <c r="F36" s="43"/>
      <c r="G36" s="43"/>
      <c r="H36" s="45"/>
      <c r="I36" s="45"/>
      <c r="J36" s="45"/>
      <c r="K36" s="59"/>
      <c r="L36" s="77"/>
      <c r="M36" s="28"/>
      <c r="N36" s="30"/>
      <c r="O36" s="30"/>
    </row>
    <row r="37" spans="1:16" s="29" customFormat="1" ht="12.95" customHeight="1" x14ac:dyDescent="0.25">
      <c r="A37" s="58">
        <f t="shared" si="0"/>
        <v>44895</v>
      </c>
      <c r="B37" s="45"/>
      <c r="C37" s="51"/>
      <c r="D37" s="44"/>
      <c r="E37" s="50"/>
      <c r="F37" s="43"/>
      <c r="G37" s="43"/>
      <c r="H37" s="45"/>
      <c r="I37" s="45"/>
      <c r="J37" s="45"/>
      <c r="K37" s="59"/>
      <c r="L37" s="72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0</v>
      </c>
      <c r="L38" s="52"/>
      <c r="M38" s="23"/>
      <c r="N38" s="30"/>
      <c r="O38" s="30"/>
    </row>
    <row r="39" spans="1:16" s="38" customFormat="1" x14ac:dyDescent="0.25">
      <c r="A39" s="52"/>
      <c r="B39" s="52"/>
      <c r="C39" s="36"/>
      <c r="D39" s="52"/>
      <c r="E39" s="78"/>
      <c r="F39" s="78"/>
      <c r="G39" s="78"/>
      <c r="H39" s="37">
        <f>H38*219.969</f>
        <v>-3195709.6319999998</v>
      </c>
      <c r="I39" s="36">
        <f>I38*219.969</f>
        <v>-38723342.759999998</v>
      </c>
      <c r="J39" s="78"/>
      <c r="K39" s="52"/>
      <c r="L39" s="52"/>
      <c r="M39" s="23"/>
    </row>
    <row r="40" spans="1:16" s="38" customFormat="1" x14ac:dyDescent="0.25">
      <c r="A40" s="52"/>
      <c r="B40" s="52"/>
      <c r="C40" s="52"/>
      <c r="D40" s="52"/>
      <c r="E40" s="52"/>
      <c r="F40" s="52"/>
      <c r="G40" s="52"/>
      <c r="H40" s="79" t="s">
        <v>37</v>
      </c>
      <c r="I40" s="52"/>
      <c r="J40" s="52"/>
      <c r="K40" s="52"/>
      <c r="L40" s="52"/>
    </row>
    <row r="41" spans="1:16" x14ac:dyDescent="0.25">
      <c r="A41" s="90"/>
      <c r="B41" s="91">
        <f>B32-B10</f>
        <v>0</v>
      </c>
      <c r="C41" s="91">
        <f>C32-C10</f>
        <v>0</v>
      </c>
      <c r="D41" s="90"/>
      <c r="E41" s="91" t="e">
        <f>E32-#REF!</f>
        <v>#REF!</v>
      </c>
      <c r="F41" s="91">
        <f>F32-F10</f>
        <v>0</v>
      </c>
      <c r="G41" s="91">
        <f>G32-G10</f>
        <v>0</v>
      </c>
      <c r="H41" s="91">
        <f>H32-H10</f>
        <v>0</v>
      </c>
      <c r="I41" s="91">
        <f t="shared" ref="I41:J41" si="2">I32-I10</f>
        <v>0</v>
      </c>
      <c r="J41" s="91">
        <f t="shared" si="2"/>
        <v>0</v>
      </c>
      <c r="K41" s="90"/>
      <c r="L41" s="90"/>
    </row>
    <row r="42" spans="1:16" x14ac:dyDescent="0.25">
      <c r="A42" s="52"/>
      <c r="B42" s="52"/>
      <c r="C42" s="52"/>
      <c r="D42" s="52"/>
      <c r="E42" s="52"/>
      <c r="F42" s="52"/>
      <c r="G42" s="52"/>
      <c r="H42" s="52"/>
      <c r="I42" s="37">
        <f>I41*219.969</f>
        <v>0</v>
      </c>
      <c r="J42" s="52">
        <v>768611</v>
      </c>
      <c r="K42" s="52"/>
      <c r="L42" s="52"/>
    </row>
    <row r="43" spans="1:16" x14ac:dyDescent="0.25">
      <c r="A43" s="52"/>
      <c r="B43" s="52"/>
      <c r="C43" s="78">
        <f>C41+B41</f>
        <v>0</v>
      </c>
      <c r="D43" s="52"/>
      <c r="E43" s="52"/>
      <c r="F43" s="52"/>
      <c r="G43" s="52"/>
      <c r="H43" s="52"/>
      <c r="I43" s="52">
        <v>450276.54300000001</v>
      </c>
      <c r="J43" s="52"/>
      <c r="K43" s="52"/>
      <c r="L43" s="52"/>
    </row>
    <row r="44" spans="1:16" x14ac:dyDescent="0.25">
      <c r="A44" s="52"/>
      <c r="B44" s="52"/>
      <c r="C44" s="52">
        <v>178662</v>
      </c>
      <c r="D44" s="52"/>
      <c r="E44" s="52"/>
      <c r="F44" s="52"/>
      <c r="G44" s="52"/>
      <c r="H44" s="52"/>
      <c r="I44" s="52"/>
      <c r="J44" s="92" t="e">
        <f>SUM(J42-J41)/J41</f>
        <v>#DIV/0!</v>
      </c>
      <c r="K44" s="52"/>
      <c r="L44" s="52"/>
    </row>
    <row r="45" spans="1:16" x14ac:dyDescent="0.25">
      <c r="A45" s="52"/>
      <c r="B45" s="52"/>
      <c r="C45" s="93" t="e">
        <f>SUM(C44-C43)/C43</f>
        <v>#DIV/0!</v>
      </c>
      <c r="D45" s="52"/>
      <c r="E45" s="52"/>
      <c r="F45" s="52"/>
      <c r="G45" s="52"/>
      <c r="H45" s="52"/>
      <c r="I45" s="92" t="e">
        <f>SUM(I43-I42)/I42</f>
        <v>#DIV/0!</v>
      </c>
      <c r="J45" s="52"/>
      <c r="K45" s="52"/>
      <c r="L45" s="52"/>
    </row>
    <row r="46" spans="1:16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</row>
    <row r="47" spans="1:16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</row>
    <row r="48" spans="1:16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</row>
    <row r="49" spans="1:12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</row>
    <row r="50" spans="1:12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spans="1:12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2022-11-01T05:35:08Z</dcterms:modified>
</cp:coreProperties>
</file>