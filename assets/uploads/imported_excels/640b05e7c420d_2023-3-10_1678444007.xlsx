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rico.tondina\OneDrive - Four Seasons Hotels Limited\Desktop\Import Wate\"/>
    </mc:Choice>
  </mc:AlternateContent>
  <bookViews>
    <workbookView xWindow="-110" yWindow="-110" windowWidth="23250" windowHeight="12450"/>
  </bookViews>
  <sheets>
    <sheet name="Sheet1" sheetId="1" r:id="rId1"/>
  </sheets>
  <definedNames>
    <definedName name="_xlnm.Print_Area" localSheetId="0">Sheet1!$B$1:$P$13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1" l="1"/>
  <c r="G3" i="1"/>
  <c r="F3" i="1"/>
  <c r="I3" i="1"/>
  <c r="K3" i="1"/>
  <c r="O2" i="1"/>
  <c r="K2" i="1"/>
  <c r="G2" i="1"/>
  <c r="H2" i="1"/>
  <c r="I2" i="1"/>
  <c r="I13" i="1"/>
  <c r="I12" i="1"/>
  <c r="I11" i="1"/>
  <c r="P11" i="1"/>
  <c r="I10" i="1"/>
  <c r="I9" i="1"/>
  <c r="I8" i="1"/>
  <c r="I7" i="1"/>
  <c r="I6" i="1"/>
  <c r="I5" i="1"/>
  <c r="I4" i="1"/>
  <c r="P3" i="1"/>
  <c r="P4" i="1"/>
  <c r="P5" i="1"/>
  <c r="P6" i="1"/>
  <c r="P7" i="1"/>
  <c r="P8" i="1"/>
  <c r="P9" i="1"/>
  <c r="P10" i="1"/>
  <c r="P12" i="1"/>
  <c r="P13" i="1"/>
  <c r="P2" i="1"/>
</calcChain>
</file>

<file path=xl/sharedStrings.xml><?xml version="1.0" encoding="utf-8"?>
<sst xmlns="http://schemas.openxmlformats.org/spreadsheetml/2006/main" count="27" uniqueCount="16">
  <si>
    <t>Site Name</t>
  </si>
  <si>
    <t>Month</t>
  </si>
  <si>
    <t>Year</t>
  </si>
  <si>
    <t>Total (per Unit) liquid hazardous waste</t>
  </si>
  <si>
    <t>Total cost liquid hazardous waste</t>
  </si>
  <si>
    <t>Milan</t>
  </si>
  <si>
    <t>Spese trasporto e manodopera</t>
  </si>
  <si>
    <t>TOTALE</t>
  </si>
  <si>
    <t>Total (per Unit) e waste</t>
  </si>
  <si>
    <t>Total cost e waste</t>
  </si>
  <si>
    <t>Total (per Unit) durable goods</t>
  </si>
  <si>
    <t>Total cost durable goods</t>
  </si>
  <si>
    <t>Total (per Unit) kitchen grease</t>
  </si>
  <si>
    <t>Total cost kitchen grease</t>
  </si>
  <si>
    <t>Total (per Unit) universal waste</t>
  </si>
  <si>
    <t>Total cost universal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</si>
</sst>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I18" sqref="I18"/>
    </sheetView>
  </sheetViews>
  <sheetFormatPr defaultRowHeight="14.5" x14ac:dyDescent="0.35"/>
  <cols>
    <col min="1" max="1" width="12.1796875" customWidth="1"/>
    <col min="2" max="3" width="8.453125" customWidth="1"/>
    <col min="4" max="4" width="13.7265625" customWidth="1"/>
    <col min="5" max="13" width="18.81640625" customWidth="1"/>
    <col min="14" max="14" width="2.453125" customWidth="1"/>
    <col min="15" max="15" width="12.7265625" customWidth="1"/>
    <col min="16" max="16" width="11" customWidth="1"/>
  </cols>
  <sheetData>
    <row r="1" spans="1:16" ht="56.25" customHeight="1" x14ac:dyDescent="0.35">
      <c r="A1" s="1" t="s">
        <v>0</v>
      </c>
      <c r="B1" s="1" t="s">
        <v>1</v>
      </c>
      <c r="C1" s="1" t="s">
        <v>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3</v>
      </c>
      <c r="K1" s="2" t="s">
        <v>4</v>
      </c>
      <c r="L1" s="7" t="s">
        <v>14</v>
      </c>
      <c r="M1" s="7" t="s">
        <v>15</v>
      </c>
      <c r="N1" s="1"/>
      <c r="O1" s="1" t="s">
        <v>6</v>
      </c>
      <c r="P1" s="1" t="s">
        <v>7</v>
      </c>
    </row>
    <row r="2" spans="1:16" x14ac:dyDescent="0.35">
      <c r="A2" s="3" t="s">
        <v>5</v>
      </c>
      <c r="B2" s="4">
        <v>1</v>
      </c>
      <c r="C2" s="4">
        <v>2023</v>
      </c>
      <c r="D2" s="5"/>
      <c r="E2" s="12"/>
      <c r="F2" s="5"/>
      <c r="G2" s="11">
        <f>1*F2</f>
        <v>0</v>
      </c>
      <c r="H2" s="5">
        <f>320+380</f>
        <v>700</v>
      </c>
      <c r="I2" s="11">
        <f>+H2*0.035</f>
        <v>24.500000000000004</v>
      </c>
      <c r="J2" s="5"/>
      <c r="K2" s="11">
        <f>+J2*4.6666666</f>
        <v>0</v>
      </c>
      <c r="L2" s="5"/>
      <c r="M2" s="11"/>
      <c r="N2" s="6"/>
      <c r="O2" s="8">
        <f>65+50+65+37.5</f>
        <v>217.5</v>
      </c>
      <c r="P2" s="9">
        <f>+O2+M2+K2+I2+G2+E2</f>
        <v>242</v>
      </c>
    </row>
    <row r="3" spans="1:16" x14ac:dyDescent="0.35">
      <c r="A3" s="3" t="s">
        <v>5</v>
      </c>
      <c r="B3" s="4">
        <v>2</v>
      </c>
      <c r="C3" s="4">
        <v>2023</v>
      </c>
      <c r="D3" s="5"/>
      <c r="E3" s="12"/>
      <c r="F3" s="5">
        <f>980+60+460+420</f>
        <v>1920</v>
      </c>
      <c r="G3" s="11">
        <f>F3*0.2338</f>
        <v>448.89600000000002</v>
      </c>
      <c r="H3" s="5">
        <v>360</v>
      </c>
      <c r="I3" s="11">
        <f>+H3*0.035</f>
        <v>12.600000000000001</v>
      </c>
      <c r="J3" s="5">
        <v>15</v>
      </c>
      <c r="K3" s="11">
        <f>+J3*4.66666</f>
        <v>69.999899999999997</v>
      </c>
      <c r="L3" s="5"/>
      <c r="M3" s="11"/>
      <c r="N3" s="6"/>
      <c r="O3" s="8">
        <f>760+50+65</f>
        <v>875</v>
      </c>
      <c r="P3" s="9">
        <f t="shared" ref="P3:P13" si="0">+O3+M3+K3+I3+G3+E3</f>
        <v>1406.4959000000001</v>
      </c>
    </row>
    <row r="4" spans="1:16" x14ac:dyDescent="0.35">
      <c r="A4" s="3" t="s">
        <v>5</v>
      </c>
      <c r="B4" s="4">
        <v>3</v>
      </c>
      <c r="C4" s="4">
        <v>2023</v>
      </c>
      <c r="D4" s="5"/>
      <c r="E4" s="12"/>
      <c r="F4" s="5"/>
      <c r="G4" s="11"/>
      <c r="H4" s="5"/>
      <c r="I4" s="11">
        <f t="shared" ref="I3:I13" si="1">+H4*0.033</f>
        <v>0</v>
      </c>
      <c r="J4" s="5"/>
      <c r="K4" s="11"/>
      <c r="L4" s="5"/>
      <c r="M4" s="11"/>
      <c r="N4" s="6"/>
      <c r="O4" s="8">
        <v>0</v>
      </c>
      <c r="P4" s="9">
        <f t="shared" si="0"/>
        <v>0</v>
      </c>
    </row>
    <row r="5" spans="1:16" x14ac:dyDescent="0.35">
      <c r="A5" s="3" t="s">
        <v>5</v>
      </c>
      <c r="B5" s="4">
        <v>4</v>
      </c>
      <c r="C5" s="4">
        <v>2023</v>
      </c>
      <c r="D5" s="5"/>
      <c r="E5" s="12"/>
      <c r="F5" s="5"/>
      <c r="G5" s="11"/>
      <c r="H5" s="5"/>
      <c r="I5" s="11">
        <f t="shared" si="1"/>
        <v>0</v>
      </c>
      <c r="J5" s="5"/>
      <c r="K5" s="11"/>
      <c r="L5" s="5"/>
      <c r="M5" s="11"/>
      <c r="N5" s="6"/>
      <c r="O5" s="8">
        <v>0</v>
      </c>
      <c r="P5" s="9">
        <f t="shared" si="0"/>
        <v>0</v>
      </c>
    </row>
    <row r="6" spans="1:16" x14ac:dyDescent="0.35">
      <c r="A6" s="3" t="s">
        <v>5</v>
      </c>
      <c r="B6" s="4">
        <v>5</v>
      </c>
      <c r="C6" s="4">
        <v>2023</v>
      </c>
      <c r="D6" s="5"/>
      <c r="E6" s="12"/>
      <c r="F6" s="5"/>
      <c r="G6" s="11"/>
      <c r="H6" s="5"/>
      <c r="I6" s="11">
        <f t="shared" si="1"/>
        <v>0</v>
      </c>
      <c r="J6" s="5"/>
      <c r="K6" s="11"/>
      <c r="L6" s="5"/>
      <c r="M6" s="11"/>
      <c r="N6" s="6"/>
      <c r="O6" s="8">
        <v>0</v>
      </c>
      <c r="P6" s="9">
        <f t="shared" si="0"/>
        <v>0</v>
      </c>
    </row>
    <row r="7" spans="1:16" x14ac:dyDescent="0.35">
      <c r="A7" s="3" t="s">
        <v>5</v>
      </c>
      <c r="B7" s="4">
        <v>6</v>
      </c>
      <c r="C7" s="4">
        <v>2023</v>
      </c>
      <c r="D7" s="5"/>
      <c r="E7" s="12"/>
      <c r="F7" s="5"/>
      <c r="G7" s="11"/>
      <c r="H7" s="5"/>
      <c r="I7" s="11">
        <f t="shared" si="1"/>
        <v>0</v>
      </c>
      <c r="J7" s="5"/>
      <c r="K7" s="11"/>
      <c r="L7" s="10"/>
      <c r="M7" s="11"/>
      <c r="N7" s="6"/>
      <c r="O7" s="8">
        <v>0</v>
      </c>
      <c r="P7" s="9">
        <f t="shared" si="0"/>
        <v>0</v>
      </c>
    </row>
    <row r="8" spans="1:16" x14ac:dyDescent="0.35">
      <c r="A8" s="3" t="s">
        <v>5</v>
      </c>
      <c r="B8" s="4">
        <v>7</v>
      </c>
      <c r="C8" s="4">
        <v>2023</v>
      </c>
      <c r="D8" s="5"/>
      <c r="E8" s="12"/>
      <c r="F8" s="5"/>
      <c r="G8" s="11"/>
      <c r="H8" s="5"/>
      <c r="I8" s="11">
        <f t="shared" si="1"/>
        <v>0</v>
      </c>
      <c r="J8" s="5"/>
      <c r="K8" s="11"/>
      <c r="L8" s="5"/>
      <c r="M8" s="11"/>
      <c r="N8" s="6"/>
      <c r="O8" s="8">
        <v>0</v>
      </c>
      <c r="P8" s="9">
        <f t="shared" si="0"/>
        <v>0</v>
      </c>
    </row>
    <row r="9" spans="1:16" ht="14.25" customHeight="1" x14ac:dyDescent="0.35">
      <c r="A9" s="3" t="s">
        <v>5</v>
      </c>
      <c r="B9" s="4">
        <v>8</v>
      </c>
      <c r="C9" s="4">
        <v>2023</v>
      </c>
      <c r="D9" s="5"/>
      <c r="E9" s="12"/>
      <c r="F9" s="5"/>
      <c r="G9" s="12"/>
      <c r="H9" s="5"/>
      <c r="I9" s="11">
        <f t="shared" si="1"/>
        <v>0</v>
      </c>
      <c r="J9" s="5"/>
      <c r="K9" s="11"/>
      <c r="L9" s="5"/>
      <c r="M9" s="11"/>
      <c r="N9" s="6"/>
      <c r="O9" s="8">
        <v>0</v>
      </c>
      <c r="P9" s="9">
        <f t="shared" si="0"/>
        <v>0</v>
      </c>
    </row>
    <row r="10" spans="1:16" x14ac:dyDescent="0.35">
      <c r="A10" s="3" t="s">
        <v>5</v>
      </c>
      <c r="B10" s="4">
        <v>9</v>
      </c>
      <c r="C10" s="4">
        <v>2023</v>
      </c>
      <c r="D10" s="5"/>
      <c r="E10" s="12"/>
      <c r="F10" s="5"/>
      <c r="G10" s="11"/>
      <c r="H10" s="5"/>
      <c r="I10" s="11">
        <f>H10*0.033</f>
        <v>0</v>
      </c>
      <c r="J10" s="5"/>
      <c r="K10" s="11"/>
      <c r="L10" s="5"/>
      <c r="M10" s="11"/>
      <c r="N10" s="6"/>
      <c r="O10" s="8">
        <v>0</v>
      </c>
      <c r="P10" s="9">
        <f t="shared" si="0"/>
        <v>0</v>
      </c>
    </row>
    <row r="11" spans="1:16" x14ac:dyDescent="0.35">
      <c r="A11" s="3" t="s">
        <v>5</v>
      </c>
      <c r="B11" s="4">
        <v>10</v>
      </c>
      <c r="C11" s="4">
        <v>2023</v>
      </c>
      <c r="D11" s="5"/>
      <c r="E11" s="12"/>
      <c r="F11" s="5"/>
      <c r="G11" s="11"/>
      <c r="H11" s="5"/>
      <c r="I11" s="11">
        <f t="shared" si="1"/>
        <v>0</v>
      </c>
      <c r="J11" s="5"/>
      <c r="K11" s="11"/>
      <c r="L11" s="5"/>
      <c r="M11" s="11"/>
      <c r="N11" s="6"/>
      <c r="O11" s="8">
        <v>0</v>
      </c>
      <c r="P11" s="9">
        <f t="shared" si="0"/>
        <v>0</v>
      </c>
    </row>
    <row r="12" spans="1:16" x14ac:dyDescent="0.35">
      <c r="A12" s="3" t="s">
        <v>5</v>
      </c>
      <c r="B12" s="4">
        <v>11</v>
      </c>
      <c r="C12" s="4">
        <v>2023</v>
      </c>
      <c r="D12" s="5"/>
      <c r="E12" s="12"/>
      <c r="F12" s="5"/>
      <c r="G12" s="11"/>
      <c r="H12" s="5"/>
      <c r="I12" s="11">
        <f t="shared" si="1"/>
        <v>0</v>
      </c>
      <c r="J12" s="5"/>
      <c r="K12" s="11"/>
      <c r="L12" s="5"/>
      <c r="M12" s="11"/>
      <c r="N12" s="6"/>
      <c r="O12" s="8">
        <v>0</v>
      </c>
      <c r="P12" s="9">
        <f t="shared" si="0"/>
        <v>0</v>
      </c>
    </row>
    <row r="13" spans="1:16" x14ac:dyDescent="0.35">
      <c r="A13" s="3" t="s">
        <v>5</v>
      </c>
      <c r="B13" s="4">
        <v>12</v>
      </c>
      <c r="C13" s="4">
        <v>2023</v>
      </c>
      <c r="D13" s="5"/>
      <c r="E13" s="12"/>
      <c r="F13" s="5"/>
      <c r="G13" s="11"/>
      <c r="H13" s="5"/>
      <c r="I13" s="11">
        <f t="shared" si="1"/>
        <v>0</v>
      </c>
      <c r="J13" s="5"/>
      <c r="K13" s="11"/>
      <c r="L13" s="5"/>
      <c r="M13" s="11"/>
      <c r="N13" s="6"/>
      <c r="O13" s="8">
        <v>0</v>
      </c>
      <c r="P13" s="9">
        <f t="shared" si="0"/>
        <v>0</v>
      </c>
    </row>
  </sheetData>
  <pageMargins left="0.7" right="0.7" top="0.75" bottom="0.75" header="0.3" footer="0.3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742856-7480-4664-BBE3-ADB3A274EED1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bda53bc3-938a-4cf0-ac0b-62f808177120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b3745c00-4a7a-445c-b286-7de946601c4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CB2709-7583-4A02-AEE0-45B204420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34A03-BBB6-4A33-88E1-0CAC7AC6A06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Enrico Tondina</cp:lastModifiedBy>
  <dcterms:created xsi:type="dcterms:W3CDTF">2022-01-28T13:49:17Z</dcterms:created>
  <dcterms:modified xsi:type="dcterms:W3CDTF">2023-03-09T09:54:38Z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0x01010067CE81CA3073A34EAD998226A4686CED</vt:lpwstr>
  </property>
</Properties>
</file>