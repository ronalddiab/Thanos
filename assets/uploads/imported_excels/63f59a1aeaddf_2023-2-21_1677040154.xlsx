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9. Sep\"/>
    </mc:Choice>
  </mc:AlternateContent>
  <xr:revisionPtr revIDLastSave="0" documentId="13_ncr:1_{0F259D1B-E96C-4E7C-8112-31FE7C77CB9B}" xr6:coauthVersionLast="36" xr6:coauthVersionMax="47" xr10:uidLastSave="{00000000-0000-0000-0000-000000000000}"/>
  <bookViews>
    <workbookView xWindow="-120" yWindow="-120" windowWidth="29040" windowHeight="15840" tabRatio="935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Sheet1" sheetId="23" r:id="rId14"/>
    <sheet name="KWH Summary" sheetId="15" r:id="rId15"/>
    <sheet name="Focus Data" sheetId="2" r:id="rId16"/>
  </sheets>
  <definedNames>
    <definedName name="_xlnm.Print_Area" localSheetId="2">'Finance Only'!$A$1:$F$39</definedName>
    <definedName name="_xlnm.Print_Area" localSheetId="12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2" i="17"/>
  <c r="G39" i="1"/>
  <c r="CK11" i="19" l="1"/>
  <c r="CK9" i="19"/>
  <c r="DO8" i="19"/>
  <c r="DJ8" i="19"/>
  <c r="DE8" i="19"/>
  <c r="CZ8" i="19"/>
  <c r="CU8" i="19"/>
  <c r="CP8" i="19"/>
  <c r="CK8" i="19"/>
  <c r="CA8" i="19"/>
  <c r="BQ8" i="19"/>
  <c r="BL8" i="19"/>
  <c r="BG8" i="19"/>
  <c r="BB8" i="19"/>
  <c r="AW8" i="19"/>
  <c r="AR8" i="19"/>
  <c r="CK7" i="19"/>
  <c r="AR6" i="19"/>
  <c r="AM6" i="19"/>
  <c r="D10" i="4"/>
  <c r="D10" i="5"/>
  <c r="D10" i="6"/>
  <c r="D34" i="7"/>
  <c r="D10" i="7"/>
  <c r="B35" i="7"/>
  <c r="D35" i="7" s="1"/>
  <c r="B34" i="7"/>
  <c r="W35" i="19" l="1"/>
  <c r="W36" i="19"/>
  <c r="G38" i="1" s="1"/>
  <c r="C34" i="22"/>
  <c r="G34" i="22"/>
  <c r="C35" i="22"/>
  <c r="G35" i="22"/>
  <c r="AD5" i="12"/>
  <c r="H35" i="22" l="1"/>
  <c r="D35" i="22"/>
  <c r="H38" i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P7" i="19"/>
  <c r="FR7" i="19" s="1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M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J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G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D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X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R7" i="19"/>
  <c r="ET6" i="19"/>
  <c r="Q29" i="19"/>
  <c r="Q30" i="19"/>
  <c r="Q31" i="19"/>
  <c r="Q32" i="19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2" i="17"/>
  <c r="CP7" i="12" l="1"/>
  <c r="W7" i="19"/>
  <c r="F35" i="9" l="1"/>
  <c r="AO5" i="12" l="1"/>
  <c r="CC5" i="12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S17" i="12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B33" i="12"/>
  <c r="BD33" i="12" s="1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2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E31" i="17" s="1"/>
  <c r="E32" i="17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D37" i="6" s="1"/>
  <c r="B38" i="6"/>
  <c r="B39" i="6"/>
  <c r="B40" i="6"/>
  <c r="D40" i="6" s="1"/>
  <c r="B11" i="6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D34" i="22" s="1"/>
  <c r="C5" i="22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DP19" i="19"/>
  <c r="DP21" i="19"/>
  <c r="DK27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M12" i="19"/>
  <c r="BW12" i="19"/>
  <c r="CG12" i="19"/>
  <c r="AS13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DF17" i="19"/>
  <c r="AX18" i="19"/>
  <c r="CV18" i="19"/>
  <c r="AX19" i="19"/>
  <c r="BC19" i="19"/>
  <c r="CV19" i="19"/>
  <c r="DF19" i="19"/>
  <c r="BC20" i="19"/>
  <c r="CV20" i="19"/>
  <c r="AS21" i="19"/>
  <c r="AX21" i="19"/>
  <c r="BC21" i="19"/>
  <c r="CG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H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AS30" i="19"/>
  <c r="BC30" i="19"/>
  <c r="DA30" i="19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16" i="19"/>
  <c r="AD23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B35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G33" i="22"/>
  <c r="H34" i="22" s="1"/>
  <c r="G32" i="22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F36" i="21"/>
  <c r="G36" i="21" s="1"/>
  <c r="F35" i="21"/>
  <c r="G35" i="21" s="1"/>
  <c r="E34" i="22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E27" i="22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GC22" i="12" l="1"/>
  <c r="D40" i="11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D17" i="6"/>
  <c r="F12" i="15" s="1"/>
  <c r="D18" i="6"/>
  <c r="F13" i="15" s="1"/>
  <c r="D36" i="6"/>
  <c r="F31" i="15" s="1"/>
  <c r="D16" i="6"/>
  <c r="F11" i="15" s="1"/>
  <c r="D35" i="6"/>
  <c r="F30" i="15" s="1"/>
  <c r="D15" i="6"/>
  <c r="F10" i="15" s="1"/>
  <c r="D34" i="6"/>
  <c r="F29" i="15" s="1"/>
  <c r="D14" i="6"/>
  <c r="F9" i="15" s="1"/>
  <c r="D38" i="6"/>
  <c r="F33" i="15" s="1"/>
  <c r="D33" i="6"/>
  <c r="D13" i="6"/>
  <c r="F8" i="15" s="1"/>
  <c r="D32" i="6"/>
  <c r="F27" i="15" s="1"/>
  <c r="D12" i="6"/>
  <c r="F7" i="15" s="1"/>
  <c r="D31" i="6"/>
  <c r="F26" i="15" s="1"/>
  <c r="D30" i="6"/>
  <c r="F25" i="15" s="1"/>
  <c r="D29" i="6"/>
  <c r="F24" i="15" s="1"/>
  <c r="D28" i="6"/>
  <c r="F23" i="15" s="1"/>
  <c r="D27" i="6"/>
  <c r="F22" i="15" s="1"/>
  <c r="D26" i="6"/>
  <c r="F21" i="15" s="1"/>
  <c r="D25" i="6"/>
  <c r="D24" i="6"/>
  <c r="F19" i="15" s="1"/>
  <c r="D23" i="6"/>
  <c r="F18" i="15" s="1"/>
  <c r="D22" i="6"/>
  <c r="F17" i="15" s="1"/>
  <c r="D11" i="6"/>
  <c r="D21" i="6"/>
  <c r="F16" i="15" s="1"/>
  <c r="D20" i="6"/>
  <c r="F15" i="15" s="1"/>
  <c r="D39" i="6"/>
  <c r="F34" i="15" s="1"/>
  <c r="D19" i="6"/>
  <c r="F14" i="15" s="1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E16" i="15"/>
  <c r="D21" i="5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E7" i="15"/>
  <c r="D12" i="5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E35" i="22"/>
  <c r="F35" i="22" s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D31" i="22"/>
  <c r="G30" i="15"/>
  <c r="GC29" i="12"/>
  <c r="G28" i="15"/>
  <c r="AU19" i="12"/>
  <c r="GC9" i="12"/>
  <c r="G6" i="21"/>
  <c r="G37" i="21" s="1"/>
  <c r="F37" i="21"/>
  <c r="EA8" i="19"/>
  <c r="AT7" i="19"/>
  <c r="CQ16" i="19"/>
  <c r="CR16" i="19" s="1"/>
  <c r="CQ14" i="19"/>
  <c r="CR15" i="19" s="1"/>
  <c r="AP18" i="12"/>
  <c r="J36" i="12"/>
  <c r="H36" i="21"/>
  <c r="G27" i="15"/>
  <c r="GC35" i="12"/>
  <c r="H34" i="21"/>
  <c r="G31" i="15"/>
  <c r="H22" i="21"/>
  <c r="H18" i="21"/>
  <c r="D17" i="22"/>
  <c r="BO17" i="12"/>
  <c r="GC16" i="12"/>
  <c r="CW19" i="19"/>
  <c r="D15" i="22"/>
  <c r="BD11" i="19"/>
  <c r="E36" i="12"/>
  <c r="G5" i="15"/>
  <c r="E5" i="15"/>
  <c r="D16" i="22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D18" i="2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D14" i="2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D19" i="22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1" i="17"/>
  <c r="H33" i="22"/>
  <c r="I30" i="17" s="1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D29" i="22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20" i="2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H17" i="22"/>
  <c r="I14" i="17" s="1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H16" i="22"/>
  <c r="I13" i="17" s="1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H15" i="22"/>
  <c r="I12" i="17" s="1"/>
  <c r="H14" i="22"/>
  <c r="I11" i="17" s="1"/>
  <c r="CM15" i="19"/>
  <c r="BN16" i="19"/>
  <c r="AJ15" i="19"/>
  <c r="H13" i="22"/>
  <c r="I10" i="17" s="1"/>
  <c r="BI13" i="19"/>
  <c r="H12" i="22"/>
  <c r="I9" i="17" s="1"/>
  <c r="D11" i="22"/>
  <c r="DB13" i="19"/>
  <c r="CC12" i="19"/>
  <c r="AT11" i="19"/>
  <c r="H11" i="22"/>
  <c r="I8" i="17" s="1"/>
  <c r="D10" i="22"/>
  <c r="CR11" i="19"/>
  <c r="BD12" i="19"/>
  <c r="AY12" i="19"/>
  <c r="H10" i="22"/>
  <c r="I7" i="17" s="1"/>
  <c r="BS10" i="19"/>
  <c r="DB10" i="19"/>
  <c r="DL9" i="19"/>
  <c r="EA9" i="19"/>
  <c r="DB9" i="19"/>
  <c r="CM10" i="19"/>
  <c r="H8" i="22"/>
  <c r="I5" i="17" s="1"/>
  <c r="H9" i="22"/>
  <c r="I6" i="17" s="1"/>
  <c r="DG8" i="19"/>
  <c r="CW8" i="19"/>
  <c r="BI9" i="19"/>
  <c r="H7" i="22"/>
  <c r="I4" i="17" s="1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D30" i="22"/>
  <c r="D9" i="22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2"/>
  <c r="E31" i="1"/>
  <c r="E28" i="2"/>
  <c r="E27" i="1"/>
  <c r="E24" i="22"/>
  <c r="E25" i="1"/>
  <c r="E22" i="22"/>
  <c r="E21" i="22"/>
  <c r="E25" i="2"/>
  <c r="E24" i="1"/>
  <c r="DL35" i="19"/>
  <c r="DL34" i="19"/>
  <c r="DB33" i="19"/>
  <c r="BS34" i="19"/>
  <c r="BD33" i="19"/>
  <c r="AJ34" i="19"/>
  <c r="AE34" i="19"/>
  <c r="H32" i="22"/>
  <c r="I29" i="17" s="1"/>
  <c r="CM33" i="19"/>
  <c r="BI32" i="19"/>
  <c r="AO33" i="19"/>
  <c r="H31" i="22"/>
  <c r="I28" i="17" s="1"/>
  <c r="EA32" i="19"/>
  <c r="DB31" i="19"/>
  <c r="DB32" i="19"/>
  <c r="BD32" i="19"/>
  <c r="AJ33" i="19"/>
  <c r="AJ32" i="19"/>
  <c r="AE31" i="19"/>
  <c r="H30" i="22"/>
  <c r="I27" i="17" s="1"/>
  <c r="DQ30" i="19"/>
  <c r="DQ32" i="19"/>
  <c r="CM32" i="19"/>
  <c r="BD31" i="19"/>
  <c r="AT30" i="19"/>
  <c r="AO31" i="19"/>
  <c r="H29" i="22"/>
  <c r="I26" i="17" s="1"/>
  <c r="DV29" i="19"/>
  <c r="DG29" i="19"/>
  <c r="DG30" i="19"/>
  <c r="DB30" i="19"/>
  <c r="CW30" i="19"/>
  <c r="CH29" i="19"/>
  <c r="AO30" i="19"/>
  <c r="AJ30" i="19"/>
  <c r="AE30" i="19"/>
  <c r="H28" i="22"/>
  <c r="I25" i="17" s="1"/>
  <c r="DV28" i="19"/>
  <c r="CM30" i="19"/>
  <c r="CH30" i="19"/>
  <c r="CC28" i="19"/>
  <c r="CC29" i="19"/>
  <c r="AO29" i="19"/>
  <c r="AJ29" i="19"/>
  <c r="AE29" i="19"/>
  <c r="H27" i="22"/>
  <c r="I24" i="17" s="1"/>
  <c r="DB28" i="19"/>
  <c r="CH28" i="19"/>
  <c r="CC27" i="19"/>
  <c r="BX28" i="19"/>
  <c r="BN29" i="19"/>
  <c r="BD29" i="19"/>
  <c r="H26" i="22"/>
  <c r="I23" i="17" s="1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H22" i="22"/>
  <c r="I19" i="17" s="1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D32" i="22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D24" i="22"/>
  <c r="D23" i="22"/>
  <c r="D21" i="22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19" i="22"/>
  <c r="E23" i="2"/>
  <c r="E22" i="1"/>
  <c r="E15" i="22"/>
  <c r="E19" i="2"/>
  <c r="E18" i="1"/>
  <c r="E14" i="22"/>
  <c r="E17" i="1"/>
  <c r="E12" i="22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H18" i="22"/>
  <c r="I15" i="17" s="1"/>
  <c r="H19" i="22"/>
  <c r="I16" i="17" s="1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D13" i="22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D12" i="22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9" i="22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8" i="1"/>
  <c r="E11" i="2"/>
  <c r="E10" i="1"/>
  <c r="E7" i="22"/>
  <c r="E10" i="2"/>
  <c r="E9" i="1"/>
  <c r="E6" i="2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H6" i="22"/>
  <c r="I3" i="17" s="1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H25" i="22"/>
  <c r="I22" i="17" s="1"/>
  <c r="H20" i="22"/>
  <c r="I17" i="17" s="1"/>
  <c r="V32" i="19"/>
  <c r="AE31" i="12" s="1"/>
  <c r="H24" i="22"/>
  <c r="I21" i="17" s="1"/>
  <c r="V29" i="19"/>
  <c r="AE28" i="12" s="1"/>
  <c r="V9" i="19"/>
  <c r="V24" i="19"/>
  <c r="AE23" i="12" s="1"/>
  <c r="V22" i="19"/>
  <c r="AE21" i="12" s="1"/>
  <c r="V20" i="19"/>
  <c r="H5" i="22"/>
  <c r="I2" i="17" s="1"/>
  <c r="V33" i="19"/>
  <c r="AE32" i="12" s="1"/>
  <c r="V18" i="19"/>
  <c r="V17" i="19"/>
  <c r="H21" i="22"/>
  <c r="I18" i="17" s="1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H23" i="22"/>
  <c r="I20" i="17" s="1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16" i="22"/>
  <c r="E17" i="22"/>
  <c r="E21" i="2"/>
  <c r="E20" i="1"/>
  <c r="E25" i="22"/>
  <c r="E29" i="2"/>
  <c r="E28" i="1"/>
  <c r="E26" i="22"/>
  <c r="F27" i="22" s="1"/>
  <c r="E30" i="2"/>
  <c r="E29" i="1"/>
  <c r="E22" i="2"/>
  <c r="E21" i="1"/>
  <c r="E18" i="22"/>
  <c r="E14" i="2"/>
  <c r="E13" i="1"/>
  <c r="E10" i="22"/>
  <c r="F28" i="22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E30" i="1"/>
  <c r="E31" i="2"/>
  <c r="E12" i="2"/>
  <c r="E8" i="2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6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D25" i="22"/>
  <c r="D27" i="22"/>
  <c r="D7" i="22"/>
  <c r="B30" i="1"/>
  <c r="AV27" i="12" s="1"/>
  <c r="D22" i="22"/>
  <c r="D33" i="22"/>
  <c r="B21" i="2"/>
  <c r="C28" i="15"/>
  <c r="B14" i="2"/>
  <c r="B13" i="1"/>
  <c r="C10" i="15"/>
  <c r="B12" i="1"/>
  <c r="C9" i="15"/>
  <c r="B11" i="1"/>
  <c r="B12" i="2"/>
  <c r="C8" i="15"/>
  <c r="C26" i="15"/>
  <c r="C25" i="15"/>
  <c r="C24" i="15"/>
  <c r="C23" i="15"/>
  <c r="C22" i="15"/>
  <c r="B24" i="1"/>
  <c r="B25" i="2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B16" i="2"/>
  <c r="B15" i="1"/>
  <c r="C12" i="15"/>
  <c r="C29" i="15"/>
  <c r="B32" i="1"/>
  <c r="B14" i="1"/>
  <c r="B15" i="2"/>
  <c r="C11" i="15"/>
  <c r="B20" i="1"/>
  <c r="C17" i="15"/>
  <c r="D28" i="22"/>
  <c r="D8" i="22"/>
  <c r="C27" i="15"/>
  <c r="B11" i="2"/>
  <c r="B10" i="1"/>
  <c r="D5" i="22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1"/>
  <c r="E33" i="22"/>
  <c r="E36" i="2"/>
  <c r="E35" i="1"/>
  <c r="E32" i="2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C34" i="15"/>
  <c r="B38" i="2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E31" i="2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B37" i="2"/>
  <c r="C33" i="15"/>
  <c r="B36" i="1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0" i="22"/>
  <c r="E34" i="2"/>
  <c r="E33" i="1"/>
  <c r="E29" i="22"/>
  <c r="E33" i="2"/>
  <c r="E32" i="1"/>
  <c r="B31" i="1" l="1"/>
  <c r="G28" i="12" s="1"/>
  <c r="B31" i="2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B22" i="1"/>
  <c r="B24" i="2"/>
  <c r="I24" i="2" s="1"/>
  <c r="B21" i="1"/>
  <c r="B22" i="2"/>
  <c r="I22" i="2" s="1"/>
  <c r="B18" i="2"/>
  <c r="B17" i="2"/>
  <c r="H17" i="2" s="1"/>
  <c r="D39" i="1"/>
  <c r="D40" i="1" s="1"/>
  <c r="B13" i="2"/>
  <c r="I13" i="2" s="1"/>
  <c r="C39" i="1"/>
  <c r="C40" i="1" s="1"/>
  <c r="D41" i="3"/>
  <c r="E39" i="1"/>
  <c r="E40" i="1" s="1"/>
  <c r="G24" i="15"/>
  <c r="G36" i="15" s="1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D41" i="6"/>
  <c r="B18" i="1"/>
  <c r="AL15" i="12" s="1"/>
  <c r="F6" i="15"/>
  <c r="B23" i="1"/>
  <c r="EM20" i="12" s="1"/>
  <c r="B33" i="2"/>
  <c r="I33" i="2" s="1"/>
  <c r="E15" i="15"/>
  <c r="D41" i="5"/>
  <c r="E6" i="15"/>
  <c r="B19" i="1"/>
  <c r="B19" i="2"/>
  <c r="H17" i="15"/>
  <c r="D16" i="15"/>
  <c r="H15" i="15"/>
  <c r="H11" i="15"/>
  <c r="H22" i="15"/>
  <c r="H7" i="15"/>
  <c r="H10" i="15"/>
  <c r="H9" i="15"/>
  <c r="H16" i="15"/>
  <c r="B20" i="2"/>
  <c r="H20" i="2" s="1"/>
  <c r="D41" i="4"/>
  <c r="D6" i="15"/>
  <c r="D36" i="15" s="1"/>
  <c r="H12" i="15"/>
  <c r="H29" i="15"/>
  <c r="H18" i="15"/>
  <c r="H23" i="15"/>
  <c r="H25" i="15"/>
  <c r="H21" i="15"/>
  <c r="H19" i="15"/>
  <c r="H26" i="15"/>
  <c r="H8" i="15"/>
  <c r="H14" i="15"/>
  <c r="FB35" i="12"/>
  <c r="F34" i="22"/>
  <c r="F38" i="1"/>
  <c r="AE35" i="12"/>
  <c r="B33" i="1"/>
  <c r="DD30" i="12" s="1"/>
  <c r="Y25" i="19"/>
  <c r="AE24" i="12"/>
  <c r="AF7" i="12"/>
  <c r="AD36" i="12"/>
  <c r="B32" i="2"/>
  <c r="I32" i="2" s="1"/>
  <c r="H27" i="15"/>
  <c r="EF19" i="19"/>
  <c r="EH18" i="19"/>
  <c r="E5" i="22"/>
  <c r="F5" i="22" s="1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E36" i="15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15" i="22"/>
  <c r="FB9" i="12"/>
  <c r="FB7" i="12"/>
  <c r="F32" i="22"/>
  <c r="FB26" i="12"/>
  <c r="F16" i="22"/>
  <c r="F14" i="2"/>
  <c r="F16" i="2"/>
  <c r="F17" i="1"/>
  <c r="F22" i="22"/>
  <c r="F25" i="22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0" i="22"/>
  <c r="F13" i="22"/>
  <c r="F22" i="2"/>
  <c r="F21" i="2"/>
  <c r="F20" i="1"/>
  <c r="FB10" i="12"/>
  <c r="F10" i="22"/>
  <c r="F7" i="22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7" i="21"/>
  <c r="F23" i="22"/>
  <c r="F24" i="22"/>
  <c r="F19" i="22"/>
  <c r="F18" i="22"/>
  <c r="F14" i="22"/>
  <c r="F26" i="22"/>
  <c r="F21" i="22"/>
  <c r="F17" i="22"/>
  <c r="F11" i="22"/>
  <c r="F12" i="22"/>
  <c r="F9" i="22"/>
  <c r="F8" i="2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H18" i="2"/>
  <c r="I18" i="2"/>
  <c r="H19" i="2"/>
  <c r="I19" i="2"/>
  <c r="CE29" i="12"/>
  <c r="BA29" i="12"/>
  <c r="CJ29" i="12"/>
  <c r="CY29" i="12"/>
  <c r="V29" i="12"/>
  <c r="EM29" i="12"/>
  <c r="AG29" i="12"/>
  <c r="DI29" i="12"/>
  <c r="EH29" i="12"/>
  <c r="CT29" i="12"/>
  <c r="BF29" i="12"/>
  <c r="BP29" i="12"/>
  <c r="DN29" i="12"/>
  <c r="EW29" i="12"/>
  <c r="G29" i="12"/>
  <c r="DX29" i="12"/>
  <c r="BK29" i="12"/>
  <c r="L29" i="12"/>
  <c r="DD29" i="12"/>
  <c r="CO29" i="12"/>
  <c r="Q29" i="12"/>
  <c r="AA29" i="12"/>
  <c r="AL29" i="12"/>
  <c r="AV29" i="12"/>
  <c r="BZ29" i="12"/>
  <c r="DS29" i="12"/>
  <c r="BU29" i="12"/>
  <c r="EC29" i="12"/>
  <c r="AQ29" i="12"/>
  <c r="ER29" i="12"/>
  <c r="BA21" i="12"/>
  <c r="BP21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V21" i="12"/>
  <c r="Q21" i="12"/>
  <c r="BK21" i="12"/>
  <c r="EM21" i="12"/>
  <c r="G21" i="12"/>
  <c r="EH21" i="12"/>
  <c r="DD21" i="12"/>
  <c r="AA21" i="12"/>
  <c r="BF21" i="12"/>
  <c r="CE21" i="12"/>
  <c r="EW21" i="12"/>
  <c r="AA11" i="12"/>
  <c r="Q11" i="12"/>
  <c r="BK11" i="12"/>
  <c r="BA11" i="12"/>
  <c r="BF11" i="12"/>
  <c r="DD11" i="12"/>
  <c r="CE11" i="12"/>
  <c r="L11" i="12"/>
  <c r="CJ11" i="12"/>
  <c r="EC11" i="12"/>
  <c r="AL11" i="12"/>
  <c r="J14" i="1"/>
  <c r="DI11" i="12"/>
  <c r="CO11" i="12"/>
  <c r="DS11" i="12"/>
  <c r="ER11" i="12"/>
  <c r="BZ11" i="12"/>
  <c r="AG11" i="12"/>
  <c r="EH11" i="12"/>
  <c r="CY11" i="12"/>
  <c r="AQ11" i="12"/>
  <c r="AV11" i="12"/>
  <c r="G11" i="12"/>
  <c r="BP11" i="12"/>
  <c r="BU11" i="12"/>
  <c r="EW11" i="12"/>
  <c r="DN11" i="12"/>
  <c r="EM11" i="12"/>
  <c r="CT11" i="12"/>
  <c r="DX11" i="12"/>
  <c r="V11" i="12"/>
  <c r="AV9" i="12"/>
  <c r="BP9" i="12"/>
  <c r="G9" i="12"/>
  <c r="BZ9" i="12"/>
  <c r="CT9" i="12"/>
  <c r="CY9" i="12"/>
  <c r="BU9" i="12"/>
  <c r="DN9" i="12"/>
  <c r="AL9" i="12"/>
  <c r="DX9" i="12"/>
  <c r="BA9" i="12"/>
  <c r="CO9" i="12"/>
  <c r="EW9" i="12"/>
  <c r="DI9" i="12"/>
  <c r="CE9" i="12"/>
  <c r="AG9" i="12"/>
  <c r="BF9" i="12"/>
  <c r="CJ9" i="12"/>
  <c r="DS9" i="12"/>
  <c r="EH9" i="12"/>
  <c r="AA9" i="12"/>
  <c r="BK9" i="12"/>
  <c r="ER9" i="12"/>
  <c r="EM9" i="12"/>
  <c r="DD9" i="12"/>
  <c r="EC9" i="12"/>
  <c r="Q9" i="12"/>
  <c r="L9" i="12"/>
  <c r="J12" i="1"/>
  <c r="AQ9" i="12"/>
  <c r="V9" i="12"/>
  <c r="I25" i="2"/>
  <c r="H25" i="2"/>
  <c r="J25" i="1"/>
  <c r="BF22" i="12"/>
  <c r="BZ22" i="12"/>
  <c r="CO22" i="12"/>
  <c r="BK22" i="12"/>
  <c r="AV22" i="12"/>
  <c r="DN22" i="12"/>
  <c r="AQ22" i="12"/>
  <c r="L22" i="12"/>
  <c r="EH22" i="12"/>
  <c r="G22" i="12"/>
  <c r="DD16" i="12"/>
  <c r="BZ16" i="12"/>
  <c r="CT16" i="12"/>
  <c r="ER16" i="12"/>
  <c r="EH16" i="12"/>
  <c r="AQ16" i="12"/>
  <c r="DX16" i="12"/>
  <c r="AG16" i="12"/>
  <c r="CO16" i="12"/>
  <c r="G16" i="12"/>
  <c r="AA16" i="12"/>
  <c r="L16" i="12"/>
  <c r="BK16" i="12"/>
  <c r="AL16" i="12"/>
  <c r="BU16" i="12"/>
  <c r="CJ16" i="12"/>
  <c r="EM16" i="12"/>
  <c r="DI16" i="12"/>
  <c r="EC16" i="12"/>
  <c r="BA16" i="12"/>
  <c r="BP16" i="12"/>
  <c r="CE16" i="12"/>
  <c r="CY16" i="12"/>
  <c r="BF16" i="12"/>
  <c r="DN16" i="12"/>
  <c r="AV16" i="12"/>
  <c r="Q16" i="12"/>
  <c r="EW16" i="12"/>
  <c r="DS16" i="12"/>
  <c r="V16" i="12"/>
  <c r="BA12" i="12"/>
  <c r="AQ12" i="12"/>
  <c r="DI12" i="12"/>
  <c r="ER12" i="12"/>
  <c r="EW12" i="12"/>
  <c r="BP12" i="12"/>
  <c r="Q12" i="12"/>
  <c r="DD12" i="12"/>
  <c r="DS12" i="12"/>
  <c r="L12" i="12"/>
  <c r="CO12" i="12"/>
  <c r="EM12" i="12"/>
  <c r="BU12" i="12"/>
  <c r="DN12" i="12"/>
  <c r="J15" i="1"/>
  <c r="AG12" i="12"/>
  <c r="CY12" i="12"/>
  <c r="V12" i="12"/>
  <c r="BZ12" i="12"/>
  <c r="BF12" i="12"/>
  <c r="EC12" i="12"/>
  <c r="BK12" i="12"/>
  <c r="CT12" i="12"/>
  <c r="AA12" i="12"/>
  <c r="DX12" i="12"/>
  <c r="CJ12" i="12"/>
  <c r="AV12" i="12"/>
  <c r="AL12" i="12"/>
  <c r="CE12" i="12"/>
  <c r="EH12" i="12"/>
  <c r="G12" i="12"/>
  <c r="H16" i="2"/>
  <c r="I16" i="2"/>
  <c r="DN23" i="12"/>
  <c r="CT23" i="12"/>
  <c r="BP23" i="12"/>
  <c r="EM23" i="12"/>
  <c r="BZ23" i="12"/>
  <c r="J26" i="1"/>
  <c r="Q23" i="12"/>
  <c r="BU23" i="12"/>
  <c r="DI23" i="12"/>
  <c r="V23" i="12"/>
  <c r="BK23" i="12"/>
  <c r="G23" i="12"/>
  <c r="CY23" i="12"/>
  <c r="EH23" i="12"/>
  <c r="AG23" i="12"/>
  <c r="BF30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L24" i="12"/>
  <c r="BF24" i="12"/>
  <c r="BA7" i="12"/>
  <c r="BK7" i="12"/>
  <c r="CE7" i="12"/>
  <c r="DN7" i="12"/>
  <c r="V7" i="12"/>
  <c r="BF7" i="12"/>
  <c r="DD7" i="12"/>
  <c r="CY7" i="12"/>
  <c r="CT7" i="12"/>
  <c r="BU7" i="12"/>
  <c r="BP7" i="12"/>
  <c r="CO7" i="12"/>
  <c r="AQ7" i="12"/>
  <c r="L7" i="12"/>
  <c r="G7" i="12"/>
  <c r="J10" i="1"/>
  <c r="AV7" i="12"/>
  <c r="ER7" i="12"/>
  <c r="EW7" i="12"/>
  <c r="DI7" i="12"/>
  <c r="AA7" i="12"/>
  <c r="Q7" i="12"/>
  <c r="AL7" i="12"/>
  <c r="EM7" i="12"/>
  <c r="AG7" i="12"/>
  <c r="BZ7" i="12"/>
  <c r="CJ7" i="12"/>
  <c r="DS7" i="12"/>
  <c r="EH7" i="12"/>
  <c r="EC7" i="12"/>
  <c r="DX7" i="12"/>
  <c r="H10" i="2"/>
  <c r="I10" i="2"/>
  <c r="I11" i="2"/>
  <c r="H11" i="2"/>
  <c r="BF13" i="12"/>
  <c r="BK13" i="12"/>
  <c r="ER13" i="12"/>
  <c r="EH13" i="12"/>
  <c r="BU13" i="12"/>
  <c r="BA18" i="12"/>
  <c r="DX18" i="12"/>
  <c r="AL18" i="12"/>
  <c r="CJ18" i="12"/>
  <c r="AV18" i="12"/>
  <c r="L18" i="12"/>
  <c r="BF18" i="12"/>
  <c r="DS18" i="12"/>
  <c r="CT18" i="12"/>
  <c r="BK18" i="12"/>
  <c r="V18" i="12"/>
  <c r="DD18" i="12"/>
  <c r="ER18" i="12"/>
  <c r="CO18" i="12"/>
  <c r="BZ18" i="12"/>
  <c r="AQ18" i="12"/>
  <c r="AG18" i="12"/>
  <c r="BU18" i="12"/>
  <c r="DI18" i="12"/>
  <c r="AA18" i="12"/>
  <c r="EC18" i="12"/>
  <c r="EM18" i="12"/>
  <c r="J21" i="1"/>
  <c r="BP18" i="12"/>
  <c r="EW18" i="12"/>
  <c r="CY18" i="12"/>
  <c r="CE18" i="12"/>
  <c r="Q18" i="12"/>
  <c r="DN18" i="12"/>
  <c r="EH18" i="12"/>
  <c r="G18" i="12"/>
  <c r="DN25" i="12"/>
  <c r="AV25" i="12"/>
  <c r="BP25" i="12"/>
  <c r="G25" i="12"/>
  <c r="CY25" i="12"/>
  <c r="CO25" i="12"/>
  <c r="EH25" i="12"/>
  <c r="DD25" i="12"/>
  <c r="BK25" i="12"/>
  <c r="CT25" i="12"/>
  <c r="CJ25" i="12"/>
  <c r="EC25" i="12"/>
  <c r="I29" i="2"/>
  <c r="I23" i="2"/>
  <c r="H23" i="2"/>
  <c r="H35" i="2"/>
  <c r="I35" i="2"/>
  <c r="H31" i="2"/>
  <c r="I31" i="2"/>
  <c r="EC19" i="12"/>
  <c r="BP19" i="12"/>
  <c r="J22" i="1"/>
  <c r="CY19" i="12"/>
  <c r="DX19" i="12"/>
  <c r="CT19" i="12"/>
  <c r="Q19" i="12"/>
  <c r="CE19" i="12"/>
  <c r="L19" i="12"/>
  <c r="EW19" i="12"/>
  <c r="BZ19" i="12"/>
  <c r="G19" i="12"/>
  <c r="CO19" i="12"/>
  <c r="EH19" i="12"/>
  <c r="EM19" i="12"/>
  <c r="AL19" i="12"/>
  <c r="BF19" i="12"/>
  <c r="CJ19" i="12"/>
  <c r="BA19" i="12"/>
  <c r="DI19" i="12"/>
  <c r="AG19" i="12"/>
  <c r="DS19" i="12"/>
  <c r="AV19" i="12"/>
  <c r="V19" i="12"/>
  <c r="ER19" i="12"/>
  <c r="AQ19" i="12"/>
  <c r="BU19" i="12"/>
  <c r="DN19" i="12"/>
  <c r="AA19" i="12"/>
  <c r="BK19" i="12"/>
  <c r="DD19" i="12"/>
  <c r="EH26" i="12"/>
  <c r="AG26" i="12"/>
  <c r="CJ26" i="12"/>
  <c r="DI26" i="12"/>
  <c r="EC26" i="12"/>
  <c r="Q26" i="12"/>
  <c r="DN26" i="12"/>
  <c r="J29" i="1"/>
  <c r="DX26" i="12"/>
  <c r="AL26" i="12"/>
  <c r="L26" i="12"/>
  <c r="DS26" i="12"/>
  <c r="CO26" i="12"/>
  <c r="V26" i="12"/>
  <c r="ER26" i="12"/>
  <c r="BP26" i="12"/>
  <c r="BF26" i="12"/>
  <c r="CT31" i="12"/>
  <c r="L31" i="12"/>
  <c r="Q31" i="12"/>
  <c r="L10" i="12"/>
  <c r="AV10" i="12"/>
  <c r="J13" i="1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I30" i="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J20" i="1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H15" i="2"/>
  <c r="I15" i="2"/>
  <c r="BA8" i="12"/>
  <c r="EC8" i="12"/>
  <c r="DS8" i="12"/>
  <c r="AL8" i="12"/>
  <c r="EW8" i="12"/>
  <c r="Q8" i="12"/>
  <c r="AA8" i="12"/>
  <c r="L8" i="12"/>
  <c r="DI8" i="12"/>
  <c r="G8" i="12"/>
  <c r="BK8" i="12"/>
  <c r="J11" i="1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F33" i="22"/>
  <c r="J36" i="9"/>
  <c r="H38" i="2"/>
  <c r="I38" i="2"/>
  <c r="F38" i="2"/>
  <c r="F31" i="22"/>
  <c r="C40" i="2"/>
  <c r="H37" i="2"/>
  <c r="I37" i="2"/>
  <c r="EH33" i="1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L33" i="12"/>
  <c r="G33" i="12"/>
  <c r="AA33" i="12"/>
  <c r="AV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J36" i="1"/>
  <c r="DN32" i="12"/>
  <c r="EM32" i="12"/>
  <c r="AV32" i="12"/>
  <c r="EC32" i="12"/>
  <c r="EH32" i="12"/>
  <c r="DS32" i="12"/>
  <c r="H32" i="15"/>
  <c r="C36" i="15"/>
  <c r="F29" i="22"/>
  <c r="F30" i="22"/>
  <c r="CY30" i="12" l="1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F39" i="1"/>
  <c r="F40" i="1" s="1"/>
  <c r="B39" i="1"/>
  <c r="B40" i="1" s="1"/>
  <c r="H6" i="15"/>
  <c r="J34" i="1"/>
  <c r="H34" i="2"/>
  <c r="EF20" i="19"/>
  <c r="F6" i="22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  <c r="E3" i="19"/>
  <c r="D3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380</t>
        </r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10</t>
        </r>
      </text>
    </comment>
    <comment ref="EH5" authorId="3" shapeId="0" xr:uid="{B180E051-F6FC-421A-8759-743704C6386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7</t>
        </r>
      </text>
    </comment>
    <comment ref="EK5" authorId="4" shapeId="0" xr:uid="{ACDE7480-2A8A-46B4-8DE1-09EB6B7A8400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6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<sst xmlns="http://schemas.openxmlformats.org/spreadsheetml/2006/main" count="630" uniqueCount="209">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</sst>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7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textRotation="255"/>
    </xf>
    <xf numFmtId="49" fontId="10" fillId="0" borderId="0" xfId="0" applyNumberFormat="1" applyFont="1" applyAlignment="1">
      <alignment horizontal="center" vertical="center" textRotation="90"/>
    </xf>
    <xf numFmtId="0" fontId="13" fillId="12" borderId="15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ill="1" applyBorder="1" applyAlignment="1">
      <alignment horizontal="center" vertical="center"/>
    </xf>
    <xf numFmtId="0" fontId="4" fillId="5" borderId="2" xfId="9" applyFill="1" applyBorder="1" applyAlignment="1">
      <alignment horizontal="center" vertical="center"/>
    </xf>
    <xf numFmtId="0" fontId="4" fillId="5" borderId="17" xfId="9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0" borderId="17" xfId="9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Alignment="1">
      <alignment horizontal="center" vertical="center"/>
    </xf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4" fillId="0" borderId="2" xfId="9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2" fontId="4" fillId="0" borderId="2" xfId="9" applyNumberFormat="1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Border="1" applyAlignment="1">
      <alignment horizontal="center" vertical="center"/>
    </xf>
    <xf numFmtId="0" fontId="4" fillId="0" borderId="0" xfId="9" applyAlignment="1">
      <alignment horizont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/>
    <xf numFmtId="0" fontId="4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ill="1" applyBorder="1" applyAlignment="1">
      <alignment horizontal="center" vertical="center"/>
    </xf>
    <xf numFmtId="0" fontId="4" fillId="5" borderId="14" xfId="9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70" fontId="4" fillId="5" borderId="2" xfId="0" applyNumberFormat="1" applyFont="1" applyFill="1" applyBorder="1" applyAlignment="1">
      <alignment horizont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2" fontId="33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1" fontId="29" fillId="0" borderId="2" xfId="13" applyNumberFormat="1" applyFont="1" applyBorder="1" applyAlignment="1">
      <alignment horizontal="center" vertical="center"/>
    </xf>
    <xf numFmtId="0" fontId="5" fillId="11" borderId="2" xfId="9" applyFont="1" applyFill="1" applyBorder="1" applyAlignment="1">
      <alignment horizontal="center" vertical="center" wrapText="1"/>
    </xf>
    <xf numFmtId="0" fontId="6" fillId="22" borderId="0" xfId="9" applyFont="1" applyFill="1" applyAlignment="1">
      <alignment horizontal="center"/>
    </xf>
    <xf numFmtId="0" fontId="6" fillId="23" borderId="0" xfId="9" applyFont="1" applyFill="1" applyAlignment="1">
      <alignment horizontal="center"/>
    </xf>
    <xf numFmtId="0" fontId="3" fillId="11" borderId="2" xfId="9" applyFont="1" applyFill="1" applyBorder="1" applyAlignment="1">
      <alignment horizontal="center"/>
    </xf>
    <xf numFmtId="0" fontId="5" fillId="11" borderId="2" xfId="9" applyFont="1" applyFill="1" applyBorder="1" applyAlignment="1">
      <alignment horizontal="center" wrapText="1"/>
    </xf>
    <xf numFmtId="2" fontId="4" fillId="0" borderId="10" xfId="9" applyNumberFormat="1" applyBorder="1" applyAlignment="1">
      <alignment horizontal="center"/>
    </xf>
    <xf numFmtId="172" fontId="4" fillId="11" borderId="35" xfId="0" applyNumberFormat="1" applyFont="1" applyFill="1" applyBorder="1" applyAlignment="1">
      <alignment horizontal="center"/>
    </xf>
    <xf numFmtId="172" fontId="4" fillId="11" borderId="37" xfId="0" applyNumberFormat="1" applyFont="1" applyFill="1" applyBorder="1" applyAlignment="1">
      <alignment horizontal="center"/>
    </xf>
    <xf numFmtId="0" fontId="37" fillId="11" borderId="45" xfId="0" applyFont="1" applyFill="1" applyBorder="1" applyAlignment="1">
      <alignment horizontal="center" vertical="center" wrapText="1"/>
    </xf>
    <xf numFmtId="0" fontId="4" fillId="32" borderId="0" xfId="9" applyFill="1"/>
    <xf numFmtId="0" fontId="3" fillId="32" borderId="0" xfId="9" applyFont="1" applyFill="1"/>
    <xf numFmtId="0" fontId="4" fillId="32" borderId="0" xfId="9" applyFill="1" applyAlignment="1">
      <alignment horizontal="center" vertical="center"/>
    </xf>
    <xf numFmtId="0" fontId="18" fillId="0" borderId="2" xfId="9" applyFont="1" applyBorder="1" applyAlignment="1">
      <alignment horizontal="center"/>
    </xf>
    <xf numFmtId="0" fontId="18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5" fillId="9" borderId="33" xfId="9" applyFont="1" applyFill="1" applyBorder="1" applyAlignment="1">
      <alignment horizontal="center" vertical="center"/>
    </xf>
    <xf numFmtId="0" fontId="5" fillId="9" borderId="2" xfId="9" applyFont="1" applyFill="1" applyBorder="1" applyAlignment="1">
      <alignment horizontal="center" vertical="center"/>
    </xf>
    <xf numFmtId="0" fontId="5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" fillId="0" borderId="2" xfId="0" applyFont="1" applyBorder="1" applyAlignment="1">
      <alignment horizontal="right"/>
    </xf>
    <xf numFmtId="43" fontId="43" fillId="0" borderId="0" xfId="1" applyFont="1"/>
    <xf numFmtId="165" fontId="3" fillId="9" borderId="3" xfId="0" applyNumberFormat="1" applyFont="1" applyFill="1" applyBorder="1" applyAlignment="1">
      <alignment horizontal="center" vertical="center"/>
    </xf>
    <xf numFmtId="0" fontId="4" fillId="9" borderId="17" xfId="9" applyFill="1" applyBorder="1" applyAlignment="1">
      <alignment horizontal="center" vertical="center"/>
    </xf>
    <xf numFmtId="165" fontId="3" fillId="9" borderId="3" xfId="0" applyNumberFormat="1" applyFont="1" applyFill="1" applyBorder="1"/>
    <xf numFmtId="43" fontId="3" fillId="9" borderId="3" xfId="0" applyNumberFormat="1" applyFont="1" applyFill="1" applyBorder="1" applyAlignment="1">
      <alignment vertical="center"/>
    </xf>
    <xf numFmtId="1" fontId="3" fillId="9" borderId="0" xfId="0" applyNumberFormat="1" applyFont="1" applyFill="1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/>
    </xf>
    <xf numFmtId="49" fontId="3" fillId="0" borderId="13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57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8" fillId="29" borderId="18" xfId="9" applyFont="1" applyFill="1" applyBorder="1" applyAlignment="1">
      <alignment horizontal="center" vertical="center"/>
    </xf>
    <xf numFmtId="0" fontId="38" fillId="29" borderId="20" xfId="9" applyFont="1" applyFill="1" applyBorder="1" applyAlignment="1">
      <alignment horizontal="center" vertical="center"/>
    </xf>
    <xf numFmtId="0" fontId="38" fillId="29" borderId="21" xfId="9" applyFont="1" applyFill="1" applyBorder="1" applyAlignment="1">
      <alignment horizontal="center" vertical="center"/>
    </xf>
    <xf numFmtId="0" fontId="3" fillId="29" borderId="18" xfId="9" applyFont="1" applyFill="1" applyBorder="1" applyAlignment="1">
      <alignment horizontal="center" vertical="center"/>
    </xf>
    <xf numFmtId="0" fontId="3" fillId="29" borderId="20" xfId="9" applyFont="1" applyFill="1" applyBorder="1" applyAlignment="1">
      <alignment horizontal="center" vertical="center"/>
    </xf>
    <xf numFmtId="0" fontId="3" fillId="29" borderId="21" xfId="9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28" fillId="23" borderId="52" xfId="9" applyFont="1" applyFill="1" applyBorder="1" applyAlignment="1">
      <alignment horizontal="left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36" fillId="31" borderId="1" xfId="0" applyFont="1" applyFill="1" applyBorder="1" applyAlignment="1">
      <alignment horizontal="center" vertical="center"/>
    </xf>
    <xf numFmtId="0" fontId="36" fillId="31" borderId="58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/>
    </xf>
    <xf numFmtId="167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20108</c:v>
                </c:pt>
                <c:pt idx="1">
                  <c:v>20636</c:v>
                </c:pt>
                <c:pt idx="2">
                  <c:v>20596</c:v>
                </c:pt>
                <c:pt idx="3">
                  <c:v>21482</c:v>
                </c:pt>
                <c:pt idx="4">
                  <c:v>20761</c:v>
                </c:pt>
                <c:pt idx="5">
                  <c:v>18935</c:v>
                </c:pt>
                <c:pt idx="6">
                  <c:v>21386</c:v>
                </c:pt>
                <c:pt idx="7">
                  <c:v>21684</c:v>
                </c:pt>
                <c:pt idx="8">
                  <c:v>21231</c:v>
                </c:pt>
                <c:pt idx="9">
                  <c:v>22183</c:v>
                </c:pt>
                <c:pt idx="10">
                  <c:v>22242</c:v>
                </c:pt>
                <c:pt idx="11">
                  <c:v>22436</c:v>
                </c:pt>
                <c:pt idx="12">
                  <c:v>22085</c:v>
                </c:pt>
                <c:pt idx="13">
                  <c:v>21264</c:v>
                </c:pt>
                <c:pt idx="14">
                  <c:v>22800</c:v>
                </c:pt>
                <c:pt idx="15">
                  <c:v>21865</c:v>
                </c:pt>
                <c:pt idx="16">
                  <c:v>22668</c:v>
                </c:pt>
                <c:pt idx="17">
                  <c:v>22429</c:v>
                </c:pt>
                <c:pt idx="18">
                  <c:v>23461</c:v>
                </c:pt>
                <c:pt idx="19">
                  <c:v>22096</c:v>
                </c:pt>
                <c:pt idx="20">
                  <c:v>20693</c:v>
                </c:pt>
                <c:pt idx="21">
                  <c:v>21286</c:v>
                </c:pt>
                <c:pt idx="22">
                  <c:v>22866</c:v>
                </c:pt>
                <c:pt idx="23">
                  <c:v>24159</c:v>
                </c:pt>
                <c:pt idx="24">
                  <c:v>25115</c:v>
                </c:pt>
                <c:pt idx="25">
                  <c:v>23295</c:v>
                </c:pt>
                <c:pt idx="26">
                  <c:v>23950</c:v>
                </c:pt>
                <c:pt idx="27">
                  <c:v>23092</c:v>
                </c:pt>
                <c:pt idx="28">
                  <c:v>24152</c:v>
                </c:pt>
                <c:pt idx="29">
                  <c:v>21259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13.6</c:v>
                </c:pt>
                <c:pt idx="1">
                  <c:v>14.6</c:v>
                </c:pt>
                <c:pt idx="2">
                  <c:v>14.6</c:v>
                </c:pt>
                <c:pt idx="3">
                  <c:v>10.7</c:v>
                </c:pt>
                <c:pt idx="4">
                  <c:v>10.7</c:v>
                </c:pt>
                <c:pt idx="5">
                  <c:v>13.6</c:v>
                </c:pt>
                <c:pt idx="6">
                  <c:v>13.6</c:v>
                </c:pt>
                <c:pt idx="7">
                  <c:v>15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14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15.5</c:v>
                </c:pt>
                <c:pt idx="19">
                  <c:v>12.6</c:v>
                </c:pt>
                <c:pt idx="20">
                  <c:v>21.4</c:v>
                </c:pt>
                <c:pt idx="21">
                  <c:v>26.2</c:v>
                </c:pt>
                <c:pt idx="22">
                  <c:v>26.2</c:v>
                </c:pt>
                <c:pt idx="23">
                  <c:v>26.2</c:v>
                </c:pt>
                <c:pt idx="24">
                  <c:v>23.8</c:v>
                </c:pt>
                <c:pt idx="25">
                  <c:v>11.7</c:v>
                </c:pt>
                <c:pt idx="26">
                  <c:v>14.6</c:v>
                </c:pt>
                <c:pt idx="27">
                  <c:v>16.5</c:v>
                </c:pt>
                <c:pt idx="28">
                  <c:v>17.5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13.6</c:v>
                </c:pt>
                <c:pt idx="1">
                  <c:v>14.6</c:v>
                </c:pt>
                <c:pt idx="2">
                  <c:v>14.6</c:v>
                </c:pt>
                <c:pt idx="3">
                  <c:v>10.7</c:v>
                </c:pt>
                <c:pt idx="4">
                  <c:v>10.7</c:v>
                </c:pt>
                <c:pt idx="5">
                  <c:v>13.6</c:v>
                </c:pt>
                <c:pt idx="6">
                  <c:v>13.6</c:v>
                </c:pt>
                <c:pt idx="7">
                  <c:v>15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14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15.5</c:v>
                </c:pt>
                <c:pt idx="19">
                  <c:v>12.6</c:v>
                </c:pt>
                <c:pt idx="20">
                  <c:v>21.4</c:v>
                </c:pt>
                <c:pt idx="21">
                  <c:v>26.2</c:v>
                </c:pt>
                <c:pt idx="22">
                  <c:v>26.2</c:v>
                </c:pt>
                <c:pt idx="23">
                  <c:v>26.2</c:v>
                </c:pt>
                <c:pt idx="24">
                  <c:v>23.8</c:v>
                </c:pt>
                <c:pt idx="25">
                  <c:v>11.7</c:v>
                </c:pt>
                <c:pt idx="26">
                  <c:v>14.6</c:v>
                </c:pt>
                <c:pt idx="27">
                  <c:v>16.5</c:v>
                </c:pt>
                <c:pt idx="28">
                  <c:v>17.5</c:v>
                </c:pt>
                <c:pt idx="29">
                  <c:v>18</c:v>
                </c:pt>
                <c:pt idx="30">
                  <c:v>0</c:v>
                </c:pt>
                <c:pt idx="31">
                  <c:v>15.686666666666666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2302</c:v>
                </c:pt>
                <c:pt idx="1">
                  <c:v>2443</c:v>
                </c:pt>
                <c:pt idx="2">
                  <c:v>2538</c:v>
                </c:pt>
                <c:pt idx="3">
                  <c:v>2593</c:v>
                </c:pt>
                <c:pt idx="4">
                  <c:v>2486</c:v>
                </c:pt>
                <c:pt idx="5">
                  <c:v>2474</c:v>
                </c:pt>
                <c:pt idx="6">
                  <c:v>2377</c:v>
                </c:pt>
                <c:pt idx="7">
                  <c:v>2651</c:v>
                </c:pt>
                <c:pt idx="8">
                  <c:v>2612</c:v>
                </c:pt>
                <c:pt idx="9">
                  <c:v>2643</c:v>
                </c:pt>
                <c:pt idx="10">
                  <c:v>2684</c:v>
                </c:pt>
                <c:pt idx="11">
                  <c:v>2727</c:v>
                </c:pt>
                <c:pt idx="12">
                  <c:v>2733</c:v>
                </c:pt>
                <c:pt idx="13">
                  <c:v>2631</c:v>
                </c:pt>
                <c:pt idx="14">
                  <c:v>2572</c:v>
                </c:pt>
                <c:pt idx="15">
                  <c:v>2684</c:v>
                </c:pt>
                <c:pt idx="16">
                  <c:v>2670</c:v>
                </c:pt>
                <c:pt idx="17">
                  <c:v>2586</c:v>
                </c:pt>
                <c:pt idx="18">
                  <c:v>2824</c:v>
                </c:pt>
                <c:pt idx="19">
                  <c:v>2793</c:v>
                </c:pt>
                <c:pt idx="20">
                  <c:v>2920</c:v>
                </c:pt>
                <c:pt idx="21">
                  <c:v>2972</c:v>
                </c:pt>
                <c:pt idx="22">
                  <c:v>2822</c:v>
                </c:pt>
                <c:pt idx="23">
                  <c:v>3228</c:v>
                </c:pt>
                <c:pt idx="24">
                  <c:v>3454</c:v>
                </c:pt>
                <c:pt idx="25">
                  <c:v>3178</c:v>
                </c:pt>
                <c:pt idx="26">
                  <c:v>3183</c:v>
                </c:pt>
                <c:pt idx="27">
                  <c:v>2963</c:v>
                </c:pt>
                <c:pt idx="28">
                  <c:v>2973</c:v>
                </c:pt>
                <c:pt idx="29">
                  <c:v>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3074</c:v>
                </c:pt>
                <c:pt idx="1">
                  <c:v>3465</c:v>
                </c:pt>
                <c:pt idx="2">
                  <c:v>3454</c:v>
                </c:pt>
                <c:pt idx="3">
                  <c:v>3553</c:v>
                </c:pt>
                <c:pt idx="4">
                  <c:v>2890</c:v>
                </c:pt>
                <c:pt idx="5">
                  <c:v>3119</c:v>
                </c:pt>
                <c:pt idx="6">
                  <c:v>3150</c:v>
                </c:pt>
                <c:pt idx="7">
                  <c:v>3635</c:v>
                </c:pt>
                <c:pt idx="8">
                  <c:v>3904</c:v>
                </c:pt>
                <c:pt idx="9">
                  <c:v>4079</c:v>
                </c:pt>
                <c:pt idx="10">
                  <c:v>4084</c:v>
                </c:pt>
                <c:pt idx="11">
                  <c:v>3903</c:v>
                </c:pt>
                <c:pt idx="12">
                  <c:v>3900</c:v>
                </c:pt>
                <c:pt idx="13">
                  <c:v>3700</c:v>
                </c:pt>
                <c:pt idx="14">
                  <c:v>3816</c:v>
                </c:pt>
                <c:pt idx="15">
                  <c:v>3879</c:v>
                </c:pt>
                <c:pt idx="16">
                  <c:v>4028</c:v>
                </c:pt>
                <c:pt idx="17">
                  <c:v>4104</c:v>
                </c:pt>
                <c:pt idx="18">
                  <c:v>4080</c:v>
                </c:pt>
                <c:pt idx="19">
                  <c:v>3134</c:v>
                </c:pt>
                <c:pt idx="20">
                  <c:v>3373</c:v>
                </c:pt>
                <c:pt idx="21">
                  <c:v>3680</c:v>
                </c:pt>
                <c:pt idx="22">
                  <c:v>4169</c:v>
                </c:pt>
                <c:pt idx="23">
                  <c:v>4448</c:v>
                </c:pt>
                <c:pt idx="24">
                  <c:v>4427</c:v>
                </c:pt>
                <c:pt idx="25">
                  <c:v>3779</c:v>
                </c:pt>
                <c:pt idx="26">
                  <c:v>3683</c:v>
                </c:pt>
                <c:pt idx="27">
                  <c:v>3740</c:v>
                </c:pt>
                <c:pt idx="28">
                  <c:v>4143</c:v>
                </c:pt>
                <c:pt idx="29">
                  <c:v>3232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9985</c:v>
                </c:pt>
                <c:pt idx="1">
                  <c:v>9494</c:v>
                </c:pt>
                <c:pt idx="2">
                  <c:v>9716</c:v>
                </c:pt>
                <c:pt idx="3">
                  <c:v>9899</c:v>
                </c:pt>
                <c:pt idx="4">
                  <c:v>10490</c:v>
                </c:pt>
                <c:pt idx="5">
                  <c:v>9732</c:v>
                </c:pt>
                <c:pt idx="6">
                  <c:v>9238</c:v>
                </c:pt>
                <c:pt idx="7">
                  <c:v>9930</c:v>
                </c:pt>
                <c:pt idx="8">
                  <c:v>9571</c:v>
                </c:pt>
                <c:pt idx="9">
                  <c:v>10316</c:v>
                </c:pt>
                <c:pt idx="10">
                  <c:v>10473</c:v>
                </c:pt>
                <c:pt idx="11">
                  <c:v>10196</c:v>
                </c:pt>
                <c:pt idx="12">
                  <c:v>10335</c:v>
                </c:pt>
                <c:pt idx="13">
                  <c:v>9823</c:v>
                </c:pt>
                <c:pt idx="14">
                  <c:v>10721</c:v>
                </c:pt>
                <c:pt idx="15">
                  <c:v>10156</c:v>
                </c:pt>
                <c:pt idx="16">
                  <c:v>10287</c:v>
                </c:pt>
                <c:pt idx="17">
                  <c:v>10623</c:v>
                </c:pt>
                <c:pt idx="18">
                  <c:v>10829</c:v>
                </c:pt>
                <c:pt idx="19">
                  <c:v>11394</c:v>
                </c:pt>
                <c:pt idx="20">
                  <c:v>9250</c:v>
                </c:pt>
                <c:pt idx="21">
                  <c:v>9342</c:v>
                </c:pt>
                <c:pt idx="22">
                  <c:v>10785</c:v>
                </c:pt>
                <c:pt idx="23">
                  <c:v>11118</c:v>
                </c:pt>
                <c:pt idx="24">
                  <c:v>11557</c:v>
                </c:pt>
                <c:pt idx="25">
                  <c:v>11283</c:v>
                </c:pt>
                <c:pt idx="26">
                  <c:v>10957</c:v>
                </c:pt>
                <c:pt idx="27">
                  <c:v>11111</c:v>
                </c:pt>
                <c:pt idx="28">
                  <c:v>11062</c:v>
                </c:pt>
                <c:pt idx="29">
                  <c:v>10452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2100</c:v>
                </c:pt>
                <c:pt idx="1">
                  <c:v>2300</c:v>
                </c:pt>
                <c:pt idx="2">
                  <c:v>2200</c:v>
                </c:pt>
                <c:pt idx="3">
                  <c:v>2100</c:v>
                </c:pt>
                <c:pt idx="4">
                  <c:v>2200</c:v>
                </c:pt>
                <c:pt idx="5">
                  <c:v>2200</c:v>
                </c:pt>
                <c:pt idx="6">
                  <c:v>2200</c:v>
                </c:pt>
                <c:pt idx="7">
                  <c:v>2300</c:v>
                </c:pt>
                <c:pt idx="8">
                  <c:v>2300</c:v>
                </c:pt>
                <c:pt idx="9">
                  <c:v>2500</c:v>
                </c:pt>
                <c:pt idx="10">
                  <c:v>2400</c:v>
                </c:pt>
                <c:pt idx="11">
                  <c:v>2400</c:v>
                </c:pt>
                <c:pt idx="12">
                  <c:v>2500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2300</c:v>
                </c:pt>
                <c:pt idx="20">
                  <c:v>2400</c:v>
                </c:pt>
                <c:pt idx="21">
                  <c:v>2300</c:v>
                </c:pt>
                <c:pt idx="22">
                  <c:v>2500</c:v>
                </c:pt>
                <c:pt idx="23">
                  <c:v>2700</c:v>
                </c:pt>
                <c:pt idx="24">
                  <c:v>2500</c:v>
                </c:pt>
                <c:pt idx="25">
                  <c:v>2600</c:v>
                </c:pt>
                <c:pt idx="26">
                  <c:v>2500</c:v>
                </c:pt>
                <c:pt idx="27">
                  <c:v>2600</c:v>
                </c:pt>
                <c:pt idx="28">
                  <c:v>2400</c:v>
                </c:pt>
                <c:pt idx="29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2533</c:v>
                </c:pt>
                <c:pt idx="1">
                  <c:v>2615</c:v>
                </c:pt>
                <c:pt idx="2">
                  <c:v>2668</c:v>
                </c:pt>
                <c:pt idx="3">
                  <c:v>2543</c:v>
                </c:pt>
                <c:pt idx="4">
                  <c:v>2603</c:v>
                </c:pt>
                <c:pt idx="5">
                  <c:v>2592</c:v>
                </c:pt>
                <c:pt idx="6">
                  <c:v>2603</c:v>
                </c:pt>
                <c:pt idx="7">
                  <c:v>2813</c:v>
                </c:pt>
                <c:pt idx="8">
                  <c:v>2805</c:v>
                </c:pt>
                <c:pt idx="9">
                  <c:v>2868</c:v>
                </c:pt>
                <c:pt idx="10">
                  <c:v>2799</c:v>
                </c:pt>
                <c:pt idx="11">
                  <c:v>2778</c:v>
                </c:pt>
                <c:pt idx="12">
                  <c:v>2888</c:v>
                </c:pt>
                <c:pt idx="13">
                  <c:v>2750</c:v>
                </c:pt>
                <c:pt idx="14">
                  <c:v>2738</c:v>
                </c:pt>
                <c:pt idx="15">
                  <c:v>2846</c:v>
                </c:pt>
                <c:pt idx="16">
                  <c:v>2906</c:v>
                </c:pt>
                <c:pt idx="17">
                  <c:v>2884</c:v>
                </c:pt>
                <c:pt idx="18">
                  <c:v>2918</c:v>
                </c:pt>
                <c:pt idx="19">
                  <c:v>2684</c:v>
                </c:pt>
                <c:pt idx="20">
                  <c:v>2723</c:v>
                </c:pt>
                <c:pt idx="21">
                  <c:v>2700</c:v>
                </c:pt>
                <c:pt idx="22">
                  <c:v>2838</c:v>
                </c:pt>
                <c:pt idx="23">
                  <c:v>2897</c:v>
                </c:pt>
                <c:pt idx="24">
                  <c:v>2704</c:v>
                </c:pt>
                <c:pt idx="25">
                  <c:v>2767</c:v>
                </c:pt>
                <c:pt idx="26">
                  <c:v>2750</c:v>
                </c:pt>
                <c:pt idx="27">
                  <c:v>2843</c:v>
                </c:pt>
                <c:pt idx="28">
                  <c:v>2957</c:v>
                </c:pt>
                <c:pt idx="29">
                  <c:v>2738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600</c:v>
                </c:pt>
                <c:pt idx="4">
                  <c:v>600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600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600</c:v>
                </c:pt>
                <c:pt idx="18">
                  <c:v>800</c:v>
                </c:pt>
                <c:pt idx="19">
                  <c:v>700</c:v>
                </c:pt>
                <c:pt idx="20">
                  <c:v>600</c:v>
                </c:pt>
                <c:pt idx="21">
                  <c:v>700</c:v>
                </c:pt>
                <c:pt idx="22">
                  <c:v>800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800</c:v>
                </c:pt>
                <c:pt idx="27">
                  <c:v>800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700</c:v>
                </c:pt>
                <c:pt idx="1">
                  <c:v>1400</c:v>
                </c:pt>
                <c:pt idx="2">
                  <c:v>900</c:v>
                </c:pt>
                <c:pt idx="3">
                  <c:v>1300</c:v>
                </c:pt>
                <c:pt idx="4">
                  <c:v>900</c:v>
                </c:pt>
                <c:pt idx="5">
                  <c:v>1300</c:v>
                </c:pt>
                <c:pt idx="6">
                  <c:v>700</c:v>
                </c:pt>
                <c:pt idx="7">
                  <c:v>1200</c:v>
                </c:pt>
                <c:pt idx="8">
                  <c:v>700</c:v>
                </c:pt>
                <c:pt idx="9">
                  <c:v>1100</c:v>
                </c:pt>
                <c:pt idx="10">
                  <c:v>700</c:v>
                </c:pt>
                <c:pt idx="11">
                  <c:v>1100</c:v>
                </c:pt>
                <c:pt idx="12">
                  <c:v>900</c:v>
                </c:pt>
                <c:pt idx="13">
                  <c:v>800</c:v>
                </c:pt>
                <c:pt idx="14">
                  <c:v>1200</c:v>
                </c:pt>
                <c:pt idx="15">
                  <c:v>800</c:v>
                </c:pt>
                <c:pt idx="16">
                  <c:v>1000</c:v>
                </c:pt>
                <c:pt idx="17">
                  <c:v>700</c:v>
                </c:pt>
                <c:pt idx="18">
                  <c:v>1100</c:v>
                </c:pt>
                <c:pt idx="19">
                  <c:v>900</c:v>
                </c:pt>
                <c:pt idx="20">
                  <c:v>900</c:v>
                </c:pt>
                <c:pt idx="21">
                  <c:v>700</c:v>
                </c:pt>
                <c:pt idx="22">
                  <c:v>1100</c:v>
                </c:pt>
                <c:pt idx="23">
                  <c:v>700</c:v>
                </c:pt>
                <c:pt idx="24">
                  <c:v>1100</c:v>
                </c:pt>
                <c:pt idx="25">
                  <c:v>700</c:v>
                </c:pt>
                <c:pt idx="26">
                  <c:v>1600</c:v>
                </c:pt>
                <c:pt idx="27">
                  <c:v>700</c:v>
                </c:pt>
                <c:pt idx="28">
                  <c:v>1400</c:v>
                </c:pt>
                <c:pt idx="29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1065100</c:v>
                </c:pt>
                <c:pt idx="1">
                  <c:v>1065300</c:v>
                </c:pt>
                <c:pt idx="2">
                  <c:v>1065600</c:v>
                </c:pt>
                <c:pt idx="3">
                  <c:v>1065800</c:v>
                </c:pt>
                <c:pt idx="4">
                  <c:v>1066100</c:v>
                </c:pt>
                <c:pt idx="5">
                  <c:v>1066300</c:v>
                </c:pt>
                <c:pt idx="6">
                  <c:v>1066600</c:v>
                </c:pt>
                <c:pt idx="7">
                  <c:v>1066800</c:v>
                </c:pt>
                <c:pt idx="8">
                  <c:v>1067100</c:v>
                </c:pt>
                <c:pt idx="9">
                  <c:v>1067400</c:v>
                </c:pt>
                <c:pt idx="10">
                  <c:v>1067600</c:v>
                </c:pt>
                <c:pt idx="11">
                  <c:v>1067900</c:v>
                </c:pt>
                <c:pt idx="12">
                  <c:v>1068100</c:v>
                </c:pt>
                <c:pt idx="13">
                  <c:v>1068400</c:v>
                </c:pt>
                <c:pt idx="14">
                  <c:v>1068600</c:v>
                </c:pt>
                <c:pt idx="15">
                  <c:v>1068900</c:v>
                </c:pt>
                <c:pt idx="16">
                  <c:v>1069100</c:v>
                </c:pt>
                <c:pt idx="17">
                  <c:v>1069400</c:v>
                </c:pt>
                <c:pt idx="18">
                  <c:v>1069600</c:v>
                </c:pt>
                <c:pt idx="19">
                  <c:v>1069900</c:v>
                </c:pt>
                <c:pt idx="20">
                  <c:v>1070200</c:v>
                </c:pt>
                <c:pt idx="21">
                  <c:v>1070500</c:v>
                </c:pt>
                <c:pt idx="22">
                  <c:v>1070700</c:v>
                </c:pt>
                <c:pt idx="23">
                  <c:v>1071000</c:v>
                </c:pt>
                <c:pt idx="24">
                  <c:v>1071300</c:v>
                </c:pt>
                <c:pt idx="25">
                  <c:v>1071500</c:v>
                </c:pt>
                <c:pt idx="26">
                  <c:v>1071800</c:v>
                </c:pt>
                <c:pt idx="27">
                  <c:v>1072100</c:v>
                </c:pt>
                <c:pt idx="28">
                  <c:v>1072400</c:v>
                </c:pt>
                <c:pt idx="29">
                  <c:v>1072600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20108</c:v>
                </c:pt>
                <c:pt idx="1">
                  <c:v>20636</c:v>
                </c:pt>
                <c:pt idx="2">
                  <c:v>20596</c:v>
                </c:pt>
                <c:pt idx="3">
                  <c:v>21482</c:v>
                </c:pt>
                <c:pt idx="4">
                  <c:v>20761</c:v>
                </c:pt>
                <c:pt idx="5">
                  <c:v>18935</c:v>
                </c:pt>
                <c:pt idx="6">
                  <c:v>21386</c:v>
                </c:pt>
                <c:pt idx="7">
                  <c:v>21684</c:v>
                </c:pt>
                <c:pt idx="8">
                  <c:v>21231</c:v>
                </c:pt>
                <c:pt idx="9">
                  <c:v>22183</c:v>
                </c:pt>
                <c:pt idx="10">
                  <c:v>22242</c:v>
                </c:pt>
                <c:pt idx="11">
                  <c:v>22436</c:v>
                </c:pt>
                <c:pt idx="12">
                  <c:v>22085</c:v>
                </c:pt>
                <c:pt idx="13">
                  <c:v>21264</c:v>
                </c:pt>
                <c:pt idx="14">
                  <c:v>22800</c:v>
                </c:pt>
                <c:pt idx="15">
                  <c:v>21865</c:v>
                </c:pt>
                <c:pt idx="16">
                  <c:v>22668</c:v>
                </c:pt>
                <c:pt idx="17">
                  <c:v>22429</c:v>
                </c:pt>
                <c:pt idx="18">
                  <c:v>23461</c:v>
                </c:pt>
                <c:pt idx="19">
                  <c:v>22096</c:v>
                </c:pt>
                <c:pt idx="20">
                  <c:v>20693</c:v>
                </c:pt>
                <c:pt idx="21">
                  <c:v>21286</c:v>
                </c:pt>
                <c:pt idx="22">
                  <c:v>22866</c:v>
                </c:pt>
                <c:pt idx="23">
                  <c:v>24159</c:v>
                </c:pt>
                <c:pt idx="24">
                  <c:v>25115</c:v>
                </c:pt>
                <c:pt idx="25">
                  <c:v>23295</c:v>
                </c:pt>
                <c:pt idx="26">
                  <c:v>23950</c:v>
                </c:pt>
                <c:pt idx="27">
                  <c:v>23092</c:v>
                </c:pt>
                <c:pt idx="28">
                  <c:v>24152</c:v>
                </c:pt>
                <c:pt idx="29">
                  <c:v>21259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tabSelected="1" workbookViewId="0">
      <selection activeCell="P22" sqref="P2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8" t="s">
        <v>97</v>
      </c>
      <c r="B1" s="118" t="s">
        <v>42</v>
      </c>
      <c r="C1" s="119" t="s">
        <v>3</v>
      </c>
      <c r="D1" s="118" t="s">
        <v>4</v>
      </c>
      <c r="E1" s="120" t="s">
        <v>98</v>
      </c>
      <c r="F1" s="121" t="s">
        <v>99</v>
      </c>
      <c r="G1" s="120" t="s">
        <v>100</v>
      </c>
      <c r="H1" s="121" t="s">
        <v>101</v>
      </c>
      <c r="I1" s="120" t="s">
        <v>102</v>
      </c>
      <c r="J1" s="122" t="s">
        <v>103</v>
      </c>
      <c r="K1" s="120" t="s">
        <v>104</v>
      </c>
      <c r="L1" s="120" t="s">
        <v>105</v>
      </c>
    </row>
    <row r="2" spans="1:12" ht="15" x14ac:dyDescent="0.25">
      <c r="A2" s="123" t="s">
        <v>106</v>
      </c>
      <c r="B2" s="123">
        <v>1</v>
      </c>
      <c r="C2" s="124">
        <v>9</v>
      </c>
      <c r="D2" s="123">
        <v>2022</v>
      </c>
      <c r="E2" s="125">
        <f>'Maldives at LG Daily'!D5+'SOLAR METER READING'!D9</f>
        <v>22002</v>
      </c>
      <c r="F2" s="126">
        <v>0.83199999999999996</v>
      </c>
      <c r="G2" s="125">
        <f>'Maldives at LG Daily'!E5</f>
        <v>270</v>
      </c>
      <c r="H2" s="126">
        <v>1.24</v>
      </c>
      <c r="I2" s="125">
        <f>'Maldives at LG Daily'!H5</f>
        <v>303</v>
      </c>
      <c r="J2" s="126">
        <v>0</v>
      </c>
      <c r="K2" s="125">
        <f>'Maldives at LG Daily'!I5</f>
        <v>13.6</v>
      </c>
      <c r="L2" s="125">
        <f>'Maldives at LG Daily'!J5</f>
        <v>102</v>
      </c>
    </row>
    <row r="3" spans="1:12" ht="15" x14ac:dyDescent="0.25">
      <c r="A3" s="123" t="s">
        <v>106</v>
      </c>
      <c r="B3" s="123">
        <v>2</v>
      </c>
      <c r="C3" s="124">
        <v>9</v>
      </c>
      <c r="D3" s="123">
        <v>2022</v>
      </c>
      <c r="E3" s="125">
        <f>'Maldives at LG Daily'!D6+'SOLAR METER READING'!D10</f>
        <v>23410</v>
      </c>
      <c r="F3" s="126">
        <v>0.83199999999999996</v>
      </c>
      <c r="G3" s="125">
        <f>'Maldives at LG Daily'!E6</f>
        <v>270</v>
      </c>
      <c r="H3" s="126">
        <v>1.24</v>
      </c>
      <c r="I3" s="125">
        <f>'Maldives at LG Daily'!H6</f>
        <v>320</v>
      </c>
      <c r="J3" s="126">
        <v>0</v>
      </c>
      <c r="K3" s="125">
        <f>'Maldives at LG Daily'!I6</f>
        <v>14.6</v>
      </c>
      <c r="L3" s="125">
        <f>'Maldives at LG Daily'!J6</f>
        <v>114</v>
      </c>
    </row>
    <row r="4" spans="1:12" ht="15" x14ac:dyDescent="0.25">
      <c r="A4" s="123" t="s">
        <v>106</v>
      </c>
      <c r="B4" s="123">
        <v>3</v>
      </c>
      <c r="C4" s="124">
        <v>9</v>
      </c>
      <c r="D4" s="123">
        <v>2022</v>
      </c>
      <c r="E4" s="125">
        <f>'Maldives at LG Daily'!D7+'SOLAR METER READING'!D11</f>
        <v>23407</v>
      </c>
      <c r="F4" s="126">
        <v>0.83199999999999996</v>
      </c>
      <c r="G4" s="125">
        <f>'Maldives at LG Daily'!E7</f>
        <v>225</v>
      </c>
      <c r="H4" s="126">
        <v>1.24</v>
      </c>
      <c r="I4" s="125">
        <f>'Maldives at LG Daily'!H7</f>
        <v>324</v>
      </c>
      <c r="J4" s="126">
        <v>0</v>
      </c>
      <c r="K4" s="125">
        <f>'Maldives at LG Daily'!I7</f>
        <v>14.6</v>
      </c>
      <c r="L4" s="125">
        <f>'Maldives at LG Daily'!J7</f>
        <v>169</v>
      </c>
    </row>
    <row r="5" spans="1:12" ht="15" x14ac:dyDescent="0.25">
      <c r="A5" s="123" t="s">
        <v>106</v>
      </c>
      <c r="B5" s="123">
        <v>4</v>
      </c>
      <c r="C5" s="124">
        <v>9</v>
      </c>
      <c r="D5" s="123">
        <v>2022</v>
      </c>
      <c r="E5" s="125">
        <f>'Maldives at LG Daily'!D8+'SOLAR METER READING'!D12</f>
        <v>23591</v>
      </c>
      <c r="F5" s="126">
        <v>0.83199999999999996</v>
      </c>
      <c r="G5" s="125">
        <f>'Maldives at LG Daily'!E8</f>
        <v>270</v>
      </c>
      <c r="H5" s="126">
        <v>1.24</v>
      </c>
      <c r="I5" s="125">
        <f>'Maldives at LG Daily'!H8</f>
        <v>299</v>
      </c>
      <c r="J5" s="126">
        <v>0</v>
      </c>
      <c r="K5" s="125">
        <f>'Maldives at LG Daily'!I8</f>
        <v>10.7</v>
      </c>
      <c r="L5" s="125">
        <f>'Maldives at LG Daily'!J8</f>
        <v>108</v>
      </c>
    </row>
    <row r="6" spans="1:12" ht="15" x14ac:dyDescent="0.25">
      <c r="A6" s="123" t="s">
        <v>106</v>
      </c>
      <c r="B6" s="123">
        <v>5</v>
      </c>
      <c r="C6" s="124">
        <v>9</v>
      </c>
      <c r="D6" s="123">
        <v>2022</v>
      </c>
      <c r="E6" s="125">
        <f>'Maldives at LG Daily'!D9+'SOLAR METER READING'!D13</f>
        <v>21640</v>
      </c>
      <c r="F6" s="126">
        <v>0.83199999999999996</v>
      </c>
      <c r="G6" s="125">
        <f>'Maldives at LG Daily'!E9</f>
        <v>225</v>
      </c>
      <c r="H6" s="126">
        <v>1.24</v>
      </c>
      <c r="I6" s="125">
        <f>'Maldives at LG Daily'!H9</f>
        <v>265</v>
      </c>
      <c r="J6" s="126">
        <v>0</v>
      </c>
      <c r="K6" s="125">
        <f>'Maldives at LG Daily'!I9</f>
        <v>10.7</v>
      </c>
      <c r="L6" s="125">
        <f>'Maldives at LG Daily'!J9</f>
        <v>106</v>
      </c>
    </row>
    <row r="7" spans="1:12" ht="15" x14ac:dyDescent="0.25">
      <c r="A7" s="123" t="s">
        <v>106</v>
      </c>
      <c r="B7" s="123">
        <v>6</v>
      </c>
      <c r="C7" s="124">
        <v>9</v>
      </c>
      <c r="D7" s="123">
        <v>2022</v>
      </c>
      <c r="E7" s="125">
        <f>'Maldives at LG Daily'!D10+'SOLAR METER READING'!D14</f>
        <v>20706</v>
      </c>
      <c r="F7" s="126">
        <v>0.83199999999999996</v>
      </c>
      <c r="G7" s="125">
        <f>'Maldives at LG Daily'!E10</f>
        <v>180</v>
      </c>
      <c r="H7" s="126">
        <v>1.24</v>
      </c>
      <c r="I7" s="125">
        <f>'Maldives at LG Daily'!H10</f>
        <v>303</v>
      </c>
      <c r="J7" s="126">
        <v>0</v>
      </c>
      <c r="K7" s="125">
        <f>'Maldives at LG Daily'!I10</f>
        <v>13.6</v>
      </c>
      <c r="L7" s="125">
        <f>'Maldives at LG Daily'!J10</f>
        <v>124</v>
      </c>
    </row>
    <row r="8" spans="1:12" ht="15" x14ac:dyDescent="0.25">
      <c r="A8" s="123" t="s">
        <v>106</v>
      </c>
      <c r="B8" s="123">
        <v>7</v>
      </c>
      <c r="C8" s="124">
        <v>9</v>
      </c>
      <c r="D8" s="123">
        <v>2022</v>
      </c>
      <c r="E8" s="125">
        <f>'Maldives at LG Daily'!D11+'SOLAR METER READING'!D15</f>
        <v>23963</v>
      </c>
      <c r="F8" s="126">
        <v>0.83199999999999996</v>
      </c>
      <c r="G8" s="125">
        <f>'Maldives at LG Daily'!E11</f>
        <v>315</v>
      </c>
      <c r="H8" s="126">
        <v>1.24</v>
      </c>
      <c r="I8" s="125">
        <f>'Maldives at LG Daily'!H11</f>
        <v>283</v>
      </c>
      <c r="J8" s="126">
        <v>0</v>
      </c>
      <c r="K8" s="125">
        <f>'Maldives at LG Daily'!I11</f>
        <v>13.6</v>
      </c>
      <c r="L8" s="125">
        <f>'Maldives at LG Daily'!J11</f>
        <v>133</v>
      </c>
    </row>
    <row r="9" spans="1:12" ht="15" x14ac:dyDescent="0.25">
      <c r="A9" s="123" t="s">
        <v>106</v>
      </c>
      <c r="B9" s="123">
        <v>8</v>
      </c>
      <c r="C9" s="124">
        <v>9</v>
      </c>
      <c r="D9" s="123">
        <v>2022</v>
      </c>
      <c r="E9" s="125">
        <f>'Maldives at LG Daily'!D12+'SOLAR METER READING'!D16</f>
        <v>24491</v>
      </c>
      <c r="F9" s="126">
        <v>0.83199999999999996</v>
      </c>
      <c r="G9" s="125">
        <f>'Maldives at LG Daily'!E12</f>
        <v>225</v>
      </c>
      <c r="H9" s="126">
        <v>1.24</v>
      </c>
      <c r="I9" s="125">
        <f>'Maldives at LG Daily'!H12</f>
        <v>288</v>
      </c>
      <c r="J9" s="126">
        <v>0</v>
      </c>
      <c r="K9" s="125">
        <f>'Maldives at LG Daily'!I12</f>
        <v>15</v>
      </c>
      <c r="L9" s="125">
        <f>'Maldives at LG Daily'!J12</f>
        <v>119</v>
      </c>
    </row>
    <row r="10" spans="1:12" ht="15" x14ac:dyDescent="0.25">
      <c r="A10" s="123" t="s">
        <v>106</v>
      </c>
      <c r="B10" s="123">
        <v>9</v>
      </c>
      <c r="C10" s="124">
        <v>9</v>
      </c>
      <c r="D10" s="123">
        <v>2022</v>
      </c>
      <c r="E10" s="125">
        <f>'Maldives at LG Daily'!D13+'SOLAR METER READING'!D17</f>
        <v>24409</v>
      </c>
      <c r="F10" s="126">
        <v>0.83199999999999996</v>
      </c>
      <c r="G10" s="125">
        <f>'Maldives at LG Daily'!E13</f>
        <v>225</v>
      </c>
      <c r="H10" s="126">
        <v>1.24</v>
      </c>
      <c r="I10" s="125">
        <f>'Maldives at LG Daily'!H13</f>
        <v>429</v>
      </c>
      <c r="J10" s="126">
        <v>0</v>
      </c>
      <c r="K10" s="125">
        <f>'Maldives at LG Daily'!I13</f>
        <v>12</v>
      </c>
      <c r="L10" s="125">
        <f>'Maldives at LG Daily'!J13</f>
        <v>105</v>
      </c>
    </row>
    <row r="11" spans="1:12" ht="15" x14ac:dyDescent="0.25">
      <c r="A11" s="123" t="s">
        <v>106</v>
      </c>
      <c r="B11" s="123">
        <v>10</v>
      </c>
      <c r="C11" s="124">
        <v>9</v>
      </c>
      <c r="D11" s="123">
        <v>2022</v>
      </c>
      <c r="E11" s="125">
        <f>'Maldives at LG Daily'!D14+'SOLAR METER READING'!D18</f>
        <v>25409</v>
      </c>
      <c r="F11" s="126">
        <v>0.83199999999999996</v>
      </c>
      <c r="G11" s="125">
        <f>'Maldives at LG Daily'!E14</f>
        <v>270</v>
      </c>
      <c r="H11" s="126">
        <v>1.24</v>
      </c>
      <c r="I11" s="125">
        <f>'Maldives at LG Daily'!H14</f>
        <v>199</v>
      </c>
      <c r="J11" s="126">
        <v>0</v>
      </c>
      <c r="K11" s="125">
        <f>'Maldives at LG Daily'!I14</f>
        <v>12</v>
      </c>
      <c r="L11" s="125">
        <f>'Maldives at LG Daily'!J14</f>
        <v>101</v>
      </c>
    </row>
    <row r="12" spans="1:12" ht="15" x14ac:dyDescent="0.25">
      <c r="A12" s="123" t="s">
        <v>106</v>
      </c>
      <c r="B12" s="123">
        <v>11</v>
      </c>
      <c r="C12" s="124">
        <v>9</v>
      </c>
      <c r="D12" s="123">
        <v>2022</v>
      </c>
      <c r="E12" s="125">
        <f>'Maldives at LG Daily'!D15+'SOLAR METER READING'!D19</f>
        <v>25414</v>
      </c>
      <c r="F12" s="126">
        <v>0.83199999999999996</v>
      </c>
      <c r="G12" s="125">
        <f>'Maldives at LG Daily'!E15</f>
        <v>225</v>
      </c>
      <c r="H12" s="126">
        <v>1.24</v>
      </c>
      <c r="I12" s="125">
        <f>'Maldives at LG Daily'!H15</f>
        <v>319</v>
      </c>
      <c r="J12" s="126">
        <v>0</v>
      </c>
      <c r="K12" s="125">
        <f>'Maldives at LG Daily'!I15</f>
        <v>11</v>
      </c>
      <c r="L12" s="125">
        <f>'Maldives at LG Daily'!J15</f>
        <v>80</v>
      </c>
    </row>
    <row r="13" spans="1:12" ht="15" x14ac:dyDescent="0.25">
      <c r="A13" s="123" t="s">
        <v>106</v>
      </c>
      <c r="B13" s="123">
        <v>12</v>
      </c>
      <c r="C13" s="124">
        <v>9</v>
      </c>
      <c r="D13" s="123">
        <v>2022</v>
      </c>
      <c r="E13" s="125">
        <f>'Maldives at LG Daily'!D16+'SOLAR METER READING'!D20</f>
        <v>25673</v>
      </c>
      <c r="F13" s="126">
        <v>0.83199999999999996</v>
      </c>
      <c r="G13" s="125">
        <f>'Maldives at LG Daily'!E16</f>
        <v>225</v>
      </c>
      <c r="H13" s="126">
        <v>1.24</v>
      </c>
      <c r="I13" s="125">
        <f>'Maldives at LG Daily'!H16</f>
        <v>302</v>
      </c>
      <c r="J13" s="126">
        <v>0</v>
      </c>
      <c r="K13" s="125">
        <f>'Maldives at LG Daily'!I16</f>
        <v>14</v>
      </c>
      <c r="L13" s="125">
        <f>'Maldives at LG Daily'!J16</f>
        <v>157</v>
      </c>
    </row>
    <row r="14" spans="1:12" ht="15" x14ac:dyDescent="0.25">
      <c r="A14" s="123" t="s">
        <v>106</v>
      </c>
      <c r="B14" s="123">
        <v>13</v>
      </c>
      <c r="C14" s="124">
        <v>9</v>
      </c>
      <c r="D14" s="123">
        <v>2022</v>
      </c>
      <c r="E14" s="125">
        <f>'Maldives at LG Daily'!D17+'SOLAR METER READING'!D21</f>
        <v>25441</v>
      </c>
      <c r="F14" s="126">
        <v>0.83199999999999996</v>
      </c>
      <c r="G14" s="125">
        <f>'Maldives at LG Daily'!E17</f>
        <v>270</v>
      </c>
      <c r="H14" s="126">
        <v>1.24</v>
      </c>
      <c r="I14" s="125">
        <f>'Maldives at LG Daily'!H17</f>
        <v>342</v>
      </c>
      <c r="J14" s="126">
        <v>0</v>
      </c>
      <c r="K14" s="125">
        <f>'Maldives at LG Daily'!I17</f>
        <v>12</v>
      </c>
      <c r="L14" s="125">
        <f>'Maldives at LG Daily'!J17</f>
        <v>131</v>
      </c>
    </row>
    <row r="15" spans="1:12" ht="15" x14ac:dyDescent="0.25">
      <c r="A15" s="123" t="s">
        <v>106</v>
      </c>
      <c r="B15" s="123">
        <v>14</v>
      </c>
      <c r="C15" s="124">
        <v>9</v>
      </c>
      <c r="D15" s="123">
        <v>2022</v>
      </c>
      <c r="E15" s="125">
        <f>'Maldives at LG Daily'!D18+'SOLAR METER READING'!D22</f>
        <v>24287</v>
      </c>
      <c r="F15" s="126">
        <v>0.83199999999999996</v>
      </c>
      <c r="G15" s="125">
        <f>'Maldives at LG Daily'!E18</f>
        <v>225</v>
      </c>
      <c r="H15" s="126">
        <v>1.24</v>
      </c>
      <c r="I15" s="125">
        <f>'Maldives at LG Daily'!H18</f>
        <v>296</v>
      </c>
      <c r="J15" s="126">
        <v>0</v>
      </c>
      <c r="K15" s="125">
        <f>'Maldives at LG Daily'!I18</f>
        <v>13</v>
      </c>
      <c r="L15" s="125">
        <f>'Maldives at LG Daily'!J18</f>
        <v>161</v>
      </c>
    </row>
    <row r="16" spans="1:12" ht="15" x14ac:dyDescent="0.25">
      <c r="A16" s="123" t="s">
        <v>106</v>
      </c>
      <c r="B16" s="123">
        <v>15</v>
      </c>
      <c r="C16" s="124">
        <v>9</v>
      </c>
      <c r="D16" s="123">
        <v>2022</v>
      </c>
      <c r="E16" s="125">
        <f>'Maldives at LG Daily'!D19+'SOLAR METER READING'!D23</f>
        <v>25710</v>
      </c>
      <c r="F16" s="126">
        <v>0.83199999999999996</v>
      </c>
      <c r="G16" s="125">
        <f>'Maldives at LG Daily'!E19</f>
        <v>225</v>
      </c>
      <c r="H16" s="126">
        <v>1.24</v>
      </c>
      <c r="I16" s="125">
        <f>'Maldives at LG Daily'!H19</f>
        <v>361</v>
      </c>
      <c r="J16" s="126">
        <v>0</v>
      </c>
      <c r="K16" s="125">
        <f>'Maldives at LG Daily'!I19</f>
        <v>12</v>
      </c>
      <c r="L16" s="125">
        <f>'Maldives at LG Daily'!J19</f>
        <v>103</v>
      </c>
    </row>
    <row r="17" spans="1:12" ht="15" x14ac:dyDescent="0.25">
      <c r="A17" s="123" t="s">
        <v>106</v>
      </c>
      <c r="B17" s="123">
        <v>16</v>
      </c>
      <c r="C17" s="124">
        <v>9</v>
      </c>
      <c r="D17" s="123">
        <v>2022</v>
      </c>
      <c r="E17" s="125">
        <f>'Maldives at LG Daily'!D20+'SOLAR METER READING'!D24</f>
        <v>24970</v>
      </c>
      <c r="F17" s="126">
        <v>0.83199999999999996</v>
      </c>
      <c r="G17" s="125">
        <f>'Maldives at LG Daily'!E20</f>
        <v>180</v>
      </c>
      <c r="H17" s="126">
        <v>1.24</v>
      </c>
      <c r="I17" s="125">
        <f>'Maldives at LG Daily'!H20</f>
        <v>370</v>
      </c>
      <c r="J17" s="126">
        <v>0</v>
      </c>
      <c r="K17" s="125">
        <f>'Maldives at LG Daily'!I20</f>
        <v>15</v>
      </c>
      <c r="L17" s="125">
        <f>'Maldives at LG Daily'!J20</f>
        <v>156</v>
      </c>
    </row>
    <row r="18" spans="1:12" ht="15" x14ac:dyDescent="0.25">
      <c r="A18" s="123" t="s">
        <v>106</v>
      </c>
      <c r="B18" s="123">
        <v>17</v>
      </c>
      <c r="C18" s="124">
        <v>9</v>
      </c>
      <c r="D18" s="123">
        <v>2022</v>
      </c>
      <c r="E18" s="125">
        <f>'Maldives at LG Daily'!D21+'SOLAR METER READING'!D25</f>
        <v>26053</v>
      </c>
      <c r="F18" s="126">
        <v>0.83199999999999996</v>
      </c>
      <c r="G18" s="125">
        <f>'Maldives at LG Daily'!E21</f>
        <v>270</v>
      </c>
      <c r="H18" s="126">
        <v>1.24</v>
      </c>
      <c r="I18" s="125">
        <f>'Maldives at LG Daily'!H21</f>
        <v>345</v>
      </c>
      <c r="J18" s="126">
        <v>0</v>
      </c>
      <c r="K18" s="125">
        <f>'Maldives at LG Daily'!I21</f>
        <v>16</v>
      </c>
      <c r="L18" s="125">
        <f>'Maldives at LG Daily'!J21</f>
        <v>125</v>
      </c>
    </row>
    <row r="19" spans="1:12" ht="15" x14ac:dyDescent="0.25">
      <c r="A19" s="123" t="s">
        <v>106</v>
      </c>
      <c r="B19" s="123">
        <v>18</v>
      </c>
      <c r="C19" s="124">
        <v>9</v>
      </c>
      <c r="D19" s="123">
        <v>2022</v>
      </c>
      <c r="E19" s="125">
        <f>'Maldives at LG Daily'!D22+'SOLAR METER READING'!D26</f>
        <v>25499</v>
      </c>
      <c r="F19" s="126">
        <v>0.83199999999999996</v>
      </c>
      <c r="G19" s="125">
        <f>'Maldives at LG Daily'!E22</f>
        <v>270</v>
      </c>
      <c r="H19" s="126">
        <v>1.24</v>
      </c>
      <c r="I19" s="125">
        <f>'Maldives at LG Daily'!H22</f>
        <v>350</v>
      </c>
      <c r="J19" s="126">
        <v>0</v>
      </c>
      <c r="K19" s="125">
        <f>'Maldives at LG Daily'!I22</f>
        <v>17</v>
      </c>
      <c r="L19" s="125">
        <f>'Maldives at LG Daily'!J22</f>
        <v>131</v>
      </c>
    </row>
    <row r="20" spans="1:12" ht="15" x14ac:dyDescent="0.25">
      <c r="A20" s="123" t="s">
        <v>106</v>
      </c>
      <c r="B20" s="123">
        <v>19</v>
      </c>
      <c r="C20" s="124">
        <v>9</v>
      </c>
      <c r="D20" s="123">
        <v>2022</v>
      </c>
      <c r="E20" s="125">
        <f>'Maldives at LG Daily'!D23+'SOLAR METER READING'!D27</f>
        <v>26619</v>
      </c>
      <c r="F20" s="126">
        <v>0.83199999999999996</v>
      </c>
      <c r="G20" s="125">
        <f>'Maldives at LG Daily'!E23</f>
        <v>270</v>
      </c>
      <c r="H20" s="126">
        <v>1.24</v>
      </c>
      <c r="I20" s="125">
        <f>'Maldives at LG Daily'!H23</f>
        <v>339</v>
      </c>
      <c r="J20" s="126">
        <v>0</v>
      </c>
      <c r="K20" s="125">
        <f>'Maldives at LG Daily'!I23</f>
        <v>15.5</v>
      </c>
      <c r="L20" s="125">
        <f>'Maldives at LG Daily'!J23</f>
        <v>118</v>
      </c>
    </row>
    <row r="21" spans="1:12" ht="15" x14ac:dyDescent="0.25">
      <c r="A21" s="123" t="s">
        <v>106</v>
      </c>
      <c r="B21" s="123">
        <v>20</v>
      </c>
      <c r="C21" s="124">
        <v>9</v>
      </c>
      <c r="D21" s="123">
        <v>2022</v>
      </c>
      <c r="E21" s="125">
        <f>'Maldives at LG Daily'!D24+'SOLAR METER READING'!D28</f>
        <v>23527</v>
      </c>
      <c r="F21" s="126">
        <v>0.83199999999999996</v>
      </c>
      <c r="G21" s="125">
        <f>'Maldives at LG Daily'!E24</f>
        <v>315</v>
      </c>
      <c r="H21" s="126">
        <v>1.24</v>
      </c>
      <c r="I21" s="125">
        <f>'Maldives at LG Daily'!H24</f>
        <v>327</v>
      </c>
      <c r="J21" s="126">
        <v>0</v>
      </c>
      <c r="K21" s="125">
        <f>'Maldives at LG Daily'!I24</f>
        <v>12.6</v>
      </c>
      <c r="L21" s="125">
        <f>'Maldives at LG Daily'!J24</f>
        <v>83</v>
      </c>
    </row>
    <row r="22" spans="1:12" ht="15" x14ac:dyDescent="0.25">
      <c r="A22" s="123" t="s">
        <v>106</v>
      </c>
      <c r="B22" s="123">
        <v>21</v>
      </c>
      <c r="C22" s="124">
        <v>9</v>
      </c>
      <c r="D22" s="123">
        <v>2022</v>
      </c>
      <c r="E22" s="125">
        <f>'Maldives at LG Daily'!D25+'SOLAR METER READING'!D29</f>
        <v>23958</v>
      </c>
      <c r="F22" s="126">
        <v>0.83199999999999996</v>
      </c>
      <c r="G22" s="125">
        <f>'Maldives at LG Daily'!E25</f>
        <v>270</v>
      </c>
      <c r="H22" s="126">
        <v>1.24</v>
      </c>
      <c r="I22" s="125">
        <f>'Maldives at LG Daily'!H25</f>
        <v>239</v>
      </c>
      <c r="J22" s="126">
        <v>0</v>
      </c>
      <c r="K22" s="125">
        <f>'Maldives at LG Daily'!I25</f>
        <v>21.4</v>
      </c>
      <c r="L22" s="125">
        <f>'Maldives at LG Daily'!J25</f>
        <v>121</v>
      </c>
    </row>
    <row r="23" spans="1:12" ht="15" x14ac:dyDescent="0.25">
      <c r="A23" s="123" t="s">
        <v>106</v>
      </c>
      <c r="B23" s="123">
        <v>22</v>
      </c>
      <c r="C23" s="124">
        <v>9</v>
      </c>
      <c r="D23" s="123">
        <v>2022</v>
      </c>
      <c r="E23" s="125">
        <f>'Maldives at LG Daily'!D26+'SOLAR METER READING'!D30</f>
        <v>24657</v>
      </c>
      <c r="F23" s="126">
        <v>0.83199999999999996</v>
      </c>
      <c r="G23" s="125">
        <f>'Maldives at LG Daily'!E26</f>
        <v>225</v>
      </c>
      <c r="H23" s="126">
        <v>1.24</v>
      </c>
      <c r="I23" s="125">
        <f>'Maldives at LG Daily'!H26</f>
        <v>185</v>
      </c>
      <c r="J23" s="126">
        <v>0</v>
      </c>
      <c r="K23" s="125">
        <f>'Maldives at LG Daily'!I26</f>
        <v>26.2</v>
      </c>
      <c r="L23" s="125">
        <f>'Maldives at LG Daily'!J26</f>
        <v>116</v>
      </c>
    </row>
    <row r="24" spans="1:12" ht="15" x14ac:dyDescent="0.25">
      <c r="A24" s="123" t="s">
        <v>106</v>
      </c>
      <c r="B24" s="123">
        <v>23</v>
      </c>
      <c r="C24" s="124">
        <v>9</v>
      </c>
      <c r="D24" s="123">
        <v>2022</v>
      </c>
      <c r="E24" s="125">
        <f>'Maldives at LG Daily'!D27+'SOLAR METER READING'!D31</f>
        <v>26181</v>
      </c>
      <c r="F24" s="126">
        <v>0.83199999999999996</v>
      </c>
      <c r="G24" s="125">
        <f>'Maldives at LG Daily'!E27</f>
        <v>225</v>
      </c>
      <c r="H24" s="126">
        <v>1.24</v>
      </c>
      <c r="I24" s="125">
        <f>'Maldives at LG Daily'!H27</f>
        <v>288</v>
      </c>
      <c r="J24" s="126">
        <v>0</v>
      </c>
      <c r="K24" s="125">
        <f>'Maldives at LG Daily'!I27</f>
        <v>26.2</v>
      </c>
      <c r="L24" s="125">
        <f>'Maldives at LG Daily'!J27</f>
        <v>196</v>
      </c>
    </row>
    <row r="25" spans="1:12" ht="15" x14ac:dyDescent="0.25">
      <c r="A25" s="123" t="s">
        <v>106</v>
      </c>
      <c r="B25" s="123">
        <v>24</v>
      </c>
      <c r="C25" s="124">
        <v>9</v>
      </c>
      <c r="D25" s="123">
        <v>2022</v>
      </c>
      <c r="E25" s="125">
        <f>'Maldives at LG Daily'!D28+'SOLAR METER READING'!D32</f>
        <v>27272</v>
      </c>
      <c r="F25" s="126">
        <v>0.83199999999999996</v>
      </c>
      <c r="G25" s="125">
        <f>'Maldives at LG Daily'!E28</f>
        <v>270</v>
      </c>
      <c r="H25" s="126">
        <v>1.24</v>
      </c>
      <c r="I25" s="125">
        <f>'Maldives at LG Daily'!H28</f>
        <v>310</v>
      </c>
      <c r="J25" s="126">
        <v>0</v>
      </c>
      <c r="K25" s="125">
        <f>'Maldives at LG Daily'!I28</f>
        <v>26.2</v>
      </c>
      <c r="L25" s="125">
        <f>'Maldives at LG Daily'!J28</f>
        <v>179</v>
      </c>
    </row>
    <row r="26" spans="1:12" ht="15" x14ac:dyDescent="0.25">
      <c r="A26" s="123" t="s">
        <v>106</v>
      </c>
      <c r="B26" s="123">
        <v>25</v>
      </c>
      <c r="C26" s="124">
        <v>9</v>
      </c>
      <c r="D26" s="123">
        <v>2022</v>
      </c>
      <c r="E26" s="125">
        <f>'Maldives at LG Daily'!D29+'SOLAR METER READING'!D33</f>
        <v>28059</v>
      </c>
      <c r="F26" s="126">
        <v>0.83199999999999996</v>
      </c>
      <c r="G26" s="125">
        <f>'Maldives at LG Daily'!E29</f>
        <v>180</v>
      </c>
      <c r="H26" s="126">
        <v>1.24</v>
      </c>
      <c r="I26" s="125">
        <f>'Maldives at LG Daily'!H29</f>
        <v>328</v>
      </c>
      <c r="J26" s="126">
        <v>0</v>
      </c>
      <c r="K26" s="125">
        <f>'Maldives at LG Daily'!I29</f>
        <v>23.8</v>
      </c>
      <c r="L26" s="125">
        <f>'Maldives at LG Daily'!J29</f>
        <v>141</v>
      </c>
    </row>
    <row r="27" spans="1:12" ht="15" x14ac:dyDescent="0.25">
      <c r="A27" s="123" t="s">
        <v>106</v>
      </c>
      <c r="B27" s="123">
        <v>26</v>
      </c>
      <c r="C27" s="124">
        <v>9</v>
      </c>
      <c r="D27" s="123">
        <v>2022</v>
      </c>
      <c r="E27" s="125">
        <f>'Maldives at LG Daily'!D30+'SOLAR METER READING'!D34</f>
        <v>26398</v>
      </c>
      <c r="F27" s="126">
        <v>0.83199999999999996</v>
      </c>
      <c r="G27" s="125">
        <f>'Maldives at LG Daily'!E30</f>
        <v>225</v>
      </c>
      <c r="H27" s="126">
        <v>1.24</v>
      </c>
      <c r="I27" s="125">
        <f>'Maldives at LG Daily'!H30</f>
        <v>350</v>
      </c>
      <c r="J27" s="126">
        <v>0</v>
      </c>
      <c r="K27" s="125">
        <f>'Maldives at LG Daily'!I30</f>
        <v>11.7</v>
      </c>
      <c r="L27" s="125">
        <f>'Maldives at LG Daily'!J30</f>
        <v>93</v>
      </c>
    </row>
    <row r="28" spans="1:12" ht="15" x14ac:dyDescent="0.25">
      <c r="A28" s="123" t="s">
        <v>106</v>
      </c>
      <c r="B28" s="123">
        <v>27</v>
      </c>
      <c r="C28" s="124">
        <v>9</v>
      </c>
      <c r="D28" s="123">
        <v>2022</v>
      </c>
      <c r="E28" s="125">
        <f>'Maldives at LG Daily'!D31+'SOLAR METER READING'!D35</f>
        <v>27131</v>
      </c>
      <c r="F28" s="126">
        <v>0.83199999999999996</v>
      </c>
      <c r="G28" s="125">
        <f>'Maldives at LG Daily'!E31</f>
        <v>270</v>
      </c>
      <c r="H28" s="126">
        <v>1.24</v>
      </c>
      <c r="I28" s="125">
        <f>'Maldives at LG Daily'!H31</f>
        <v>297</v>
      </c>
      <c r="J28" s="126">
        <v>0</v>
      </c>
      <c r="K28" s="125">
        <f>'Maldives at LG Daily'!I31</f>
        <v>14.6</v>
      </c>
      <c r="L28" s="125">
        <f>'Maldives at LG Daily'!J31</f>
        <v>115</v>
      </c>
    </row>
    <row r="29" spans="1:12" ht="15" x14ac:dyDescent="0.25">
      <c r="A29" s="123" t="s">
        <v>106</v>
      </c>
      <c r="B29" s="123">
        <v>28</v>
      </c>
      <c r="C29" s="124">
        <v>9</v>
      </c>
      <c r="D29" s="123">
        <v>2022</v>
      </c>
      <c r="E29" s="125">
        <f>'Maldives at LG Daily'!D32+'SOLAR METER READING'!D36</f>
        <v>26274</v>
      </c>
      <c r="F29" s="126">
        <v>0.83199999999999996</v>
      </c>
      <c r="G29" s="125">
        <f>'Maldives at LG Daily'!E32</f>
        <v>180</v>
      </c>
      <c r="H29" s="126">
        <v>1.24</v>
      </c>
      <c r="I29" s="125">
        <f>'Maldives at LG Daily'!H32</f>
        <v>290</v>
      </c>
      <c r="J29" s="126">
        <v>0</v>
      </c>
      <c r="K29" s="125">
        <f>'Maldives at LG Daily'!I32</f>
        <v>16.5</v>
      </c>
      <c r="L29" s="125">
        <f>'Maldives at LG Daily'!J32</f>
        <v>125</v>
      </c>
    </row>
    <row r="30" spans="1:12" ht="15" x14ac:dyDescent="0.25">
      <c r="A30" s="123" t="s">
        <v>106</v>
      </c>
      <c r="B30" s="123">
        <v>29</v>
      </c>
      <c r="C30" s="124">
        <v>9</v>
      </c>
      <c r="D30" s="123">
        <v>2022</v>
      </c>
      <c r="E30" s="125">
        <f>'Maldives at LG Daily'!D33+'SOLAR METER READING'!D37</f>
        <v>27325</v>
      </c>
      <c r="F30" s="126">
        <v>0.83199999999999996</v>
      </c>
      <c r="G30" s="125">
        <f>'Maldives at LG Daily'!E33</f>
        <v>270</v>
      </c>
      <c r="H30" s="126">
        <v>1.24</v>
      </c>
      <c r="I30" s="125">
        <f>'Maldives at LG Daily'!H33</f>
        <v>373</v>
      </c>
      <c r="J30" s="126">
        <v>0</v>
      </c>
      <c r="K30" s="125">
        <f>'Maldives at LG Daily'!I33</f>
        <v>17.5</v>
      </c>
      <c r="L30" s="125">
        <f>'Maldives at LG Daily'!J33</f>
        <v>143</v>
      </c>
    </row>
    <row r="31" spans="1:12" ht="15" x14ac:dyDescent="0.25">
      <c r="A31" s="123" t="s">
        <v>106</v>
      </c>
      <c r="B31" s="123">
        <v>30</v>
      </c>
      <c r="C31" s="124">
        <v>9</v>
      </c>
      <c r="D31" s="123">
        <v>2022</v>
      </c>
      <c r="E31" s="125">
        <f>'Maldives at LG Daily'!D34+'SOLAR METER READING'!D38</f>
        <v>23008</v>
      </c>
      <c r="F31" s="126">
        <v>0.83199999999999996</v>
      </c>
      <c r="G31" s="125">
        <f>'Maldives at LG Daily'!E34</f>
        <v>225</v>
      </c>
      <c r="H31" s="126">
        <v>1.24</v>
      </c>
      <c r="I31" s="125" t="str">
        <f>'Maldives at LG Daily'!H35</f>
        <v>0</v>
      </c>
      <c r="J31" s="126">
        <v>0</v>
      </c>
      <c r="K31" s="125">
        <f>'Maldives at LG Daily'!I35</f>
        <v>0</v>
      </c>
      <c r="L31" s="125">
        <f>'Maldives at LG Daily'!J35</f>
        <v>0</v>
      </c>
    </row>
    <row r="32" spans="1:12" x14ac:dyDescent="0.2">
      <c r="E32" s="346">
        <f>SUM(E2:E31)</f>
        <v>746484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36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169" customWidth="1"/>
    <col min="2" max="2" width="2" style="169" customWidth="1"/>
    <col min="3" max="3" width="11.85546875" style="187" customWidth="1"/>
    <col min="4" max="4" width="13.5703125" style="188" customWidth="1"/>
    <col min="5" max="5" width="14.85546875" style="169" customWidth="1"/>
    <col min="6" max="6" width="14.85546875" style="187" customWidth="1"/>
    <col min="7" max="7" width="8.85546875" style="169" customWidth="1"/>
    <col min="8" max="8" width="12.5703125" style="169" customWidth="1"/>
    <col min="9" max="10" width="13" style="191" customWidth="1"/>
    <col min="11" max="16" width="9.140625" style="169"/>
    <col min="17" max="17" width="13.140625" style="169" bestFit="1" customWidth="1"/>
    <col min="18" max="254" width="9.140625" style="169"/>
    <col min="255" max="255" width="14" style="169" customWidth="1"/>
    <col min="256" max="256" width="2" style="169" customWidth="1"/>
    <col min="257" max="257" width="11.85546875" style="169" customWidth="1"/>
    <col min="258" max="258" width="13.5703125" style="169" customWidth="1"/>
    <col min="259" max="260" width="13.85546875" style="169" customWidth="1"/>
    <col min="261" max="262" width="14.85546875" style="169" customWidth="1"/>
    <col min="263" max="263" width="8.85546875" style="169" customWidth="1"/>
    <col min="264" max="264" width="12.5703125" style="169" customWidth="1"/>
    <col min="265" max="266" width="13" style="169" customWidth="1"/>
    <col min="267" max="510" width="9.140625" style="169"/>
    <col min="511" max="511" width="14" style="169" customWidth="1"/>
    <col min="512" max="512" width="2" style="169" customWidth="1"/>
    <col min="513" max="513" width="11.85546875" style="169" customWidth="1"/>
    <col min="514" max="514" width="13.5703125" style="169" customWidth="1"/>
    <col min="515" max="516" width="13.85546875" style="169" customWidth="1"/>
    <col min="517" max="518" width="14.85546875" style="169" customWidth="1"/>
    <col min="519" max="519" width="8.85546875" style="169" customWidth="1"/>
    <col min="520" max="520" width="12.5703125" style="169" customWidth="1"/>
    <col min="521" max="522" width="13" style="169" customWidth="1"/>
    <col min="523" max="766" width="9.140625" style="169"/>
    <col min="767" max="767" width="14" style="169" customWidth="1"/>
    <col min="768" max="768" width="2" style="169" customWidth="1"/>
    <col min="769" max="769" width="11.85546875" style="169" customWidth="1"/>
    <col min="770" max="770" width="13.5703125" style="169" customWidth="1"/>
    <col min="771" max="772" width="13.85546875" style="169" customWidth="1"/>
    <col min="773" max="774" width="14.85546875" style="169" customWidth="1"/>
    <col min="775" max="775" width="8.85546875" style="169" customWidth="1"/>
    <col min="776" max="776" width="12.5703125" style="169" customWidth="1"/>
    <col min="777" max="778" width="13" style="169" customWidth="1"/>
    <col min="779" max="1022" width="9.140625" style="169"/>
    <col min="1023" max="1023" width="14" style="169" customWidth="1"/>
    <col min="1024" max="1024" width="2" style="169" customWidth="1"/>
    <col min="1025" max="1025" width="11.85546875" style="169" customWidth="1"/>
    <col min="1026" max="1026" width="13.5703125" style="169" customWidth="1"/>
    <col min="1027" max="1028" width="13.85546875" style="169" customWidth="1"/>
    <col min="1029" max="1030" width="14.85546875" style="169" customWidth="1"/>
    <col min="1031" max="1031" width="8.85546875" style="169" customWidth="1"/>
    <col min="1032" max="1032" width="12.5703125" style="169" customWidth="1"/>
    <col min="1033" max="1034" width="13" style="169" customWidth="1"/>
    <col min="1035" max="1278" width="9.140625" style="169"/>
    <col min="1279" max="1279" width="14" style="169" customWidth="1"/>
    <col min="1280" max="1280" width="2" style="169" customWidth="1"/>
    <col min="1281" max="1281" width="11.85546875" style="169" customWidth="1"/>
    <col min="1282" max="1282" width="13.5703125" style="169" customWidth="1"/>
    <col min="1283" max="1284" width="13.85546875" style="169" customWidth="1"/>
    <col min="1285" max="1286" width="14.85546875" style="169" customWidth="1"/>
    <col min="1287" max="1287" width="8.85546875" style="169" customWidth="1"/>
    <col min="1288" max="1288" width="12.5703125" style="169" customWidth="1"/>
    <col min="1289" max="1290" width="13" style="169" customWidth="1"/>
    <col min="1291" max="1534" width="9.140625" style="169"/>
    <col min="1535" max="1535" width="14" style="169" customWidth="1"/>
    <col min="1536" max="1536" width="2" style="169" customWidth="1"/>
    <col min="1537" max="1537" width="11.85546875" style="169" customWidth="1"/>
    <col min="1538" max="1538" width="13.5703125" style="169" customWidth="1"/>
    <col min="1539" max="1540" width="13.85546875" style="169" customWidth="1"/>
    <col min="1541" max="1542" width="14.85546875" style="169" customWidth="1"/>
    <col min="1543" max="1543" width="8.85546875" style="169" customWidth="1"/>
    <col min="1544" max="1544" width="12.5703125" style="169" customWidth="1"/>
    <col min="1545" max="1546" width="13" style="169" customWidth="1"/>
    <col min="1547" max="1790" width="9.140625" style="169"/>
    <col min="1791" max="1791" width="14" style="169" customWidth="1"/>
    <col min="1792" max="1792" width="2" style="169" customWidth="1"/>
    <col min="1793" max="1793" width="11.85546875" style="169" customWidth="1"/>
    <col min="1794" max="1794" width="13.5703125" style="169" customWidth="1"/>
    <col min="1795" max="1796" width="13.85546875" style="169" customWidth="1"/>
    <col min="1797" max="1798" width="14.85546875" style="169" customWidth="1"/>
    <col min="1799" max="1799" width="8.85546875" style="169" customWidth="1"/>
    <col min="1800" max="1800" width="12.5703125" style="169" customWidth="1"/>
    <col min="1801" max="1802" width="13" style="169" customWidth="1"/>
    <col min="1803" max="2046" width="9.140625" style="169"/>
    <col min="2047" max="2047" width="14" style="169" customWidth="1"/>
    <col min="2048" max="2048" width="2" style="169" customWidth="1"/>
    <col min="2049" max="2049" width="11.85546875" style="169" customWidth="1"/>
    <col min="2050" max="2050" width="13.5703125" style="169" customWidth="1"/>
    <col min="2051" max="2052" width="13.85546875" style="169" customWidth="1"/>
    <col min="2053" max="2054" width="14.85546875" style="169" customWidth="1"/>
    <col min="2055" max="2055" width="8.85546875" style="169" customWidth="1"/>
    <col min="2056" max="2056" width="12.5703125" style="169" customWidth="1"/>
    <col min="2057" max="2058" width="13" style="169" customWidth="1"/>
    <col min="2059" max="2302" width="9.140625" style="169"/>
    <col min="2303" max="2303" width="14" style="169" customWidth="1"/>
    <col min="2304" max="2304" width="2" style="169" customWidth="1"/>
    <col min="2305" max="2305" width="11.85546875" style="169" customWidth="1"/>
    <col min="2306" max="2306" width="13.5703125" style="169" customWidth="1"/>
    <col min="2307" max="2308" width="13.85546875" style="169" customWidth="1"/>
    <col min="2309" max="2310" width="14.85546875" style="169" customWidth="1"/>
    <col min="2311" max="2311" width="8.85546875" style="169" customWidth="1"/>
    <col min="2312" max="2312" width="12.5703125" style="169" customWidth="1"/>
    <col min="2313" max="2314" width="13" style="169" customWidth="1"/>
    <col min="2315" max="2558" width="9.140625" style="169"/>
    <col min="2559" max="2559" width="14" style="169" customWidth="1"/>
    <col min="2560" max="2560" width="2" style="169" customWidth="1"/>
    <col min="2561" max="2561" width="11.85546875" style="169" customWidth="1"/>
    <col min="2562" max="2562" width="13.5703125" style="169" customWidth="1"/>
    <col min="2563" max="2564" width="13.85546875" style="169" customWidth="1"/>
    <col min="2565" max="2566" width="14.85546875" style="169" customWidth="1"/>
    <col min="2567" max="2567" width="8.85546875" style="169" customWidth="1"/>
    <col min="2568" max="2568" width="12.5703125" style="169" customWidth="1"/>
    <col min="2569" max="2570" width="13" style="169" customWidth="1"/>
    <col min="2571" max="2814" width="9.140625" style="169"/>
    <col min="2815" max="2815" width="14" style="169" customWidth="1"/>
    <col min="2816" max="2816" width="2" style="169" customWidth="1"/>
    <col min="2817" max="2817" width="11.85546875" style="169" customWidth="1"/>
    <col min="2818" max="2818" width="13.5703125" style="169" customWidth="1"/>
    <col min="2819" max="2820" width="13.85546875" style="169" customWidth="1"/>
    <col min="2821" max="2822" width="14.85546875" style="169" customWidth="1"/>
    <col min="2823" max="2823" width="8.85546875" style="169" customWidth="1"/>
    <col min="2824" max="2824" width="12.5703125" style="169" customWidth="1"/>
    <col min="2825" max="2826" width="13" style="169" customWidth="1"/>
    <col min="2827" max="3070" width="9.140625" style="169"/>
    <col min="3071" max="3071" width="14" style="169" customWidth="1"/>
    <col min="3072" max="3072" width="2" style="169" customWidth="1"/>
    <col min="3073" max="3073" width="11.85546875" style="169" customWidth="1"/>
    <col min="3074" max="3074" width="13.5703125" style="169" customWidth="1"/>
    <col min="3075" max="3076" width="13.85546875" style="169" customWidth="1"/>
    <col min="3077" max="3078" width="14.85546875" style="169" customWidth="1"/>
    <col min="3079" max="3079" width="8.85546875" style="169" customWidth="1"/>
    <col min="3080" max="3080" width="12.5703125" style="169" customWidth="1"/>
    <col min="3081" max="3082" width="13" style="169" customWidth="1"/>
    <col min="3083" max="3326" width="9.140625" style="169"/>
    <col min="3327" max="3327" width="14" style="169" customWidth="1"/>
    <col min="3328" max="3328" width="2" style="169" customWidth="1"/>
    <col min="3329" max="3329" width="11.85546875" style="169" customWidth="1"/>
    <col min="3330" max="3330" width="13.5703125" style="169" customWidth="1"/>
    <col min="3331" max="3332" width="13.85546875" style="169" customWidth="1"/>
    <col min="3333" max="3334" width="14.85546875" style="169" customWidth="1"/>
    <col min="3335" max="3335" width="8.85546875" style="169" customWidth="1"/>
    <col min="3336" max="3336" width="12.5703125" style="169" customWidth="1"/>
    <col min="3337" max="3338" width="13" style="169" customWidth="1"/>
    <col min="3339" max="3582" width="9.140625" style="169"/>
    <col min="3583" max="3583" width="14" style="169" customWidth="1"/>
    <col min="3584" max="3584" width="2" style="169" customWidth="1"/>
    <col min="3585" max="3585" width="11.85546875" style="169" customWidth="1"/>
    <col min="3586" max="3586" width="13.5703125" style="169" customWidth="1"/>
    <col min="3587" max="3588" width="13.85546875" style="169" customWidth="1"/>
    <col min="3589" max="3590" width="14.85546875" style="169" customWidth="1"/>
    <col min="3591" max="3591" width="8.85546875" style="169" customWidth="1"/>
    <col min="3592" max="3592" width="12.5703125" style="169" customWidth="1"/>
    <col min="3593" max="3594" width="13" style="169" customWidth="1"/>
    <col min="3595" max="3838" width="9.140625" style="169"/>
    <col min="3839" max="3839" width="14" style="169" customWidth="1"/>
    <col min="3840" max="3840" width="2" style="169" customWidth="1"/>
    <col min="3841" max="3841" width="11.85546875" style="169" customWidth="1"/>
    <col min="3842" max="3842" width="13.5703125" style="169" customWidth="1"/>
    <col min="3843" max="3844" width="13.85546875" style="169" customWidth="1"/>
    <col min="3845" max="3846" width="14.85546875" style="169" customWidth="1"/>
    <col min="3847" max="3847" width="8.85546875" style="169" customWidth="1"/>
    <col min="3848" max="3848" width="12.5703125" style="169" customWidth="1"/>
    <col min="3849" max="3850" width="13" style="169" customWidth="1"/>
    <col min="3851" max="4094" width="9.140625" style="169"/>
    <col min="4095" max="4095" width="14" style="169" customWidth="1"/>
    <col min="4096" max="4096" width="2" style="169" customWidth="1"/>
    <col min="4097" max="4097" width="11.85546875" style="169" customWidth="1"/>
    <col min="4098" max="4098" width="13.5703125" style="169" customWidth="1"/>
    <col min="4099" max="4100" width="13.85546875" style="169" customWidth="1"/>
    <col min="4101" max="4102" width="14.85546875" style="169" customWidth="1"/>
    <col min="4103" max="4103" width="8.85546875" style="169" customWidth="1"/>
    <col min="4104" max="4104" width="12.5703125" style="169" customWidth="1"/>
    <col min="4105" max="4106" width="13" style="169" customWidth="1"/>
    <col min="4107" max="4350" width="9.140625" style="169"/>
    <col min="4351" max="4351" width="14" style="169" customWidth="1"/>
    <col min="4352" max="4352" width="2" style="169" customWidth="1"/>
    <col min="4353" max="4353" width="11.85546875" style="169" customWidth="1"/>
    <col min="4354" max="4354" width="13.5703125" style="169" customWidth="1"/>
    <col min="4355" max="4356" width="13.85546875" style="169" customWidth="1"/>
    <col min="4357" max="4358" width="14.85546875" style="169" customWidth="1"/>
    <col min="4359" max="4359" width="8.85546875" style="169" customWidth="1"/>
    <col min="4360" max="4360" width="12.5703125" style="169" customWidth="1"/>
    <col min="4361" max="4362" width="13" style="169" customWidth="1"/>
    <col min="4363" max="4606" width="9.140625" style="169"/>
    <col min="4607" max="4607" width="14" style="169" customWidth="1"/>
    <col min="4608" max="4608" width="2" style="169" customWidth="1"/>
    <col min="4609" max="4609" width="11.85546875" style="169" customWidth="1"/>
    <col min="4610" max="4610" width="13.5703125" style="169" customWidth="1"/>
    <col min="4611" max="4612" width="13.85546875" style="169" customWidth="1"/>
    <col min="4613" max="4614" width="14.85546875" style="169" customWidth="1"/>
    <col min="4615" max="4615" width="8.85546875" style="169" customWidth="1"/>
    <col min="4616" max="4616" width="12.5703125" style="169" customWidth="1"/>
    <col min="4617" max="4618" width="13" style="169" customWidth="1"/>
    <col min="4619" max="4862" width="9.140625" style="169"/>
    <col min="4863" max="4863" width="14" style="169" customWidth="1"/>
    <col min="4864" max="4864" width="2" style="169" customWidth="1"/>
    <col min="4865" max="4865" width="11.85546875" style="169" customWidth="1"/>
    <col min="4866" max="4866" width="13.5703125" style="169" customWidth="1"/>
    <col min="4867" max="4868" width="13.85546875" style="169" customWidth="1"/>
    <col min="4869" max="4870" width="14.85546875" style="169" customWidth="1"/>
    <col min="4871" max="4871" width="8.85546875" style="169" customWidth="1"/>
    <col min="4872" max="4872" width="12.5703125" style="169" customWidth="1"/>
    <col min="4873" max="4874" width="13" style="169" customWidth="1"/>
    <col min="4875" max="5118" width="9.140625" style="169"/>
    <col min="5119" max="5119" width="14" style="169" customWidth="1"/>
    <col min="5120" max="5120" width="2" style="169" customWidth="1"/>
    <col min="5121" max="5121" width="11.85546875" style="169" customWidth="1"/>
    <col min="5122" max="5122" width="13.5703125" style="169" customWidth="1"/>
    <col min="5123" max="5124" width="13.85546875" style="169" customWidth="1"/>
    <col min="5125" max="5126" width="14.85546875" style="169" customWidth="1"/>
    <col min="5127" max="5127" width="8.85546875" style="169" customWidth="1"/>
    <col min="5128" max="5128" width="12.5703125" style="169" customWidth="1"/>
    <col min="5129" max="5130" width="13" style="169" customWidth="1"/>
    <col min="5131" max="5374" width="9.140625" style="169"/>
    <col min="5375" max="5375" width="14" style="169" customWidth="1"/>
    <col min="5376" max="5376" width="2" style="169" customWidth="1"/>
    <col min="5377" max="5377" width="11.85546875" style="169" customWidth="1"/>
    <col min="5378" max="5378" width="13.5703125" style="169" customWidth="1"/>
    <col min="5379" max="5380" width="13.85546875" style="169" customWidth="1"/>
    <col min="5381" max="5382" width="14.85546875" style="169" customWidth="1"/>
    <col min="5383" max="5383" width="8.85546875" style="169" customWidth="1"/>
    <col min="5384" max="5384" width="12.5703125" style="169" customWidth="1"/>
    <col min="5385" max="5386" width="13" style="169" customWidth="1"/>
    <col min="5387" max="5630" width="9.140625" style="169"/>
    <col min="5631" max="5631" width="14" style="169" customWidth="1"/>
    <col min="5632" max="5632" width="2" style="169" customWidth="1"/>
    <col min="5633" max="5633" width="11.85546875" style="169" customWidth="1"/>
    <col min="5634" max="5634" width="13.5703125" style="169" customWidth="1"/>
    <col min="5635" max="5636" width="13.85546875" style="169" customWidth="1"/>
    <col min="5637" max="5638" width="14.85546875" style="169" customWidth="1"/>
    <col min="5639" max="5639" width="8.85546875" style="169" customWidth="1"/>
    <col min="5640" max="5640" width="12.5703125" style="169" customWidth="1"/>
    <col min="5641" max="5642" width="13" style="169" customWidth="1"/>
    <col min="5643" max="5886" width="9.140625" style="169"/>
    <col min="5887" max="5887" width="14" style="169" customWidth="1"/>
    <col min="5888" max="5888" width="2" style="169" customWidth="1"/>
    <col min="5889" max="5889" width="11.85546875" style="169" customWidth="1"/>
    <col min="5890" max="5890" width="13.5703125" style="169" customWidth="1"/>
    <col min="5891" max="5892" width="13.85546875" style="169" customWidth="1"/>
    <col min="5893" max="5894" width="14.85546875" style="169" customWidth="1"/>
    <col min="5895" max="5895" width="8.85546875" style="169" customWidth="1"/>
    <col min="5896" max="5896" width="12.5703125" style="169" customWidth="1"/>
    <col min="5897" max="5898" width="13" style="169" customWidth="1"/>
    <col min="5899" max="6142" width="9.140625" style="169"/>
    <col min="6143" max="6143" width="14" style="169" customWidth="1"/>
    <col min="6144" max="6144" width="2" style="169" customWidth="1"/>
    <col min="6145" max="6145" width="11.85546875" style="169" customWidth="1"/>
    <col min="6146" max="6146" width="13.5703125" style="169" customWidth="1"/>
    <col min="6147" max="6148" width="13.85546875" style="169" customWidth="1"/>
    <col min="6149" max="6150" width="14.85546875" style="169" customWidth="1"/>
    <col min="6151" max="6151" width="8.85546875" style="169" customWidth="1"/>
    <col min="6152" max="6152" width="12.5703125" style="169" customWidth="1"/>
    <col min="6153" max="6154" width="13" style="169" customWidth="1"/>
    <col min="6155" max="6398" width="9.140625" style="169"/>
    <col min="6399" max="6399" width="14" style="169" customWidth="1"/>
    <col min="6400" max="6400" width="2" style="169" customWidth="1"/>
    <col min="6401" max="6401" width="11.85546875" style="169" customWidth="1"/>
    <col min="6402" max="6402" width="13.5703125" style="169" customWidth="1"/>
    <col min="6403" max="6404" width="13.85546875" style="169" customWidth="1"/>
    <col min="6405" max="6406" width="14.85546875" style="169" customWidth="1"/>
    <col min="6407" max="6407" width="8.85546875" style="169" customWidth="1"/>
    <col min="6408" max="6408" width="12.5703125" style="169" customWidth="1"/>
    <col min="6409" max="6410" width="13" style="169" customWidth="1"/>
    <col min="6411" max="6654" width="9.140625" style="169"/>
    <col min="6655" max="6655" width="14" style="169" customWidth="1"/>
    <col min="6656" max="6656" width="2" style="169" customWidth="1"/>
    <col min="6657" max="6657" width="11.85546875" style="169" customWidth="1"/>
    <col min="6658" max="6658" width="13.5703125" style="169" customWidth="1"/>
    <col min="6659" max="6660" width="13.85546875" style="169" customWidth="1"/>
    <col min="6661" max="6662" width="14.85546875" style="169" customWidth="1"/>
    <col min="6663" max="6663" width="8.85546875" style="169" customWidth="1"/>
    <col min="6664" max="6664" width="12.5703125" style="169" customWidth="1"/>
    <col min="6665" max="6666" width="13" style="169" customWidth="1"/>
    <col min="6667" max="6910" width="9.140625" style="169"/>
    <col min="6911" max="6911" width="14" style="169" customWidth="1"/>
    <col min="6912" max="6912" width="2" style="169" customWidth="1"/>
    <col min="6913" max="6913" width="11.85546875" style="169" customWidth="1"/>
    <col min="6914" max="6914" width="13.5703125" style="169" customWidth="1"/>
    <col min="6915" max="6916" width="13.85546875" style="169" customWidth="1"/>
    <col min="6917" max="6918" width="14.85546875" style="169" customWidth="1"/>
    <col min="6919" max="6919" width="8.85546875" style="169" customWidth="1"/>
    <col min="6920" max="6920" width="12.5703125" style="169" customWidth="1"/>
    <col min="6921" max="6922" width="13" style="169" customWidth="1"/>
    <col min="6923" max="7166" width="9.140625" style="169"/>
    <col min="7167" max="7167" width="14" style="169" customWidth="1"/>
    <col min="7168" max="7168" width="2" style="169" customWidth="1"/>
    <col min="7169" max="7169" width="11.85546875" style="169" customWidth="1"/>
    <col min="7170" max="7170" width="13.5703125" style="169" customWidth="1"/>
    <col min="7171" max="7172" width="13.85546875" style="169" customWidth="1"/>
    <col min="7173" max="7174" width="14.85546875" style="169" customWidth="1"/>
    <col min="7175" max="7175" width="8.85546875" style="169" customWidth="1"/>
    <col min="7176" max="7176" width="12.5703125" style="169" customWidth="1"/>
    <col min="7177" max="7178" width="13" style="169" customWidth="1"/>
    <col min="7179" max="7422" width="9.140625" style="169"/>
    <col min="7423" max="7423" width="14" style="169" customWidth="1"/>
    <col min="7424" max="7424" width="2" style="169" customWidth="1"/>
    <col min="7425" max="7425" width="11.85546875" style="169" customWidth="1"/>
    <col min="7426" max="7426" width="13.5703125" style="169" customWidth="1"/>
    <col min="7427" max="7428" width="13.85546875" style="169" customWidth="1"/>
    <col min="7429" max="7430" width="14.85546875" style="169" customWidth="1"/>
    <col min="7431" max="7431" width="8.85546875" style="169" customWidth="1"/>
    <col min="7432" max="7432" width="12.5703125" style="169" customWidth="1"/>
    <col min="7433" max="7434" width="13" style="169" customWidth="1"/>
    <col min="7435" max="7678" width="9.140625" style="169"/>
    <col min="7679" max="7679" width="14" style="169" customWidth="1"/>
    <col min="7680" max="7680" width="2" style="169" customWidth="1"/>
    <col min="7681" max="7681" width="11.85546875" style="169" customWidth="1"/>
    <col min="7682" max="7682" width="13.5703125" style="169" customWidth="1"/>
    <col min="7683" max="7684" width="13.85546875" style="169" customWidth="1"/>
    <col min="7685" max="7686" width="14.85546875" style="169" customWidth="1"/>
    <col min="7687" max="7687" width="8.85546875" style="169" customWidth="1"/>
    <col min="7688" max="7688" width="12.5703125" style="169" customWidth="1"/>
    <col min="7689" max="7690" width="13" style="169" customWidth="1"/>
    <col min="7691" max="7934" width="9.140625" style="169"/>
    <col min="7935" max="7935" width="14" style="169" customWidth="1"/>
    <col min="7936" max="7936" width="2" style="169" customWidth="1"/>
    <col min="7937" max="7937" width="11.85546875" style="169" customWidth="1"/>
    <col min="7938" max="7938" width="13.5703125" style="169" customWidth="1"/>
    <col min="7939" max="7940" width="13.85546875" style="169" customWidth="1"/>
    <col min="7941" max="7942" width="14.85546875" style="169" customWidth="1"/>
    <col min="7943" max="7943" width="8.85546875" style="169" customWidth="1"/>
    <col min="7944" max="7944" width="12.5703125" style="169" customWidth="1"/>
    <col min="7945" max="7946" width="13" style="169" customWidth="1"/>
    <col min="7947" max="8190" width="9.140625" style="169"/>
    <col min="8191" max="8191" width="14" style="169" customWidth="1"/>
    <col min="8192" max="8192" width="2" style="169" customWidth="1"/>
    <col min="8193" max="8193" width="11.85546875" style="169" customWidth="1"/>
    <col min="8194" max="8194" width="13.5703125" style="169" customWidth="1"/>
    <col min="8195" max="8196" width="13.85546875" style="169" customWidth="1"/>
    <col min="8197" max="8198" width="14.85546875" style="169" customWidth="1"/>
    <col min="8199" max="8199" width="8.85546875" style="169" customWidth="1"/>
    <col min="8200" max="8200" width="12.5703125" style="169" customWidth="1"/>
    <col min="8201" max="8202" width="13" style="169" customWidth="1"/>
    <col min="8203" max="8446" width="9.140625" style="169"/>
    <col min="8447" max="8447" width="14" style="169" customWidth="1"/>
    <col min="8448" max="8448" width="2" style="169" customWidth="1"/>
    <col min="8449" max="8449" width="11.85546875" style="169" customWidth="1"/>
    <col min="8450" max="8450" width="13.5703125" style="169" customWidth="1"/>
    <col min="8451" max="8452" width="13.85546875" style="169" customWidth="1"/>
    <col min="8453" max="8454" width="14.85546875" style="169" customWidth="1"/>
    <col min="8455" max="8455" width="8.85546875" style="169" customWidth="1"/>
    <col min="8456" max="8456" width="12.5703125" style="169" customWidth="1"/>
    <col min="8457" max="8458" width="13" style="169" customWidth="1"/>
    <col min="8459" max="8702" width="9.140625" style="169"/>
    <col min="8703" max="8703" width="14" style="169" customWidth="1"/>
    <col min="8704" max="8704" width="2" style="169" customWidth="1"/>
    <col min="8705" max="8705" width="11.85546875" style="169" customWidth="1"/>
    <col min="8706" max="8706" width="13.5703125" style="169" customWidth="1"/>
    <col min="8707" max="8708" width="13.85546875" style="169" customWidth="1"/>
    <col min="8709" max="8710" width="14.85546875" style="169" customWidth="1"/>
    <col min="8711" max="8711" width="8.85546875" style="169" customWidth="1"/>
    <col min="8712" max="8712" width="12.5703125" style="169" customWidth="1"/>
    <col min="8713" max="8714" width="13" style="169" customWidth="1"/>
    <col min="8715" max="8958" width="9.140625" style="169"/>
    <col min="8959" max="8959" width="14" style="169" customWidth="1"/>
    <col min="8960" max="8960" width="2" style="169" customWidth="1"/>
    <col min="8961" max="8961" width="11.85546875" style="169" customWidth="1"/>
    <col min="8962" max="8962" width="13.5703125" style="169" customWidth="1"/>
    <col min="8963" max="8964" width="13.85546875" style="169" customWidth="1"/>
    <col min="8965" max="8966" width="14.85546875" style="169" customWidth="1"/>
    <col min="8967" max="8967" width="8.85546875" style="169" customWidth="1"/>
    <col min="8968" max="8968" width="12.5703125" style="169" customWidth="1"/>
    <col min="8969" max="8970" width="13" style="169" customWidth="1"/>
    <col min="8971" max="9214" width="9.140625" style="169"/>
    <col min="9215" max="9215" width="14" style="169" customWidth="1"/>
    <col min="9216" max="9216" width="2" style="169" customWidth="1"/>
    <col min="9217" max="9217" width="11.85546875" style="169" customWidth="1"/>
    <col min="9218" max="9218" width="13.5703125" style="169" customWidth="1"/>
    <col min="9219" max="9220" width="13.85546875" style="169" customWidth="1"/>
    <col min="9221" max="9222" width="14.85546875" style="169" customWidth="1"/>
    <col min="9223" max="9223" width="8.85546875" style="169" customWidth="1"/>
    <col min="9224" max="9224" width="12.5703125" style="169" customWidth="1"/>
    <col min="9225" max="9226" width="13" style="169" customWidth="1"/>
    <col min="9227" max="9470" width="9.140625" style="169"/>
    <col min="9471" max="9471" width="14" style="169" customWidth="1"/>
    <col min="9472" max="9472" width="2" style="169" customWidth="1"/>
    <col min="9473" max="9473" width="11.85546875" style="169" customWidth="1"/>
    <col min="9474" max="9474" width="13.5703125" style="169" customWidth="1"/>
    <col min="9475" max="9476" width="13.85546875" style="169" customWidth="1"/>
    <col min="9477" max="9478" width="14.85546875" style="169" customWidth="1"/>
    <col min="9479" max="9479" width="8.85546875" style="169" customWidth="1"/>
    <col min="9480" max="9480" width="12.5703125" style="169" customWidth="1"/>
    <col min="9481" max="9482" width="13" style="169" customWidth="1"/>
    <col min="9483" max="9726" width="9.140625" style="169"/>
    <col min="9727" max="9727" width="14" style="169" customWidth="1"/>
    <col min="9728" max="9728" width="2" style="169" customWidth="1"/>
    <col min="9729" max="9729" width="11.85546875" style="169" customWidth="1"/>
    <col min="9730" max="9730" width="13.5703125" style="169" customWidth="1"/>
    <col min="9731" max="9732" width="13.85546875" style="169" customWidth="1"/>
    <col min="9733" max="9734" width="14.85546875" style="169" customWidth="1"/>
    <col min="9735" max="9735" width="8.85546875" style="169" customWidth="1"/>
    <col min="9736" max="9736" width="12.5703125" style="169" customWidth="1"/>
    <col min="9737" max="9738" width="13" style="169" customWidth="1"/>
    <col min="9739" max="9982" width="9.140625" style="169"/>
    <col min="9983" max="9983" width="14" style="169" customWidth="1"/>
    <col min="9984" max="9984" width="2" style="169" customWidth="1"/>
    <col min="9985" max="9985" width="11.85546875" style="169" customWidth="1"/>
    <col min="9986" max="9986" width="13.5703125" style="169" customWidth="1"/>
    <col min="9987" max="9988" width="13.85546875" style="169" customWidth="1"/>
    <col min="9989" max="9990" width="14.85546875" style="169" customWidth="1"/>
    <col min="9991" max="9991" width="8.85546875" style="169" customWidth="1"/>
    <col min="9992" max="9992" width="12.5703125" style="169" customWidth="1"/>
    <col min="9993" max="9994" width="13" style="169" customWidth="1"/>
    <col min="9995" max="10238" width="9.140625" style="169"/>
    <col min="10239" max="10239" width="14" style="169" customWidth="1"/>
    <col min="10240" max="10240" width="2" style="169" customWidth="1"/>
    <col min="10241" max="10241" width="11.85546875" style="169" customWidth="1"/>
    <col min="10242" max="10242" width="13.5703125" style="169" customWidth="1"/>
    <col min="10243" max="10244" width="13.85546875" style="169" customWidth="1"/>
    <col min="10245" max="10246" width="14.85546875" style="169" customWidth="1"/>
    <col min="10247" max="10247" width="8.85546875" style="169" customWidth="1"/>
    <col min="10248" max="10248" width="12.5703125" style="169" customWidth="1"/>
    <col min="10249" max="10250" width="13" style="169" customWidth="1"/>
    <col min="10251" max="10494" width="9.140625" style="169"/>
    <col min="10495" max="10495" width="14" style="169" customWidth="1"/>
    <col min="10496" max="10496" width="2" style="169" customWidth="1"/>
    <col min="10497" max="10497" width="11.85546875" style="169" customWidth="1"/>
    <col min="10498" max="10498" width="13.5703125" style="169" customWidth="1"/>
    <col min="10499" max="10500" width="13.85546875" style="169" customWidth="1"/>
    <col min="10501" max="10502" width="14.85546875" style="169" customWidth="1"/>
    <col min="10503" max="10503" width="8.85546875" style="169" customWidth="1"/>
    <col min="10504" max="10504" width="12.5703125" style="169" customWidth="1"/>
    <col min="10505" max="10506" width="13" style="169" customWidth="1"/>
    <col min="10507" max="10750" width="9.140625" style="169"/>
    <col min="10751" max="10751" width="14" style="169" customWidth="1"/>
    <col min="10752" max="10752" width="2" style="169" customWidth="1"/>
    <col min="10753" max="10753" width="11.85546875" style="169" customWidth="1"/>
    <col min="10754" max="10754" width="13.5703125" style="169" customWidth="1"/>
    <col min="10755" max="10756" width="13.85546875" style="169" customWidth="1"/>
    <col min="10757" max="10758" width="14.85546875" style="169" customWidth="1"/>
    <col min="10759" max="10759" width="8.85546875" style="169" customWidth="1"/>
    <col min="10760" max="10760" width="12.5703125" style="169" customWidth="1"/>
    <col min="10761" max="10762" width="13" style="169" customWidth="1"/>
    <col min="10763" max="11006" width="9.140625" style="169"/>
    <col min="11007" max="11007" width="14" style="169" customWidth="1"/>
    <col min="11008" max="11008" width="2" style="169" customWidth="1"/>
    <col min="11009" max="11009" width="11.85546875" style="169" customWidth="1"/>
    <col min="11010" max="11010" width="13.5703125" style="169" customWidth="1"/>
    <col min="11011" max="11012" width="13.85546875" style="169" customWidth="1"/>
    <col min="11013" max="11014" width="14.85546875" style="169" customWidth="1"/>
    <col min="11015" max="11015" width="8.85546875" style="169" customWidth="1"/>
    <col min="11016" max="11016" width="12.5703125" style="169" customWidth="1"/>
    <col min="11017" max="11018" width="13" style="169" customWidth="1"/>
    <col min="11019" max="11262" width="9.140625" style="169"/>
    <col min="11263" max="11263" width="14" style="169" customWidth="1"/>
    <col min="11264" max="11264" width="2" style="169" customWidth="1"/>
    <col min="11265" max="11265" width="11.85546875" style="169" customWidth="1"/>
    <col min="11266" max="11266" width="13.5703125" style="169" customWidth="1"/>
    <col min="11267" max="11268" width="13.85546875" style="169" customWidth="1"/>
    <col min="11269" max="11270" width="14.85546875" style="169" customWidth="1"/>
    <col min="11271" max="11271" width="8.85546875" style="169" customWidth="1"/>
    <col min="11272" max="11272" width="12.5703125" style="169" customWidth="1"/>
    <col min="11273" max="11274" width="13" style="169" customWidth="1"/>
    <col min="11275" max="11518" width="9.140625" style="169"/>
    <col min="11519" max="11519" width="14" style="169" customWidth="1"/>
    <col min="11520" max="11520" width="2" style="169" customWidth="1"/>
    <col min="11521" max="11521" width="11.85546875" style="169" customWidth="1"/>
    <col min="11522" max="11522" width="13.5703125" style="169" customWidth="1"/>
    <col min="11523" max="11524" width="13.85546875" style="169" customWidth="1"/>
    <col min="11525" max="11526" width="14.85546875" style="169" customWidth="1"/>
    <col min="11527" max="11527" width="8.85546875" style="169" customWidth="1"/>
    <col min="11528" max="11528" width="12.5703125" style="169" customWidth="1"/>
    <col min="11529" max="11530" width="13" style="169" customWidth="1"/>
    <col min="11531" max="11774" width="9.140625" style="169"/>
    <col min="11775" max="11775" width="14" style="169" customWidth="1"/>
    <col min="11776" max="11776" width="2" style="169" customWidth="1"/>
    <col min="11777" max="11777" width="11.85546875" style="169" customWidth="1"/>
    <col min="11778" max="11778" width="13.5703125" style="169" customWidth="1"/>
    <col min="11779" max="11780" width="13.85546875" style="169" customWidth="1"/>
    <col min="11781" max="11782" width="14.85546875" style="169" customWidth="1"/>
    <col min="11783" max="11783" width="8.85546875" style="169" customWidth="1"/>
    <col min="11784" max="11784" width="12.5703125" style="169" customWidth="1"/>
    <col min="11785" max="11786" width="13" style="169" customWidth="1"/>
    <col min="11787" max="12030" width="9.140625" style="169"/>
    <col min="12031" max="12031" width="14" style="169" customWidth="1"/>
    <col min="12032" max="12032" width="2" style="169" customWidth="1"/>
    <col min="12033" max="12033" width="11.85546875" style="169" customWidth="1"/>
    <col min="12034" max="12034" width="13.5703125" style="169" customWidth="1"/>
    <col min="12035" max="12036" width="13.85546875" style="169" customWidth="1"/>
    <col min="12037" max="12038" width="14.85546875" style="169" customWidth="1"/>
    <col min="12039" max="12039" width="8.85546875" style="169" customWidth="1"/>
    <col min="12040" max="12040" width="12.5703125" style="169" customWidth="1"/>
    <col min="12041" max="12042" width="13" style="169" customWidth="1"/>
    <col min="12043" max="12286" width="9.140625" style="169"/>
    <col min="12287" max="12287" width="14" style="169" customWidth="1"/>
    <col min="12288" max="12288" width="2" style="169" customWidth="1"/>
    <col min="12289" max="12289" width="11.85546875" style="169" customWidth="1"/>
    <col min="12290" max="12290" width="13.5703125" style="169" customWidth="1"/>
    <col min="12291" max="12292" width="13.85546875" style="169" customWidth="1"/>
    <col min="12293" max="12294" width="14.85546875" style="169" customWidth="1"/>
    <col min="12295" max="12295" width="8.85546875" style="169" customWidth="1"/>
    <col min="12296" max="12296" width="12.5703125" style="169" customWidth="1"/>
    <col min="12297" max="12298" width="13" style="169" customWidth="1"/>
    <col min="12299" max="12542" width="9.140625" style="169"/>
    <col min="12543" max="12543" width="14" style="169" customWidth="1"/>
    <col min="12544" max="12544" width="2" style="169" customWidth="1"/>
    <col min="12545" max="12545" width="11.85546875" style="169" customWidth="1"/>
    <col min="12546" max="12546" width="13.5703125" style="169" customWidth="1"/>
    <col min="12547" max="12548" width="13.85546875" style="169" customWidth="1"/>
    <col min="12549" max="12550" width="14.85546875" style="169" customWidth="1"/>
    <col min="12551" max="12551" width="8.85546875" style="169" customWidth="1"/>
    <col min="12552" max="12552" width="12.5703125" style="169" customWidth="1"/>
    <col min="12553" max="12554" width="13" style="169" customWidth="1"/>
    <col min="12555" max="12798" width="9.140625" style="169"/>
    <col min="12799" max="12799" width="14" style="169" customWidth="1"/>
    <col min="12800" max="12800" width="2" style="169" customWidth="1"/>
    <col min="12801" max="12801" width="11.85546875" style="169" customWidth="1"/>
    <col min="12802" max="12802" width="13.5703125" style="169" customWidth="1"/>
    <col min="12803" max="12804" width="13.85546875" style="169" customWidth="1"/>
    <col min="12805" max="12806" width="14.85546875" style="169" customWidth="1"/>
    <col min="12807" max="12807" width="8.85546875" style="169" customWidth="1"/>
    <col min="12808" max="12808" width="12.5703125" style="169" customWidth="1"/>
    <col min="12809" max="12810" width="13" style="169" customWidth="1"/>
    <col min="12811" max="13054" width="9.140625" style="169"/>
    <col min="13055" max="13055" width="14" style="169" customWidth="1"/>
    <col min="13056" max="13056" width="2" style="169" customWidth="1"/>
    <col min="13057" max="13057" width="11.85546875" style="169" customWidth="1"/>
    <col min="13058" max="13058" width="13.5703125" style="169" customWidth="1"/>
    <col min="13059" max="13060" width="13.85546875" style="169" customWidth="1"/>
    <col min="13061" max="13062" width="14.85546875" style="169" customWidth="1"/>
    <col min="13063" max="13063" width="8.85546875" style="169" customWidth="1"/>
    <col min="13064" max="13064" width="12.5703125" style="169" customWidth="1"/>
    <col min="13065" max="13066" width="13" style="169" customWidth="1"/>
    <col min="13067" max="13310" width="9.140625" style="169"/>
    <col min="13311" max="13311" width="14" style="169" customWidth="1"/>
    <col min="13312" max="13312" width="2" style="169" customWidth="1"/>
    <col min="13313" max="13313" width="11.85546875" style="169" customWidth="1"/>
    <col min="13314" max="13314" width="13.5703125" style="169" customWidth="1"/>
    <col min="13315" max="13316" width="13.85546875" style="169" customWidth="1"/>
    <col min="13317" max="13318" width="14.85546875" style="169" customWidth="1"/>
    <col min="13319" max="13319" width="8.85546875" style="169" customWidth="1"/>
    <col min="13320" max="13320" width="12.5703125" style="169" customWidth="1"/>
    <col min="13321" max="13322" width="13" style="169" customWidth="1"/>
    <col min="13323" max="13566" width="9.140625" style="169"/>
    <col min="13567" max="13567" width="14" style="169" customWidth="1"/>
    <col min="13568" max="13568" width="2" style="169" customWidth="1"/>
    <col min="13569" max="13569" width="11.85546875" style="169" customWidth="1"/>
    <col min="13570" max="13570" width="13.5703125" style="169" customWidth="1"/>
    <col min="13571" max="13572" width="13.85546875" style="169" customWidth="1"/>
    <col min="13573" max="13574" width="14.85546875" style="169" customWidth="1"/>
    <col min="13575" max="13575" width="8.85546875" style="169" customWidth="1"/>
    <col min="13576" max="13576" width="12.5703125" style="169" customWidth="1"/>
    <col min="13577" max="13578" width="13" style="169" customWidth="1"/>
    <col min="13579" max="13822" width="9.140625" style="169"/>
    <col min="13823" max="13823" width="14" style="169" customWidth="1"/>
    <col min="13824" max="13824" width="2" style="169" customWidth="1"/>
    <col min="13825" max="13825" width="11.85546875" style="169" customWidth="1"/>
    <col min="13826" max="13826" width="13.5703125" style="169" customWidth="1"/>
    <col min="13827" max="13828" width="13.85546875" style="169" customWidth="1"/>
    <col min="13829" max="13830" width="14.85546875" style="169" customWidth="1"/>
    <col min="13831" max="13831" width="8.85546875" style="169" customWidth="1"/>
    <col min="13832" max="13832" width="12.5703125" style="169" customWidth="1"/>
    <col min="13833" max="13834" width="13" style="169" customWidth="1"/>
    <col min="13835" max="14078" width="9.140625" style="169"/>
    <col min="14079" max="14079" width="14" style="169" customWidth="1"/>
    <col min="14080" max="14080" width="2" style="169" customWidth="1"/>
    <col min="14081" max="14081" width="11.85546875" style="169" customWidth="1"/>
    <col min="14082" max="14082" width="13.5703125" style="169" customWidth="1"/>
    <col min="14083" max="14084" width="13.85546875" style="169" customWidth="1"/>
    <col min="14085" max="14086" width="14.85546875" style="169" customWidth="1"/>
    <col min="14087" max="14087" width="8.85546875" style="169" customWidth="1"/>
    <col min="14088" max="14088" width="12.5703125" style="169" customWidth="1"/>
    <col min="14089" max="14090" width="13" style="169" customWidth="1"/>
    <col min="14091" max="14334" width="9.140625" style="169"/>
    <col min="14335" max="14335" width="14" style="169" customWidth="1"/>
    <col min="14336" max="14336" width="2" style="169" customWidth="1"/>
    <col min="14337" max="14337" width="11.85546875" style="169" customWidth="1"/>
    <col min="14338" max="14338" width="13.5703125" style="169" customWidth="1"/>
    <col min="14339" max="14340" width="13.85546875" style="169" customWidth="1"/>
    <col min="14341" max="14342" width="14.85546875" style="169" customWidth="1"/>
    <col min="14343" max="14343" width="8.85546875" style="169" customWidth="1"/>
    <col min="14344" max="14344" width="12.5703125" style="169" customWidth="1"/>
    <col min="14345" max="14346" width="13" style="169" customWidth="1"/>
    <col min="14347" max="14590" width="9.140625" style="169"/>
    <col min="14591" max="14591" width="14" style="169" customWidth="1"/>
    <col min="14592" max="14592" width="2" style="169" customWidth="1"/>
    <col min="14593" max="14593" width="11.85546875" style="169" customWidth="1"/>
    <col min="14594" max="14594" width="13.5703125" style="169" customWidth="1"/>
    <col min="14595" max="14596" width="13.85546875" style="169" customWidth="1"/>
    <col min="14597" max="14598" width="14.85546875" style="169" customWidth="1"/>
    <col min="14599" max="14599" width="8.85546875" style="169" customWidth="1"/>
    <col min="14600" max="14600" width="12.5703125" style="169" customWidth="1"/>
    <col min="14601" max="14602" width="13" style="169" customWidth="1"/>
    <col min="14603" max="14846" width="9.140625" style="169"/>
    <col min="14847" max="14847" width="14" style="169" customWidth="1"/>
    <col min="14848" max="14848" width="2" style="169" customWidth="1"/>
    <col min="14849" max="14849" width="11.85546875" style="169" customWidth="1"/>
    <col min="14850" max="14850" width="13.5703125" style="169" customWidth="1"/>
    <col min="14851" max="14852" width="13.85546875" style="169" customWidth="1"/>
    <col min="14853" max="14854" width="14.85546875" style="169" customWidth="1"/>
    <col min="14855" max="14855" width="8.85546875" style="169" customWidth="1"/>
    <col min="14856" max="14856" width="12.5703125" style="169" customWidth="1"/>
    <col min="14857" max="14858" width="13" style="169" customWidth="1"/>
    <col min="14859" max="15102" width="9.140625" style="169"/>
    <col min="15103" max="15103" width="14" style="169" customWidth="1"/>
    <col min="15104" max="15104" width="2" style="169" customWidth="1"/>
    <col min="15105" max="15105" width="11.85546875" style="169" customWidth="1"/>
    <col min="15106" max="15106" width="13.5703125" style="169" customWidth="1"/>
    <col min="15107" max="15108" width="13.85546875" style="169" customWidth="1"/>
    <col min="15109" max="15110" width="14.85546875" style="169" customWidth="1"/>
    <col min="15111" max="15111" width="8.85546875" style="169" customWidth="1"/>
    <col min="15112" max="15112" width="12.5703125" style="169" customWidth="1"/>
    <col min="15113" max="15114" width="13" style="169" customWidth="1"/>
    <col min="15115" max="15358" width="9.140625" style="169"/>
    <col min="15359" max="15359" width="14" style="169" customWidth="1"/>
    <col min="15360" max="15360" width="2" style="169" customWidth="1"/>
    <col min="15361" max="15361" width="11.85546875" style="169" customWidth="1"/>
    <col min="15362" max="15362" width="13.5703125" style="169" customWidth="1"/>
    <col min="15363" max="15364" width="13.85546875" style="169" customWidth="1"/>
    <col min="15365" max="15366" width="14.85546875" style="169" customWidth="1"/>
    <col min="15367" max="15367" width="8.85546875" style="169" customWidth="1"/>
    <col min="15368" max="15368" width="12.5703125" style="169" customWidth="1"/>
    <col min="15369" max="15370" width="13" style="169" customWidth="1"/>
    <col min="15371" max="15614" width="9.140625" style="169"/>
    <col min="15615" max="15615" width="14" style="169" customWidth="1"/>
    <col min="15616" max="15616" width="2" style="169" customWidth="1"/>
    <col min="15617" max="15617" width="11.85546875" style="169" customWidth="1"/>
    <col min="15618" max="15618" width="13.5703125" style="169" customWidth="1"/>
    <col min="15619" max="15620" width="13.85546875" style="169" customWidth="1"/>
    <col min="15621" max="15622" width="14.85546875" style="169" customWidth="1"/>
    <col min="15623" max="15623" width="8.85546875" style="169" customWidth="1"/>
    <col min="15624" max="15624" width="12.5703125" style="169" customWidth="1"/>
    <col min="15625" max="15626" width="13" style="169" customWidth="1"/>
    <col min="15627" max="15870" width="9.140625" style="169"/>
    <col min="15871" max="15871" width="14" style="169" customWidth="1"/>
    <col min="15872" max="15872" width="2" style="169" customWidth="1"/>
    <col min="15873" max="15873" width="11.85546875" style="169" customWidth="1"/>
    <col min="15874" max="15874" width="13.5703125" style="169" customWidth="1"/>
    <col min="15875" max="15876" width="13.85546875" style="169" customWidth="1"/>
    <col min="15877" max="15878" width="14.85546875" style="169" customWidth="1"/>
    <col min="15879" max="15879" width="8.85546875" style="169" customWidth="1"/>
    <col min="15880" max="15880" width="12.5703125" style="169" customWidth="1"/>
    <col min="15881" max="15882" width="13" style="169" customWidth="1"/>
    <col min="15883" max="16126" width="9.140625" style="169"/>
    <col min="16127" max="16127" width="14" style="169" customWidth="1"/>
    <col min="16128" max="16128" width="2" style="169" customWidth="1"/>
    <col min="16129" max="16129" width="11.85546875" style="169" customWidth="1"/>
    <col min="16130" max="16130" width="13.5703125" style="169" customWidth="1"/>
    <col min="16131" max="16132" width="13.85546875" style="169" customWidth="1"/>
    <col min="16133" max="16134" width="14.85546875" style="169" customWidth="1"/>
    <col min="16135" max="16135" width="8.85546875" style="169" customWidth="1"/>
    <col min="16136" max="16136" width="12.5703125" style="169" customWidth="1"/>
    <col min="16137" max="16138" width="13" style="169" customWidth="1"/>
    <col min="16139" max="16384" width="9.140625" style="169"/>
  </cols>
  <sheetData>
    <row r="1" spans="1:10" ht="10.5" customHeight="1" thickBot="1" x14ac:dyDescent="0.45">
      <c r="A1" s="167"/>
      <c r="B1" s="347"/>
      <c r="C1" s="167"/>
      <c r="D1" s="168"/>
      <c r="E1" s="167"/>
      <c r="F1" s="167"/>
      <c r="G1" s="348"/>
      <c r="H1" s="348"/>
      <c r="I1" s="186"/>
      <c r="J1" s="186"/>
    </row>
    <row r="2" spans="1:10" ht="35.25" customHeight="1" thickBot="1" x14ac:dyDescent="0.3">
      <c r="A2" s="170" t="s">
        <v>86</v>
      </c>
      <c r="B2" s="347"/>
      <c r="C2" s="349" t="s">
        <v>87</v>
      </c>
      <c r="D2" s="350"/>
      <c r="E2" s="351" t="s">
        <v>88</v>
      </c>
      <c r="F2" s="351"/>
      <c r="G2" s="352" t="s">
        <v>89</v>
      </c>
      <c r="H2" s="353"/>
      <c r="I2" s="189"/>
      <c r="J2" s="189"/>
    </row>
    <row r="3" spans="1:10" ht="44.25" customHeight="1" x14ac:dyDescent="0.25">
      <c r="A3" s="171" t="s">
        <v>39</v>
      </c>
      <c r="B3" s="347"/>
      <c r="C3" s="172" t="s">
        <v>90</v>
      </c>
      <c r="D3" s="173" t="s">
        <v>91</v>
      </c>
      <c r="E3" s="174" t="s">
        <v>92</v>
      </c>
      <c r="F3" s="174" t="s">
        <v>93</v>
      </c>
      <c r="G3" s="174" t="s">
        <v>94</v>
      </c>
      <c r="H3" s="175" t="s">
        <v>95</v>
      </c>
      <c r="I3" s="190" t="s">
        <v>96</v>
      </c>
      <c r="J3" s="190" t="s">
        <v>164</v>
      </c>
    </row>
    <row r="4" spans="1:10" s="181" customFormat="1" ht="35.25" customHeight="1" x14ac:dyDescent="0.25">
      <c r="A4" s="176">
        <v>44804</v>
      </c>
      <c r="B4" s="347"/>
      <c r="C4" s="177">
        <v>102548445</v>
      </c>
      <c r="D4" s="178">
        <v>31701</v>
      </c>
      <c r="E4" s="179">
        <f>'Gas-2'!G5</f>
        <v>0</v>
      </c>
      <c r="F4" s="180">
        <v>90</v>
      </c>
      <c r="G4" s="179">
        <f>SUM(WATER!G6,WATER!L6,WATER!Q6,WATER!B6)</f>
        <v>1137309</v>
      </c>
      <c r="H4" s="293">
        <v>318</v>
      </c>
      <c r="I4" s="182">
        <v>16</v>
      </c>
      <c r="J4" s="182">
        <v>116</v>
      </c>
    </row>
    <row r="5" spans="1:10" ht="33" customHeight="1" x14ac:dyDescent="0.25">
      <c r="A5" s="183">
        <f>A4+1</f>
        <v>44805</v>
      </c>
      <c r="B5" s="347"/>
      <c r="C5" s="177">
        <f>SUM('GENSET #1'!C10+'GENSET #2'!C10+'GENSET #3'!C10+'GENSET #4'!C10+'GENSET #5'!C10)</f>
        <v>102568553</v>
      </c>
      <c r="D5" s="184">
        <f>IF((C5-C4&lt;0), "0",C5-C4)</f>
        <v>20108</v>
      </c>
      <c r="E5" s="177">
        <f>'Gas-2'!G6</f>
        <v>270</v>
      </c>
      <c r="F5" s="184">
        <f>IF((E5-E4&lt;0), "0",E5-E4)</f>
        <v>270</v>
      </c>
      <c r="G5" s="185">
        <f>SUM(WATER!C6,WATER!H6,WATER!M6,WATER!R6)</f>
        <v>1137612</v>
      </c>
      <c r="H5" s="184">
        <f>IF((G5-G4&lt;0), "0",G5-G4)</f>
        <v>303</v>
      </c>
      <c r="I5" s="186">
        <v>13.6</v>
      </c>
      <c r="J5" s="186">
        <v>102</v>
      </c>
    </row>
    <row r="6" spans="1:10" ht="45" customHeight="1" x14ac:dyDescent="0.25">
      <c r="A6" s="183">
        <f t="shared" ref="A6:A35" si="0">A5+1</f>
        <v>44806</v>
      </c>
      <c r="B6" s="347"/>
      <c r="C6" s="177">
        <f>SUM('GENSET #1'!C11+'GENSET #2'!C11+'GENSET #3'!C11+'GENSET #4'!C11+'GENSET #5'!C11)</f>
        <v>102589189</v>
      </c>
      <c r="D6" s="184">
        <f>IF((C6-C5&lt;0), "0",C6-C5)</f>
        <v>20636</v>
      </c>
      <c r="E6" s="177">
        <f>'Gas-2'!G7</f>
        <v>270</v>
      </c>
      <c r="F6" s="184">
        <f>IF((E6-E5&lt;0), "0",E6-E5)</f>
        <v>0</v>
      </c>
      <c r="G6" s="185">
        <f>SUM(WATER!C7,WATER!H7,WATER!M7,WATER!R7)</f>
        <v>1137932</v>
      </c>
      <c r="H6" s="184">
        <f>IF((G6-G5&lt;0), "0",G6-G5)</f>
        <v>320</v>
      </c>
      <c r="I6" s="186">
        <v>14.6</v>
      </c>
      <c r="J6" s="186">
        <v>114</v>
      </c>
    </row>
    <row r="7" spans="1:10" ht="45" customHeight="1" x14ac:dyDescent="0.25">
      <c r="A7" s="183">
        <f t="shared" si="0"/>
        <v>44807</v>
      </c>
      <c r="B7" s="347"/>
      <c r="C7" s="177">
        <f>SUM('GENSET #1'!C12+'GENSET #2'!C12+'GENSET #3'!C12+'GENSET #4'!C12+'GENSET #5'!C12)</f>
        <v>102609785</v>
      </c>
      <c r="D7" s="184">
        <f t="shared" ref="D7:D22" si="1">IF((C7-C6&lt;0), "0",C7-C6)</f>
        <v>20596</v>
      </c>
      <c r="E7" s="177">
        <f>'Gas-2'!G8</f>
        <v>225</v>
      </c>
      <c r="F7" s="184" t="str">
        <f t="shared" ref="F7:F33" si="2">IF((E7-E6&lt;0), "0",E7-E6)</f>
        <v>0</v>
      </c>
      <c r="G7" s="185">
        <f>SUM(WATER!C8,WATER!H8,WATER!M8,WATER!R8)</f>
        <v>1138256</v>
      </c>
      <c r="H7" s="184">
        <f t="shared" ref="H7:H33" si="3">IF((G7-G6&lt;0), "0",G7-G6)</f>
        <v>324</v>
      </c>
      <c r="I7" s="186">
        <v>14.6</v>
      </c>
      <c r="J7" s="186">
        <v>169</v>
      </c>
    </row>
    <row r="8" spans="1:10" ht="45" customHeight="1" x14ac:dyDescent="0.25">
      <c r="A8" s="183">
        <f t="shared" si="0"/>
        <v>44808</v>
      </c>
      <c r="B8" s="347"/>
      <c r="C8" s="177">
        <f>SUM('GENSET #1'!C13+'GENSET #2'!C13+'GENSET #3'!C13+'GENSET #4'!C13+'GENSET #5'!C13)</f>
        <v>102631267</v>
      </c>
      <c r="D8" s="184">
        <f t="shared" si="1"/>
        <v>21482</v>
      </c>
      <c r="E8" s="177">
        <f>'Gas-2'!G9</f>
        <v>270</v>
      </c>
      <c r="F8" s="184">
        <f t="shared" si="2"/>
        <v>45</v>
      </c>
      <c r="G8" s="185">
        <f>SUM(WATER!C9,WATER!H9,WATER!M9,WATER!R9)</f>
        <v>1138555</v>
      </c>
      <c r="H8" s="184">
        <f t="shared" si="3"/>
        <v>299</v>
      </c>
      <c r="I8" s="186">
        <v>10.7</v>
      </c>
      <c r="J8" s="186">
        <v>108</v>
      </c>
    </row>
    <row r="9" spans="1:10" ht="45" customHeight="1" x14ac:dyDescent="0.25">
      <c r="A9" s="183">
        <f t="shared" si="0"/>
        <v>44809</v>
      </c>
      <c r="B9" s="347"/>
      <c r="C9" s="177">
        <f>SUM('GENSET #1'!C14+'GENSET #2'!C14+'GENSET #3'!C14+'GENSET #4'!C14+'GENSET #5'!C14)</f>
        <v>102652028</v>
      </c>
      <c r="D9" s="184">
        <f t="shared" si="1"/>
        <v>20761</v>
      </c>
      <c r="E9" s="177">
        <f>'Gas-2'!G10</f>
        <v>225</v>
      </c>
      <c r="F9" s="184" t="str">
        <f t="shared" si="2"/>
        <v>0</v>
      </c>
      <c r="G9" s="185">
        <f>SUM(WATER!C10,WATER!H10,WATER!M10,WATER!R10)</f>
        <v>1138820</v>
      </c>
      <c r="H9" s="184">
        <f t="shared" si="3"/>
        <v>265</v>
      </c>
      <c r="I9" s="186">
        <v>10.7</v>
      </c>
      <c r="J9" s="186">
        <v>106</v>
      </c>
    </row>
    <row r="10" spans="1:10" ht="45" customHeight="1" x14ac:dyDescent="0.25">
      <c r="A10" s="183">
        <f t="shared" si="0"/>
        <v>44810</v>
      </c>
      <c r="B10" s="347"/>
      <c r="C10" s="177">
        <f>SUM('GENSET #1'!C15+'GENSET #2'!C15+'GENSET #3'!C15+'GENSET #4'!C15+'GENSET #5'!C15)</f>
        <v>102670963</v>
      </c>
      <c r="D10" s="184">
        <f t="shared" si="1"/>
        <v>18935</v>
      </c>
      <c r="E10" s="177">
        <f>'Gas-2'!G11</f>
        <v>180</v>
      </c>
      <c r="F10" s="184" t="str">
        <f t="shared" si="2"/>
        <v>0</v>
      </c>
      <c r="G10" s="185">
        <f>SUM(WATER!C11,WATER!H11,WATER!M11,WATER!R11)</f>
        <v>1139123</v>
      </c>
      <c r="H10" s="184">
        <f t="shared" si="3"/>
        <v>303</v>
      </c>
      <c r="I10" s="186">
        <v>13.6</v>
      </c>
      <c r="J10" s="186">
        <v>124</v>
      </c>
    </row>
    <row r="11" spans="1:10" ht="45" customHeight="1" x14ac:dyDescent="0.25">
      <c r="A11" s="183">
        <f t="shared" si="0"/>
        <v>44811</v>
      </c>
      <c r="B11" s="347"/>
      <c r="C11" s="177">
        <f>SUM('GENSET #1'!C16+'GENSET #2'!C16+'GENSET #3'!C16+'GENSET #4'!C16+'GENSET #5'!C16)</f>
        <v>102692349</v>
      </c>
      <c r="D11" s="184">
        <f t="shared" si="1"/>
        <v>21386</v>
      </c>
      <c r="E11" s="177">
        <f>'Gas-2'!G12</f>
        <v>315</v>
      </c>
      <c r="F11" s="184">
        <f t="shared" si="2"/>
        <v>135</v>
      </c>
      <c r="G11" s="185">
        <f>SUM(WATER!C12,WATER!H12,WATER!M12,WATER!R12)</f>
        <v>1139406</v>
      </c>
      <c r="H11" s="184">
        <f t="shared" si="3"/>
        <v>283</v>
      </c>
      <c r="I11" s="186">
        <v>13.6</v>
      </c>
      <c r="J11" s="186">
        <v>133</v>
      </c>
    </row>
    <row r="12" spans="1:10" ht="45" customHeight="1" x14ac:dyDescent="0.25">
      <c r="A12" s="183">
        <f t="shared" si="0"/>
        <v>44812</v>
      </c>
      <c r="B12" s="347"/>
      <c r="C12" s="177">
        <f>SUM('GENSET #1'!C17+'GENSET #2'!C17+'GENSET #3'!C17+'GENSET #4'!C17+'GENSET #5'!C17)</f>
        <v>102714033</v>
      </c>
      <c r="D12" s="184">
        <f t="shared" si="1"/>
        <v>21684</v>
      </c>
      <c r="E12" s="177">
        <f>'Gas-2'!G13</f>
        <v>225</v>
      </c>
      <c r="F12" s="184" t="str">
        <f t="shared" si="2"/>
        <v>0</v>
      </c>
      <c r="G12" s="185">
        <f>SUM(WATER!C13,WATER!H13,WATER!M13,WATER!R13)</f>
        <v>1139694</v>
      </c>
      <c r="H12" s="184">
        <f t="shared" si="3"/>
        <v>288</v>
      </c>
      <c r="I12" s="186">
        <v>15</v>
      </c>
      <c r="J12" s="186">
        <v>119</v>
      </c>
    </row>
    <row r="13" spans="1:10" ht="45" customHeight="1" x14ac:dyDescent="0.25">
      <c r="A13" s="183">
        <f t="shared" si="0"/>
        <v>44813</v>
      </c>
      <c r="B13" s="347"/>
      <c r="C13" s="177">
        <f>SUM('GENSET #1'!C18+'GENSET #2'!C18+'GENSET #3'!C18+'GENSET #4'!C18+'GENSET #5'!C18)</f>
        <v>102735264</v>
      </c>
      <c r="D13" s="184">
        <f t="shared" si="1"/>
        <v>21231</v>
      </c>
      <c r="E13" s="177">
        <f>'Gas-2'!G14</f>
        <v>225</v>
      </c>
      <c r="F13" s="184">
        <f t="shared" si="2"/>
        <v>0</v>
      </c>
      <c r="G13" s="185">
        <f>SUM(WATER!C14,WATER!H14,WATER!M14,WATER!R14)</f>
        <v>1140123</v>
      </c>
      <c r="H13" s="184">
        <f t="shared" si="3"/>
        <v>429</v>
      </c>
      <c r="I13" s="186">
        <v>12</v>
      </c>
      <c r="J13" s="186">
        <v>105</v>
      </c>
    </row>
    <row r="14" spans="1:10" ht="45" customHeight="1" x14ac:dyDescent="0.25">
      <c r="A14" s="183">
        <f t="shared" si="0"/>
        <v>44814</v>
      </c>
      <c r="B14" s="347"/>
      <c r="C14" s="177">
        <f>SUM('GENSET #1'!C19+'GENSET #2'!C19+'GENSET #3'!C19+'GENSET #4'!C19+'GENSET #5'!C19)</f>
        <v>102757447</v>
      </c>
      <c r="D14" s="184">
        <f t="shared" si="1"/>
        <v>22183</v>
      </c>
      <c r="E14" s="177">
        <f>'Gas-2'!G15</f>
        <v>270</v>
      </c>
      <c r="F14" s="184">
        <f t="shared" si="2"/>
        <v>45</v>
      </c>
      <c r="G14" s="185">
        <f>SUM(WATER!C15,WATER!H15,WATER!M15,WATER!R15)</f>
        <v>1140322</v>
      </c>
      <c r="H14" s="184">
        <f t="shared" si="3"/>
        <v>199</v>
      </c>
      <c r="I14" s="186">
        <v>12</v>
      </c>
      <c r="J14" s="186">
        <v>101</v>
      </c>
    </row>
    <row r="15" spans="1:10" ht="45" customHeight="1" x14ac:dyDescent="0.25">
      <c r="A15" s="183">
        <f t="shared" si="0"/>
        <v>44815</v>
      </c>
      <c r="B15" s="347"/>
      <c r="C15" s="177">
        <f>SUM('GENSET #1'!C20+'GENSET #2'!C20+'GENSET #3'!C20+'GENSET #4'!C20+'GENSET #5'!C20)</f>
        <v>102779689</v>
      </c>
      <c r="D15" s="184">
        <f t="shared" si="1"/>
        <v>22242</v>
      </c>
      <c r="E15" s="177">
        <f>'Gas-2'!G16</f>
        <v>225</v>
      </c>
      <c r="F15" s="184" t="str">
        <f t="shared" si="2"/>
        <v>0</v>
      </c>
      <c r="G15" s="185">
        <f>SUM(WATER!C16,WATER!H16,WATER!M16,WATER!R16)</f>
        <v>1140641</v>
      </c>
      <c r="H15" s="184">
        <f t="shared" si="3"/>
        <v>319</v>
      </c>
      <c r="I15" s="186">
        <v>11</v>
      </c>
      <c r="J15" s="186">
        <v>80</v>
      </c>
    </row>
    <row r="16" spans="1:10" ht="45" customHeight="1" x14ac:dyDescent="0.25">
      <c r="A16" s="183">
        <f t="shared" si="0"/>
        <v>44816</v>
      </c>
      <c r="B16" s="347"/>
      <c r="C16" s="177">
        <f>SUM('GENSET #1'!C21+'GENSET #2'!C21+'GENSET #3'!C21+'GENSET #4'!C21+'GENSET #5'!C21)</f>
        <v>102802125</v>
      </c>
      <c r="D16" s="184">
        <f t="shared" si="1"/>
        <v>22436</v>
      </c>
      <c r="E16" s="177">
        <f>'Gas-2'!G17</f>
        <v>225</v>
      </c>
      <c r="F16" s="184">
        <f t="shared" si="2"/>
        <v>0</v>
      </c>
      <c r="G16" s="185">
        <f>SUM(WATER!C17,WATER!H17,WATER!M17,WATER!R17)</f>
        <v>1140943</v>
      </c>
      <c r="H16" s="184">
        <f t="shared" si="3"/>
        <v>302</v>
      </c>
      <c r="I16" s="186">
        <v>14</v>
      </c>
      <c r="J16" s="186">
        <v>157</v>
      </c>
    </row>
    <row r="17" spans="1:17" ht="45" customHeight="1" x14ac:dyDescent="0.25">
      <c r="A17" s="183">
        <f t="shared" si="0"/>
        <v>44817</v>
      </c>
      <c r="B17" s="347"/>
      <c r="C17" s="177">
        <f>SUM('GENSET #1'!C22+'GENSET #2'!C22+'GENSET #3'!C22+'GENSET #4'!C22+'GENSET #5'!C22)</f>
        <v>102824210</v>
      </c>
      <c r="D17" s="184">
        <f t="shared" si="1"/>
        <v>22085</v>
      </c>
      <c r="E17" s="177">
        <f>'Gas-2'!G18</f>
        <v>270</v>
      </c>
      <c r="F17" s="184">
        <f t="shared" si="2"/>
        <v>45</v>
      </c>
      <c r="G17" s="185">
        <f>SUM(WATER!C18,WATER!H18,WATER!M18,WATER!R18)</f>
        <v>1141285</v>
      </c>
      <c r="H17" s="184">
        <f t="shared" si="3"/>
        <v>342</v>
      </c>
      <c r="I17" s="186">
        <v>12</v>
      </c>
      <c r="J17" s="186">
        <v>131</v>
      </c>
    </row>
    <row r="18" spans="1:17" ht="45" customHeight="1" x14ac:dyDescent="0.25">
      <c r="A18" s="183">
        <f t="shared" si="0"/>
        <v>44818</v>
      </c>
      <c r="B18" s="347"/>
      <c r="C18" s="177">
        <f>SUM('GENSET #1'!C23+'GENSET #2'!C23+'GENSET #3'!C23+'GENSET #4'!C23+'GENSET #5'!C23)</f>
        <v>102845474</v>
      </c>
      <c r="D18" s="184">
        <f t="shared" si="1"/>
        <v>21264</v>
      </c>
      <c r="E18" s="177">
        <f>'Gas-2'!G19</f>
        <v>225</v>
      </c>
      <c r="F18" s="184" t="str">
        <f t="shared" si="2"/>
        <v>0</v>
      </c>
      <c r="G18" s="185">
        <f>SUM(WATER!C19,WATER!H19,WATER!M19,WATER!R19)</f>
        <v>1141581</v>
      </c>
      <c r="H18" s="184">
        <f t="shared" si="3"/>
        <v>296</v>
      </c>
      <c r="I18" s="186">
        <v>13</v>
      </c>
      <c r="J18" s="186">
        <v>161</v>
      </c>
    </row>
    <row r="19" spans="1:17" ht="45" customHeight="1" x14ac:dyDescent="0.25">
      <c r="A19" s="183">
        <f t="shared" si="0"/>
        <v>44819</v>
      </c>
      <c r="B19" s="347"/>
      <c r="C19" s="177">
        <f>SUM('GENSET #1'!C24+'GENSET #2'!C24+'GENSET #3'!C24+'GENSET #4'!C24+'GENSET #5'!C24)</f>
        <v>102868274</v>
      </c>
      <c r="D19" s="184">
        <f t="shared" si="1"/>
        <v>22800</v>
      </c>
      <c r="E19" s="177">
        <f>'Gas-2'!G20</f>
        <v>225</v>
      </c>
      <c r="F19" s="184">
        <f t="shared" si="2"/>
        <v>0</v>
      </c>
      <c r="G19" s="185">
        <f>SUM(WATER!C20,WATER!H20,WATER!M20,WATER!R20)</f>
        <v>1141942</v>
      </c>
      <c r="H19" s="184">
        <f t="shared" si="3"/>
        <v>361</v>
      </c>
      <c r="I19" s="186">
        <v>12</v>
      </c>
      <c r="J19" s="186">
        <v>103</v>
      </c>
    </row>
    <row r="20" spans="1:17" ht="45" customHeight="1" x14ac:dyDescent="0.25">
      <c r="A20" s="183">
        <f t="shared" si="0"/>
        <v>44820</v>
      </c>
      <c r="B20" s="347"/>
      <c r="C20" s="177">
        <f>SUM('GENSET #1'!C25+'GENSET #2'!C25+'GENSET #3'!C25+'GENSET #4'!C25+'GENSET #5'!C25)</f>
        <v>102890139</v>
      </c>
      <c r="D20" s="184">
        <f t="shared" si="1"/>
        <v>21865</v>
      </c>
      <c r="E20" s="177">
        <f>'Gas-2'!G21</f>
        <v>180</v>
      </c>
      <c r="F20" s="184" t="str">
        <f t="shared" si="2"/>
        <v>0</v>
      </c>
      <c r="G20" s="185">
        <f>SUM(WATER!C21,WATER!H21,WATER!M21,WATER!R21)</f>
        <v>1142312</v>
      </c>
      <c r="H20" s="184">
        <f t="shared" si="3"/>
        <v>370</v>
      </c>
      <c r="I20" s="186">
        <v>15</v>
      </c>
      <c r="J20" s="186">
        <v>156</v>
      </c>
    </row>
    <row r="21" spans="1:17" ht="45" customHeight="1" x14ac:dyDescent="0.25">
      <c r="A21" s="183">
        <f t="shared" si="0"/>
        <v>44821</v>
      </c>
      <c r="B21" s="347"/>
      <c r="C21" s="177">
        <f>SUM('GENSET #1'!C26+'GENSET #2'!C26+'GENSET #3'!C26+'GENSET #4'!C26+'GENSET #5'!C26)</f>
        <v>102912807</v>
      </c>
      <c r="D21" s="184">
        <f t="shared" si="1"/>
        <v>22668</v>
      </c>
      <c r="E21" s="177">
        <f>'Gas-2'!G22</f>
        <v>270</v>
      </c>
      <c r="F21" s="184">
        <f t="shared" si="2"/>
        <v>90</v>
      </c>
      <c r="G21" s="185">
        <f>SUM(WATER!C22,WATER!H22,WATER!M22,WATER!R22)</f>
        <v>1142657</v>
      </c>
      <c r="H21" s="184">
        <f t="shared" si="3"/>
        <v>345</v>
      </c>
      <c r="I21" s="186">
        <v>16</v>
      </c>
      <c r="J21" s="186">
        <v>125</v>
      </c>
    </row>
    <row r="22" spans="1:17" ht="45" customHeight="1" x14ac:dyDescent="0.25">
      <c r="A22" s="183">
        <f t="shared" si="0"/>
        <v>44822</v>
      </c>
      <c r="B22" s="347"/>
      <c r="C22" s="177">
        <f>SUM('GENSET #1'!C27+'GENSET #2'!C27+'GENSET #3'!C27+'GENSET #4'!C27+'GENSET #5'!C27)</f>
        <v>102935236</v>
      </c>
      <c r="D22" s="184">
        <f t="shared" si="1"/>
        <v>22429</v>
      </c>
      <c r="E22" s="177">
        <f>'Gas-2'!G23</f>
        <v>270</v>
      </c>
      <c r="F22" s="184">
        <f t="shared" si="2"/>
        <v>0</v>
      </c>
      <c r="G22" s="185">
        <f>SUM(WATER!C23,WATER!H23,WATER!M23,WATER!R23)</f>
        <v>1143007</v>
      </c>
      <c r="H22" s="184">
        <f t="shared" si="3"/>
        <v>350</v>
      </c>
      <c r="I22" s="186">
        <v>17</v>
      </c>
      <c r="J22" s="186">
        <v>131</v>
      </c>
    </row>
    <row r="23" spans="1:17" ht="45" customHeight="1" x14ac:dyDescent="0.25">
      <c r="A23" s="183">
        <f t="shared" si="0"/>
        <v>44823</v>
      </c>
      <c r="B23" s="347"/>
      <c r="C23" s="177">
        <f>SUM('GENSET #1'!C28+'GENSET #2'!C28+'GENSET #3'!C28+'GENSET #4'!C28+'GENSET #5'!C28)</f>
        <v>102958697</v>
      </c>
      <c r="D23" s="184">
        <f>IF((C23-C22&lt;0), "0",C23-C22)</f>
        <v>23461</v>
      </c>
      <c r="E23" s="177">
        <f>'Gas-2'!G24</f>
        <v>270</v>
      </c>
      <c r="F23" s="184">
        <f t="shared" si="2"/>
        <v>0</v>
      </c>
      <c r="G23" s="185">
        <f>SUM(WATER!C24,WATER!H24,WATER!M24,WATER!R24)</f>
        <v>1143346</v>
      </c>
      <c r="H23" s="184">
        <f t="shared" si="3"/>
        <v>339</v>
      </c>
      <c r="I23" s="186">
        <v>15.5</v>
      </c>
      <c r="J23" s="186">
        <v>118</v>
      </c>
    </row>
    <row r="24" spans="1:17" ht="45" customHeight="1" x14ac:dyDescent="0.25">
      <c r="A24" s="183">
        <f t="shared" si="0"/>
        <v>44824</v>
      </c>
      <c r="B24" s="347"/>
      <c r="C24" s="177">
        <f>SUM('GENSET #1'!C29+'GENSET #2'!C29+'GENSET #3'!C29+'GENSET #4'!C29+'GENSET #5'!C29)</f>
        <v>102980793</v>
      </c>
      <c r="D24" s="184">
        <f t="shared" ref="D24:D33" si="4">IF((C24-C23&lt;0), "0",C24-C23)</f>
        <v>22096</v>
      </c>
      <c r="E24" s="177">
        <f>'Gas-2'!G25</f>
        <v>315</v>
      </c>
      <c r="F24" s="184">
        <f t="shared" si="2"/>
        <v>45</v>
      </c>
      <c r="G24" s="185">
        <f>SUM(WATER!C25,WATER!H25,WATER!M25,WATER!R25)</f>
        <v>1143673</v>
      </c>
      <c r="H24" s="184">
        <f t="shared" si="3"/>
        <v>327</v>
      </c>
      <c r="I24" s="186">
        <v>12.6</v>
      </c>
      <c r="J24" s="186">
        <v>83</v>
      </c>
      <c r="Q24" s="341">
        <v>6348755</v>
      </c>
    </row>
    <row r="25" spans="1:17" ht="45" customHeight="1" x14ac:dyDescent="0.25">
      <c r="A25" s="183">
        <f t="shared" si="0"/>
        <v>44825</v>
      </c>
      <c r="B25" s="347"/>
      <c r="C25" s="177">
        <f>SUM('GENSET #1'!C30+'GENSET #2'!C30+'GENSET #3'!C30+'GENSET #4'!C30+'GENSET #5'!C30)</f>
        <v>103001486</v>
      </c>
      <c r="D25" s="184">
        <f t="shared" si="4"/>
        <v>20693</v>
      </c>
      <c r="E25" s="177">
        <f>'Gas-2'!G26</f>
        <v>270</v>
      </c>
      <c r="F25" s="184" t="str">
        <f t="shared" si="2"/>
        <v>0</v>
      </c>
      <c r="G25" s="185">
        <f>SUM(WATER!C26,WATER!H26,WATER!M26,WATER!R26)</f>
        <v>1143912</v>
      </c>
      <c r="H25" s="184">
        <f t="shared" si="3"/>
        <v>239</v>
      </c>
      <c r="I25" s="186">
        <v>21.4</v>
      </c>
      <c r="J25" s="186">
        <v>121</v>
      </c>
    </row>
    <row r="26" spans="1:17" ht="45" customHeight="1" x14ac:dyDescent="0.25">
      <c r="A26" s="183">
        <f t="shared" si="0"/>
        <v>44826</v>
      </c>
      <c r="B26" s="347"/>
      <c r="C26" s="177">
        <f>SUM('GENSET #1'!C31+'GENSET #2'!C31+'GENSET #3'!C31+'GENSET #4'!C31+'GENSET #5'!C31)</f>
        <v>103022772</v>
      </c>
      <c r="D26" s="184">
        <f t="shared" si="4"/>
        <v>21286</v>
      </c>
      <c r="E26" s="177">
        <f>'Gas-2'!G27</f>
        <v>225</v>
      </c>
      <c r="F26" s="184" t="str">
        <f t="shared" si="2"/>
        <v>0</v>
      </c>
      <c r="G26" s="185">
        <f>SUM(WATER!C27,WATER!H27,WATER!M27,WATER!R27)</f>
        <v>1144097</v>
      </c>
      <c r="H26" s="184">
        <f t="shared" si="3"/>
        <v>185</v>
      </c>
      <c r="I26" s="186">
        <v>26.2</v>
      </c>
      <c r="J26" s="186">
        <v>116</v>
      </c>
    </row>
    <row r="27" spans="1:17" ht="45" customHeight="1" x14ac:dyDescent="0.25">
      <c r="A27" s="183">
        <f t="shared" si="0"/>
        <v>44827</v>
      </c>
      <c r="B27" s="347"/>
      <c r="C27" s="177">
        <f>SUM('GENSET #1'!C32+'GENSET #2'!C32+'GENSET #3'!C32+'GENSET #4'!C32+'GENSET #5'!C32)</f>
        <v>103045638</v>
      </c>
      <c r="D27" s="184">
        <f t="shared" si="4"/>
        <v>22866</v>
      </c>
      <c r="E27" s="177">
        <f>'Gas-2'!G28</f>
        <v>225</v>
      </c>
      <c r="F27" s="184">
        <f t="shared" si="2"/>
        <v>0</v>
      </c>
      <c r="G27" s="185">
        <f>SUM(WATER!C28,WATER!H28,WATER!M28,WATER!R28)</f>
        <v>1144385</v>
      </c>
      <c r="H27" s="184">
        <f t="shared" si="3"/>
        <v>288</v>
      </c>
      <c r="I27" s="186">
        <v>26.2</v>
      </c>
      <c r="J27" s="186">
        <v>196</v>
      </c>
    </row>
    <row r="28" spans="1:17" ht="45" customHeight="1" x14ac:dyDescent="0.25">
      <c r="A28" s="183">
        <f t="shared" si="0"/>
        <v>44828</v>
      </c>
      <c r="B28" s="347"/>
      <c r="C28" s="177">
        <f>SUM('GENSET #1'!C33+'GENSET #2'!C33+'GENSET #3'!C33+'GENSET #4'!C33+'GENSET #5'!C33)</f>
        <v>103069797</v>
      </c>
      <c r="D28" s="184">
        <f t="shared" si="4"/>
        <v>24159</v>
      </c>
      <c r="E28" s="177">
        <f>'Gas-2'!G29</f>
        <v>270</v>
      </c>
      <c r="F28" s="184">
        <f t="shared" si="2"/>
        <v>45</v>
      </c>
      <c r="G28" s="185">
        <f>SUM(WATER!C29,WATER!H29,WATER!M29,WATER!R29)</f>
        <v>1144695</v>
      </c>
      <c r="H28" s="184">
        <f t="shared" si="3"/>
        <v>310</v>
      </c>
      <c r="I28" s="186">
        <v>26.2</v>
      </c>
      <c r="J28" s="186">
        <v>179</v>
      </c>
    </row>
    <row r="29" spans="1:17" ht="45" customHeight="1" x14ac:dyDescent="0.25">
      <c r="A29" s="183">
        <f t="shared" si="0"/>
        <v>44829</v>
      </c>
      <c r="B29" s="347"/>
      <c r="C29" s="177">
        <f>SUM('GENSET #1'!C34+'GENSET #2'!C34+'GENSET #3'!C34+'GENSET #4'!C34+'GENSET #5'!C34)</f>
        <v>103094912</v>
      </c>
      <c r="D29" s="184">
        <f t="shared" si="4"/>
        <v>25115</v>
      </c>
      <c r="E29" s="177">
        <f>'Gas-2'!G30</f>
        <v>180</v>
      </c>
      <c r="F29" s="184" t="str">
        <f t="shared" si="2"/>
        <v>0</v>
      </c>
      <c r="G29" s="185">
        <f>SUM(WATER!C30,WATER!H30,WATER!M30,WATER!R30)</f>
        <v>1145023</v>
      </c>
      <c r="H29" s="184">
        <f t="shared" si="3"/>
        <v>328</v>
      </c>
      <c r="I29" s="186">
        <v>23.8</v>
      </c>
      <c r="J29" s="186">
        <v>141</v>
      </c>
    </row>
    <row r="30" spans="1:17" ht="45" customHeight="1" x14ac:dyDescent="0.25">
      <c r="A30" s="183">
        <f t="shared" si="0"/>
        <v>44830</v>
      </c>
      <c r="B30" s="347"/>
      <c r="C30" s="177">
        <f>SUM('GENSET #1'!C35+'GENSET #2'!C35+'GENSET #3'!C35+'GENSET #4'!C35+'GENSET #5'!C35)</f>
        <v>103118207</v>
      </c>
      <c r="D30" s="184">
        <f t="shared" si="4"/>
        <v>23295</v>
      </c>
      <c r="E30" s="177">
        <f>'Gas-2'!G31</f>
        <v>225</v>
      </c>
      <c r="F30" s="184">
        <f t="shared" si="2"/>
        <v>45</v>
      </c>
      <c r="G30" s="185">
        <f>SUM(WATER!C31,WATER!H31,WATER!M31,WATER!R31)</f>
        <v>1145373</v>
      </c>
      <c r="H30" s="184">
        <f t="shared" si="3"/>
        <v>350</v>
      </c>
      <c r="I30" s="186">
        <v>11.7</v>
      </c>
      <c r="J30" s="186">
        <v>93</v>
      </c>
    </row>
    <row r="31" spans="1:17" ht="45" customHeight="1" x14ac:dyDescent="0.25">
      <c r="A31" s="183">
        <f t="shared" si="0"/>
        <v>44831</v>
      </c>
      <c r="B31" s="347"/>
      <c r="C31" s="177">
        <f>SUM('GENSET #1'!C36+'GENSET #2'!C36+'GENSET #3'!C36+'GENSET #4'!C36+'GENSET #5'!C36)</f>
        <v>103142157</v>
      </c>
      <c r="D31" s="184">
        <f t="shared" si="4"/>
        <v>23950</v>
      </c>
      <c r="E31" s="177">
        <f>'Gas-2'!G32</f>
        <v>270</v>
      </c>
      <c r="F31" s="184">
        <f t="shared" si="2"/>
        <v>45</v>
      </c>
      <c r="G31" s="185">
        <f>SUM(WATER!C32,WATER!H32,WATER!M32,WATER!R32)</f>
        <v>1145670</v>
      </c>
      <c r="H31" s="184">
        <f t="shared" si="3"/>
        <v>297</v>
      </c>
      <c r="I31" s="186">
        <v>14.6</v>
      </c>
      <c r="J31" s="186">
        <v>115</v>
      </c>
    </row>
    <row r="32" spans="1:17" ht="45" customHeight="1" x14ac:dyDescent="0.25">
      <c r="A32" s="183">
        <f t="shared" si="0"/>
        <v>44832</v>
      </c>
      <c r="B32" s="347"/>
      <c r="C32" s="177">
        <f>SUM('GENSET #1'!C37+'GENSET #2'!C37+'GENSET #3'!C37+'GENSET #4'!C37+'GENSET #5'!C37)</f>
        <v>103165249</v>
      </c>
      <c r="D32" s="184">
        <f t="shared" si="4"/>
        <v>23092</v>
      </c>
      <c r="E32" s="177">
        <f>'Gas-2'!G33</f>
        <v>180</v>
      </c>
      <c r="F32" s="184" t="str">
        <f t="shared" si="2"/>
        <v>0</v>
      </c>
      <c r="G32" s="185">
        <f>SUM(WATER!C33,WATER!H33,WATER!M33,WATER!R33)</f>
        <v>1145960</v>
      </c>
      <c r="H32" s="184">
        <f t="shared" si="3"/>
        <v>290</v>
      </c>
      <c r="I32" s="317">
        <v>16.5</v>
      </c>
      <c r="J32" s="186">
        <v>125</v>
      </c>
    </row>
    <row r="33" spans="1:10" ht="36" customHeight="1" x14ac:dyDescent="0.25">
      <c r="A33" s="183">
        <f t="shared" si="0"/>
        <v>44833</v>
      </c>
      <c r="C33" s="177">
        <f>SUM('GENSET #1'!C38+'GENSET #2'!C38+'GENSET #3'!C38+'GENSET #4'!C38+'GENSET #5'!C38)</f>
        <v>103189401</v>
      </c>
      <c r="D33" s="184">
        <f t="shared" si="4"/>
        <v>24152</v>
      </c>
      <c r="E33" s="177">
        <f>'Gas-2'!G34</f>
        <v>270</v>
      </c>
      <c r="F33" s="184">
        <f t="shared" si="2"/>
        <v>90</v>
      </c>
      <c r="G33" s="185">
        <f>SUM(WATER!C34,WATER!H34,WATER!M34,WATER!R34)</f>
        <v>1146333</v>
      </c>
      <c r="H33" s="184">
        <f t="shared" si="3"/>
        <v>373</v>
      </c>
      <c r="I33" s="186">
        <v>17.5</v>
      </c>
      <c r="J33" s="186">
        <v>143</v>
      </c>
    </row>
    <row r="34" spans="1:10" ht="36" customHeight="1" x14ac:dyDescent="0.25">
      <c r="A34" s="183">
        <f t="shared" si="0"/>
        <v>44834</v>
      </c>
      <c r="C34" s="177">
        <f>SUM('GENSET #1'!C39+'GENSET #2'!C39+'GENSET #3'!C39+'GENSET #4'!C39+'GENSET #5'!C39)</f>
        <v>103210660</v>
      </c>
      <c r="D34" s="184">
        <f t="shared" ref="D34:D35" si="5">IF((C34-C33&lt;0), "0",C34-C33)</f>
        <v>21259</v>
      </c>
      <c r="E34" s="177">
        <f>'Gas-2'!G35</f>
        <v>225</v>
      </c>
      <c r="F34" s="184" t="str">
        <f t="shared" ref="F34:F35" si="6">IF((E34-E33&lt;0), "0",E34-E33)</f>
        <v>0</v>
      </c>
      <c r="G34" s="185">
        <f>SUM(WATER!C35,WATER!H35,WATER!M35,WATER!R35)</f>
        <v>1146602</v>
      </c>
      <c r="H34" s="184">
        <f t="shared" ref="H34:H35" si="7">IF((G34-G33&lt;0), "0",G34-G33)</f>
        <v>269</v>
      </c>
      <c r="I34" s="186"/>
      <c r="J34" s="186"/>
    </row>
    <row r="35" spans="1:10" ht="45.6" customHeight="1" x14ac:dyDescent="0.25">
      <c r="A35" s="183">
        <f t="shared" si="0"/>
        <v>44835</v>
      </c>
      <c r="C35" s="177">
        <f>SUM('GENSET #1'!C40+'GENSET #2'!C40+'GENSET #3'!C40+'GENSET #4'!C40+'GENSET #5'!C40)</f>
        <v>0</v>
      </c>
      <c r="D35" s="184" t="str">
        <f t="shared" si="5"/>
        <v>0</v>
      </c>
      <c r="E35" s="177">
        <f>'Gas-2'!G36</f>
        <v>0</v>
      </c>
      <c r="F35" s="184" t="str">
        <f t="shared" si="6"/>
        <v>0</v>
      </c>
      <c r="G35" s="185">
        <f>SUM(WATER!C36,WATER!H36,WATER!M36,WATER!R36)</f>
        <v>0</v>
      </c>
      <c r="H35" s="184" t="str">
        <f t="shared" si="7"/>
        <v>0</v>
      </c>
      <c r="I35" s="186"/>
      <c r="J35" s="186"/>
    </row>
    <row r="36" spans="1:10" ht="16.5" x14ac:dyDescent="0.25">
      <c r="C36" s="177"/>
      <c r="D36" s="184"/>
      <c r="E36" s="177"/>
      <c r="F36" s="184"/>
      <c r="G36" s="185"/>
      <c r="H36" s="18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zoomScaleNormal="100" workbookViewId="0">
      <selection activeCell="D37" sqref="D37"/>
    </sheetView>
  </sheetViews>
  <sheetFormatPr defaultRowHeight="12.75" x14ac:dyDescent="0.2"/>
  <cols>
    <col min="1" max="1" width="9.5703125" style="93" customWidth="1"/>
    <col min="2" max="2" width="15.5703125" style="17" customWidth="1"/>
    <col min="3" max="3" width="13.5703125" style="17" bestFit="1" customWidth="1"/>
    <col min="4" max="4" width="18.5703125" style="111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55" t="s">
        <v>0</v>
      </c>
      <c r="B1" s="355"/>
      <c r="C1" s="355"/>
      <c r="D1" s="355"/>
      <c r="E1" s="355"/>
      <c r="F1" s="355"/>
    </row>
    <row r="2" spans="1:10" x14ac:dyDescent="0.2">
      <c r="A2" s="5"/>
      <c r="E2" s="114"/>
    </row>
    <row r="3" spans="1:10" x14ac:dyDescent="0.2">
      <c r="A3" s="5" t="s">
        <v>1</v>
      </c>
      <c r="B3" s="75" t="s">
        <v>2</v>
      </c>
      <c r="C3" s="75"/>
      <c r="D3" s="112"/>
      <c r="E3" s="114"/>
      <c r="G3" s="276">
        <v>44470</v>
      </c>
      <c r="H3" s="277">
        <f ca="1">NOW()</f>
        <v>44979.431027662038</v>
      </c>
      <c r="I3" s="277"/>
      <c r="J3" s="90">
        <f ca="1">H3-G3</f>
        <v>509.4310276620381</v>
      </c>
    </row>
    <row r="4" spans="1:10" x14ac:dyDescent="0.2">
      <c r="A4" s="5" t="s">
        <v>3</v>
      </c>
      <c r="B4" s="77">
        <v>44806</v>
      </c>
      <c r="C4" s="77"/>
      <c r="D4" s="109"/>
      <c r="E4" s="114"/>
    </row>
    <row r="5" spans="1:10" x14ac:dyDescent="0.2">
      <c r="A5" s="5" t="s">
        <v>4</v>
      </c>
      <c r="B5" s="23">
        <v>2022</v>
      </c>
      <c r="C5" s="23"/>
      <c r="D5" s="109"/>
      <c r="E5" s="114"/>
    </row>
    <row r="6" spans="1:10" x14ac:dyDescent="0.2">
      <c r="E6" s="354"/>
      <c r="F6" s="354"/>
    </row>
    <row r="7" spans="1:10" ht="51" x14ac:dyDescent="0.2">
      <c r="A7" s="105" t="s">
        <v>5</v>
      </c>
      <c r="B7" s="106" t="s">
        <v>83</v>
      </c>
      <c r="C7" s="106" t="s">
        <v>84</v>
      </c>
      <c r="D7" s="107" t="s">
        <v>85</v>
      </c>
      <c r="E7" s="108" t="s">
        <v>82</v>
      </c>
      <c r="F7" s="106" t="s">
        <v>6</v>
      </c>
      <c r="G7" s="106" t="s">
        <v>119</v>
      </c>
      <c r="H7" s="106" t="s">
        <v>121</v>
      </c>
      <c r="I7" s="106" t="s">
        <v>148</v>
      </c>
      <c r="J7" s="106" t="s">
        <v>134</v>
      </c>
    </row>
    <row r="8" spans="1:10" ht="15.75" customHeight="1" x14ac:dyDescent="0.2">
      <c r="A8" s="61">
        <v>1</v>
      </c>
      <c r="B8" s="95">
        <f>SUM('GENSET #1:GENSET #5'!D10)</f>
        <v>20108</v>
      </c>
      <c r="C8" s="95">
        <f>'Diesel consumption'!D5</f>
        <v>5680</v>
      </c>
      <c r="D8" s="113">
        <f>'SOLAR METER READING'!D9</f>
        <v>1894</v>
      </c>
      <c r="E8" s="110">
        <f>'Gas-2'!G6</f>
        <v>270</v>
      </c>
      <c r="F8" s="95">
        <f>WATER!V6</f>
        <v>303</v>
      </c>
      <c r="G8" s="292">
        <f>WATER!W6</f>
        <v>13.6</v>
      </c>
      <c r="H8" s="17">
        <f>'SOLAR METER READING'!E9</f>
        <v>0</v>
      </c>
      <c r="I8" s="75">
        <f>'SOLAR METER READING'!F9</f>
        <v>0</v>
      </c>
    </row>
    <row r="9" spans="1:10" ht="15.75" customHeight="1" x14ac:dyDescent="0.2">
      <c r="A9" s="61">
        <v>2</v>
      </c>
      <c r="B9" s="95">
        <f>SUM('GENSET #1:GENSET #5'!D11)</f>
        <v>20636</v>
      </c>
      <c r="C9" s="95">
        <f>'Diesel consumption'!D6</f>
        <v>5720</v>
      </c>
      <c r="D9" s="113">
        <f>'SOLAR METER READING'!D10</f>
        <v>2774</v>
      </c>
      <c r="E9" s="110">
        <f>'Gas-2'!G7</f>
        <v>270</v>
      </c>
      <c r="F9" s="95">
        <f>WATER!V7</f>
        <v>320</v>
      </c>
      <c r="G9" s="292">
        <f>WATER!W7</f>
        <v>14.6</v>
      </c>
      <c r="H9" s="17">
        <f>'SOLAR METER READING'!E10</f>
        <v>0</v>
      </c>
      <c r="I9" s="75">
        <f>'SOLAR METER READING'!F10</f>
        <v>0</v>
      </c>
      <c r="J9" s="275">
        <f>B9-B8</f>
        <v>528</v>
      </c>
    </row>
    <row r="10" spans="1:10" ht="15.75" customHeight="1" x14ac:dyDescent="0.2">
      <c r="A10" s="61">
        <v>3</v>
      </c>
      <c r="B10" s="95">
        <f>SUM('GENSET #1:GENSET #5'!D12)</f>
        <v>20596</v>
      </c>
      <c r="C10" s="95">
        <f>'Diesel consumption'!D7</f>
        <v>5750</v>
      </c>
      <c r="D10" s="113">
        <f>'SOLAR METER READING'!D11</f>
        <v>2811</v>
      </c>
      <c r="E10" s="110">
        <f>'Gas-2'!G8</f>
        <v>225</v>
      </c>
      <c r="F10" s="95">
        <f>WATER!V8</f>
        <v>324</v>
      </c>
      <c r="G10" s="292">
        <f>WATER!W8</f>
        <v>14.6</v>
      </c>
      <c r="H10" s="17">
        <f>'SOLAR METER READING'!E11</f>
        <v>0</v>
      </c>
      <c r="I10" s="75">
        <f>'SOLAR METER READING'!F11</f>
        <v>0</v>
      </c>
      <c r="J10" s="275">
        <f t="shared" ref="J10:J36" si="0">B10-B9</f>
        <v>-40</v>
      </c>
    </row>
    <row r="11" spans="1:10" ht="15.75" customHeight="1" x14ac:dyDescent="0.2">
      <c r="A11" s="61">
        <v>4</v>
      </c>
      <c r="B11" s="95">
        <f>SUM('GENSET #1:GENSET #5'!D13)</f>
        <v>21482</v>
      </c>
      <c r="C11" s="95">
        <f>'Diesel consumption'!D8</f>
        <v>6090</v>
      </c>
      <c r="D11" s="113">
        <f>'SOLAR METER READING'!D12</f>
        <v>2109</v>
      </c>
      <c r="E11" s="110">
        <f>'Gas-2'!G9</f>
        <v>270</v>
      </c>
      <c r="F11" s="95">
        <f>WATER!V9</f>
        <v>299</v>
      </c>
      <c r="G11" s="292">
        <f>WATER!W9</f>
        <v>10.7</v>
      </c>
      <c r="H11" s="17">
        <f>'SOLAR METER READING'!E12</f>
        <v>0</v>
      </c>
      <c r="I11" s="75">
        <f>'SOLAR METER READING'!F12</f>
        <v>0</v>
      </c>
      <c r="J11" s="275">
        <f t="shared" si="0"/>
        <v>886</v>
      </c>
    </row>
    <row r="12" spans="1:10" ht="15.75" customHeight="1" x14ac:dyDescent="0.2">
      <c r="A12" s="61">
        <v>5</v>
      </c>
      <c r="B12" s="95">
        <f>SUM('GENSET #1:GENSET #5'!D14)</f>
        <v>20761</v>
      </c>
      <c r="C12" s="95">
        <f>'Diesel consumption'!D9</f>
        <v>5720</v>
      </c>
      <c r="D12" s="113">
        <f>'SOLAR METER READING'!D13</f>
        <v>879</v>
      </c>
      <c r="E12" s="110">
        <f>'Gas-2'!G10</f>
        <v>225</v>
      </c>
      <c r="F12" s="95">
        <f>WATER!V10</f>
        <v>265</v>
      </c>
      <c r="G12" s="292">
        <f>WATER!W10</f>
        <v>10.7</v>
      </c>
      <c r="H12" s="17">
        <f>'SOLAR METER READING'!E13</f>
        <v>0</v>
      </c>
      <c r="I12" s="75">
        <f>'SOLAR METER READING'!F13</f>
        <v>0</v>
      </c>
      <c r="J12" s="275">
        <f t="shared" si="0"/>
        <v>-721</v>
      </c>
    </row>
    <row r="13" spans="1:10" ht="15.75" customHeight="1" x14ac:dyDescent="0.2">
      <c r="A13" s="61">
        <v>6</v>
      </c>
      <c r="B13" s="95">
        <f>SUM('GENSET #1:GENSET #5'!D15)</f>
        <v>18935</v>
      </c>
      <c r="C13" s="95">
        <f>'Diesel consumption'!D10</f>
        <v>5840</v>
      </c>
      <c r="D13" s="113">
        <f>'SOLAR METER READING'!D14</f>
        <v>1771</v>
      </c>
      <c r="E13" s="110">
        <f>'Gas-2'!G11</f>
        <v>180</v>
      </c>
      <c r="F13" s="95">
        <f>WATER!V11</f>
        <v>303</v>
      </c>
      <c r="G13" s="292">
        <f>WATER!W11</f>
        <v>13.6</v>
      </c>
      <c r="H13" s="17">
        <f>'SOLAR METER READING'!E14</f>
        <v>0</v>
      </c>
      <c r="I13" s="75">
        <f>'SOLAR METER READING'!F14</f>
        <v>0</v>
      </c>
      <c r="J13" s="275">
        <f t="shared" si="0"/>
        <v>-1826</v>
      </c>
    </row>
    <row r="14" spans="1:10" ht="15.75" customHeight="1" x14ac:dyDescent="0.2">
      <c r="A14" s="61">
        <v>7</v>
      </c>
      <c r="B14" s="95">
        <f>SUM('GENSET #1:GENSET #5'!D16)</f>
        <v>21386</v>
      </c>
      <c r="C14" s="95">
        <f>'Diesel consumption'!D11</f>
        <v>5120</v>
      </c>
      <c r="D14" s="113">
        <f>'SOLAR METER READING'!D15</f>
        <v>2577</v>
      </c>
      <c r="E14" s="110">
        <f>'Gas-2'!G12</f>
        <v>315</v>
      </c>
      <c r="F14" s="95">
        <f>WATER!V12</f>
        <v>283</v>
      </c>
      <c r="G14" s="292">
        <f>WATER!W12</f>
        <v>13.6</v>
      </c>
      <c r="H14" s="17">
        <f>'SOLAR METER READING'!E15</f>
        <v>0</v>
      </c>
      <c r="I14" s="75">
        <f>'SOLAR METER READING'!F15</f>
        <v>0</v>
      </c>
      <c r="J14" s="275">
        <f t="shared" si="0"/>
        <v>2451</v>
      </c>
    </row>
    <row r="15" spans="1:10" ht="15.75" customHeight="1" x14ac:dyDescent="0.2">
      <c r="A15" s="61">
        <v>8</v>
      </c>
      <c r="B15" s="95">
        <f>SUM('GENSET #1:GENSET #5'!D17)</f>
        <v>21684</v>
      </c>
      <c r="C15" s="95">
        <f>'Diesel consumption'!D12</f>
        <v>6130</v>
      </c>
      <c r="D15" s="113">
        <f>'SOLAR METER READING'!D16</f>
        <v>2807</v>
      </c>
      <c r="E15" s="110">
        <f>'Gas-2'!G13</f>
        <v>225</v>
      </c>
      <c r="F15" s="95">
        <f>WATER!V13</f>
        <v>288</v>
      </c>
      <c r="G15" s="292">
        <f>WATER!W13</f>
        <v>15</v>
      </c>
      <c r="H15" s="17">
        <f>'SOLAR METER READING'!E16</f>
        <v>0</v>
      </c>
      <c r="I15" s="75">
        <f>'SOLAR METER READING'!F16</f>
        <v>0</v>
      </c>
      <c r="J15" s="275">
        <f t="shared" si="0"/>
        <v>298</v>
      </c>
    </row>
    <row r="16" spans="1:10" ht="15.75" customHeight="1" x14ac:dyDescent="0.2">
      <c r="A16" s="61">
        <v>9</v>
      </c>
      <c r="B16" s="95">
        <f>SUM('GENSET #1:GENSET #5'!D18)</f>
        <v>21231</v>
      </c>
      <c r="C16" s="95">
        <f>'Diesel consumption'!D13</f>
        <v>5750</v>
      </c>
      <c r="D16" s="113">
        <f>'SOLAR METER READING'!D17</f>
        <v>3178</v>
      </c>
      <c r="E16" s="110">
        <f>'Gas-2'!G14</f>
        <v>225</v>
      </c>
      <c r="F16" s="95">
        <f>WATER!V14</f>
        <v>429</v>
      </c>
      <c r="G16" s="292">
        <f>WATER!W14</f>
        <v>12</v>
      </c>
      <c r="H16" s="17">
        <f>'SOLAR METER READING'!E17</f>
        <v>0</v>
      </c>
      <c r="I16" s="75">
        <f>'SOLAR METER READING'!F17</f>
        <v>0</v>
      </c>
      <c r="J16" s="275">
        <f t="shared" si="0"/>
        <v>-453</v>
      </c>
    </row>
    <row r="17" spans="1:10" ht="15.75" customHeight="1" x14ac:dyDescent="0.2">
      <c r="A17" s="61">
        <v>10</v>
      </c>
      <c r="B17" s="95">
        <f>SUM('GENSET #1:GENSET #5'!D19)</f>
        <v>22183</v>
      </c>
      <c r="C17" s="95">
        <f>'Diesel consumption'!D14</f>
        <v>6080</v>
      </c>
      <c r="D17" s="113">
        <f>'SOLAR METER READING'!D18</f>
        <v>3226</v>
      </c>
      <c r="E17" s="110">
        <f>'Gas-2'!G15</f>
        <v>270</v>
      </c>
      <c r="F17" s="95">
        <f>WATER!V15</f>
        <v>199</v>
      </c>
      <c r="G17" s="292">
        <f>WATER!W15</f>
        <v>12</v>
      </c>
      <c r="H17" s="17">
        <f>'SOLAR METER READING'!E18</f>
        <v>0</v>
      </c>
      <c r="I17" s="75">
        <f>'SOLAR METER READING'!F18</f>
        <v>0</v>
      </c>
      <c r="J17" s="275">
        <f t="shared" si="0"/>
        <v>952</v>
      </c>
    </row>
    <row r="18" spans="1:10" ht="15.75" customHeight="1" x14ac:dyDescent="0.2">
      <c r="A18" s="61">
        <v>11</v>
      </c>
      <c r="B18" s="95">
        <f>SUM('GENSET #1:GENSET #5'!D20)</f>
        <v>22242</v>
      </c>
      <c r="C18" s="95">
        <f>'Diesel consumption'!D15</f>
        <v>6250</v>
      </c>
      <c r="D18" s="113">
        <f>'SOLAR METER READING'!D19</f>
        <v>3172</v>
      </c>
      <c r="E18" s="110">
        <f>'Gas-2'!G16</f>
        <v>225</v>
      </c>
      <c r="F18" s="95">
        <f>WATER!V16</f>
        <v>319</v>
      </c>
      <c r="G18" s="292">
        <f>WATER!W16</f>
        <v>11</v>
      </c>
      <c r="H18" s="17">
        <f>'SOLAR METER READING'!E19</f>
        <v>0</v>
      </c>
      <c r="I18" s="75">
        <f>'SOLAR METER READING'!F19</f>
        <v>0</v>
      </c>
      <c r="J18" s="275">
        <f t="shared" si="0"/>
        <v>59</v>
      </c>
    </row>
    <row r="19" spans="1:10" ht="15.75" customHeight="1" x14ac:dyDescent="0.2">
      <c r="A19" s="61">
        <v>12</v>
      </c>
      <c r="B19" s="95">
        <f>SUM('GENSET #1:GENSET #5'!D21)</f>
        <v>22436</v>
      </c>
      <c r="C19" s="95">
        <f>'Diesel consumption'!D16</f>
        <v>5990</v>
      </c>
      <c r="D19" s="113">
        <f>'SOLAR METER READING'!D20</f>
        <v>3237</v>
      </c>
      <c r="E19" s="110">
        <f>'Gas-2'!G17</f>
        <v>225</v>
      </c>
      <c r="F19" s="95">
        <f>WATER!V17</f>
        <v>302</v>
      </c>
      <c r="G19" s="292">
        <f>WATER!W17</f>
        <v>14</v>
      </c>
      <c r="H19" s="17">
        <f>'SOLAR METER READING'!E20</f>
        <v>0</v>
      </c>
      <c r="I19" s="75">
        <f>'SOLAR METER READING'!F20</f>
        <v>0</v>
      </c>
      <c r="J19" s="275">
        <f t="shared" si="0"/>
        <v>194</v>
      </c>
    </row>
    <row r="20" spans="1:10" ht="15.75" customHeight="1" x14ac:dyDescent="0.2">
      <c r="A20" s="61">
        <v>13</v>
      </c>
      <c r="B20" s="95">
        <f>SUM('GENSET #1:GENSET #5'!D22)</f>
        <v>22085</v>
      </c>
      <c r="C20" s="95">
        <f>'Diesel consumption'!D17</f>
        <v>6140</v>
      </c>
      <c r="D20" s="113">
        <f>'SOLAR METER READING'!D21</f>
        <v>3356</v>
      </c>
      <c r="E20" s="110">
        <f>'Gas-2'!G18</f>
        <v>270</v>
      </c>
      <c r="F20" s="95">
        <f>WATER!V18</f>
        <v>342</v>
      </c>
      <c r="G20" s="292">
        <f>WATER!W18</f>
        <v>12</v>
      </c>
      <c r="H20" s="17">
        <f>'SOLAR METER READING'!E21</f>
        <v>0</v>
      </c>
      <c r="I20" s="75">
        <f>'SOLAR METER READING'!F21</f>
        <v>0</v>
      </c>
      <c r="J20" s="275">
        <f t="shared" si="0"/>
        <v>-351</v>
      </c>
    </row>
    <row r="21" spans="1:10" ht="15.75" customHeight="1" x14ac:dyDescent="0.2">
      <c r="A21" s="61">
        <v>14</v>
      </c>
      <c r="B21" s="95">
        <f>SUM('GENSET #1:GENSET #5'!D23)</f>
        <v>21264</v>
      </c>
      <c r="C21" s="95">
        <f>'Diesel consumption'!D18</f>
        <v>6090</v>
      </c>
      <c r="D21" s="113">
        <f>'SOLAR METER READING'!D22</f>
        <v>3023</v>
      </c>
      <c r="E21" s="110">
        <f>'Gas-2'!G19</f>
        <v>225</v>
      </c>
      <c r="F21" s="95">
        <f>WATER!V19</f>
        <v>296</v>
      </c>
      <c r="G21" s="292">
        <f>WATER!W19</f>
        <v>13</v>
      </c>
      <c r="H21" s="17">
        <f>'SOLAR METER READING'!E22</f>
        <v>0</v>
      </c>
      <c r="I21" s="75">
        <f>'SOLAR METER READING'!F22</f>
        <v>0</v>
      </c>
      <c r="J21" s="275">
        <f t="shared" si="0"/>
        <v>-821</v>
      </c>
    </row>
    <row r="22" spans="1:10" ht="15.75" customHeight="1" x14ac:dyDescent="0.2">
      <c r="A22" s="61">
        <v>15</v>
      </c>
      <c r="B22" s="95">
        <f>SUM('GENSET #1:GENSET #5'!D24)</f>
        <v>22800</v>
      </c>
      <c r="C22" s="95">
        <f>'Diesel consumption'!D19</f>
        <v>6450</v>
      </c>
      <c r="D22" s="113">
        <f>'SOLAR METER READING'!D23</f>
        <v>2910</v>
      </c>
      <c r="E22" s="110">
        <f>'Gas-2'!G20</f>
        <v>225</v>
      </c>
      <c r="F22" s="95">
        <f>WATER!V20</f>
        <v>361</v>
      </c>
      <c r="G22" s="292">
        <f>WATER!W20</f>
        <v>12</v>
      </c>
      <c r="H22" s="17">
        <f>'SOLAR METER READING'!E23</f>
        <v>0</v>
      </c>
      <c r="I22" s="75">
        <f>'SOLAR METER READING'!F23</f>
        <v>0</v>
      </c>
      <c r="J22" s="275">
        <f t="shared" si="0"/>
        <v>1536</v>
      </c>
    </row>
    <row r="23" spans="1:10" ht="15.75" customHeight="1" x14ac:dyDescent="0.2">
      <c r="A23" s="61">
        <v>16</v>
      </c>
      <c r="B23" s="95">
        <f>SUM('GENSET #1:GENSET #5'!D25)</f>
        <v>21865</v>
      </c>
      <c r="C23" s="95">
        <f>'Diesel consumption'!D20</f>
        <v>6200</v>
      </c>
      <c r="D23" s="113">
        <f>'SOLAR METER READING'!D24</f>
        <v>3105</v>
      </c>
      <c r="E23" s="110">
        <f>'Gas-2'!G21</f>
        <v>180</v>
      </c>
      <c r="F23" s="95">
        <f>WATER!V21</f>
        <v>370</v>
      </c>
      <c r="G23" s="292">
        <f>WATER!W21</f>
        <v>15</v>
      </c>
      <c r="H23" s="17">
        <f>'SOLAR METER READING'!E24</f>
        <v>0</v>
      </c>
      <c r="I23" s="75">
        <f>'SOLAR METER READING'!F24</f>
        <v>0</v>
      </c>
      <c r="J23" s="275">
        <f t="shared" si="0"/>
        <v>-935</v>
      </c>
    </row>
    <row r="24" spans="1:10" ht="15.75" customHeight="1" x14ac:dyDescent="0.2">
      <c r="A24" s="61">
        <v>17</v>
      </c>
      <c r="B24" s="95">
        <f>SUM('GENSET #1:GENSET #5'!D26)</f>
        <v>22668</v>
      </c>
      <c r="C24" s="95">
        <f>'Diesel consumption'!D21</f>
        <v>6300</v>
      </c>
      <c r="D24" s="113">
        <f>'SOLAR METER READING'!D25</f>
        <v>3385</v>
      </c>
      <c r="E24" s="110">
        <f>'Gas-2'!G22</f>
        <v>270</v>
      </c>
      <c r="F24" s="95">
        <f>WATER!V22</f>
        <v>345</v>
      </c>
      <c r="G24" s="292">
        <f>WATER!W22</f>
        <v>16</v>
      </c>
      <c r="H24" s="17">
        <f>'SOLAR METER READING'!E25</f>
        <v>0</v>
      </c>
      <c r="I24" s="75">
        <f>'SOLAR METER READING'!F25</f>
        <v>0</v>
      </c>
      <c r="J24" s="275">
        <f t="shared" si="0"/>
        <v>803</v>
      </c>
    </row>
    <row r="25" spans="1:10" ht="15.75" customHeight="1" x14ac:dyDescent="0.2">
      <c r="A25" s="61">
        <v>18</v>
      </c>
      <c r="B25" s="95">
        <f>SUM('GENSET #1:GENSET #5'!D27)</f>
        <v>22429</v>
      </c>
      <c r="C25" s="95">
        <f>'Diesel consumption'!D22</f>
        <v>6380</v>
      </c>
      <c r="D25" s="113">
        <f>'SOLAR METER READING'!D26</f>
        <v>3070</v>
      </c>
      <c r="E25" s="110">
        <f>'Gas-2'!G23</f>
        <v>270</v>
      </c>
      <c r="F25" s="95">
        <f>WATER!V23</f>
        <v>350</v>
      </c>
      <c r="G25" s="292">
        <f>WATER!W23</f>
        <v>17</v>
      </c>
      <c r="H25" s="17">
        <f>'SOLAR METER READING'!E26</f>
        <v>0</v>
      </c>
      <c r="I25" s="75">
        <f>'SOLAR METER READING'!F26</f>
        <v>0</v>
      </c>
      <c r="J25" s="275">
        <f t="shared" si="0"/>
        <v>-239</v>
      </c>
    </row>
    <row r="26" spans="1:10" ht="15.75" customHeight="1" x14ac:dyDescent="0.2">
      <c r="A26" s="61">
        <v>19</v>
      </c>
      <c r="B26" s="95">
        <f>SUM('GENSET #1:GENSET #5'!D28)</f>
        <v>23461</v>
      </c>
      <c r="C26" s="95">
        <f>'Diesel consumption'!D23</f>
        <v>6600</v>
      </c>
      <c r="D26" s="113">
        <f>'SOLAR METER READING'!D27</f>
        <v>3158</v>
      </c>
      <c r="E26" s="110">
        <f>'Gas-2'!G24</f>
        <v>270</v>
      </c>
      <c r="F26" s="95">
        <f>WATER!V24</f>
        <v>339</v>
      </c>
      <c r="G26" s="292">
        <f>WATER!W24</f>
        <v>15.5</v>
      </c>
      <c r="H26" s="17">
        <f>'SOLAR METER READING'!E27</f>
        <v>0</v>
      </c>
      <c r="I26" s="75">
        <f>'SOLAR METER READING'!F27</f>
        <v>0</v>
      </c>
      <c r="J26" s="275">
        <f t="shared" si="0"/>
        <v>1032</v>
      </c>
    </row>
    <row r="27" spans="1:10" ht="15.75" customHeight="1" x14ac:dyDescent="0.2">
      <c r="A27" s="61">
        <v>20</v>
      </c>
      <c r="B27" s="95">
        <f>SUM('GENSET #1:GENSET #5'!D29)</f>
        <v>22096</v>
      </c>
      <c r="C27" s="95">
        <f>'Diesel consumption'!D24</f>
        <v>6320</v>
      </c>
      <c r="D27" s="113">
        <f>'SOLAR METER READING'!D28</f>
        <v>1431</v>
      </c>
      <c r="E27" s="110">
        <f>'Gas-2'!G25</f>
        <v>315</v>
      </c>
      <c r="F27" s="95">
        <f>WATER!V25</f>
        <v>327</v>
      </c>
      <c r="G27" s="292">
        <f>WATER!W25</f>
        <v>12.6</v>
      </c>
      <c r="H27" s="17">
        <f>'SOLAR METER READING'!E28</f>
        <v>0</v>
      </c>
      <c r="I27" s="75">
        <f>'SOLAR METER READING'!F28</f>
        <v>0</v>
      </c>
      <c r="J27" s="275">
        <f t="shared" si="0"/>
        <v>-1365</v>
      </c>
    </row>
    <row r="28" spans="1:10" ht="15.75" customHeight="1" x14ac:dyDescent="0.2">
      <c r="A28" s="61">
        <v>21</v>
      </c>
      <c r="B28" s="95">
        <f>SUM('GENSET #1:GENSET #5'!D30)</f>
        <v>20693</v>
      </c>
      <c r="C28" s="95">
        <f>'Diesel consumption'!D25</f>
        <v>5990</v>
      </c>
      <c r="D28" s="113">
        <f>'SOLAR METER READING'!D29</f>
        <v>3265</v>
      </c>
      <c r="E28" s="110">
        <f>'Gas-2'!G26</f>
        <v>270</v>
      </c>
      <c r="F28" s="95">
        <f>WATER!V26</f>
        <v>239</v>
      </c>
      <c r="G28" s="292">
        <f>WATER!W26</f>
        <v>21.4</v>
      </c>
      <c r="H28" s="17">
        <f>'SOLAR METER READING'!E29</f>
        <v>0</v>
      </c>
      <c r="I28" s="75">
        <f>'SOLAR METER READING'!F29</f>
        <v>0</v>
      </c>
      <c r="J28" s="275">
        <f t="shared" si="0"/>
        <v>-1403</v>
      </c>
    </row>
    <row r="29" spans="1:10" ht="15.75" customHeight="1" x14ac:dyDescent="0.2">
      <c r="A29" s="61">
        <v>22</v>
      </c>
      <c r="B29" s="95">
        <f>SUM('GENSET #1:GENSET #5'!D31)</f>
        <v>21286</v>
      </c>
      <c r="C29" s="95">
        <f>'Diesel consumption'!D26</f>
        <v>6050</v>
      </c>
      <c r="D29" s="113">
        <f>'SOLAR METER READING'!D30</f>
        <v>3371</v>
      </c>
      <c r="E29" s="110">
        <f>'Gas-2'!G27</f>
        <v>225</v>
      </c>
      <c r="F29" s="95">
        <f>WATER!V27</f>
        <v>185</v>
      </c>
      <c r="G29" s="292">
        <f>WATER!W27</f>
        <v>26.2</v>
      </c>
      <c r="H29" s="17">
        <f>'SOLAR METER READING'!E30</f>
        <v>0</v>
      </c>
      <c r="I29" s="75">
        <f>'SOLAR METER READING'!F30</f>
        <v>0</v>
      </c>
      <c r="J29" s="275">
        <f t="shared" si="0"/>
        <v>593</v>
      </c>
    </row>
    <row r="30" spans="1:10" ht="15.75" customHeight="1" x14ac:dyDescent="0.2">
      <c r="A30" s="61">
        <v>23</v>
      </c>
      <c r="B30" s="95">
        <f>SUM('GENSET #1:GENSET #5'!D32)</f>
        <v>22866</v>
      </c>
      <c r="C30" s="95">
        <f>'Diesel consumption'!D27</f>
        <v>6610</v>
      </c>
      <c r="D30" s="113">
        <f>'SOLAR METER READING'!D31</f>
        <v>3315</v>
      </c>
      <c r="E30" s="110">
        <f>'Gas-2'!G28</f>
        <v>225</v>
      </c>
      <c r="F30" s="95">
        <f>WATER!V28</f>
        <v>288</v>
      </c>
      <c r="G30" s="292">
        <f>WATER!W28</f>
        <v>26.2</v>
      </c>
      <c r="H30" s="17">
        <f>'SOLAR METER READING'!E31</f>
        <v>0</v>
      </c>
      <c r="I30" s="75">
        <f>'SOLAR METER READING'!F31</f>
        <v>0</v>
      </c>
      <c r="J30" s="275">
        <f t="shared" si="0"/>
        <v>1580</v>
      </c>
    </row>
    <row r="31" spans="1:10" ht="15.75" customHeight="1" x14ac:dyDescent="0.2">
      <c r="A31" s="61">
        <v>24</v>
      </c>
      <c r="B31" s="95">
        <f>SUM('GENSET #1:GENSET #5'!D33)</f>
        <v>24159</v>
      </c>
      <c r="C31" s="95">
        <f>'Diesel consumption'!D28</f>
        <v>6840</v>
      </c>
      <c r="D31" s="113">
        <f>'SOLAR METER READING'!D32</f>
        <v>3113</v>
      </c>
      <c r="E31" s="110">
        <f>'Gas-2'!G29</f>
        <v>270</v>
      </c>
      <c r="F31" s="95">
        <f>WATER!V29</f>
        <v>310</v>
      </c>
      <c r="G31" s="292">
        <f>WATER!W29</f>
        <v>26.2</v>
      </c>
      <c r="H31" s="17">
        <f>'SOLAR METER READING'!E32</f>
        <v>0</v>
      </c>
      <c r="I31" s="75">
        <f>'SOLAR METER READING'!F32</f>
        <v>0</v>
      </c>
      <c r="J31" s="275">
        <f t="shared" si="0"/>
        <v>1293</v>
      </c>
    </row>
    <row r="32" spans="1:10" ht="15.75" customHeight="1" x14ac:dyDescent="0.2">
      <c r="A32" s="61">
        <v>25</v>
      </c>
      <c r="B32" s="95">
        <f>SUM('GENSET #1:GENSET #5'!D34)</f>
        <v>25115</v>
      </c>
      <c r="C32" s="95">
        <f>'Diesel consumption'!D29</f>
        <v>7150</v>
      </c>
      <c r="D32" s="113">
        <f>'SOLAR METER READING'!D33</f>
        <v>2944</v>
      </c>
      <c r="E32" s="110">
        <f>'Gas-2'!G30</f>
        <v>180</v>
      </c>
      <c r="F32" s="95">
        <f>WATER!V30</f>
        <v>328</v>
      </c>
      <c r="G32" s="292">
        <f>WATER!W30</f>
        <v>23.8</v>
      </c>
      <c r="H32" s="17">
        <f>'SOLAR METER READING'!E33</f>
        <v>0</v>
      </c>
      <c r="I32" s="75">
        <f>'SOLAR METER READING'!F33</f>
        <v>0</v>
      </c>
      <c r="J32" s="275">
        <f t="shared" si="0"/>
        <v>956</v>
      </c>
    </row>
    <row r="33" spans="1:12" ht="15.75" customHeight="1" x14ac:dyDescent="0.2">
      <c r="A33" s="61">
        <v>26</v>
      </c>
      <c r="B33" s="115">
        <f>SUM('GENSET #1:GENSET #5'!D35)</f>
        <v>23295</v>
      </c>
      <c r="C33" s="95">
        <f>'Diesel consumption'!D30</f>
        <v>6720</v>
      </c>
      <c r="D33" s="113">
        <f>'SOLAR METER READING'!D34</f>
        <v>3103</v>
      </c>
      <c r="E33" s="110">
        <f>'Gas-2'!G31</f>
        <v>225</v>
      </c>
      <c r="F33" s="95">
        <f>WATER!V31</f>
        <v>350</v>
      </c>
      <c r="G33" s="292">
        <f>WATER!W31</f>
        <v>11.7</v>
      </c>
      <c r="H33" s="17">
        <f>'SOLAR METER READING'!E34</f>
        <v>0</v>
      </c>
      <c r="I33" s="75">
        <f>'SOLAR METER READING'!F34</f>
        <v>0</v>
      </c>
      <c r="J33" s="275">
        <f t="shared" si="0"/>
        <v>-1820</v>
      </c>
    </row>
    <row r="34" spans="1:12" ht="15.75" customHeight="1" x14ac:dyDescent="0.2">
      <c r="A34" s="61">
        <v>27</v>
      </c>
      <c r="B34" s="95">
        <f>SUM('GENSET #1:GENSET #5'!D36)</f>
        <v>23950</v>
      </c>
      <c r="C34" s="95">
        <f>'Diesel consumption'!D31</f>
        <v>6720</v>
      </c>
      <c r="D34" s="113">
        <f>'SOLAR METER READING'!D35</f>
        <v>3181</v>
      </c>
      <c r="E34" s="110">
        <f>'Gas-2'!G32</f>
        <v>270</v>
      </c>
      <c r="F34" s="95">
        <f>WATER!V32</f>
        <v>297</v>
      </c>
      <c r="G34" s="292">
        <f>WATER!W32</f>
        <v>14.6</v>
      </c>
      <c r="H34" s="17">
        <f>'SOLAR METER READING'!E35</f>
        <v>0</v>
      </c>
      <c r="I34" s="75">
        <f>'SOLAR METER READING'!F35</f>
        <v>0</v>
      </c>
      <c r="J34" s="275">
        <f t="shared" si="0"/>
        <v>655</v>
      </c>
    </row>
    <row r="35" spans="1:12" ht="15.75" customHeight="1" x14ac:dyDescent="0.2">
      <c r="A35" s="61">
        <v>28</v>
      </c>
      <c r="B35" s="95">
        <f>SUM('GENSET #1:GENSET #5'!D37)</f>
        <v>23092</v>
      </c>
      <c r="C35" s="95">
        <f>'Diesel consumption'!D32</f>
        <v>6690</v>
      </c>
      <c r="D35" s="113">
        <f>'SOLAR METER READING'!D36</f>
        <v>3182</v>
      </c>
      <c r="E35" s="110">
        <f>'Gas-2'!G33</f>
        <v>180</v>
      </c>
      <c r="F35" s="95">
        <f>WATER!V33</f>
        <v>290</v>
      </c>
      <c r="G35" s="292">
        <f>WATER!W33</f>
        <v>16.5</v>
      </c>
      <c r="H35" s="17">
        <f>'SOLAR METER READING'!E36</f>
        <v>0</v>
      </c>
      <c r="I35" s="75">
        <f>'SOLAR METER READING'!F36</f>
        <v>0</v>
      </c>
      <c r="J35" s="275">
        <f t="shared" si="0"/>
        <v>-858</v>
      </c>
    </row>
    <row r="36" spans="1:12" ht="15.75" customHeight="1" x14ac:dyDescent="0.2">
      <c r="A36" s="61">
        <v>29</v>
      </c>
      <c r="B36" s="95">
        <f>SUM('GENSET #1:GENSET #5'!D38)</f>
        <v>24152</v>
      </c>
      <c r="C36" s="95">
        <f>'Diesel consumption'!D33</f>
        <v>6850</v>
      </c>
      <c r="D36" s="113">
        <f>'SOLAR METER READING'!D37</f>
        <v>3173</v>
      </c>
      <c r="E36" s="110">
        <f>'Gas-2'!G34</f>
        <v>270</v>
      </c>
      <c r="F36" s="95">
        <f>WATER!V34</f>
        <v>373</v>
      </c>
      <c r="G36" s="292">
        <f>WATER!W34</f>
        <v>17.5</v>
      </c>
      <c r="H36" s="17">
        <f>'SOLAR METER READING'!E37</f>
        <v>0</v>
      </c>
      <c r="I36" s="75">
        <f>'SOLAR METER READING'!F37</f>
        <v>0</v>
      </c>
      <c r="J36" s="275">
        <f t="shared" si="0"/>
        <v>1060</v>
      </c>
    </row>
    <row r="37" spans="1:12" ht="15.75" customHeight="1" x14ac:dyDescent="0.2">
      <c r="A37" s="61">
        <v>30</v>
      </c>
      <c r="B37" s="95">
        <f>SUM('GENSET #1:GENSET #5'!D39)</f>
        <v>21259</v>
      </c>
      <c r="C37" s="95">
        <f>'Diesel consumption'!D34</f>
        <v>5960</v>
      </c>
      <c r="D37" s="113">
        <f>'SOLAR METER READING'!D38</f>
        <v>1749</v>
      </c>
      <c r="E37" s="110">
        <f>'Gas-2'!G35</f>
        <v>225</v>
      </c>
      <c r="F37" s="95">
        <f>WATER!V35</f>
        <v>269</v>
      </c>
      <c r="G37" s="292">
        <v>18</v>
      </c>
      <c r="H37" s="17">
        <f>'SOLAR METER READING'!E38</f>
        <v>0</v>
      </c>
      <c r="I37" s="75">
        <f>'SOLAR METER READING'!F38</f>
        <v>0</v>
      </c>
      <c r="J37" s="275">
        <f>B37-B36</f>
        <v>-2893</v>
      </c>
    </row>
    <row r="38" spans="1:12" ht="15.75" customHeight="1" x14ac:dyDescent="0.2">
      <c r="A38" s="61">
        <v>31</v>
      </c>
      <c r="B38" s="95">
        <f>SUM('GENSET #1:GENSET #5'!D40)</f>
        <v>0</v>
      </c>
      <c r="C38" s="95">
        <f>'Diesel consumption'!D35</f>
        <v>0</v>
      </c>
      <c r="D38" s="113">
        <f>'SOLAR METER READING'!D39</f>
        <v>0</v>
      </c>
      <c r="E38" s="110">
        <f>'Gas-2'!G36</f>
        <v>0</v>
      </c>
      <c r="F38" s="95">
        <f>WATER!V36</f>
        <v>0</v>
      </c>
      <c r="G38" s="292">
        <f>WATER!W36</f>
        <v>0</v>
      </c>
      <c r="H38" s="17">
        <f>'SOLAR METER READING'!E39</f>
        <v>0</v>
      </c>
      <c r="I38" s="75"/>
      <c r="J38" s="275"/>
    </row>
    <row r="39" spans="1:12" ht="18.75" customHeight="1" thickBot="1" x14ac:dyDescent="0.25">
      <c r="A39" s="93" t="s">
        <v>7</v>
      </c>
      <c r="B39" s="342">
        <f>SUM(B8:B38)</f>
        <v>662215</v>
      </c>
      <c r="C39" s="342">
        <f>SUM(C8:C38)</f>
        <v>186180</v>
      </c>
      <c r="D39" s="342">
        <f>SUM(D8:D38)</f>
        <v>84269</v>
      </c>
      <c r="E39" s="345">
        <f>SUM(E8:E38)</f>
        <v>7290</v>
      </c>
      <c r="F39" s="344">
        <f>SUM(F8:F38)</f>
        <v>9293</v>
      </c>
      <c r="G39" s="292">
        <f>SUM(G8:G37)/30</f>
        <v>15.686666666666666</v>
      </c>
      <c r="H39" s="17">
        <f>'SOLAR METER READING'!E40</f>
        <v>0</v>
      </c>
      <c r="I39" s="75">
        <f>'SOLAR METER READING'!F40</f>
        <v>0</v>
      </c>
      <c r="L39" s="92"/>
    </row>
    <row r="40" spans="1:12" ht="13.5" thickTop="1" x14ac:dyDescent="0.2">
      <c r="A40" s="93" t="s">
        <v>126</v>
      </c>
      <c r="B40" s="111">
        <f>B39/A41</f>
        <v>22073.833333333332</v>
      </c>
      <c r="C40" s="111">
        <f>C39/A41</f>
        <v>6206</v>
      </c>
      <c r="D40" s="111">
        <f>D39/A41</f>
        <v>2808.9666666666667</v>
      </c>
      <c r="E40" s="66">
        <f>E39/A41</f>
        <v>243</v>
      </c>
      <c r="F40" s="2">
        <f>F39/A41</f>
        <v>309.76666666666665</v>
      </c>
    </row>
    <row r="41" spans="1:12" x14ac:dyDescent="0.2">
      <c r="A41" s="339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3" zoomScaleNormal="100" workbookViewId="0">
      <selection activeCell="D39" sqref="D39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56" t="s">
        <v>16</v>
      </c>
      <c r="D1" s="356"/>
    </row>
    <row r="2" spans="1:6" x14ac:dyDescent="0.2">
      <c r="C2" s="356"/>
      <c r="D2" s="356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3">
        <v>44806</v>
      </c>
      <c r="B6" s="73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57" t="s">
        <v>18</v>
      </c>
      <c r="C8" s="358"/>
      <c r="D8" s="62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3" t="s">
        <v>35</v>
      </c>
      <c r="E9" s="28"/>
      <c r="F9" s="28"/>
    </row>
    <row r="10" spans="1:6" x14ac:dyDescent="0.2">
      <c r="A10" s="29">
        <v>1</v>
      </c>
      <c r="B10" s="71">
        <v>19819910</v>
      </c>
      <c r="C10" s="71">
        <v>19827799</v>
      </c>
      <c r="D10" s="6">
        <f>MAX(0,C10-B10)</f>
        <v>7889</v>
      </c>
      <c r="E10" s="28"/>
      <c r="F10" s="28"/>
    </row>
    <row r="11" spans="1:6" ht="13.5" customHeight="1" x14ac:dyDescent="0.2">
      <c r="A11" s="29">
        <v>2</v>
      </c>
      <c r="B11" s="30">
        <f>C10</f>
        <v>19827799</v>
      </c>
      <c r="C11" s="71">
        <v>19830786</v>
      </c>
      <c r="D11" s="6">
        <f t="shared" ref="D11:D40" si="0">MAX(0,C11-B11)</f>
        <v>2987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19830786</v>
      </c>
      <c r="C12" s="71">
        <v>19838488</v>
      </c>
      <c r="D12" s="6">
        <f t="shared" si="0"/>
        <v>7702</v>
      </c>
      <c r="E12" s="33"/>
      <c r="F12" s="33"/>
    </row>
    <row r="13" spans="1:6" ht="13.5" customHeight="1" x14ac:dyDescent="0.2">
      <c r="A13" s="29">
        <v>4</v>
      </c>
      <c r="B13" s="30">
        <f t="shared" si="1"/>
        <v>19838488</v>
      </c>
      <c r="C13" s="71">
        <v>19841791</v>
      </c>
      <c r="D13" s="6">
        <f t="shared" si="0"/>
        <v>3303</v>
      </c>
      <c r="E13" s="33"/>
      <c r="F13" s="33"/>
    </row>
    <row r="14" spans="1:6" ht="13.5" customHeight="1" x14ac:dyDescent="0.2">
      <c r="A14" s="29">
        <v>5</v>
      </c>
      <c r="B14" s="30">
        <f t="shared" si="1"/>
        <v>19841791</v>
      </c>
      <c r="C14" s="71">
        <v>19849147</v>
      </c>
      <c r="D14" s="6">
        <f t="shared" si="0"/>
        <v>7356</v>
      </c>
      <c r="E14" s="33"/>
      <c r="F14" s="33"/>
    </row>
    <row r="15" spans="1:6" ht="13.5" customHeight="1" x14ac:dyDescent="0.2">
      <c r="A15" s="29">
        <v>6</v>
      </c>
      <c r="B15" s="30">
        <f t="shared" si="1"/>
        <v>19849147</v>
      </c>
      <c r="C15" s="71">
        <v>19854694</v>
      </c>
      <c r="D15" s="6">
        <f t="shared" si="0"/>
        <v>5547</v>
      </c>
      <c r="E15" s="33"/>
      <c r="F15" s="33"/>
    </row>
    <row r="16" spans="1:6" ht="13.5" customHeight="1" x14ac:dyDescent="0.2">
      <c r="A16" s="29">
        <v>7</v>
      </c>
      <c r="B16" s="30">
        <f t="shared" si="1"/>
        <v>19854694</v>
      </c>
      <c r="C16" s="71">
        <v>19856585</v>
      </c>
      <c r="D16" s="6">
        <f t="shared" si="0"/>
        <v>1891</v>
      </c>
      <c r="E16" s="33"/>
      <c r="F16" s="33"/>
    </row>
    <row r="17" spans="1:6" ht="13.5" customHeight="1" x14ac:dyDescent="0.2">
      <c r="A17" s="29">
        <v>8</v>
      </c>
      <c r="B17" s="30">
        <f t="shared" si="1"/>
        <v>19856585</v>
      </c>
      <c r="C17" s="71">
        <v>19859887</v>
      </c>
      <c r="D17" s="6">
        <f t="shared" si="0"/>
        <v>3302</v>
      </c>
      <c r="E17" s="33"/>
      <c r="F17" s="33"/>
    </row>
    <row r="18" spans="1:6" ht="13.5" customHeight="1" x14ac:dyDescent="0.2">
      <c r="A18" s="29">
        <v>9</v>
      </c>
      <c r="B18" s="30">
        <f t="shared" si="1"/>
        <v>19859887</v>
      </c>
      <c r="C18" s="71">
        <v>19862821</v>
      </c>
      <c r="D18" s="6">
        <f t="shared" si="0"/>
        <v>2934</v>
      </c>
      <c r="E18" s="33"/>
      <c r="F18" s="33"/>
    </row>
    <row r="19" spans="1:6" ht="13.5" customHeight="1" x14ac:dyDescent="0.2">
      <c r="A19" s="29">
        <v>10</v>
      </c>
      <c r="B19" s="30">
        <f t="shared" si="1"/>
        <v>19862821</v>
      </c>
      <c r="C19" s="71">
        <v>19867038</v>
      </c>
      <c r="D19" s="6">
        <f t="shared" si="0"/>
        <v>4217</v>
      </c>
      <c r="E19" s="33"/>
      <c r="F19" s="33"/>
    </row>
    <row r="20" spans="1:6" ht="13.5" customHeight="1" x14ac:dyDescent="0.2">
      <c r="A20" s="29">
        <v>11</v>
      </c>
      <c r="B20" s="30">
        <f t="shared" si="1"/>
        <v>19867038</v>
      </c>
      <c r="C20" s="71">
        <v>19875344</v>
      </c>
      <c r="D20" s="6">
        <f t="shared" si="0"/>
        <v>8306</v>
      </c>
      <c r="E20" s="33"/>
      <c r="F20" s="33"/>
    </row>
    <row r="21" spans="1:6" ht="13.5" customHeight="1" x14ac:dyDescent="0.2">
      <c r="A21" s="29">
        <v>12</v>
      </c>
      <c r="B21" s="30">
        <f t="shared" si="1"/>
        <v>19875344</v>
      </c>
      <c r="C21" s="71">
        <v>19875746</v>
      </c>
      <c r="D21" s="6">
        <f t="shared" si="0"/>
        <v>402</v>
      </c>
      <c r="E21" s="33"/>
      <c r="F21" s="33"/>
    </row>
    <row r="22" spans="1:6" ht="13.5" customHeight="1" x14ac:dyDescent="0.2">
      <c r="A22" s="29">
        <v>13</v>
      </c>
      <c r="B22" s="30">
        <f t="shared" si="1"/>
        <v>19875746</v>
      </c>
      <c r="C22" s="71">
        <v>19883912</v>
      </c>
      <c r="D22" s="6">
        <f t="shared" si="0"/>
        <v>8166</v>
      </c>
      <c r="E22" s="33"/>
      <c r="F22" s="33"/>
    </row>
    <row r="23" spans="1:6" ht="13.5" customHeight="1" x14ac:dyDescent="0.2">
      <c r="A23" s="29">
        <v>14</v>
      </c>
      <c r="B23" s="30">
        <f t="shared" si="1"/>
        <v>19883912</v>
      </c>
      <c r="C23" s="71">
        <v>19887759</v>
      </c>
      <c r="D23" s="6">
        <f t="shared" si="0"/>
        <v>3847</v>
      </c>
      <c r="E23" s="33"/>
      <c r="F23" s="33"/>
    </row>
    <row r="24" spans="1:6" ht="13.5" customHeight="1" x14ac:dyDescent="0.2">
      <c r="A24" s="29">
        <v>15</v>
      </c>
      <c r="B24" s="30">
        <f t="shared" si="1"/>
        <v>19887759</v>
      </c>
      <c r="C24" s="71">
        <v>19896905</v>
      </c>
      <c r="D24" s="6">
        <f t="shared" si="0"/>
        <v>9146</v>
      </c>
      <c r="E24" s="33"/>
      <c r="F24" s="33"/>
    </row>
    <row r="25" spans="1:6" ht="13.5" customHeight="1" x14ac:dyDescent="0.2">
      <c r="A25" s="29">
        <v>16</v>
      </c>
      <c r="B25" s="30">
        <f t="shared" si="1"/>
        <v>19896905</v>
      </c>
      <c r="C25" s="71">
        <v>19903351</v>
      </c>
      <c r="D25" s="6">
        <f t="shared" si="0"/>
        <v>6446</v>
      </c>
      <c r="E25" s="33"/>
      <c r="F25" s="33"/>
    </row>
    <row r="26" spans="1:6" ht="13.5" customHeight="1" x14ac:dyDescent="0.2">
      <c r="A26" s="29">
        <v>17</v>
      </c>
      <c r="B26" s="30">
        <f t="shared" si="1"/>
        <v>19903351</v>
      </c>
      <c r="C26" s="71">
        <v>19911170</v>
      </c>
      <c r="D26" s="6">
        <f t="shared" si="0"/>
        <v>7819</v>
      </c>
      <c r="E26" s="33"/>
      <c r="F26" s="33"/>
    </row>
    <row r="27" spans="1:6" ht="13.5" customHeight="1" x14ac:dyDescent="0.2">
      <c r="A27" s="29">
        <v>18</v>
      </c>
      <c r="B27" s="30">
        <f t="shared" si="1"/>
        <v>19911170</v>
      </c>
      <c r="C27" s="71">
        <v>19918767</v>
      </c>
      <c r="D27" s="6">
        <f t="shared" si="0"/>
        <v>7597</v>
      </c>
      <c r="E27" s="33"/>
      <c r="F27" s="33"/>
    </row>
    <row r="28" spans="1:6" ht="13.5" customHeight="1" x14ac:dyDescent="0.2">
      <c r="A28" s="29">
        <v>19</v>
      </c>
      <c r="B28" s="30">
        <f t="shared" si="1"/>
        <v>19918767</v>
      </c>
      <c r="C28" s="71">
        <v>19924764</v>
      </c>
      <c r="D28" s="6">
        <f t="shared" si="0"/>
        <v>5997</v>
      </c>
      <c r="E28" s="33"/>
      <c r="F28" s="33"/>
    </row>
    <row r="29" spans="1:6" ht="13.5" customHeight="1" x14ac:dyDescent="0.2">
      <c r="A29" s="29">
        <v>20</v>
      </c>
      <c r="B29" s="30">
        <f t="shared" si="1"/>
        <v>19924764</v>
      </c>
      <c r="C29" s="71">
        <v>19931565</v>
      </c>
      <c r="D29" s="6">
        <f t="shared" si="0"/>
        <v>6801</v>
      </c>
      <c r="E29" s="33"/>
      <c r="F29" s="33"/>
    </row>
    <row r="30" spans="1:6" ht="13.5" customHeight="1" x14ac:dyDescent="0.2">
      <c r="A30" s="29">
        <v>21</v>
      </c>
      <c r="B30" s="30">
        <f t="shared" si="1"/>
        <v>19931565</v>
      </c>
      <c r="C30" s="71">
        <v>19939093</v>
      </c>
      <c r="D30" s="6">
        <f t="shared" si="0"/>
        <v>7528</v>
      </c>
      <c r="E30" s="33"/>
      <c r="F30" s="33"/>
    </row>
    <row r="31" spans="1:6" ht="13.5" customHeight="1" x14ac:dyDescent="0.2">
      <c r="A31" s="29">
        <v>22</v>
      </c>
      <c r="B31" s="30">
        <f t="shared" si="1"/>
        <v>19939093</v>
      </c>
      <c r="C31" s="71">
        <v>19946991</v>
      </c>
      <c r="D31" s="6">
        <f t="shared" si="0"/>
        <v>7898</v>
      </c>
      <c r="E31" s="33"/>
      <c r="F31" s="33"/>
    </row>
    <row r="32" spans="1:6" ht="13.5" customHeight="1" x14ac:dyDescent="0.2">
      <c r="A32" s="29">
        <v>23</v>
      </c>
      <c r="B32" s="30">
        <f t="shared" si="1"/>
        <v>19946991</v>
      </c>
      <c r="C32" s="71">
        <v>19955181</v>
      </c>
      <c r="D32" s="6">
        <f t="shared" si="0"/>
        <v>8190</v>
      </c>
      <c r="E32" s="34"/>
      <c r="F32" s="33"/>
    </row>
    <row r="33" spans="1:10" ht="13.5" customHeight="1" x14ac:dyDescent="0.2">
      <c r="A33" s="29">
        <v>24</v>
      </c>
      <c r="B33" s="30">
        <f t="shared" si="1"/>
        <v>19955181</v>
      </c>
      <c r="C33" s="71">
        <v>19963266</v>
      </c>
      <c r="D33" s="6">
        <f t="shared" si="0"/>
        <v>8085</v>
      </c>
      <c r="E33" s="34"/>
      <c r="F33" s="33"/>
    </row>
    <row r="34" spans="1:10" ht="13.5" customHeight="1" x14ac:dyDescent="0.2">
      <c r="A34" s="29">
        <v>25</v>
      </c>
      <c r="B34" s="30">
        <f t="shared" si="1"/>
        <v>19963266</v>
      </c>
      <c r="C34" s="86">
        <v>19972081</v>
      </c>
      <c r="D34" s="6">
        <f t="shared" si="0"/>
        <v>8815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19972081</v>
      </c>
      <c r="C35" s="71">
        <v>19978560</v>
      </c>
      <c r="D35" s="6">
        <f t="shared" si="0"/>
        <v>6479</v>
      </c>
      <c r="E35" s="34"/>
      <c r="F35" s="33"/>
    </row>
    <row r="36" spans="1:10" ht="13.5" customHeight="1" x14ac:dyDescent="0.2">
      <c r="A36" s="29">
        <v>27</v>
      </c>
      <c r="B36" s="30">
        <f t="shared" si="1"/>
        <v>19978560</v>
      </c>
      <c r="C36" s="71">
        <v>19985866</v>
      </c>
      <c r="D36" s="6">
        <f t="shared" si="0"/>
        <v>7306</v>
      </c>
      <c r="E36" s="34"/>
      <c r="F36" s="33"/>
    </row>
    <row r="37" spans="1:10" ht="13.5" customHeight="1" x14ac:dyDescent="0.2">
      <c r="A37" s="29">
        <v>28</v>
      </c>
      <c r="B37" s="30">
        <f t="shared" si="1"/>
        <v>19985866</v>
      </c>
      <c r="C37" s="71">
        <v>19994540</v>
      </c>
      <c r="D37" s="6">
        <f t="shared" si="0"/>
        <v>8674</v>
      </c>
      <c r="E37" s="34"/>
      <c r="F37" s="33"/>
    </row>
    <row r="38" spans="1:10" ht="13.5" customHeight="1" x14ac:dyDescent="0.2">
      <c r="A38" s="29">
        <v>29</v>
      </c>
      <c r="B38" s="30">
        <f t="shared" si="1"/>
        <v>19994540</v>
      </c>
      <c r="C38" s="71">
        <v>20000707</v>
      </c>
      <c r="D38" s="6">
        <f t="shared" si="0"/>
        <v>6167</v>
      </c>
      <c r="E38" s="34"/>
      <c r="F38" s="33"/>
    </row>
    <row r="39" spans="1:10" ht="13.5" customHeight="1" x14ac:dyDescent="0.2">
      <c r="A39" s="29">
        <v>30</v>
      </c>
      <c r="B39" s="30">
        <f t="shared" si="1"/>
        <v>20000707</v>
      </c>
      <c r="C39" s="71">
        <v>20007701</v>
      </c>
      <c r="D39" s="6">
        <f t="shared" si="0"/>
        <v>6994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20007701</v>
      </c>
      <c r="C40" s="71"/>
      <c r="D40" s="6">
        <f t="shared" si="0"/>
        <v>0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D41" s="38">
        <f>SUM(D10:D40)</f>
        <v>187791</v>
      </c>
      <c r="G41" s="35" t="s">
        <v>22</v>
      </c>
      <c r="H41" s="39"/>
      <c r="I41" s="39"/>
      <c r="J41" s="39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8" workbookViewId="0">
      <selection activeCell="C40" sqref="C40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56" t="s">
        <v>23</v>
      </c>
      <c r="D1" s="356"/>
    </row>
    <row r="2" spans="1:7" x14ac:dyDescent="0.2">
      <c r="C2" s="356"/>
      <c r="D2" s="356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3">
        <v>44806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57" t="s">
        <v>25</v>
      </c>
      <c r="C8" s="359"/>
      <c r="D8" s="24"/>
    </row>
    <row r="9" spans="1:7" ht="38.25" x14ac:dyDescent="0.2">
      <c r="A9" s="40" t="s">
        <v>5</v>
      </c>
      <c r="B9" s="41" t="s">
        <v>19</v>
      </c>
      <c r="C9" s="42" t="s">
        <v>20</v>
      </c>
      <c r="D9" s="53" t="s">
        <v>29</v>
      </c>
      <c r="E9" s="28"/>
      <c r="F9" s="43"/>
      <c r="G9" s="43"/>
    </row>
    <row r="10" spans="1:7" x14ac:dyDescent="0.2">
      <c r="A10" s="44">
        <v>1</v>
      </c>
      <c r="B10" s="71">
        <v>33909471</v>
      </c>
      <c r="C10" s="71">
        <v>33914638</v>
      </c>
      <c r="D10" s="6">
        <f>MAX(0,C10-B10)</f>
        <v>5167</v>
      </c>
      <c r="E10" s="28"/>
      <c r="F10" s="43"/>
      <c r="G10" s="43"/>
    </row>
    <row r="11" spans="1:7" ht="13.5" customHeight="1" x14ac:dyDescent="0.2">
      <c r="A11" s="44">
        <v>2</v>
      </c>
      <c r="B11" s="32">
        <f>C10</f>
        <v>33914638</v>
      </c>
      <c r="C11" s="71">
        <v>33919814</v>
      </c>
      <c r="D11" s="6">
        <f t="shared" ref="D11:D40" si="0">MAX(0,C11-B11)</f>
        <v>5176</v>
      </c>
      <c r="E11" s="33"/>
      <c r="F11" s="45"/>
      <c r="G11" s="46"/>
    </row>
    <row r="12" spans="1:7" ht="13.5" customHeight="1" x14ac:dyDescent="0.2">
      <c r="A12" s="44">
        <v>3</v>
      </c>
      <c r="B12" s="32">
        <f t="shared" ref="B12:B40" si="1">C11</f>
        <v>33919814</v>
      </c>
      <c r="C12" s="71">
        <v>33925402</v>
      </c>
      <c r="D12" s="6">
        <f t="shared" si="0"/>
        <v>5588</v>
      </c>
      <c r="E12" s="33"/>
      <c r="F12" s="45"/>
      <c r="G12" s="46"/>
    </row>
    <row r="13" spans="1:7" ht="13.5" customHeight="1" x14ac:dyDescent="0.2">
      <c r="A13" s="44">
        <v>4</v>
      </c>
      <c r="B13" s="32">
        <f t="shared" si="1"/>
        <v>33925402</v>
      </c>
      <c r="C13" s="71">
        <v>33931996</v>
      </c>
      <c r="D13" s="6">
        <f t="shared" si="0"/>
        <v>6594</v>
      </c>
      <c r="E13" s="33"/>
      <c r="F13" s="46"/>
      <c r="G13" s="46"/>
    </row>
    <row r="14" spans="1:7" ht="13.5" customHeight="1" x14ac:dyDescent="0.2">
      <c r="A14" s="44">
        <v>5</v>
      </c>
      <c r="B14" s="32">
        <f t="shared" si="1"/>
        <v>33931996</v>
      </c>
      <c r="C14" s="71">
        <v>33937970</v>
      </c>
      <c r="D14" s="6">
        <f t="shared" si="0"/>
        <v>5974</v>
      </c>
      <c r="E14" s="33"/>
      <c r="F14" s="46"/>
      <c r="G14" s="46"/>
    </row>
    <row r="15" spans="1:7" ht="13.5" customHeight="1" x14ac:dyDescent="0.2">
      <c r="A15" s="44">
        <v>6</v>
      </c>
      <c r="B15" s="32">
        <f t="shared" si="1"/>
        <v>33937970</v>
      </c>
      <c r="C15" s="71">
        <v>33944077</v>
      </c>
      <c r="D15" s="6">
        <f t="shared" si="0"/>
        <v>6107</v>
      </c>
      <c r="E15" s="33"/>
      <c r="F15" s="46"/>
      <c r="G15" s="46"/>
    </row>
    <row r="16" spans="1:7" ht="13.5" customHeight="1" x14ac:dyDescent="0.2">
      <c r="A16" s="44">
        <v>7</v>
      </c>
      <c r="B16" s="32">
        <f t="shared" si="1"/>
        <v>33944077</v>
      </c>
      <c r="C16" s="71">
        <v>33950082</v>
      </c>
      <c r="D16" s="6">
        <f t="shared" si="0"/>
        <v>6005</v>
      </c>
      <c r="E16" s="33"/>
      <c r="F16" s="46"/>
      <c r="G16" s="46"/>
    </row>
    <row r="17" spans="1:7" ht="13.5" customHeight="1" x14ac:dyDescent="0.2">
      <c r="A17" s="44">
        <v>8</v>
      </c>
      <c r="B17" s="32">
        <f t="shared" si="1"/>
        <v>33950082</v>
      </c>
      <c r="C17" s="71">
        <v>33956447</v>
      </c>
      <c r="D17" s="6">
        <f t="shared" si="0"/>
        <v>6365</v>
      </c>
      <c r="E17" s="33"/>
      <c r="F17" s="46"/>
      <c r="G17" s="46"/>
    </row>
    <row r="18" spans="1:7" ht="13.5" customHeight="1" x14ac:dyDescent="0.2">
      <c r="A18" s="44">
        <v>9</v>
      </c>
      <c r="B18" s="32">
        <f t="shared" si="1"/>
        <v>33956447</v>
      </c>
      <c r="C18" s="71">
        <v>33962868</v>
      </c>
      <c r="D18" s="6">
        <f t="shared" si="0"/>
        <v>6421</v>
      </c>
      <c r="E18" s="33"/>
      <c r="F18" s="46"/>
      <c r="G18" s="46"/>
    </row>
    <row r="19" spans="1:7" ht="13.5" customHeight="1" x14ac:dyDescent="0.2">
      <c r="A19" s="44">
        <v>10</v>
      </c>
      <c r="B19" s="32">
        <f t="shared" si="1"/>
        <v>33962868</v>
      </c>
      <c r="C19" s="71">
        <v>33969372</v>
      </c>
      <c r="D19" s="6">
        <f t="shared" si="0"/>
        <v>6504</v>
      </c>
      <c r="E19" s="33"/>
      <c r="F19" s="46"/>
      <c r="G19" s="46"/>
    </row>
    <row r="20" spans="1:7" ht="13.5" customHeight="1" x14ac:dyDescent="0.2">
      <c r="A20" s="44">
        <v>11</v>
      </c>
      <c r="B20" s="32">
        <f t="shared" si="1"/>
        <v>33969372</v>
      </c>
      <c r="C20" s="71">
        <v>33974230</v>
      </c>
      <c r="D20" s="6">
        <f t="shared" si="0"/>
        <v>4858</v>
      </c>
      <c r="E20" s="33"/>
      <c r="F20" s="46"/>
      <c r="G20" s="46"/>
    </row>
    <row r="21" spans="1:7" ht="13.5" customHeight="1" x14ac:dyDescent="0.2">
      <c r="A21" s="44">
        <v>12</v>
      </c>
      <c r="B21" s="32">
        <f t="shared" si="1"/>
        <v>33974230</v>
      </c>
      <c r="C21" s="71">
        <v>33978886</v>
      </c>
      <c r="D21" s="6">
        <f t="shared" si="0"/>
        <v>4656</v>
      </c>
      <c r="E21" s="33"/>
      <c r="F21" s="46"/>
      <c r="G21" s="46"/>
    </row>
    <row r="22" spans="1:7" ht="13.5" customHeight="1" x14ac:dyDescent="0.2">
      <c r="A22" s="44">
        <v>13</v>
      </c>
      <c r="B22" s="32">
        <f t="shared" si="1"/>
        <v>33978886</v>
      </c>
      <c r="C22" s="71">
        <v>33984311</v>
      </c>
      <c r="D22" s="6">
        <f t="shared" si="0"/>
        <v>5425</v>
      </c>
      <c r="E22" s="33"/>
      <c r="F22" s="46"/>
      <c r="G22" s="46"/>
    </row>
    <row r="23" spans="1:7" ht="13.5" customHeight="1" x14ac:dyDescent="0.2">
      <c r="A23" s="44">
        <v>14</v>
      </c>
      <c r="B23" s="32">
        <f t="shared" si="1"/>
        <v>33984311</v>
      </c>
      <c r="C23" s="71">
        <v>33995795</v>
      </c>
      <c r="D23" s="6">
        <f t="shared" si="0"/>
        <v>11484</v>
      </c>
      <c r="E23" s="33"/>
      <c r="F23" s="46"/>
      <c r="G23" s="46"/>
    </row>
    <row r="24" spans="1:7" ht="13.5" customHeight="1" x14ac:dyDescent="0.2">
      <c r="A24" s="44">
        <v>15</v>
      </c>
      <c r="B24" s="32">
        <f t="shared" si="1"/>
        <v>33995795</v>
      </c>
      <c r="C24" s="71">
        <v>34000019</v>
      </c>
      <c r="D24" s="6">
        <f t="shared" si="0"/>
        <v>4224</v>
      </c>
      <c r="E24" s="33"/>
      <c r="F24" s="46"/>
      <c r="G24" s="46"/>
    </row>
    <row r="25" spans="1:7" ht="13.5" customHeight="1" x14ac:dyDescent="0.2">
      <c r="A25" s="44">
        <v>16</v>
      </c>
      <c r="B25" s="32">
        <f t="shared" si="1"/>
        <v>34000019</v>
      </c>
      <c r="C25" s="71">
        <v>34007321</v>
      </c>
      <c r="D25" s="6">
        <f t="shared" si="0"/>
        <v>7302</v>
      </c>
      <c r="E25" s="33"/>
      <c r="F25" s="46"/>
      <c r="G25" s="46"/>
    </row>
    <row r="26" spans="1:7" ht="13.5" customHeight="1" x14ac:dyDescent="0.2">
      <c r="A26" s="44">
        <v>17</v>
      </c>
      <c r="B26" s="32">
        <f t="shared" si="1"/>
        <v>34007321</v>
      </c>
      <c r="C26" s="71">
        <v>34013795</v>
      </c>
      <c r="D26" s="6">
        <f t="shared" si="0"/>
        <v>6474</v>
      </c>
      <c r="E26" s="33"/>
      <c r="F26" s="46"/>
      <c r="G26" s="46"/>
    </row>
    <row r="27" spans="1:7" ht="13.5" customHeight="1" x14ac:dyDescent="0.2">
      <c r="A27" s="44">
        <v>18</v>
      </c>
      <c r="B27" s="32">
        <f t="shared" si="1"/>
        <v>34013795</v>
      </c>
      <c r="C27" s="71">
        <v>34019996</v>
      </c>
      <c r="D27" s="6">
        <f t="shared" si="0"/>
        <v>6201</v>
      </c>
      <c r="E27" s="33"/>
      <c r="F27" s="46"/>
      <c r="G27" s="46"/>
    </row>
    <row r="28" spans="1:7" ht="13.5" customHeight="1" x14ac:dyDescent="0.2">
      <c r="A28" s="44">
        <v>19</v>
      </c>
      <c r="B28" s="32">
        <f t="shared" si="1"/>
        <v>34019996</v>
      </c>
      <c r="C28" s="71">
        <v>34029544</v>
      </c>
      <c r="D28" s="6">
        <f t="shared" si="0"/>
        <v>9548</v>
      </c>
      <c r="E28" s="33"/>
      <c r="F28" s="46"/>
      <c r="G28" s="46"/>
    </row>
    <row r="29" spans="1:7" ht="13.5" customHeight="1" x14ac:dyDescent="0.2">
      <c r="A29" s="44">
        <v>20</v>
      </c>
      <c r="B29" s="32">
        <f t="shared" si="1"/>
        <v>34029544</v>
      </c>
      <c r="C29" s="71">
        <v>34037151</v>
      </c>
      <c r="D29" s="6">
        <f t="shared" si="0"/>
        <v>7607</v>
      </c>
      <c r="E29" s="33"/>
      <c r="F29" s="46"/>
      <c r="G29" s="46"/>
    </row>
    <row r="30" spans="1:7" ht="13.5" customHeight="1" x14ac:dyDescent="0.2">
      <c r="A30" s="44">
        <v>21</v>
      </c>
      <c r="B30" s="32">
        <f t="shared" si="1"/>
        <v>34037151</v>
      </c>
      <c r="C30" s="71">
        <v>34042542</v>
      </c>
      <c r="D30" s="6">
        <f t="shared" si="0"/>
        <v>5391</v>
      </c>
      <c r="E30" s="33"/>
      <c r="F30" s="46"/>
      <c r="G30" s="46"/>
    </row>
    <row r="31" spans="1:7" ht="13.5" customHeight="1" x14ac:dyDescent="0.2">
      <c r="A31" s="44">
        <v>22</v>
      </c>
      <c r="B31" s="32">
        <f t="shared" si="1"/>
        <v>34042542</v>
      </c>
      <c r="C31" s="71">
        <v>34048023</v>
      </c>
      <c r="D31" s="6">
        <f t="shared" si="0"/>
        <v>5481</v>
      </c>
      <c r="E31" s="33"/>
      <c r="F31" s="46"/>
      <c r="G31" s="46"/>
    </row>
    <row r="32" spans="1:7" ht="13.5" customHeight="1" x14ac:dyDescent="0.2">
      <c r="A32" s="44">
        <v>23</v>
      </c>
      <c r="B32" s="32">
        <f t="shared" si="1"/>
        <v>34048023</v>
      </c>
      <c r="C32" s="71">
        <v>34053756</v>
      </c>
      <c r="D32" s="6">
        <f t="shared" si="0"/>
        <v>5733</v>
      </c>
      <c r="E32" s="34"/>
      <c r="F32" s="46"/>
      <c r="G32" s="46"/>
    </row>
    <row r="33" spans="1:7" ht="13.5" customHeight="1" x14ac:dyDescent="0.2">
      <c r="A33" s="44">
        <v>24</v>
      </c>
      <c r="B33" s="32">
        <f t="shared" si="1"/>
        <v>34053756</v>
      </c>
      <c r="C33" s="71">
        <v>34059672</v>
      </c>
      <c r="D33" s="6">
        <f t="shared" si="0"/>
        <v>5916</v>
      </c>
      <c r="E33" s="34"/>
      <c r="F33" s="46"/>
      <c r="G33" s="46"/>
    </row>
    <row r="34" spans="1:7" ht="13.5" customHeight="1" x14ac:dyDescent="0.2">
      <c r="A34" s="44">
        <v>25</v>
      </c>
      <c r="B34" s="32">
        <f t="shared" si="1"/>
        <v>34059672</v>
      </c>
      <c r="C34" s="71">
        <v>34065861</v>
      </c>
      <c r="D34" s="6">
        <f t="shared" si="0"/>
        <v>6189</v>
      </c>
      <c r="E34" s="34"/>
      <c r="F34" s="46"/>
      <c r="G34" s="46"/>
    </row>
    <row r="35" spans="1:7" s="3" customFormat="1" ht="13.5" customHeight="1" x14ac:dyDescent="0.2">
      <c r="A35" s="44">
        <v>26</v>
      </c>
      <c r="B35" s="32">
        <f t="shared" si="1"/>
        <v>34065861</v>
      </c>
      <c r="C35" s="71">
        <v>34074048</v>
      </c>
      <c r="D35" s="6">
        <f t="shared" si="0"/>
        <v>8187</v>
      </c>
      <c r="E35" s="34"/>
      <c r="F35" s="46"/>
      <c r="G35" s="46"/>
    </row>
    <row r="36" spans="1:7" ht="13.5" customHeight="1" x14ac:dyDescent="0.2">
      <c r="A36" s="44">
        <v>27</v>
      </c>
      <c r="B36" s="32">
        <f t="shared" si="1"/>
        <v>34074048</v>
      </c>
      <c r="C36" s="71">
        <v>34081036</v>
      </c>
      <c r="D36" s="6">
        <f t="shared" si="0"/>
        <v>6988</v>
      </c>
      <c r="E36" s="47"/>
      <c r="F36" s="46"/>
      <c r="G36" s="46"/>
    </row>
    <row r="37" spans="1:7" ht="13.5" customHeight="1" x14ac:dyDescent="0.2">
      <c r="A37" s="44">
        <v>28</v>
      </c>
      <c r="B37" s="32">
        <f t="shared" si="1"/>
        <v>34081036</v>
      </c>
      <c r="C37" s="71">
        <v>34089499</v>
      </c>
      <c r="D37" s="6">
        <f t="shared" si="0"/>
        <v>8463</v>
      </c>
      <c r="E37" s="47"/>
      <c r="F37" s="46"/>
      <c r="G37" s="46"/>
    </row>
    <row r="38" spans="1:7" ht="13.5" customHeight="1" x14ac:dyDescent="0.2">
      <c r="A38" s="44">
        <v>29</v>
      </c>
      <c r="B38" s="32">
        <f t="shared" si="1"/>
        <v>34089499</v>
      </c>
      <c r="C38" s="71">
        <v>34098226</v>
      </c>
      <c r="D38" s="6">
        <f t="shared" si="0"/>
        <v>8727</v>
      </c>
      <c r="E38" s="47"/>
      <c r="F38" s="46"/>
      <c r="G38" s="46"/>
    </row>
    <row r="39" spans="1:7" ht="13.5" customHeight="1" x14ac:dyDescent="0.2">
      <c r="A39" s="44">
        <v>30</v>
      </c>
      <c r="B39" s="32">
        <f t="shared" si="1"/>
        <v>34098226</v>
      </c>
      <c r="C39" s="71">
        <v>34105185</v>
      </c>
      <c r="D39" s="6">
        <f t="shared" si="0"/>
        <v>6959</v>
      </c>
      <c r="E39" s="47"/>
      <c r="F39" s="46"/>
      <c r="G39" s="46"/>
    </row>
    <row r="40" spans="1:7" ht="13.5" customHeight="1" x14ac:dyDescent="0.2">
      <c r="A40" s="44">
        <v>31</v>
      </c>
      <c r="B40" s="32">
        <f t="shared" si="1"/>
        <v>34105185</v>
      </c>
      <c r="C40" s="71"/>
      <c r="D40" s="6">
        <f t="shared" si="0"/>
        <v>0</v>
      </c>
      <c r="E40" s="47"/>
      <c r="F40" s="46"/>
      <c r="G40" s="46"/>
    </row>
    <row r="41" spans="1:7" ht="13.5" thickBot="1" x14ac:dyDescent="0.25">
      <c r="A41" t="s">
        <v>7</v>
      </c>
      <c r="B41" s="17" t="e">
        <f>#REF!</f>
        <v>#REF!</v>
      </c>
      <c r="D41" s="48">
        <f>SUM(D10:D40)</f>
        <v>195714</v>
      </c>
      <c r="F41" s="43"/>
      <c r="G41" s="43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4" workbookViewId="0">
      <selection activeCell="B10" sqref="B10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9" t="s">
        <v>26</v>
      </c>
      <c r="D1" s="49"/>
    </row>
    <row r="2" spans="1:5" ht="20.25" x14ac:dyDescent="0.2">
      <c r="C2" s="49"/>
      <c r="D2" s="49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3">
        <v>44806</v>
      </c>
      <c r="B6" s="50"/>
      <c r="D6" s="20"/>
    </row>
    <row r="7" spans="1:5" ht="12.75" customHeight="1" thickBot="1" x14ac:dyDescent="0.25"/>
    <row r="8" spans="1:5" ht="12.75" customHeight="1" thickBot="1" x14ac:dyDescent="0.25">
      <c r="A8" s="1"/>
      <c r="B8" s="51" t="s">
        <v>28</v>
      </c>
      <c r="C8" s="52"/>
      <c r="D8" s="24"/>
    </row>
    <row r="9" spans="1:5" s="1" customFormat="1" ht="12.75" customHeight="1" x14ac:dyDescent="0.2">
      <c r="A9" s="40" t="s">
        <v>5</v>
      </c>
      <c r="B9" s="26" t="s">
        <v>19</v>
      </c>
      <c r="C9" s="27" t="s">
        <v>20</v>
      </c>
      <c r="D9" s="53" t="s">
        <v>29</v>
      </c>
      <c r="E9" s="23"/>
    </row>
    <row r="10" spans="1:5" x14ac:dyDescent="0.2">
      <c r="A10" s="44">
        <v>1</v>
      </c>
      <c r="B10" s="31">
        <v>15377497</v>
      </c>
      <c r="C10" s="31">
        <v>15384549</v>
      </c>
      <c r="D10" s="37">
        <f>MAX(0,C10-B10)</f>
        <v>7052</v>
      </c>
    </row>
    <row r="11" spans="1:5" ht="15.75" customHeight="1" x14ac:dyDescent="0.2">
      <c r="A11" s="44">
        <v>2</v>
      </c>
      <c r="B11" s="32">
        <f>C10</f>
        <v>15384549</v>
      </c>
      <c r="C11" s="31">
        <v>15389062</v>
      </c>
      <c r="D11" s="37">
        <f t="shared" ref="D11:D40" si="0">MAX(0,C11-B11)</f>
        <v>4513</v>
      </c>
    </row>
    <row r="12" spans="1:5" x14ac:dyDescent="0.2">
      <c r="A12" s="44">
        <v>3</v>
      </c>
      <c r="B12" s="32">
        <f t="shared" ref="B12:B40" si="1">C11</f>
        <v>15389062</v>
      </c>
      <c r="C12" s="31">
        <v>15393038</v>
      </c>
      <c r="D12" s="37">
        <f t="shared" si="0"/>
        <v>3976</v>
      </c>
      <c r="E12" s="54"/>
    </row>
    <row r="13" spans="1:5" x14ac:dyDescent="0.2">
      <c r="A13" s="44">
        <v>4</v>
      </c>
      <c r="B13" s="32">
        <f t="shared" si="1"/>
        <v>15393038</v>
      </c>
      <c r="C13" s="31">
        <v>15396718</v>
      </c>
      <c r="D13" s="37">
        <f t="shared" si="0"/>
        <v>3680</v>
      </c>
      <c r="E13" s="54"/>
    </row>
    <row r="14" spans="1:5" ht="13.5" customHeight="1" x14ac:dyDescent="0.2">
      <c r="A14" s="44">
        <v>5</v>
      </c>
      <c r="B14" s="32">
        <f t="shared" si="1"/>
        <v>15396718</v>
      </c>
      <c r="C14" s="31">
        <v>15396718</v>
      </c>
      <c r="D14" s="37">
        <f t="shared" si="0"/>
        <v>0</v>
      </c>
      <c r="E14" s="54"/>
    </row>
    <row r="15" spans="1:5" ht="13.5" customHeight="1" x14ac:dyDescent="0.2">
      <c r="A15" s="44">
        <v>6</v>
      </c>
      <c r="B15" s="32">
        <f t="shared" si="1"/>
        <v>15396718</v>
      </c>
      <c r="C15" s="31">
        <v>15400649</v>
      </c>
      <c r="D15" s="37">
        <f t="shared" si="0"/>
        <v>3931</v>
      </c>
      <c r="E15" s="54"/>
    </row>
    <row r="16" spans="1:5" ht="13.5" customHeight="1" x14ac:dyDescent="0.2">
      <c r="A16" s="44">
        <v>7</v>
      </c>
      <c r="B16" s="32">
        <f t="shared" si="1"/>
        <v>15400649</v>
      </c>
      <c r="C16" s="31">
        <v>15407018</v>
      </c>
      <c r="D16" s="37">
        <f t="shared" si="0"/>
        <v>6369</v>
      </c>
      <c r="E16" s="54"/>
    </row>
    <row r="17" spans="1:5" ht="13.5" customHeight="1" x14ac:dyDescent="0.2">
      <c r="A17" s="44">
        <v>8</v>
      </c>
      <c r="B17" s="32">
        <f t="shared" si="1"/>
        <v>15407018</v>
      </c>
      <c r="C17" s="31">
        <v>15411206</v>
      </c>
      <c r="D17" s="37">
        <f t="shared" si="0"/>
        <v>4188</v>
      </c>
      <c r="E17" s="54"/>
    </row>
    <row r="18" spans="1:5" ht="13.5" customHeight="1" x14ac:dyDescent="0.2">
      <c r="A18" s="44">
        <v>9</v>
      </c>
      <c r="B18" s="32">
        <f t="shared" si="1"/>
        <v>15411206</v>
      </c>
      <c r="C18" s="31">
        <v>15415486</v>
      </c>
      <c r="D18" s="37">
        <f t="shared" si="0"/>
        <v>4280</v>
      </c>
      <c r="E18" s="54"/>
    </row>
    <row r="19" spans="1:5" ht="13.5" customHeight="1" x14ac:dyDescent="0.2">
      <c r="A19" s="44">
        <v>10</v>
      </c>
      <c r="B19" s="32">
        <f t="shared" si="1"/>
        <v>15415486</v>
      </c>
      <c r="C19" s="31">
        <v>15418805</v>
      </c>
      <c r="D19" s="37">
        <f t="shared" si="0"/>
        <v>3319</v>
      </c>
      <c r="E19" s="54"/>
    </row>
    <row r="20" spans="1:5" ht="13.5" customHeight="1" x14ac:dyDescent="0.2">
      <c r="A20" s="44">
        <v>11</v>
      </c>
      <c r="B20" s="32">
        <f t="shared" si="1"/>
        <v>15418805</v>
      </c>
      <c r="C20" s="31">
        <v>15425465</v>
      </c>
      <c r="D20" s="37">
        <f t="shared" si="0"/>
        <v>6660</v>
      </c>
      <c r="E20" s="54"/>
    </row>
    <row r="21" spans="1:5" ht="13.5" customHeight="1" x14ac:dyDescent="0.2">
      <c r="A21" s="44">
        <v>12</v>
      </c>
      <c r="B21" s="32">
        <f t="shared" si="1"/>
        <v>15425465</v>
      </c>
      <c r="C21" s="31">
        <v>15432979</v>
      </c>
      <c r="D21" s="37">
        <f t="shared" si="0"/>
        <v>7514</v>
      </c>
      <c r="E21" s="54"/>
    </row>
    <row r="22" spans="1:5" ht="13.5" customHeight="1" x14ac:dyDescent="0.2">
      <c r="A22" s="44">
        <v>13</v>
      </c>
      <c r="B22" s="32">
        <f t="shared" si="1"/>
        <v>15432979</v>
      </c>
      <c r="C22" s="31">
        <v>15433036</v>
      </c>
      <c r="D22" s="37">
        <f t="shared" si="0"/>
        <v>57</v>
      </c>
      <c r="E22" s="54"/>
    </row>
    <row r="23" spans="1:5" ht="13.5" customHeight="1" x14ac:dyDescent="0.2">
      <c r="A23" s="44">
        <v>14</v>
      </c>
      <c r="B23" s="32">
        <f t="shared" si="1"/>
        <v>15433036</v>
      </c>
      <c r="C23" s="31">
        <v>15433036</v>
      </c>
      <c r="D23" s="37">
        <f t="shared" si="0"/>
        <v>0</v>
      </c>
      <c r="E23" s="54"/>
    </row>
    <row r="24" spans="1:5" ht="13.5" customHeight="1" x14ac:dyDescent="0.2">
      <c r="A24" s="44">
        <v>15</v>
      </c>
      <c r="B24" s="32">
        <f t="shared" si="1"/>
        <v>15433036</v>
      </c>
      <c r="C24" s="31">
        <v>15433036</v>
      </c>
      <c r="D24" s="37">
        <f t="shared" si="0"/>
        <v>0</v>
      </c>
      <c r="E24" s="54"/>
    </row>
    <row r="25" spans="1:5" ht="13.5" customHeight="1" x14ac:dyDescent="0.2">
      <c r="A25" s="44">
        <v>16</v>
      </c>
      <c r="B25" s="32">
        <f t="shared" si="1"/>
        <v>15433036</v>
      </c>
      <c r="C25" s="31">
        <v>15433036</v>
      </c>
      <c r="D25" s="37">
        <f t="shared" si="0"/>
        <v>0</v>
      </c>
      <c r="E25" s="54"/>
    </row>
    <row r="26" spans="1:5" ht="13.5" customHeight="1" x14ac:dyDescent="0.2">
      <c r="A26" s="44">
        <v>17</v>
      </c>
      <c r="B26" s="32">
        <f t="shared" si="1"/>
        <v>15433036</v>
      </c>
      <c r="C26" s="31">
        <v>15433036</v>
      </c>
      <c r="D26" s="37">
        <f t="shared" si="0"/>
        <v>0</v>
      </c>
      <c r="E26" s="54"/>
    </row>
    <row r="27" spans="1:5" ht="13.5" customHeight="1" x14ac:dyDescent="0.2">
      <c r="A27" s="44">
        <v>18</v>
      </c>
      <c r="B27" s="32">
        <f t="shared" si="1"/>
        <v>15433036</v>
      </c>
      <c r="C27" s="31">
        <v>15433036</v>
      </c>
      <c r="D27" s="37">
        <f t="shared" si="0"/>
        <v>0</v>
      </c>
      <c r="E27" s="54"/>
    </row>
    <row r="28" spans="1:5" ht="13.5" customHeight="1" x14ac:dyDescent="0.2">
      <c r="A28" s="44">
        <v>19</v>
      </c>
      <c r="B28" s="32">
        <f t="shared" si="1"/>
        <v>15433036</v>
      </c>
      <c r="C28" s="31">
        <v>15433036</v>
      </c>
      <c r="D28" s="37">
        <f t="shared" si="0"/>
        <v>0</v>
      </c>
      <c r="E28" s="54"/>
    </row>
    <row r="29" spans="1:5" ht="13.5" customHeight="1" x14ac:dyDescent="0.2">
      <c r="A29" s="44">
        <v>20</v>
      </c>
      <c r="B29" s="32">
        <f t="shared" si="1"/>
        <v>15433036</v>
      </c>
      <c r="C29" s="31">
        <v>15433036</v>
      </c>
      <c r="D29" s="37">
        <f t="shared" si="0"/>
        <v>0</v>
      </c>
      <c r="E29" s="54"/>
    </row>
    <row r="30" spans="1:5" ht="13.5" customHeight="1" x14ac:dyDescent="0.2">
      <c r="A30" s="44">
        <v>21</v>
      </c>
      <c r="B30" s="32">
        <f t="shared" si="1"/>
        <v>15433036</v>
      </c>
      <c r="C30" s="31">
        <v>15433036</v>
      </c>
      <c r="D30" s="37">
        <f t="shared" si="0"/>
        <v>0</v>
      </c>
      <c r="E30" s="54"/>
    </row>
    <row r="31" spans="1:5" ht="13.5" customHeight="1" x14ac:dyDescent="0.2">
      <c r="A31" s="44">
        <v>22</v>
      </c>
      <c r="B31" s="32">
        <f t="shared" si="1"/>
        <v>15433036</v>
      </c>
      <c r="C31" s="31">
        <v>15433036</v>
      </c>
      <c r="D31" s="37">
        <f t="shared" si="0"/>
        <v>0</v>
      </c>
      <c r="E31" s="54"/>
    </row>
    <row r="32" spans="1:5" ht="13.5" customHeight="1" x14ac:dyDescent="0.2">
      <c r="A32" s="44">
        <v>23</v>
      </c>
      <c r="B32" s="32">
        <f t="shared" si="1"/>
        <v>15433036</v>
      </c>
      <c r="C32" s="31">
        <v>15433036</v>
      </c>
      <c r="D32" s="37">
        <f t="shared" si="0"/>
        <v>0</v>
      </c>
      <c r="E32" s="54"/>
    </row>
    <row r="33" spans="1:8" ht="13.5" customHeight="1" x14ac:dyDescent="0.2">
      <c r="A33" s="44">
        <v>24</v>
      </c>
      <c r="B33" s="32">
        <f t="shared" si="1"/>
        <v>15433036</v>
      </c>
      <c r="C33" s="31">
        <v>15433036</v>
      </c>
      <c r="D33" s="37">
        <f t="shared" si="0"/>
        <v>0</v>
      </c>
      <c r="E33" s="54"/>
    </row>
    <row r="34" spans="1:8" ht="13.5" customHeight="1" x14ac:dyDescent="0.2">
      <c r="A34" s="44">
        <v>25</v>
      </c>
      <c r="B34" s="32">
        <f t="shared" si="1"/>
        <v>15433036</v>
      </c>
      <c r="C34" s="31">
        <v>15433036</v>
      </c>
      <c r="D34" s="37">
        <f t="shared" si="0"/>
        <v>0</v>
      </c>
      <c r="E34" s="83"/>
      <c r="H34" s="3"/>
    </row>
    <row r="35" spans="1:8" s="3" customFormat="1" ht="13.5" customHeight="1" x14ac:dyDescent="0.2">
      <c r="A35" s="44">
        <v>26</v>
      </c>
      <c r="B35" s="32">
        <f t="shared" si="1"/>
        <v>15433036</v>
      </c>
      <c r="C35" s="31">
        <v>15433036</v>
      </c>
      <c r="D35" s="37">
        <f t="shared" si="0"/>
        <v>0</v>
      </c>
      <c r="E35" s="83"/>
    </row>
    <row r="36" spans="1:8" ht="13.5" customHeight="1" x14ac:dyDescent="0.2">
      <c r="A36" s="44">
        <v>27</v>
      </c>
      <c r="B36" s="32">
        <f t="shared" si="1"/>
        <v>15433036</v>
      </c>
      <c r="C36" s="31">
        <v>15433036</v>
      </c>
      <c r="D36" s="37">
        <f t="shared" si="0"/>
        <v>0</v>
      </c>
      <c r="E36" s="83"/>
    </row>
    <row r="37" spans="1:8" ht="13.5" customHeight="1" x14ac:dyDescent="0.2">
      <c r="A37" s="44">
        <v>28</v>
      </c>
      <c r="B37" s="32">
        <f t="shared" si="1"/>
        <v>15433036</v>
      </c>
      <c r="C37" s="31">
        <v>15433036</v>
      </c>
      <c r="D37" s="37">
        <f t="shared" si="0"/>
        <v>0</v>
      </c>
      <c r="E37" s="83"/>
    </row>
    <row r="38" spans="1:8" ht="13.5" customHeight="1" x14ac:dyDescent="0.2">
      <c r="A38" s="44">
        <v>29</v>
      </c>
      <c r="B38" s="32">
        <f t="shared" si="1"/>
        <v>15433036</v>
      </c>
      <c r="C38" s="31">
        <v>15433036</v>
      </c>
      <c r="D38" s="37">
        <f t="shared" si="0"/>
        <v>0</v>
      </c>
      <c r="E38" s="360"/>
      <c r="F38" s="361"/>
    </row>
    <row r="39" spans="1:8" ht="13.5" customHeight="1" x14ac:dyDescent="0.2">
      <c r="A39" s="44">
        <v>30</v>
      </c>
      <c r="B39" s="32">
        <f t="shared" si="1"/>
        <v>15433036</v>
      </c>
      <c r="C39" s="31">
        <v>15433036</v>
      </c>
      <c r="D39" s="37">
        <f t="shared" si="0"/>
        <v>0</v>
      </c>
      <c r="E39" s="83"/>
    </row>
    <row r="40" spans="1:8" ht="13.5" customHeight="1" x14ac:dyDescent="0.2">
      <c r="A40" s="44">
        <v>31</v>
      </c>
      <c r="B40" s="32">
        <f t="shared" si="1"/>
        <v>15433036</v>
      </c>
      <c r="C40" s="31"/>
      <c r="D40" s="37">
        <f t="shared" si="0"/>
        <v>0</v>
      </c>
      <c r="E40" s="83"/>
    </row>
    <row r="41" spans="1:8" ht="13.5" customHeight="1" thickBot="1" x14ac:dyDescent="0.25">
      <c r="A41" t="s">
        <v>7</v>
      </c>
      <c r="B41" s="17" t="e">
        <f>#REF!</f>
        <v>#REF!</v>
      </c>
      <c r="D41" s="48">
        <f>SUM(D10:D40)</f>
        <v>55539</v>
      </c>
      <c r="E41" s="83"/>
    </row>
    <row r="42" spans="1:8" ht="12" customHeight="1" thickTop="1" x14ac:dyDescent="0.2">
      <c r="E42" s="83"/>
    </row>
    <row r="43" spans="1:8" ht="14.25" customHeight="1" x14ac:dyDescent="0.2">
      <c r="E43" s="8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workbookViewId="0">
      <selection activeCell="B11" sqref="B11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56" t="s">
        <v>30</v>
      </c>
      <c r="D1" s="356"/>
    </row>
    <row r="2" spans="1:5" x14ac:dyDescent="0.2">
      <c r="C2" s="356"/>
      <c r="D2" s="356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3">
        <v>44806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57" t="s">
        <v>32</v>
      </c>
      <c r="C8" s="359"/>
      <c r="D8" s="24"/>
    </row>
    <row r="9" spans="1:5" ht="38.25" x14ac:dyDescent="0.2">
      <c r="A9" s="40" t="s">
        <v>5</v>
      </c>
      <c r="B9" s="41" t="s">
        <v>19</v>
      </c>
      <c r="C9" s="42" t="s">
        <v>20</v>
      </c>
      <c r="D9" s="55" t="s">
        <v>29</v>
      </c>
      <c r="E9" s="28"/>
    </row>
    <row r="10" spans="1:5" s="43" customFormat="1" x14ac:dyDescent="0.2">
      <c r="A10" s="44">
        <v>1</v>
      </c>
      <c r="B10" s="31">
        <v>12652507</v>
      </c>
      <c r="C10" s="31">
        <v>12652507</v>
      </c>
      <c r="D10" s="37">
        <f>MAX(0,C10-B10)</f>
        <v>0</v>
      </c>
      <c r="E10" s="28"/>
    </row>
    <row r="11" spans="1:5" ht="13.5" customHeight="1" x14ac:dyDescent="0.2">
      <c r="A11" s="44">
        <v>2</v>
      </c>
      <c r="B11" s="32">
        <f>C10</f>
        <v>12652507</v>
      </c>
      <c r="C11" s="31">
        <v>12652691</v>
      </c>
      <c r="D11" s="37">
        <f t="shared" ref="D11:D40" si="0">MAX(0,C11-B11)</f>
        <v>184</v>
      </c>
      <c r="E11" s="33"/>
    </row>
    <row r="12" spans="1:5" ht="13.5" customHeight="1" x14ac:dyDescent="0.2">
      <c r="A12" s="44">
        <v>3</v>
      </c>
      <c r="B12" s="32">
        <f t="shared" ref="B12:B38" si="1">C11</f>
        <v>12652691</v>
      </c>
      <c r="C12" s="31">
        <v>12652740</v>
      </c>
      <c r="D12" s="37">
        <f t="shared" si="0"/>
        <v>49</v>
      </c>
      <c r="E12" s="33"/>
    </row>
    <row r="13" spans="1:5" ht="13.5" customHeight="1" x14ac:dyDescent="0.2">
      <c r="A13" s="44">
        <v>4</v>
      </c>
      <c r="B13" s="32">
        <f t="shared" si="1"/>
        <v>12652740</v>
      </c>
      <c r="C13" s="31">
        <v>12653248</v>
      </c>
      <c r="D13" s="37">
        <f t="shared" si="0"/>
        <v>508</v>
      </c>
      <c r="E13" s="33"/>
    </row>
    <row r="14" spans="1:5" ht="13.5" customHeight="1" x14ac:dyDescent="0.2">
      <c r="A14" s="44">
        <v>5</v>
      </c>
      <c r="B14" s="32">
        <f t="shared" si="1"/>
        <v>12653248</v>
      </c>
      <c r="C14" s="31">
        <v>12653248</v>
      </c>
      <c r="D14" s="37">
        <f t="shared" si="0"/>
        <v>0</v>
      </c>
      <c r="E14" s="33"/>
    </row>
    <row r="15" spans="1:5" ht="13.5" customHeight="1" x14ac:dyDescent="0.2">
      <c r="A15" s="44">
        <v>6</v>
      </c>
      <c r="B15" s="32">
        <f t="shared" si="1"/>
        <v>12653248</v>
      </c>
      <c r="C15" s="31">
        <v>12653585</v>
      </c>
      <c r="D15" s="37">
        <f t="shared" si="0"/>
        <v>337</v>
      </c>
      <c r="E15" s="33"/>
    </row>
    <row r="16" spans="1:5" ht="13.5" customHeight="1" x14ac:dyDescent="0.2">
      <c r="A16" s="44">
        <v>7</v>
      </c>
      <c r="B16" s="32">
        <f t="shared" si="1"/>
        <v>12653585</v>
      </c>
      <c r="C16" s="31">
        <v>12653585</v>
      </c>
      <c r="D16" s="37">
        <f t="shared" si="0"/>
        <v>0</v>
      </c>
      <c r="E16" s="33"/>
    </row>
    <row r="17" spans="1:5" ht="13.5" customHeight="1" x14ac:dyDescent="0.2">
      <c r="A17" s="44">
        <v>8</v>
      </c>
      <c r="B17" s="32">
        <f t="shared" si="1"/>
        <v>12653585</v>
      </c>
      <c r="C17" s="31">
        <v>12653585</v>
      </c>
      <c r="D17" s="37">
        <f t="shared" si="0"/>
        <v>0</v>
      </c>
      <c r="E17" s="33"/>
    </row>
    <row r="18" spans="1:5" ht="13.5" customHeight="1" x14ac:dyDescent="0.2">
      <c r="A18" s="44">
        <v>9</v>
      </c>
      <c r="B18" s="32">
        <f t="shared" si="1"/>
        <v>12653585</v>
      </c>
      <c r="C18" s="31">
        <v>12653585</v>
      </c>
      <c r="D18" s="37">
        <f t="shared" si="0"/>
        <v>0</v>
      </c>
      <c r="E18" s="33"/>
    </row>
    <row r="19" spans="1:5" ht="13.5" customHeight="1" x14ac:dyDescent="0.2">
      <c r="A19" s="44">
        <v>10</v>
      </c>
      <c r="B19" s="32">
        <f t="shared" si="1"/>
        <v>12653585</v>
      </c>
      <c r="C19" s="31">
        <v>12653860</v>
      </c>
      <c r="D19" s="37">
        <f t="shared" si="0"/>
        <v>275</v>
      </c>
      <c r="E19" s="33"/>
    </row>
    <row r="20" spans="1:5" ht="13.5" customHeight="1" x14ac:dyDescent="0.2">
      <c r="A20" s="44">
        <v>11</v>
      </c>
      <c r="B20" s="32">
        <f t="shared" si="1"/>
        <v>12653860</v>
      </c>
      <c r="C20" s="31">
        <v>12655418</v>
      </c>
      <c r="D20" s="37">
        <f t="shared" si="0"/>
        <v>1558</v>
      </c>
      <c r="E20" s="33"/>
    </row>
    <row r="21" spans="1:5" ht="13.5" customHeight="1" x14ac:dyDescent="0.2">
      <c r="A21" s="44">
        <v>12</v>
      </c>
      <c r="B21" s="32">
        <f t="shared" si="1"/>
        <v>12655418</v>
      </c>
      <c r="C21" s="31">
        <v>12657371</v>
      </c>
      <c r="D21" s="37">
        <f t="shared" si="0"/>
        <v>1953</v>
      </c>
      <c r="E21" s="33"/>
    </row>
    <row r="22" spans="1:5" ht="13.5" customHeight="1" x14ac:dyDescent="0.2">
      <c r="A22" s="44">
        <v>13</v>
      </c>
      <c r="B22" s="32">
        <f t="shared" si="1"/>
        <v>12657371</v>
      </c>
      <c r="C22" s="31">
        <v>12657589</v>
      </c>
      <c r="D22" s="37">
        <f t="shared" si="0"/>
        <v>218</v>
      </c>
      <c r="E22" s="33"/>
    </row>
    <row r="23" spans="1:5" ht="13.5" customHeight="1" x14ac:dyDescent="0.2">
      <c r="A23" s="44">
        <v>14</v>
      </c>
      <c r="B23" s="32">
        <f t="shared" si="1"/>
        <v>12657589</v>
      </c>
      <c r="C23" s="31">
        <v>12659717</v>
      </c>
      <c r="D23" s="37">
        <f t="shared" si="0"/>
        <v>2128</v>
      </c>
      <c r="E23" s="33"/>
    </row>
    <row r="24" spans="1:5" ht="13.5" customHeight="1" x14ac:dyDescent="0.2">
      <c r="A24" s="44">
        <v>15</v>
      </c>
      <c r="B24" s="32">
        <f t="shared" si="1"/>
        <v>12659717</v>
      </c>
      <c r="C24" s="31">
        <v>12660068</v>
      </c>
      <c r="D24" s="37">
        <f t="shared" si="0"/>
        <v>351</v>
      </c>
      <c r="E24" s="33"/>
    </row>
    <row r="25" spans="1:5" ht="13.5" customHeight="1" x14ac:dyDescent="0.2">
      <c r="A25" s="44">
        <v>16</v>
      </c>
      <c r="B25" s="32">
        <f t="shared" si="1"/>
        <v>12660068</v>
      </c>
      <c r="C25" s="31">
        <v>12661749</v>
      </c>
      <c r="D25" s="37">
        <f t="shared" si="0"/>
        <v>1681</v>
      </c>
      <c r="E25" s="33"/>
    </row>
    <row r="26" spans="1:5" ht="13.5" customHeight="1" x14ac:dyDescent="0.2">
      <c r="A26" s="44">
        <v>17</v>
      </c>
      <c r="B26" s="32">
        <f t="shared" si="1"/>
        <v>12661749</v>
      </c>
      <c r="C26" s="31">
        <v>12662306</v>
      </c>
      <c r="D26" s="37">
        <f t="shared" si="0"/>
        <v>557</v>
      </c>
      <c r="E26" s="33"/>
    </row>
    <row r="27" spans="1:5" ht="13.5" customHeight="1" x14ac:dyDescent="0.2">
      <c r="A27" s="44">
        <v>18</v>
      </c>
      <c r="B27" s="32">
        <f t="shared" si="1"/>
        <v>12662306</v>
      </c>
      <c r="C27" s="81">
        <v>12663269</v>
      </c>
      <c r="D27" s="37">
        <f t="shared" si="0"/>
        <v>963</v>
      </c>
      <c r="E27" s="82"/>
    </row>
    <row r="28" spans="1:5" ht="13.5" customHeight="1" x14ac:dyDescent="0.2">
      <c r="A28" s="44">
        <v>19</v>
      </c>
      <c r="B28" s="32">
        <f t="shared" si="1"/>
        <v>12663269</v>
      </c>
      <c r="C28" s="31">
        <v>12663576</v>
      </c>
      <c r="D28" s="37">
        <f t="shared" si="0"/>
        <v>307</v>
      </c>
      <c r="E28" s="33"/>
    </row>
    <row r="29" spans="1:5" ht="13.5" customHeight="1" x14ac:dyDescent="0.2">
      <c r="A29" s="44">
        <v>20</v>
      </c>
      <c r="B29" s="32">
        <f t="shared" si="1"/>
        <v>12663576</v>
      </c>
      <c r="C29" s="31">
        <v>12664478</v>
      </c>
      <c r="D29" s="37">
        <f t="shared" si="0"/>
        <v>902</v>
      </c>
      <c r="E29" s="33"/>
    </row>
    <row r="30" spans="1:5" ht="13.5" customHeight="1" x14ac:dyDescent="0.2">
      <c r="A30" s="44">
        <v>21</v>
      </c>
      <c r="B30" s="32">
        <f t="shared" si="1"/>
        <v>12664478</v>
      </c>
      <c r="C30" s="31">
        <v>12664758</v>
      </c>
      <c r="D30" s="37">
        <f t="shared" si="0"/>
        <v>280</v>
      </c>
      <c r="E30" s="33"/>
    </row>
    <row r="31" spans="1:5" ht="13.5" customHeight="1" x14ac:dyDescent="0.2">
      <c r="A31" s="44">
        <v>22</v>
      </c>
      <c r="B31" s="32">
        <f t="shared" si="1"/>
        <v>12664758</v>
      </c>
      <c r="C31" s="31">
        <v>12664801</v>
      </c>
      <c r="D31" s="37">
        <f t="shared" si="0"/>
        <v>43</v>
      </c>
      <c r="E31" s="33"/>
    </row>
    <row r="32" spans="1:5" ht="13.5" customHeight="1" x14ac:dyDescent="0.2">
      <c r="A32" s="44">
        <v>23</v>
      </c>
      <c r="B32" s="32">
        <f t="shared" si="1"/>
        <v>12664801</v>
      </c>
      <c r="C32" s="31">
        <v>12665556</v>
      </c>
      <c r="D32" s="37">
        <f t="shared" si="0"/>
        <v>755</v>
      </c>
      <c r="E32" s="34"/>
    </row>
    <row r="33" spans="1:5" ht="13.5" customHeight="1" x14ac:dyDescent="0.2">
      <c r="A33" s="44">
        <v>24</v>
      </c>
      <c r="B33" s="32">
        <f t="shared" si="1"/>
        <v>12665556</v>
      </c>
      <c r="C33" s="31">
        <v>12667630</v>
      </c>
      <c r="D33" s="37">
        <f t="shared" si="0"/>
        <v>2074</v>
      </c>
      <c r="E33" s="34"/>
    </row>
    <row r="34" spans="1:5" ht="13.5" customHeight="1" x14ac:dyDescent="0.2">
      <c r="A34" s="44">
        <v>25</v>
      </c>
      <c r="B34" s="32">
        <f t="shared" si="1"/>
        <v>12667630</v>
      </c>
      <c r="C34" s="31">
        <v>12669068</v>
      </c>
      <c r="D34" s="37">
        <f t="shared" si="0"/>
        <v>1438</v>
      </c>
      <c r="E34" s="34"/>
    </row>
    <row r="35" spans="1:5" s="3" customFormat="1" ht="13.5" customHeight="1" x14ac:dyDescent="0.2">
      <c r="A35" s="44">
        <v>26</v>
      </c>
      <c r="B35" s="32">
        <f t="shared" si="1"/>
        <v>12669068</v>
      </c>
      <c r="C35" s="31">
        <v>12671268</v>
      </c>
      <c r="D35" s="37">
        <f t="shared" si="0"/>
        <v>2200</v>
      </c>
      <c r="E35" s="34"/>
    </row>
    <row r="36" spans="1:5" ht="13.5" customHeight="1" x14ac:dyDescent="0.2">
      <c r="A36" s="44">
        <v>27</v>
      </c>
      <c r="B36" s="32">
        <f t="shared" si="1"/>
        <v>12671268</v>
      </c>
      <c r="C36" s="31">
        <v>12673656</v>
      </c>
      <c r="D36" s="37">
        <f t="shared" si="0"/>
        <v>2388</v>
      </c>
      <c r="E36" s="47"/>
    </row>
    <row r="37" spans="1:5" ht="13.5" customHeight="1" x14ac:dyDescent="0.2">
      <c r="A37" s="44">
        <v>28</v>
      </c>
      <c r="B37" s="32">
        <f t="shared" si="1"/>
        <v>12673656</v>
      </c>
      <c r="C37" s="31">
        <v>12673656</v>
      </c>
      <c r="D37" s="37">
        <f t="shared" si="0"/>
        <v>0</v>
      </c>
      <c r="E37" s="47"/>
    </row>
    <row r="38" spans="1:5" ht="13.5" customHeight="1" x14ac:dyDescent="0.2">
      <c r="A38" s="44">
        <v>29</v>
      </c>
      <c r="B38" s="32">
        <f t="shared" si="1"/>
        <v>12673656</v>
      </c>
      <c r="C38" s="31">
        <v>12676822</v>
      </c>
      <c r="D38" s="37">
        <f t="shared" si="0"/>
        <v>3166</v>
      </c>
      <c r="E38" s="47"/>
    </row>
    <row r="39" spans="1:5" ht="13.5" customHeight="1" x14ac:dyDescent="0.2">
      <c r="A39" s="44">
        <v>30</v>
      </c>
      <c r="B39" s="32">
        <f>C38</f>
        <v>12676822</v>
      </c>
      <c r="C39" s="31">
        <v>12677148</v>
      </c>
      <c r="D39" s="37">
        <f t="shared" si="0"/>
        <v>326</v>
      </c>
      <c r="E39" s="47"/>
    </row>
    <row r="40" spans="1:5" ht="13.5" customHeight="1" x14ac:dyDescent="0.2">
      <c r="A40" s="44">
        <v>31</v>
      </c>
      <c r="B40" s="32">
        <f>C39</f>
        <v>12677148</v>
      </c>
      <c r="C40" s="31"/>
      <c r="D40" s="37">
        <f t="shared" si="0"/>
        <v>0</v>
      </c>
      <c r="E40" s="47"/>
    </row>
    <row r="41" spans="1:5" ht="13.5" thickBot="1" x14ac:dyDescent="0.25">
      <c r="A41" t="s">
        <v>7</v>
      </c>
      <c r="B41" s="17" t="e">
        <f>#REF!</f>
        <v>#REF!</v>
      </c>
      <c r="D41" s="48">
        <f>SUM(D10:D40)</f>
        <v>24641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4" workbookViewId="0">
      <selection activeCell="C40" sqref="C40"/>
    </sheetView>
  </sheetViews>
  <sheetFormatPr defaultRowHeight="12.75" x14ac:dyDescent="0.2"/>
  <cols>
    <col min="1" max="1" width="10.140625" style="56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56" t="s">
        <v>16</v>
      </c>
      <c r="D1" s="356"/>
    </row>
    <row r="2" spans="1:9" x14ac:dyDescent="0.2">
      <c r="C2" s="356"/>
      <c r="D2" s="356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3"/>
      <c r="B4" s="4"/>
      <c r="C4" s="23"/>
      <c r="D4" s="23"/>
      <c r="E4" s="23"/>
    </row>
    <row r="5" spans="1:9" s="1" customFormat="1" x14ac:dyDescent="0.2">
      <c r="A5" s="50"/>
      <c r="B5" s="4"/>
      <c r="C5" s="23"/>
      <c r="D5" s="23"/>
      <c r="E5" s="23"/>
    </row>
    <row r="6" spans="1:9" x14ac:dyDescent="0.2">
      <c r="A6" s="73">
        <v>44806</v>
      </c>
    </row>
    <row r="7" spans="1:9" ht="13.5" thickBot="1" x14ac:dyDescent="0.25">
      <c r="A7" s="50"/>
    </row>
    <row r="8" spans="1:9" ht="15.75" customHeight="1" thickBot="1" x14ac:dyDescent="0.25">
      <c r="A8" s="57"/>
      <c r="B8" s="357" t="s">
        <v>34</v>
      </c>
      <c r="C8" s="359"/>
      <c r="D8" s="24"/>
    </row>
    <row r="9" spans="1:9" ht="38.25" x14ac:dyDescent="0.2">
      <c r="A9" s="58" t="s">
        <v>5</v>
      </c>
      <c r="B9" s="41" t="s">
        <v>19</v>
      </c>
      <c r="C9" s="42" t="s">
        <v>20</v>
      </c>
      <c r="D9" s="55" t="s">
        <v>35</v>
      </c>
      <c r="E9" s="28"/>
    </row>
    <row r="10" spans="1:9" x14ac:dyDescent="0.2">
      <c r="A10" s="59">
        <v>1</v>
      </c>
      <c r="B10" s="31">
        <v>20789060</v>
      </c>
      <c r="C10" s="31">
        <v>20789060</v>
      </c>
      <c r="D10" s="37">
        <f>MAX(0,C10-B10)</f>
        <v>0</v>
      </c>
      <c r="E10" s="28"/>
      <c r="I10">
        <v>7040</v>
      </c>
    </row>
    <row r="11" spans="1:9" ht="13.5" customHeight="1" x14ac:dyDescent="0.2">
      <c r="A11" s="60">
        <v>2</v>
      </c>
      <c r="B11" s="32">
        <f>C10</f>
        <v>20789060</v>
      </c>
      <c r="C11" s="31">
        <v>20796836</v>
      </c>
      <c r="D11" s="37">
        <f t="shared" ref="D11:D40" si="0">MAX(0,C11-B11)</f>
        <v>7776</v>
      </c>
      <c r="E11" s="33"/>
      <c r="I11">
        <v>8505</v>
      </c>
    </row>
    <row r="12" spans="1:9" ht="13.5" customHeight="1" x14ac:dyDescent="0.2">
      <c r="A12" s="59">
        <v>3</v>
      </c>
      <c r="B12" s="32">
        <f t="shared" ref="B12:B40" si="1">C11</f>
        <v>20796836</v>
      </c>
      <c r="C12" s="31">
        <v>20800117</v>
      </c>
      <c r="D12" s="37">
        <f t="shared" si="0"/>
        <v>3281</v>
      </c>
      <c r="E12" s="33"/>
      <c r="I12">
        <v>8591</v>
      </c>
    </row>
    <row r="13" spans="1:9" ht="13.5" customHeight="1" x14ac:dyDescent="0.2">
      <c r="A13" s="60">
        <v>4</v>
      </c>
      <c r="B13" s="32">
        <f t="shared" si="1"/>
        <v>20800117</v>
      </c>
      <c r="C13" s="31">
        <v>20807514</v>
      </c>
      <c r="D13" s="37">
        <f t="shared" si="0"/>
        <v>7397</v>
      </c>
      <c r="E13" s="33"/>
      <c r="I13">
        <v>8045</v>
      </c>
    </row>
    <row r="14" spans="1:9" ht="13.5" customHeight="1" x14ac:dyDescent="0.2">
      <c r="A14" s="340">
        <v>5</v>
      </c>
      <c r="B14" s="87">
        <f t="shared" si="1"/>
        <v>20807514</v>
      </c>
      <c r="C14" s="81">
        <v>20814945</v>
      </c>
      <c r="D14" s="37">
        <f t="shared" si="0"/>
        <v>7431</v>
      </c>
      <c r="E14" s="82"/>
    </row>
    <row r="15" spans="1:9" ht="13.5" customHeight="1" x14ac:dyDescent="0.2">
      <c r="A15" s="60">
        <v>6</v>
      </c>
      <c r="B15" s="32">
        <f t="shared" si="1"/>
        <v>20814945</v>
      </c>
      <c r="C15" s="31">
        <v>20817958</v>
      </c>
      <c r="D15" s="37">
        <f t="shared" si="0"/>
        <v>3013</v>
      </c>
      <c r="E15" s="33"/>
    </row>
    <row r="16" spans="1:9" ht="13.5" customHeight="1" x14ac:dyDescent="0.2">
      <c r="A16" s="59">
        <v>7</v>
      </c>
      <c r="B16" s="32">
        <f t="shared" si="1"/>
        <v>20817958</v>
      </c>
      <c r="C16" s="31">
        <v>20825079</v>
      </c>
      <c r="D16" s="37">
        <f t="shared" si="0"/>
        <v>7121</v>
      </c>
      <c r="E16" s="33"/>
    </row>
    <row r="17" spans="1:5" ht="13.5" customHeight="1" x14ac:dyDescent="0.2">
      <c r="A17" s="60">
        <v>8</v>
      </c>
      <c r="B17" s="32">
        <f t="shared" si="1"/>
        <v>20825079</v>
      </c>
      <c r="C17" s="31">
        <v>20832908</v>
      </c>
      <c r="D17" s="37">
        <f t="shared" si="0"/>
        <v>7829</v>
      </c>
      <c r="E17" s="33"/>
    </row>
    <row r="18" spans="1:5" ht="13.5" customHeight="1" x14ac:dyDescent="0.2">
      <c r="A18" s="59">
        <v>9</v>
      </c>
      <c r="B18" s="32">
        <f t="shared" si="1"/>
        <v>20832908</v>
      </c>
      <c r="C18" s="31">
        <v>20840504</v>
      </c>
      <c r="D18" s="37">
        <f t="shared" si="0"/>
        <v>7596</v>
      </c>
      <c r="E18" s="33"/>
    </row>
    <row r="19" spans="1:5" ht="13.5" customHeight="1" x14ac:dyDescent="0.2">
      <c r="A19" s="60">
        <v>10</v>
      </c>
      <c r="B19" s="32">
        <f t="shared" si="1"/>
        <v>20840504</v>
      </c>
      <c r="C19" s="31">
        <v>20848372</v>
      </c>
      <c r="D19" s="37">
        <f t="shared" si="0"/>
        <v>7868</v>
      </c>
      <c r="E19" s="33"/>
    </row>
    <row r="20" spans="1:5" ht="13.5" customHeight="1" x14ac:dyDescent="0.2">
      <c r="A20" s="59">
        <v>11</v>
      </c>
      <c r="B20" s="32">
        <f t="shared" si="1"/>
        <v>20848372</v>
      </c>
      <c r="C20" s="31">
        <v>20849232</v>
      </c>
      <c r="D20" s="37">
        <f t="shared" si="0"/>
        <v>860</v>
      </c>
      <c r="E20" s="33"/>
    </row>
    <row r="21" spans="1:5" ht="13.5" customHeight="1" x14ac:dyDescent="0.2">
      <c r="A21" s="60">
        <v>12</v>
      </c>
      <c r="B21" s="32">
        <f t="shared" si="1"/>
        <v>20849232</v>
      </c>
      <c r="C21" s="31">
        <v>20857143</v>
      </c>
      <c r="D21" s="37">
        <f t="shared" si="0"/>
        <v>7911</v>
      </c>
      <c r="E21" s="33"/>
    </row>
    <row r="22" spans="1:5" ht="13.5" customHeight="1" x14ac:dyDescent="0.2">
      <c r="A22" s="59">
        <v>13</v>
      </c>
      <c r="B22" s="32">
        <f t="shared" si="1"/>
        <v>20857143</v>
      </c>
      <c r="C22" s="31">
        <v>20865362</v>
      </c>
      <c r="D22" s="37">
        <f t="shared" si="0"/>
        <v>8219</v>
      </c>
      <c r="E22" s="33"/>
    </row>
    <row r="23" spans="1:5" ht="13.5" customHeight="1" x14ac:dyDescent="0.2">
      <c r="A23" s="60">
        <v>14</v>
      </c>
      <c r="B23" s="32">
        <f t="shared" si="1"/>
        <v>20865362</v>
      </c>
      <c r="C23" s="31">
        <v>20869167</v>
      </c>
      <c r="D23" s="37">
        <f t="shared" si="0"/>
        <v>3805</v>
      </c>
      <c r="E23" s="33"/>
    </row>
    <row r="24" spans="1:5" ht="13.5" customHeight="1" x14ac:dyDescent="0.2">
      <c r="A24" s="59">
        <v>15</v>
      </c>
      <c r="B24" s="32">
        <f t="shared" si="1"/>
        <v>20869167</v>
      </c>
      <c r="C24" s="31">
        <v>20878246</v>
      </c>
      <c r="D24" s="37">
        <f t="shared" si="0"/>
        <v>9079</v>
      </c>
      <c r="E24" s="33"/>
    </row>
    <row r="25" spans="1:5" ht="13.5" customHeight="1" x14ac:dyDescent="0.2">
      <c r="A25" s="60">
        <v>16</v>
      </c>
      <c r="B25" s="32">
        <f t="shared" si="1"/>
        <v>20878246</v>
      </c>
      <c r="C25" s="31">
        <v>20884682</v>
      </c>
      <c r="D25" s="37">
        <f t="shared" si="0"/>
        <v>6436</v>
      </c>
      <c r="E25" s="33"/>
    </row>
    <row r="26" spans="1:5" ht="13.5" customHeight="1" x14ac:dyDescent="0.2">
      <c r="A26" s="59">
        <v>17</v>
      </c>
      <c r="B26" s="32">
        <f t="shared" si="1"/>
        <v>20884682</v>
      </c>
      <c r="C26" s="31">
        <v>20892500</v>
      </c>
      <c r="D26" s="37">
        <f t="shared" si="0"/>
        <v>7818</v>
      </c>
      <c r="E26" s="33"/>
    </row>
    <row r="27" spans="1:5" ht="13.5" customHeight="1" x14ac:dyDescent="0.2">
      <c r="A27" s="60">
        <v>18</v>
      </c>
      <c r="B27" s="32">
        <f t="shared" si="1"/>
        <v>20892500</v>
      </c>
      <c r="C27" s="31">
        <v>20900168</v>
      </c>
      <c r="D27" s="37">
        <f t="shared" si="0"/>
        <v>7668</v>
      </c>
      <c r="E27" s="33"/>
    </row>
    <row r="28" spans="1:5" ht="13.5" customHeight="1" x14ac:dyDescent="0.2">
      <c r="A28" s="59">
        <v>19</v>
      </c>
      <c r="B28" s="32">
        <f t="shared" si="1"/>
        <v>20900168</v>
      </c>
      <c r="C28" s="31">
        <v>20907777</v>
      </c>
      <c r="D28" s="37">
        <f>MAX(0,C28-B28)</f>
        <v>7609</v>
      </c>
      <c r="E28" s="33"/>
    </row>
    <row r="29" spans="1:5" ht="13.5" customHeight="1" x14ac:dyDescent="0.2">
      <c r="A29" s="60">
        <v>20</v>
      </c>
      <c r="B29" s="32">
        <f t="shared" si="1"/>
        <v>20907777</v>
      </c>
      <c r="C29" s="31">
        <v>20914563</v>
      </c>
      <c r="D29" s="37">
        <f t="shared" si="0"/>
        <v>6786</v>
      </c>
      <c r="E29" s="33"/>
    </row>
    <row r="30" spans="1:5" ht="13.5" customHeight="1" x14ac:dyDescent="0.2">
      <c r="A30" s="59">
        <v>21</v>
      </c>
      <c r="B30" s="32">
        <f t="shared" si="1"/>
        <v>20914563</v>
      </c>
      <c r="C30" s="31">
        <v>20922057</v>
      </c>
      <c r="D30" s="37">
        <f t="shared" si="0"/>
        <v>7494</v>
      </c>
      <c r="E30" s="33"/>
    </row>
    <row r="31" spans="1:5" ht="13.5" customHeight="1" x14ac:dyDescent="0.2">
      <c r="A31" s="60">
        <v>22</v>
      </c>
      <c r="B31" s="32">
        <f t="shared" si="1"/>
        <v>20922057</v>
      </c>
      <c r="C31" s="31">
        <v>20929921</v>
      </c>
      <c r="D31" s="37">
        <f t="shared" si="0"/>
        <v>7864</v>
      </c>
      <c r="E31" s="33"/>
    </row>
    <row r="32" spans="1:5" ht="13.5" customHeight="1" x14ac:dyDescent="0.2">
      <c r="A32" s="59">
        <v>23</v>
      </c>
      <c r="B32" s="32">
        <f t="shared" si="1"/>
        <v>20929921</v>
      </c>
      <c r="C32" s="31">
        <v>20938109</v>
      </c>
      <c r="D32" s="37">
        <f t="shared" si="0"/>
        <v>8188</v>
      </c>
      <c r="E32" s="34"/>
    </row>
    <row r="33" spans="1:10" ht="13.5" customHeight="1" x14ac:dyDescent="0.2">
      <c r="A33" s="332">
        <v>24</v>
      </c>
      <c r="B33" s="333">
        <f t="shared" si="1"/>
        <v>20938109</v>
      </c>
      <c r="C33" s="334">
        <v>20946193</v>
      </c>
      <c r="D33" s="37">
        <f t="shared" si="0"/>
        <v>8084</v>
      </c>
      <c r="E33" s="362"/>
      <c r="F33" s="363"/>
      <c r="G33" s="363"/>
      <c r="H33" s="363"/>
      <c r="I33" s="363"/>
      <c r="J33" s="363"/>
    </row>
    <row r="34" spans="1:10" ht="13.5" customHeight="1" x14ac:dyDescent="0.2">
      <c r="A34" s="59">
        <v>25</v>
      </c>
      <c r="B34" s="333">
        <f>C33</f>
        <v>20946193</v>
      </c>
      <c r="C34" s="31">
        <v>20954866</v>
      </c>
      <c r="D34" s="37">
        <f t="shared" si="0"/>
        <v>8673</v>
      </c>
      <c r="E34" s="34"/>
    </row>
    <row r="35" spans="1:10" s="3" customFormat="1" ht="13.5" customHeight="1" x14ac:dyDescent="0.2">
      <c r="A35" s="194">
        <v>26</v>
      </c>
      <c r="B35" s="333">
        <f>C34</f>
        <v>20954866</v>
      </c>
      <c r="C35" s="31">
        <v>20961295</v>
      </c>
      <c r="D35" s="37">
        <f t="shared" si="0"/>
        <v>6429</v>
      </c>
      <c r="E35" s="34"/>
    </row>
    <row r="36" spans="1:10" ht="13.5" customHeight="1" x14ac:dyDescent="0.2">
      <c r="A36" s="59">
        <v>27</v>
      </c>
      <c r="B36" s="32">
        <f t="shared" si="1"/>
        <v>20961295</v>
      </c>
      <c r="C36" s="31">
        <v>20968563</v>
      </c>
      <c r="D36" s="37">
        <f t="shared" si="0"/>
        <v>7268</v>
      </c>
      <c r="E36" s="47"/>
    </row>
    <row r="37" spans="1:10" ht="13.5" customHeight="1" x14ac:dyDescent="0.2">
      <c r="A37" s="60">
        <v>28</v>
      </c>
      <c r="B37" s="32">
        <f t="shared" si="1"/>
        <v>20968563</v>
      </c>
      <c r="C37" s="31">
        <v>20974518</v>
      </c>
      <c r="D37" s="37">
        <f t="shared" si="0"/>
        <v>5955</v>
      </c>
      <c r="E37" s="47"/>
    </row>
    <row r="38" spans="1:10" ht="13.5" customHeight="1" x14ac:dyDescent="0.2">
      <c r="A38" s="60">
        <v>29</v>
      </c>
      <c r="B38" s="32">
        <f t="shared" si="1"/>
        <v>20974518</v>
      </c>
      <c r="C38" s="31">
        <v>20980610</v>
      </c>
      <c r="D38" s="37">
        <f t="shared" si="0"/>
        <v>6092</v>
      </c>
      <c r="E38" s="47"/>
    </row>
    <row r="39" spans="1:10" ht="13.5" customHeight="1" x14ac:dyDescent="0.2">
      <c r="A39" s="60">
        <v>30</v>
      </c>
      <c r="B39" s="32">
        <f t="shared" si="1"/>
        <v>20980610</v>
      </c>
      <c r="C39" s="31">
        <v>20987590</v>
      </c>
      <c r="D39" s="37">
        <f t="shared" si="0"/>
        <v>6980</v>
      </c>
      <c r="E39" s="47"/>
    </row>
    <row r="40" spans="1:10" ht="13.5" customHeight="1" x14ac:dyDescent="0.2">
      <c r="A40" s="60">
        <v>31</v>
      </c>
      <c r="B40" s="32">
        <f t="shared" si="1"/>
        <v>20987590</v>
      </c>
      <c r="C40" s="31"/>
      <c r="D40" s="37">
        <f t="shared" si="0"/>
        <v>0</v>
      </c>
      <c r="E40" s="47"/>
    </row>
    <row r="41" spans="1:10" ht="13.5" thickBot="1" x14ac:dyDescent="0.25">
      <c r="A41" s="56" t="s">
        <v>7</v>
      </c>
      <c r="D41" s="48">
        <f>SUM(D10:D40)</f>
        <v>198530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topLeftCell="A4" workbookViewId="0">
      <selection activeCell="G35" sqref="G35"/>
    </sheetView>
  </sheetViews>
  <sheetFormatPr defaultRowHeight="12.75" x14ac:dyDescent="0.2"/>
  <cols>
    <col min="1" max="1" width="10.140625" bestFit="1" customWidth="1"/>
    <col min="2" max="2" width="13.85546875" style="93" customWidth="1"/>
    <col min="3" max="3" width="10.7109375" style="93" customWidth="1"/>
    <col min="4" max="4" width="12.42578125" style="93" customWidth="1"/>
    <col min="5" max="5" width="5.85546875" customWidth="1"/>
    <col min="6" max="6" width="12.85546875" customWidth="1"/>
    <col min="7" max="7" width="12.85546875" style="93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66" t="s">
        <v>129</v>
      </c>
      <c r="B1" s="367"/>
      <c r="C1" s="367"/>
      <c r="D1" s="368"/>
      <c r="F1" s="372" t="s">
        <v>132</v>
      </c>
      <c r="G1" s="373"/>
      <c r="H1" s="374"/>
    </row>
    <row r="2" spans="1:13" x14ac:dyDescent="0.2">
      <c r="A2" s="247">
        <v>44806</v>
      </c>
      <c r="B2" s="255"/>
      <c r="C2" s="255"/>
      <c r="D2" s="248"/>
      <c r="F2" s="375"/>
      <c r="G2" s="376"/>
      <c r="H2" s="377"/>
    </row>
    <row r="3" spans="1:13" x14ac:dyDescent="0.2">
      <c r="A3" s="252"/>
      <c r="B3" s="253"/>
      <c r="C3" s="253"/>
      <c r="D3" s="254" t="s">
        <v>38</v>
      </c>
      <c r="E3" s="246"/>
      <c r="F3" s="369" t="s">
        <v>58</v>
      </c>
      <c r="G3" s="370"/>
      <c r="H3" s="371"/>
    </row>
    <row r="4" spans="1:13" s="17" customFormat="1" ht="34.5" customHeight="1" x14ac:dyDescent="0.2">
      <c r="A4" s="256" t="s">
        <v>39</v>
      </c>
      <c r="B4" s="256" t="s">
        <v>40</v>
      </c>
      <c r="C4" s="256" t="s">
        <v>41</v>
      </c>
      <c r="D4" s="257" t="s">
        <v>130</v>
      </c>
      <c r="E4" s="258"/>
      <c r="F4" s="259" t="s">
        <v>49</v>
      </c>
      <c r="G4" s="259" t="s">
        <v>50</v>
      </c>
      <c r="H4" s="260" t="s">
        <v>131</v>
      </c>
      <c r="J4" s="251" t="s">
        <v>61</v>
      </c>
      <c r="L4" s="364" t="s">
        <v>62</v>
      </c>
      <c r="M4" s="365"/>
    </row>
    <row r="5" spans="1:13" x14ac:dyDescent="0.2">
      <c r="A5" s="91">
        <v>1</v>
      </c>
      <c r="B5" s="61">
        <v>47452760</v>
      </c>
      <c r="C5" s="249">
        <v>47458440</v>
      </c>
      <c r="D5" s="249">
        <f>MAX(0,C5-B5)</f>
        <v>5680</v>
      </c>
      <c r="F5" s="21">
        <v>1271440</v>
      </c>
      <c r="G5" s="21">
        <v>1271440</v>
      </c>
      <c r="H5" s="21">
        <f>MAX(0,G5-F5)</f>
        <v>0</v>
      </c>
      <c r="J5" s="90">
        <f>D5/200</f>
        <v>28.4</v>
      </c>
      <c r="L5" s="8">
        <f>2.68*D5</f>
        <v>15222.400000000001</v>
      </c>
      <c r="M5" s="8">
        <f>L5/1000</f>
        <v>15.222400000000002</v>
      </c>
    </row>
    <row r="6" spans="1:13" x14ac:dyDescent="0.2">
      <c r="A6" s="91">
        <v>2</v>
      </c>
      <c r="B6" s="61">
        <f>C5</f>
        <v>47458440</v>
      </c>
      <c r="C6" s="61">
        <v>47464160</v>
      </c>
      <c r="D6" s="249">
        <f t="shared" ref="D6:D35" si="0">MAX(0,C6-B6)</f>
        <v>5720</v>
      </c>
      <c r="F6" s="21">
        <f>G5</f>
        <v>1271440</v>
      </c>
      <c r="G6" s="21">
        <v>1273250</v>
      </c>
      <c r="H6" s="21">
        <f t="shared" ref="H6:H35" si="1">MAX(0,G6-F6)</f>
        <v>1810</v>
      </c>
      <c r="J6" s="90">
        <f t="shared" ref="J6:J35" si="2">D6/200</f>
        <v>28.6</v>
      </c>
      <c r="L6" s="8">
        <f t="shared" ref="L6:L35" si="3">2.68*D6</f>
        <v>15329.6</v>
      </c>
      <c r="M6" s="8">
        <f t="shared" ref="M6:M36" si="4">L6/1000</f>
        <v>15.329600000000001</v>
      </c>
    </row>
    <row r="7" spans="1:13" x14ac:dyDescent="0.2">
      <c r="A7" s="91">
        <v>3</v>
      </c>
      <c r="B7" s="61">
        <f t="shared" ref="B7:B35" si="5">C6</f>
        <v>47464160</v>
      </c>
      <c r="C7" s="61">
        <v>47469910</v>
      </c>
      <c r="D7" s="249">
        <f t="shared" si="0"/>
        <v>5750</v>
      </c>
      <c r="F7" s="21">
        <f t="shared" ref="F7:F34" si="6">G6</f>
        <v>1273250</v>
      </c>
      <c r="G7" s="21">
        <v>1274100</v>
      </c>
      <c r="H7" s="21">
        <f t="shared" si="1"/>
        <v>850</v>
      </c>
      <c r="J7" s="90">
        <f t="shared" si="2"/>
        <v>28.75</v>
      </c>
      <c r="L7" s="8">
        <f t="shared" si="3"/>
        <v>15410.000000000002</v>
      </c>
      <c r="M7" s="8">
        <f t="shared" si="4"/>
        <v>15.410000000000002</v>
      </c>
    </row>
    <row r="8" spans="1:13" x14ac:dyDescent="0.2">
      <c r="A8" s="91">
        <v>4</v>
      </c>
      <c r="B8" s="61">
        <f t="shared" si="5"/>
        <v>47469910</v>
      </c>
      <c r="C8" s="61">
        <v>47476000</v>
      </c>
      <c r="D8" s="249">
        <f t="shared" si="0"/>
        <v>6090</v>
      </c>
      <c r="F8" s="21">
        <f t="shared" si="6"/>
        <v>1274100</v>
      </c>
      <c r="G8" s="21">
        <v>1274100</v>
      </c>
      <c r="H8" s="21">
        <f t="shared" si="1"/>
        <v>0</v>
      </c>
      <c r="J8" s="90">
        <f t="shared" si="2"/>
        <v>30.45</v>
      </c>
      <c r="L8" s="8">
        <f t="shared" si="3"/>
        <v>16321.2</v>
      </c>
      <c r="M8" s="8">
        <f t="shared" si="4"/>
        <v>16.321200000000001</v>
      </c>
    </row>
    <row r="9" spans="1:13" x14ac:dyDescent="0.2">
      <c r="A9" s="91">
        <v>5</v>
      </c>
      <c r="B9" s="61">
        <f t="shared" si="5"/>
        <v>47476000</v>
      </c>
      <c r="C9" s="61">
        <v>47481720</v>
      </c>
      <c r="D9" s="249">
        <f t="shared" si="0"/>
        <v>5720</v>
      </c>
      <c r="F9" s="21">
        <f t="shared" si="6"/>
        <v>1274100</v>
      </c>
      <c r="G9" s="21">
        <v>1275600</v>
      </c>
      <c r="H9" s="21">
        <f t="shared" si="1"/>
        <v>1500</v>
      </c>
      <c r="J9" s="90">
        <f t="shared" si="2"/>
        <v>28.6</v>
      </c>
      <c r="L9" s="8">
        <f t="shared" si="3"/>
        <v>15329.6</v>
      </c>
      <c r="M9" s="8">
        <f t="shared" si="4"/>
        <v>15.329600000000001</v>
      </c>
    </row>
    <row r="10" spans="1:13" x14ac:dyDescent="0.2">
      <c r="A10" s="91">
        <v>6</v>
      </c>
      <c r="B10" s="61">
        <f t="shared" si="5"/>
        <v>47481720</v>
      </c>
      <c r="C10" s="61">
        <v>47487560</v>
      </c>
      <c r="D10" s="249">
        <f t="shared" si="0"/>
        <v>5840</v>
      </c>
      <c r="F10" s="21">
        <f t="shared" si="6"/>
        <v>1275600</v>
      </c>
      <c r="G10" s="21">
        <v>1276800</v>
      </c>
      <c r="H10" s="21">
        <f t="shared" si="1"/>
        <v>1200</v>
      </c>
      <c r="J10" s="90">
        <f t="shared" si="2"/>
        <v>29.2</v>
      </c>
      <c r="L10" s="8">
        <f t="shared" si="3"/>
        <v>15651.2</v>
      </c>
      <c r="M10" s="8">
        <f t="shared" si="4"/>
        <v>15.651200000000001</v>
      </c>
    </row>
    <row r="11" spans="1:13" x14ac:dyDescent="0.2">
      <c r="A11" s="91">
        <v>7</v>
      </c>
      <c r="B11" s="61">
        <f t="shared" si="5"/>
        <v>47487560</v>
      </c>
      <c r="C11" s="61">
        <v>47492680</v>
      </c>
      <c r="D11" s="249">
        <f t="shared" si="0"/>
        <v>5120</v>
      </c>
      <c r="F11" s="21">
        <f t="shared" si="6"/>
        <v>1276800</v>
      </c>
      <c r="G11" s="21">
        <v>1276800</v>
      </c>
      <c r="H11" s="21">
        <f t="shared" si="1"/>
        <v>0</v>
      </c>
      <c r="J11" s="90">
        <f t="shared" si="2"/>
        <v>25.6</v>
      </c>
      <c r="L11" s="8">
        <f t="shared" si="3"/>
        <v>13721.6</v>
      </c>
      <c r="M11" s="8">
        <f t="shared" si="4"/>
        <v>13.7216</v>
      </c>
    </row>
    <row r="12" spans="1:13" x14ac:dyDescent="0.2">
      <c r="A12" s="91">
        <v>8</v>
      </c>
      <c r="B12" s="61">
        <f t="shared" si="5"/>
        <v>47492680</v>
      </c>
      <c r="C12" s="61">
        <v>47498810</v>
      </c>
      <c r="D12" s="249">
        <f t="shared" si="0"/>
        <v>6130</v>
      </c>
      <c r="F12" s="21">
        <f t="shared" si="6"/>
        <v>1276800</v>
      </c>
      <c r="G12" s="21">
        <v>1279440</v>
      </c>
      <c r="H12" s="21">
        <f t="shared" si="1"/>
        <v>2640</v>
      </c>
      <c r="J12" s="90">
        <f t="shared" si="2"/>
        <v>30.65</v>
      </c>
      <c r="L12" s="8">
        <f t="shared" si="3"/>
        <v>16428.400000000001</v>
      </c>
      <c r="M12" s="8">
        <f t="shared" si="4"/>
        <v>16.4284</v>
      </c>
    </row>
    <row r="13" spans="1:13" x14ac:dyDescent="0.2">
      <c r="A13" s="91">
        <v>9</v>
      </c>
      <c r="B13" s="61">
        <f t="shared" si="5"/>
        <v>47498810</v>
      </c>
      <c r="C13" s="61">
        <v>47504560</v>
      </c>
      <c r="D13" s="249">
        <f t="shared" si="0"/>
        <v>5750</v>
      </c>
      <c r="F13" s="21">
        <f t="shared" si="6"/>
        <v>1279440</v>
      </c>
      <c r="G13" s="21">
        <v>1279440</v>
      </c>
      <c r="H13" s="21">
        <f t="shared" si="1"/>
        <v>0</v>
      </c>
      <c r="J13" s="90">
        <f t="shared" si="2"/>
        <v>28.75</v>
      </c>
      <c r="L13" s="8">
        <f t="shared" si="3"/>
        <v>15410.000000000002</v>
      </c>
      <c r="M13" s="8">
        <f t="shared" si="4"/>
        <v>15.410000000000002</v>
      </c>
    </row>
    <row r="14" spans="1:13" x14ac:dyDescent="0.2">
      <c r="A14" s="91">
        <v>10</v>
      </c>
      <c r="B14" s="61">
        <f t="shared" si="5"/>
        <v>47504560</v>
      </c>
      <c r="C14" s="61">
        <v>47510640</v>
      </c>
      <c r="D14" s="249">
        <f t="shared" si="0"/>
        <v>6080</v>
      </c>
      <c r="F14" s="21">
        <f t="shared" si="6"/>
        <v>1279440</v>
      </c>
      <c r="G14" s="21">
        <v>1280780</v>
      </c>
      <c r="H14" s="21">
        <f t="shared" si="1"/>
        <v>1340</v>
      </c>
      <c r="J14" s="90">
        <f t="shared" si="2"/>
        <v>30.4</v>
      </c>
      <c r="L14" s="8">
        <f t="shared" si="3"/>
        <v>16294.400000000001</v>
      </c>
      <c r="M14" s="8">
        <f t="shared" si="4"/>
        <v>16.294400000000003</v>
      </c>
    </row>
    <row r="15" spans="1:13" x14ac:dyDescent="0.2">
      <c r="A15" s="91">
        <v>11</v>
      </c>
      <c r="B15" s="61">
        <f t="shared" si="5"/>
        <v>47510640</v>
      </c>
      <c r="C15" s="61">
        <v>47516890</v>
      </c>
      <c r="D15" s="249">
        <f t="shared" si="0"/>
        <v>6250</v>
      </c>
      <c r="F15" s="21">
        <f t="shared" si="6"/>
        <v>1280780</v>
      </c>
      <c r="G15" s="21">
        <v>1281080</v>
      </c>
      <c r="H15" s="21">
        <f t="shared" si="1"/>
        <v>300</v>
      </c>
      <c r="J15" s="90">
        <f t="shared" si="2"/>
        <v>31.25</v>
      </c>
      <c r="L15" s="8">
        <f t="shared" si="3"/>
        <v>16750</v>
      </c>
      <c r="M15" s="8">
        <f t="shared" si="4"/>
        <v>16.75</v>
      </c>
    </row>
    <row r="16" spans="1:13" x14ac:dyDescent="0.2">
      <c r="A16" s="91">
        <v>12</v>
      </c>
      <c r="B16" s="61">
        <f t="shared" si="5"/>
        <v>47516890</v>
      </c>
      <c r="C16" s="61">
        <v>47522880</v>
      </c>
      <c r="D16" s="249">
        <f t="shared" si="0"/>
        <v>5990</v>
      </c>
      <c r="F16" s="21">
        <f t="shared" si="6"/>
        <v>1281080</v>
      </c>
      <c r="G16" s="21">
        <v>1283310</v>
      </c>
      <c r="H16" s="21">
        <f t="shared" si="1"/>
        <v>2230</v>
      </c>
      <c r="J16" s="90">
        <f t="shared" si="2"/>
        <v>29.95</v>
      </c>
      <c r="L16" s="8">
        <f t="shared" si="3"/>
        <v>16053.2</v>
      </c>
      <c r="M16" s="8">
        <f t="shared" si="4"/>
        <v>16.0532</v>
      </c>
    </row>
    <row r="17" spans="1:13" x14ac:dyDescent="0.2">
      <c r="A17" s="91">
        <v>13</v>
      </c>
      <c r="B17" s="61">
        <f t="shared" si="5"/>
        <v>47522880</v>
      </c>
      <c r="C17" s="61">
        <v>47529020</v>
      </c>
      <c r="D17" s="249">
        <f t="shared" si="0"/>
        <v>6140</v>
      </c>
      <c r="F17" s="21">
        <f t="shared" si="6"/>
        <v>1283310</v>
      </c>
      <c r="G17" s="21">
        <v>1284070</v>
      </c>
      <c r="H17" s="21">
        <f t="shared" si="1"/>
        <v>760</v>
      </c>
      <c r="J17" s="90">
        <f t="shared" si="2"/>
        <v>30.7</v>
      </c>
      <c r="L17" s="8">
        <f t="shared" si="3"/>
        <v>16455.2</v>
      </c>
      <c r="M17" s="8">
        <f t="shared" si="4"/>
        <v>16.455200000000001</v>
      </c>
    </row>
    <row r="18" spans="1:13" x14ac:dyDescent="0.2">
      <c r="A18" s="91">
        <v>14</v>
      </c>
      <c r="B18" s="61">
        <f t="shared" si="5"/>
        <v>47529020</v>
      </c>
      <c r="C18" s="61">
        <v>47535110</v>
      </c>
      <c r="D18" s="249">
        <f t="shared" si="0"/>
        <v>6090</v>
      </c>
      <c r="F18" s="21">
        <f t="shared" si="6"/>
        <v>1284070</v>
      </c>
      <c r="G18" s="21">
        <v>1284210</v>
      </c>
      <c r="H18" s="21">
        <f t="shared" si="1"/>
        <v>140</v>
      </c>
      <c r="J18" s="90">
        <f t="shared" si="2"/>
        <v>30.45</v>
      </c>
      <c r="L18" s="8">
        <f t="shared" si="3"/>
        <v>16321.2</v>
      </c>
      <c r="M18" s="8">
        <f t="shared" si="4"/>
        <v>16.321200000000001</v>
      </c>
    </row>
    <row r="19" spans="1:13" x14ac:dyDescent="0.2">
      <c r="A19" s="91">
        <v>15</v>
      </c>
      <c r="B19" s="61">
        <f t="shared" si="5"/>
        <v>47535110</v>
      </c>
      <c r="C19" s="61">
        <v>47541560</v>
      </c>
      <c r="D19" s="249">
        <f t="shared" si="0"/>
        <v>6450</v>
      </c>
      <c r="F19" s="21">
        <f t="shared" si="6"/>
        <v>1284210</v>
      </c>
      <c r="G19" s="21">
        <v>1286750</v>
      </c>
      <c r="H19" s="21">
        <f t="shared" si="1"/>
        <v>2540</v>
      </c>
      <c r="J19" s="90">
        <f t="shared" si="2"/>
        <v>32.25</v>
      </c>
      <c r="L19" s="8">
        <f t="shared" si="3"/>
        <v>17286</v>
      </c>
      <c r="M19" s="8">
        <f t="shared" si="4"/>
        <v>17.286000000000001</v>
      </c>
    </row>
    <row r="20" spans="1:13" x14ac:dyDescent="0.2">
      <c r="A20" s="91">
        <v>16</v>
      </c>
      <c r="B20" s="61">
        <f t="shared" si="5"/>
        <v>47541560</v>
      </c>
      <c r="C20" s="61">
        <v>47547760</v>
      </c>
      <c r="D20" s="249">
        <f t="shared" si="0"/>
        <v>6200</v>
      </c>
      <c r="F20" s="21">
        <f t="shared" si="6"/>
        <v>1286750</v>
      </c>
      <c r="G20" s="21">
        <v>1287260</v>
      </c>
      <c r="H20" s="21">
        <f t="shared" si="1"/>
        <v>510</v>
      </c>
      <c r="J20" s="90">
        <f t="shared" si="2"/>
        <v>31</v>
      </c>
      <c r="L20" s="8">
        <f t="shared" si="3"/>
        <v>16616</v>
      </c>
      <c r="M20" s="8">
        <f t="shared" si="4"/>
        <v>16.616</v>
      </c>
    </row>
    <row r="21" spans="1:13" x14ac:dyDescent="0.2">
      <c r="A21" s="91">
        <v>17</v>
      </c>
      <c r="B21" s="61">
        <f t="shared" si="5"/>
        <v>47547760</v>
      </c>
      <c r="C21" s="61">
        <v>47554060</v>
      </c>
      <c r="D21" s="249">
        <f t="shared" si="0"/>
        <v>6300</v>
      </c>
      <c r="F21" s="21">
        <f t="shared" si="6"/>
        <v>1287260</v>
      </c>
      <c r="G21" s="21">
        <v>1288610</v>
      </c>
      <c r="H21" s="21">
        <f t="shared" si="1"/>
        <v>1350</v>
      </c>
      <c r="J21" s="90">
        <f t="shared" si="2"/>
        <v>31.5</v>
      </c>
      <c r="L21" s="8">
        <f t="shared" si="3"/>
        <v>16884</v>
      </c>
      <c r="M21" s="8">
        <f t="shared" si="4"/>
        <v>16.884</v>
      </c>
    </row>
    <row r="22" spans="1:13" x14ac:dyDescent="0.2">
      <c r="A22" s="91">
        <v>18</v>
      </c>
      <c r="B22" s="61">
        <f t="shared" si="5"/>
        <v>47554060</v>
      </c>
      <c r="C22" s="61">
        <v>47560440</v>
      </c>
      <c r="D22" s="249">
        <f t="shared" si="0"/>
        <v>6380</v>
      </c>
      <c r="F22" s="21">
        <f t="shared" si="6"/>
        <v>1288610</v>
      </c>
      <c r="G22" s="21">
        <v>1288610</v>
      </c>
      <c r="H22" s="21">
        <f t="shared" si="1"/>
        <v>0</v>
      </c>
      <c r="J22" s="90">
        <f t="shared" si="2"/>
        <v>31.9</v>
      </c>
      <c r="L22" s="8">
        <f t="shared" si="3"/>
        <v>17098.400000000001</v>
      </c>
      <c r="M22" s="8">
        <f t="shared" si="4"/>
        <v>17.098400000000002</v>
      </c>
    </row>
    <row r="23" spans="1:13" x14ac:dyDescent="0.2">
      <c r="A23" s="91">
        <v>19</v>
      </c>
      <c r="B23" s="61">
        <f t="shared" si="5"/>
        <v>47560440</v>
      </c>
      <c r="C23" s="61">
        <v>47567040</v>
      </c>
      <c r="D23" s="249">
        <f t="shared" si="0"/>
        <v>6600</v>
      </c>
      <c r="F23" s="21">
        <f t="shared" si="6"/>
        <v>1288610</v>
      </c>
      <c r="G23" s="21">
        <v>1290970</v>
      </c>
      <c r="H23" s="21">
        <f t="shared" si="1"/>
        <v>2360</v>
      </c>
      <c r="J23" s="90">
        <f t="shared" si="2"/>
        <v>33</v>
      </c>
      <c r="L23" s="8">
        <f t="shared" si="3"/>
        <v>17688</v>
      </c>
      <c r="M23" s="8">
        <f t="shared" si="4"/>
        <v>17.687999999999999</v>
      </c>
    </row>
    <row r="24" spans="1:13" x14ac:dyDescent="0.2">
      <c r="A24" s="91">
        <v>20</v>
      </c>
      <c r="B24" s="61">
        <f t="shared" si="5"/>
        <v>47567040</v>
      </c>
      <c r="C24" s="61">
        <v>47573360</v>
      </c>
      <c r="D24" s="249">
        <f t="shared" si="0"/>
        <v>6320</v>
      </c>
      <c r="F24" s="21">
        <f t="shared" si="6"/>
        <v>1290970</v>
      </c>
      <c r="G24" s="21">
        <v>1291770</v>
      </c>
      <c r="H24" s="21">
        <f t="shared" si="1"/>
        <v>800</v>
      </c>
      <c r="J24" s="90">
        <f t="shared" si="2"/>
        <v>31.6</v>
      </c>
      <c r="L24" s="8">
        <f t="shared" si="3"/>
        <v>16937.600000000002</v>
      </c>
      <c r="M24" s="8">
        <f t="shared" si="4"/>
        <v>16.937600000000003</v>
      </c>
    </row>
    <row r="25" spans="1:13" x14ac:dyDescent="0.2">
      <c r="A25" s="91">
        <v>21</v>
      </c>
      <c r="B25" s="61">
        <f t="shared" si="5"/>
        <v>47573360</v>
      </c>
      <c r="C25" s="61">
        <v>47579350</v>
      </c>
      <c r="D25" s="249">
        <f t="shared" si="0"/>
        <v>5990</v>
      </c>
      <c r="F25" s="21">
        <f t="shared" si="6"/>
        <v>1291770</v>
      </c>
      <c r="G25" s="21">
        <v>1291770</v>
      </c>
      <c r="H25" s="21">
        <f t="shared" si="1"/>
        <v>0</v>
      </c>
      <c r="J25" s="90">
        <f t="shared" si="2"/>
        <v>29.95</v>
      </c>
      <c r="L25" s="8">
        <f t="shared" si="3"/>
        <v>16053.2</v>
      </c>
      <c r="M25" s="8">
        <f t="shared" si="4"/>
        <v>16.0532</v>
      </c>
    </row>
    <row r="26" spans="1:13" x14ac:dyDescent="0.2">
      <c r="A26" s="91">
        <v>22</v>
      </c>
      <c r="B26" s="61">
        <f t="shared" si="5"/>
        <v>47579350</v>
      </c>
      <c r="C26" s="61">
        <v>47585400</v>
      </c>
      <c r="D26" s="249">
        <f t="shared" si="0"/>
        <v>6050</v>
      </c>
      <c r="F26" s="21">
        <f t="shared" si="6"/>
        <v>1291770</v>
      </c>
      <c r="G26" s="21">
        <v>1293820</v>
      </c>
      <c r="H26" s="21">
        <f t="shared" si="1"/>
        <v>2050</v>
      </c>
      <c r="J26" s="90">
        <f t="shared" si="2"/>
        <v>30.25</v>
      </c>
      <c r="L26" s="8">
        <f t="shared" si="3"/>
        <v>16214.000000000002</v>
      </c>
      <c r="M26" s="8">
        <f t="shared" si="4"/>
        <v>16.214000000000002</v>
      </c>
    </row>
    <row r="27" spans="1:13" x14ac:dyDescent="0.2">
      <c r="A27" s="91">
        <v>23</v>
      </c>
      <c r="B27" s="61">
        <f t="shared" si="5"/>
        <v>47585400</v>
      </c>
      <c r="C27" s="61">
        <v>47592010</v>
      </c>
      <c r="D27" s="249">
        <f t="shared" si="0"/>
        <v>6610</v>
      </c>
      <c r="F27" s="21">
        <f t="shared" si="6"/>
        <v>1293820</v>
      </c>
      <c r="G27" s="21">
        <v>1294610</v>
      </c>
      <c r="H27" s="21">
        <f t="shared" si="1"/>
        <v>790</v>
      </c>
      <c r="J27" s="90">
        <f t="shared" si="2"/>
        <v>33.049999999999997</v>
      </c>
      <c r="L27" s="8">
        <f t="shared" si="3"/>
        <v>17714.8</v>
      </c>
      <c r="M27" s="8">
        <f t="shared" si="4"/>
        <v>17.7148</v>
      </c>
    </row>
    <row r="28" spans="1:13" x14ac:dyDescent="0.2">
      <c r="A28" s="91">
        <v>24</v>
      </c>
      <c r="B28" s="61">
        <f t="shared" si="5"/>
        <v>47592010</v>
      </c>
      <c r="C28" s="61">
        <v>47598850</v>
      </c>
      <c r="D28" s="249">
        <f t="shared" si="0"/>
        <v>6840</v>
      </c>
      <c r="F28" s="21">
        <f t="shared" si="6"/>
        <v>1294610</v>
      </c>
      <c r="G28" s="21">
        <v>1294770</v>
      </c>
      <c r="H28" s="21">
        <f t="shared" si="1"/>
        <v>160</v>
      </c>
      <c r="J28" s="90">
        <f t="shared" si="2"/>
        <v>34.200000000000003</v>
      </c>
      <c r="L28" s="8">
        <f t="shared" si="3"/>
        <v>18331.2</v>
      </c>
      <c r="M28" s="8">
        <f>L28/1000</f>
        <v>18.331199999999999</v>
      </c>
    </row>
    <row r="29" spans="1:13" x14ac:dyDescent="0.2">
      <c r="A29" s="91">
        <v>25</v>
      </c>
      <c r="B29" s="61">
        <f t="shared" si="5"/>
        <v>47598850</v>
      </c>
      <c r="C29" s="61">
        <v>47606000</v>
      </c>
      <c r="D29" s="249">
        <f t="shared" si="0"/>
        <v>7150</v>
      </c>
      <c r="E29" s="3"/>
      <c r="F29" s="21">
        <f t="shared" si="6"/>
        <v>1294770</v>
      </c>
      <c r="G29" s="21">
        <v>1295180</v>
      </c>
      <c r="H29" s="21">
        <f t="shared" si="1"/>
        <v>410</v>
      </c>
      <c r="J29" s="90">
        <f t="shared" si="2"/>
        <v>35.75</v>
      </c>
      <c r="L29" s="8">
        <f t="shared" si="3"/>
        <v>19162</v>
      </c>
      <c r="M29" s="8">
        <f t="shared" si="4"/>
        <v>19.161999999999999</v>
      </c>
    </row>
    <row r="30" spans="1:13" x14ac:dyDescent="0.2">
      <c r="A30" s="91">
        <v>26</v>
      </c>
      <c r="B30" s="61">
        <f t="shared" si="5"/>
        <v>47606000</v>
      </c>
      <c r="C30" s="61">
        <v>47612720</v>
      </c>
      <c r="D30" s="249">
        <f t="shared" si="0"/>
        <v>6720</v>
      </c>
      <c r="F30" s="21">
        <f t="shared" si="6"/>
        <v>1295180</v>
      </c>
      <c r="G30" s="21">
        <v>1297330</v>
      </c>
      <c r="H30" s="21">
        <f t="shared" si="1"/>
        <v>2150</v>
      </c>
      <c r="J30" s="90">
        <f t="shared" si="2"/>
        <v>33.6</v>
      </c>
      <c r="L30" s="8">
        <f t="shared" si="3"/>
        <v>18009.600000000002</v>
      </c>
      <c r="M30" s="8">
        <f t="shared" si="4"/>
        <v>18.009600000000002</v>
      </c>
    </row>
    <row r="31" spans="1:13" x14ac:dyDescent="0.2">
      <c r="A31" s="91">
        <v>27</v>
      </c>
      <c r="B31" s="61">
        <f t="shared" si="5"/>
        <v>47612720</v>
      </c>
      <c r="C31" s="61">
        <v>47619440</v>
      </c>
      <c r="D31" s="249">
        <f t="shared" si="0"/>
        <v>6720</v>
      </c>
      <c r="F31" s="21">
        <f t="shared" si="6"/>
        <v>1297330</v>
      </c>
      <c r="G31" s="21">
        <v>1298410</v>
      </c>
      <c r="H31" s="21">
        <f t="shared" si="1"/>
        <v>1080</v>
      </c>
      <c r="J31" s="90">
        <f t="shared" si="2"/>
        <v>33.6</v>
      </c>
      <c r="L31" s="8">
        <f t="shared" si="3"/>
        <v>18009.600000000002</v>
      </c>
      <c r="M31" s="8">
        <f t="shared" si="4"/>
        <v>18.009600000000002</v>
      </c>
    </row>
    <row r="32" spans="1:13" x14ac:dyDescent="0.2">
      <c r="A32" s="91">
        <v>28</v>
      </c>
      <c r="B32" s="61">
        <f t="shared" si="5"/>
        <v>47619440</v>
      </c>
      <c r="C32" s="61">
        <v>47626130</v>
      </c>
      <c r="D32" s="249">
        <f t="shared" si="0"/>
        <v>6690</v>
      </c>
      <c r="F32" s="21">
        <f t="shared" si="6"/>
        <v>1298410</v>
      </c>
      <c r="G32" s="21">
        <v>1298550</v>
      </c>
      <c r="H32" s="21">
        <f t="shared" si="1"/>
        <v>140</v>
      </c>
      <c r="J32" s="90">
        <f t="shared" si="2"/>
        <v>33.450000000000003</v>
      </c>
      <c r="L32" s="8">
        <f t="shared" si="3"/>
        <v>17929.2</v>
      </c>
      <c r="M32" s="8">
        <f t="shared" si="4"/>
        <v>17.929200000000002</v>
      </c>
    </row>
    <row r="33" spans="1:13" x14ac:dyDescent="0.2">
      <c r="A33" s="91">
        <v>29</v>
      </c>
      <c r="B33" s="61">
        <f t="shared" si="5"/>
        <v>47626130</v>
      </c>
      <c r="C33" s="61">
        <v>47632980</v>
      </c>
      <c r="D33" s="249">
        <f t="shared" si="0"/>
        <v>6850</v>
      </c>
      <c r="F33" s="21">
        <f t="shared" si="6"/>
        <v>1298550</v>
      </c>
      <c r="G33" s="21">
        <v>1300410</v>
      </c>
      <c r="H33" s="21">
        <f t="shared" si="1"/>
        <v>1860</v>
      </c>
      <c r="J33" s="90">
        <f t="shared" si="2"/>
        <v>34.25</v>
      </c>
      <c r="L33" s="8">
        <f t="shared" si="3"/>
        <v>18358</v>
      </c>
      <c r="M33" s="8">
        <f t="shared" si="4"/>
        <v>18.358000000000001</v>
      </c>
    </row>
    <row r="34" spans="1:13" x14ac:dyDescent="0.2">
      <c r="A34" s="91">
        <v>30</v>
      </c>
      <c r="B34" s="61">
        <f t="shared" si="5"/>
        <v>47632980</v>
      </c>
      <c r="C34" s="61">
        <v>47638940</v>
      </c>
      <c r="D34" s="249">
        <f t="shared" si="0"/>
        <v>5960</v>
      </c>
      <c r="F34" s="21">
        <f t="shared" si="6"/>
        <v>1300410</v>
      </c>
      <c r="G34" s="21">
        <v>1301040</v>
      </c>
      <c r="H34" s="21">
        <f t="shared" si="1"/>
        <v>630</v>
      </c>
      <c r="J34" s="90">
        <f t="shared" si="2"/>
        <v>29.8</v>
      </c>
      <c r="L34" s="8">
        <f t="shared" si="3"/>
        <v>15972.800000000001</v>
      </c>
      <c r="M34" s="8">
        <f t="shared" si="4"/>
        <v>15.972800000000001</v>
      </c>
    </row>
    <row r="35" spans="1:13" x14ac:dyDescent="0.2">
      <c r="A35" s="91">
        <v>31</v>
      </c>
      <c r="B35" s="61">
        <f t="shared" si="5"/>
        <v>47638940</v>
      </c>
      <c r="C35" s="61"/>
      <c r="D35" s="249">
        <f t="shared" si="0"/>
        <v>0</v>
      </c>
      <c r="F35" s="21">
        <f>G34</f>
        <v>1301040</v>
      </c>
      <c r="G35" s="21"/>
      <c r="H35" s="21">
        <f t="shared" si="1"/>
        <v>0</v>
      </c>
      <c r="J35" s="90">
        <f t="shared" si="2"/>
        <v>0</v>
      </c>
      <c r="L35" s="8">
        <f t="shared" si="3"/>
        <v>0</v>
      </c>
      <c r="M35" s="8"/>
    </row>
    <row r="36" spans="1:13" ht="13.5" thickBot="1" x14ac:dyDescent="0.25">
      <c r="D36" s="250">
        <f>SUM(D5:D35)</f>
        <v>186180</v>
      </c>
      <c r="F36" s="88"/>
      <c r="G36" s="266"/>
      <c r="H36" s="21"/>
      <c r="J36" s="90">
        <f>SUM(J5:J34)</f>
        <v>930.90000000000009</v>
      </c>
      <c r="L36" s="8">
        <f>2.68*D36</f>
        <v>498962.4</v>
      </c>
      <c r="M36" s="8">
        <f t="shared" si="4"/>
        <v>498.9624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C39" sqref="C39"/>
    </sheetView>
  </sheetViews>
  <sheetFormatPr defaultRowHeight="12.75" x14ac:dyDescent="0.2"/>
  <cols>
    <col min="1" max="1" width="5.28515625" style="116" customWidth="1"/>
    <col min="2" max="2" width="12.7109375" customWidth="1"/>
    <col min="3" max="3" width="9.85546875" customWidth="1"/>
    <col min="4" max="4" width="16.140625" style="2" customWidth="1"/>
    <col min="5" max="5" width="16.28515625" style="93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56"/>
      <c r="D1" s="356"/>
    </row>
    <row r="2" spans="1:11" hidden="1" x14ac:dyDescent="0.2">
      <c r="B2" s="17"/>
      <c r="C2" s="356"/>
      <c r="D2" s="356"/>
    </row>
    <row r="3" spans="1:11" ht="20.25" x14ac:dyDescent="0.2">
      <c r="B3" s="18"/>
      <c r="C3" s="63" t="s">
        <v>43</v>
      </c>
      <c r="D3" s="64"/>
    </row>
    <row r="4" spans="1:11" ht="3" customHeight="1" x14ac:dyDescent="0.2">
      <c r="B4" s="17"/>
      <c r="C4" s="65"/>
      <c r="D4" s="64"/>
    </row>
    <row r="5" spans="1:11" ht="14.25" customHeight="1" x14ac:dyDescent="0.2">
      <c r="A5" s="4"/>
      <c r="B5" s="73">
        <v>44806</v>
      </c>
      <c r="C5" s="65"/>
      <c r="D5" s="64"/>
    </row>
    <row r="6" spans="1:11" x14ac:dyDescent="0.2">
      <c r="B6" s="17"/>
      <c r="C6" s="17"/>
      <c r="D6" s="66"/>
    </row>
    <row r="7" spans="1:11" ht="20.25" customHeight="1" x14ac:dyDescent="0.2">
      <c r="A7" s="262"/>
      <c r="B7" s="378" t="s">
        <v>160</v>
      </c>
      <c r="C7" s="379"/>
      <c r="D7" s="379"/>
      <c r="E7" s="379"/>
      <c r="F7" s="379"/>
    </row>
    <row r="8" spans="1:11" ht="38.25" x14ac:dyDescent="0.2">
      <c r="A8" s="262" t="s">
        <v>5</v>
      </c>
      <c r="B8" s="263" t="s">
        <v>19</v>
      </c>
      <c r="C8" s="264" t="s">
        <v>20</v>
      </c>
      <c r="D8" s="265" t="s">
        <v>29</v>
      </c>
      <c r="E8" s="263" t="s">
        <v>120</v>
      </c>
      <c r="F8" s="263" t="s">
        <v>159</v>
      </c>
    </row>
    <row r="9" spans="1:11" x14ac:dyDescent="0.2">
      <c r="A9" s="261">
        <v>1</v>
      </c>
      <c r="B9" s="32">
        <v>3938228</v>
      </c>
      <c r="C9" s="32">
        <v>3940122</v>
      </c>
      <c r="D9" s="67">
        <f>MAX(0,C9-B9)</f>
        <v>1894</v>
      </c>
      <c r="E9" s="301"/>
      <c r="F9" s="294"/>
    </row>
    <row r="10" spans="1:11" x14ac:dyDescent="0.2">
      <c r="A10" s="69">
        <v>2</v>
      </c>
      <c r="B10" s="32">
        <f>C9</f>
        <v>3940122</v>
      </c>
      <c r="C10" s="32">
        <v>3942896</v>
      </c>
      <c r="D10" s="67">
        <f t="shared" ref="D10:D39" si="0">MAX(0,C10-B10)</f>
        <v>2774</v>
      </c>
      <c r="E10" s="301"/>
      <c r="F10" s="294"/>
    </row>
    <row r="11" spans="1:11" x14ac:dyDescent="0.2">
      <c r="A11" s="116">
        <v>3</v>
      </c>
      <c r="B11" s="32">
        <f t="shared" ref="B11:B39" si="1">C10</f>
        <v>3942896</v>
      </c>
      <c r="C11" s="32">
        <v>3945707</v>
      </c>
      <c r="D11" s="67">
        <f t="shared" si="0"/>
        <v>2811</v>
      </c>
      <c r="E11" s="301"/>
      <c r="F11" s="294"/>
    </row>
    <row r="12" spans="1:11" x14ac:dyDescent="0.2">
      <c r="A12" s="69">
        <v>4</v>
      </c>
      <c r="B12" s="32">
        <f t="shared" si="1"/>
        <v>3945707</v>
      </c>
      <c r="C12" s="32">
        <v>3947816</v>
      </c>
      <c r="D12" s="67">
        <f t="shared" si="0"/>
        <v>2109</v>
      </c>
      <c r="E12" s="301"/>
      <c r="F12" s="294"/>
    </row>
    <row r="13" spans="1:11" x14ac:dyDescent="0.2">
      <c r="A13" s="116">
        <v>5</v>
      </c>
      <c r="B13" s="32">
        <f t="shared" si="1"/>
        <v>3947816</v>
      </c>
      <c r="C13" s="32">
        <v>3948695</v>
      </c>
      <c r="D13" s="67">
        <f t="shared" si="0"/>
        <v>879</v>
      </c>
      <c r="E13" s="301"/>
      <c r="F13" s="294"/>
      <c r="J13" t="s">
        <v>59</v>
      </c>
      <c r="K13" t="s">
        <v>167</v>
      </c>
    </row>
    <row r="14" spans="1:11" x14ac:dyDescent="0.2">
      <c r="A14" s="69">
        <v>6</v>
      </c>
      <c r="B14" s="32">
        <f t="shared" si="1"/>
        <v>3948695</v>
      </c>
      <c r="C14" s="32">
        <v>3950466</v>
      </c>
      <c r="D14" s="67">
        <f t="shared" si="0"/>
        <v>1771</v>
      </c>
      <c r="E14" s="301"/>
      <c r="F14" s="294"/>
      <c r="J14" s="89" t="s">
        <v>60</v>
      </c>
      <c r="K14" t="s">
        <v>168</v>
      </c>
    </row>
    <row r="15" spans="1:11" x14ac:dyDescent="0.2">
      <c r="A15" s="116">
        <v>7</v>
      </c>
      <c r="B15" s="32">
        <f t="shared" si="1"/>
        <v>3950466</v>
      </c>
      <c r="C15" s="32">
        <v>3953043</v>
      </c>
      <c r="D15" s="67">
        <f t="shared" si="0"/>
        <v>2577</v>
      </c>
      <c r="E15" s="301"/>
      <c r="F15" s="294"/>
    </row>
    <row r="16" spans="1:11" x14ac:dyDescent="0.2">
      <c r="A16" s="69">
        <v>8</v>
      </c>
      <c r="B16" s="32">
        <f t="shared" si="1"/>
        <v>3953043</v>
      </c>
      <c r="C16" s="32">
        <v>3955850</v>
      </c>
      <c r="D16" s="67">
        <f t="shared" si="0"/>
        <v>2807</v>
      </c>
      <c r="E16" s="301"/>
      <c r="F16" s="294"/>
    </row>
    <row r="17" spans="1:10" x14ac:dyDescent="0.2">
      <c r="A17" s="116">
        <v>9</v>
      </c>
      <c r="B17" s="32">
        <f t="shared" si="1"/>
        <v>3955850</v>
      </c>
      <c r="C17" s="32">
        <v>3959028</v>
      </c>
      <c r="D17" s="67">
        <f t="shared" si="0"/>
        <v>3178</v>
      </c>
      <c r="E17" s="70"/>
      <c r="F17" s="294"/>
    </row>
    <row r="18" spans="1:10" x14ac:dyDescent="0.2">
      <c r="A18" s="69">
        <v>10</v>
      </c>
      <c r="B18" s="32">
        <f t="shared" si="1"/>
        <v>3959028</v>
      </c>
      <c r="C18" s="32">
        <v>3962254</v>
      </c>
      <c r="D18" s="67">
        <f t="shared" si="0"/>
        <v>3226</v>
      </c>
      <c r="E18" s="70"/>
      <c r="F18" s="294"/>
    </row>
    <row r="19" spans="1:10" x14ac:dyDescent="0.2">
      <c r="A19" s="116">
        <v>11</v>
      </c>
      <c r="B19" s="32">
        <f t="shared" si="1"/>
        <v>3962254</v>
      </c>
      <c r="C19" s="32">
        <v>3965426</v>
      </c>
      <c r="D19" s="67">
        <f t="shared" si="0"/>
        <v>3172</v>
      </c>
      <c r="E19" s="70"/>
      <c r="F19" s="294"/>
    </row>
    <row r="20" spans="1:10" x14ac:dyDescent="0.2">
      <c r="A20" s="69">
        <v>12</v>
      </c>
      <c r="B20" s="32">
        <f t="shared" si="1"/>
        <v>3965426</v>
      </c>
      <c r="C20" s="32">
        <v>3968663</v>
      </c>
      <c r="D20" s="67">
        <f t="shared" si="0"/>
        <v>3237</v>
      </c>
      <c r="E20" s="70"/>
      <c r="F20" s="294"/>
    </row>
    <row r="21" spans="1:10" x14ac:dyDescent="0.2">
      <c r="A21" s="116">
        <v>13</v>
      </c>
      <c r="B21" s="32">
        <f t="shared" si="1"/>
        <v>3968663</v>
      </c>
      <c r="C21" s="32">
        <v>3972019</v>
      </c>
      <c r="D21" s="67">
        <f t="shared" si="0"/>
        <v>3356</v>
      </c>
      <c r="E21" s="70"/>
      <c r="F21" s="294"/>
    </row>
    <row r="22" spans="1:10" x14ac:dyDescent="0.2">
      <c r="A22" s="69">
        <v>14</v>
      </c>
      <c r="B22" s="32">
        <f t="shared" si="1"/>
        <v>3972019</v>
      </c>
      <c r="C22" s="32">
        <v>3975042</v>
      </c>
      <c r="D22" s="67">
        <f t="shared" si="0"/>
        <v>3023</v>
      </c>
      <c r="E22" s="70"/>
      <c r="F22" s="294"/>
    </row>
    <row r="23" spans="1:10" x14ac:dyDescent="0.2">
      <c r="A23" s="116">
        <v>15</v>
      </c>
      <c r="B23" s="32">
        <f t="shared" si="1"/>
        <v>3975042</v>
      </c>
      <c r="C23" s="32">
        <v>3977952</v>
      </c>
      <c r="D23" s="67">
        <f t="shared" si="0"/>
        <v>2910</v>
      </c>
      <c r="E23" s="70"/>
      <c r="F23" s="294"/>
    </row>
    <row r="24" spans="1:10" x14ac:dyDescent="0.2">
      <c r="A24" s="69">
        <v>16</v>
      </c>
      <c r="B24" s="32">
        <f t="shared" si="1"/>
        <v>3977952</v>
      </c>
      <c r="C24" s="32">
        <v>3981057</v>
      </c>
      <c r="D24" s="67">
        <f t="shared" si="0"/>
        <v>3105</v>
      </c>
      <c r="E24" s="70"/>
      <c r="F24" s="294"/>
    </row>
    <row r="25" spans="1:10" x14ac:dyDescent="0.2">
      <c r="A25" s="116">
        <v>17</v>
      </c>
      <c r="B25" s="32">
        <f t="shared" si="1"/>
        <v>3981057</v>
      </c>
      <c r="C25" s="32">
        <v>3984442</v>
      </c>
      <c r="D25" s="67">
        <f t="shared" si="0"/>
        <v>3385</v>
      </c>
      <c r="E25" s="70"/>
      <c r="F25" s="294"/>
    </row>
    <row r="26" spans="1:10" x14ac:dyDescent="0.2">
      <c r="A26" s="69">
        <v>18</v>
      </c>
      <c r="B26" s="32">
        <f t="shared" si="1"/>
        <v>3984442</v>
      </c>
      <c r="C26" s="32">
        <v>3987512</v>
      </c>
      <c r="D26" s="67">
        <f t="shared" si="0"/>
        <v>3070</v>
      </c>
      <c r="E26" s="70"/>
      <c r="F26" s="294"/>
      <c r="J26" s="3" t="s">
        <v>137</v>
      </c>
    </row>
    <row r="27" spans="1:10" x14ac:dyDescent="0.2">
      <c r="A27" s="116">
        <v>19</v>
      </c>
      <c r="B27" s="32">
        <f t="shared" si="1"/>
        <v>3987512</v>
      </c>
      <c r="C27" s="32">
        <v>3990670</v>
      </c>
      <c r="D27" s="67">
        <f t="shared" si="0"/>
        <v>3158</v>
      </c>
      <c r="E27" s="70"/>
      <c r="F27" s="294"/>
    </row>
    <row r="28" spans="1:10" x14ac:dyDescent="0.2">
      <c r="A28" s="69">
        <v>20</v>
      </c>
      <c r="B28" s="32">
        <f t="shared" si="1"/>
        <v>3990670</v>
      </c>
      <c r="C28" s="32">
        <v>3992101</v>
      </c>
      <c r="D28" s="67">
        <f t="shared" si="0"/>
        <v>1431</v>
      </c>
      <c r="E28" s="70"/>
      <c r="F28" s="294"/>
    </row>
    <row r="29" spans="1:10" x14ac:dyDescent="0.2">
      <c r="A29" s="116">
        <v>21</v>
      </c>
      <c r="B29" s="32">
        <f t="shared" si="1"/>
        <v>3992101</v>
      </c>
      <c r="C29" s="32">
        <v>3995366</v>
      </c>
      <c r="D29" s="67">
        <f t="shared" si="0"/>
        <v>3265</v>
      </c>
      <c r="E29" s="70"/>
      <c r="F29" s="294"/>
    </row>
    <row r="30" spans="1:10" x14ac:dyDescent="0.2">
      <c r="A30" s="69">
        <v>22</v>
      </c>
      <c r="B30" s="32">
        <f t="shared" si="1"/>
        <v>3995366</v>
      </c>
      <c r="C30" s="32">
        <v>3998737</v>
      </c>
      <c r="D30" s="67">
        <f t="shared" si="0"/>
        <v>3371</v>
      </c>
      <c r="E30" s="70"/>
      <c r="F30" s="294"/>
    </row>
    <row r="31" spans="1:10" x14ac:dyDescent="0.2">
      <c r="A31" s="116">
        <v>23</v>
      </c>
      <c r="B31" s="32">
        <f t="shared" si="1"/>
        <v>3998737</v>
      </c>
      <c r="C31" s="32">
        <v>4002052</v>
      </c>
      <c r="D31" s="67">
        <f t="shared" si="0"/>
        <v>3315</v>
      </c>
      <c r="E31" s="70"/>
      <c r="F31" s="294"/>
    </row>
    <row r="32" spans="1:10" x14ac:dyDescent="0.2">
      <c r="A32" s="69">
        <v>24</v>
      </c>
      <c r="B32" s="32">
        <f t="shared" si="1"/>
        <v>4002052</v>
      </c>
      <c r="C32" s="87">
        <v>4005165</v>
      </c>
      <c r="D32" s="67">
        <f t="shared" si="0"/>
        <v>3113</v>
      </c>
      <c r="E32" s="70"/>
      <c r="F32" s="294"/>
    </row>
    <row r="33" spans="1:6" x14ac:dyDescent="0.2">
      <c r="A33" s="116">
        <v>25</v>
      </c>
      <c r="B33" s="32">
        <f t="shared" si="1"/>
        <v>4005165</v>
      </c>
      <c r="C33" s="32">
        <v>4008109</v>
      </c>
      <c r="D33" s="67">
        <f t="shared" si="0"/>
        <v>2944</v>
      </c>
      <c r="E33" s="70"/>
      <c r="F33" s="294"/>
    </row>
    <row r="34" spans="1:6" x14ac:dyDescent="0.2">
      <c r="A34" s="69">
        <v>26</v>
      </c>
      <c r="B34" s="32">
        <f t="shared" si="1"/>
        <v>4008109</v>
      </c>
      <c r="C34" s="32">
        <v>4011212</v>
      </c>
      <c r="D34" s="67">
        <f t="shared" si="0"/>
        <v>3103</v>
      </c>
      <c r="E34" s="70"/>
      <c r="F34" s="294"/>
    </row>
    <row r="35" spans="1:6" x14ac:dyDescent="0.2">
      <c r="A35" s="116">
        <v>27</v>
      </c>
      <c r="B35" s="32">
        <f t="shared" si="1"/>
        <v>4011212</v>
      </c>
      <c r="C35" s="32">
        <v>4014393</v>
      </c>
      <c r="D35" s="67">
        <f t="shared" si="0"/>
        <v>3181</v>
      </c>
      <c r="E35" s="70"/>
      <c r="F35" s="294"/>
    </row>
    <row r="36" spans="1:6" x14ac:dyDescent="0.2">
      <c r="A36" s="69">
        <v>28</v>
      </c>
      <c r="B36" s="32">
        <f t="shared" si="1"/>
        <v>4014393</v>
      </c>
      <c r="C36" s="32">
        <v>4017575</v>
      </c>
      <c r="D36" s="67">
        <f>MAX(0,C36-B36)</f>
        <v>3182</v>
      </c>
      <c r="E36" s="70"/>
      <c r="F36" s="294"/>
    </row>
    <row r="37" spans="1:6" x14ac:dyDescent="0.2">
      <c r="A37" s="69">
        <v>29</v>
      </c>
      <c r="B37" s="32">
        <f t="shared" si="1"/>
        <v>4017575</v>
      </c>
      <c r="C37" s="32">
        <v>4020748</v>
      </c>
      <c r="D37" s="67">
        <f t="shared" si="0"/>
        <v>3173</v>
      </c>
      <c r="E37" s="70"/>
      <c r="F37" s="294"/>
    </row>
    <row r="38" spans="1:6" x14ac:dyDescent="0.2">
      <c r="A38" s="69">
        <v>30</v>
      </c>
      <c r="B38" s="32">
        <f t="shared" si="1"/>
        <v>4020748</v>
      </c>
      <c r="C38" s="32">
        <v>4022497</v>
      </c>
      <c r="D38" s="67">
        <f t="shared" si="0"/>
        <v>1749</v>
      </c>
      <c r="E38" s="70"/>
      <c r="F38" s="294"/>
    </row>
    <row r="39" spans="1:6" x14ac:dyDescent="0.2">
      <c r="A39" s="69">
        <v>31</v>
      </c>
      <c r="B39" s="32">
        <f t="shared" si="1"/>
        <v>4022497</v>
      </c>
      <c r="C39" s="32"/>
      <c r="D39" s="67">
        <f t="shared" si="0"/>
        <v>0</v>
      </c>
      <c r="E39" s="195"/>
      <c r="F39" s="294"/>
    </row>
    <row r="40" spans="1:6" ht="13.5" thickBot="1" x14ac:dyDescent="0.25">
      <c r="A40" s="116" t="s">
        <v>7</v>
      </c>
      <c r="B40" s="17"/>
      <c r="C40" s="17"/>
      <c r="D40" s="68">
        <f>SUM(D9:D39)</f>
        <v>84269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U5" activePane="bottomRight" state="frozen"/>
      <selection pane="topRight" activeCell="C1" sqref="C1"/>
      <selection pane="bottomLeft" activeCell="A5" sqref="A5"/>
      <selection pane="bottomRight" activeCell="EU34" sqref="EU34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9" customWidth="1"/>
    <col min="185" max="185" width="11.28515625" style="93" bestFit="1" customWidth="1"/>
    <col min="187" max="187" width="11.28515625" bestFit="1" customWidth="1"/>
    <col min="189" max="189" width="11.28515625" bestFit="1" customWidth="1"/>
    <col min="191" max="191" width="11.28515625" style="93" bestFit="1" customWidth="1"/>
    <col min="193" max="193" width="11.28515625" style="93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385">
        <v>44806</v>
      </c>
      <c r="B1" s="385"/>
      <c r="C1" s="385"/>
      <c r="D1" s="384"/>
      <c r="E1" s="384"/>
      <c r="F1" s="384"/>
      <c r="G1" s="384"/>
      <c r="H1" s="384"/>
      <c r="I1" s="384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8"/>
      <c r="GC1" s="394" t="s">
        <v>140</v>
      </c>
      <c r="GD1" s="394"/>
      <c r="GE1" s="394"/>
      <c r="GF1" s="394"/>
      <c r="GG1" s="394"/>
      <c r="GH1" s="394"/>
      <c r="GI1" s="394"/>
      <c r="GJ1" s="394"/>
      <c r="GK1" s="394"/>
      <c r="GL1" s="394"/>
      <c r="GM1" s="394"/>
      <c r="GN1" s="394"/>
    </row>
    <row r="2" spans="1:196" ht="23.25" customHeight="1" thickBot="1" x14ac:dyDescent="0.25">
      <c r="A2" s="223" t="s">
        <v>44</v>
      </c>
      <c r="B2" s="223"/>
      <c r="GC2" s="395"/>
      <c r="GD2" s="395"/>
      <c r="GE2" s="395"/>
      <c r="GF2" s="395"/>
      <c r="GG2" s="395"/>
      <c r="GH2" s="395"/>
      <c r="GI2" s="395"/>
      <c r="GJ2" s="395"/>
      <c r="GK2" s="395"/>
      <c r="GL2" s="395"/>
      <c r="GM2" s="395"/>
      <c r="GN2" s="395"/>
    </row>
    <row r="3" spans="1:196" s="80" customFormat="1" ht="15.75" customHeight="1" thickBot="1" x14ac:dyDescent="0.25">
      <c r="A3" s="270"/>
      <c r="B3" s="270"/>
      <c r="C3" s="386" t="s">
        <v>149</v>
      </c>
      <c r="D3" s="386"/>
      <c r="E3" s="386"/>
      <c r="F3" s="386"/>
      <c r="G3" s="386"/>
      <c r="H3" s="387" t="s">
        <v>150</v>
      </c>
      <c r="I3" s="386"/>
      <c r="J3" s="386"/>
      <c r="K3" s="386"/>
      <c r="L3" s="388"/>
      <c r="M3" s="383" t="s">
        <v>156</v>
      </c>
      <c r="N3" s="383"/>
      <c r="O3" s="383"/>
      <c r="P3" s="383"/>
      <c r="Q3" s="383"/>
      <c r="R3" s="383" t="s">
        <v>45</v>
      </c>
      <c r="S3" s="383"/>
      <c r="T3" s="383"/>
      <c r="U3" s="383"/>
      <c r="V3" s="383"/>
      <c r="W3" s="383" t="s">
        <v>46</v>
      </c>
      <c r="X3" s="383"/>
      <c r="Y3" s="383"/>
      <c r="Z3" s="383"/>
      <c r="AA3" s="383"/>
      <c r="AB3" s="383" t="s">
        <v>47</v>
      </c>
      <c r="AC3" s="383"/>
      <c r="AD3" s="383"/>
      <c r="AE3" s="383"/>
      <c r="AF3" s="383"/>
      <c r="AG3" s="383"/>
      <c r="AH3" s="383" t="s">
        <v>48</v>
      </c>
      <c r="AI3" s="383"/>
      <c r="AJ3" s="383"/>
      <c r="AK3" s="383"/>
      <c r="AL3" s="383"/>
      <c r="AM3" s="383" t="s">
        <v>174</v>
      </c>
      <c r="AN3" s="383"/>
      <c r="AO3" s="383"/>
      <c r="AP3" s="383"/>
      <c r="AQ3" s="383"/>
      <c r="AR3" s="383" t="s">
        <v>173</v>
      </c>
      <c r="AS3" s="383"/>
      <c r="AT3" s="383"/>
      <c r="AU3" s="383"/>
      <c r="AV3" s="383"/>
      <c r="AW3" s="383" t="s">
        <v>68</v>
      </c>
      <c r="AX3" s="383"/>
      <c r="AY3" s="383"/>
      <c r="AZ3" s="383"/>
      <c r="BA3" s="383"/>
      <c r="BB3" s="383" t="s">
        <v>66</v>
      </c>
      <c r="BC3" s="383"/>
      <c r="BD3" s="383"/>
      <c r="BE3" s="383"/>
      <c r="BF3" s="383"/>
      <c r="BG3" s="383" t="s">
        <v>67</v>
      </c>
      <c r="BH3" s="383"/>
      <c r="BI3" s="383"/>
      <c r="BJ3" s="383"/>
      <c r="BK3" s="383"/>
      <c r="BL3" s="383" t="s">
        <v>151</v>
      </c>
      <c r="BM3" s="383"/>
      <c r="BN3" s="383"/>
      <c r="BO3" s="383"/>
      <c r="BP3" s="383"/>
      <c r="BQ3" s="383" t="s">
        <v>152</v>
      </c>
      <c r="BR3" s="383"/>
      <c r="BS3" s="383"/>
      <c r="BT3" s="383"/>
      <c r="BU3" s="383"/>
      <c r="BV3" s="383" t="s">
        <v>133</v>
      </c>
      <c r="BW3" s="383"/>
      <c r="BX3" s="383"/>
      <c r="BY3" s="383"/>
      <c r="BZ3" s="383"/>
      <c r="CA3" s="383" t="s">
        <v>153</v>
      </c>
      <c r="CB3" s="383"/>
      <c r="CC3" s="383"/>
      <c r="CD3" s="383"/>
      <c r="CE3" s="383"/>
      <c r="CF3" s="383" t="s">
        <v>154</v>
      </c>
      <c r="CG3" s="383"/>
      <c r="CH3" s="383"/>
      <c r="CI3" s="383"/>
      <c r="CJ3" s="383"/>
      <c r="CK3" s="380" t="s">
        <v>63</v>
      </c>
      <c r="CL3" s="381"/>
      <c r="CM3" s="381"/>
      <c r="CN3" s="381"/>
      <c r="CO3" s="382"/>
      <c r="CP3" s="380" t="s">
        <v>54</v>
      </c>
      <c r="CQ3" s="381"/>
      <c r="CR3" s="381"/>
      <c r="CS3" s="381"/>
      <c r="CT3" s="382"/>
      <c r="CU3" s="380" t="s">
        <v>55</v>
      </c>
      <c r="CV3" s="381"/>
      <c r="CW3" s="381"/>
      <c r="CX3" s="381"/>
      <c r="CY3" s="382"/>
      <c r="CZ3" s="380" t="s">
        <v>56</v>
      </c>
      <c r="DA3" s="381"/>
      <c r="DB3" s="381"/>
      <c r="DC3" s="381"/>
      <c r="DD3" s="382"/>
      <c r="DE3" s="380" t="s">
        <v>57</v>
      </c>
      <c r="DF3" s="381"/>
      <c r="DG3" s="381"/>
      <c r="DH3" s="381"/>
      <c r="DI3" s="382"/>
      <c r="DJ3" s="380" t="s">
        <v>65</v>
      </c>
      <c r="DK3" s="381"/>
      <c r="DL3" s="381"/>
      <c r="DM3" s="381"/>
      <c r="DN3" s="382"/>
      <c r="DO3" s="380" t="s">
        <v>76</v>
      </c>
      <c r="DP3" s="381"/>
      <c r="DQ3" s="381"/>
      <c r="DR3" s="381"/>
      <c r="DS3" s="382"/>
      <c r="DT3" s="380" t="s">
        <v>77</v>
      </c>
      <c r="DU3" s="381"/>
      <c r="DV3" s="381"/>
      <c r="DW3" s="381"/>
      <c r="DX3" s="382"/>
      <c r="DY3" s="380" t="s">
        <v>78</v>
      </c>
      <c r="DZ3" s="381"/>
      <c r="EA3" s="381"/>
      <c r="EB3" s="381"/>
      <c r="EC3" s="382"/>
      <c r="ED3" s="380" t="s">
        <v>79</v>
      </c>
      <c r="EE3" s="381"/>
      <c r="EF3" s="381"/>
      <c r="EG3" s="381"/>
      <c r="EH3" s="382"/>
      <c r="EI3" s="380" t="s">
        <v>80</v>
      </c>
      <c r="EJ3" s="381"/>
      <c r="EK3" s="381"/>
      <c r="EL3" s="381"/>
      <c r="EM3" s="382"/>
      <c r="EN3" s="380" t="s">
        <v>81</v>
      </c>
      <c r="EO3" s="381"/>
      <c r="EP3" s="381"/>
      <c r="EQ3" s="381"/>
      <c r="ER3" s="382"/>
      <c r="ES3" s="380" t="s">
        <v>155</v>
      </c>
      <c r="ET3" s="381"/>
      <c r="EU3" s="381"/>
      <c r="EV3" s="381"/>
      <c r="EW3" s="382"/>
      <c r="EX3" s="380" t="s">
        <v>135</v>
      </c>
      <c r="EY3" s="381"/>
      <c r="EZ3" s="381"/>
      <c r="FA3" s="381"/>
      <c r="FB3" s="382"/>
      <c r="FC3" s="380" t="s">
        <v>136</v>
      </c>
      <c r="FD3" s="381"/>
      <c r="FE3" s="381"/>
      <c r="FF3" s="381"/>
      <c r="FG3" s="382"/>
      <c r="FH3" s="380" t="s">
        <v>166</v>
      </c>
      <c r="FI3" s="381"/>
      <c r="FJ3" s="381"/>
      <c r="FK3" s="381"/>
      <c r="FL3" s="382"/>
      <c r="FM3" s="380" t="s">
        <v>165</v>
      </c>
      <c r="FN3" s="381"/>
      <c r="FO3" s="381"/>
      <c r="FP3" s="381"/>
      <c r="FQ3" s="382"/>
      <c r="FR3" s="380" t="s">
        <v>169</v>
      </c>
      <c r="FS3" s="381"/>
      <c r="FT3" s="381"/>
      <c r="FU3" s="381"/>
      <c r="FV3" s="382"/>
      <c r="FW3" s="380" t="s">
        <v>170</v>
      </c>
      <c r="FX3" s="381"/>
      <c r="FY3" s="381"/>
      <c r="FZ3" s="381"/>
      <c r="GA3" s="382"/>
      <c r="GB3" s="389"/>
      <c r="GC3" s="390" t="s">
        <v>138</v>
      </c>
      <c r="GD3" s="391"/>
      <c r="GE3" s="390" t="s">
        <v>142</v>
      </c>
      <c r="GF3" s="391"/>
      <c r="GG3" s="390" t="s">
        <v>157</v>
      </c>
      <c r="GH3" s="391"/>
      <c r="GI3" s="396" t="s">
        <v>139</v>
      </c>
      <c r="GJ3" s="397"/>
      <c r="GK3" s="396" t="s">
        <v>158</v>
      </c>
      <c r="GL3" s="397"/>
      <c r="GM3" s="392" t="s">
        <v>143</v>
      </c>
      <c r="GN3" s="393"/>
    </row>
    <row r="4" spans="1:196" s="80" customFormat="1" ht="26.25" customHeight="1" thickBot="1" x14ac:dyDescent="0.25">
      <c r="A4" s="272" t="s">
        <v>5</v>
      </c>
      <c r="B4" s="273" t="s">
        <v>119</v>
      </c>
      <c r="C4" s="267" t="s">
        <v>49</v>
      </c>
      <c r="D4" s="78" t="s">
        <v>50</v>
      </c>
      <c r="E4" s="79" t="s">
        <v>51</v>
      </c>
      <c r="F4" s="79" t="s">
        <v>124</v>
      </c>
      <c r="G4" s="220" t="s">
        <v>125</v>
      </c>
      <c r="H4" s="233" t="s">
        <v>49</v>
      </c>
      <c r="I4" s="78" t="s">
        <v>50</v>
      </c>
      <c r="J4" s="79" t="s">
        <v>51</v>
      </c>
      <c r="K4" s="79" t="s">
        <v>127</v>
      </c>
      <c r="L4" s="234" t="s">
        <v>125</v>
      </c>
      <c r="M4" s="243" t="s">
        <v>49</v>
      </c>
      <c r="N4" s="243" t="s">
        <v>50</v>
      </c>
      <c r="O4" s="244" t="s">
        <v>51</v>
      </c>
      <c r="P4" s="244" t="s">
        <v>128</v>
      </c>
      <c r="Q4" s="244" t="s">
        <v>125</v>
      </c>
      <c r="R4" s="243" t="s">
        <v>49</v>
      </c>
      <c r="S4" s="243" t="s">
        <v>50</v>
      </c>
      <c r="T4" s="244" t="s">
        <v>51</v>
      </c>
      <c r="U4" s="244" t="s">
        <v>127</v>
      </c>
      <c r="V4" s="244" t="s">
        <v>125</v>
      </c>
      <c r="W4" s="243" t="s">
        <v>49</v>
      </c>
      <c r="X4" s="243" t="s">
        <v>50</v>
      </c>
      <c r="Y4" s="244" t="s">
        <v>51</v>
      </c>
      <c r="Z4" s="244" t="s">
        <v>127</v>
      </c>
      <c r="AA4" s="244" t="s">
        <v>125</v>
      </c>
      <c r="AB4" s="243" t="s">
        <v>49</v>
      </c>
      <c r="AC4" s="243" t="s">
        <v>50</v>
      </c>
      <c r="AD4" s="244" t="s">
        <v>51</v>
      </c>
      <c r="AE4" s="326" t="s">
        <v>177</v>
      </c>
      <c r="AF4" s="244" t="s">
        <v>127</v>
      </c>
      <c r="AG4" s="244" t="s">
        <v>125</v>
      </c>
      <c r="AH4" s="243" t="s">
        <v>49</v>
      </c>
      <c r="AI4" s="243" t="s">
        <v>50</v>
      </c>
      <c r="AJ4" s="244" t="s">
        <v>51</v>
      </c>
      <c r="AK4" s="244" t="s">
        <v>127</v>
      </c>
      <c r="AL4" s="244" t="s">
        <v>125</v>
      </c>
      <c r="AM4" s="243" t="s">
        <v>49</v>
      </c>
      <c r="AN4" s="243" t="s">
        <v>50</v>
      </c>
      <c r="AO4" s="244" t="s">
        <v>51</v>
      </c>
      <c r="AP4" s="244" t="s">
        <v>127</v>
      </c>
      <c r="AQ4" s="244" t="s">
        <v>125</v>
      </c>
      <c r="AR4" s="243" t="s">
        <v>49</v>
      </c>
      <c r="AS4" s="243" t="s">
        <v>50</v>
      </c>
      <c r="AT4" s="244" t="s">
        <v>51</v>
      </c>
      <c r="AU4" s="244" t="s">
        <v>127</v>
      </c>
      <c r="AV4" s="244" t="s">
        <v>125</v>
      </c>
      <c r="AW4" s="243" t="s">
        <v>49</v>
      </c>
      <c r="AX4" s="243" t="s">
        <v>50</v>
      </c>
      <c r="AY4" s="244" t="s">
        <v>51</v>
      </c>
      <c r="AZ4" s="244" t="s">
        <v>127</v>
      </c>
      <c r="BA4" s="244" t="s">
        <v>125</v>
      </c>
      <c r="BB4" s="243" t="s">
        <v>49</v>
      </c>
      <c r="BC4" s="243" t="s">
        <v>50</v>
      </c>
      <c r="BD4" s="244" t="s">
        <v>51</v>
      </c>
      <c r="BE4" s="244" t="s">
        <v>127</v>
      </c>
      <c r="BF4" s="244" t="s">
        <v>125</v>
      </c>
      <c r="BG4" s="243" t="s">
        <v>49</v>
      </c>
      <c r="BH4" s="243" t="s">
        <v>50</v>
      </c>
      <c r="BI4" s="244" t="s">
        <v>51</v>
      </c>
      <c r="BJ4" s="244" t="s">
        <v>127</v>
      </c>
      <c r="BK4" s="244" t="s">
        <v>125</v>
      </c>
      <c r="BL4" s="243" t="s">
        <v>49</v>
      </c>
      <c r="BM4" s="243" t="s">
        <v>50</v>
      </c>
      <c r="BN4" s="244" t="s">
        <v>51</v>
      </c>
      <c r="BO4" s="244" t="s">
        <v>127</v>
      </c>
      <c r="BP4" s="244" t="s">
        <v>125</v>
      </c>
      <c r="BQ4" s="243" t="s">
        <v>49</v>
      </c>
      <c r="BR4" s="243" t="s">
        <v>50</v>
      </c>
      <c r="BS4" s="244" t="s">
        <v>51</v>
      </c>
      <c r="BT4" s="244" t="s">
        <v>127</v>
      </c>
      <c r="BU4" s="244" t="s">
        <v>125</v>
      </c>
      <c r="BV4" s="243" t="s">
        <v>49</v>
      </c>
      <c r="BW4" s="243" t="s">
        <v>50</v>
      </c>
      <c r="BX4" s="244" t="s">
        <v>51</v>
      </c>
      <c r="BY4" s="244" t="s">
        <v>127</v>
      </c>
      <c r="BZ4" s="244" t="s">
        <v>125</v>
      </c>
      <c r="CA4" s="243" t="s">
        <v>49</v>
      </c>
      <c r="CB4" s="243" t="s">
        <v>50</v>
      </c>
      <c r="CC4" s="244" t="s">
        <v>51</v>
      </c>
      <c r="CD4" s="244" t="s">
        <v>127</v>
      </c>
      <c r="CE4" s="244" t="s">
        <v>125</v>
      </c>
      <c r="CF4" s="243" t="s">
        <v>49</v>
      </c>
      <c r="CG4" s="243" t="s">
        <v>50</v>
      </c>
      <c r="CH4" s="244" t="s">
        <v>51</v>
      </c>
      <c r="CI4" s="244" t="s">
        <v>127</v>
      </c>
      <c r="CJ4" s="244" t="s">
        <v>125</v>
      </c>
      <c r="CK4" s="85" t="s">
        <v>49</v>
      </c>
      <c r="CL4" s="85" t="s">
        <v>50</v>
      </c>
      <c r="CM4" s="245" t="s">
        <v>64</v>
      </c>
      <c r="CN4" s="245" t="s">
        <v>127</v>
      </c>
      <c r="CO4" s="245" t="s">
        <v>125</v>
      </c>
      <c r="CP4" s="85" t="s">
        <v>49</v>
      </c>
      <c r="CQ4" s="85" t="s">
        <v>50</v>
      </c>
      <c r="CR4" s="245" t="s">
        <v>51</v>
      </c>
      <c r="CS4" s="245" t="s">
        <v>127</v>
      </c>
      <c r="CT4" s="245" t="s">
        <v>125</v>
      </c>
      <c r="CU4" s="85" t="s">
        <v>49</v>
      </c>
      <c r="CV4" s="85" t="s">
        <v>50</v>
      </c>
      <c r="CW4" s="245" t="s">
        <v>51</v>
      </c>
      <c r="CX4" s="245" t="s">
        <v>127</v>
      </c>
      <c r="CY4" s="245" t="s">
        <v>125</v>
      </c>
      <c r="CZ4" s="85" t="s">
        <v>49</v>
      </c>
      <c r="DA4" s="85" t="s">
        <v>50</v>
      </c>
      <c r="DB4" s="245" t="s">
        <v>51</v>
      </c>
      <c r="DC4" s="245" t="s">
        <v>127</v>
      </c>
      <c r="DD4" s="245" t="s">
        <v>125</v>
      </c>
      <c r="DE4" s="85" t="s">
        <v>49</v>
      </c>
      <c r="DF4" s="85" t="s">
        <v>50</v>
      </c>
      <c r="DG4" s="245" t="s">
        <v>51</v>
      </c>
      <c r="DH4" s="245" t="s">
        <v>127</v>
      </c>
      <c r="DI4" s="245" t="s">
        <v>125</v>
      </c>
      <c r="DJ4" s="85" t="s">
        <v>49</v>
      </c>
      <c r="DK4" s="85" t="s">
        <v>50</v>
      </c>
      <c r="DL4" s="245" t="s">
        <v>51</v>
      </c>
      <c r="DM4" s="245" t="s">
        <v>127</v>
      </c>
      <c r="DN4" s="245" t="s">
        <v>125</v>
      </c>
      <c r="DO4" s="85" t="s">
        <v>49</v>
      </c>
      <c r="DP4" s="85" t="s">
        <v>50</v>
      </c>
      <c r="DQ4" s="245" t="s">
        <v>51</v>
      </c>
      <c r="DR4" s="245" t="s">
        <v>127</v>
      </c>
      <c r="DS4" s="245" t="s">
        <v>125</v>
      </c>
      <c r="DT4" s="85" t="s">
        <v>49</v>
      </c>
      <c r="DU4" s="85" t="s">
        <v>50</v>
      </c>
      <c r="DV4" s="245" t="s">
        <v>51</v>
      </c>
      <c r="DW4" s="245" t="s">
        <v>127</v>
      </c>
      <c r="DX4" s="245" t="s">
        <v>125</v>
      </c>
      <c r="DY4" s="85" t="s">
        <v>49</v>
      </c>
      <c r="DZ4" s="85" t="s">
        <v>50</v>
      </c>
      <c r="EA4" s="245" t="s">
        <v>51</v>
      </c>
      <c r="EB4" s="245" t="s">
        <v>127</v>
      </c>
      <c r="EC4" s="245" t="s">
        <v>125</v>
      </c>
      <c r="ED4" s="85" t="s">
        <v>49</v>
      </c>
      <c r="EE4" s="85" t="s">
        <v>50</v>
      </c>
      <c r="EF4" s="245" t="s">
        <v>51</v>
      </c>
      <c r="EG4" s="245" t="s">
        <v>127</v>
      </c>
      <c r="EH4" s="245" t="s">
        <v>125</v>
      </c>
      <c r="EI4" s="85" t="s">
        <v>49</v>
      </c>
      <c r="EJ4" s="85" t="s">
        <v>50</v>
      </c>
      <c r="EK4" s="245" t="s">
        <v>51</v>
      </c>
      <c r="EL4" s="245" t="s">
        <v>127</v>
      </c>
      <c r="EM4" s="245" t="s">
        <v>125</v>
      </c>
      <c r="EN4" s="85" t="s">
        <v>49</v>
      </c>
      <c r="EO4" s="85" t="s">
        <v>50</v>
      </c>
      <c r="EP4" s="245" t="s">
        <v>51</v>
      </c>
      <c r="EQ4" s="245" t="s">
        <v>127</v>
      </c>
      <c r="ER4" s="245" t="s">
        <v>125</v>
      </c>
      <c r="ES4" s="85" t="s">
        <v>49</v>
      </c>
      <c r="ET4" s="85" t="s">
        <v>50</v>
      </c>
      <c r="EU4" s="245" t="s">
        <v>51</v>
      </c>
      <c r="EV4" s="245" t="s">
        <v>127</v>
      </c>
      <c r="EW4" s="245" t="s">
        <v>125</v>
      </c>
      <c r="EX4" s="85" t="s">
        <v>49</v>
      </c>
      <c r="EY4" s="85" t="s">
        <v>50</v>
      </c>
      <c r="EZ4" s="245" t="s">
        <v>51</v>
      </c>
      <c r="FA4" s="245" t="s">
        <v>127</v>
      </c>
      <c r="FB4" s="245" t="s">
        <v>125</v>
      </c>
      <c r="FC4" s="85" t="s">
        <v>49</v>
      </c>
      <c r="FD4" s="85" t="s">
        <v>50</v>
      </c>
      <c r="FE4" s="245" t="s">
        <v>51</v>
      </c>
      <c r="FF4" s="245" t="s">
        <v>127</v>
      </c>
      <c r="FG4" s="245" t="s">
        <v>125</v>
      </c>
      <c r="FH4" s="245"/>
      <c r="FI4" s="245"/>
      <c r="FJ4" s="245"/>
      <c r="FK4" s="245"/>
      <c r="FL4" s="245"/>
      <c r="FM4" s="85" t="s">
        <v>49</v>
      </c>
      <c r="FN4" s="85" t="s">
        <v>50</v>
      </c>
      <c r="FO4" s="245" t="s">
        <v>51</v>
      </c>
      <c r="FP4" s="245" t="s">
        <v>127</v>
      </c>
      <c r="FQ4" s="245" t="s">
        <v>125</v>
      </c>
      <c r="FR4" s="85" t="s">
        <v>49</v>
      </c>
      <c r="FS4" s="85" t="s">
        <v>50</v>
      </c>
      <c r="FT4" s="245" t="s">
        <v>51</v>
      </c>
      <c r="FU4" s="245" t="s">
        <v>127</v>
      </c>
      <c r="FV4" s="245" t="s">
        <v>125</v>
      </c>
      <c r="FW4" s="85" t="s">
        <v>49</v>
      </c>
      <c r="FX4" s="85" t="s">
        <v>50</v>
      </c>
      <c r="FY4" s="245" t="s">
        <v>51</v>
      </c>
      <c r="FZ4" s="245" t="s">
        <v>127</v>
      </c>
      <c r="GA4" s="245" t="s">
        <v>125</v>
      </c>
      <c r="GB4" s="389"/>
      <c r="GC4" s="281" t="s">
        <v>141</v>
      </c>
      <c r="GD4" s="282" t="s">
        <v>126</v>
      </c>
      <c r="GE4" s="281" t="s">
        <v>141</v>
      </c>
      <c r="GF4" s="282" t="s">
        <v>126</v>
      </c>
      <c r="GG4" s="281" t="s">
        <v>141</v>
      </c>
      <c r="GH4" s="282" t="s">
        <v>126</v>
      </c>
      <c r="GI4" s="281" t="s">
        <v>141</v>
      </c>
      <c r="GJ4" s="282" t="s">
        <v>126</v>
      </c>
      <c r="GK4" s="281" t="s">
        <v>141</v>
      </c>
      <c r="GL4" s="282" t="s">
        <v>126</v>
      </c>
      <c r="GM4" s="290" t="s">
        <v>141</v>
      </c>
      <c r="GN4" s="291" t="s">
        <v>126</v>
      </c>
    </row>
    <row r="5" spans="1:196" s="3" customFormat="1" x14ac:dyDescent="0.2">
      <c r="A5" s="271">
        <v>1</v>
      </c>
      <c r="B5" s="274">
        <f>'Finance Only'!G8</f>
        <v>13.6</v>
      </c>
      <c r="C5" s="268">
        <v>26994672</v>
      </c>
      <c r="D5" s="214">
        <v>26996974</v>
      </c>
      <c r="E5" s="210">
        <f>MAX(0,D5-C5)</f>
        <v>2302</v>
      </c>
      <c r="F5" s="224"/>
      <c r="G5" s="225"/>
      <c r="H5" s="240">
        <v>24893152</v>
      </c>
      <c r="I5" s="214">
        <v>24896226</v>
      </c>
      <c r="J5" s="209">
        <f>MAX(0,I5-H5)</f>
        <v>3074</v>
      </c>
      <c r="K5" s="235"/>
      <c r="L5" s="236"/>
      <c r="M5" s="216">
        <v>91816490</v>
      </c>
      <c r="N5" s="216">
        <v>91826475</v>
      </c>
      <c r="O5" s="232">
        <f>MAX(0,N5-M5)</f>
        <v>9985</v>
      </c>
      <c r="P5" s="241"/>
      <c r="Q5" s="242"/>
      <c r="R5" s="216">
        <v>2999800</v>
      </c>
      <c r="S5" s="216">
        <v>3001900</v>
      </c>
      <c r="T5" s="211">
        <f>MAX(0,S5-R5)</f>
        <v>2100</v>
      </c>
      <c r="U5" s="228"/>
      <c r="V5" s="229"/>
      <c r="W5" s="216">
        <v>4062638</v>
      </c>
      <c r="X5" s="216">
        <v>4065171</v>
      </c>
      <c r="Y5" s="211">
        <f>MAX(0,X5-W5)</f>
        <v>2533</v>
      </c>
      <c r="Z5" s="228"/>
      <c r="AA5" s="229"/>
      <c r="AB5" s="217">
        <v>2640200</v>
      </c>
      <c r="AC5" s="216">
        <v>2642000</v>
      </c>
      <c r="AD5" s="217">
        <f t="shared" ref="AD5:AD35" si="0">MAX(0,AC5-AB5)</f>
        <v>1800</v>
      </c>
      <c r="AE5" s="324">
        <f>AD5/WATER!V6</f>
        <v>5.9405940594059405</v>
      </c>
      <c r="AF5" s="228"/>
      <c r="AG5" s="229"/>
      <c r="AH5" s="216">
        <v>1075773</v>
      </c>
      <c r="AI5" s="216">
        <v>1076327</v>
      </c>
      <c r="AJ5" s="211">
        <f>MAX(0,AI5-AH5)</f>
        <v>554</v>
      </c>
      <c r="AK5" s="228"/>
      <c r="AL5" s="229"/>
      <c r="AM5" s="216">
        <v>1077400</v>
      </c>
      <c r="AN5" s="216">
        <v>1078000</v>
      </c>
      <c r="AO5" s="217">
        <f>AN5-AM5</f>
        <v>600</v>
      </c>
      <c r="AP5" s="228"/>
      <c r="AQ5" s="229"/>
      <c r="AR5" s="216">
        <v>2433000</v>
      </c>
      <c r="AS5" s="216">
        <v>2433700</v>
      </c>
      <c r="AT5" s="211">
        <f>AS5-AR5</f>
        <v>700</v>
      </c>
      <c r="AU5" s="228"/>
      <c r="AV5" s="229"/>
      <c r="AW5" s="216">
        <v>3932.1</v>
      </c>
      <c r="AX5" s="216">
        <v>4212.2</v>
      </c>
      <c r="AY5" s="211">
        <f>AX5-AW5</f>
        <v>280.09999999999991</v>
      </c>
      <c r="AZ5" s="228"/>
      <c r="BA5" s="229"/>
      <c r="BB5" s="216">
        <v>984650</v>
      </c>
      <c r="BC5" s="216">
        <v>985010</v>
      </c>
      <c r="BD5" s="211">
        <f>BC5-BB5</f>
        <v>360</v>
      </c>
      <c r="BE5" s="228"/>
      <c r="BF5" s="229"/>
      <c r="BG5" s="216">
        <v>1065100</v>
      </c>
      <c r="BH5" s="216">
        <v>1065300</v>
      </c>
      <c r="BI5" s="211">
        <f>BH5-BG5</f>
        <v>200</v>
      </c>
      <c r="BJ5" s="228"/>
      <c r="BK5" s="229"/>
      <c r="BL5" s="216">
        <v>1576400</v>
      </c>
      <c r="BM5" s="216">
        <v>1576800</v>
      </c>
      <c r="BN5" s="211">
        <f>BM5-BL5</f>
        <v>400</v>
      </c>
      <c r="BO5" s="228"/>
      <c r="BP5" s="229"/>
      <c r="BQ5" s="216">
        <v>132710</v>
      </c>
      <c r="BR5" s="216">
        <v>132830</v>
      </c>
      <c r="BS5" s="211">
        <f>BR5-BQ5</f>
        <v>120</v>
      </c>
      <c r="BT5" s="228"/>
      <c r="BU5" s="229"/>
      <c r="BV5" s="216">
        <v>568720</v>
      </c>
      <c r="BW5" s="216">
        <v>569150</v>
      </c>
      <c r="BX5" s="211">
        <f>BW5-BV5</f>
        <v>430</v>
      </c>
      <c r="BY5" s="228"/>
      <c r="BZ5" s="229"/>
      <c r="CA5" s="216">
        <v>1045500</v>
      </c>
      <c r="CB5" s="216">
        <v>1046600</v>
      </c>
      <c r="CC5" s="211">
        <f>CB5-CA5</f>
        <v>1100</v>
      </c>
      <c r="CD5" s="228"/>
      <c r="CE5" s="229"/>
      <c r="CF5" s="216">
        <v>3389000</v>
      </c>
      <c r="CG5" s="216">
        <v>3392000</v>
      </c>
      <c r="CH5" s="211">
        <f>CG5-CF5</f>
        <v>3000</v>
      </c>
      <c r="CI5" s="228"/>
      <c r="CJ5" s="229"/>
      <c r="CK5" s="217">
        <v>804440</v>
      </c>
      <c r="CL5" s="217">
        <v>805110</v>
      </c>
      <c r="CM5" s="211">
        <f>MAX(0,CL5-CK5)</f>
        <v>670</v>
      </c>
      <c r="CN5" s="228"/>
      <c r="CO5" s="229"/>
      <c r="CP5" s="216">
        <v>665180</v>
      </c>
      <c r="CQ5" s="216">
        <v>665690</v>
      </c>
      <c r="CR5" s="213">
        <f>MAX(0,CQ5-CP5)</f>
        <v>510</v>
      </c>
      <c r="CS5" s="228"/>
      <c r="CT5" s="229"/>
      <c r="CU5" s="216">
        <v>552600</v>
      </c>
      <c r="CV5" s="216">
        <v>552990</v>
      </c>
      <c r="CW5" s="211">
        <f>MAX(0,CV5-CU5)</f>
        <v>390</v>
      </c>
      <c r="CX5" s="228"/>
      <c r="CY5" s="229"/>
      <c r="CZ5" s="216">
        <v>924380</v>
      </c>
      <c r="DA5" s="216">
        <v>925090</v>
      </c>
      <c r="DB5" s="211">
        <f>MAX(0,DA5-CZ5)</f>
        <v>710</v>
      </c>
      <c r="DC5" s="228"/>
      <c r="DD5" s="229"/>
      <c r="DE5" s="216">
        <v>705910</v>
      </c>
      <c r="DF5" s="216">
        <v>706490</v>
      </c>
      <c r="DG5" s="211">
        <f>MAX(0,DF5-DE5)</f>
        <v>580</v>
      </c>
      <c r="DH5" s="228"/>
      <c r="DI5" s="229"/>
      <c r="DJ5" s="216">
        <v>615270</v>
      </c>
      <c r="DK5" s="216">
        <v>615790</v>
      </c>
      <c r="DL5" s="211">
        <f>MAX(0,DK5-DJ5)</f>
        <v>520</v>
      </c>
      <c r="DM5" s="228"/>
      <c r="DN5" s="229"/>
      <c r="DO5" s="216">
        <v>334860</v>
      </c>
      <c r="DP5" s="216">
        <v>335240</v>
      </c>
      <c r="DQ5" s="211">
        <f>MAX(0,DP5-DO5)</f>
        <v>380</v>
      </c>
      <c r="DR5" s="228"/>
      <c r="DS5" s="229"/>
      <c r="DT5" s="216">
        <v>109100</v>
      </c>
      <c r="DU5" s="212">
        <v>109260</v>
      </c>
      <c r="DV5" s="211">
        <f>MAX(0,DU5-DT5)</f>
        <v>160</v>
      </c>
      <c r="DW5" s="228"/>
      <c r="DX5" s="229"/>
      <c r="DY5" s="216">
        <v>696210</v>
      </c>
      <c r="DZ5" s="212">
        <v>69707</v>
      </c>
      <c r="EA5" s="211">
        <f>MAX(0,DZ5-DY5)</f>
        <v>0</v>
      </c>
      <c r="EB5" s="228"/>
      <c r="EC5" s="229"/>
      <c r="ED5" s="216">
        <v>222480</v>
      </c>
      <c r="EE5" s="212">
        <v>222740</v>
      </c>
      <c r="EF5" s="211">
        <f>MAX(0,EE5-ED5)</f>
        <v>260</v>
      </c>
      <c r="EG5" s="228"/>
      <c r="EH5" s="229"/>
      <c r="EI5" s="216">
        <v>249530</v>
      </c>
      <c r="EJ5" s="212">
        <v>249880</v>
      </c>
      <c r="EK5" s="211">
        <f>MAX(0,EJ5-EI5)</f>
        <v>350</v>
      </c>
      <c r="EL5" s="228"/>
      <c r="EM5" s="229"/>
      <c r="EN5" s="216">
        <v>412360</v>
      </c>
      <c r="EO5" s="212">
        <v>412830</v>
      </c>
      <c r="EP5" s="211">
        <f>MAX(0,EO5-EN5)</f>
        <v>470</v>
      </c>
      <c r="EQ5" s="228"/>
      <c r="ER5" s="229"/>
      <c r="ES5" s="216">
        <v>69098</v>
      </c>
      <c r="ET5" s="212"/>
      <c r="EU5" s="211">
        <f>MAX(0,ET5-ES5)</f>
        <v>0</v>
      </c>
      <c r="EV5" s="228"/>
      <c r="EW5" s="229"/>
      <c r="EX5" s="216">
        <v>131740</v>
      </c>
      <c r="EY5" s="212"/>
      <c r="EZ5" s="211">
        <f>MAX(0,EY5-EX5)</f>
        <v>0</v>
      </c>
      <c r="FA5" s="228"/>
      <c r="FB5" s="229"/>
      <c r="FC5" s="216">
        <v>74909</v>
      </c>
      <c r="FD5" s="212"/>
      <c r="FE5" s="211">
        <f>MAX(0,FD5-FC5)</f>
        <v>0</v>
      </c>
      <c r="FF5" s="228"/>
      <c r="FG5" s="229"/>
      <c r="FH5" s="303"/>
      <c r="FI5" s="303"/>
      <c r="FJ5" s="303"/>
      <c r="FK5" s="303"/>
      <c r="FL5" s="303"/>
      <c r="FM5" s="216">
        <v>91210</v>
      </c>
      <c r="FN5" s="212"/>
      <c r="FO5" s="211">
        <f>MAX(0,FN5-FM5)</f>
        <v>0</v>
      </c>
      <c r="FP5" s="228"/>
      <c r="FQ5" s="229"/>
      <c r="FR5" s="216">
        <v>0</v>
      </c>
      <c r="FS5" s="212"/>
      <c r="FT5" s="211">
        <f>MAX(0,FS5-FR5)</f>
        <v>0</v>
      </c>
      <c r="FU5" s="228"/>
      <c r="FV5" s="229"/>
      <c r="FW5" s="216">
        <v>0</v>
      </c>
      <c r="FX5" s="212"/>
      <c r="FY5" s="211">
        <f>MAX(0,FX5-FW5)</f>
        <v>0</v>
      </c>
      <c r="FZ5" s="228"/>
      <c r="GA5" s="229"/>
      <c r="GB5" s="280"/>
      <c r="GC5" s="286">
        <f>SUM(E5+J5)</f>
        <v>5376</v>
      </c>
      <c r="GD5" s="283"/>
      <c r="GE5" s="286">
        <f>SUM(T5+Y5+EA5+EF5+EK5+EP5)</f>
        <v>5713</v>
      </c>
      <c r="GF5" s="283"/>
      <c r="GG5" s="286">
        <f>SUM(AO5+AT5)</f>
        <v>1300</v>
      </c>
      <c r="GH5" s="283"/>
      <c r="GI5" s="286">
        <f>SUM(AY5+BD5+BI5)</f>
        <v>840.09999999999991</v>
      </c>
      <c r="GJ5" s="283"/>
      <c r="GK5" s="286">
        <f>SUM(BN5+BS5+EU5)</f>
        <v>520</v>
      </c>
      <c r="GL5" s="283"/>
      <c r="GM5" s="286">
        <f>SUM(EZ5+FE5)</f>
        <v>0</v>
      </c>
      <c r="GN5" s="283"/>
    </row>
    <row r="6" spans="1:196" s="3" customFormat="1" ht="13.5" customHeight="1" x14ac:dyDescent="0.2">
      <c r="A6" s="271">
        <v>2</v>
      </c>
      <c r="B6" s="274">
        <f>'Finance Only'!G9</f>
        <v>14.6</v>
      </c>
      <c r="C6" s="269">
        <f>D5</f>
        <v>26996974</v>
      </c>
      <c r="D6" s="214">
        <v>26999417</v>
      </c>
      <c r="E6" s="215">
        <f>MAX(0,D6-C6)</f>
        <v>2443</v>
      </c>
      <c r="F6" s="226">
        <f>E6-E5</f>
        <v>141</v>
      </c>
      <c r="G6" s="227">
        <f>(E6/'Finance Only'!B9)*100</f>
        <v>11.83853459972863</v>
      </c>
      <c r="H6" s="237">
        <f>I5</f>
        <v>24896226</v>
      </c>
      <c r="I6" s="214">
        <v>24899691</v>
      </c>
      <c r="J6" s="214">
        <f>MAX(0,I6-H6)</f>
        <v>3465</v>
      </c>
      <c r="K6" s="238">
        <f>J6-J5</f>
        <v>391</v>
      </c>
      <c r="L6" s="239">
        <f>(J6/'Finance Only'!B9)*100</f>
        <v>16.791044776119403</v>
      </c>
      <c r="M6" s="222">
        <f>N5</f>
        <v>91826475</v>
      </c>
      <c r="N6" s="216">
        <v>91835969</v>
      </c>
      <c r="O6" s="217">
        <f>MAX(0,N6-M6)</f>
        <v>9494</v>
      </c>
      <c r="P6" s="230">
        <f>O6-O5</f>
        <v>-491</v>
      </c>
      <c r="Q6" s="231">
        <f>(O6/'Finance Only'!B9)*100</f>
        <v>46.006978096530339</v>
      </c>
      <c r="R6" s="221">
        <f>S5</f>
        <v>3001900</v>
      </c>
      <c r="S6" s="216">
        <v>3004200</v>
      </c>
      <c r="T6" s="217">
        <f>MAX(0,S6-R6)</f>
        <v>2300</v>
      </c>
      <c r="U6" s="230">
        <f>T6-T5</f>
        <v>200</v>
      </c>
      <c r="V6" s="231">
        <f>(T6/'Finance Only'!B9)*100</f>
        <v>11.145570847063384</v>
      </c>
      <c r="W6" s="216">
        <f>X5</f>
        <v>4065171</v>
      </c>
      <c r="X6" s="216">
        <v>4067786</v>
      </c>
      <c r="Y6" s="217">
        <f>MAX(0,X6-W6)</f>
        <v>2615</v>
      </c>
      <c r="Z6" s="230">
        <f>Y6-Y5</f>
        <v>82</v>
      </c>
      <c r="AA6" s="231">
        <f>(Y6/'Finance Only'!B9)*100</f>
        <v>12.672029463074239</v>
      </c>
      <c r="AB6" s="216">
        <f>AC5</f>
        <v>2642000</v>
      </c>
      <c r="AC6" s="216">
        <v>2643700</v>
      </c>
      <c r="AD6" s="217">
        <f t="shared" si="0"/>
        <v>1700</v>
      </c>
      <c r="AE6" s="325">
        <f>AD6/WATER!V7</f>
        <v>5.3125</v>
      </c>
      <c r="AF6" s="230">
        <f>AD6-AD5</f>
        <v>-100</v>
      </c>
      <c r="AG6" s="231">
        <f>(AD6/'Finance Only'!B9)*100</f>
        <v>8.2380306260903264</v>
      </c>
      <c r="AH6" s="216">
        <f>AI5</f>
        <v>1076327</v>
      </c>
      <c r="AI6" s="216">
        <v>1076843</v>
      </c>
      <c r="AJ6" s="217">
        <f>MAX(0,AI6-AH6)</f>
        <v>516</v>
      </c>
      <c r="AK6" s="230">
        <f>AJ6-AJ5</f>
        <v>-38</v>
      </c>
      <c r="AL6" s="231">
        <f>(AJ6/'Finance Only'!B9)*100</f>
        <v>2.5004845900368289</v>
      </c>
      <c r="AM6" s="216">
        <f>AN5</f>
        <v>1078000</v>
      </c>
      <c r="AN6" s="216">
        <v>1078700</v>
      </c>
      <c r="AO6" s="217">
        <f>MAX(0,AN6-AM6)</f>
        <v>700</v>
      </c>
      <c r="AP6" s="230">
        <f>AO6-AO5</f>
        <v>100</v>
      </c>
      <c r="AQ6" s="231">
        <f>(AO6/'Finance Only'!B9)*100</f>
        <v>3.3921302578018993</v>
      </c>
      <c r="AR6" s="216">
        <f>AS5</f>
        <v>2433700</v>
      </c>
      <c r="AS6" s="216">
        <v>2435100</v>
      </c>
      <c r="AT6" s="217">
        <f>MAX(0,AS6-AR6)</f>
        <v>1400</v>
      </c>
      <c r="AU6" s="230">
        <f>AT6-AT5</f>
        <v>700</v>
      </c>
      <c r="AV6" s="231">
        <f>(AT6/'Finance Only'!B9)*100</f>
        <v>6.7842605156037985</v>
      </c>
      <c r="AW6" s="216">
        <f>AX5</f>
        <v>4212.2</v>
      </c>
      <c r="AX6" s="216">
        <v>4540.2</v>
      </c>
      <c r="AY6" s="217">
        <f>MAX(0,AX6-AW6)</f>
        <v>328</v>
      </c>
      <c r="AZ6" s="230">
        <f>AY6-AY5</f>
        <v>47.900000000000091</v>
      </c>
      <c r="BA6" s="231">
        <f>(AY6/'Finance Only'!B9)*100</f>
        <v>1.5894553207986044</v>
      </c>
      <c r="BB6" s="216">
        <f>BC5</f>
        <v>985010</v>
      </c>
      <c r="BC6" s="216">
        <v>985340</v>
      </c>
      <c r="BD6" s="217">
        <f>MAX(0,BC6-BB6)</f>
        <v>330</v>
      </c>
      <c r="BE6" s="230">
        <f>BD6-BD5</f>
        <v>-30</v>
      </c>
      <c r="BF6" s="231">
        <f>(BD6/'Finance Only'!B9)*100</f>
        <v>1.5991471215351813</v>
      </c>
      <c r="BG6" s="216">
        <f>BH5</f>
        <v>1065300</v>
      </c>
      <c r="BH6" s="216">
        <v>1065600</v>
      </c>
      <c r="BI6" s="217">
        <f>MAX(0,BH6-BG6)</f>
        <v>300</v>
      </c>
      <c r="BJ6" s="230">
        <f>BI6-BI5</f>
        <v>100</v>
      </c>
      <c r="BK6" s="231">
        <f>(BI6/'Finance Only'!B9)*100</f>
        <v>1.4537701104865284</v>
      </c>
      <c r="BL6" s="216">
        <f>BM5</f>
        <v>1576800</v>
      </c>
      <c r="BM6" s="216">
        <v>1577300</v>
      </c>
      <c r="BN6" s="217">
        <f>MAX(0,BM6-BL6)</f>
        <v>500</v>
      </c>
      <c r="BO6" s="230">
        <f>BN6-BN5</f>
        <v>100</v>
      </c>
      <c r="BP6" s="231">
        <f>(BN6/'Finance Only'!B9)*100</f>
        <v>2.4229501841442138</v>
      </c>
      <c r="BQ6" s="216">
        <f>BR5</f>
        <v>132830</v>
      </c>
      <c r="BR6" s="216">
        <v>132950</v>
      </c>
      <c r="BS6" s="217">
        <f>MAX(0,BR6-BQ6)</f>
        <v>120</v>
      </c>
      <c r="BT6" s="230">
        <f>BS6-BS5</f>
        <v>0</v>
      </c>
      <c r="BU6" s="231">
        <f>(BS6/'Finance Only'!B9)*100</f>
        <v>0.58150804419461133</v>
      </c>
      <c r="BV6" s="216">
        <f>BW5</f>
        <v>569150</v>
      </c>
      <c r="BW6" s="216">
        <v>569540</v>
      </c>
      <c r="BX6" s="217">
        <f>MAX(0,BW6-BV6)</f>
        <v>390</v>
      </c>
      <c r="BY6" s="230">
        <f>BX6-BX5</f>
        <v>-40</v>
      </c>
      <c r="BZ6" s="231">
        <f>(BX6/'Finance Only'!B9)*100</f>
        <v>1.8899011436324868</v>
      </c>
      <c r="CA6" s="216">
        <f>CB5</f>
        <v>1046600</v>
      </c>
      <c r="CB6" s="216">
        <v>1047700</v>
      </c>
      <c r="CC6" s="217">
        <f>MAX(0,CB6-CA6)</f>
        <v>1100</v>
      </c>
      <c r="CD6" s="230">
        <f>CC6-CC5</f>
        <v>0</v>
      </c>
      <c r="CE6" s="231">
        <f>(CC6/'Finance Only'!B9)*100</f>
        <v>5.3304904051172706</v>
      </c>
      <c r="CF6" s="216">
        <f>CG5</f>
        <v>3392000</v>
      </c>
      <c r="CG6" s="216">
        <v>3395900</v>
      </c>
      <c r="CH6" s="217">
        <f>MAX(0,CG6-CF6)</f>
        <v>3900</v>
      </c>
      <c r="CI6" s="230">
        <f>CH6-CH5</f>
        <v>900</v>
      </c>
      <c r="CJ6" s="231">
        <f>(CH6/'Finance Only'!B9)*100</f>
        <v>18.899011436324869</v>
      </c>
      <c r="CK6" s="217">
        <f>CL5</f>
        <v>805110</v>
      </c>
      <c r="CL6" s="217">
        <v>805830</v>
      </c>
      <c r="CM6" s="217">
        <f>MAX(0,CL6-CK6)</f>
        <v>720</v>
      </c>
      <c r="CN6" s="230">
        <f>CM6-CM5</f>
        <v>50</v>
      </c>
      <c r="CO6" s="231">
        <f>(CM6/'Finance Only'!B9)*100</f>
        <v>3.4890482651676678</v>
      </c>
      <c r="CP6" s="216">
        <f>CQ5</f>
        <v>665690</v>
      </c>
      <c r="CQ6" s="216">
        <v>666140</v>
      </c>
      <c r="CR6" s="218">
        <f>MAX(0,CQ6-CP6)</f>
        <v>450</v>
      </c>
      <c r="CS6" s="230">
        <f>CR6-CR5</f>
        <v>-60</v>
      </c>
      <c r="CT6" s="231">
        <f>(CR6/'Finance Only'!B9)*100</f>
        <v>2.1806551657297923</v>
      </c>
      <c r="CU6" s="216">
        <f>CV5</f>
        <v>552990</v>
      </c>
      <c r="CV6" s="216">
        <v>553460</v>
      </c>
      <c r="CW6" s="217">
        <f>MAX(0,CV6-CU6)</f>
        <v>470</v>
      </c>
      <c r="CX6" s="230">
        <f>CW6-CW5</f>
        <v>80</v>
      </c>
      <c r="CY6" s="231">
        <f>(CW6/'Finance Only'!B9)*100</f>
        <v>2.2775731730955613</v>
      </c>
      <c r="CZ6" s="216">
        <f>DA5</f>
        <v>925090</v>
      </c>
      <c r="DA6" s="216">
        <v>925890</v>
      </c>
      <c r="DB6" s="217">
        <f>MAX(0,DA6-CZ6)</f>
        <v>800</v>
      </c>
      <c r="DC6" s="230">
        <f>DB6-DB5</f>
        <v>90</v>
      </c>
      <c r="DD6" s="231">
        <f>(DB6/'Finance Only'!B9)*100</f>
        <v>3.8767202946307422</v>
      </c>
      <c r="DE6" s="216">
        <f>DF5</f>
        <v>706490</v>
      </c>
      <c r="DF6" s="216">
        <v>707190</v>
      </c>
      <c r="DG6" s="217">
        <f>MAX(0,DF6-DE6)</f>
        <v>700</v>
      </c>
      <c r="DH6" s="230">
        <f>DG6-DG5</f>
        <v>120</v>
      </c>
      <c r="DI6" s="231">
        <f>(DG6/'Finance Only'!B9)*100</f>
        <v>3.3921302578018993</v>
      </c>
      <c r="DJ6" s="216">
        <f>DK5</f>
        <v>615790</v>
      </c>
      <c r="DK6" s="216">
        <v>616360</v>
      </c>
      <c r="DL6" s="217">
        <f>MAX(0,DK6-DJ6)</f>
        <v>570</v>
      </c>
      <c r="DM6" s="230">
        <f>DL6-DL5</f>
        <v>50</v>
      </c>
      <c r="DN6" s="231">
        <f>(DL6/'Finance Only'!B9)*100</f>
        <v>2.7621632099244042</v>
      </c>
      <c r="DO6" s="216">
        <f>DP5</f>
        <v>335240</v>
      </c>
      <c r="DP6" s="216">
        <v>335620</v>
      </c>
      <c r="DQ6" s="217">
        <f>MAX(0,DP6-DO6)</f>
        <v>380</v>
      </c>
      <c r="DR6" s="230">
        <f>DQ6-DQ5</f>
        <v>0</v>
      </c>
      <c r="DS6" s="231">
        <f>(DQ6/'Finance Only'!B9)*100</f>
        <v>1.8414421399496026</v>
      </c>
      <c r="DT6" s="216">
        <f>DU5</f>
        <v>109260</v>
      </c>
      <c r="DU6" s="216">
        <v>109340</v>
      </c>
      <c r="DV6" s="217">
        <f>MAX(0,DU6-DT6)</f>
        <v>80</v>
      </c>
      <c r="DW6" s="230">
        <f>DV6-DV5</f>
        <v>-80</v>
      </c>
      <c r="DX6" s="231">
        <f>(DV6/'Finance Only'!B9)*100</f>
        <v>0.38767202946307422</v>
      </c>
      <c r="DY6" s="216">
        <f>DZ5</f>
        <v>69707</v>
      </c>
      <c r="DZ6" s="216">
        <v>69795</v>
      </c>
      <c r="EA6" s="217">
        <f>MAX(0,DZ6-DY6)</f>
        <v>88</v>
      </c>
      <c r="EB6" s="230">
        <f>EA6-EA5</f>
        <v>88</v>
      </c>
      <c r="EC6" s="231">
        <f>(EA6/'Finance Only'!B9)*100</f>
        <v>0.42643923240938164</v>
      </c>
      <c r="ED6" s="216">
        <f>EE5</f>
        <v>222740</v>
      </c>
      <c r="EE6" s="216">
        <v>222990</v>
      </c>
      <c r="EF6" s="217">
        <f>MAX(0,EE6-ED6)</f>
        <v>250</v>
      </c>
      <c r="EG6" s="230">
        <f>EF6-EF5</f>
        <v>-10</v>
      </c>
      <c r="EH6" s="231">
        <f>(EF6/'Finance Only'!B9)*100</f>
        <v>1.2114750920721069</v>
      </c>
      <c r="EI6" s="216">
        <f>EJ5</f>
        <v>249880</v>
      </c>
      <c r="EJ6" s="216">
        <v>250140</v>
      </c>
      <c r="EK6" s="217">
        <f>MAX(0,EJ6-EI6)</f>
        <v>260</v>
      </c>
      <c r="EL6" s="230">
        <f>EK6-EK5</f>
        <v>-90</v>
      </c>
      <c r="EM6" s="231">
        <f>(EK6/'Finance Only'!B9)*100</f>
        <v>1.2599340957549914</v>
      </c>
      <c r="EN6" s="216">
        <f>EO5</f>
        <v>412830</v>
      </c>
      <c r="EO6" s="216">
        <v>413280</v>
      </c>
      <c r="EP6" s="217">
        <f>MAX(0,EO6-EN6)</f>
        <v>450</v>
      </c>
      <c r="EQ6" s="230">
        <f>EP6-EP5</f>
        <v>-20</v>
      </c>
      <c r="ER6" s="231">
        <f>(EP6/'Finance Only'!B9)*100</f>
        <v>2.1806551657297923</v>
      </c>
      <c r="ES6" s="216">
        <f>ET5</f>
        <v>0</v>
      </c>
      <c r="ET6" s="216"/>
      <c r="EU6" s="217">
        <f>MAX(0,ET6-ES6)</f>
        <v>0</v>
      </c>
      <c r="EV6" s="230">
        <f>EU6-EU5</f>
        <v>0</v>
      </c>
      <c r="EW6" s="231">
        <f>(EU6/'Finance Only'!B9)*100</f>
        <v>0</v>
      </c>
      <c r="EX6" s="216">
        <f>EY5</f>
        <v>0</v>
      </c>
      <c r="EY6" s="216"/>
      <c r="EZ6" s="217">
        <f>MAX(0,EY6-EX6)</f>
        <v>0</v>
      </c>
      <c r="FA6" s="230">
        <f>EZ6-EZ5</f>
        <v>0</v>
      </c>
      <c r="FB6" s="231">
        <f>(EZ6/'Finance Only'!G9)*100</f>
        <v>0</v>
      </c>
      <c r="FC6" s="216">
        <f>FD5</f>
        <v>0</v>
      </c>
      <c r="FD6" s="216"/>
      <c r="FE6" s="217">
        <f>MAX(0,FD6-FC6)</f>
        <v>0</v>
      </c>
      <c r="FF6" s="230">
        <f>FE6-FE5</f>
        <v>0</v>
      </c>
      <c r="FG6" s="231" t="e">
        <f>(FE6/'Finance Only'!M9)*100</f>
        <v>#DIV/0!</v>
      </c>
      <c r="FH6" s="304"/>
      <c r="FI6" s="304"/>
      <c r="FJ6" s="304"/>
      <c r="FK6" s="304"/>
      <c r="FL6" s="304"/>
      <c r="FM6" s="216">
        <f>FN5</f>
        <v>0</v>
      </c>
      <c r="FN6" s="216"/>
      <c r="FO6" s="217">
        <f>MAX(0,FN6-FM6)</f>
        <v>0</v>
      </c>
      <c r="FP6" s="230">
        <f>FO6-FO5</f>
        <v>0</v>
      </c>
      <c r="FQ6" s="231" t="e">
        <f>(FO6/'Finance Only'!R9)*100</f>
        <v>#DIV/0!</v>
      </c>
      <c r="FR6" s="216">
        <f>FS5</f>
        <v>0</v>
      </c>
      <c r="FS6" s="216"/>
      <c r="FT6" s="217">
        <f>MAX(0,FS6-FR6)</f>
        <v>0</v>
      </c>
      <c r="FU6" s="230">
        <f>FT6-FT5</f>
        <v>0</v>
      </c>
      <c r="FV6" s="231" t="e">
        <f>(FT6/'Finance Only'!W9)*100</f>
        <v>#DIV/0!</v>
      </c>
      <c r="FW6" s="216">
        <f>FX5</f>
        <v>0</v>
      </c>
      <c r="FX6" s="216"/>
      <c r="FY6" s="217">
        <f>MAX(0,FX6-FW6)</f>
        <v>0</v>
      </c>
      <c r="FZ6" s="230">
        <f>FY6-FY5</f>
        <v>0</v>
      </c>
      <c r="GA6" s="231" t="e">
        <f>(FY6/'Finance Only'!AB9)*100</f>
        <v>#DIV/0!</v>
      </c>
      <c r="GB6" s="280"/>
      <c r="GC6" s="286">
        <f t="shared" ref="GC6:GC35" si="1">SUM(E6+J6)</f>
        <v>5908</v>
      </c>
      <c r="GD6" s="283"/>
      <c r="GE6" s="286">
        <f t="shared" ref="GE6:GE35" si="2">SUM(T6+Y6+EA6+EF6+EK6+EP6)</f>
        <v>5963</v>
      </c>
      <c r="GF6" s="283"/>
      <c r="GG6" s="286">
        <f t="shared" ref="GG6:GG35" si="3">SUM(AO6+AT6)</f>
        <v>2100</v>
      </c>
      <c r="GH6" s="283"/>
      <c r="GI6" s="286">
        <f t="shared" ref="GI6:GI35" si="4">SUM(AY6+BD6+BI6)</f>
        <v>958</v>
      </c>
      <c r="GJ6" s="283"/>
      <c r="GK6" s="286">
        <f t="shared" ref="GK6:GK35" si="5">SUM(BN6+BS6+EU6)</f>
        <v>620</v>
      </c>
      <c r="GL6" s="283"/>
      <c r="GM6" s="286">
        <f t="shared" ref="GM6:GM35" si="6">SUM(EZ6+FE6)</f>
        <v>0</v>
      </c>
      <c r="GN6" s="283"/>
    </row>
    <row r="7" spans="1:196" s="3" customFormat="1" ht="13.5" customHeight="1" x14ac:dyDescent="0.2">
      <c r="A7" s="271">
        <v>3</v>
      </c>
      <c r="B7" s="274">
        <f>'Finance Only'!G10</f>
        <v>14.6</v>
      </c>
      <c r="C7" s="269">
        <f t="shared" ref="C7:C35" si="7">D6</f>
        <v>26999417</v>
      </c>
      <c r="D7" s="214">
        <v>27001955</v>
      </c>
      <c r="E7" s="215">
        <f t="shared" ref="E7:E35" si="8">MAX(0,D7-C7)</f>
        <v>2538</v>
      </c>
      <c r="F7" s="226">
        <f t="shared" ref="F7:F34" si="9">E7-E6</f>
        <v>95</v>
      </c>
      <c r="G7" s="227">
        <f>(E7/'Finance Only'!B10)*100</f>
        <v>12.322781122548069</v>
      </c>
      <c r="H7" s="237">
        <f t="shared" ref="H7:H35" si="10">I6</f>
        <v>24899691</v>
      </c>
      <c r="I7" s="214">
        <v>24903145</v>
      </c>
      <c r="J7" s="214">
        <f t="shared" ref="J7:J35" si="11">MAX(0,I7-H7)</f>
        <v>3454</v>
      </c>
      <c r="K7" s="238">
        <f t="shared" ref="K7:K34" si="12">J7-J6</f>
        <v>-11</v>
      </c>
      <c r="L7" s="239">
        <f>(J7/'Finance Only'!B10)*100</f>
        <v>16.77024664983492</v>
      </c>
      <c r="M7" s="222">
        <f t="shared" ref="M7:M35" si="13">N6</f>
        <v>91835969</v>
      </c>
      <c r="N7" s="216">
        <v>91845685</v>
      </c>
      <c r="O7" s="217">
        <f t="shared" ref="O7:O35" si="14">MAX(0,N7-M7)</f>
        <v>9716</v>
      </c>
      <c r="P7" s="230">
        <f t="shared" ref="P7:P34" si="15">O7-O6</f>
        <v>222</v>
      </c>
      <c r="Q7" s="231">
        <f>(O7/'Finance Only'!B10)*100</f>
        <v>47.174208584191106</v>
      </c>
      <c r="R7" s="221">
        <f t="shared" ref="R7:R35" si="16">S6</f>
        <v>3004200</v>
      </c>
      <c r="S7" s="216">
        <v>3006400</v>
      </c>
      <c r="T7" s="217">
        <f t="shared" ref="T7:T35" si="17">MAX(0,S7-R7)</f>
        <v>2200</v>
      </c>
      <c r="U7" s="230">
        <f t="shared" ref="U7:U34" si="18">T7-T6</f>
        <v>-100</v>
      </c>
      <c r="V7" s="231">
        <f>(T7/'Finance Only'!B10)*100</f>
        <v>10.681685764226064</v>
      </c>
      <c r="W7" s="216">
        <f t="shared" ref="W7:W35" si="19">X6</f>
        <v>4067786</v>
      </c>
      <c r="X7" s="216">
        <v>4070454</v>
      </c>
      <c r="Y7" s="217">
        <f t="shared" ref="Y7:Y35" si="20">MAX(0,X7-W7)</f>
        <v>2668</v>
      </c>
      <c r="Z7" s="230">
        <f t="shared" ref="Z7:Z34" si="21">Y7-Y6</f>
        <v>53</v>
      </c>
      <c r="AA7" s="231">
        <f>(Y7/'Finance Only'!B10)*100</f>
        <v>12.953971644979609</v>
      </c>
      <c r="AB7" s="216">
        <f t="shared" ref="AB7:AB35" si="22">AC6</f>
        <v>2643700</v>
      </c>
      <c r="AC7" s="216">
        <v>2645400</v>
      </c>
      <c r="AD7" s="217">
        <f t="shared" si="0"/>
        <v>1700</v>
      </c>
      <c r="AE7" s="325">
        <f>AD7/WATER!V8</f>
        <v>5.2469135802469138</v>
      </c>
      <c r="AF7" s="230">
        <f t="shared" ref="AF7:AF34" si="23">AD7-AD6</f>
        <v>0</v>
      </c>
      <c r="AG7" s="231">
        <f>(AD7/'Finance Only'!B10)*100</f>
        <v>8.2540299087201401</v>
      </c>
      <c r="AH7" s="216">
        <f t="shared" ref="AH7:AH35" si="24">AI6</f>
        <v>1076843</v>
      </c>
      <c r="AI7" s="216">
        <v>1077379</v>
      </c>
      <c r="AJ7" s="217">
        <f t="shared" ref="AJ7:AJ35" si="25">MAX(0,AI7-AH7)</f>
        <v>536</v>
      </c>
      <c r="AK7" s="230">
        <f t="shared" ref="AK7:AK34" si="26">AJ7-AJ6</f>
        <v>20</v>
      </c>
      <c r="AL7" s="231">
        <f>(AJ7/'Finance Only'!B10)*100</f>
        <v>2.60244707710235</v>
      </c>
      <c r="AM7" s="216">
        <f t="shared" ref="AM7:AM35" si="27">AN6</f>
        <v>1078700</v>
      </c>
      <c r="AN7" s="216">
        <v>1079400</v>
      </c>
      <c r="AO7" s="217">
        <f t="shared" ref="AO7:AO35" si="28">MAX(0,AN7-AM7)</f>
        <v>700</v>
      </c>
      <c r="AP7" s="230">
        <f t="shared" ref="AP7:AP34" si="29">AO7-AO6</f>
        <v>0</v>
      </c>
      <c r="AQ7" s="231">
        <f>(AO7/'Finance Only'!B10)*100</f>
        <v>3.3987181977082925</v>
      </c>
      <c r="AR7" s="216">
        <f t="shared" ref="AR7:AR35" si="30">AS6</f>
        <v>2435100</v>
      </c>
      <c r="AS7" s="216">
        <v>2436000</v>
      </c>
      <c r="AT7" s="217">
        <f t="shared" ref="AT7:AT35" si="31">MAX(0,AS7-AR7)</f>
        <v>900</v>
      </c>
      <c r="AU7" s="230">
        <f t="shared" ref="AU7:AU34" si="32">AT7-AT6</f>
        <v>-500</v>
      </c>
      <c r="AV7" s="231">
        <f>(AT7/'Finance Only'!B10)*100</f>
        <v>4.3697805399106624</v>
      </c>
      <c r="AW7" s="216">
        <f t="shared" ref="AW7:AW35" si="33">AX6</f>
        <v>4540.2</v>
      </c>
      <c r="AX7" s="216">
        <v>4853.8999999999996</v>
      </c>
      <c r="AY7" s="217">
        <f t="shared" ref="AY7:AY35" si="34">MAX(0,AX7-AW7)</f>
        <v>313.69999999999982</v>
      </c>
      <c r="AZ7" s="230">
        <f t="shared" ref="AZ7:AZ34" si="35">AY7-AY6</f>
        <v>-14.300000000000182</v>
      </c>
      <c r="BA7" s="231">
        <f>(AY7/'Finance Only'!B10)*100</f>
        <v>1.5231112837444156</v>
      </c>
      <c r="BB7" s="216">
        <f t="shared" ref="BB7:BB35" si="36">BC6</f>
        <v>985340</v>
      </c>
      <c r="BC7" s="216">
        <v>985710</v>
      </c>
      <c r="BD7" s="217">
        <f t="shared" ref="BD7:BD35" si="37">MAX(0,BC7-BB7)</f>
        <v>370</v>
      </c>
      <c r="BE7" s="230">
        <f t="shared" ref="BE7:BE34" si="38">BD7-BD6</f>
        <v>40</v>
      </c>
      <c r="BF7" s="231">
        <f>(BD7/'Finance Only'!B10)*100</f>
        <v>1.7964653330743832</v>
      </c>
      <c r="BG7" s="216">
        <f t="shared" ref="BG7:BG35" si="39">BH6</f>
        <v>1065600</v>
      </c>
      <c r="BH7" s="216">
        <v>1065800</v>
      </c>
      <c r="BI7" s="217">
        <f t="shared" ref="BI7:BI35" si="40">MAX(0,BH7-BG7)</f>
        <v>200</v>
      </c>
      <c r="BJ7" s="230">
        <f t="shared" ref="BJ7:BJ34" si="41">BI7-BI6</f>
        <v>-100</v>
      </c>
      <c r="BK7" s="231">
        <f>(BI7/'Finance Only'!B10)*100</f>
        <v>0.97106234220236931</v>
      </c>
      <c r="BL7" s="216">
        <f t="shared" ref="BL7:BL35" si="42">BM6</f>
        <v>1577300</v>
      </c>
      <c r="BM7" s="216">
        <v>1577780</v>
      </c>
      <c r="BN7" s="217">
        <f t="shared" ref="BN7:BN35" si="43">MAX(0,BM7-BL7)</f>
        <v>480</v>
      </c>
      <c r="BO7" s="230">
        <f t="shared" ref="BO7:BO34" si="44">BN7-BN6</f>
        <v>-20</v>
      </c>
      <c r="BP7" s="231">
        <f>(BN7/'Finance Only'!B10)*100</f>
        <v>2.3305496212856864</v>
      </c>
      <c r="BQ7" s="216">
        <f t="shared" ref="BQ7:BQ35" si="45">BR6</f>
        <v>132950</v>
      </c>
      <c r="BR7" s="216">
        <v>133060</v>
      </c>
      <c r="BS7" s="217">
        <f t="shared" ref="BS7:BS35" si="46">MAX(0,BR7-BQ7)</f>
        <v>110</v>
      </c>
      <c r="BT7" s="230">
        <f t="shared" ref="BT7:BT34" si="47">BS7-BS6</f>
        <v>-10</v>
      </c>
      <c r="BU7" s="231">
        <f>(BS7/'Finance Only'!B10)*100</f>
        <v>0.53408428821130316</v>
      </c>
      <c r="BV7" s="216">
        <f t="shared" ref="BV7:BV35" si="48">BW6</f>
        <v>569540</v>
      </c>
      <c r="BW7" s="216">
        <v>569900</v>
      </c>
      <c r="BX7" s="217">
        <f t="shared" ref="BX7:BX35" si="49">MAX(0,BW7-BV7)</f>
        <v>360</v>
      </c>
      <c r="BY7" s="230">
        <f t="shared" ref="BY7:BY34" si="50">BX7-BX6</f>
        <v>-30</v>
      </c>
      <c r="BZ7" s="231">
        <f>(BX7/'Finance Only'!B10)*100</f>
        <v>1.747912215964265</v>
      </c>
      <c r="CA7" s="216">
        <f t="shared" ref="CA7:CA35" si="51">CB6</f>
        <v>1047700</v>
      </c>
      <c r="CB7" s="216">
        <v>1048900</v>
      </c>
      <c r="CC7" s="217">
        <f t="shared" ref="CC7:CC35" si="52">MAX(0,CB7-CA7)</f>
        <v>1200</v>
      </c>
      <c r="CD7" s="230">
        <f t="shared" ref="CD7:CD34" si="53">CC7-CC6</f>
        <v>100</v>
      </c>
      <c r="CE7" s="231">
        <f>(CC7/'Finance Only'!B10)*100</f>
        <v>5.8263740532142165</v>
      </c>
      <c r="CF7" s="216">
        <f t="shared" ref="CF7:CF35" si="54">CG6</f>
        <v>3395900</v>
      </c>
      <c r="CG7" s="216">
        <v>3399300</v>
      </c>
      <c r="CH7" s="217">
        <f t="shared" ref="CH7:CH35" si="55">MAX(0,CG7-CF7)</f>
        <v>3400</v>
      </c>
      <c r="CI7" s="230">
        <f t="shared" ref="CI7:CI34" si="56">CH7-CH6</f>
        <v>-500</v>
      </c>
      <c r="CJ7" s="231">
        <f>(CH7/'Finance Only'!B10)*100</f>
        <v>16.50805981744028</v>
      </c>
      <c r="CK7" s="217">
        <f t="shared" ref="CK7:CK35" si="57">CL6</f>
        <v>805830</v>
      </c>
      <c r="CL7" s="217">
        <v>806500</v>
      </c>
      <c r="CM7" s="217">
        <f t="shared" ref="CM7:CM35" si="58">MAX(0,CL7-CK7)</f>
        <v>670</v>
      </c>
      <c r="CN7" s="230">
        <f t="shared" ref="CN7:CN34" si="59">CM7-CM6</f>
        <v>-50</v>
      </c>
      <c r="CO7" s="231">
        <f>(CM7/'Finance Only'!B10)*100</f>
        <v>3.2530588463779377</v>
      </c>
      <c r="CP7" s="216">
        <f>CQ6</f>
        <v>666140</v>
      </c>
      <c r="CQ7" s="216">
        <v>666660</v>
      </c>
      <c r="CR7" s="218">
        <f>MAX(0,CQ7-CP7)</f>
        <v>520</v>
      </c>
      <c r="CS7" s="230">
        <f t="shared" ref="CS7:CS34" si="60">CR7-CR6</f>
        <v>70</v>
      </c>
      <c r="CT7" s="231">
        <f>(CR7/'Finance Only'!B10)*100</f>
        <v>2.5247620897261602</v>
      </c>
      <c r="CU7" s="216">
        <f t="shared" ref="CU7:CU35" si="61">CV6</f>
        <v>553460</v>
      </c>
      <c r="CV7" s="216">
        <v>553890</v>
      </c>
      <c r="CW7" s="217">
        <f t="shared" ref="CW7:CW35" si="62">MAX(0,CV7-CU7)</f>
        <v>430</v>
      </c>
      <c r="CX7" s="230">
        <f t="shared" ref="CX7:CX34" si="63">CW7-CW6</f>
        <v>-40</v>
      </c>
      <c r="CY7" s="231">
        <f>(CW7/'Finance Only'!B10)*100</f>
        <v>2.0877840357350941</v>
      </c>
      <c r="CZ7" s="216">
        <f t="shared" ref="CZ7:CZ35" si="64">DA6</f>
        <v>925890</v>
      </c>
      <c r="DA7" s="216">
        <v>926760</v>
      </c>
      <c r="DB7" s="217">
        <f t="shared" ref="DB7:DB35" si="65">MAX(0,DA7-CZ7)</f>
        <v>870</v>
      </c>
      <c r="DC7" s="230">
        <f t="shared" ref="DC7:DC34" si="66">DB7-DB6</f>
        <v>70</v>
      </c>
      <c r="DD7" s="231">
        <f>(DB7/'Finance Only'!B10)*100</f>
        <v>4.2241211885803072</v>
      </c>
      <c r="DE7" s="216">
        <f t="shared" ref="DE7:DE35" si="67">DF6</f>
        <v>707190</v>
      </c>
      <c r="DF7" s="216">
        <v>707850</v>
      </c>
      <c r="DG7" s="217">
        <f t="shared" ref="DG7:DG35" si="68">MAX(0,DF7-DE7)</f>
        <v>660</v>
      </c>
      <c r="DH7" s="230">
        <f t="shared" ref="DH7:DH34" si="69">DG7-DG6</f>
        <v>-40</v>
      </c>
      <c r="DI7" s="231">
        <f>(DG7/'Finance Only'!B10)*100</f>
        <v>3.2045057292678187</v>
      </c>
      <c r="DJ7" s="216">
        <f t="shared" ref="DJ7:DJ35" si="70">DK6</f>
        <v>616360</v>
      </c>
      <c r="DK7" s="216">
        <v>616930</v>
      </c>
      <c r="DL7" s="217">
        <f t="shared" ref="DL7:DL35" si="71">MAX(0,DK7-DJ7)</f>
        <v>570</v>
      </c>
      <c r="DM7" s="230">
        <f t="shared" ref="DM7:DM34" si="72">DL7-DL6</f>
        <v>0</v>
      </c>
      <c r="DN7" s="231">
        <f>(DL7/'Finance Only'!B10)*100</f>
        <v>2.7675276752767526</v>
      </c>
      <c r="DO7" s="216">
        <f t="shared" ref="DO7:DO35" si="73">DP6</f>
        <v>335620</v>
      </c>
      <c r="DP7" s="216">
        <v>335990</v>
      </c>
      <c r="DQ7" s="217">
        <f t="shared" ref="DQ7:DQ35" si="74">MAX(0,DP7-DO7)</f>
        <v>370</v>
      </c>
      <c r="DR7" s="230">
        <f t="shared" ref="DR7:DR34" si="75">DQ7-DQ6</f>
        <v>-10</v>
      </c>
      <c r="DS7" s="231">
        <f>(DQ7/'Finance Only'!B10)*100</f>
        <v>1.7964653330743832</v>
      </c>
      <c r="DT7" s="216">
        <f t="shared" ref="DT7:DT35" si="76">DU6</f>
        <v>109340</v>
      </c>
      <c r="DU7" s="216">
        <v>109460</v>
      </c>
      <c r="DV7" s="217">
        <f t="shared" ref="DV7:DV35" si="77">MAX(0,DU7-DT7)</f>
        <v>120</v>
      </c>
      <c r="DW7" s="230">
        <f t="shared" ref="DW7:DW34" si="78">DV7-DV6</f>
        <v>40</v>
      </c>
      <c r="DX7" s="231">
        <f>(DV7/'Finance Only'!B10)*100</f>
        <v>0.58263740532142161</v>
      </c>
      <c r="DY7" s="216">
        <f t="shared" ref="DY7:DY35" si="79">DZ6</f>
        <v>69795</v>
      </c>
      <c r="DZ7" s="216">
        <v>69884</v>
      </c>
      <c r="EA7" s="217">
        <f t="shared" ref="EA7:EA35" si="80">MAX(0,DZ7-DY7)</f>
        <v>89</v>
      </c>
      <c r="EB7" s="230">
        <f t="shared" ref="EB7:EB34" si="81">EA7-EA6</f>
        <v>1</v>
      </c>
      <c r="EC7" s="231">
        <f>(EA7/'Finance Only'!B10)*100</f>
        <v>0.43212274228005443</v>
      </c>
      <c r="ED7" s="216">
        <f t="shared" ref="ED7:ED35" si="82">EE6</f>
        <v>222990</v>
      </c>
      <c r="EE7" s="216">
        <v>223250</v>
      </c>
      <c r="EF7" s="217">
        <f t="shared" ref="EF7:EF35" si="83">MAX(0,EE7-ED7)</f>
        <v>260</v>
      </c>
      <c r="EG7" s="230">
        <f t="shared" ref="EG7:EG34" si="84">EF7-EF6</f>
        <v>10</v>
      </c>
      <c r="EH7" s="231">
        <f>(EF7/'Finance Only'!B10)*100</f>
        <v>1.2623810448630801</v>
      </c>
      <c r="EI7" s="216">
        <f t="shared" ref="EI7:EI35" si="85">EJ6</f>
        <v>250140</v>
      </c>
      <c r="EJ7" s="216">
        <v>250470</v>
      </c>
      <c r="EK7" s="217">
        <f t="shared" ref="EK7:EK35" si="86">MAX(0,EJ7-EI7)</f>
        <v>330</v>
      </c>
      <c r="EL7" s="230">
        <f t="shared" ref="EL7:EL34" si="87">EK7-EK6</f>
        <v>70</v>
      </c>
      <c r="EM7" s="231">
        <f>(EK7/'Finance Only'!B10)*100</f>
        <v>1.6022528646339094</v>
      </c>
      <c r="EN7" s="216">
        <f t="shared" ref="EN7:EN35" si="88">EO6</f>
        <v>413280</v>
      </c>
      <c r="EO7" s="216">
        <v>413750</v>
      </c>
      <c r="EP7" s="217">
        <f t="shared" ref="EP7:EP35" si="89">MAX(0,EO7-EN7)</f>
        <v>470</v>
      </c>
      <c r="EQ7" s="230">
        <f t="shared" ref="EQ7:EQ34" si="90">EP7-EP6</f>
        <v>20</v>
      </c>
      <c r="ER7" s="231">
        <f>(EP7/'Finance Only'!B10)*100</f>
        <v>2.2819965041755679</v>
      </c>
      <c r="ES7" s="216">
        <f t="shared" ref="ES7:ES35" si="91">ET6</f>
        <v>0</v>
      </c>
      <c r="ET7" s="216"/>
      <c r="EU7" s="217">
        <f t="shared" ref="EU7:EU35" si="92">MAX(0,ET7-ES7)</f>
        <v>0</v>
      </c>
      <c r="EV7" s="230">
        <f t="shared" ref="EV7:EV34" si="93">EU7-EU6</f>
        <v>0</v>
      </c>
      <c r="EW7" s="231">
        <f>(EU7/'Finance Only'!B10)*100</f>
        <v>0</v>
      </c>
      <c r="EX7" s="216">
        <f t="shared" ref="EX7:EX35" si="94">EY6</f>
        <v>0</v>
      </c>
      <c r="EY7" s="216"/>
      <c r="EZ7" s="217">
        <f t="shared" ref="EZ7:EZ35" si="95">MAX(0,EY7-EX7)</f>
        <v>0</v>
      </c>
      <c r="FA7" s="230">
        <f t="shared" ref="FA7:FA35" si="96">EZ7-EZ6</f>
        <v>0</v>
      </c>
      <c r="FB7" s="231">
        <f>(EZ7/'Finance Only'!G10)*100</f>
        <v>0</v>
      </c>
      <c r="FC7" s="216">
        <f t="shared" ref="FC7:FC35" si="97">FD6</f>
        <v>0</v>
      </c>
      <c r="FD7" s="216"/>
      <c r="FE7" s="217">
        <f t="shared" ref="FE7:FE35" si="98">MAX(0,FD7-FC7)</f>
        <v>0</v>
      </c>
      <c r="FF7" s="230">
        <f t="shared" ref="FF7:FF35" si="99">FE7-FE6</f>
        <v>0</v>
      </c>
      <c r="FG7" s="231" t="e">
        <f>(FE7/'Finance Only'!M10)*100</f>
        <v>#DIV/0!</v>
      </c>
      <c r="FH7" s="304"/>
      <c r="FI7" s="304"/>
      <c r="FJ7" s="304"/>
      <c r="FK7" s="304"/>
      <c r="FL7" s="304"/>
      <c r="FM7" s="216">
        <f t="shared" ref="FM7:FM35" si="100">FN6</f>
        <v>0</v>
      </c>
      <c r="FN7" s="216"/>
      <c r="FO7" s="217">
        <f t="shared" ref="FO7:FO35" si="101">MAX(0,FN7-FM7)</f>
        <v>0</v>
      </c>
      <c r="FP7" s="230">
        <f t="shared" ref="FP7:FP35" si="102">FO7-FO6</f>
        <v>0</v>
      </c>
      <c r="FQ7" s="231" t="e">
        <f>(FO7/'Finance Only'!R10)*100</f>
        <v>#DIV/0!</v>
      </c>
      <c r="FR7" s="216">
        <f t="shared" ref="FR7:FR35" si="103">FS6</f>
        <v>0</v>
      </c>
      <c r="FS7" s="216"/>
      <c r="FT7" s="217">
        <f t="shared" ref="FT7:FT35" si="104">MAX(0,FS7-FR7)</f>
        <v>0</v>
      </c>
      <c r="FU7" s="230">
        <f t="shared" ref="FU7:FU35" si="105">FT7-FT6</f>
        <v>0</v>
      </c>
      <c r="FV7" s="231" t="e">
        <f>(FT7/'Finance Only'!W10)*100</f>
        <v>#DIV/0!</v>
      </c>
      <c r="FW7" s="216">
        <f t="shared" ref="FW7:FW35" si="106">FX6</f>
        <v>0</v>
      </c>
      <c r="FX7" s="216"/>
      <c r="FY7" s="217">
        <f t="shared" ref="FY7:FY35" si="107">MAX(0,FX7-FW7)</f>
        <v>0</v>
      </c>
      <c r="FZ7" s="230">
        <f t="shared" ref="FZ7:FZ35" si="108">FY7-FY6</f>
        <v>0</v>
      </c>
      <c r="GA7" s="231" t="e">
        <f>(FY7/'Finance Only'!AB10)*100</f>
        <v>#DIV/0!</v>
      </c>
      <c r="GB7" s="280"/>
      <c r="GC7" s="286">
        <f t="shared" si="1"/>
        <v>5992</v>
      </c>
      <c r="GD7" s="283"/>
      <c r="GE7" s="286">
        <f t="shared" si="2"/>
        <v>6017</v>
      </c>
      <c r="GF7" s="283"/>
      <c r="GG7" s="286">
        <f t="shared" si="3"/>
        <v>1600</v>
      </c>
      <c r="GH7" s="283"/>
      <c r="GI7" s="286">
        <f t="shared" si="4"/>
        <v>883.69999999999982</v>
      </c>
      <c r="GJ7" s="283"/>
      <c r="GK7" s="286">
        <f t="shared" si="5"/>
        <v>590</v>
      </c>
      <c r="GL7" s="283"/>
      <c r="GM7" s="286">
        <f t="shared" si="6"/>
        <v>0</v>
      </c>
      <c r="GN7" s="283"/>
    </row>
    <row r="8" spans="1:196" s="3" customFormat="1" ht="13.5" customHeight="1" x14ac:dyDescent="0.2">
      <c r="A8" s="271">
        <v>4</v>
      </c>
      <c r="B8" s="274">
        <f>'Finance Only'!G11</f>
        <v>10.7</v>
      </c>
      <c r="C8" s="269">
        <f t="shared" si="7"/>
        <v>27001955</v>
      </c>
      <c r="D8" s="214">
        <v>27004548</v>
      </c>
      <c r="E8" s="215">
        <f t="shared" si="8"/>
        <v>2593</v>
      </c>
      <c r="F8" s="226">
        <f t="shared" si="9"/>
        <v>55</v>
      </c>
      <c r="G8" s="227">
        <f>(E8/'Finance Only'!B11)*100</f>
        <v>12.070570710362164</v>
      </c>
      <c r="H8" s="237">
        <f t="shared" si="10"/>
        <v>24903145</v>
      </c>
      <c r="I8" s="214">
        <v>24906698</v>
      </c>
      <c r="J8" s="214">
        <f t="shared" si="11"/>
        <v>3553</v>
      </c>
      <c r="K8" s="238">
        <f t="shared" si="12"/>
        <v>99</v>
      </c>
      <c r="L8" s="239">
        <f>(J8/'Finance Only'!B11)*100</f>
        <v>16.539428358625827</v>
      </c>
      <c r="M8" s="222">
        <f t="shared" si="13"/>
        <v>91845685</v>
      </c>
      <c r="N8" s="216">
        <v>91855584</v>
      </c>
      <c r="O8" s="217">
        <f t="shared" si="14"/>
        <v>9899</v>
      </c>
      <c r="P8" s="230">
        <f t="shared" si="15"/>
        <v>183</v>
      </c>
      <c r="Q8" s="231">
        <f>(O8/'Finance Only'!B11)*100</f>
        <v>46.080439437668744</v>
      </c>
      <c r="R8" s="221">
        <f>S7</f>
        <v>3006400</v>
      </c>
      <c r="S8" s="216">
        <v>3008500</v>
      </c>
      <c r="T8" s="217">
        <f t="shared" si="17"/>
        <v>2100</v>
      </c>
      <c r="U8" s="230">
        <f t="shared" si="18"/>
        <v>-100</v>
      </c>
      <c r="V8" s="231">
        <f>(T8/'Finance Only'!B11)*100</f>
        <v>9.7756261055767624</v>
      </c>
      <c r="W8" s="216">
        <f t="shared" si="19"/>
        <v>4070454</v>
      </c>
      <c r="X8" s="216">
        <v>4072997</v>
      </c>
      <c r="Y8" s="217">
        <f t="shared" si="20"/>
        <v>2543</v>
      </c>
      <c r="Z8" s="230">
        <f t="shared" si="21"/>
        <v>-125</v>
      </c>
      <c r="AA8" s="231">
        <f>(Y8/'Finance Only'!B11)*100</f>
        <v>11.837817707848432</v>
      </c>
      <c r="AB8" s="216">
        <f t="shared" si="22"/>
        <v>2645400</v>
      </c>
      <c r="AC8" s="216">
        <v>2646900</v>
      </c>
      <c r="AD8" s="217">
        <f t="shared" si="0"/>
        <v>1500</v>
      </c>
      <c r="AE8" s="325">
        <f>AD8/WATER!V9</f>
        <v>5.0167224080267561</v>
      </c>
      <c r="AF8" s="230">
        <f t="shared" si="23"/>
        <v>-200</v>
      </c>
      <c r="AG8" s="231">
        <f>(AD8/'Finance Only'!B11)*100</f>
        <v>6.9825900754119719</v>
      </c>
      <c r="AH8" s="216">
        <f t="shared" si="24"/>
        <v>1077379</v>
      </c>
      <c r="AI8" s="216">
        <v>1077893</v>
      </c>
      <c r="AJ8" s="217">
        <f t="shared" si="25"/>
        <v>514</v>
      </c>
      <c r="AK8" s="230">
        <f t="shared" si="26"/>
        <v>-22</v>
      </c>
      <c r="AL8" s="231">
        <f>(AJ8/'Finance Only'!B11)*100</f>
        <v>2.3927008658411695</v>
      </c>
      <c r="AM8" s="216">
        <f t="shared" si="27"/>
        <v>1079400</v>
      </c>
      <c r="AN8" s="216">
        <v>1080000</v>
      </c>
      <c r="AO8" s="217">
        <f t="shared" si="28"/>
        <v>600</v>
      </c>
      <c r="AP8" s="230">
        <f t="shared" si="29"/>
        <v>-100</v>
      </c>
      <c r="AQ8" s="231">
        <f>(AO8/'Finance Only'!B11)*100</f>
        <v>2.7930360301647892</v>
      </c>
      <c r="AR8" s="216">
        <f t="shared" si="30"/>
        <v>2436000</v>
      </c>
      <c r="AS8" s="216">
        <v>2437300</v>
      </c>
      <c r="AT8" s="217">
        <f t="shared" si="31"/>
        <v>1300</v>
      </c>
      <c r="AU8" s="230">
        <f t="shared" si="32"/>
        <v>400</v>
      </c>
      <c r="AV8" s="231">
        <f>(AT8/'Finance Only'!B11)*100</f>
        <v>6.0515780653570435</v>
      </c>
      <c r="AW8" s="216">
        <f t="shared" si="33"/>
        <v>4853.8999999999996</v>
      </c>
      <c r="AX8" s="216">
        <v>5181.3999999999996</v>
      </c>
      <c r="AY8" s="217">
        <f t="shared" si="34"/>
        <v>327.5</v>
      </c>
      <c r="AZ8" s="230">
        <f t="shared" si="35"/>
        <v>13.800000000000182</v>
      </c>
      <c r="BA8" s="231">
        <f>(AY8/'Finance Only'!B11)*100</f>
        <v>1.5245321664649474</v>
      </c>
      <c r="BB8" s="216">
        <f t="shared" si="36"/>
        <v>985710</v>
      </c>
      <c r="BC8" s="216">
        <v>986080</v>
      </c>
      <c r="BD8" s="217">
        <f t="shared" si="37"/>
        <v>370</v>
      </c>
      <c r="BE8" s="230">
        <f t="shared" si="38"/>
        <v>0</v>
      </c>
      <c r="BF8" s="231">
        <f>(BD8/'Finance Only'!B11)*100</f>
        <v>1.7223722186016199</v>
      </c>
      <c r="BG8" s="216">
        <f t="shared" si="39"/>
        <v>1065800</v>
      </c>
      <c r="BH8" s="216">
        <v>1066100</v>
      </c>
      <c r="BI8" s="217">
        <f t="shared" si="40"/>
        <v>300</v>
      </c>
      <c r="BJ8" s="230">
        <f t="shared" si="41"/>
        <v>100</v>
      </c>
      <c r="BK8" s="231">
        <f>(BI8/'Finance Only'!B11)*100</f>
        <v>1.3965180150823946</v>
      </c>
      <c r="BL8" s="216">
        <f t="shared" si="42"/>
        <v>1577780</v>
      </c>
      <c r="BM8" s="216">
        <v>1578300</v>
      </c>
      <c r="BN8" s="217">
        <f t="shared" si="43"/>
        <v>520</v>
      </c>
      <c r="BO8" s="230">
        <f t="shared" si="44"/>
        <v>40</v>
      </c>
      <c r="BP8" s="231">
        <f>(BN8/'Finance Only'!B11)*100</f>
        <v>2.4206312261428171</v>
      </c>
      <c r="BQ8" s="216">
        <f t="shared" si="45"/>
        <v>133060</v>
      </c>
      <c r="BR8" s="216">
        <v>133190</v>
      </c>
      <c r="BS8" s="217">
        <f t="shared" si="46"/>
        <v>130</v>
      </c>
      <c r="BT8" s="230">
        <f t="shared" si="47"/>
        <v>20</v>
      </c>
      <c r="BU8" s="231">
        <f>(BS8/'Finance Only'!B11)*100</f>
        <v>0.60515780653570428</v>
      </c>
      <c r="BV8" s="216">
        <f t="shared" si="48"/>
        <v>569900</v>
      </c>
      <c r="BW8" s="216">
        <v>570300</v>
      </c>
      <c r="BX8" s="217">
        <f t="shared" si="49"/>
        <v>400</v>
      </c>
      <c r="BY8" s="230">
        <f t="shared" si="50"/>
        <v>40</v>
      </c>
      <c r="BZ8" s="231">
        <f>(BX8/'Finance Only'!B11)*100</f>
        <v>1.8620240201098597</v>
      </c>
      <c r="CA8" s="216">
        <f t="shared" si="51"/>
        <v>1048900</v>
      </c>
      <c r="CB8" s="216">
        <v>1050000</v>
      </c>
      <c r="CC8" s="217">
        <f t="shared" si="52"/>
        <v>1100</v>
      </c>
      <c r="CD8" s="230">
        <f t="shared" si="53"/>
        <v>-100</v>
      </c>
      <c r="CE8" s="231">
        <f>(CC8/'Finance Only'!B11)*100</f>
        <v>5.1205660553021133</v>
      </c>
      <c r="CF8" s="216">
        <f t="shared" si="54"/>
        <v>3399300</v>
      </c>
      <c r="CG8" s="216">
        <v>3403300</v>
      </c>
      <c r="CH8" s="217">
        <f t="shared" si="55"/>
        <v>4000</v>
      </c>
      <c r="CI8" s="230">
        <f t="shared" si="56"/>
        <v>600</v>
      </c>
      <c r="CJ8" s="231">
        <f>(CH8/'Finance Only'!B11)*100</f>
        <v>18.620240201098596</v>
      </c>
      <c r="CK8" s="217">
        <f t="shared" si="57"/>
        <v>806500</v>
      </c>
      <c r="CL8" s="217">
        <v>807230</v>
      </c>
      <c r="CM8" s="217">
        <f t="shared" si="58"/>
        <v>730</v>
      </c>
      <c r="CN8" s="230">
        <f t="shared" si="59"/>
        <v>60</v>
      </c>
      <c r="CO8" s="231">
        <f>(CM8/'Finance Only'!B11)*100</f>
        <v>3.3981938367004938</v>
      </c>
      <c r="CP8" s="216">
        <f>CQ7</f>
        <v>666660</v>
      </c>
      <c r="CQ8" s="216">
        <v>667240</v>
      </c>
      <c r="CR8" s="218">
        <f>MAX(0,CQ8-CP8)</f>
        <v>580</v>
      </c>
      <c r="CS8" s="230">
        <f t="shared" si="60"/>
        <v>60</v>
      </c>
      <c r="CT8" s="231">
        <f>(CR8/'Finance Only'!B11)*100</f>
        <v>2.6999348291592962</v>
      </c>
      <c r="CU8" s="216">
        <f t="shared" si="61"/>
        <v>553890</v>
      </c>
      <c r="CV8" s="216">
        <v>554370</v>
      </c>
      <c r="CW8" s="217">
        <f t="shared" si="62"/>
        <v>480</v>
      </c>
      <c r="CX8" s="230">
        <f t="shared" si="63"/>
        <v>50</v>
      </c>
      <c r="CY8" s="231">
        <f>(CW8/'Finance Only'!B11)*100</f>
        <v>2.2344288241318311</v>
      </c>
      <c r="CZ8" s="216">
        <f t="shared" si="64"/>
        <v>926760</v>
      </c>
      <c r="DA8" s="216">
        <v>927730</v>
      </c>
      <c r="DB8" s="217">
        <f t="shared" si="65"/>
        <v>970</v>
      </c>
      <c r="DC8" s="230">
        <f t="shared" si="66"/>
        <v>100</v>
      </c>
      <c r="DD8" s="231">
        <f>(DB8/'Finance Only'!B11)*100</f>
        <v>4.5154082487664091</v>
      </c>
      <c r="DE8" s="216">
        <f t="shared" si="67"/>
        <v>707850</v>
      </c>
      <c r="DF8" s="216">
        <v>708530</v>
      </c>
      <c r="DG8" s="217">
        <f t="shared" si="68"/>
        <v>680</v>
      </c>
      <c r="DH8" s="230">
        <f t="shared" si="69"/>
        <v>20</v>
      </c>
      <c r="DI8" s="231">
        <f>(DG8/'Finance Only'!B11)*100</f>
        <v>3.1654408341867613</v>
      </c>
      <c r="DJ8" s="216">
        <f t="shared" si="70"/>
        <v>616930</v>
      </c>
      <c r="DK8" s="216">
        <v>617500</v>
      </c>
      <c r="DL8" s="217">
        <f t="shared" si="71"/>
        <v>570</v>
      </c>
      <c r="DM8" s="230">
        <f t="shared" si="72"/>
        <v>0</v>
      </c>
      <c r="DN8" s="231">
        <f>(DL8/'Finance Only'!B11)*100</f>
        <v>2.6533842286565497</v>
      </c>
      <c r="DO8" s="216">
        <f t="shared" si="73"/>
        <v>335990</v>
      </c>
      <c r="DP8" s="216">
        <v>336430</v>
      </c>
      <c r="DQ8" s="217">
        <f t="shared" si="74"/>
        <v>440</v>
      </c>
      <c r="DR8" s="230">
        <f t="shared" si="75"/>
        <v>70</v>
      </c>
      <c r="DS8" s="231">
        <f>(DQ8/'Finance Only'!B11)*100</f>
        <v>2.0482264221208455</v>
      </c>
      <c r="DT8" s="216">
        <f t="shared" si="76"/>
        <v>109460</v>
      </c>
      <c r="DU8" s="216">
        <v>109570</v>
      </c>
      <c r="DV8" s="217">
        <f t="shared" si="77"/>
        <v>110</v>
      </c>
      <c r="DW8" s="230">
        <f t="shared" si="78"/>
        <v>-10</v>
      </c>
      <c r="DX8" s="231">
        <f>(DV8/'Finance Only'!B11)*100</f>
        <v>0.51205660553021137</v>
      </c>
      <c r="DY8" s="216">
        <f t="shared" si="79"/>
        <v>69884</v>
      </c>
      <c r="DZ8" s="216">
        <v>69975</v>
      </c>
      <c r="EA8" s="217">
        <f t="shared" si="80"/>
        <v>91</v>
      </c>
      <c r="EB8" s="230">
        <f t="shared" si="81"/>
        <v>2</v>
      </c>
      <c r="EC8" s="231">
        <f>(EA8/'Finance Only'!B11)*100</f>
        <v>0.42361046457499302</v>
      </c>
      <c r="ED8" s="216">
        <f t="shared" si="82"/>
        <v>223250</v>
      </c>
      <c r="EE8" s="216">
        <v>223510</v>
      </c>
      <c r="EF8" s="217">
        <f t="shared" si="83"/>
        <v>260</v>
      </c>
      <c r="EG8" s="230">
        <f t="shared" si="84"/>
        <v>0</v>
      </c>
      <c r="EH8" s="231">
        <f>(EF8/'Finance Only'!B11)*100</f>
        <v>1.2103156130714086</v>
      </c>
      <c r="EI8" s="216">
        <f t="shared" si="85"/>
        <v>250470</v>
      </c>
      <c r="EJ8" s="216">
        <v>250840</v>
      </c>
      <c r="EK8" s="217">
        <f t="shared" si="86"/>
        <v>370</v>
      </c>
      <c r="EL8" s="230">
        <f t="shared" si="87"/>
        <v>40</v>
      </c>
      <c r="EM8" s="231">
        <f>(EK8/'Finance Only'!B11)*100</f>
        <v>1.7223722186016199</v>
      </c>
      <c r="EN8" s="216">
        <f t="shared" si="88"/>
        <v>413750</v>
      </c>
      <c r="EO8" s="216">
        <v>414270</v>
      </c>
      <c r="EP8" s="217">
        <f t="shared" si="89"/>
        <v>520</v>
      </c>
      <c r="EQ8" s="230">
        <f t="shared" si="90"/>
        <v>50</v>
      </c>
      <c r="ER8" s="231">
        <f>(EP8/'Finance Only'!B11)*100</f>
        <v>2.4206312261428171</v>
      </c>
      <c r="ES8" s="216">
        <f t="shared" si="91"/>
        <v>0</v>
      </c>
      <c r="ET8" s="216"/>
      <c r="EU8" s="217">
        <f t="shared" si="92"/>
        <v>0</v>
      </c>
      <c r="EV8" s="230">
        <f t="shared" si="93"/>
        <v>0</v>
      </c>
      <c r="EW8" s="231">
        <f>(EU8/'Finance Only'!B11)*100</f>
        <v>0</v>
      </c>
      <c r="EX8" s="216">
        <f t="shared" si="94"/>
        <v>0</v>
      </c>
      <c r="EY8" s="216"/>
      <c r="EZ8" s="217">
        <f t="shared" si="95"/>
        <v>0</v>
      </c>
      <c r="FA8" s="230">
        <f t="shared" si="96"/>
        <v>0</v>
      </c>
      <c r="FB8" s="231">
        <f>(EZ8/'Finance Only'!G11)*100</f>
        <v>0</v>
      </c>
      <c r="FC8" s="216">
        <f t="shared" si="97"/>
        <v>0</v>
      </c>
      <c r="FD8" s="216"/>
      <c r="FE8" s="217">
        <f t="shared" si="98"/>
        <v>0</v>
      </c>
      <c r="FF8" s="230">
        <f t="shared" si="99"/>
        <v>0</v>
      </c>
      <c r="FG8" s="231" t="e">
        <f>(FE8/'Finance Only'!M11)*100</f>
        <v>#DIV/0!</v>
      </c>
      <c r="FH8" s="304"/>
      <c r="FI8" s="304"/>
      <c r="FJ8" s="304"/>
      <c r="FK8" s="304"/>
      <c r="FL8" s="304"/>
      <c r="FM8" s="216">
        <f t="shared" si="100"/>
        <v>0</v>
      </c>
      <c r="FN8" s="216"/>
      <c r="FO8" s="217">
        <f t="shared" si="101"/>
        <v>0</v>
      </c>
      <c r="FP8" s="230">
        <f t="shared" si="102"/>
        <v>0</v>
      </c>
      <c r="FQ8" s="231" t="e">
        <f>(FO8/'Finance Only'!R11)*100</f>
        <v>#DIV/0!</v>
      </c>
      <c r="FR8" s="216">
        <f t="shared" si="103"/>
        <v>0</v>
      </c>
      <c r="FS8" s="216"/>
      <c r="FT8" s="217">
        <f t="shared" si="104"/>
        <v>0</v>
      </c>
      <c r="FU8" s="230">
        <f t="shared" si="105"/>
        <v>0</v>
      </c>
      <c r="FV8" s="231" t="e">
        <f>(FT8/'Finance Only'!W11)*100</f>
        <v>#DIV/0!</v>
      </c>
      <c r="FW8" s="216">
        <f t="shared" si="106"/>
        <v>0</v>
      </c>
      <c r="FX8" s="216"/>
      <c r="FY8" s="217">
        <f t="shared" si="107"/>
        <v>0</v>
      </c>
      <c r="FZ8" s="230">
        <f t="shared" si="108"/>
        <v>0</v>
      </c>
      <c r="GA8" s="231" t="e">
        <f>(FY8/'Finance Only'!AB11)*100</f>
        <v>#DIV/0!</v>
      </c>
      <c r="GB8" s="280"/>
      <c r="GC8" s="286">
        <f t="shared" si="1"/>
        <v>6146</v>
      </c>
      <c r="GD8" s="283"/>
      <c r="GE8" s="286">
        <f t="shared" si="2"/>
        <v>5884</v>
      </c>
      <c r="GF8" s="283"/>
      <c r="GG8" s="286">
        <f t="shared" si="3"/>
        <v>1900</v>
      </c>
      <c r="GH8" s="283"/>
      <c r="GI8" s="286">
        <f t="shared" si="4"/>
        <v>997.5</v>
      </c>
      <c r="GJ8" s="283"/>
      <c r="GK8" s="286">
        <f t="shared" si="5"/>
        <v>650</v>
      </c>
      <c r="GL8" s="283"/>
      <c r="GM8" s="286">
        <f t="shared" si="6"/>
        <v>0</v>
      </c>
      <c r="GN8" s="283"/>
    </row>
    <row r="9" spans="1:196" s="3" customFormat="1" ht="13.5" customHeight="1" x14ac:dyDescent="0.2">
      <c r="A9" s="271">
        <v>5</v>
      </c>
      <c r="B9" s="274">
        <f>'Finance Only'!G12</f>
        <v>10.7</v>
      </c>
      <c r="C9" s="269">
        <f t="shared" si="7"/>
        <v>27004548</v>
      </c>
      <c r="D9" s="214">
        <v>27007034</v>
      </c>
      <c r="E9" s="215">
        <f t="shared" si="8"/>
        <v>2486</v>
      </c>
      <c r="F9" s="226">
        <f t="shared" si="9"/>
        <v>-107</v>
      </c>
      <c r="G9" s="227">
        <f>(E9/'Finance Only'!B12)*100</f>
        <v>11.974375030104522</v>
      </c>
      <c r="H9" s="237">
        <f t="shared" si="10"/>
        <v>24906698</v>
      </c>
      <c r="I9" s="214">
        <v>24909588</v>
      </c>
      <c r="J9" s="214">
        <f t="shared" si="11"/>
        <v>2890</v>
      </c>
      <c r="K9" s="238">
        <f t="shared" si="12"/>
        <v>-663</v>
      </c>
      <c r="L9" s="239">
        <f>(J9/'Finance Only'!B12)*100</f>
        <v>13.920331390588123</v>
      </c>
      <c r="M9" s="222">
        <f t="shared" si="13"/>
        <v>91855584</v>
      </c>
      <c r="N9" s="216">
        <v>91866074</v>
      </c>
      <c r="O9" s="217">
        <f t="shared" si="14"/>
        <v>10490</v>
      </c>
      <c r="P9" s="230">
        <f t="shared" si="15"/>
        <v>591</v>
      </c>
      <c r="Q9" s="231">
        <f>(O9/'Finance Only'!B12)*100</f>
        <v>50.527431241269696</v>
      </c>
      <c r="R9" s="221">
        <f t="shared" si="16"/>
        <v>3008500</v>
      </c>
      <c r="S9" s="216">
        <v>3010700</v>
      </c>
      <c r="T9" s="217">
        <f t="shared" si="17"/>
        <v>2200</v>
      </c>
      <c r="U9" s="230">
        <f t="shared" si="18"/>
        <v>100</v>
      </c>
      <c r="V9" s="231">
        <f>(T9/'Finance Only'!B12)*100</f>
        <v>10.5967920620394</v>
      </c>
      <c r="W9" s="216">
        <f t="shared" si="19"/>
        <v>4072997</v>
      </c>
      <c r="X9" s="216">
        <v>4075600</v>
      </c>
      <c r="Y9" s="217">
        <f t="shared" si="20"/>
        <v>2603</v>
      </c>
      <c r="Z9" s="230">
        <f t="shared" si="21"/>
        <v>60</v>
      </c>
      <c r="AA9" s="231">
        <f>(Y9/'Finance Only'!B12)*100</f>
        <v>12.537931698858436</v>
      </c>
      <c r="AB9" s="216">
        <f t="shared" si="22"/>
        <v>2646900</v>
      </c>
      <c r="AC9" s="216">
        <v>2648400</v>
      </c>
      <c r="AD9" s="217">
        <f t="shared" si="0"/>
        <v>1500</v>
      </c>
      <c r="AE9" s="325">
        <f>AD9/WATER!V10</f>
        <v>5.6603773584905657</v>
      </c>
      <c r="AF9" s="230">
        <f t="shared" si="23"/>
        <v>0</v>
      </c>
      <c r="AG9" s="231">
        <f>(AD9/'Finance Only'!B12)*100</f>
        <v>7.225085496845046</v>
      </c>
      <c r="AH9" s="216">
        <f t="shared" si="24"/>
        <v>1077893</v>
      </c>
      <c r="AI9" s="216">
        <v>1078472</v>
      </c>
      <c r="AJ9" s="217">
        <f t="shared" si="25"/>
        <v>579</v>
      </c>
      <c r="AK9" s="230">
        <f t="shared" si="26"/>
        <v>65</v>
      </c>
      <c r="AL9" s="231">
        <f>(AJ9/'Finance Only'!B12)*100</f>
        <v>2.788883001782188</v>
      </c>
      <c r="AM9" s="216">
        <f t="shared" si="27"/>
        <v>1080000</v>
      </c>
      <c r="AN9" s="216">
        <v>1080600</v>
      </c>
      <c r="AO9" s="217">
        <f t="shared" si="28"/>
        <v>600</v>
      </c>
      <c r="AP9" s="230">
        <f t="shared" si="29"/>
        <v>0</v>
      </c>
      <c r="AQ9" s="231">
        <f>(AO9/'Finance Only'!B12)*100</f>
        <v>2.8900341987380185</v>
      </c>
      <c r="AR9" s="216">
        <f t="shared" si="30"/>
        <v>2437300</v>
      </c>
      <c r="AS9" s="216">
        <v>2438200</v>
      </c>
      <c r="AT9" s="217">
        <f t="shared" si="31"/>
        <v>900</v>
      </c>
      <c r="AU9" s="230">
        <f t="shared" si="32"/>
        <v>-400</v>
      </c>
      <c r="AV9" s="231">
        <f>(AT9/'Finance Only'!B12)*100</f>
        <v>4.3350512981070271</v>
      </c>
      <c r="AW9" s="216">
        <f t="shared" si="33"/>
        <v>5181.3999999999996</v>
      </c>
      <c r="AX9" s="216">
        <v>5492.2</v>
      </c>
      <c r="AY9" s="217">
        <f t="shared" si="34"/>
        <v>310.80000000000018</v>
      </c>
      <c r="AZ9" s="230">
        <f t="shared" si="35"/>
        <v>-16.699999999999818</v>
      </c>
      <c r="BA9" s="231">
        <f>(AY9/'Finance Only'!B12)*100</f>
        <v>1.4970377149462943</v>
      </c>
      <c r="BB9" s="216">
        <f t="shared" si="36"/>
        <v>986080</v>
      </c>
      <c r="BC9" s="216">
        <v>986460</v>
      </c>
      <c r="BD9" s="217">
        <f t="shared" si="37"/>
        <v>380</v>
      </c>
      <c r="BE9" s="230">
        <f t="shared" si="38"/>
        <v>10</v>
      </c>
      <c r="BF9" s="231">
        <f>(BD9/'Finance Only'!B12)*100</f>
        <v>1.8303549925340783</v>
      </c>
      <c r="BG9" s="216">
        <f t="shared" si="39"/>
        <v>1066100</v>
      </c>
      <c r="BH9" s="216">
        <v>1066300</v>
      </c>
      <c r="BI9" s="217">
        <f t="shared" si="40"/>
        <v>200</v>
      </c>
      <c r="BJ9" s="230">
        <f t="shared" si="41"/>
        <v>-100</v>
      </c>
      <c r="BK9" s="231">
        <f>(BI9/'Finance Only'!B12)*100</f>
        <v>0.96334473291267275</v>
      </c>
      <c r="BL9" s="216">
        <f t="shared" si="42"/>
        <v>1578300</v>
      </c>
      <c r="BM9" s="216">
        <v>1578700</v>
      </c>
      <c r="BN9" s="217">
        <f t="shared" si="43"/>
        <v>400</v>
      </c>
      <c r="BO9" s="230">
        <f t="shared" si="44"/>
        <v>-120</v>
      </c>
      <c r="BP9" s="231">
        <f>(BN9/'Finance Only'!B12)*100</f>
        <v>1.9266894658253455</v>
      </c>
      <c r="BQ9" s="216">
        <f t="shared" si="45"/>
        <v>133190</v>
      </c>
      <c r="BR9" s="216">
        <v>133340</v>
      </c>
      <c r="BS9" s="217">
        <f t="shared" si="46"/>
        <v>150</v>
      </c>
      <c r="BT9" s="230">
        <f t="shared" si="47"/>
        <v>20</v>
      </c>
      <c r="BU9" s="231">
        <f>(BS9/'Finance Only'!B12)*100</f>
        <v>0.72250854968450462</v>
      </c>
      <c r="BV9" s="216">
        <f t="shared" si="48"/>
        <v>570300</v>
      </c>
      <c r="BW9" s="216">
        <v>570790</v>
      </c>
      <c r="BX9" s="217">
        <f t="shared" si="49"/>
        <v>490</v>
      </c>
      <c r="BY9" s="230">
        <f t="shared" si="50"/>
        <v>90</v>
      </c>
      <c r="BZ9" s="231">
        <f>(BX9/'Finance Only'!B12)*100</f>
        <v>2.3601945956360484</v>
      </c>
      <c r="CA9" s="216">
        <f t="shared" si="51"/>
        <v>1050000</v>
      </c>
      <c r="CB9" s="216">
        <v>1051100</v>
      </c>
      <c r="CC9" s="217">
        <f t="shared" si="52"/>
        <v>1100</v>
      </c>
      <c r="CD9" s="230">
        <f t="shared" si="53"/>
        <v>0</v>
      </c>
      <c r="CE9" s="231">
        <f>(CC9/'Finance Only'!B12)*100</f>
        <v>5.2983960310197</v>
      </c>
      <c r="CF9" s="216">
        <f t="shared" si="54"/>
        <v>3403300</v>
      </c>
      <c r="CG9" s="216">
        <v>3406800</v>
      </c>
      <c r="CH9" s="217">
        <f t="shared" si="55"/>
        <v>3500</v>
      </c>
      <c r="CI9" s="230">
        <f t="shared" si="56"/>
        <v>-500</v>
      </c>
      <c r="CJ9" s="231">
        <f>(CH9/'Finance Only'!B12)*100</f>
        <v>16.858532825971775</v>
      </c>
      <c r="CK9" s="217">
        <f t="shared" si="57"/>
        <v>807230</v>
      </c>
      <c r="CL9" s="217">
        <v>807790</v>
      </c>
      <c r="CM9" s="217">
        <f t="shared" si="58"/>
        <v>560</v>
      </c>
      <c r="CN9" s="230">
        <f t="shared" si="59"/>
        <v>-170</v>
      </c>
      <c r="CO9" s="231">
        <f>(CM9/'Finance Only'!B12)*100</f>
        <v>2.6973652521554836</v>
      </c>
      <c r="CP9" s="216">
        <f>CQ8</f>
        <v>667240</v>
      </c>
      <c r="CQ9" s="216">
        <v>667690</v>
      </c>
      <c r="CR9" s="218">
        <f t="shared" ref="CR9:CR35" si="109">MAX(0,CQ9-CP9)</f>
        <v>450</v>
      </c>
      <c r="CS9" s="230">
        <f t="shared" si="60"/>
        <v>-130</v>
      </c>
      <c r="CT9" s="231">
        <f>(CR9/'Finance Only'!B12)*100</f>
        <v>2.1675256490535135</v>
      </c>
      <c r="CU9" s="216">
        <f t="shared" si="61"/>
        <v>554370</v>
      </c>
      <c r="CV9" s="216">
        <v>554680</v>
      </c>
      <c r="CW9" s="217">
        <f t="shared" si="62"/>
        <v>310</v>
      </c>
      <c r="CX9" s="230">
        <f t="shared" si="63"/>
        <v>-170</v>
      </c>
      <c r="CY9" s="231">
        <f>(CW9/'Finance Only'!B12)*100</f>
        <v>1.4931843360146428</v>
      </c>
      <c r="CZ9" s="216">
        <f t="shared" si="64"/>
        <v>927730</v>
      </c>
      <c r="DA9" s="216">
        <v>928390</v>
      </c>
      <c r="DB9" s="217">
        <f t="shared" si="65"/>
        <v>660</v>
      </c>
      <c r="DC9" s="230">
        <f t="shared" si="66"/>
        <v>-310</v>
      </c>
      <c r="DD9" s="231">
        <f>(DB9/'Finance Only'!B12)*100</f>
        <v>3.1790376186118201</v>
      </c>
      <c r="DE9" s="216">
        <f t="shared" si="67"/>
        <v>708530</v>
      </c>
      <c r="DF9" s="216">
        <v>709020</v>
      </c>
      <c r="DG9" s="217">
        <f t="shared" si="68"/>
        <v>490</v>
      </c>
      <c r="DH9" s="230">
        <f t="shared" si="69"/>
        <v>-190</v>
      </c>
      <c r="DI9" s="231">
        <f>(DG9/'Finance Only'!B12)*100</f>
        <v>2.3601945956360484</v>
      </c>
      <c r="DJ9" s="216">
        <f t="shared" si="70"/>
        <v>617500</v>
      </c>
      <c r="DK9" s="216">
        <v>617930</v>
      </c>
      <c r="DL9" s="217">
        <f t="shared" si="71"/>
        <v>430</v>
      </c>
      <c r="DM9" s="230">
        <f t="shared" si="72"/>
        <v>-140</v>
      </c>
      <c r="DN9" s="231">
        <f>(DL9/'Finance Only'!B12)*100</f>
        <v>2.0711911757622463</v>
      </c>
      <c r="DO9" s="216">
        <f t="shared" si="73"/>
        <v>336430</v>
      </c>
      <c r="DP9" s="216">
        <v>336790</v>
      </c>
      <c r="DQ9" s="217">
        <f t="shared" si="74"/>
        <v>360</v>
      </c>
      <c r="DR9" s="230">
        <f t="shared" si="75"/>
        <v>-80</v>
      </c>
      <c r="DS9" s="231">
        <f>(DQ9/'Finance Only'!B12)*100</f>
        <v>1.7340205192428109</v>
      </c>
      <c r="DT9" s="216">
        <f t="shared" si="76"/>
        <v>109570</v>
      </c>
      <c r="DU9" s="216">
        <v>109690</v>
      </c>
      <c r="DV9" s="217">
        <f t="shared" si="77"/>
        <v>120</v>
      </c>
      <c r="DW9" s="230">
        <f t="shared" si="78"/>
        <v>10</v>
      </c>
      <c r="DX9" s="231">
        <f>(DV9/'Finance Only'!B12)*100</f>
        <v>0.5780068397476037</v>
      </c>
      <c r="DY9" s="216">
        <f t="shared" si="79"/>
        <v>69975</v>
      </c>
      <c r="DZ9" s="216">
        <v>70059</v>
      </c>
      <c r="EA9" s="217">
        <f t="shared" si="80"/>
        <v>84</v>
      </c>
      <c r="EB9" s="230">
        <f t="shared" si="81"/>
        <v>-7</v>
      </c>
      <c r="EC9" s="231">
        <f>(EA9/'Finance Only'!B12)*100</f>
        <v>0.40460478782332254</v>
      </c>
      <c r="ED9" s="216">
        <f t="shared" si="82"/>
        <v>223510</v>
      </c>
      <c r="EE9" s="216">
        <v>223790</v>
      </c>
      <c r="EF9" s="217">
        <f t="shared" si="83"/>
        <v>280</v>
      </c>
      <c r="EG9" s="230">
        <f t="shared" si="84"/>
        <v>20</v>
      </c>
      <c r="EH9" s="231">
        <f>(EF9/'Finance Only'!B12)*100</f>
        <v>1.3486826260777418</v>
      </c>
      <c r="EI9" s="216">
        <f t="shared" si="85"/>
        <v>250840</v>
      </c>
      <c r="EJ9" s="216">
        <v>251130</v>
      </c>
      <c r="EK9" s="217">
        <f t="shared" si="86"/>
        <v>290</v>
      </c>
      <c r="EL9" s="230">
        <f t="shared" si="87"/>
        <v>-80</v>
      </c>
      <c r="EM9" s="231">
        <f>(EK9/'Finance Only'!B12)*100</f>
        <v>1.3968498627233756</v>
      </c>
      <c r="EN9" s="216">
        <f t="shared" si="88"/>
        <v>414270</v>
      </c>
      <c r="EO9" s="216">
        <v>414780</v>
      </c>
      <c r="EP9" s="217">
        <f t="shared" si="89"/>
        <v>510</v>
      </c>
      <c r="EQ9" s="230">
        <f t="shared" si="90"/>
        <v>-10</v>
      </c>
      <c r="ER9" s="231">
        <f>(EP9/'Finance Only'!B12)*100</f>
        <v>2.4565290689273156</v>
      </c>
      <c r="ES9" s="216">
        <f t="shared" si="91"/>
        <v>0</v>
      </c>
      <c r="ET9" s="216"/>
      <c r="EU9" s="217">
        <f t="shared" si="92"/>
        <v>0</v>
      </c>
      <c r="EV9" s="230">
        <f t="shared" si="93"/>
        <v>0</v>
      </c>
      <c r="EW9" s="231">
        <f>(EU9/'Finance Only'!B12)*100</f>
        <v>0</v>
      </c>
      <c r="EX9" s="216">
        <f t="shared" si="94"/>
        <v>0</v>
      </c>
      <c r="EY9" s="216"/>
      <c r="EZ9" s="217">
        <f t="shared" si="95"/>
        <v>0</v>
      </c>
      <c r="FA9" s="230">
        <f t="shared" si="96"/>
        <v>0</v>
      </c>
      <c r="FB9" s="231">
        <f>(EZ9/'Finance Only'!G12)*100</f>
        <v>0</v>
      </c>
      <c r="FC9" s="216">
        <f t="shared" si="97"/>
        <v>0</v>
      </c>
      <c r="FD9" s="216"/>
      <c r="FE9" s="217">
        <f t="shared" si="98"/>
        <v>0</v>
      </c>
      <c r="FF9" s="230">
        <f t="shared" si="99"/>
        <v>0</v>
      </c>
      <c r="FG9" s="231" t="e">
        <f>(FE9/'Finance Only'!M12)*100</f>
        <v>#DIV/0!</v>
      </c>
      <c r="FH9" s="304"/>
      <c r="FI9" s="304"/>
      <c r="FJ9" s="304"/>
      <c r="FK9" s="304"/>
      <c r="FL9" s="304"/>
      <c r="FM9" s="216">
        <f t="shared" si="100"/>
        <v>0</v>
      </c>
      <c r="FN9" s="216"/>
      <c r="FO9" s="217">
        <f t="shared" si="101"/>
        <v>0</v>
      </c>
      <c r="FP9" s="230">
        <f t="shared" si="102"/>
        <v>0</v>
      </c>
      <c r="FQ9" s="231" t="e">
        <f>(FO9/'Finance Only'!R12)*100</f>
        <v>#DIV/0!</v>
      </c>
      <c r="FR9" s="216">
        <f t="shared" si="103"/>
        <v>0</v>
      </c>
      <c r="FS9" s="216"/>
      <c r="FT9" s="217">
        <f t="shared" si="104"/>
        <v>0</v>
      </c>
      <c r="FU9" s="230">
        <f t="shared" si="105"/>
        <v>0</v>
      </c>
      <c r="FV9" s="231" t="e">
        <f>(FT9/'Finance Only'!W12)*100</f>
        <v>#DIV/0!</v>
      </c>
      <c r="FW9" s="216">
        <f t="shared" si="106"/>
        <v>0</v>
      </c>
      <c r="FX9" s="216"/>
      <c r="FY9" s="217">
        <f t="shared" si="107"/>
        <v>0</v>
      </c>
      <c r="FZ9" s="230">
        <f t="shared" si="108"/>
        <v>0</v>
      </c>
      <c r="GA9" s="231" t="e">
        <f>(FY9/'Finance Only'!AB12)*100</f>
        <v>#DIV/0!</v>
      </c>
      <c r="GB9" s="280"/>
      <c r="GC9" s="286">
        <f t="shared" si="1"/>
        <v>5376</v>
      </c>
      <c r="GD9" s="283"/>
      <c r="GE9" s="286">
        <f t="shared" si="2"/>
        <v>5967</v>
      </c>
      <c r="GF9" s="283"/>
      <c r="GG9" s="286">
        <f t="shared" si="3"/>
        <v>1500</v>
      </c>
      <c r="GH9" s="283"/>
      <c r="GI9" s="286">
        <f t="shared" si="4"/>
        <v>890.80000000000018</v>
      </c>
      <c r="GJ9" s="283"/>
      <c r="GK9" s="286">
        <f t="shared" si="5"/>
        <v>550</v>
      </c>
      <c r="GL9" s="283"/>
      <c r="GM9" s="286">
        <f t="shared" si="6"/>
        <v>0</v>
      </c>
      <c r="GN9" s="283"/>
    </row>
    <row r="10" spans="1:196" s="3" customFormat="1" ht="13.5" customHeight="1" x14ac:dyDescent="0.2">
      <c r="A10" s="271">
        <v>6</v>
      </c>
      <c r="B10" s="274">
        <f>'Finance Only'!G13</f>
        <v>13.6</v>
      </c>
      <c r="C10" s="269">
        <f t="shared" si="7"/>
        <v>27007034</v>
      </c>
      <c r="D10" s="214">
        <v>27009508</v>
      </c>
      <c r="E10" s="215">
        <f t="shared" si="8"/>
        <v>2474</v>
      </c>
      <c r="F10" s="226">
        <f t="shared" si="9"/>
        <v>-12</v>
      </c>
      <c r="G10" s="227">
        <f>(E10/'Finance Only'!B13)*100</f>
        <v>13.065751254290994</v>
      </c>
      <c r="H10" s="237">
        <f t="shared" si="10"/>
        <v>24909588</v>
      </c>
      <c r="I10" s="214">
        <v>24912707</v>
      </c>
      <c r="J10" s="214">
        <f t="shared" si="11"/>
        <v>3119</v>
      </c>
      <c r="K10" s="238">
        <f t="shared" si="12"/>
        <v>229</v>
      </c>
      <c r="L10" s="239">
        <f>(J10/'Finance Only'!B13)*100</f>
        <v>16.472141536836546</v>
      </c>
      <c r="M10" s="222">
        <f t="shared" si="13"/>
        <v>91866074</v>
      </c>
      <c r="N10" s="216">
        <v>91875806</v>
      </c>
      <c r="O10" s="217">
        <f t="shared" si="14"/>
        <v>9732</v>
      </c>
      <c r="P10" s="230">
        <f t="shared" si="15"/>
        <v>-758</v>
      </c>
      <c r="Q10" s="231">
        <f>(O10/'Finance Only'!B13)*100</f>
        <v>51.396884077105888</v>
      </c>
      <c r="R10" s="221">
        <f t="shared" si="16"/>
        <v>3010700</v>
      </c>
      <c r="S10" s="216">
        <v>3012900</v>
      </c>
      <c r="T10" s="217">
        <f t="shared" si="17"/>
        <v>2200</v>
      </c>
      <c r="U10" s="230">
        <f t="shared" si="18"/>
        <v>0</v>
      </c>
      <c r="V10" s="231">
        <f>(T10/'Finance Only'!B13)*100</f>
        <v>11.618695537364669</v>
      </c>
      <c r="W10" s="216">
        <f t="shared" si="19"/>
        <v>4075600</v>
      </c>
      <c r="X10" s="216">
        <v>4078192</v>
      </c>
      <c r="Y10" s="217">
        <f t="shared" si="20"/>
        <v>2592</v>
      </c>
      <c r="Z10" s="230">
        <f t="shared" si="21"/>
        <v>-11</v>
      </c>
      <c r="AA10" s="231">
        <f>(Y10/'Finance Only'!B13)*100</f>
        <v>13.688935833113284</v>
      </c>
      <c r="AB10" s="216">
        <f t="shared" si="22"/>
        <v>2648400</v>
      </c>
      <c r="AC10" s="216">
        <v>2649800</v>
      </c>
      <c r="AD10" s="217">
        <f t="shared" si="0"/>
        <v>1400</v>
      </c>
      <c r="AE10" s="325">
        <f>AD10/WATER!V11</f>
        <v>4.6204620462046204</v>
      </c>
      <c r="AF10" s="230">
        <f t="shared" si="23"/>
        <v>-100</v>
      </c>
      <c r="AG10" s="231">
        <f>(AD10/'Finance Only'!B13)*100</f>
        <v>7.3937153419593349</v>
      </c>
      <c r="AH10" s="216">
        <f t="shared" si="24"/>
        <v>1078472</v>
      </c>
      <c r="AI10" s="216">
        <v>1079010</v>
      </c>
      <c r="AJ10" s="217">
        <f t="shared" si="25"/>
        <v>538</v>
      </c>
      <c r="AK10" s="230">
        <f t="shared" si="26"/>
        <v>-41</v>
      </c>
      <c r="AL10" s="231">
        <f>(AJ10/'Finance Only'!B13)*100</f>
        <v>2.8412991814100872</v>
      </c>
      <c r="AM10" s="216">
        <f t="shared" si="27"/>
        <v>1080600</v>
      </c>
      <c r="AN10" s="216">
        <v>1081100</v>
      </c>
      <c r="AO10" s="217">
        <f t="shared" si="28"/>
        <v>500</v>
      </c>
      <c r="AP10" s="230">
        <f t="shared" si="29"/>
        <v>-100</v>
      </c>
      <c r="AQ10" s="231">
        <f>(AO10/'Finance Only'!B13)*100</f>
        <v>2.6406126221283337</v>
      </c>
      <c r="AR10" s="216">
        <f t="shared" si="30"/>
        <v>2438200</v>
      </c>
      <c r="AS10" s="216">
        <v>2439500</v>
      </c>
      <c r="AT10" s="217">
        <f t="shared" si="31"/>
        <v>1300</v>
      </c>
      <c r="AU10" s="230">
        <f t="shared" si="32"/>
        <v>400</v>
      </c>
      <c r="AV10" s="231">
        <f>(AT10/'Finance Only'!B13)*100</f>
        <v>6.8655928175336678</v>
      </c>
      <c r="AW10" s="216">
        <f t="shared" si="33"/>
        <v>5492.2</v>
      </c>
      <c r="AX10" s="216">
        <v>5791.8</v>
      </c>
      <c r="AY10" s="217">
        <f t="shared" si="34"/>
        <v>299.60000000000036</v>
      </c>
      <c r="AZ10" s="230">
        <f t="shared" si="35"/>
        <v>-11.199999999999818</v>
      </c>
      <c r="BA10" s="231">
        <f>(AY10/'Finance Only'!B13)*100</f>
        <v>1.5822550831792996</v>
      </c>
      <c r="BB10" s="216">
        <f t="shared" si="36"/>
        <v>986460</v>
      </c>
      <c r="BC10" s="216">
        <v>986850</v>
      </c>
      <c r="BD10" s="217">
        <f t="shared" si="37"/>
        <v>390</v>
      </c>
      <c r="BE10" s="230">
        <f t="shared" si="38"/>
        <v>10</v>
      </c>
      <c r="BF10" s="231">
        <f>(BD10/'Finance Only'!B13)*100</f>
        <v>2.0596778452601003</v>
      </c>
      <c r="BG10" s="216">
        <f t="shared" si="39"/>
        <v>1066300</v>
      </c>
      <c r="BH10" s="216">
        <v>1066600</v>
      </c>
      <c r="BI10" s="217">
        <f t="shared" si="40"/>
        <v>300</v>
      </c>
      <c r="BJ10" s="230">
        <f t="shared" si="41"/>
        <v>100</v>
      </c>
      <c r="BK10" s="231">
        <f>(BI10/'Finance Only'!B13)*100</f>
        <v>1.5843675732770002</v>
      </c>
      <c r="BL10" s="216">
        <f t="shared" si="42"/>
        <v>1578700</v>
      </c>
      <c r="BM10" s="216">
        <v>1579200</v>
      </c>
      <c r="BN10" s="217">
        <f t="shared" si="43"/>
        <v>500</v>
      </c>
      <c r="BO10" s="230">
        <f t="shared" si="44"/>
        <v>100</v>
      </c>
      <c r="BP10" s="231">
        <f>(BN10/'Finance Only'!B13)*100</f>
        <v>2.6406126221283337</v>
      </c>
      <c r="BQ10" s="216">
        <f t="shared" si="45"/>
        <v>133340</v>
      </c>
      <c r="BR10" s="216">
        <v>134700</v>
      </c>
      <c r="BS10" s="217">
        <f t="shared" si="46"/>
        <v>1360</v>
      </c>
      <c r="BT10" s="230">
        <f t="shared" si="47"/>
        <v>1210</v>
      </c>
      <c r="BU10" s="231">
        <f>(BS10/'Finance Only'!B13)*100</f>
        <v>7.182466332189068</v>
      </c>
      <c r="BV10" s="216">
        <f t="shared" si="48"/>
        <v>570790</v>
      </c>
      <c r="BW10" s="216">
        <v>571210</v>
      </c>
      <c r="BX10" s="217">
        <f t="shared" si="49"/>
        <v>420</v>
      </c>
      <c r="BY10" s="230">
        <f t="shared" si="50"/>
        <v>-70</v>
      </c>
      <c r="BZ10" s="231">
        <f>(BX10/'Finance Only'!B13)*100</f>
        <v>2.2181146025878005</v>
      </c>
      <c r="CA10" s="216">
        <f t="shared" si="51"/>
        <v>1051100</v>
      </c>
      <c r="CB10" s="216">
        <v>1052200</v>
      </c>
      <c r="CC10" s="217">
        <f t="shared" si="52"/>
        <v>1100</v>
      </c>
      <c r="CD10" s="230">
        <f t="shared" si="53"/>
        <v>0</v>
      </c>
      <c r="CE10" s="231">
        <f>(CC10/'Finance Only'!B13)*100</f>
        <v>5.8093477686823345</v>
      </c>
      <c r="CF10" s="216">
        <f t="shared" si="54"/>
        <v>3406800</v>
      </c>
      <c r="CG10" s="216">
        <v>3410700</v>
      </c>
      <c r="CH10" s="217">
        <f t="shared" si="55"/>
        <v>3900</v>
      </c>
      <c r="CI10" s="230">
        <f t="shared" si="56"/>
        <v>400</v>
      </c>
      <c r="CJ10" s="231">
        <f>(CH10/'Finance Only'!B13)*100</f>
        <v>20.596778452601004</v>
      </c>
      <c r="CK10" s="217">
        <f t="shared" si="57"/>
        <v>807790</v>
      </c>
      <c r="CL10" s="217">
        <v>808360</v>
      </c>
      <c r="CM10" s="217">
        <f t="shared" si="58"/>
        <v>570</v>
      </c>
      <c r="CN10" s="230">
        <f t="shared" si="59"/>
        <v>10</v>
      </c>
      <c r="CO10" s="231">
        <f>(CM10/'Finance Only'!B13)*100</f>
        <v>3.0102983892263007</v>
      </c>
      <c r="CP10" s="216">
        <f t="shared" ref="CP10:CP35" si="110">CQ9</f>
        <v>667690</v>
      </c>
      <c r="CQ10" s="216">
        <v>668200</v>
      </c>
      <c r="CR10" s="218">
        <f t="shared" si="109"/>
        <v>510</v>
      </c>
      <c r="CS10" s="230">
        <f t="shared" si="60"/>
        <v>60</v>
      </c>
      <c r="CT10" s="231">
        <f>(CR10/'Finance Only'!B13)*100</f>
        <v>2.6934248745709004</v>
      </c>
      <c r="CU10" s="216">
        <f t="shared" si="61"/>
        <v>554680</v>
      </c>
      <c r="CV10" s="216">
        <v>555100</v>
      </c>
      <c r="CW10" s="217">
        <f t="shared" si="62"/>
        <v>420</v>
      </c>
      <c r="CX10" s="230">
        <f t="shared" si="63"/>
        <v>110</v>
      </c>
      <c r="CY10" s="231">
        <f>(CW10/'Finance Only'!B13)*100</f>
        <v>2.2181146025878005</v>
      </c>
      <c r="CZ10" s="216">
        <f t="shared" si="64"/>
        <v>928390</v>
      </c>
      <c r="DA10" s="216">
        <v>929090</v>
      </c>
      <c r="DB10" s="217">
        <f t="shared" si="65"/>
        <v>700</v>
      </c>
      <c r="DC10" s="230">
        <f t="shared" si="66"/>
        <v>40</v>
      </c>
      <c r="DD10" s="231">
        <f>(DB10/'Finance Only'!B13)*100</f>
        <v>3.6968576709796674</v>
      </c>
      <c r="DE10" s="216">
        <f t="shared" si="67"/>
        <v>709020</v>
      </c>
      <c r="DF10" s="216">
        <v>709690</v>
      </c>
      <c r="DG10" s="217">
        <f t="shared" si="68"/>
        <v>670</v>
      </c>
      <c r="DH10" s="230">
        <f t="shared" si="69"/>
        <v>180</v>
      </c>
      <c r="DI10" s="231">
        <f>(DG10/'Finance Only'!B13)*100</f>
        <v>3.5384209136519669</v>
      </c>
      <c r="DJ10" s="216">
        <f t="shared" si="70"/>
        <v>617930</v>
      </c>
      <c r="DK10" s="216">
        <v>618490</v>
      </c>
      <c r="DL10" s="217">
        <f t="shared" si="71"/>
        <v>560</v>
      </c>
      <c r="DM10" s="230">
        <f t="shared" si="72"/>
        <v>130</v>
      </c>
      <c r="DN10" s="231">
        <f>(DL10/'Finance Only'!B13)*100</f>
        <v>2.957486136783734</v>
      </c>
      <c r="DO10" s="216">
        <f t="shared" si="73"/>
        <v>336790</v>
      </c>
      <c r="DP10" s="216">
        <v>337200</v>
      </c>
      <c r="DQ10" s="217">
        <f t="shared" si="74"/>
        <v>410</v>
      </c>
      <c r="DR10" s="230">
        <f t="shared" si="75"/>
        <v>50</v>
      </c>
      <c r="DS10" s="231">
        <f>(DQ10/'Finance Only'!B13)*100</f>
        <v>2.1653023501452338</v>
      </c>
      <c r="DT10" s="216">
        <f t="shared" si="76"/>
        <v>109690</v>
      </c>
      <c r="DU10" s="216">
        <v>109780</v>
      </c>
      <c r="DV10" s="217">
        <f t="shared" si="77"/>
        <v>90</v>
      </c>
      <c r="DW10" s="230">
        <f t="shared" si="78"/>
        <v>-30</v>
      </c>
      <c r="DX10" s="231">
        <f>(DV10/'Finance Only'!B13)*100</f>
        <v>0.47531027198310005</v>
      </c>
      <c r="DY10" s="216">
        <f t="shared" si="79"/>
        <v>70059</v>
      </c>
      <c r="DZ10" s="216">
        <v>70150</v>
      </c>
      <c r="EA10" s="217">
        <f t="shared" si="80"/>
        <v>91</v>
      </c>
      <c r="EB10" s="230">
        <f t="shared" si="81"/>
        <v>7</v>
      </c>
      <c r="EC10" s="231">
        <f>(EA10/'Finance Only'!B13)*100</f>
        <v>0.48059149722735678</v>
      </c>
      <c r="ED10" s="216">
        <f t="shared" si="82"/>
        <v>223790</v>
      </c>
      <c r="EE10" s="216">
        <v>224080</v>
      </c>
      <c r="EF10" s="217">
        <f t="shared" si="83"/>
        <v>290</v>
      </c>
      <c r="EG10" s="230">
        <f t="shared" si="84"/>
        <v>10</v>
      </c>
      <c r="EH10" s="231">
        <f>(EF10/'Finance Only'!B13)*100</f>
        <v>1.5315553208344335</v>
      </c>
      <c r="EI10" s="216">
        <f t="shared" si="85"/>
        <v>251130</v>
      </c>
      <c r="EJ10" s="216">
        <v>251440</v>
      </c>
      <c r="EK10" s="217">
        <f t="shared" si="86"/>
        <v>310</v>
      </c>
      <c r="EL10" s="230">
        <f t="shared" si="87"/>
        <v>20</v>
      </c>
      <c r="EM10" s="231">
        <f>(EK10/'Finance Only'!B13)*100</f>
        <v>1.6371798257195671</v>
      </c>
      <c r="EN10" s="216">
        <f t="shared" si="88"/>
        <v>414780</v>
      </c>
      <c r="EO10" s="216">
        <v>415290</v>
      </c>
      <c r="EP10" s="217">
        <f t="shared" si="89"/>
        <v>510</v>
      </c>
      <c r="EQ10" s="230">
        <f t="shared" si="90"/>
        <v>0</v>
      </c>
      <c r="ER10" s="231">
        <f>(EP10/'Finance Only'!B13)*100</f>
        <v>2.6934248745709004</v>
      </c>
      <c r="ES10" s="216">
        <f t="shared" si="91"/>
        <v>0</v>
      </c>
      <c r="ET10" s="216"/>
      <c r="EU10" s="217">
        <f t="shared" si="92"/>
        <v>0</v>
      </c>
      <c r="EV10" s="230">
        <f t="shared" si="93"/>
        <v>0</v>
      </c>
      <c r="EW10" s="231">
        <f>(EU10/'Finance Only'!B13)*100</f>
        <v>0</v>
      </c>
      <c r="EX10" s="216">
        <f t="shared" si="94"/>
        <v>0</v>
      </c>
      <c r="EY10" s="216"/>
      <c r="EZ10" s="217">
        <f t="shared" si="95"/>
        <v>0</v>
      </c>
      <c r="FA10" s="230">
        <f t="shared" si="96"/>
        <v>0</v>
      </c>
      <c r="FB10" s="231">
        <f>(EZ10/'Finance Only'!G13)*100</f>
        <v>0</v>
      </c>
      <c r="FC10" s="216">
        <f t="shared" si="97"/>
        <v>0</v>
      </c>
      <c r="FD10" s="216"/>
      <c r="FE10" s="217">
        <f t="shared" si="98"/>
        <v>0</v>
      </c>
      <c r="FF10" s="230">
        <f t="shared" si="99"/>
        <v>0</v>
      </c>
      <c r="FG10" s="231" t="e">
        <f>(FE10/'Finance Only'!M13)*100</f>
        <v>#DIV/0!</v>
      </c>
      <c r="FH10" s="304"/>
      <c r="FI10" s="304"/>
      <c r="FJ10" s="304"/>
      <c r="FK10" s="304"/>
      <c r="FL10" s="304"/>
      <c r="FM10" s="216">
        <f t="shared" si="100"/>
        <v>0</v>
      </c>
      <c r="FN10" s="216"/>
      <c r="FO10" s="217">
        <f t="shared" si="101"/>
        <v>0</v>
      </c>
      <c r="FP10" s="230">
        <f t="shared" si="102"/>
        <v>0</v>
      </c>
      <c r="FQ10" s="231" t="e">
        <f>(FO10/'Finance Only'!R13)*100</f>
        <v>#DIV/0!</v>
      </c>
      <c r="FR10" s="216">
        <f t="shared" si="103"/>
        <v>0</v>
      </c>
      <c r="FS10" s="216"/>
      <c r="FT10" s="217">
        <f t="shared" si="104"/>
        <v>0</v>
      </c>
      <c r="FU10" s="230">
        <f t="shared" si="105"/>
        <v>0</v>
      </c>
      <c r="FV10" s="231" t="e">
        <f>(FT10/'Finance Only'!W13)*100</f>
        <v>#DIV/0!</v>
      </c>
      <c r="FW10" s="216">
        <f t="shared" si="106"/>
        <v>0</v>
      </c>
      <c r="FX10" s="216"/>
      <c r="FY10" s="217">
        <f t="shared" si="107"/>
        <v>0</v>
      </c>
      <c r="FZ10" s="230">
        <f t="shared" si="108"/>
        <v>0</v>
      </c>
      <c r="GA10" s="231" t="e">
        <f>(FY10/'Finance Only'!AB13)*100</f>
        <v>#DIV/0!</v>
      </c>
      <c r="GB10" s="280"/>
      <c r="GC10" s="286">
        <f t="shared" si="1"/>
        <v>5593</v>
      </c>
      <c r="GD10" s="283"/>
      <c r="GE10" s="286">
        <f t="shared" si="2"/>
        <v>5993</v>
      </c>
      <c r="GF10" s="283"/>
      <c r="GG10" s="286">
        <f t="shared" si="3"/>
        <v>1800</v>
      </c>
      <c r="GH10" s="283"/>
      <c r="GI10" s="286">
        <f t="shared" si="4"/>
        <v>989.60000000000036</v>
      </c>
      <c r="GJ10" s="283"/>
      <c r="GK10" s="286">
        <f t="shared" si="5"/>
        <v>1860</v>
      </c>
      <c r="GL10" s="283"/>
      <c r="GM10" s="286">
        <f t="shared" si="6"/>
        <v>0</v>
      </c>
      <c r="GN10" s="283"/>
    </row>
    <row r="11" spans="1:196" s="3" customFormat="1" ht="13.5" customHeight="1" x14ac:dyDescent="0.2">
      <c r="A11" s="271">
        <v>7</v>
      </c>
      <c r="B11" s="274">
        <f>'Finance Only'!G14</f>
        <v>13.6</v>
      </c>
      <c r="C11" s="269">
        <f t="shared" si="7"/>
        <v>27009508</v>
      </c>
      <c r="D11" s="214">
        <v>27011885</v>
      </c>
      <c r="E11" s="215">
        <f t="shared" si="8"/>
        <v>2377</v>
      </c>
      <c r="F11" s="226">
        <f t="shared" si="9"/>
        <v>-97</v>
      </c>
      <c r="G11" s="227">
        <f>(E11/'Finance Only'!B14)*100</f>
        <v>11.114747965959038</v>
      </c>
      <c r="H11" s="237">
        <f t="shared" si="10"/>
        <v>24912707</v>
      </c>
      <c r="I11" s="214">
        <v>24915857</v>
      </c>
      <c r="J11" s="214">
        <f t="shared" si="11"/>
        <v>3150</v>
      </c>
      <c r="K11" s="238">
        <f t="shared" si="12"/>
        <v>31</v>
      </c>
      <c r="L11" s="239">
        <f>(J11/'Finance Only'!B14)*100</f>
        <v>14.729262134106424</v>
      </c>
      <c r="M11" s="222">
        <f t="shared" si="13"/>
        <v>91875806</v>
      </c>
      <c r="N11" s="216">
        <v>91885044</v>
      </c>
      <c r="O11" s="217">
        <f t="shared" si="14"/>
        <v>9238</v>
      </c>
      <c r="P11" s="230">
        <f t="shared" si="15"/>
        <v>-494</v>
      </c>
      <c r="Q11" s="231">
        <f>(O11/'Finance Only'!B14)*100</f>
        <v>43.196483680912742</v>
      </c>
      <c r="R11" s="221">
        <f t="shared" si="16"/>
        <v>3012900</v>
      </c>
      <c r="S11" s="216">
        <v>3015100</v>
      </c>
      <c r="T11" s="217">
        <f t="shared" si="17"/>
        <v>2200</v>
      </c>
      <c r="U11" s="230">
        <f t="shared" si="18"/>
        <v>0</v>
      </c>
      <c r="V11" s="231">
        <f>(T11/'Finance Only'!B14)*100</f>
        <v>10.287103712709248</v>
      </c>
      <c r="W11" s="216">
        <f t="shared" si="19"/>
        <v>4078192</v>
      </c>
      <c r="X11" s="216">
        <v>4080795</v>
      </c>
      <c r="Y11" s="217">
        <f t="shared" si="20"/>
        <v>2603</v>
      </c>
      <c r="Z11" s="230">
        <f t="shared" si="21"/>
        <v>11</v>
      </c>
      <c r="AA11" s="231">
        <f>(Y11/'Finance Only'!B14)*100</f>
        <v>12.171514074628261</v>
      </c>
      <c r="AB11" s="216">
        <f t="shared" si="22"/>
        <v>2649800</v>
      </c>
      <c r="AC11" s="216">
        <v>2651200</v>
      </c>
      <c r="AD11" s="217">
        <f t="shared" si="0"/>
        <v>1400</v>
      </c>
      <c r="AE11" s="325">
        <f>AD11/WATER!V12</f>
        <v>4.946996466431095</v>
      </c>
      <c r="AF11" s="230">
        <f t="shared" si="23"/>
        <v>0</v>
      </c>
      <c r="AG11" s="231">
        <f>(AD11/'Finance Only'!B14)*100</f>
        <v>6.5463387262695223</v>
      </c>
      <c r="AH11" s="216">
        <f t="shared" si="24"/>
        <v>1079010</v>
      </c>
      <c r="AI11" s="216">
        <v>1079538</v>
      </c>
      <c r="AJ11" s="217">
        <f t="shared" si="25"/>
        <v>528</v>
      </c>
      <c r="AK11" s="230">
        <f t="shared" si="26"/>
        <v>-10</v>
      </c>
      <c r="AL11" s="231">
        <f>(AJ11/'Finance Only'!B14)*100</f>
        <v>2.4689048910502196</v>
      </c>
      <c r="AM11" s="216">
        <f t="shared" si="27"/>
        <v>1081100</v>
      </c>
      <c r="AN11" s="216">
        <v>1081700</v>
      </c>
      <c r="AO11" s="217">
        <f t="shared" si="28"/>
        <v>600</v>
      </c>
      <c r="AP11" s="230">
        <f t="shared" si="29"/>
        <v>100</v>
      </c>
      <c r="AQ11" s="231">
        <f>(AO11/'Finance Only'!B14)*100</f>
        <v>2.8055737398297951</v>
      </c>
      <c r="AR11" s="216">
        <f t="shared" si="30"/>
        <v>2439500</v>
      </c>
      <c r="AS11" s="216">
        <v>2440200</v>
      </c>
      <c r="AT11" s="217">
        <f t="shared" si="31"/>
        <v>700</v>
      </c>
      <c r="AU11" s="230">
        <f t="shared" si="32"/>
        <v>-600</v>
      </c>
      <c r="AV11" s="231">
        <f>(AT11/'Finance Only'!B14)*100</f>
        <v>3.2731693631347611</v>
      </c>
      <c r="AW11" s="216">
        <f t="shared" si="33"/>
        <v>5791.8</v>
      </c>
      <c r="AX11" s="216">
        <v>6081.8</v>
      </c>
      <c r="AY11" s="217">
        <f t="shared" si="34"/>
        <v>290</v>
      </c>
      <c r="AZ11" s="230">
        <f t="shared" si="35"/>
        <v>-9.6000000000003638</v>
      </c>
      <c r="BA11" s="231">
        <f>(AY11/'Finance Only'!B14)*100</f>
        <v>1.3560273075844009</v>
      </c>
      <c r="BB11" s="216">
        <f t="shared" si="36"/>
        <v>986850</v>
      </c>
      <c r="BC11" s="216">
        <v>987180</v>
      </c>
      <c r="BD11" s="217">
        <f t="shared" si="37"/>
        <v>330</v>
      </c>
      <c r="BE11" s="230">
        <f t="shared" si="38"/>
        <v>-60</v>
      </c>
      <c r="BF11" s="231">
        <f>(BD11/'Finance Only'!B14)*100</f>
        <v>1.5430655569063874</v>
      </c>
      <c r="BG11" s="216">
        <f t="shared" si="39"/>
        <v>1066600</v>
      </c>
      <c r="BH11" s="216">
        <v>1066800</v>
      </c>
      <c r="BI11" s="217">
        <f t="shared" si="40"/>
        <v>200</v>
      </c>
      <c r="BJ11" s="230">
        <f t="shared" si="41"/>
        <v>-100</v>
      </c>
      <c r="BK11" s="231">
        <f>(BI11/'Finance Only'!B14)*100</f>
        <v>0.9351912466099318</v>
      </c>
      <c r="BL11" s="216">
        <f t="shared" si="42"/>
        <v>1579200</v>
      </c>
      <c r="BM11" s="216">
        <v>1579600</v>
      </c>
      <c r="BN11" s="217">
        <f t="shared" si="43"/>
        <v>400</v>
      </c>
      <c r="BO11" s="230">
        <f t="shared" si="44"/>
        <v>-100</v>
      </c>
      <c r="BP11" s="231">
        <f>(BN11/'Finance Only'!B14)*100</f>
        <v>1.8703824932198636</v>
      </c>
      <c r="BQ11" s="216">
        <f t="shared" si="45"/>
        <v>134700</v>
      </c>
      <c r="BR11" s="216">
        <v>133590</v>
      </c>
      <c r="BS11" s="217">
        <f t="shared" si="46"/>
        <v>0</v>
      </c>
      <c r="BT11" s="230">
        <f t="shared" si="47"/>
        <v>-1360</v>
      </c>
      <c r="BU11" s="231">
        <f>(BS11/'Finance Only'!B14)*100</f>
        <v>0</v>
      </c>
      <c r="BV11" s="216">
        <f t="shared" si="48"/>
        <v>571210</v>
      </c>
      <c r="BW11" s="216">
        <v>571590</v>
      </c>
      <c r="BX11" s="217">
        <f t="shared" si="49"/>
        <v>380</v>
      </c>
      <c r="BY11" s="230">
        <f t="shared" si="50"/>
        <v>-40</v>
      </c>
      <c r="BZ11" s="231">
        <f>(BX11/'Finance Only'!B14)*100</f>
        <v>1.7768633685588702</v>
      </c>
      <c r="CA11" s="216">
        <f t="shared" si="51"/>
        <v>1052200</v>
      </c>
      <c r="CB11" s="216">
        <v>1053300</v>
      </c>
      <c r="CC11" s="217">
        <f t="shared" si="52"/>
        <v>1100</v>
      </c>
      <c r="CD11" s="230">
        <f t="shared" si="53"/>
        <v>0</v>
      </c>
      <c r="CE11" s="231">
        <f>(CC11/'Finance Only'!B14)*100</f>
        <v>5.1435518563546241</v>
      </c>
      <c r="CF11" s="216">
        <f t="shared" si="54"/>
        <v>3410700</v>
      </c>
      <c r="CG11" s="216">
        <v>3414700</v>
      </c>
      <c r="CH11" s="217">
        <f t="shared" si="55"/>
        <v>4000</v>
      </c>
      <c r="CI11" s="230">
        <f t="shared" si="56"/>
        <v>100</v>
      </c>
      <c r="CJ11" s="231">
        <f>(CH11/'Finance Only'!B14)*100</f>
        <v>18.703824932198636</v>
      </c>
      <c r="CK11" s="217">
        <f t="shared" si="57"/>
        <v>808360</v>
      </c>
      <c r="CL11" s="217">
        <v>808880</v>
      </c>
      <c r="CM11" s="217">
        <f t="shared" si="58"/>
        <v>520</v>
      </c>
      <c r="CN11" s="230">
        <f t="shared" si="59"/>
        <v>-50</v>
      </c>
      <c r="CO11" s="231">
        <f>(CM11/'Finance Only'!B14)*100</f>
        <v>2.4314972411858227</v>
      </c>
      <c r="CP11" s="216">
        <f t="shared" si="110"/>
        <v>668200</v>
      </c>
      <c r="CQ11" s="216">
        <v>668610</v>
      </c>
      <c r="CR11" s="218">
        <f t="shared" si="109"/>
        <v>410</v>
      </c>
      <c r="CS11" s="230">
        <f t="shared" si="60"/>
        <v>-100</v>
      </c>
      <c r="CT11" s="231">
        <f>(CR11/'Finance Only'!B14)*100</f>
        <v>1.91714205555036</v>
      </c>
      <c r="CU11" s="216">
        <f t="shared" si="61"/>
        <v>555100</v>
      </c>
      <c r="CV11" s="216">
        <v>555470</v>
      </c>
      <c r="CW11" s="217">
        <f t="shared" si="62"/>
        <v>370</v>
      </c>
      <c r="CX11" s="230">
        <f t="shared" si="63"/>
        <v>-50</v>
      </c>
      <c r="CY11" s="231">
        <f>(CW11/'Finance Only'!B14)*100</f>
        <v>1.7301038062283738</v>
      </c>
      <c r="CZ11" s="216">
        <f t="shared" si="64"/>
        <v>929090</v>
      </c>
      <c r="DA11" s="216">
        <v>929840</v>
      </c>
      <c r="DB11" s="217">
        <f t="shared" si="65"/>
        <v>750</v>
      </c>
      <c r="DC11" s="230">
        <f t="shared" si="66"/>
        <v>50</v>
      </c>
      <c r="DD11" s="231">
        <f>(DB11/'Finance Only'!B14)*100</f>
        <v>3.5069671747872442</v>
      </c>
      <c r="DE11" s="216">
        <f t="shared" si="67"/>
        <v>709690</v>
      </c>
      <c r="DF11" s="216">
        <v>710390</v>
      </c>
      <c r="DG11" s="217">
        <f t="shared" si="68"/>
        <v>700</v>
      </c>
      <c r="DH11" s="230">
        <f t="shared" si="69"/>
        <v>30</v>
      </c>
      <c r="DI11" s="231">
        <f>(DG11/'Finance Only'!B14)*100</f>
        <v>3.2731693631347611</v>
      </c>
      <c r="DJ11" s="216">
        <f t="shared" si="70"/>
        <v>618490</v>
      </c>
      <c r="DK11" s="216">
        <v>618940</v>
      </c>
      <c r="DL11" s="217">
        <f t="shared" si="71"/>
        <v>450</v>
      </c>
      <c r="DM11" s="230">
        <f t="shared" si="72"/>
        <v>-110</v>
      </c>
      <c r="DN11" s="231">
        <f>(DL11/'Finance Only'!B14)*100</f>
        <v>2.1041803048723464</v>
      </c>
      <c r="DO11" s="216">
        <f t="shared" si="73"/>
        <v>337200</v>
      </c>
      <c r="DP11" s="216">
        <v>337570</v>
      </c>
      <c r="DQ11" s="217">
        <f t="shared" si="74"/>
        <v>370</v>
      </c>
      <c r="DR11" s="230">
        <f t="shared" si="75"/>
        <v>-40</v>
      </c>
      <c r="DS11" s="231">
        <f>(DQ11/'Finance Only'!B14)*100</f>
        <v>1.7301038062283738</v>
      </c>
      <c r="DT11" s="216">
        <f t="shared" si="76"/>
        <v>109780</v>
      </c>
      <c r="DU11" s="216">
        <v>109920</v>
      </c>
      <c r="DV11" s="217">
        <f t="shared" si="77"/>
        <v>140</v>
      </c>
      <c r="DW11" s="230">
        <f t="shared" si="78"/>
        <v>50</v>
      </c>
      <c r="DX11" s="231">
        <f>(DV11/'Finance Only'!B14)*100</f>
        <v>0.65463387262695227</v>
      </c>
      <c r="DY11" s="216">
        <f t="shared" si="79"/>
        <v>70150</v>
      </c>
      <c r="DZ11" s="216">
        <v>70034</v>
      </c>
      <c r="EA11" s="217">
        <f t="shared" si="80"/>
        <v>0</v>
      </c>
      <c r="EB11" s="230">
        <f t="shared" si="81"/>
        <v>-91</v>
      </c>
      <c r="EC11" s="231">
        <f>(EA11/'Finance Only'!B14)*100</f>
        <v>0</v>
      </c>
      <c r="ED11" s="216">
        <f t="shared" si="82"/>
        <v>224080</v>
      </c>
      <c r="EE11" s="216">
        <v>224310</v>
      </c>
      <c r="EF11" s="217">
        <f t="shared" si="83"/>
        <v>230</v>
      </c>
      <c r="EG11" s="230">
        <f t="shared" si="84"/>
        <v>-60</v>
      </c>
      <c r="EH11" s="231">
        <f>(EF11/'Finance Only'!B14)*100</f>
        <v>1.0754699336014215</v>
      </c>
      <c r="EI11" s="216">
        <f t="shared" si="85"/>
        <v>251440</v>
      </c>
      <c r="EJ11" s="216">
        <v>251750</v>
      </c>
      <c r="EK11" s="217">
        <f t="shared" si="86"/>
        <v>310</v>
      </c>
      <c r="EL11" s="230">
        <f t="shared" si="87"/>
        <v>0</v>
      </c>
      <c r="EM11" s="231">
        <f>(EK11/'Finance Only'!B14)*100</f>
        <v>1.4495464322453941</v>
      </c>
      <c r="EN11" s="216">
        <f t="shared" si="88"/>
        <v>415290</v>
      </c>
      <c r="EO11" s="216">
        <v>415760</v>
      </c>
      <c r="EP11" s="217">
        <f t="shared" si="89"/>
        <v>470</v>
      </c>
      <c r="EQ11" s="230">
        <f t="shared" si="90"/>
        <v>-40</v>
      </c>
      <c r="ER11" s="231">
        <f>(EP11/'Finance Only'!B14)*100</f>
        <v>2.1976994295333396</v>
      </c>
      <c r="ES11" s="216">
        <f t="shared" si="91"/>
        <v>0</v>
      </c>
      <c r="ET11" s="216"/>
      <c r="EU11" s="217">
        <f t="shared" si="92"/>
        <v>0</v>
      </c>
      <c r="EV11" s="230">
        <f t="shared" si="93"/>
        <v>0</v>
      </c>
      <c r="EW11" s="231">
        <f>(EU11/'Finance Only'!B14)*100</f>
        <v>0</v>
      </c>
      <c r="EX11" s="216">
        <f t="shared" si="94"/>
        <v>0</v>
      </c>
      <c r="EY11" s="216"/>
      <c r="EZ11" s="217">
        <f t="shared" si="95"/>
        <v>0</v>
      </c>
      <c r="FA11" s="230">
        <f t="shared" si="96"/>
        <v>0</v>
      </c>
      <c r="FB11" s="231">
        <f>(EZ11/'Finance Only'!G14)*100</f>
        <v>0</v>
      </c>
      <c r="FC11" s="216">
        <f t="shared" si="97"/>
        <v>0</v>
      </c>
      <c r="FD11" s="216"/>
      <c r="FE11" s="217">
        <f t="shared" si="98"/>
        <v>0</v>
      </c>
      <c r="FF11" s="230">
        <f t="shared" si="99"/>
        <v>0</v>
      </c>
      <c r="FG11" s="231" t="e">
        <f>(FE11/'Finance Only'!M14)*100</f>
        <v>#DIV/0!</v>
      </c>
      <c r="FH11" s="304"/>
      <c r="FI11" s="304"/>
      <c r="FJ11" s="304"/>
      <c r="FK11" s="304"/>
      <c r="FL11" s="304"/>
      <c r="FM11" s="216">
        <f t="shared" si="100"/>
        <v>0</v>
      </c>
      <c r="FN11" s="216"/>
      <c r="FO11" s="217">
        <f t="shared" si="101"/>
        <v>0</v>
      </c>
      <c r="FP11" s="230">
        <f t="shared" si="102"/>
        <v>0</v>
      </c>
      <c r="FQ11" s="231" t="e">
        <f>(FO11/'Finance Only'!R14)*100</f>
        <v>#DIV/0!</v>
      </c>
      <c r="FR11" s="216">
        <f t="shared" si="103"/>
        <v>0</v>
      </c>
      <c r="FS11" s="216"/>
      <c r="FT11" s="217">
        <f t="shared" si="104"/>
        <v>0</v>
      </c>
      <c r="FU11" s="230">
        <f t="shared" si="105"/>
        <v>0</v>
      </c>
      <c r="FV11" s="231" t="e">
        <f>(FT11/'Finance Only'!W14)*100</f>
        <v>#DIV/0!</v>
      </c>
      <c r="FW11" s="216">
        <f t="shared" si="106"/>
        <v>0</v>
      </c>
      <c r="FX11" s="216"/>
      <c r="FY11" s="217">
        <f t="shared" si="107"/>
        <v>0</v>
      </c>
      <c r="FZ11" s="230">
        <f t="shared" si="108"/>
        <v>0</v>
      </c>
      <c r="GA11" s="231" t="e">
        <f>(FY11/'Finance Only'!AB14)*100</f>
        <v>#DIV/0!</v>
      </c>
      <c r="GB11" s="280"/>
      <c r="GC11" s="286">
        <f t="shared" si="1"/>
        <v>5527</v>
      </c>
      <c r="GD11" s="283"/>
      <c r="GE11" s="286">
        <f t="shared" si="2"/>
        <v>5813</v>
      </c>
      <c r="GF11" s="283"/>
      <c r="GG11" s="286">
        <f t="shared" si="3"/>
        <v>1300</v>
      </c>
      <c r="GH11" s="283"/>
      <c r="GI11" s="286">
        <f t="shared" si="4"/>
        <v>820</v>
      </c>
      <c r="GJ11" s="283"/>
      <c r="GK11" s="286">
        <f t="shared" si="5"/>
        <v>400</v>
      </c>
      <c r="GL11" s="283"/>
      <c r="GM11" s="286">
        <f t="shared" si="6"/>
        <v>0</v>
      </c>
      <c r="GN11" s="283"/>
    </row>
    <row r="12" spans="1:196" s="3" customFormat="1" ht="13.5" customHeight="1" x14ac:dyDescent="0.2">
      <c r="A12" s="271">
        <v>8</v>
      </c>
      <c r="B12" s="274">
        <f>'Finance Only'!G15</f>
        <v>15</v>
      </c>
      <c r="C12" s="269">
        <f t="shared" si="7"/>
        <v>27011885</v>
      </c>
      <c r="D12" s="214">
        <v>27014536</v>
      </c>
      <c r="E12" s="215">
        <f t="shared" si="8"/>
        <v>2651</v>
      </c>
      <c r="F12" s="226">
        <f t="shared" si="9"/>
        <v>274</v>
      </c>
      <c r="G12" s="227">
        <f>(E12/'Finance Only'!B15)*100</f>
        <v>12.225604132078951</v>
      </c>
      <c r="H12" s="237">
        <f t="shared" si="10"/>
        <v>24915857</v>
      </c>
      <c r="I12" s="214">
        <v>24919492</v>
      </c>
      <c r="J12" s="214">
        <f t="shared" si="11"/>
        <v>3635</v>
      </c>
      <c r="K12" s="238">
        <f t="shared" si="12"/>
        <v>485</v>
      </c>
      <c r="L12" s="239">
        <f>(J12/'Finance Only'!B15)*100</f>
        <v>16.763512267109391</v>
      </c>
      <c r="M12" s="222">
        <f t="shared" si="13"/>
        <v>91885044</v>
      </c>
      <c r="N12" s="216">
        <v>91894974</v>
      </c>
      <c r="O12" s="217">
        <f t="shared" si="14"/>
        <v>9930</v>
      </c>
      <c r="P12" s="230">
        <f t="shared" si="15"/>
        <v>692</v>
      </c>
      <c r="Q12" s="231">
        <f>(O12/'Finance Only'!B15)*100</f>
        <v>45.794133923630326</v>
      </c>
      <c r="R12" s="221">
        <f t="shared" si="16"/>
        <v>3015100</v>
      </c>
      <c r="S12" s="216">
        <v>3017400</v>
      </c>
      <c r="T12" s="217">
        <f t="shared" si="17"/>
        <v>2300</v>
      </c>
      <c r="U12" s="230">
        <f t="shared" si="18"/>
        <v>100</v>
      </c>
      <c r="V12" s="231">
        <f>(T12/'Finance Only'!B15)*100</f>
        <v>10.606899096107728</v>
      </c>
      <c r="W12" s="216">
        <f t="shared" si="19"/>
        <v>4080795</v>
      </c>
      <c r="X12" s="216">
        <v>4083608</v>
      </c>
      <c r="Y12" s="217">
        <f t="shared" si="20"/>
        <v>2813</v>
      </c>
      <c r="Z12" s="230">
        <f t="shared" si="21"/>
        <v>210</v>
      </c>
      <c r="AA12" s="231">
        <f>(Y12/'Finance Only'!B15)*100</f>
        <v>12.972698764065671</v>
      </c>
      <c r="AB12" s="216">
        <f t="shared" si="22"/>
        <v>2651200</v>
      </c>
      <c r="AC12" s="216">
        <v>2652900</v>
      </c>
      <c r="AD12" s="217">
        <f t="shared" si="0"/>
        <v>1700</v>
      </c>
      <c r="AE12" s="325">
        <f>AD12/WATER!V13</f>
        <v>5.9027777777777777</v>
      </c>
      <c r="AF12" s="230">
        <f t="shared" si="23"/>
        <v>300</v>
      </c>
      <c r="AG12" s="231">
        <f>(AD12/'Finance Only'!B15)*100</f>
        <v>7.8398819406013649</v>
      </c>
      <c r="AH12" s="216">
        <f t="shared" si="24"/>
        <v>1079538</v>
      </c>
      <c r="AI12" s="216">
        <v>1080076</v>
      </c>
      <c r="AJ12" s="217">
        <f t="shared" si="25"/>
        <v>538</v>
      </c>
      <c r="AK12" s="230">
        <f t="shared" si="26"/>
        <v>10</v>
      </c>
      <c r="AL12" s="231">
        <f>(AJ12/'Finance Only'!B15)*100</f>
        <v>2.4810920494373732</v>
      </c>
      <c r="AM12" s="216">
        <f t="shared" si="27"/>
        <v>1081700</v>
      </c>
      <c r="AN12" s="216">
        <v>1082400</v>
      </c>
      <c r="AO12" s="217">
        <f t="shared" si="28"/>
        <v>700</v>
      </c>
      <c r="AP12" s="230">
        <f t="shared" si="29"/>
        <v>100</v>
      </c>
      <c r="AQ12" s="231">
        <f>(AO12/'Finance Only'!B15)*100</f>
        <v>3.2281866814240918</v>
      </c>
      <c r="AR12" s="216">
        <f t="shared" si="30"/>
        <v>2440200</v>
      </c>
      <c r="AS12" s="216">
        <v>2441400</v>
      </c>
      <c r="AT12" s="217">
        <f t="shared" si="31"/>
        <v>1200</v>
      </c>
      <c r="AU12" s="230">
        <f t="shared" si="32"/>
        <v>500</v>
      </c>
      <c r="AV12" s="231">
        <f>(AT12/'Finance Only'!B15)*100</f>
        <v>5.5340343110127286</v>
      </c>
      <c r="AW12" s="216">
        <f t="shared" si="33"/>
        <v>6081.8</v>
      </c>
      <c r="AX12" s="216">
        <v>6421.6</v>
      </c>
      <c r="AY12" s="217">
        <f t="shared" si="34"/>
        <v>339.80000000000018</v>
      </c>
      <c r="AZ12" s="230">
        <f t="shared" si="35"/>
        <v>49.800000000000182</v>
      </c>
      <c r="BA12" s="231">
        <f>(AY12/'Finance Only'!B15)*100</f>
        <v>1.5670540490684386</v>
      </c>
      <c r="BB12" s="216">
        <f t="shared" si="36"/>
        <v>987180</v>
      </c>
      <c r="BC12" s="216">
        <v>987530</v>
      </c>
      <c r="BD12" s="217">
        <f t="shared" si="37"/>
        <v>350</v>
      </c>
      <c r="BE12" s="230">
        <f t="shared" si="38"/>
        <v>20</v>
      </c>
      <c r="BF12" s="231">
        <f>(BD12/'Finance Only'!B15)*100</f>
        <v>1.6140933407120459</v>
      </c>
      <c r="BG12" s="216">
        <f t="shared" si="39"/>
        <v>1066800</v>
      </c>
      <c r="BH12" s="216">
        <v>1067100</v>
      </c>
      <c r="BI12" s="217">
        <f t="shared" si="40"/>
        <v>300</v>
      </c>
      <c r="BJ12" s="230">
        <f t="shared" si="41"/>
        <v>100</v>
      </c>
      <c r="BK12" s="231">
        <f>(BI12/'Finance Only'!B15)*100</f>
        <v>1.3835085777531821</v>
      </c>
      <c r="BL12" s="216">
        <f t="shared" si="42"/>
        <v>1579600</v>
      </c>
      <c r="BM12" s="216">
        <v>1580100</v>
      </c>
      <c r="BN12" s="217">
        <f t="shared" si="43"/>
        <v>500</v>
      </c>
      <c r="BO12" s="230">
        <f t="shared" si="44"/>
        <v>100</v>
      </c>
      <c r="BP12" s="231">
        <f>(BN12/'Finance Only'!B15)*100</f>
        <v>2.3058476295886368</v>
      </c>
      <c r="BQ12" s="216">
        <f t="shared" si="45"/>
        <v>133590</v>
      </c>
      <c r="BR12" s="216">
        <v>133730</v>
      </c>
      <c r="BS12" s="217">
        <f t="shared" si="46"/>
        <v>140</v>
      </c>
      <c r="BT12" s="230">
        <f t="shared" si="47"/>
        <v>140</v>
      </c>
      <c r="BU12" s="231">
        <f>(BS12/'Finance Only'!B15)*100</f>
        <v>0.64563733628481834</v>
      </c>
      <c r="BV12" s="216">
        <f t="shared" si="48"/>
        <v>571590</v>
      </c>
      <c r="BW12" s="216">
        <v>571980</v>
      </c>
      <c r="BX12" s="217">
        <f t="shared" si="49"/>
        <v>390</v>
      </c>
      <c r="BY12" s="230">
        <f t="shared" si="50"/>
        <v>10</v>
      </c>
      <c r="BZ12" s="231">
        <f>(BX12/'Finance Only'!B15)*100</f>
        <v>1.7985611510791366</v>
      </c>
      <c r="CA12" s="216">
        <f t="shared" si="51"/>
        <v>1053300</v>
      </c>
      <c r="CB12" s="216">
        <v>1054400</v>
      </c>
      <c r="CC12" s="217">
        <f t="shared" si="52"/>
        <v>1100</v>
      </c>
      <c r="CD12" s="230">
        <f t="shared" si="53"/>
        <v>0</v>
      </c>
      <c r="CE12" s="231">
        <f>(CC12/'Finance Only'!B15)*100</f>
        <v>5.0728647850950006</v>
      </c>
      <c r="CF12" s="216">
        <f t="shared" si="54"/>
        <v>3414700</v>
      </c>
      <c r="CG12" s="216">
        <v>3419400</v>
      </c>
      <c r="CH12" s="217">
        <f t="shared" si="55"/>
        <v>4700</v>
      </c>
      <c r="CI12" s="230">
        <f t="shared" si="56"/>
        <v>700</v>
      </c>
      <c r="CJ12" s="231">
        <f>(CH12/'Finance Only'!B15)*100</f>
        <v>21.674967718133185</v>
      </c>
      <c r="CK12" s="217">
        <f t="shared" si="57"/>
        <v>808880</v>
      </c>
      <c r="CL12" s="217">
        <v>809560</v>
      </c>
      <c r="CM12" s="217">
        <f t="shared" si="58"/>
        <v>680</v>
      </c>
      <c r="CN12" s="230">
        <f t="shared" si="59"/>
        <v>160</v>
      </c>
      <c r="CO12" s="231">
        <f>(CM12/'Finance Only'!B15)*100</f>
        <v>3.1359527762405461</v>
      </c>
      <c r="CP12" s="216">
        <f t="shared" si="110"/>
        <v>668610</v>
      </c>
      <c r="CQ12" s="216">
        <v>669220</v>
      </c>
      <c r="CR12" s="218">
        <f t="shared" si="109"/>
        <v>610</v>
      </c>
      <c r="CS12" s="230">
        <f t="shared" si="60"/>
        <v>200</v>
      </c>
      <c r="CT12" s="231">
        <f>(CR12/'Finance Only'!B15)*100</f>
        <v>2.8131341080981369</v>
      </c>
      <c r="CU12" s="216">
        <f t="shared" si="61"/>
        <v>555470</v>
      </c>
      <c r="CV12" s="216">
        <v>555980</v>
      </c>
      <c r="CW12" s="217">
        <f t="shared" si="62"/>
        <v>510</v>
      </c>
      <c r="CX12" s="230">
        <f t="shared" si="63"/>
        <v>140</v>
      </c>
      <c r="CY12" s="231">
        <f>(CW12/'Finance Only'!B15)*100</f>
        <v>2.3519645821804094</v>
      </c>
      <c r="CZ12" s="216">
        <f t="shared" si="64"/>
        <v>929840</v>
      </c>
      <c r="DA12" s="216">
        <v>930710</v>
      </c>
      <c r="DB12" s="217">
        <f t="shared" si="65"/>
        <v>870</v>
      </c>
      <c r="DC12" s="230">
        <f t="shared" si="66"/>
        <v>120</v>
      </c>
      <c r="DD12" s="231">
        <f>(DB12/'Finance Only'!B15)*100</f>
        <v>4.0121748754842281</v>
      </c>
      <c r="DE12" s="216">
        <f t="shared" si="67"/>
        <v>710390</v>
      </c>
      <c r="DF12" s="216">
        <v>711340</v>
      </c>
      <c r="DG12" s="217">
        <f t="shared" si="68"/>
        <v>950</v>
      </c>
      <c r="DH12" s="230">
        <f t="shared" si="69"/>
        <v>250</v>
      </c>
      <c r="DI12" s="231">
        <f>(DG12/'Finance Only'!B15)*100</f>
        <v>4.38111049621841</v>
      </c>
      <c r="DJ12" s="216">
        <f t="shared" si="70"/>
        <v>618940</v>
      </c>
      <c r="DK12" s="216">
        <v>619500</v>
      </c>
      <c r="DL12" s="217">
        <f t="shared" si="71"/>
        <v>560</v>
      </c>
      <c r="DM12" s="230">
        <f t="shared" si="72"/>
        <v>110</v>
      </c>
      <c r="DN12" s="231">
        <f>(DL12/'Finance Only'!B15)*100</f>
        <v>2.5825493451392734</v>
      </c>
      <c r="DO12" s="216">
        <f t="shared" si="73"/>
        <v>337570</v>
      </c>
      <c r="DP12" s="216">
        <v>337900</v>
      </c>
      <c r="DQ12" s="217">
        <f t="shared" si="74"/>
        <v>330</v>
      </c>
      <c r="DR12" s="230">
        <f t="shared" si="75"/>
        <v>-40</v>
      </c>
      <c r="DS12" s="231">
        <f>(DQ12/'Finance Only'!B15)*100</f>
        <v>1.5218594355285002</v>
      </c>
      <c r="DT12" s="216">
        <f t="shared" si="76"/>
        <v>109920</v>
      </c>
      <c r="DU12" s="216">
        <v>110050</v>
      </c>
      <c r="DV12" s="217">
        <f t="shared" si="77"/>
        <v>130</v>
      </c>
      <c r="DW12" s="230">
        <f t="shared" si="78"/>
        <v>-10</v>
      </c>
      <c r="DX12" s="231">
        <f>(DV12/'Finance Only'!B15)*100</f>
        <v>0.59952038369304561</v>
      </c>
      <c r="DY12" s="216">
        <f t="shared" si="79"/>
        <v>70034</v>
      </c>
      <c r="DZ12" s="216">
        <v>70328</v>
      </c>
      <c r="EA12" s="217">
        <f t="shared" si="80"/>
        <v>294</v>
      </c>
      <c r="EB12" s="230">
        <f t="shared" si="81"/>
        <v>294</v>
      </c>
      <c r="EC12" s="231">
        <f>(EA12/'Finance Only'!B15)*100</f>
        <v>1.3558384061981184</v>
      </c>
      <c r="ED12" s="216">
        <f t="shared" si="82"/>
        <v>224310</v>
      </c>
      <c r="EE12" s="216">
        <v>224590</v>
      </c>
      <c r="EF12" s="217">
        <f t="shared" si="83"/>
        <v>280</v>
      </c>
      <c r="EG12" s="230">
        <f t="shared" si="84"/>
        <v>50</v>
      </c>
      <c r="EH12" s="231">
        <f>(EF12/'Finance Only'!B15)*100</f>
        <v>1.2912746725696367</v>
      </c>
      <c r="EI12" s="216">
        <f t="shared" si="85"/>
        <v>251750</v>
      </c>
      <c r="EJ12" s="216">
        <v>252090</v>
      </c>
      <c r="EK12" s="217">
        <f t="shared" si="86"/>
        <v>340</v>
      </c>
      <c r="EL12" s="230">
        <f t="shared" si="87"/>
        <v>30</v>
      </c>
      <c r="EM12" s="231">
        <f>(EK12/'Finance Only'!B15)*100</f>
        <v>1.5679763881202731</v>
      </c>
      <c r="EN12" s="216">
        <f t="shared" si="88"/>
        <v>415760</v>
      </c>
      <c r="EO12" s="216">
        <v>416260</v>
      </c>
      <c r="EP12" s="217">
        <f t="shared" si="89"/>
        <v>500</v>
      </c>
      <c r="EQ12" s="230">
        <f t="shared" si="90"/>
        <v>30</v>
      </c>
      <c r="ER12" s="231">
        <f>(EP12/'Finance Only'!B15)*100</f>
        <v>2.3058476295886368</v>
      </c>
      <c r="ES12" s="216">
        <f t="shared" si="91"/>
        <v>0</v>
      </c>
      <c r="ET12" s="216"/>
      <c r="EU12" s="217">
        <f t="shared" si="92"/>
        <v>0</v>
      </c>
      <c r="EV12" s="230">
        <f t="shared" si="93"/>
        <v>0</v>
      </c>
      <c r="EW12" s="231">
        <f>(EU12/'Finance Only'!B15)*100</f>
        <v>0</v>
      </c>
      <c r="EX12" s="216">
        <f t="shared" si="94"/>
        <v>0</v>
      </c>
      <c r="EY12" s="216"/>
      <c r="EZ12" s="217">
        <f t="shared" si="95"/>
        <v>0</v>
      </c>
      <c r="FA12" s="230">
        <f t="shared" si="96"/>
        <v>0</v>
      </c>
      <c r="FB12" s="231">
        <f>(EZ12/'Finance Only'!G15)*100</f>
        <v>0</v>
      </c>
      <c r="FC12" s="216">
        <f t="shared" si="97"/>
        <v>0</v>
      </c>
      <c r="FD12" s="216"/>
      <c r="FE12" s="217">
        <f t="shared" si="98"/>
        <v>0</v>
      </c>
      <c r="FF12" s="230">
        <f t="shared" si="99"/>
        <v>0</v>
      </c>
      <c r="FG12" s="231" t="e">
        <f>(FE12/'Finance Only'!M15)*100</f>
        <v>#DIV/0!</v>
      </c>
      <c r="FH12" s="304"/>
      <c r="FI12" s="304"/>
      <c r="FJ12" s="304"/>
      <c r="FK12" s="304"/>
      <c r="FL12" s="304"/>
      <c r="FM12" s="216">
        <f t="shared" si="100"/>
        <v>0</v>
      </c>
      <c r="FN12" s="216"/>
      <c r="FO12" s="217">
        <f t="shared" si="101"/>
        <v>0</v>
      </c>
      <c r="FP12" s="230">
        <f t="shared" si="102"/>
        <v>0</v>
      </c>
      <c r="FQ12" s="231" t="e">
        <f>(FO12/'Finance Only'!R15)*100</f>
        <v>#DIV/0!</v>
      </c>
      <c r="FR12" s="216">
        <f t="shared" si="103"/>
        <v>0</v>
      </c>
      <c r="FS12" s="216"/>
      <c r="FT12" s="217">
        <f t="shared" si="104"/>
        <v>0</v>
      </c>
      <c r="FU12" s="230">
        <f t="shared" si="105"/>
        <v>0</v>
      </c>
      <c r="FV12" s="231" t="e">
        <f>(FT12/'Finance Only'!W15)*100</f>
        <v>#DIV/0!</v>
      </c>
      <c r="FW12" s="216">
        <f t="shared" si="106"/>
        <v>0</v>
      </c>
      <c r="FX12" s="216"/>
      <c r="FY12" s="217">
        <f t="shared" si="107"/>
        <v>0</v>
      </c>
      <c r="FZ12" s="230">
        <f t="shared" si="108"/>
        <v>0</v>
      </c>
      <c r="GA12" s="231" t="e">
        <f>(FY12/'Finance Only'!AB15)*100</f>
        <v>#DIV/0!</v>
      </c>
      <c r="GB12" s="280"/>
      <c r="GC12" s="286">
        <f t="shared" si="1"/>
        <v>6286</v>
      </c>
      <c r="GD12" s="283"/>
      <c r="GE12" s="286">
        <f t="shared" si="2"/>
        <v>6527</v>
      </c>
      <c r="GF12" s="283"/>
      <c r="GG12" s="286">
        <f t="shared" si="3"/>
        <v>1900</v>
      </c>
      <c r="GH12" s="283"/>
      <c r="GI12" s="286">
        <f t="shared" si="4"/>
        <v>989.80000000000018</v>
      </c>
      <c r="GJ12" s="283"/>
      <c r="GK12" s="286">
        <f>SUM(BN12+BS12+EU12)</f>
        <v>640</v>
      </c>
      <c r="GL12" s="283"/>
      <c r="GM12" s="286">
        <f>SUM(EZ12+FE12)</f>
        <v>0</v>
      </c>
      <c r="GN12" s="283"/>
    </row>
    <row r="13" spans="1:196" s="3" customFormat="1" ht="13.5" customHeight="1" x14ac:dyDescent="0.2">
      <c r="A13" s="271">
        <v>9</v>
      </c>
      <c r="B13" s="274">
        <f>'Finance Only'!G16</f>
        <v>12</v>
      </c>
      <c r="C13" s="269">
        <f t="shared" si="7"/>
        <v>27014536</v>
      </c>
      <c r="D13" s="214">
        <v>27017148</v>
      </c>
      <c r="E13" s="215">
        <f t="shared" si="8"/>
        <v>2612</v>
      </c>
      <c r="F13" s="226">
        <f t="shared" si="9"/>
        <v>-39</v>
      </c>
      <c r="G13" s="227">
        <f>(E13/'Finance Only'!B16)*100</f>
        <v>12.302764825020018</v>
      </c>
      <c r="H13" s="237">
        <f t="shared" si="10"/>
        <v>24919492</v>
      </c>
      <c r="I13" s="214">
        <v>24923396</v>
      </c>
      <c r="J13" s="214">
        <f t="shared" si="11"/>
        <v>3904</v>
      </c>
      <c r="K13" s="238">
        <f t="shared" si="12"/>
        <v>269</v>
      </c>
      <c r="L13" s="239">
        <f>(J13/'Finance Only'!B16)*100</f>
        <v>18.388205925297914</v>
      </c>
      <c r="M13" s="222">
        <f t="shared" si="13"/>
        <v>91894974</v>
      </c>
      <c r="N13" s="216">
        <v>91904545</v>
      </c>
      <c r="O13" s="217">
        <f t="shared" si="14"/>
        <v>9571</v>
      </c>
      <c r="P13" s="230">
        <f t="shared" si="15"/>
        <v>-359</v>
      </c>
      <c r="Q13" s="231">
        <f>(O13/'Finance Only'!B16)*100</f>
        <v>45.080307098111248</v>
      </c>
      <c r="R13" s="221">
        <f t="shared" si="16"/>
        <v>3017400</v>
      </c>
      <c r="S13" s="216">
        <v>3019700</v>
      </c>
      <c r="T13" s="217">
        <f t="shared" si="17"/>
        <v>2300</v>
      </c>
      <c r="U13" s="230">
        <f t="shared" si="18"/>
        <v>0</v>
      </c>
      <c r="V13" s="231">
        <f>(T13/'Finance Only'!B16)*100</f>
        <v>10.833215580990062</v>
      </c>
      <c r="W13" s="216">
        <f t="shared" si="19"/>
        <v>4083608</v>
      </c>
      <c r="X13" s="216">
        <v>4086413</v>
      </c>
      <c r="Y13" s="217">
        <f t="shared" si="20"/>
        <v>2805</v>
      </c>
      <c r="Z13" s="230">
        <f t="shared" si="21"/>
        <v>-8</v>
      </c>
      <c r="AA13" s="231">
        <f>(Y13/'Finance Only'!B16)*100</f>
        <v>13.21181291507701</v>
      </c>
      <c r="AB13" s="216">
        <f t="shared" si="22"/>
        <v>2652900</v>
      </c>
      <c r="AC13" s="216">
        <v>2654500</v>
      </c>
      <c r="AD13" s="217">
        <f t="shared" si="0"/>
        <v>1600</v>
      </c>
      <c r="AE13" s="325">
        <f>AD13/WATER!V14</f>
        <v>3.7296037296037294</v>
      </c>
      <c r="AF13" s="230">
        <f t="shared" si="23"/>
        <v>-100</v>
      </c>
      <c r="AG13" s="231">
        <f>(AD13/'Finance Only'!B16)*100</f>
        <v>7.5361499693843914</v>
      </c>
      <c r="AH13" s="216">
        <f t="shared" si="24"/>
        <v>1080076</v>
      </c>
      <c r="AI13" s="216">
        <v>1080559</v>
      </c>
      <c r="AJ13" s="217">
        <f t="shared" si="25"/>
        <v>483</v>
      </c>
      <c r="AK13" s="230">
        <f t="shared" si="26"/>
        <v>-55</v>
      </c>
      <c r="AL13" s="231">
        <f>(AJ13/'Finance Only'!B16)*100</f>
        <v>2.2749752720079131</v>
      </c>
      <c r="AM13" s="216">
        <f t="shared" si="27"/>
        <v>1082400</v>
      </c>
      <c r="AN13" s="216">
        <v>1083000</v>
      </c>
      <c r="AO13" s="217">
        <f t="shared" si="28"/>
        <v>600</v>
      </c>
      <c r="AP13" s="230">
        <f t="shared" si="29"/>
        <v>-100</v>
      </c>
      <c r="AQ13" s="231">
        <f>(AO13/'Finance Only'!B16)*100</f>
        <v>2.8260562385191466</v>
      </c>
      <c r="AR13" s="216">
        <f t="shared" si="30"/>
        <v>2441400</v>
      </c>
      <c r="AS13" s="216">
        <v>2442100</v>
      </c>
      <c r="AT13" s="217">
        <f t="shared" si="31"/>
        <v>700</v>
      </c>
      <c r="AU13" s="230">
        <f t="shared" si="32"/>
        <v>-500</v>
      </c>
      <c r="AV13" s="231">
        <f>(AT13/'Finance Only'!B16)*100</f>
        <v>3.2970656116056709</v>
      </c>
      <c r="AW13" s="216">
        <f t="shared" si="33"/>
        <v>6421.6</v>
      </c>
      <c r="AX13" s="216">
        <v>6753.7</v>
      </c>
      <c r="AY13" s="217">
        <f t="shared" si="34"/>
        <v>332.09999999999945</v>
      </c>
      <c r="AZ13" s="230">
        <f t="shared" si="35"/>
        <v>-7.7000000000007276</v>
      </c>
      <c r="BA13" s="231">
        <f>(AY13/'Finance Only'!B16)*100</f>
        <v>1.5642221280203452</v>
      </c>
      <c r="BB13" s="216">
        <f t="shared" si="36"/>
        <v>987530</v>
      </c>
      <c r="BC13" s="216">
        <v>987890</v>
      </c>
      <c r="BD13" s="217">
        <f t="shared" si="37"/>
        <v>360</v>
      </c>
      <c r="BE13" s="230">
        <f t="shared" si="38"/>
        <v>10</v>
      </c>
      <c r="BF13" s="231">
        <f>(BD13/'Finance Only'!B16)*100</f>
        <v>1.6956337431114878</v>
      </c>
      <c r="BG13" s="216">
        <f t="shared" si="39"/>
        <v>1067100</v>
      </c>
      <c r="BH13" s="216">
        <v>1067400</v>
      </c>
      <c r="BI13" s="217">
        <f t="shared" si="40"/>
        <v>300</v>
      </c>
      <c r="BJ13" s="230">
        <f t="shared" si="41"/>
        <v>0</v>
      </c>
      <c r="BK13" s="231">
        <f>(BI13/'Finance Only'!B16)*100</f>
        <v>1.4130281192595733</v>
      </c>
      <c r="BL13" s="216">
        <f t="shared" si="42"/>
        <v>1580100</v>
      </c>
      <c r="BM13" s="216">
        <v>1580600</v>
      </c>
      <c r="BN13" s="217">
        <f t="shared" si="43"/>
        <v>500</v>
      </c>
      <c r="BO13" s="230">
        <f t="shared" si="44"/>
        <v>0</v>
      </c>
      <c r="BP13" s="231">
        <f>(BN13/'Finance Only'!B16)*100</f>
        <v>2.3550468654326218</v>
      </c>
      <c r="BQ13" s="216">
        <f t="shared" si="45"/>
        <v>133730</v>
      </c>
      <c r="BR13" s="216">
        <v>133850</v>
      </c>
      <c r="BS13" s="217">
        <f t="shared" si="46"/>
        <v>120</v>
      </c>
      <c r="BT13" s="230">
        <f t="shared" si="47"/>
        <v>-20</v>
      </c>
      <c r="BU13" s="231">
        <f>(BS13/'Finance Only'!B16)*100</f>
        <v>0.56521124770382936</v>
      </c>
      <c r="BV13" s="216">
        <f t="shared" si="48"/>
        <v>571980</v>
      </c>
      <c r="BW13" s="216">
        <v>572370</v>
      </c>
      <c r="BX13" s="217">
        <f t="shared" si="49"/>
        <v>390</v>
      </c>
      <c r="BY13" s="230">
        <f t="shared" si="50"/>
        <v>0</v>
      </c>
      <c r="BZ13" s="231">
        <f>(BX13/'Finance Only'!B16)*100</f>
        <v>1.8369365550374452</v>
      </c>
      <c r="CA13" s="216">
        <f t="shared" si="51"/>
        <v>1054400</v>
      </c>
      <c r="CB13" s="216">
        <v>1055500</v>
      </c>
      <c r="CC13" s="217">
        <f t="shared" si="52"/>
        <v>1100</v>
      </c>
      <c r="CD13" s="230">
        <f t="shared" si="53"/>
        <v>0</v>
      </c>
      <c r="CE13" s="231">
        <f>(CC13/'Finance Only'!B16)*100</f>
        <v>5.1811031039517692</v>
      </c>
      <c r="CF13" s="216">
        <f t="shared" si="54"/>
        <v>3419400</v>
      </c>
      <c r="CG13" s="216">
        <v>3424300</v>
      </c>
      <c r="CH13" s="217">
        <f t="shared" si="55"/>
        <v>4900</v>
      </c>
      <c r="CI13" s="230">
        <f t="shared" si="56"/>
        <v>200</v>
      </c>
      <c r="CJ13" s="231">
        <f>(CH13/'Finance Only'!B16)*100</f>
        <v>23.079459281239696</v>
      </c>
      <c r="CK13" s="217">
        <f t="shared" si="57"/>
        <v>809560</v>
      </c>
      <c r="CL13" s="217">
        <v>810360</v>
      </c>
      <c r="CM13" s="217">
        <f t="shared" si="58"/>
        <v>800</v>
      </c>
      <c r="CN13" s="230">
        <f t="shared" si="59"/>
        <v>120</v>
      </c>
      <c r="CO13" s="231">
        <f>(CM13/'Finance Only'!B16)*100</f>
        <v>3.7680749846921957</v>
      </c>
      <c r="CP13" s="216">
        <f t="shared" si="110"/>
        <v>669220</v>
      </c>
      <c r="CQ13" s="216">
        <v>669860</v>
      </c>
      <c r="CR13" s="218">
        <f t="shared" si="109"/>
        <v>640</v>
      </c>
      <c r="CS13" s="230">
        <f t="shared" si="60"/>
        <v>30</v>
      </c>
      <c r="CT13" s="231">
        <f>(CR13/'Finance Only'!B16)*100</f>
        <v>3.0144599877537566</v>
      </c>
      <c r="CU13" s="216">
        <f t="shared" si="61"/>
        <v>555980</v>
      </c>
      <c r="CV13" s="216">
        <v>556540</v>
      </c>
      <c r="CW13" s="217">
        <f t="shared" si="62"/>
        <v>560</v>
      </c>
      <c r="CX13" s="230">
        <f t="shared" si="63"/>
        <v>50</v>
      </c>
      <c r="CY13" s="231">
        <f>(CW13/'Finance Only'!B16)*100</f>
        <v>2.637652489284537</v>
      </c>
      <c r="CZ13" s="216">
        <f t="shared" si="64"/>
        <v>930710</v>
      </c>
      <c r="DA13" s="216">
        <v>931650</v>
      </c>
      <c r="DB13" s="217">
        <f t="shared" si="65"/>
        <v>940</v>
      </c>
      <c r="DC13" s="230">
        <f t="shared" si="66"/>
        <v>70</v>
      </c>
      <c r="DD13" s="231">
        <f>(DB13/'Finance Only'!B16)*100</f>
        <v>4.4274881070133301</v>
      </c>
      <c r="DE13" s="216">
        <f t="shared" si="67"/>
        <v>711340</v>
      </c>
      <c r="DF13" s="216">
        <v>712210</v>
      </c>
      <c r="DG13" s="217">
        <f t="shared" si="68"/>
        <v>870</v>
      </c>
      <c r="DH13" s="230">
        <f t="shared" si="69"/>
        <v>-80</v>
      </c>
      <c r="DI13" s="231">
        <f>(DG13/'Finance Only'!B16)*100</f>
        <v>4.0977815458527624</v>
      </c>
      <c r="DJ13" s="216">
        <f t="shared" si="70"/>
        <v>619500</v>
      </c>
      <c r="DK13" s="216">
        <v>620140</v>
      </c>
      <c r="DL13" s="217">
        <f t="shared" si="71"/>
        <v>640</v>
      </c>
      <c r="DM13" s="230">
        <f t="shared" si="72"/>
        <v>80</v>
      </c>
      <c r="DN13" s="231">
        <f>(DL13/'Finance Only'!B16)*100</f>
        <v>3.0144599877537566</v>
      </c>
      <c r="DO13" s="216">
        <f t="shared" si="73"/>
        <v>337900</v>
      </c>
      <c r="DP13" s="216">
        <v>338210</v>
      </c>
      <c r="DQ13" s="217">
        <f t="shared" si="74"/>
        <v>310</v>
      </c>
      <c r="DR13" s="230">
        <f t="shared" si="75"/>
        <v>-20</v>
      </c>
      <c r="DS13" s="231">
        <f>(DQ13/'Finance Only'!B16)*100</f>
        <v>1.4601290565682257</v>
      </c>
      <c r="DT13" s="216">
        <f t="shared" si="76"/>
        <v>110050</v>
      </c>
      <c r="DU13" s="216">
        <v>110180</v>
      </c>
      <c r="DV13" s="217">
        <f t="shared" si="77"/>
        <v>130</v>
      </c>
      <c r="DW13" s="230">
        <f t="shared" si="78"/>
        <v>0</v>
      </c>
      <c r="DX13" s="231">
        <f>(DV13/'Finance Only'!B16)*100</f>
        <v>0.61231218501248175</v>
      </c>
      <c r="DY13" s="216">
        <f t="shared" si="79"/>
        <v>70328</v>
      </c>
      <c r="DZ13" s="216">
        <v>70420</v>
      </c>
      <c r="EA13" s="217">
        <f t="shared" si="80"/>
        <v>92</v>
      </c>
      <c r="EB13" s="230">
        <f t="shared" si="81"/>
        <v>-202</v>
      </c>
      <c r="EC13" s="231">
        <f>(EA13/'Finance Only'!B16)*100</f>
        <v>0.43332862323960247</v>
      </c>
      <c r="ED13" s="216">
        <f t="shared" si="82"/>
        <v>224590</v>
      </c>
      <c r="EE13" s="216">
        <v>224850</v>
      </c>
      <c r="EF13" s="217">
        <f t="shared" si="83"/>
        <v>260</v>
      </c>
      <c r="EG13" s="230">
        <f t="shared" si="84"/>
        <v>-20</v>
      </c>
      <c r="EH13" s="231">
        <f>(EF13/'Finance Only'!B16)*100</f>
        <v>1.2246243700249635</v>
      </c>
      <c r="EI13" s="216">
        <f t="shared" si="85"/>
        <v>252090</v>
      </c>
      <c r="EJ13" s="216">
        <v>252330</v>
      </c>
      <c r="EK13" s="217">
        <f t="shared" si="86"/>
        <v>240</v>
      </c>
      <c r="EL13" s="230">
        <f t="shared" si="87"/>
        <v>-100</v>
      </c>
      <c r="EM13" s="231">
        <f>(EK13/'Finance Only'!B16)*100</f>
        <v>1.1304224954076587</v>
      </c>
      <c r="EN13" s="216">
        <f t="shared" si="88"/>
        <v>416260</v>
      </c>
      <c r="EO13" s="216">
        <v>416730</v>
      </c>
      <c r="EP13" s="217">
        <f t="shared" si="89"/>
        <v>470</v>
      </c>
      <c r="EQ13" s="230">
        <f t="shared" si="90"/>
        <v>-30</v>
      </c>
      <c r="ER13" s="231">
        <f>(EP13/'Finance Only'!B16)*100</f>
        <v>2.213744053506665</v>
      </c>
      <c r="ES13" s="216">
        <f t="shared" si="91"/>
        <v>0</v>
      </c>
      <c r="ET13" s="216"/>
      <c r="EU13" s="217">
        <f t="shared" si="92"/>
        <v>0</v>
      </c>
      <c r="EV13" s="230">
        <f t="shared" si="93"/>
        <v>0</v>
      </c>
      <c r="EW13" s="231">
        <f>(EU13/'Finance Only'!B16)*100</f>
        <v>0</v>
      </c>
      <c r="EX13" s="216">
        <f t="shared" si="94"/>
        <v>0</v>
      </c>
      <c r="EY13" s="216"/>
      <c r="EZ13" s="217">
        <f t="shared" si="95"/>
        <v>0</v>
      </c>
      <c r="FA13" s="230">
        <f t="shared" si="96"/>
        <v>0</v>
      </c>
      <c r="FB13" s="231">
        <f>(EZ13/'Finance Only'!G16)*100</f>
        <v>0</v>
      </c>
      <c r="FC13" s="216">
        <f t="shared" si="97"/>
        <v>0</v>
      </c>
      <c r="FD13" s="216"/>
      <c r="FE13" s="217">
        <f t="shared" si="98"/>
        <v>0</v>
      </c>
      <c r="FF13" s="230">
        <f t="shared" si="99"/>
        <v>0</v>
      </c>
      <c r="FG13" s="231" t="e">
        <f>(FE13/'Finance Only'!M16)*100</f>
        <v>#DIV/0!</v>
      </c>
      <c r="FH13" s="304"/>
      <c r="FI13" s="304"/>
      <c r="FJ13" s="304"/>
      <c r="FK13" s="304"/>
      <c r="FL13" s="304"/>
      <c r="FM13" s="216">
        <f t="shared" si="100"/>
        <v>0</v>
      </c>
      <c r="FN13" s="216"/>
      <c r="FO13" s="217">
        <f t="shared" si="101"/>
        <v>0</v>
      </c>
      <c r="FP13" s="230">
        <f t="shared" si="102"/>
        <v>0</v>
      </c>
      <c r="FQ13" s="231" t="e">
        <f>(FO13/'Finance Only'!R16)*100</f>
        <v>#DIV/0!</v>
      </c>
      <c r="FR13" s="216">
        <f t="shared" si="103"/>
        <v>0</v>
      </c>
      <c r="FS13" s="216"/>
      <c r="FT13" s="217">
        <f t="shared" si="104"/>
        <v>0</v>
      </c>
      <c r="FU13" s="230">
        <f t="shared" si="105"/>
        <v>0</v>
      </c>
      <c r="FV13" s="231" t="e">
        <f>(FT13/'Finance Only'!W16)*100</f>
        <v>#DIV/0!</v>
      </c>
      <c r="FW13" s="216">
        <f t="shared" si="106"/>
        <v>0</v>
      </c>
      <c r="FX13" s="216"/>
      <c r="FY13" s="217">
        <f t="shared" si="107"/>
        <v>0</v>
      </c>
      <c r="FZ13" s="230">
        <f t="shared" si="108"/>
        <v>0</v>
      </c>
      <c r="GA13" s="231" t="e">
        <f>(FY13/'Finance Only'!AB16)*100</f>
        <v>#DIV/0!</v>
      </c>
      <c r="GB13" s="280"/>
      <c r="GC13" s="286">
        <f t="shared" si="1"/>
        <v>6516</v>
      </c>
      <c r="GD13" s="283"/>
      <c r="GE13" s="286">
        <f t="shared" si="2"/>
        <v>6167</v>
      </c>
      <c r="GF13" s="283"/>
      <c r="GG13" s="286">
        <f t="shared" si="3"/>
        <v>1300</v>
      </c>
      <c r="GH13" s="283"/>
      <c r="GI13" s="286">
        <f t="shared" si="4"/>
        <v>992.09999999999945</v>
      </c>
      <c r="GJ13" s="283"/>
      <c r="GK13" s="286">
        <f t="shared" si="5"/>
        <v>620</v>
      </c>
      <c r="GL13" s="283"/>
      <c r="GM13" s="286">
        <f t="shared" si="6"/>
        <v>0</v>
      </c>
      <c r="GN13" s="283"/>
    </row>
    <row r="14" spans="1:196" s="3" customFormat="1" ht="13.5" customHeight="1" x14ac:dyDescent="0.2">
      <c r="A14" s="271">
        <v>10</v>
      </c>
      <c r="B14" s="274">
        <f>'Finance Only'!G17</f>
        <v>12</v>
      </c>
      <c r="C14" s="269">
        <f t="shared" si="7"/>
        <v>27017148</v>
      </c>
      <c r="D14" s="214">
        <v>27019791</v>
      </c>
      <c r="E14" s="215">
        <f t="shared" si="8"/>
        <v>2643</v>
      </c>
      <c r="F14" s="226">
        <f t="shared" si="9"/>
        <v>31</v>
      </c>
      <c r="G14" s="227">
        <f>(E14/'Finance Only'!B17)*100</f>
        <v>11.914529143939053</v>
      </c>
      <c r="H14" s="237">
        <f t="shared" si="10"/>
        <v>24923396</v>
      </c>
      <c r="I14" s="214">
        <v>24927475</v>
      </c>
      <c r="J14" s="214">
        <f t="shared" si="11"/>
        <v>4079</v>
      </c>
      <c r="K14" s="238">
        <f t="shared" si="12"/>
        <v>175</v>
      </c>
      <c r="L14" s="239">
        <f>(J14/'Finance Only'!B17)*100</f>
        <v>18.387954740116307</v>
      </c>
      <c r="M14" s="222">
        <f t="shared" si="13"/>
        <v>91904545</v>
      </c>
      <c r="N14" s="216">
        <v>91914861</v>
      </c>
      <c r="O14" s="217">
        <f t="shared" si="14"/>
        <v>10316</v>
      </c>
      <c r="P14" s="230">
        <f t="shared" si="15"/>
        <v>745</v>
      </c>
      <c r="Q14" s="231">
        <f>(O14/'Finance Only'!B17)*100</f>
        <v>46.504079700671689</v>
      </c>
      <c r="R14" s="221">
        <f t="shared" si="16"/>
        <v>3019700</v>
      </c>
      <c r="S14" s="216">
        <v>3022200</v>
      </c>
      <c r="T14" s="217">
        <f t="shared" si="17"/>
        <v>2500</v>
      </c>
      <c r="U14" s="230">
        <f t="shared" si="18"/>
        <v>200</v>
      </c>
      <c r="V14" s="231">
        <f>(T14/'Finance Only'!B17)*100</f>
        <v>11.269891358247307</v>
      </c>
      <c r="W14" s="216">
        <f t="shared" si="19"/>
        <v>4086413</v>
      </c>
      <c r="X14" s="216">
        <v>4089281</v>
      </c>
      <c r="Y14" s="217">
        <f t="shared" si="20"/>
        <v>2868</v>
      </c>
      <c r="Z14" s="230">
        <f t="shared" si="21"/>
        <v>63</v>
      </c>
      <c r="AA14" s="231">
        <f>(Y14/'Finance Only'!B17)*100</f>
        <v>12.92881936618131</v>
      </c>
      <c r="AB14" s="216">
        <f t="shared" si="22"/>
        <v>2654500</v>
      </c>
      <c r="AC14" s="216">
        <v>2656300</v>
      </c>
      <c r="AD14" s="217">
        <f t="shared" si="0"/>
        <v>1800</v>
      </c>
      <c r="AE14" s="325">
        <f>AD14/WATER!V15</f>
        <v>9.0452261306532655</v>
      </c>
      <c r="AF14" s="230">
        <f t="shared" si="23"/>
        <v>200</v>
      </c>
      <c r="AG14" s="231">
        <f>(AD14/'Finance Only'!B17)*100</f>
        <v>8.114321777938061</v>
      </c>
      <c r="AH14" s="216">
        <f t="shared" si="24"/>
        <v>1080559</v>
      </c>
      <c r="AI14" s="216">
        <v>1081027</v>
      </c>
      <c r="AJ14" s="217">
        <f t="shared" si="25"/>
        <v>468</v>
      </c>
      <c r="AK14" s="230">
        <f t="shared" si="26"/>
        <v>-15</v>
      </c>
      <c r="AL14" s="231">
        <f>(AJ14/'Finance Only'!B17)*100</f>
        <v>2.1097236622638955</v>
      </c>
      <c r="AM14" s="216">
        <f t="shared" si="27"/>
        <v>1083000</v>
      </c>
      <c r="AN14" s="216">
        <v>1083700</v>
      </c>
      <c r="AO14" s="217">
        <f t="shared" si="28"/>
        <v>700</v>
      </c>
      <c r="AP14" s="230">
        <f t="shared" si="29"/>
        <v>100</v>
      </c>
      <c r="AQ14" s="231">
        <f>(AO14/'Finance Only'!B17)*100</f>
        <v>3.1555695803092454</v>
      </c>
      <c r="AR14" s="216">
        <f t="shared" si="30"/>
        <v>2442100</v>
      </c>
      <c r="AS14" s="216">
        <v>2443200</v>
      </c>
      <c r="AT14" s="217">
        <f t="shared" si="31"/>
        <v>1100</v>
      </c>
      <c r="AU14" s="230">
        <f t="shared" si="32"/>
        <v>400</v>
      </c>
      <c r="AV14" s="231">
        <f>(AT14/'Finance Only'!B17)*100</f>
        <v>4.9587521976288151</v>
      </c>
      <c r="AW14" s="216">
        <f t="shared" si="33"/>
        <v>6753.7</v>
      </c>
      <c r="AX14" s="216">
        <v>7120.4</v>
      </c>
      <c r="AY14" s="217">
        <f t="shared" si="34"/>
        <v>366.69999999999982</v>
      </c>
      <c r="AZ14" s="230">
        <f t="shared" si="35"/>
        <v>34.600000000000364</v>
      </c>
      <c r="BA14" s="231">
        <f>(AY14/'Finance Only'!B17)*100</f>
        <v>1.653067664427714</v>
      </c>
      <c r="BB14" s="216">
        <f t="shared" si="36"/>
        <v>987890</v>
      </c>
      <c r="BC14" s="216">
        <v>988260</v>
      </c>
      <c r="BD14" s="217">
        <f t="shared" si="37"/>
        <v>370</v>
      </c>
      <c r="BE14" s="230">
        <f t="shared" si="38"/>
        <v>10</v>
      </c>
      <c r="BF14" s="231">
        <f>(BD14/'Finance Only'!B17)*100</f>
        <v>1.6679439210206013</v>
      </c>
      <c r="BG14" s="216">
        <f t="shared" si="39"/>
        <v>1067400</v>
      </c>
      <c r="BH14" s="216">
        <v>1067600</v>
      </c>
      <c r="BI14" s="217">
        <f t="shared" si="40"/>
        <v>200</v>
      </c>
      <c r="BJ14" s="230">
        <f t="shared" si="41"/>
        <v>-100</v>
      </c>
      <c r="BK14" s="231">
        <f>(BI14/'Finance Only'!B17)*100</f>
        <v>0.90159130865978454</v>
      </c>
      <c r="BL14" s="216">
        <f t="shared" si="42"/>
        <v>1580600</v>
      </c>
      <c r="BM14" s="216">
        <v>1581100</v>
      </c>
      <c r="BN14" s="217">
        <f t="shared" si="43"/>
        <v>500</v>
      </c>
      <c r="BO14" s="230">
        <f t="shared" si="44"/>
        <v>0</v>
      </c>
      <c r="BP14" s="231">
        <f>(BN14/'Finance Only'!B17)*100</f>
        <v>2.2539782716494612</v>
      </c>
      <c r="BQ14" s="216">
        <f t="shared" si="45"/>
        <v>133850</v>
      </c>
      <c r="BR14" s="216">
        <v>133970</v>
      </c>
      <c r="BS14" s="217">
        <f t="shared" si="46"/>
        <v>120</v>
      </c>
      <c r="BT14" s="230">
        <f t="shared" si="47"/>
        <v>0</v>
      </c>
      <c r="BU14" s="231">
        <f>(BS14/'Finance Only'!B17)*100</f>
        <v>0.5409547851958707</v>
      </c>
      <c r="BV14" s="216">
        <f t="shared" si="48"/>
        <v>572370</v>
      </c>
      <c r="BW14" s="216">
        <v>572790</v>
      </c>
      <c r="BX14" s="217">
        <f t="shared" si="49"/>
        <v>420</v>
      </c>
      <c r="BY14" s="230">
        <f t="shared" si="50"/>
        <v>30</v>
      </c>
      <c r="BZ14" s="231">
        <f>(BX14/'Finance Only'!B17)*100</f>
        <v>1.8933417481855472</v>
      </c>
      <c r="CA14" s="216">
        <f t="shared" si="51"/>
        <v>1055500</v>
      </c>
      <c r="CB14" s="216">
        <v>1056700</v>
      </c>
      <c r="CC14" s="217">
        <f t="shared" si="52"/>
        <v>1200</v>
      </c>
      <c r="CD14" s="230">
        <f t="shared" si="53"/>
        <v>100</v>
      </c>
      <c r="CE14" s="231">
        <f>(CC14/'Finance Only'!B17)*100</f>
        <v>5.409547851958707</v>
      </c>
      <c r="CF14" s="216">
        <f t="shared" si="54"/>
        <v>3424300</v>
      </c>
      <c r="CG14" s="216">
        <v>3428800</v>
      </c>
      <c r="CH14" s="217">
        <f t="shared" si="55"/>
        <v>4500</v>
      </c>
      <c r="CI14" s="230">
        <f t="shared" si="56"/>
        <v>-400</v>
      </c>
      <c r="CJ14" s="231">
        <f>(CH14/'Finance Only'!B17)*100</f>
        <v>20.285804444845152</v>
      </c>
      <c r="CK14" s="217">
        <f t="shared" si="57"/>
        <v>810360</v>
      </c>
      <c r="CL14" s="217">
        <v>810900</v>
      </c>
      <c r="CM14" s="217">
        <f t="shared" si="58"/>
        <v>540</v>
      </c>
      <c r="CN14" s="230">
        <f>CM14-CM13</f>
        <v>-260</v>
      </c>
      <c r="CO14" s="231">
        <f>(CM14/'Finance Only'!B17)*100</f>
        <v>2.4342965333814184</v>
      </c>
      <c r="CP14" s="216">
        <f t="shared" si="110"/>
        <v>669860</v>
      </c>
      <c r="CQ14" s="216">
        <v>670400</v>
      </c>
      <c r="CR14" s="218">
        <f t="shared" si="109"/>
        <v>540</v>
      </c>
      <c r="CS14" s="230">
        <f t="shared" si="60"/>
        <v>-100</v>
      </c>
      <c r="CT14" s="231">
        <f>(CR14/'Finance Only'!B17)*100</f>
        <v>2.4342965333814184</v>
      </c>
      <c r="CU14" s="216">
        <f t="shared" si="61"/>
        <v>556540</v>
      </c>
      <c r="CV14" s="216">
        <v>556980</v>
      </c>
      <c r="CW14" s="217">
        <f t="shared" si="62"/>
        <v>440</v>
      </c>
      <c r="CX14" s="230">
        <f t="shared" si="63"/>
        <v>-120</v>
      </c>
      <c r="CY14" s="231">
        <f>(CW14/'Finance Only'!B17)*100</f>
        <v>1.9835008790515258</v>
      </c>
      <c r="CZ14" s="216">
        <f t="shared" si="64"/>
        <v>931650</v>
      </c>
      <c r="DA14" s="216">
        <v>932650</v>
      </c>
      <c r="DB14" s="217">
        <f t="shared" si="65"/>
        <v>1000</v>
      </c>
      <c r="DC14" s="230">
        <f t="shared" si="66"/>
        <v>60</v>
      </c>
      <c r="DD14" s="231">
        <f>(DB14/'Finance Only'!B17)*100</f>
        <v>4.5079565432989224</v>
      </c>
      <c r="DE14" s="216">
        <f t="shared" si="67"/>
        <v>712210</v>
      </c>
      <c r="DF14" s="216">
        <v>713110</v>
      </c>
      <c r="DG14" s="217">
        <f t="shared" si="68"/>
        <v>900</v>
      </c>
      <c r="DH14" s="230">
        <f t="shared" si="69"/>
        <v>30</v>
      </c>
      <c r="DI14" s="231">
        <f>(DG14/'Finance Only'!B17)*100</f>
        <v>4.0571608889690305</v>
      </c>
      <c r="DJ14" s="216">
        <f t="shared" si="70"/>
        <v>620140</v>
      </c>
      <c r="DK14" s="216">
        <v>620710</v>
      </c>
      <c r="DL14" s="217">
        <f t="shared" si="71"/>
        <v>570</v>
      </c>
      <c r="DM14" s="230">
        <f t="shared" si="72"/>
        <v>-70</v>
      </c>
      <c r="DN14" s="231">
        <f>(DL14/'Finance Only'!B17)*100</f>
        <v>2.5695352296803859</v>
      </c>
      <c r="DO14" s="216">
        <f t="shared" si="73"/>
        <v>338210</v>
      </c>
      <c r="DP14" s="216">
        <v>338500</v>
      </c>
      <c r="DQ14" s="217">
        <f t="shared" si="74"/>
        <v>290</v>
      </c>
      <c r="DR14" s="230">
        <f t="shared" si="75"/>
        <v>-20</v>
      </c>
      <c r="DS14" s="231">
        <f>(DQ14/'Finance Only'!B17)*100</f>
        <v>1.3073073975566876</v>
      </c>
      <c r="DT14" s="216">
        <f t="shared" si="76"/>
        <v>110180</v>
      </c>
      <c r="DU14" s="216">
        <v>110280</v>
      </c>
      <c r="DV14" s="217">
        <f t="shared" si="77"/>
        <v>100</v>
      </c>
      <c r="DW14" s="230">
        <f t="shared" si="78"/>
        <v>-30</v>
      </c>
      <c r="DX14" s="231">
        <f>(DV14/'Finance Only'!B17)*100</f>
        <v>0.45079565432989227</v>
      </c>
      <c r="DY14" s="216">
        <f t="shared" si="79"/>
        <v>70420</v>
      </c>
      <c r="DZ14" s="216">
        <v>70490</v>
      </c>
      <c r="EA14" s="217">
        <f t="shared" si="80"/>
        <v>70</v>
      </c>
      <c r="EB14" s="230">
        <f t="shared" si="81"/>
        <v>-22</v>
      </c>
      <c r="EC14" s="231">
        <f>(EA14/'Finance Only'!B17)*100</f>
        <v>0.31555695803092459</v>
      </c>
      <c r="ED14" s="216">
        <f t="shared" si="82"/>
        <v>224850</v>
      </c>
      <c r="EE14" s="216">
        <v>225190</v>
      </c>
      <c r="EF14" s="217">
        <f t="shared" si="83"/>
        <v>340</v>
      </c>
      <c r="EG14" s="230">
        <f t="shared" si="84"/>
        <v>80</v>
      </c>
      <c r="EH14" s="231">
        <f>(EF14/'Finance Only'!B17)*100</f>
        <v>1.5327052247216337</v>
      </c>
      <c r="EI14" s="216">
        <f t="shared" si="85"/>
        <v>252330</v>
      </c>
      <c r="EJ14" s="216">
        <v>252630</v>
      </c>
      <c r="EK14" s="217">
        <f t="shared" si="86"/>
        <v>300</v>
      </c>
      <c r="EL14" s="230">
        <f t="shared" si="87"/>
        <v>60</v>
      </c>
      <c r="EM14" s="231">
        <f>(EK14/'Finance Only'!B17)*100</f>
        <v>1.3523869629896768</v>
      </c>
      <c r="EN14" s="216">
        <f t="shared" si="88"/>
        <v>416730</v>
      </c>
      <c r="EO14" s="216">
        <v>417240</v>
      </c>
      <c r="EP14" s="217">
        <f t="shared" si="89"/>
        <v>510</v>
      </c>
      <c r="EQ14" s="230">
        <f t="shared" si="90"/>
        <v>40</v>
      </c>
      <c r="ER14" s="231">
        <f>(EP14/'Finance Only'!B17)*100</f>
        <v>2.2990578370824504</v>
      </c>
      <c r="ES14" s="216">
        <f t="shared" si="91"/>
        <v>0</v>
      </c>
      <c r="ET14" s="216"/>
      <c r="EU14" s="217">
        <f t="shared" si="92"/>
        <v>0</v>
      </c>
      <c r="EV14" s="230">
        <f t="shared" si="93"/>
        <v>0</v>
      </c>
      <c r="EW14" s="231">
        <f>(EU14/'Finance Only'!B17)*100</f>
        <v>0</v>
      </c>
      <c r="EX14" s="216">
        <f t="shared" si="94"/>
        <v>0</v>
      </c>
      <c r="EY14" s="216"/>
      <c r="EZ14" s="217">
        <f t="shared" si="95"/>
        <v>0</v>
      </c>
      <c r="FA14" s="230">
        <f t="shared" si="96"/>
        <v>0</v>
      </c>
      <c r="FB14" s="231">
        <f>(EZ14/'Finance Only'!G17)*100</f>
        <v>0</v>
      </c>
      <c r="FC14" s="216">
        <f t="shared" si="97"/>
        <v>0</v>
      </c>
      <c r="FD14" s="216"/>
      <c r="FE14" s="217">
        <f t="shared" si="98"/>
        <v>0</v>
      </c>
      <c r="FF14" s="230">
        <f t="shared" si="99"/>
        <v>0</v>
      </c>
      <c r="FG14" s="231" t="e">
        <f>(FE14/'Finance Only'!M17)*100</f>
        <v>#DIV/0!</v>
      </c>
      <c r="FH14" s="304"/>
      <c r="FI14" s="304"/>
      <c r="FJ14" s="304"/>
      <c r="FK14" s="304"/>
      <c r="FL14" s="304"/>
      <c r="FM14" s="216">
        <f t="shared" si="100"/>
        <v>0</v>
      </c>
      <c r="FN14" s="216"/>
      <c r="FO14" s="217">
        <f t="shared" si="101"/>
        <v>0</v>
      </c>
      <c r="FP14" s="230">
        <f t="shared" si="102"/>
        <v>0</v>
      </c>
      <c r="FQ14" s="231" t="e">
        <f>(FO14/'Finance Only'!R17)*100</f>
        <v>#DIV/0!</v>
      </c>
      <c r="FR14" s="216">
        <f t="shared" si="103"/>
        <v>0</v>
      </c>
      <c r="FS14" s="216"/>
      <c r="FT14" s="217">
        <f t="shared" si="104"/>
        <v>0</v>
      </c>
      <c r="FU14" s="230">
        <f t="shared" si="105"/>
        <v>0</v>
      </c>
      <c r="FV14" s="231" t="e">
        <f>(FT14/'Finance Only'!W17)*100</f>
        <v>#DIV/0!</v>
      </c>
      <c r="FW14" s="216">
        <f t="shared" si="106"/>
        <v>0</v>
      </c>
      <c r="FX14" s="216"/>
      <c r="FY14" s="217">
        <f t="shared" si="107"/>
        <v>0</v>
      </c>
      <c r="FZ14" s="230">
        <f t="shared" si="108"/>
        <v>0</v>
      </c>
      <c r="GA14" s="231" t="e">
        <f>(FY14/'Finance Only'!AB17)*100</f>
        <v>#DIV/0!</v>
      </c>
      <c r="GB14" s="280"/>
      <c r="GC14" s="286">
        <f t="shared" si="1"/>
        <v>6722</v>
      </c>
      <c r="GD14" s="283"/>
      <c r="GE14" s="286">
        <f t="shared" si="2"/>
        <v>6588</v>
      </c>
      <c r="GF14" s="283"/>
      <c r="GG14" s="286">
        <f t="shared" si="3"/>
        <v>1800</v>
      </c>
      <c r="GH14" s="283"/>
      <c r="GI14" s="286">
        <f t="shared" si="4"/>
        <v>936.69999999999982</v>
      </c>
      <c r="GJ14" s="283"/>
      <c r="GK14" s="286">
        <f t="shared" si="5"/>
        <v>620</v>
      </c>
      <c r="GL14" s="283"/>
      <c r="GM14" s="286">
        <f t="shared" si="6"/>
        <v>0</v>
      </c>
      <c r="GN14" s="283"/>
    </row>
    <row r="15" spans="1:196" s="3" customFormat="1" ht="13.5" customHeight="1" x14ac:dyDescent="0.2">
      <c r="A15" s="271">
        <v>11</v>
      </c>
      <c r="B15" s="274">
        <f>'Finance Only'!G18</f>
        <v>11</v>
      </c>
      <c r="C15" s="269">
        <f t="shared" si="7"/>
        <v>27019791</v>
      </c>
      <c r="D15" s="214">
        <v>27022475</v>
      </c>
      <c r="E15" s="215">
        <f t="shared" si="8"/>
        <v>2684</v>
      </c>
      <c r="F15" s="226">
        <f t="shared" si="9"/>
        <v>41</v>
      </c>
      <c r="G15" s="227">
        <f>(E15/'Finance Only'!B18)*100</f>
        <v>12.067260138476756</v>
      </c>
      <c r="H15" s="237">
        <f t="shared" si="10"/>
        <v>24927475</v>
      </c>
      <c r="I15" s="214">
        <v>24931559</v>
      </c>
      <c r="J15" s="214">
        <f t="shared" si="11"/>
        <v>4084</v>
      </c>
      <c r="K15" s="238">
        <f t="shared" si="12"/>
        <v>5</v>
      </c>
      <c r="L15" s="239">
        <f>(J15/'Finance Only'!B18)*100</f>
        <v>18.3616581242694</v>
      </c>
      <c r="M15" s="222">
        <f t="shared" si="13"/>
        <v>91914861</v>
      </c>
      <c r="N15" s="216">
        <v>91925334</v>
      </c>
      <c r="O15" s="217">
        <f t="shared" si="14"/>
        <v>10473</v>
      </c>
      <c r="P15" s="230">
        <f t="shared" si="15"/>
        <v>157</v>
      </c>
      <c r="Q15" s="231">
        <f>(O15/'Finance Only'!B18)*100</f>
        <v>47.086592932290259</v>
      </c>
      <c r="R15" s="221">
        <f t="shared" si="16"/>
        <v>3022200</v>
      </c>
      <c r="S15" s="216">
        <v>3024600</v>
      </c>
      <c r="T15" s="217">
        <f t="shared" si="17"/>
        <v>2400</v>
      </c>
      <c r="U15" s="230">
        <f t="shared" si="18"/>
        <v>-100</v>
      </c>
      <c r="V15" s="231">
        <f>(T15/'Finance Only'!B18)*100</f>
        <v>10.790396547073106</v>
      </c>
      <c r="W15" s="216">
        <f t="shared" si="19"/>
        <v>4089281</v>
      </c>
      <c r="X15" s="216">
        <v>4092080</v>
      </c>
      <c r="Y15" s="217">
        <f t="shared" si="20"/>
        <v>2799</v>
      </c>
      <c r="Z15" s="230">
        <f t="shared" si="21"/>
        <v>-69</v>
      </c>
      <c r="AA15" s="231">
        <f>(Y15/'Finance Only'!B18)*100</f>
        <v>12.584299973024008</v>
      </c>
      <c r="AB15" s="216">
        <f t="shared" si="22"/>
        <v>2656300</v>
      </c>
      <c r="AC15" s="216">
        <v>2658400</v>
      </c>
      <c r="AD15" s="217">
        <f t="shared" si="0"/>
        <v>2100</v>
      </c>
      <c r="AE15" s="325">
        <f>AD15/WATER!V16</f>
        <v>6.5830721003134798</v>
      </c>
      <c r="AF15" s="230">
        <f t="shared" si="23"/>
        <v>300</v>
      </c>
      <c r="AG15" s="231">
        <f>(AD15/'Finance Only'!B18)*100</f>
        <v>9.4415969786889669</v>
      </c>
      <c r="AH15" s="216">
        <f t="shared" si="24"/>
        <v>1081027</v>
      </c>
      <c r="AI15" s="216">
        <v>1081522</v>
      </c>
      <c r="AJ15" s="217">
        <f t="shared" si="25"/>
        <v>495</v>
      </c>
      <c r="AK15" s="230">
        <f t="shared" si="26"/>
        <v>27</v>
      </c>
      <c r="AL15" s="231">
        <f>(AJ15/'Finance Only'!B18)*100</f>
        <v>2.2255192878338281</v>
      </c>
      <c r="AM15" s="216">
        <f t="shared" si="27"/>
        <v>1083700</v>
      </c>
      <c r="AN15" s="216">
        <v>1084400</v>
      </c>
      <c r="AO15" s="217">
        <f t="shared" si="28"/>
        <v>700</v>
      </c>
      <c r="AP15" s="230">
        <f t="shared" si="29"/>
        <v>0</v>
      </c>
      <c r="AQ15" s="231">
        <f>(AO15/'Finance Only'!B18)*100</f>
        <v>3.1471989928963224</v>
      </c>
      <c r="AR15" s="216">
        <f t="shared" si="30"/>
        <v>2443200</v>
      </c>
      <c r="AS15" s="216">
        <v>2443900</v>
      </c>
      <c r="AT15" s="217">
        <f t="shared" si="31"/>
        <v>700</v>
      </c>
      <c r="AU15" s="230">
        <f t="shared" si="32"/>
        <v>-400</v>
      </c>
      <c r="AV15" s="231">
        <f>(AT15/'Finance Only'!B18)*100</f>
        <v>3.1471989928963224</v>
      </c>
      <c r="AW15" s="216">
        <f t="shared" si="33"/>
        <v>7120.4</v>
      </c>
      <c r="AX15" s="216">
        <v>7495.6</v>
      </c>
      <c r="AY15" s="217">
        <f t="shared" si="34"/>
        <v>375.20000000000073</v>
      </c>
      <c r="AZ15" s="230">
        <f t="shared" si="35"/>
        <v>8.5000000000009095</v>
      </c>
      <c r="BA15" s="231">
        <f>(AY15/'Finance Only'!B18)*100</f>
        <v>1.6868986601924318</v>
      </c>
      <c r="BB15" s="216">
        <f t="shared" si="36"/>
        <v>988260</v>
      </c>
      <c r="BC15" s="216">
        <v>988610</v>
      </c>
      <c r="BD15" s="217">
        <f t="shared" si="37"/>
        <v>350</v>
      </c>
      <c r="BE15" s="230">
        <f t="shared" si="38"/>
        <v>-20</v>
      </c>
      <c r="BF15" s="231">
        <f>(BD15/'Finance Only'!B18)*100</f>
        <v>1.5735994964481612</v>
      </c>
      <c r="BG15" s="216">
        <f t="shared" si="39"/>
        <v>1067600</v>
      </c>
      <c r="BH15" s="216">
        <v>1067900</v>
      </c>
      <c r="BI15" s="217">
        <f t="shared" si="40"/>
        <v>300</v>
      </c>
      <c r="BJ15" s="230">
        <f t="shared" si="41"/>
        <v>100</v>
      </c>
      <c r="BK15" s="231">
        <f>(BI15/'Finance Only'!B18)*100</f>
        <v>1.3487995683841383</v>
      </c>
      <c r="BL15" s="216">
        <f t="shared" si="42"/>
        <v>1581100</v>
      </c>
      <c r="BM15" s="216">
        <v>1581700</v>
      </c>
      <c r="BN15" s="217">
        <f t="shared" si="43"/>
        <v>600</v>
      </c>
      <c r="BO15" s="230">
        <f t="shared" si="44"/>
        <v>100</v>
      </c>
      <c r="BP15" s="231">
        <f>(BN15/'Finance Only'!B18)*100</f>
        <v>2.6975991367682766</v>
      </c>
      <c r="BQ15" s="216">
        <f t="shared" si="45"/>
        <v>133970</v>
      </c>
      <c r="BR15" s="216">
        <v>134090</v>
      </c>
      <c r="BS15" s="217">
        <f t="shared" si="46"/>
        <v>120</v>
      </c>
      <c r="BT15" s="230">
        <f t="shared" si="47"/>
        <v>0</v>
      </c>
      <c r="BU15" s="231">
        <f>(BS15/'Finance Only'!B18)*100</f>
        <v>0.53951982735365522</v>
      </c>
      <c r="BV15" s="216">
        <f t="shared" si="48"/>
        <v>572790</v>
      </c>
      <c r="BW15" s="216">
        <v>573190</v>
      </c>
      <c r="BX15" s="217">
        <f t="shared" si="49"/>
        <v>400</v>
      </c>
      <c r="BY15" s="230">
        <f t="shared" si="50"/>
        <v>-20</v>
      </c>
      <c r="BZ15" s="231">
        <f>(BX15/'Finance Only'!B18)*100</f>
        <v>1.7983994245121844</v>
      </c>
      <c r="CA15" s="216">
        <f t="shared" si="51"/>
        <v>1056700</v>
      </c>
      <c r="CB15" s="216">
        <v>1057900</v>
      </c>
      <c r="CC15" s="217">
        <f t="shared" si="52"/>
        <v>1200</v>
      </c>
      <c r="CD15" s="230">
        <f t="shared" si="53"/>
        <v>0</v>
      </c>
      <c r="CE15" s="231">
        <f>(CC15/'Finance Only'!B18)*100</f>
        <v>5.3951982735365531</v>
      </c>
      <c r="CF15" s="216">
        <f t="shared" si="54"/>
        <v>3428800</v>
      </c>
      <c r="CG15" s="216">
        <v>3433600</v>
      </c>
      <c r="CH15" s="217">
        <f t="shared" si="55"/>
        <v>4800</v>
      </c>
      <c r="CI15" s="230">
        <f t="shared" si="56"/>
        <v>300</v>
      </c>
      <c r="CJ15" s="231">
        <f>(CH15/'Finance Only'!B18)*100</f>
        <v>21.580793094146212</v>
      </c>
      <c r="CK15" s="217">
        <f t="shared" si="57"/>
        <v>810900</v>
      </c>
      <c r="CL15" s="217">
        <v>811930</v>
      </c>
      <c r="CM15" s="217">
        <f t="shared" si="58"/>
        <v>1030</v>
      </c>
      <c r="CN15" s="230">
        <f>CM15-CM14</f>
        <v>490</v>
      </c>
      <c r="CO15" s="231">
        <f>(CM15/'Finance Only'!B18)*100</f>
        <v>4.6308785181188741</v>
      </c>
      <c r="CP15" s="216">
        <f t="shared" si="110"/>
        <v>670400</v>
      </c>
      <c r="CQ15" s="216">
        <v>671110</v>
      </c>
      <c r="CR15" s="218">
        <f t="shared" si="109"/>
        <v>710</v>
      </c>
      <c r="CS15" s="230">
        <f t="shared" si="60"/>
        <v>170</v>
      </c>
      <c r="CT15" s="231">
        <f>(CR15/'Finance Only'!B18)*100</f>
        <v>3.1921589785091271</v>
      </c>
      <c r="CU15" s="216">
        <f t="shared" si="61"/>
        <v>556980</v>
      </c>
      <c r="CV15" s="216">
        <v>557700</v>
      </c>
      <c r="CW15" s="217">
        <f t="shared" si="62"/>
        <v>720</v>
      </c>
      <c r="CX15" s="230">
        <f t="shared" si="63"/>
        <v>280</v>
      </c>
      <c r="CY15" s="231">
        <f>(CW15/'Finance Only'!B18)*100</f>
        <v>3.2371189641219313</v>
      </c>
      <c r="CZ15" s="216">
        <f t="shared" si="64"/>
        <v>932650</v>
      </c>
      <c r="DA15" s="216">
        <v>933650</v>
      </c>
      <c r="DB15" s="217">
        <f t="shared" si="65"/>
        <v>1000</v>
      </c>
      <c r="DC15" s="230">
        <f t="shared" si="66"/>
        <v>0</v>
      </c>
      <c r="DD15" s="231">
        <f>(DB15/'Finance Only'!B18)*100</f>
        <v>4.4959985612804605</v>
      </c>
      <c r="DE15" s="216">
        <f t="shared" si="67"/>
        <v>713110</v>
      </c>
      <c r="DF15" s="216">
        <v>714010</v>
      </c>
      <c r="DG15" s="217">
        <f t="shared" si="68"/>
        <v>900</v>
      </c>
      <c r="DH15" s="230">
        <f t="shared" si="69"/>
        <v>0</v>
      </c>
      <c r="DI15" s="231">
        <f>(DG15/'Finance Only'!B18)*100</f>
        <v>4.0463987051524146</v>
      </c>
      <c r="DJ15" s="216">
        <f t="shared" si="70"/>
        <v>620710</v>
      </c>
      <c r="DK15" s="216">
        <v>621570</v>
      </c>
      <c r="DL15" s="217">
        <f t="shared" si="71"/>
        <v>860</v>
      </c>
      <c r="DM15" s="230">
        <f t="shared" si="72"/>
        <v>290</v>
      </c>
      <c r="DN15" s="231">
        <f>(DL15/'Finance Only'!B18)*100</f>
        <v>3.8665587627011959</v>
      </c>
      <c r="DO15" s="216">
        <f t="shared" si="73"/>
        <v>338500</v>
      </c>
      <c r="DP15" s="216">
        <v>338800</v>
      </c>
      <c r="DQ15" s="217">
        <f t="shared" si="74"/>
        <v>300</v>
      </c>
      <c r="DR15" s="230">
        <f t="shared" si="75"/>
        <v>10</v>
      </c>
      <c r="DS15" s="231">
        <f>(DQ15/'Finance Only'!B18)*100</f>
        <v>1.3487995683841383</v>
      </c>
      <c r="DT15" s="216">
        <f t="shared" si="76"/>
        <v>110280</v>
      </c>
      <c r="DU15" s="216">
        <v>110410</v>
      </c>
      <c r="DV15" s="217">
        <f t="shared" si="77"/>
        <v>130</v>
      </c>
      <c r="DW15" s="230">
        <f t="shared" si="78"/>
        <v>30</v>
      </c>
      <c r="DX15" s="231">
        <f>(DV15/'Finance Only'!B18)*100</f>
        <v>0.5844798129664599</v>
      </c>
      <c r="DY15" s="216">
        <f t="shared" si="79"/>
        <v>70490</v>
      </c>
      <c r="DZ15" s="216">
        <v>70598</v>
      </c>
      <c r="EA15" s="217">
        <f t="shared" si="80"/>
        <v>108</v>
      </c>
      <c r="EB15" s="230">
        <f t="shared" si="81"/>
        <v>38</v>
      </c>
      <c r="EC15" s="231">
        <f>(EA15/'Finance Only'!B18)*100</f>
        <v>0.48556784461828972</v>
      </c>
      <c r="ED15" s="216">
        <f t="shared" si="82"/>
        <v>225190</v>
      </c>
      <c r="EE15" s="216">
        <v>225410</v>
      </c>
      <c r="EF15" s="217">
        <f t="shared" si="83"/>
        <v>220</v>
      </c>
      <c r="EG15" s="230">
        <f t="shared" si="84"/>
        <v>-120</v>
      </c>
      <c r="EH15" s="231">
        <f>(EF15/'Finance Only'!B18)*100</f>
        <v>0.98911968348170121</v>
      </c>
      <c r="EI15" s="216">
        <f t="shared" si="85"/>
        <v>252630</v>
      </c>
      <c r="EJ15" s="216">
        <v>253010</v>
      </c>
      <c r="EK15" s="217">
        <f t="shared" si="86"/>
        <v>380</v>
      </c>
      <c r="EL15" s="230">
        <f t="shared" si="87"/>
        <v>80</v>
      </c>
      <c r="EM15" s="231">
        <f>(EK15/'Finance Only'!B18)*100</f>
        <v>1.7084794532865748</v>
      </c>
      <c r="EN15" s="216">
        <f t="shared" si="88"/>
        <v>417240</v>
      </c>
      <c r="EO15" s="216">
        <v>417690</v>
      </c>
      <c r="EP15" s="217">
        <f t="shared" si="89"/>
        <v>450</v>
      </c>
      <c r="EQ15" s="230">
        <f t="shared" si="90"/>
        <v>-60</v>
      </c>
      <c r="ER15" s="231">
        <f>(EP15/'Finance Only'!B18)*100</f>
        <v>2.0231993525762073</v>
      </c>
      <c r="ES15" s="216">
        <f t="shared" si="91"/>
        <v>0</v>
      </c>
      <c r="ET15" s="216"/>
      <c r="EU15" s="217">
        <f t="shared" si="92"/>
        <v>0</v>
      </c>
      <c r="EV15" s="230">
        <f t="shared" si="93"/>
        <v>0</v>
      </c>
      <c r="EW15" s="231">
        <f>(EU15/'Finance Only'!B18)*100</f>
        <v>0</v>
      </c>
      <c r="EX15" s="216">
        <f t="shared" si="94"/>
        <v>0</v>
      </c>
      <c r="EY15" s="216"/>
      <c r="EZ15" s="217">
        <f t="shared" si="95"/>
        <v>0</v>
      </c>
      <c r="FA15" s="230">
        <f t="shared" si="96"/>
        <v>0</v>
      </c>
      <c r="FB15" s="231">
        <f>(EZ15/'Finance Only'!G18)*100</f>
        <v>0</v>
      </c>
      <c r="FC15" s="216">
        <f t="shared" si="97"/>
        <v>0</v>
      </c>
      <c r="FD15" s="216"/>
      <c r="FE15" s="217">
        <f t="shared" si="98"/>
        <v>0</v>
      </c>
      <c r="FF15" s="230">
        <f t="shared" si="99"/>
        <v>0</v>
      </c>
      <c r="FG15" s="231" t="e">
        <f>(FE15/'Finance Only'!M18)*100</f>
        <v>#DIV/0!</v>
      </c>
      <c r="FH15" s="304"/>
      <c r="FI15" s="304"/>
      <c r="FJ15" s="304"/>
      <c r="FK15" s="304"/>
      <c r="FL15" s="304"/>
      <c r="FM15" s="216">
        <f t="shared" si="100"/>
        <v>0</v>
      </c>
      <c r="FN15" s="216"/>
      <c r="FO15" s="217">
        <f t="shared" si="101"/>
        <v>0</v>
      </c>
      <c r="FP15" s="230">
        <f t="shared" si="102"/>
        <v>0</v>
      </c>
      <c r="FQ15" s="231" t="e">
        <f>(FO15/'Finance Only'!R18)*100</f>
        <v>#DIV/0!</v>
      </c>
      <c r="FR15" s="216">
        <f t="shared" si="103"/>
        <v>0</v>
      </c>
      <c r="FS15" s="216"/>
      <c r="FT15" s="217">
        <f t="shared" si="104"/>
        <v>0</v>
      </c>
      <c r="FU15" s="230">
        <f t="shared" si="105"/>
        <v>0</v>
      </c>
      <c r="FV15" s="231" t="e">
        <f>(FT15/'Finance Only'!W18)*100</f>
        <v>#DIV/0!</v>
      </c>
      <c r="FW15" s="216">
        <f t="shared" si="106"/>
        <v>0</v>
      </c>
      <c r="FX15" s="216"/>
      <c r="FY15" s="217">
        <f t="shared" si="107"/>
        <v>0</v>
      </c>
      <c r="FZ15" s="230">
        <f t="shared" si="108"/>
        <v>0</v>
      </c>
      <c r="GA15" s="231" t="e">
        <f>(FY15/'Finance Only'!AB18)*100</f>
        <v>#DIV/0!</v>
      </c>
      <c r="GB15" s="280"/>
      <c r="GC15" s="286">
        <f t="shared" si="1"/>
        <v>6768</v>
      </c>
      <c r="GD15" s="283"/>
      <c r="GE15" s="286">
        <f t="shared" si="2"/>
        <v>6357</v>
      </c>
      <c r="GF15" s="283"/>
      <c r="GG15" s="286">
        <f t="shared" si="3"/>
        <v>1400</v>
      </c>
      <c r="GH15" s="283"/>
      <c r="GI15" s="286">
        <f t="shared" si="4"/>
        <v>1025.2000000000007</v>
      </c>
      <c r="GJ15" s="283"/>
      <c r="GK15" s="286">
        <f t="shared" si="5"/>
        <v>720</v>
      </c>
      <c r="GL15" s="283"/>
      <c r="GM15" s="286">
        <f t="shared" si="6"/>
        <v>0</v>
      </c>
      <c r="GN15" s="283"/>
    </row>
    <row r="16" spans="1:196" s="3" customFormat="1" ht="13.5" customHeight="1" x14ac:dyDescent="0.2">
      <c r="A16" s="271">
        <v>12</v>
      </c>
      <c r="B16" s="274">
        <f>'Finance Only'!G19</f>
        <v>14</v>
      </c>
      <c r="C16" s="269">
        <f t="shared" si="7"/>
        <v>27022475</v>
      </c>
      <c r="D16" s="214">
        <v>27025202</v>
      </c>
      <c r="E16" s="215">
        <f t="shared" si="8"/>
        <v>2727</v>
      </c>
      <c r="F16" s="226">
        <f t="shared" si="9"/>
        <v>43</v>
      </c>
      <c r="G16" s="227">
        <f>(E16/'Finance Only'!B19)*100</f>
        <v>12.154573007666251</v>
      </c>
      <c r="H16" s="237">
        <f t="shared" si="10"/>
        <v>24931559</v>
      </c>
      <c r="I16" s="214">
        <v>24935462</v>
      </c>
      <c r="J16" s="214">
        <f t="shared" si="11"/>
        <v>3903</v>
      </c>
      <c r="K16" s="238">
        <f t="shared" si="12"/>
        <v>-181</v>
      </c>
      <c r="L16" s="239">
        <f>(J16/'Finance Only'!B19)*100</f>
        <v>17.396149046175786</v>
      </c>
      <c r="M16" s="222">
        <f t="shared" si="13"/>
        <v>91925334</v>
      </c>
      <c r="N16" s="216">
        <v>91935530</v>
      </c>
      <c r="O16" s="217">
        <f t="shared" si="14"/>
        <v>10196</v>
      </c>
      <c r="P16" s="230">
        <f t="shared" si="15"/>
        <v>-277</v>
      </c>
      <c r="Q16" s="231">
        <f>(O16/'Finance Only'!B19)*100</f>
        <v>45.444820823676238</v>
      </c>
      <c r="R16" s="221">
        <f t="shared" si="16"/>
        <v>3024600</v>
      </c>
      <c r="S16" s="216">
        <v>3027000</v>
      </c>
      <c r="T16" s="217">
        <f t="shared" si="17"/>
        <v>2400</v>
      </c>
      <c r="U16" s="230">
        <f t="shared" si="18"/>
        <v>0</v>
      </c>
      <c r="V16" s="231">
        <f>(T16/'Finance Only'!B19)*100</f>
        <v>10.697093956141915</v>
      </c>
      <c r="W16" s="216">
        <f t="shared" si="19"/>
        <v>4092080</v>
      </c>
      <c r="X16" s="216">
        <v>4094858</v>
      </c>
      <c r="Y16" s="217">
        <f t="shared" si="20"/>
        <v>2778</v>
      </c>
      <c r="Z16" s="230">
        <f t="shared" si="21"/>
        <v>-21</v>
      </c>
      <c r="AA16" s="231">
        <f>(Y16/'Finance Only'!B19)*100</f>
        <v>12.381886254234265</v>
      </c>
      <c r="AB16" s="216">
        <f t="shared" si="22"/>
        <v>2658400</v>
      </c>
      <c r="AC16" s="216">
        <v>2660300</v>
      </c>
      <c r="AD16" s="217">
        <f t="shared" si="0"/>
        <v>1900</v>
      </c>
      <c r="AE16" s="325">
        <f>AD16/WATER!V17</f>
        <v>6.2913907284768209</v>
      </c>
      <c r="AF16" s="230">
        <f t="shared" si="23"/>
        <v>-200</v>
      </c>
      <c r="AG16" s="231">
        <f>(AD16/'Finance Only'!B19)*100</f>
        <v>8.4685327152790162</v>
      </c>
      <c r="AH16" s="216">
        <f t="shared" si="24"/>
        <v>1081522</v>
      </c>
      <c r="AI16" s="216">
        <v>1082003</v>
      </c>
      <c r="AJ16" s="217">
        <f t="shared" si="25"/>
        <v>481</v>
      </c>
      <c r="AK16" s="230">
        <f t="shared" si="26"/>
        <v>-14</v>
      </c>
      <c r="AL16" s="231">
        <f>(AJ16/'Finance Only'!B19)*100</f>
        <v>2.1438759137101089</v>
      </c>
      <c r="AM16" s="216">
        <f t="shared" si="27"/>
        <v>1084400</v>
      </c>
      <c r="AN16" s="216">
        <v>1085100</v>
      </c>
      <c r="AO16" s="217">
        <f t="shared" si="28"/>
        <v>700</v>
      </c>
      <c r="AP16" s="230">
        <f t="shared" si="29"/>
        <v>0</v>
      </c>
      <c r="AQ16" s="231">
        <f>(AO16/'Finance Only'!B19)*100</f>
        <v>3.1199857372080588</v>
      </c>
      <c r="AR16" s="216">
        <f t="shared" si="30"/>
        <v>2443900</v>
      </c>
      <c r="AS16" s="216">
        <v>2445000</v>
      </c>
      <c r="AT16" s="217">
        <f t="shared" si="31"/>
        <v>1100</v>
      </c>
      <c r="AU16" s="230">
        <f t="shared" si="32"/>
        <v>400</v>
      </c>
      <c r="AV16" s="231">
        <f>(AT16/'Finance Only'!B19)*100</f>
        <v>4.9028347298983777</v>
      </c>
      <c r="AW16" s="216">
        <f t="shared" si="33"/>
        <v>7495.6</v>
      </c>
      <c r="AX16" s="216">
        <v>7860.8</v>
      </c>
      <c r="AY16" s="217">
        <f t="shared" si="34"/>
        <v>365.19999999999982</v>
      </c>
      <c r="AZ16" s="230">
        <f t="shared" si="35"/>
        <v>-10.000000000000909</v>
      </c>
      <c r="BA16" s="231">
        <f>(AY16/'Finance Only'!B19)*100</f>
        <v>1.6277411303262606</v>
      </c>
      <c r="BB16" s="216">
        <f t="shared" si="36"/>
        <v>988610</v>
      </c>
      <c r="BC16" s="216">
        <v>988970</v>
      </c>
      <c r="BD16" s="217">
        <f t="shared" si="37"/>
        <v>360</v>
      </c>
      <c r="BE16" s="230">
        <f t="shared" si="38"/>
        <v>10</v>
      </c>
      <c r="BF16" s="231">
        <f>(BD16/'Finance Only'!B19)*100</f>
        <v>1.6045640934212875</v>
      </c>
      <c r="BG16" s="216">
        <f t="shared" si="39"/>
        <v>1067900</v>
      </c>
      <c r="BH16" s="216">
        <v>1068100</v>
      </c>
      <c r="BI16" s="217">
        <f t="shared" si="40"/>
        <v>200</v>
      </c>
      <c r="BJ16" s="230">
        <f t="shared" si="41"/>
        <v>-100</v>
      </c>
      <c r="BK16" s="231">
        <f>(BI16/'Finance Only'!B19)*100</f>
        <v>0.89142449634515963</v>
      </c>
      <c r="BL16" s="216">
        <f t="shared" si="42"/>
        <v>1581700</v>
      </c>
      <c r="BM16" s="216">
        <v>1582200</v>
      </c>
      <c r="BN16" s="217">
        <f t="shared" si="43"/>
        <v>500</v>
      </c>
      <c r="BO16" s="230">
        <f t="shared" si="44"/>
        <v>-100</v>
      </c>
      <c r="BP16" s="231">
        <f>(BN16/'Finance Only'!B19)*100</f>
        <v>2.228561240862899</v>
      </c>
      <c r="BQ16" s="216">
        <f t="shared" si="45"/>
        <v>134090</v>
      </c>
      <c r="BR16" s="216">
        <v>134210</v>
      </c>
      <c r="BS16" s="217">
        <f t="shared" si="46"/>
        <v>120</v>
      </c>
      <c r="BT16" s="230">
        <f t="shared" si="47"/>
        <v>0</v>
      </c>
      <c r="BU16" s="231">
        <f>(BS16/'Finance Only'!B19)*100</f>
        <v>0.53485469780709571</v>
      </c>
      <c r="BV16" s="216">
        <f t="shared" si="48"/>
        <v>573190</v>
      </c>
      <c r="BW16" s="216">
        <v>573620</v>
      </c>
      <c r="BX16" s="217">
        <f t="shared" si="49"/>
        <v>430</v>
      </c>
      <c r="BY16" s="230">
        <f t="shared" si="50"/>
        <v>30</v>
      </c>
      <c r="BZ16" s="231">
        <f>(BX16/'Finance Only'!B19)*100</f>
        <v>1.916562667142093</v>
      </c>
      <c r="CA16" s="216">
        <f t="shared" si="51"/>
        <v>1057900</v>
      </c>
      <c r="CB16" s="216">
        <v>1059000</v>
      </c>
      <c r="CC16" s="217">
        <f t="shared" si="52"/>
        <v>1100</v>
      </c>
      <c r="CD16" s="230">
        <f t="shared" si="53"/>
        <v>-100</v>
      </c>
      <c r="CE16" s="231">
        <f>(CC16/'Finance Only'!B19)*100</f>
        <v>4.9028347298983777</v>
      </c>
      <c r="CF16" s="216">
        <f t="shared" si="54"/>
        <v>3433600</v>
      </c>
      <c r="CG16" s="216">
        <v>343810</v>
      </c>
      <c r="CH16" s="217">
        <f t="shared" si="55"/>
        <v>0</v>
      </c>
      <c r="CI16" s="230">
        <f t="shared" si="56"/>
        <v>-4800</v>
      </c>
      <c r="CJ16" s="231">
        <f>(CH16/'Finance Only'!B19)*100</f>
        <v>0</v>
      </c>
      <c r="CK16" s="217">
        <f t="shared" si="57"/>
        <v>811930</v>
      </c>
      <c r="CL16" s="217">
        <v>812650</v>
      </c>
      <c r="CM16" s="217">
        <f t="shared" si="58"/>
        <v>720</v>
      </c>
      <c r="CN16" s="230">
        <f t="shared" si="59"/>
        <v>-310</v>
      </c>
      <c r="CO16" s="231">
        <f>(CM16/'Finance Only'!B19)*100</f>
        <v>3.2091281868425749</v>
      </c>
      <c r="CP16" s="216">
        <f t="shared" si="110"/>
        <v>671110</v>
      </c>
      <c r="CQ16" s="216">
        <v>671690</v>
      </c>
      <c r="CR16" s="218">
        <f>MAX(0,CQ16-CP16)</f>
        <v>580</v>
      </c>
      <c r="CS16" s="230">
        <f t="shared" si="60"/>
        <v>-130</v>
      </c>
      <c r="CT16" s="231">
        <f>(CR16/'Finance Only'!B19)*100</f>
        <v>2.5851310394009626</v>
      </c>
      <c r="CU16" s="216">
        <f t="shared" si="61"/>
        <v>557700</v>
      </c>
      <c r="CV16" s="216">
        <v>558280</v>
      </c>
      <c r="CW16" s="217">
        <f t="shared" si="62"/>
        <v>580</v>
      </c>
      <c r="CX16" s="230">
        <f t="shared" si="63"/>
        <v>-140</v>
      </c>
      <c r="CY16" s="231">
        <f>(CW16/'Finance Only'!B19)*100</f>
        <v>2.5851310394009626</v>
      </c>
      <c r="CZ16" s="216">
        <f t="shared" si="64"/>
        <v>933650</v>
      </c>
      <c r="DA16" s="216">
        <v>934640</v>
      </c>
      <c r="DB16" s="217">
        <f t="shared" si="65"/>
        <v>990</v>
      </c>
      <c r="DC16" s="230">
        <f t="shared" si="66"/>
        <v>-10</v>
      </c>
      <c r="DD16" s="231">
        <f>(DB16/'Finance Only'!B19)*100</f>
        <v>4.4125512569085394</v>
      </c>
      <c r="DE16" s="216">
        <f t="shared" si="67"/>
        <v>714010</v>
      </c>
      <c r="DF16" s="216">
        <v>714910</v>
      </c>
      <c r="DG16" s="217">
        <f t="shared" si="68"/>
        <v>900</v>
      </c>
      <c r="DH16" s="230">
        <f t="shared" si="69"/>
        <v>0</v>
      </c>
      <c r="DI16" s="231">
        <f>(DG16/'Finance Only'!B19)*100</f>
        <v>4.0114102335532174</v>
      </c>
      <c r="DJ16" s="216">
        <f t="shared" si="70"/>
        <v>621570</v>
      </c>
      <c r="DK16" s="216">
        <v>622260</v>
      </c>
      <c r="DL16" s="217">
        <f t="shared" si="71"/>
        <v>690</v>
      </c>
      <c r="DM16" s="230">
        <f t="shared" si="72"/>
        <v>-170</v>
      </c>
      <c r="DN16" s="231">
        <f>(DL16/'Finance Only'!B19)*100</f>
        <v>3.0754145123908003</v>
      </c>
      <c r="DO16" s="216">
        <f t="shared" si="73"/>
        <v>338800</v>
      </c>
      <c r="DP16" s="216">
        <v>339100</v>
      </c>
      <c r="DQ16" s="217">
        <f t="shared" si="74"/>
        <v>300</v>
      </c>
      <c r="DR16" s="230">
        <f t="shared" si="75"/>
        <v>0</v>
      </c>
      <c r="DS16" s="231">
        <f>(DQ16/'Finance Only'!B19)*100</f>
        <v>1.3371367445177393</v>
      </c>
      <c r="DT16" s="216">
        <f t="shared" si="76"/>
        <v>110410</v>
      </c>
      <c r="DU16" s="216">
        <v>110540</v>
      </c>
      <c r="DV16" s="217">
        <f t="shared" si="77"/>
        <v>130</v>
      </c>
      <c r="DW16" s="230">
        <f t="shared" si="78"/>
        <v>0</v>
      </c>
      <c r="DX16" s="231">
        <f>(DV16/'Finance Only'!B19)*100</f>
        <v>0.57942592262435377</v>
      </c>
      <c r="DY16" s="216">
        <f t="shared" si="79"/>
        <v>70598</v>
      </c>
      <c r="DZ16" s="216">
        <v>70693</v>
      </c>
      <c r="EA16" s="217">
        <f t="shared" si="80"/>
        <v>95</v>
      </c>
      <c r="EB16" s="230">
        <f t="shared" si="81"/>
        <v>-13</v>
      </c>
      <c r="EC16" s="231">
        <f>(EA16/'Finance Only'!B19)*100</f>
        <v>0.42342663576395079</v>
      </c>
      <c r="ED16" s="216">
        <f t="shared" si="82"/>
        <v>225410</v>
      </c>
      <c r="EE16" s="216">
        <v>225710</v>
      </c>
      <c r="EF16" s="217">
        <f t="shared" si="83"/>
        <v>300</v>
      </c>
      <c r="EG16" s="230">
        <f t="shared" si="84"/>
        <v>80</v>
      </c>
      <c r="EH16" s="231">
        <f>(EF16/'Finance Only'!B19)*100</f>
        <v>1.3371367445177393</v>
      </c>
      <c r="EI16" s="216">
        <f t="shared" si="85"/>
        <v>253010</v>
      </c>
      <c r="EJ16" s="216">
        <v>253360</v>
      </c>
      <c r="EK16" s="217">
        <f t="shared" si="86"/>
        <v>350</v>
      </c>
      <c r="EL16" s="230">
        <f t="shared" si="87"/>
        <v>-30</v>
      </c>
      <c r="EM16" s="231">
        <f>(EK16/'Finance Only'!B19)*100</f>
        <v>1.5599928686040294</v>
      </c>
      <c r="EN16" s="216">
        <f t="shared" si="88"/>
        <v>417690</v>
      </c>
      <c r="EO16" s="216">
        <v>418210</v>
      </c>
      <c r="EP16" s="217">
        <f t="shared" si="89"/>
        <v>520</v>
      </c>
      <c r="EQ16" s="230">
        <f t="shared" si="90"/>
        <v>70</v>
      </c>
      <c r="ER16" s="231">
        <f>(EP16/'Finance Only'!B19)*100</f>
        <v>2.3177036904974151</v>
      </c>
      <c r="ES16" s="216">
        <f t="shared" si="91"/>
        <v>0</v>
      </c>
      <c r="ET16" s="216"/>
      <c r="EU16" s="217">
        <f t="shared" si="92"/>
        <v>0</v>
      </c>
      <c r="EV16" s="230">
        <f t="shared" si="93"/>
        <v>0</v>
      </c>
      <c r="EW16" s="231">
        <f>(EU16/'Finance Only'!B19)*100</f>
        <v>0</v>
      </c>
      <c r="EX16" s="216">
        <f t="shared" si="94"/>
        <v>0</v>
      </c>
      <c r="EY16" s="216"/>
      <c r="EZ16" s="217">
        <f t="shared" si="95"/>
        <v>0</v>
      </c>
      <c r="FA16" s="230">
        <f t="shared" si="96"/>
        <v>0</v>
      </c>
      <c r="FB16" s="231">
        <f>(EZ16/'Finance Only'!G19)*100</f>
        <v>0</v>
      </c>
      <c r="FC16" s="216">
        <f t="shared" si="97"/>
        <v>0</v>
      </c>
      <c r="FD16" s="216"/>
      <c r="FE16" s="217">
        <f t="shared" si="98"/>
        <v>0</v>
      </c>
      <c r="FF16" s="230">
        <f t="shared" si="99"/>
        <v>0</v>
      </c>
      <c r="FG16" s="231" t="e">
        <f>(FE16/'Finance Only'!M19)*100</f>
        <v>#DIV/0!</v>
      </c>
      <c r="FH16" s="304"/>
      <c r="FI16" s="304"/>
      <c r="FJ16" s="304"/>
      <c r="FK16" s="304"/>
      <c r="FL16" s="304"/>
      <c r="FM16" s="216">
        <f t="shared" si="100"/>
        <v>0</v>
      </c>
      <c r="FN16" s="216"/>
      <c r="FO16" s="217">
        <f t="shared" si="101"/>
        <v>0</v>
      </c>
      <c r="FP16" s="230">
        <f t="shared" si="102"/>
        <v>0</v>
      </c>
      <c r="FQ16" s="231" t="e">
        <f>(FO16/'Finance Only'!R19)*100</f>
        <v>#DIV/0!</v>
      </c>
      <c r="FR16" s="216">
        <f t="shared" si="103"/>
        <v>0</v>
      </c>
      <c r="FS16" s="216"/>
      <c r="FT16" s="217">
        <f t="shared" si="104"/>
        <v>0</v>
      </c>
      <c r="FU16" s="230">
        <f t="shared" si="105"/>
        <v>0</v>
      </c>
      <c r="FV16" s="231" t="e">
        <f>(FT16/'Finance Only'!W19)*100</f>
        <v>#DIV/0!</v>
      </c>
      <c r="FW16" s="216">
        <f t="shared" si="106"/>
        <v>0</v>
      </c>
      <c r="FX16" s="216"/>
      <c r="FY16" s="217">
        <f t="shared" si="107"/>
        <v>0</v>
      </c>
      <c r="FZ16" s="230">
        <f t="shared" si="108"/>
        <v>0</v>
      </c>
      <c r="GA16" s="231" t="e">
        <f>(FY16/'Finance Only'!AB19)*100</f>
        <v>#DIV/0!</v>
      </c>
      <c r="GB16" s="280"/>
      <c r="GC16" s="286">
        <f t="shared" si="1"/>
        <v>6630</v>
      </c>
      <c r="GD16" s="283"/>
      <c r="GE16" s="286">
        <f t="shared" si="2"/>
        <v>6443</v>
      </c>
      <c r="GF16" s="283"/>
      <c r="GG16" s="286">
        <f t="shared" si="3"/>
        <v>1800</v>
      </c>
      <c r="GH16" s="283"/>
      <c r="GI16" s="286">
        <f t="shared" si="4"/>
        <v>925.19999999999982</v>
      </c>
      <c r="GJ16" s="283"/>
      <c r="GK16" s="286">
        <f t="shared" si="5"/>
        <v>620</v>
      </c>
      <c r="GL16" s="283"/>
      <c r="GM16" s="286">
        <f t="shared" si="6"/>
        <v>0</v>
      </c>
      <c r="GN16" s="283"/>
    </row>
    <row r="17" spans="1:1105" s="3" customFormat="1" ht="13.5" customHeight="1" x14ac:dyDescent="0.2">
      <c r="A17" s="271">
        <v>13</v>
      </c>
      <c r="B17" s="274">
        <f>'Finance Only'!G20</f>
        <v>12</v>
      </c>
      <c r="C17" s="269">
        <f t="shared" si="7"/>
        <v>27025202</v>
      </c>
      <c r="D17" s="214">
        <v>27027935</v>
      </c>
      <c r="E17" s="215">
        <f t="shared" si="8"/>
        <v>2733</v>
      </c>
      <c r="F17" s="226">
        <f t="shared" si="9"/>
        <v>6</v>
      </c>
      <c r="G17" s="227">
        <f>(E17/'Finance Only'!B20)*100</f>
        <v>12.374915100747113</v>
      </c>
      <c r="H17" s="237">
        <f t="shared" si="10"/>
        <v>24935462</v>
      </c>
      <c r="I17" s="214">
        <v>24939362</v>
      </c>
      <c r="J17" s="214">
        <f t="shared" si="11"/>
        <v>3900</v>
      </c>
      <c r="K17" s="238">
        <f t="shared" si="12"/>
        <v>-3</v>
      </c>
      <c r="L17" s="239">
        <f>(J17/'Finance Only'!B20)*100</f>
        <v>17.659044600407515</v>
      </c>
      <c r="M17" s="222">
        <f t="shared" si="13"/>
        <v>91935530</v>
      </c>
      <c r="N17" s="216">
        <v>91945865</v>
      </c>
      <c r="O17" s="217">
        <f t="shared" si="14"/>
        <v>10335</v>
      </c>
      <c r="P17" s="230">
        <f t="shared" si="15"/>
        <v>139</v>
      </c>
      <c r="Q17" s="231">
        <f>(O17/'Finance Only'!B20)*100</f>
        <v>46.796468191079924</v>
      </c>
      <c r="R17" s="221">
        <f t="shared" si="16"/>
        <v>3027000</v>
      </c>
      <c r="S17" s="216">
        <v>3029500</v>
      </c>
      <c r="T17" s="217">
        <f t="shared" si="17"/>
        <v>2500</v>
      </c>
      <c r="U17" s="230">
        <f t="shared" si="18"/>
        <v>100</v>
      </c>
      <c r="V17" s="231">
        <f>(T17/'Finance Only'!B20)*100</f>
        <v>11.319900384876613</v>
      </c>
      <c r="W17" s="216">
        <f t="shared" si="19"/>
        <v>4094858</v>
      </c>
      <c r="X17" s="216">
        <v>4097746</v>
      </c>
      <c r="Y17" s="217">
        <f t="shared" si="20"/>
        <v>2888</v>
      </c>
      <c r="Z17" s="230">
        <f t="shared" si="21"/>
        <v>110</v>
      </c>
      <c r="AA17" s="231">
        <f>(Y17/'Finance Only'!B20)*100</f>
        <v>13.076748924609463</v>
      </c>
      <c r="AB17" s="216">
        <f t="shared" si="22"/>
        <v>2660300</v>
      </c>
      <c r="AC17" s="216">
        <v>2662100</v>
      </c>
      <c r="AD17" s="217">
        <f t="shared" si="0"/>
        <v>1800</v>
      </c>
      <c r="AE17" s="325">
        <f>AD17/WATER!V18</f>
        <v>5.2631578947368425</v>
      </c>
      <c r="AF17" s="230">
        <f t="shared" si="23"/>
        <v>-100</v>
      </c>
      <c r="AG17" s="231">
        <f>(AD17/'Finance Only'!B20)*100</f>
        <v>8.1503282771111607</v>
      </c>
      <c r="AH17" s="216">
        <f t="shared" si="24"/>
        <v>1082003</v>
      </c>
      <c r="AI17" s="216">
        <v>1082474</v>
      </c>
      <c r="AJ17" s="217">
        <f t="shared" si="25"/>
        <v>471</v>
      </c>
      <c r="AK17" s="230">
        <f t="shared" si="26"/>
        <v>-10</v>
      </c>
      <c r="AL17" s="231">
        <f>(AJ17/'Finance Only'!B20)*100</f>
        <v>2.1326692325107541</v>
      </c>
      <c r="AM17" s="216">
        <f t="shared" si="27"/>
        <v>1085100</v>
      </c>
      <c r="AN17" s="216">
        <v>1085800</v>
      </c>
      <c r="AO17" s="217">
        <f t="shared" si="28"/>
        <v>700</v>
      </c>
      <c r="AP17" s="230">
        <f t="shared" si="29"/>
        <v>0</v>
      </c>
      <c r="AQ17" s="231">
        <f>(AO17/'Finance Only'!B20)*100</f>
        <v>3.1695721077654517</v>
      </c>
      <c r="AR17" s="216">
        <f t="shared" si="30"/>
        <v>2445000</v>
      </c>
      <c r="AS17" s="216">
        <v>2445900</v>
      </c>
      <c r="AT17" s="217">
        <f t="shared" si="31"/>
        <v>900</v>
      </c>
      <c r="AU17" s="230">
        <f t="shared" si="32"/>
        <v>-200</v>
      </c>
      <c r="AV17" s="231">
        <f>(AT17/'Finance Only'!B20)*100</f>
        <v>4.0751641385555804</v>
      </c>
      <c r="AW17" s="216">
        <f t="shared" si="33"/>
        <v>7860.8</v>
      </c>
      <c r="AX17" s="216">
        <v>8243.7999999999993</v>
      </c>
      <c r="AY17" s="217">
        <f t="shared" si="34"/>
        <v>382.99999999999909</v>
      </c>
      <c r="AZ17" s="230">
        <f t="shared" si="35"/>
        <v>17.799999999999272</v>
      </c>
      <c r="BA17" s="231">
        <f>(AY17/'Finance Only'!B20)*100</f>
        <v>1.7342087389630931</v>
      </c>
      <c r="BB17" s="216">
        <f t="shared" si="36"/>
        <v>988970</v>
      </c>
      <c r="BC17" s="216">
        <v>989320</v>
      </c>
      <c r="BD17" s="217">
        <f t="shared" si="37"/>
        <v>350</v>
      </c>
      <c r="BE17" s="230">
        <f t="shared" si="38"/>
        <v>-10</v>
      </c>
      <c r="BF17" s="231">
        <f>(BD17/'Finance Only'!B20)*100</f>
        <v>1.5847860538827259</v>
      </c>
      <c r="BG17" s="216">
        <f t="shared" si="39"/>
        <v>1068100</v>
      </c>
      <c r="BH17" s="216">
        <v>1068400</v>
      </c>
      <c r="BI17" s="217">
        <f t="shared" si="40"/>
        <v>300</v>
      </c>
      <c r="BJ17" s="230">
        <f t="shared" si="41"/>
        <v>100</v>
      </c>
      <c r="BK17" s="231">
        <f>(BI17/'Finance Only'!B20)*100</f>
        <v>1.3583880461851936</v>
      </c>
      <c r="BL17" s="216">
        <f t="shared" si="42"/>
        <v>1582200</v>
      </c>
      <c r="BM17" s="216">
        <v>1582700</v>
      </c>
      <c r="BN17" s="217">
        <f t="shared" si="43"/>
        <v>500</v>
      </c>
      <c r="BO17" s="230">
        <f t="shared" si="44"/>
        <v>0</v>
      </c>
      <c r="BP17" s="231">
        <f>(BN17/'Finance Only'!B20)*100</f>
        <v>2.2639800769753227</v>
      </c>
      <c r="BQ17" s="216">
        <f t="shared" si="45"/>
        <v>134210</v>
      </c>
      <c r="BR17" s="216">
        <v>134330</v>
      </c>
      <c r="BS17" s="217">
        <f t="shared" si="46"/>
        <v>120</v>
      </c>
      <c r="BT17" s="230">
        <f t="shared" si="47"/>
        <v>0</v>
      </c>
      <c r="BU17" s="231">
        <f>(BS17/'Finance Only'!B20)*100</f>
        <v>0.54335521847407742</v>
      </c>
      <c r="BV17" s="216">
        <f t="shared" si="48"/>
        <v>573620</v>
      </c>
      <c r="BW17" s="216">
        <v>574050</v>
      </c>
      <c r="BX17" s="217">
        <f t="shared" si="49"/>
        <v>430</v>
      </c>
      <c r="BY17" s="230">
        <f t="shared" si="50"/>
        <v>0</v>
      </c>
      <c r="BZ17" s="231">
        <f>(BX17/'Finance Only'!B20)*100</f>
        <v>1.9470228661987776</v>
      </c>
      <c r="CA17" s="216">
        <f t="shared" si="51"/>
        <v>1059000</v>
      </c>
      <c r="CB17" s="216">
        <v>1060200</v>
      </c>
      <c r="CC17" s="217">
        <f t="shared" si="52"/>
        <v>1200</v>
      </c>
      <c r="CD17" s="230">
        <f t="shared" si="53"/>
        <v>100</v>
      </c>
      <c r="CE17" s="231">
        <f>(CC17/'Finance Only'!B20)*100</f>
        <v>5.4335521847407744</v>
      </c>
      <c r="CF17" s="216">
        <f t="shared" si="54"/>
        <v>343810</v>
      </c>
      <c r="CG17" s="216">
        <v>344240</v>
      </c>
      <c r="CH17" s="217">
        <f t="shared" si="55"/>
        <v>430</v>
      </c>
      <c r="CI17" s="230">
        <f t="shared" si="56"/>
        <v>430</v>
      </c>
      <c r="CJ17" s="231">
        <f>(CH17/'Finance Only'!B20)*100</f>
        <v>1.9470228661987776</v>
      </c>
      <c r="CK17" s="217">
        <f t="shared" si="57"/>
        <v>812650</v>
      </c>
      <c r="CL17" s="217">
        <v>813340</v>
      </c>
      <c r="CM17" s="217">
        <f t="shared" si="58"/>
        <v>690</v>
      </c>
      <c r="CN17" s="230">
        <f t="shared" si="59"/>
        <v>-30</v>
      </c>
      <c r="CO17" s="231">
        <f>(CM17/'Finance Only'!B20)*100</f>
        <v>3.1242925062259452</v>
      </c>
      <c r="CP17" s="216">
        <f t="shared" si="110"/>
        <v>671690</v>
      </c>
      <c r="CQ17" s="216">
        <v>672390</v>
      </c>
      <c r="CR17" s="218">
        <f>MAX(0,CQ17-CP17)</f>
        <v>700</v>
      </c>
      <c r="CS17" s="230">
        <f t="shared" si="60"/>
        <v>120</v>
      </c>
      <c r="CT17" s="231">
        <f>(CR17/'Finance Only'!B20)*100</f>
        <v>3.1695721077654517</v>
      </c>
      <c r="CU17" s="216">
        <f t="shared" si="61"/>
        <v>558280</v>
      </c>
      <c r="CV17" s="216">
        <v>558880</v>
      </c>
      <c r="CW17" s="217">
        <f t="shared" si="62"/>
        <v>600</v>
      </c>
      <c r="CX17" s="230">
        <f t="shared" si="63"/>
        <v>20</v>
      </c>
      <c r="CY17" s="231">
        <f>(CW17/'Finance Only'!B20)*100</f>
        <v>2.7167760923703872</v>
      </c>
      <c r="CZ17" s="216">
        <f t="shared" si="64"/>
        <v>934640</v>
      </c>
      <c r="DA17" s="216">
        <v>935530</v>
      </c>
      <c r="DB17" s="217">
        <f t="shared" si="65"/>
        <v>890</v>
      </c>
      <c r="DC17" s="230">
        <f t="shared" si="66"/>
        <v>-100</v>
      </c>
      <c r="DD17" s="231">
        <f>(DB17/'Finance Only'!B20)*100</f>
        <v>4.0298845370160743</v>
      </c>
      <c r="DE17" s="216">
        <f t="shared" si="67"/>
        <v>714910</v>
      </c>
      <c r="DF17" s="216">
        <v>715920</v>
      </c>
      <c r="DG17" s="217">
        <f t="shared" si="68"/>
        <v>1010</v>
      </c>
      <c r="DH17" s="230">
        <f t="shared" si="69"/>
        <v>110</v>
      </c>
      <c r="DI17" s="231">
        <f>(DG17/'Finance Only'!B20)*100</f>
        <v>4.5732397554901514</v>
      </c>
      <c r="DJ17" s="216">
        <f t="shared" si="70"/>
        <v>622260</v>
      </c>
      <c r="DK17" s="216">
        <v>622860</v>
      </c>
      <c r="DL17" s="217">
        <f t="shared" si="71"/>
        <v>600</v>
      </c>
      <c r="DM17" s="230">
        <f t="shared" si="72"/>
        <v>-90</v>
      </c>
      <c r="DN17" s="231">
        <f>(DL17/'Finance Only'!B20)*100</f>
        <v>2.7167760923703872</v>
      </c>
      <c r="DO17" s="216">
        <f t="shared" si="73"/>
        <v>339100</v>
      </c>
      <c r="DP17" s="216">
        <v>339380</v>
      </c>
      <c r="DQ17" s="217">
        <f t="shared" si="74"/>
        <v>280</v>
      </c>
      <c r="DR17" s="230">
        <f t="shared" si="75"/>
        <v>-20</v>
      </c>
      <c r="DS17" s="231">
        <f>(DQ17/'Finance Only'!B20)*100</f>
        <v>1.2678288431061806</v>
      </c>
      <c r="DT17" s="216">
        <f t="shared" si="76"/>
        <v>110540</v>
      </c>
      <c r="DU17" s="216">
        <v>110650</v>
      </c>
      <c r="DV17" s="217">
        <f t="shared" si="77"/>
        <v>110</v>
      </c>
      <c r="DW17" s="230">
        <f t="shared" si="78"/>
        <v>-20</v>
      </c>
      <c r="DX17" s="231">
        <f>(DV17/'Finance Only'!B20)*100</f>
        <v>0.49807561693457097</v>
      </c>
      <c r="DY17" s="216">
        <f t="shared" si="79"/>
        <v>70693</v>
      </c>
      <c r="DZ17" s="216">
        <v>70789</v>
      </c>
      <c r="EA17" s="217">
        <f t="shared" si="80"/>
        <v>96</v>
      </c>
      <c r="EB17" s="230">
        <f t="shared" si="81"/>
        <v>1</v>
      </c>
      <c r="EC17" s="231">
        <f>(EA17/'Finance Only'!B20)*100</f>
        <v>0.43468417477926191</v>
      </c>
      <c r="ED17" s="216">
        <f t="shared" si="82"/>
        <v>225710</v>
      </c>
      <c r="EE17" s="216">
        <v>225980</v>
      </c>
      <c r="EF17" s="217">
        <f t="shared" si="83"/>
        <v>270</v>
      </c>
      <c r="EG17" s="230">
        <f t="shared" si="84"/>
        <v>-30</v>
      </c>
      <c r="EH17" s="231">
        <f>(EF17/'Finance Only'!B20)*100</f>
        <v>1.2225492415666741</v>
      </c>
      <c r="EI17" s="216">
        <f t="shared" si="85"/>
        <v>253360</v>
      </c>
      <c r="EJ17" s="216">
        <v>253710</v>
      </c>
      <c r="EK17" s="217">
        <f t="shared" si="86"/>
        <v>350</v>
      </c>
      <c r="EL17" s="230">
        <f t="shared" si="87"/>
        <v>0</v>
      </c>
      <c r="EM17" s="231">
        <f>(EK17/'Finance Only'!B20)*100</f>
        <v>1.5847860538827259</v>
      </c>
      <c r="EN17" s="216">
        <f t="shared" si="88"/>
        <v>418210</v>
      </c>
      <c r="EO17" s="216">
        <v>418720</v>
      </c>
      <c r="EP17" s="217">
        <f t="shared" si="89"/>
        <v>510</v>
      </c>
      <c r="EQ17" s="230">
        <f t="shared" si="90"/>
        <v>-10</v>
      </c>
      <c r="ER17" s="231">
        <f>(EP17/'Finance Only'!B20)*100</f>
        <v>2.3092596785148292</v>
      </c>
      <c r="ES17" s="216">
        <f t="shared" si="91"/>
        <v>0</v>
      </c>
      <c r="ET17" s="216"/>
      <c r="EU17" s="217">
        <f t="shared" si="92"/>
        <v>0</v>
      </c>
      <c r="EV17" s="230">
        <f t="shared" si="93"/>
        <v>0</v>
      </c>
      <c r="EW17" s="231">
        <f>(EU17/'Finance Only'!B20)*100</f>
        <v>0</v>
      </c>
      <c r="EX17" s="216">
        <f t="shared" si="94"/>
        <v>0</v>
      </c>
      <c r="EY17" s="216"/>
      <c r="EZ17" s="217">
        <f t="shared" si="95"/>
        <v>0</v>
      </c>
      <c r="FA17" s="230">
        <f t="shared" si="96"/>
        <v>0</v>
      </c>
      <c r="FB17" s="231">
        <f>(EZ17/'Finance Only'!G20)*100</f>
        <v>0</v>
      </c>
      <c r="FC17" s="216">
        <f t="shared" si="97"/>
        <v>0</v>
      </c>
      <c r="FD17" s="216"/>
      <c r="FE17" s="217">
        <f t="shared" si="98"/>
        <v>0</v>
      </c>
      <c r="FF17" s="230">
        <f t="shared" si="99"/>
        <v>0</v>
      </c>
      <c r="FG17" s="231" t="e">
        <f>(FE17/'Finance Only'!M20)*100</f>
        <v>#DIV/0!</v>
      </c>
      <c r="FH17" s="304"/>
      <c r="FI17" s="304"/>
      <c r="FJ17" s="304"/>
      <c r="FK17" s="304"/>
      <c r="FL17" s="304"/>
      <c r="FM17" s="216">
        <f t="shared" si="100"/>
        <v>0</v>
      </c>
      <c r="FN17" s="216"/>
      <c r="FO17" s="217">
        <f t="shared" si="101"/>
        <v>0</v>
      </c>
      <c r="FP17" s="230">
        <f t="shared" si="102"/>
        <v>0</v>
      </c>
      <c r="FQ17" s="231" t="e">
        <f>(FO17/'Finance Only'!R20)*100</f>
        <v>#DIV/0!</v>
      </c>
      <c r="FR17" s="216">
        <f t="shared" si="103"/>
        <v>0</v>
      </c>
      <c r="FS17" s="216"/>
      <c r="FT17" s="217">
        <f t="shared" si="104"/>
        <v>0</v>
      </c>
      <c r="FU17" s="230">
        <f t="shared" si="105"/>
        <v>0</v>
      </c>
      <c r="FV17" s="231" t="e">
        <f>(FT17/'Finance Only'!W20)*100</f>
        <v>#DIV/0!</v>
      </c>
      <c r="FW17" s="216">
        <f t="shared" si="106"/>
        <v>0</v>
      </c>
      <c r="FX17" s="216"/>
      <c r="FY17" s="217">
        <f t="shared" si="107"/>
        <v>0</v>
      </c>
      <c r="FZ17" s="230">
        <f t="shared" si="108"/>
        <v>0</v>
      </c>
      <c r="GA17" s="231" t="e">
        <f>(FY17/'Finance Only'!AB20)*100</f>
        <v>#DIV/0!</v>
      </c>
      <c r="GB17" s="280"/>
      <c r="GC17" s="286">
        <f t="shared" si="1"/>
        <v>6633</v>
      </c>
      <c r="GD17" s="283"/>
      <c r="GE17" s="286">
        <f t="shared" si="2"/>
        <v>6614</v>
      </c>
      <c r="GF17" s="283"/>
      <c r="GG17" s="286">
        <f t="shared" si="3"/>
        <v>1600</v>
      </c>
      <c r="GH17" s="283"/>
      <c r="GI17" s="286">
        <f t="shared" si="4"/>
        <v>1032.9999999999991</v>
      </c>
      <c r="GJ17" s="283"/>
      <c r="GK17" s="286">
        <f t="shared" si="5"/>
        <v>620</v>
      </c>
      <c r="GL17" s="283"/>
      <c r="GM17" s="286">
        <f t="shared" si="6"/>
        <v>0</v>
      </c>
      <c r="GN17" s="283"/>
    </row>
    <row r="18" spans="1:1105" s="3" customFormat="1" ht="13.5" customHeight="1" x14ac:dyDescent="0.2">
      <c r="A18" s="271">
        <v>14</v>
      </c>
      <c r="B18" s="274">
        <f>'Finance Only'!G21</f>
        <v>13</v>
      </c>
      <c r="C18" s="269">
        <f t="shared" si="7"/>
        <v>27027935</v>
      </c>
      <c r="D18" s="214">
        <v>27030566</v>
      </c>
      <c r="E18" s="215">
        <f t="shared" si="8"/>
        <v>2631</v>
      </c>
      <c r="F18" s="226">
        <f t="shared" si="9"/>
        <v>-102</v>
      </c>
      <c r="G18" s="227">
        <f>(E18/'Finance Only'!B21)*100</f>
        <v>12.373024830699775</v>
      </c>
      <c r="H18" s="237">
        <f t="shared" si="10"/>
        <v>24939362</v>
      </c>
      <c r="I18" s="214">
        <v>24943062</v>
      </c>
      <c r="J18" s="214">
        <f t="shared" si="11"/>
        <v>3700</v>
      </c>
      <c r="K18" s="238">
        <f t="shared" si="12"/>
        <v>-200</v>
      </c>
      <c r="L18" s="239">
        <f>(J18/'Finance Only'!B21)*100</f>
        <v>17.400300978179082</v>
      </c>
      <c r="M18" s="222">
        <f t="shared" si="13"/>
        <v>91945865</v>
      </c>
      <c r="N18" s="216">
        <v>91955688</v>
      </c>
      <c r="O18" s="217">
        <f t="shared" si="14"/>
        <v>9823</v>
      </c>
      <c r="P18" s="230">
        <f t="shared" si="15"/>
        <v>-512</v>
      </c>
      <c r="Q18" s="231">
        <f>(O18/'Finance Only'!B21)*100</f>
        <v>46.195447705041389</v>
      </c>
      <c r="R18" s="221">
        <f t="shared" si="16"/>
        <v>3029500</v>
      </c>
      <c r="S18" s="216">
        <v>3031900</v>
      </c>
      <c r="T18" s="217">
        <f t="shared" si="17"/>
        <v>2400</v>
      </c>
      <c r="U18" s="230">
        <f t="shared" si="18"/>
        <v>-100</v>
      </c>
      <c r="V18" s="231">
        <f>(T18/'Finance Only'!B21)*100</f>
        <v>11.286681715575622</v>
      </c>
      <c r="W18" s="216">
        <f t="shared" si="19"/>
        <v>4097746</v>
      </c>
      <c r="X18" s="216">
        <v>4100496</v>
      </c>
      <c r="Y18" s="217">
        <f t="shared" si="20"/>
        <v>2750</v>
      </c>
      <c r="Z18" s="230">
        <f t="shared" si="21"/>
        <v>-138</v>
      </c>
      <c r="AA18" s="231">
        <f>(Y18/'Finance Only'!B21)*100</f>
        <v>12.932656132430399</v>
      </c>
      <c r="AB18" s="216">
        <f t="shared" si="22"/>
        <v>2662100</v>
      </c>
      <c r="AC18" s="216">
        <v>2663700</v>
      </c>
      <c r="AD18" s="217">
        <f t="shared" si="0"/>
        <v>1600</v>
      </c>
      <c r="AE18" s="325">
        <f>AD18/WATER!V19</f>
        <v>5.4054054054054053</v>
      </c>
      <c r="AF18" s="230">
        <f t="shared" si="23"/>
        <v>-200</v>
      </c>
      <c r="AG18" s="231">
        <f>(AD18/'Finance Only'!B21)*100</f>
        <v>7.5244544770504147</v>
      </c>
      <c r="AH18" s="216">
        <f t="shared" si="24"/>
        <v>1082474</v>
      </c>
      <c r="AI18" s="216">
        <v>1082933</v>
      </c>
      <c r="AJ18" s="217">
        <f t="shared" si="25"/>
        <v>459</v>
      </c>
      <c r="AK18" s="230">
        <f t="shared" si="26"/>
        <v>-12</v>
      </c>
      <c r="AL18" s="231">
        <f>(AJ18/'Finance Only'!B21)*100</f>
        <v>2.1585778781038378</v>
      </c>
      <c r="AM18" s="216">
        <f t="shared" si="27"/>
        <v>1085800</v>
      </c>
      <c r="AN18" s="216">
        <v>1086500</v>
      </c>
      <c r="AO18" s="217">
        <f t="shared" si="28"/>
        <v>700</v>
      </c>
      <c r="AP18" s="230">
        <f t="shared" si="29"/>
        <v>0</v>
      </c>
      <c r="AQ18" s="231">
        <f>(AO18/'Finance Only'!B21)*100</f>
        <v>3.2919488337095562</v>
      </c>
      <c r="AR18" s="216">
        <f t="shared" si="30"/>
        <v>2445900</v>
      </c>
      <c r="AS18" s="216">
        <v>2446700</v>
      </c>
      <c r="AT18" s="217">
        <f t="shared" si="31"/>
        <v>800</v>
      </c>
      <c r="AU18" s="230">
        <f t="shared" si="32"/>
        <v>-100</v>
      </c>
      <c r="AV18" s="231">
        <f>(AT18/'Finance Only'!B21)*100</f>
        <v>3.7622272385252074</v>
      </c>
      <c r="AW18" s="216">
        <f t="shared" si="33"/>
        <v>8243.7999999999993</v>
      </c>
      <c r="AX18" s="216">
        <v>8596.2999999999993</v>
      </c>
      <c r="AY18" s="217">
        <f t="shared" si="34"/>
        <v>352.5</v>
      </c>
      <c r="AZ18" s="230">
        <f t="shared" si="35"/>
        <v>-30.499999999999091</v>
      </c>
      <c r="BA18" s="231">
        <f>(AY18/'Finance Only'!B21)*100</f>
        <v>1.6577313769751694</v>
      </c>
      <c r="BB18" s="216">
        <f t="shared" si="36"/>
        <v>989320</v>
      </c>
      <c r="BC18" s="216">
        <v>989660</v>
      </c>
      <c r="BD18" s="217">
        <f t="shared" si="37"/>
        <v>340</v>
      </c>
      <c r="BE18" s="230">
        <f t="shared" si="38"/>
        <v>-10</v>
      </c>
      <c r="BF18" s="231">
        <f>(BD18/'Finance Only'!B21)*100</f>
        <v>1.5989465763732131</v>
      </c>
      <c r="BG18" s="216">
        <f t="shared" si="39"/>
        <v>1068400</v>
      </c>
      <c r="BH18" s="216">
        <v>1068600</v>
      </c>
      <c r="BI18" s="217">
        <f t="shared" si="40"/>
        <v>200</v>
      </c>
      <c r="BJ18" s="230">
        <f t="shared" si="41"/>
        <v>-100</v>
      </c>
      <c r="BK18" s="231">
        <f>(BI18/'Finance Only'!B21)*100</f>
        <v>0.94055680963130184</v>
      </c>
      <c r="BL18" s="216">
        <f t="shared" si="42"/>
        <v>1582700</v>
      </c>
      <c r="BM18" s="216">
        <v>1583200</v>
      </c>
      <c r="BN18" s="217">
        <f t="shared" si="43"/>
        <v>500</v>
      </c>
      <c r="BO18" s="230">
        <f t="shared" si="44"/>
        <v>0</v>
      </c>
      <c r="BP18" s="231">
        <f>(BN18/'Finance Only'!B21)*100</f>
        <v>2.3513920240782542</v>
      </c>
      <c r="BQ18" s="216">
        <f t="shared" si="45"/>
        <v>134330</v>
      </c>
      <c r="BR18" s="216">
        <v>134430</v>
      </c>
      <c r="BS18" s="217">
        <f t="shared" si="46"/>
        <v>100</v>
      </c>
      <c r="BT18" s="230">
        <f t="shared" si="47"/>
        <v>-20</v>
      </c>
      <c r="BU18" s="231">
        <f>(BS18/'Finance Only'!B21)*100</f>
        <v>0.47027840481565092</v>
      </c>
      <c r="BV18" s="216">
        <f t="shared" si="48"/>
        <v>574050</v>
      </c>
      <c r="BW18" s="216">
        <v>574500</v>
      </c>
      <c r="BX18" s="217">
        <f t="shared" si="49"/>
        <v>450</v>
      </c>
      <c r="BY18" s="230">
        <f t="shared" si="50"/>
        <v>20</v>
      </c>
      <c r="BZ18" s="231">
        <f>(BX18/'Finance Only'!B21)*100</f>
        <v>2.1162528216704288</v>
      </c>
      <c r="CA18" s="216">
        <f t="shared" si="51"/>
        <v>1060200</v>
      </c>
      <c r="CB18" s="216">
        <v>1061300</v>
      </c>
      <c r="CC18" s="217">
        <f t="shared" si="52"/>
        <v>1100</v>
      </c>
      <c r="CD18" s="230">
        <f t="shared" si="53"/>
        <v>-100</v>
      </c>
      <c r="CE18" s="231">
        <f>(CC18/'Finance Only'!B21)*100</f>
        <v>5.1730624529721592</v>
      </c>
      <c r="CF18" s="216">
        <f t="shared" si="54"/>
        <v>344240</v>
      </c>
      <c r="CG18" s="216">
        <v>344650</v>
      </c>
      <c r="CH18" s="217">
        <f t="shared" si="55"/>
        <v>410</v>
      </c>
      <c r="CI18" s="230">
        <f t="shared" si="56"/>
        <v>-20</v>
      </c>
      <c r="CJ18" s="231">
        <f>(CH18/'Finance Only'!B21)*100</f>
        <v>1.9281414597441686</v>
      </c>
      <c r="CK18" s="217">
        <f t="shared" si="57"/>
        <v>813340</v>
      </c>
      <c r="CL18" s="217">
        <v>814080</v>
      </c>
      <c r="CM18" s="217">
        <f t="shared" si="58"/>
        <v>740</v>
      </c>
      <c r="CN18" s="230">
        <f t="shared" si="59"/>
        <v>50</v>
      </c>
      <c r="CO18" s="231">
        <f>(CM18/'Finance Only'!B21)*100</f>
        <v>3.4800601956358168</v>
      </c>
      <c r="CP18" s="216">
        <f t="shared" si="110"/>
        <v>672390</v>
      </c>
      <c r="CQ18" s="216">
        <v>673080</v>
      </c>
      <c r="CR18" s="218">
        <f>MAX(0,CQ18-CP18)</f>
        <v>690</v>
      </c>
      <c r="CS18" s="230">
        <f t="shared" si="60"/>
        <v>-10</v>
      </c>
      <c r="CT18" s="231">
        <f>(CR18/'Finance Only'!B21)*100</f>
        <v>3.2449209932279914</v>
      </c>
      <c r="CU18" s="216">
        <f t="shared" si="61"/>
        <v>558880</v>
      </c>
      <c r="CV18" s="216">
        <v>559980</v>
      </c>
      <c r="CW18" s="217">
        <f t="shared" si="62"/>
        <v>1100</v>
      </c>
      <c r="CX18" s="230">
        <f t="shared" si="63"/>
        <v>500</v>
      </c>
      <c r="CY18" s="231">
        <f>(CW18/'Finance Only'!B21)*100</f>
        <v>5.1730624529721592</v>
      </c>
      <c r="CZ18" s="216">
        <f t="shared" si="64"/>
        <v>935530</v>
      </c>
      <c r="DA18" s="216">
        <v>936370</v>
      </c>
      <c r="DB18" s="217">
        <f t="shared" si="65"/>
        <v>840</v>
      </c>
      <c r="DC18" s="230">
        <f t="shared" si="66"/>
        <v>-50</v>
      </c>
      <c r="DD18" s="231">
        <f>(DB18/'Finance Only'!B21)*100</f>
        <v>3.9503386004514676</v>
      </c>
      <c r="DE18" s="216">
        <f t="shared" si="67"/>
        <v>715920</v>
      </c>
      <c r="DF18" s="216">
        <v>716820</v>
      </c>
      <c r="DG18" s="217">
        <f t="shared" si="68"/>
        <v>900</v>
      </c>
      <c r="DH18" s="230">
        <f t="shared" si="69"/>
        <v>-110</v>
      </c>
      <c r="DI18" s="231">
        <f>(DG18/'Finance Only'!B21)*100</f>
        <v>4.2325056433408577</v>
      </c>
      <c r="DJ18" s="216">
        <f t="shared" si="70"/>
        <v>622860</v>
      </c>
      <c r="DK18" s="216">
        <v>623360</v>
      </c>
      <c r="DL18" s="217">
        <f t="shared" si="71"/>
        <v>500</v>
      </c>
      <c r="DM18" s="230">
        <f t="shared" si="72"/>
        <v>-100</v>
      </c>
      <c r="DN18" s="231">
        <f>(DL18/'Finance Only'!B21)*100</f>
        <v>2.3513920240782542</v>
      </c>
      <c r="DO18" s="216">
        <f t="shared" si="73"/>
        <v>339380</v>
      </c>
      <c r="DP18" s="216">
        <v>339650</v>
      </c>
      <c r="DQ18" s="217">
        <f t="shared" si="74"/>
        <v>270</v>
      </c>
      <c r="DR18" s="230">
        <f t="shared" si="75"/>
        <v>-10</v>
      </c>
      <c r="DS18" s="231">
        <f>(DQ18/'Finance Only'!B21)*100</f>
        <v>1.2697516930022574</v>
      </c>
      <c r="DT18" s="216">
        <f t="shared" si="76"/>
        <v>110650</v>
      </c>
      <c r="DU18" s="216">
        <v>110770</v>
      </c>
      <c r="DV18" s="217">
        <f t="shared" si="77"/>
        <v>120</v>
      </c>
      <c r="DW18" s="230">
        <f t="shared" si="78"/>
        <v>10</v>
      </c>
      <c r="DX18" s="231">
        <f>(DV18/'Finance Only'!B21)*100</f>
        <v>0.56433408577878108</v>
      </c>
      <c r="DY18" s="216">
        <f t="shared" si="79"/>
        <v>70789</v>
      </c>
      <c r="DZ18" s="216">
        <v>70885</v>
      </c>
      <c r="EA18" s="217">
        <f t="shared" si="80"/>
        <v>96</v>
      </c>
      <c r="EB18" s="230">
        <f t="shared" si="81"/>
        <v>0</v>
      </c>
      <c r="EC18" s="231">
        <f>(EA18/'Finance Only'!B21)*100</f>
        <v>0.45146726862302478</v>
      </c>
      <c r="ED18" s="216">
        <f t="shared" si="82"/>
        <v>225980</v>
      </c>
      <c r="EE18" s="216">
        <v>226290</v>
      </c>
      <c r="EF18" s="217">
        <f t="shared" si="83"/>
        <v>310</v>
      </c>
      <c r="EG18" s="230">
        <f t="shared" si="84"/>
        <v>40</v>
      </c>
      <c r="EH18" s="231">
        <f>(EF18/'Finance Only'!B21)*100</f>
        <v>1.4578630549285176</v>
      </c>
      <c r="EI18" s="216">
        <f t="shared" si="85"/>
        <v>253710</v>
      </c>
      <c r="EJ18" s="216">
        <v>254040</v>
      </c>
      <c r="EK18" s="217">
        <f t="shared" si="86"/>
        <v>330</v>
      </c>
      <c r="EL18" s="230">
        <f t="shared" si="87"/>
        <v>-20</v>
      </c>
      <c r="EM18" s="231">
        <f>(EK18/'Finance Only'!B21)*100</f>
        <v>1.5519187358916477</v>
      </c>
      <c r="EN18" s="216">
        <f t="shared" si="88"/>
        <v>418720</v>
      </c>
      <c r="EO18" s="216">
        <v>419200</v>
      </c>
      <c r="EP18" s="217">
        <f t="shared" si="89"/>
        <v>480</v>
      </c>
      <c r="EQ18" s="230">
        <f t="shared" si="90"/>
        <v>-30</v>
      </c>
      <c r="ER18" s="231">
        <f>(EP18/'Finance Only'!B21)*100</f>
        <v>2.2573363431151243</v>
      </c>
      <c r="ES18" s="216">
        <f t="shared" si="91"/>
        <v>0</v>
      </c>
      <c r="ET18" s="216"/>
      <c r="EU18" s="217">
        <f t="shared" si="92"/>
        <v>0</v>
      </c>
      <c r="EV18" s="230">
        <f t="shared" si="93"/>
        <v>0</v>
      </c>
      <c r="EW18" s="231">
        <f>(EU18/'Finance Only'!B21)*100</f>
        <v>0</v>
      </c>
      <c r="EX18" s="216">
        <f t="shared" si="94"/>
        <v>0</v>
      </c>
      <c r="EY18" s="216"/>
      <c r="EZ18" s="217">
        <f t="shared" si="95"/>
        <v>0</v>
      </c>
      <c r="FA18" s="230">
        <f t="shared" si="96"/>
        <v>0</v>
      </c>
      <c r="FB18" s="231">
        <f>(EZ18/'Finance Only'!G21)*100</f>
        <v>0</v>
      </c>
      <c r="FC18" s="216">
        <f t="shared" si="97"/>
        <v>0</v>
      </c>
      <c r="FD18" s="216"/>
      <c r="FE18" s="217">
        <f t="shared" si="98"/>
        <v>0</v>
      </c>
      <c r="FF18" s="230">
        <f t="shared" si="99"/>
        <v>0</v>
      </c>
      <c r="FG18" s="231" t="e">
        <f>(FE18/'Finance Only'!M21)*100</f>
        <v>#DIV/0!</v>
      </c>
      <c r="FH18" s="304"/>
      <c r="FI18" s="304"/>
      <c r="FJ18" s="304"/>
      <c r="FK18" s="304"/>
      <c r="FL18" s="304"/>
      <c r="FM18" s="216">
        <f t="shared" si="100"/>
        <v>0</v>
      </c>
      <c r="FN18" s="216"/>
      <c r="FO18" s="217">
        <f t="shared" si="101"/>
        <v>0</v>
      </c>
      <c r="FP18" s="230">
        <f t="shared" si="102"/>
        <v>0</v>
      </c>
      <c r="FQ18" s="231" t="e">
        <f>(FO18/'Finance Only'!R21)*100</f>
        <v>#DIV/0!</v>
      </c>
      <c r="FR18" s="216">
        <f t="shared" si="103"/>
        <v>0</v>
      </c>
      <c r="FS18" s="216"/>
      <c r="FT18" s="217">
        <f t="shared" si="104"/>
        <v>0</v>
      </c>
      <c r="FU18" s="230">
        <f t="shared" si="105"/>
        <v>0</v>
      </c>
      <c r="FV18" s="231" t="e">
        <f>(FT18/'Finance Only'!W21)*100</f>
        <v>#DIV/0!</v>
      </c>
      <c r="FW18" s="216">
        <f t="shared" si="106"/>
        <v>0</v>
      </c>
      <c r="FX18" s="216"/>
      <c r="FY18" s="217">
        <f t="shared" si="107"/>
        <v>0</v>
      </c>
      <c r="FZ18" s="230">
        <f t="shared" si="108"/>
        <v>0</v>
      </c>
      <c r="GA18" s="231" t="e">
        <f>(FY18/'Finance Only'!AB21)*100</f>
        <v>#DIV/0!</v>
      </c>
      <c r="GB18" s="280"/>
      <c r="GC18" s="286">
        <f t="shared" si="1"/>
        <v>6331</v>
      </c>
      <c r="GD18" s="283"/>
      <c r="GE18" s="286">
        <f t="shared" si="2"/>
        <v>6366</v>
      </c>
      <c r="GF18" s="283"/>
      <c r="GG18" s="286">
        <f t="shared" si="3"/>
        <v>1500</v>
      </c>
      <c r="GH18" s="283"/>
      <c r="GI18" s="286">
        <f t="shared" si="4"/>
        <v>892.5</v>
      </c>
      <c r="GJ18" s="283"/>
      <c r="GK18" s="286">
        <f t="shared" si="5"/>
        <v>600</v>
      </c>
      <c r="GL18" s="283"/>
      <c r="GM18" s="286">
        <f t="shared" si="6"/>
        <v>0</v>
      </c>
      <c r="GN18" s="283"/>
    </row>
    <row r="19" spans="1:1105" s="3" customFormat="1" ht="13.5" customHeight="1" x14ac:dyDescent="0.2">
      <c r="A19" s="271">
        <v>15</v>
      </c>
      <c r="B19" s="274">
        <f>'Finance Only'!G22</f>
        <v>12</v>
      </c>
      <c r="C19" s="269">
        <f t="shared" si="7"/>
        <v>27030566</v>
      </c>
      <c r="D19" s="214">
        <v>27033138</v>
      </c>
      <c r="E19" s="215">
        <f t="shared" si="8"/>
        <v>2572</v>
      </c>
      <c r="F19" s="226">
        <f t="shared" si="9"/>
        <v>-59</v>
      </c>
      <c r="G19" s="227">
        <f>(E19/'Finance Only'!B22)*100</f>
        <v>11.280701754385964</v>
      </c>
      <c r="H19" s="237">
        <f t="shared" si="10"/>
        <v>24943062</v>
      </c>
      <c r="I19" s="214">
        <v>24946878</v>
      </c>
      <c r="J19" s="214">
        <f t="shared" si="11"/>
        <v>3816</v>
      </c>
      <c r="K19" s="238">
        <f t="shared" si="12"/>
        <v>116</v>
      </c>
      <c r="L19" s="239">
        <f>(J19/'Finance Only'!B22)*100</f>
        <v>16.736842105263158</v>
      </c>
      <c r="M19" s="222">
        <f t="shared" si="13"/>
        <v>91955688</v>
      </c>
      <c r="N19" s="216">
        <v>91966409</v>
      </c>
      <c r="O19" s="217">
        <f t="shared" si="14"/>
        <v>10721</v>
      </c>
      <c r="P19" s="230">
        <f t="shared" si="15"/>
        <v>898</v>
      </c>
      <c r="Q19" s="231">
        <f>(O19/'Finance Only'!B22)*100</f>
        <v>47.021929824561404</v>
      </c>
      <c r="R19" s="221">
        <f t="shared" si="16"/>
        <v>3031900</v>
      </c>
      <c r="S19" s="216">
        <v>3034300</v>
      </c>
      <c r="T19" s="217">
        <f t="shared" si="17"/>
        <v>2400</v>
      </c>
      <c r="U19" s="230">
        <f t="shared" si="18"/>
        <v>0</v>
      </c>
      <c r="V19" s="231">
        <f>(T19/'Finance Only'!B22)*100</f>
        <v>10.526315789473683</v>
      </c>
      <c r="W19" s="216">
        <f t="shared" si="19"/>
        <v>4100496</v>
      </c>
      <c r="X19" s="216">
        <v>4103234</v>
      </c>
      <c r="Y19" s="217">
        <f t="shared" si="20"/>
        <v>2738</v>
      </c>
      <c r="Z19" s="230">
        <f t="shared" si="21"/>
        <v>-12</v>
      </c>
      <c r="AA19" s="231">
        <f>(Y19/'Finance Only'!B22)*100</f>
        <v>12.008771929824562</v>
      </c>
      <c r="AB19" s="216">
        <f t="shared" si="22"/>
        <v>2663700</v>
      </c>
      <c r="AC19" s="216">
        <v>2665800</v>
      </c>
      <c r="AD19" s="217">
        <f t="shared" si="0"/>
        <v>2100</v>
      </c>
      <c r="AE19" s="325">
        <f>AD19/WATER!V20</f>
        <v>5.8171745152354575</v>
      </c>
      <c r="AF19" s="230">
        <f t="shared" si="23"/>
        <v>500</v>
      </c>
      <c r="AG19" s="231">
        <f>(AD19/'Finance Only'!B22)*100</f>
        <v>9.2105263157894726</v>
      </c>
      <c r="AH19" s="216">
        <f t="shared" si="24"/>
        <v>1082933</v>
      </c>
      <c r="AI19" s="216">
        <v>1083426</v>
      </c>
      <c r="AJ19" s="217">
        <f t="shared" si="25"/>
        <v>493</v>
      </c>
      <c r="AK19" s="230">
        <f t="shared" si="26"/>
        <v>34</v>
      </c>
      <c r="AL19" s="231">
        <f>(AJ19/'Finance Only'!B22)*100</f>
        <v>2.1622807017543861</v>
      </c>
      <c r="AM19" s="216">
        <f t="shared" si="27"/>
        <v>1086500</v>
      </c>
      <c r="AN19" s="216">
        <v>1087200</v>
      </c>
      <c r="AO19" s="217">
        <f t="shared" si="28"/>
        <v>700</v>
      </c>
      <c r="AP19" s="230">
        <f t="shared" si="29"/>
        <v>0</v>
      </c>
      <c r="AQ19" s="231">
        <f>(AO19/'Finance Only'!B22)*100</f>
        <v>3.070175438596491</v>
      </c>
      <c r="AR19" s="216">
        <f t="shared" si="30"/>
        <v>2446700</v>
      </c>
      <c r="AS19" s="216">
        <v>2447900</v>
      </c>
      <c r="AT19" s="217">
        <f t="shared" si="31"/>
        <v>1200</v>
      </c>
      <c r="AU19" s="230">
        <f t="shared" si="32"/>
        <v>400</v>
      </c>
      <c r="AV19" s="231">
        <f>(AT19/'Finance Only'!B22)*100</f>
        <v>5.2631578947368416</v>
      </c>
      <c r="AW19" s="216">
        <f t="shared" si="33"/>
        <v>8596.2999999999993</v>
      </c>
      <c r="AX19" s="216">
        <v>8956.7000000000007</v>
      </c>
      <c r="AY19" s="217">
        <f t="shared" si="34"/>
        <v>360.40000000000146</v>
      </c>
      <c r="AZ19" s="230">
        <f t="shared" si="35"/>
        <v>7.9000000000014552</v>
      </c>
      <c r="BA19" s="231">
        <f>(AY19/'Finance Only'!B22)*100</f>
        <v>1.5807017543859714</v>
      </c>
      <c r="BB19" s="216">
        <f t="shared" si="36"/>
        <v>989660</v>
      </c>
      <c r="BC19" s="216">
        <v>989980</v>
      </c>
      <c r="BD19" s="217">
        <f t="shared" si="37"/>
        <v>320</v>
      </c>
      <c r="BE19" s="230">
        <f t="shared" si="38"/>
        <v>-20</v>
      </c>
      <c r="BF19" s="231">
        <f>(BD19/'Finance Only'!B22)*100</f>
        <v>1.4035087719298245</v>
      </c>
      <c r="BG19" s="216">
        <f t="shared" si="39"/>
        <v>1068600</v>
      </c>
      <c r="BH19" s="216">
        <v>1068900</v>
      </c>
      <c r="BI19" s="217">
        <f t="shared" si="40"/>
        <v>300</v>
      </c>
      <c r="BJ19" s="230">
        <f t="shared" si="41"/>
        <v>100</v>
      </c>
      <c r="BK19" s="231">
        <f>(BI19/'Finance Only'!B22)*100</f>
        <v>1.3157894736842104</v>
      </c>
      <c r="BL19" s="216">
        <f t="shared" si="42"/>
        <v>1583200</v>
      </c>
      <c r="BM19" s="216">
        <v>1583700</v>
      </c>
      <c r="BN19" s="217">
        <f t="shared" si="43"/>
        <v>500</v>
      </c>
      <c r="BO19" s="230">
        <f t="shared" si="44"/>
        <v>0</v>
      </c>
      <c r="BP19" s="231">
        <f>(BN19/'Finance Only'!B22)*100</f>
        <v>2.1929824561403506</v>
      </c>
      <c r="BQ19" s="216">
        <f t="shared" si="45"/>
        <v>134430</v>
      </c>
      <c r="BR19" s="216">
        <v>134540</v>
      </c>
      <c r="BS19" s="217">
        <f t="shared" si="46"/>
        <v>110</v>
      </c>
      <c r="BT19" s="230">
        <f t="shared" si="47"/>
        <v>10</v>
      </c>
      <c r="BU19" s="231">
        <f>(BS19/'Finance Only'!B22)*100</f>
        <v>0.48245614035087719</v>
      </c>
      <c r="BV19" s="216">
        <f t="shared" si="48"/>
        <v>574500</v>
      </c>
      <c r="BW19" s="216">
        <v>574950</v>
      </c>
      <c r="BX19" s="217">
        <f t="shared" si="49"/>
        <v>450</v>
      </c>
      <c r="BY19" s="230">
        <f t="shared" si="50"/>
        <v>0</v>
      </c>
      <c r="BZ19" s="231">
        <f>(BX19/'Finance Only'!B22)*100</f>
        <v>1.9736842105263157</v>
      </c>
      <c r="CA19" s="216">
        <f t="shared" si="51"/>
        <v>1061300</v>
      </c>
      <c r="CB19" s="216">
        <v>1062500</v>
      </c>
      <c r="CC19" s="217">
        <f t="shared" si="52"/>
        <v>1200</v>
      </c>
      <c r="CD19" s="230">
        <f t="shared" si="53"/>
        <v>100</v>
      </c>
      <c r="CE19" s="231">
        <f>(CC19/'Finance Only'!B22)*100</f>
        <v>5.2631578947368416</v>
      </c>
      <c r="CF19" s="216">
        <f t="shared" si="54"/>
        <v>344650</v>
      </c>
      <c r="CG19" s="216">
        <v>345080</v>
      </c>
      <c r="CH19" s="217">
        <f t="shared" si="55"/>
        <v>430</v>
      </c>
      <c r="CI19" s="230">
        <f t="shared" si="56"/>
        <v>20</v>
      </c>
      <c r="CJ19" s="231">
        <f>(CH19/'Finance Only'!B22)*100</f>
        <v>1.8859649122807016</v>
      </c>
      <c r="CK19" s="217">
        <f t="shared" si="57"/>
        <v>814080</v>
      </c>
      <c r="CL19" s="217">
        <v>814850</v>
      </c>
      <c r="CM19" s="217">
        <f t="shared" si="58"/>
        <v>770</v>
      </c>
      <c r="CN19" s="230">
        <f t="shared" si="59"/>
        <v>30</v>
      </c>
      <c r="CO19" s="231">
        <f>(CM19/'Finance Only'!B22)*100</f>
        <v>3.3771929824561404</v>
      </c>
      <c r="CP19" s="216">
        <f>CQ18</f>
        <v>673080</v>
      </c>
      <c r="CQ19" s="216">
        <v>673810</v>
      </c>
      <c r="CR19" s="218">
        <f>MAX(0,CQ19-CP19)</f>
        <v>730</v>
      </c>
      <c r="CS19" s="230">
        <f t="shared" si="60"/>
        <v>40</v>
      </c>
      <c r="CT19" s="231">
        <f>(CR19/'Finance Only'!B22)*100</f>
        <v>3.2017543859649127</v>
      </c>
      <c r="CU19" s="216">
        <f t="shared" si="61"/>
        <v>559980</v>
      </c>
      <c r="CV19" s="216">
        <v>560060</v>
      </c>
      <c r="CW19" s="217">
        <f t="shared" si="62"/>
        <v>80</v>
      </c>
      <c r="CX19" s="230">
        <f t="shared" si="63"/>
        <v>-1020</v>
      </c>
      <c r="CY19" s="231">
        <f>(CW19/'Finance Only'!B22)*100</f>
        <v>0.35087719298245612</v>
      </c>
      <c r="CZ19" s="216">
        <f t="shared" si="64"/>
        <v>936370</v>
      </c>
      <c r="DA19" s="216">
        <v>937230</v>
      </c>
      <c r="DB19" s="217">
        <f t="shared" si="65"/>
        <v>860</v>
      </c>
      <c r="DC19" s="230">
        <f t="shared" si="66"/>
        <v>20</v>
      </c>
      <c r="DD19" s="231">
        <f>(DB19/'Finance Only'!B22)*100</f>
        <v>3.7719298245614032</v>
      </c>
      <c r="DE19" s="216">
        <f t="shared" si="67"/>
        <v>716820</v>
      </c>
      <c r="DF19" s="216">
        <v>717570</v>
      </c>
      <c r="DG19" s="217">
        <f t="shared" si="68"/>
        <v>750</v>
      </c>
      <c r="DH19" s="230">
        <f t="shared" si="69"/>
        <v>-150</v>
      </c>
      <c r="DI19" s="231">
        <f>(DG19/'Finance Only'!B22)*100</f>
        <v>3.2894736842105261</v>
      </c>
      <c r="DJ19" s="216">
        <f t="shared" si="70"/>
        <v>623360</v>
      </c>
      <c r="DK19" s="216">
        <v>623930</v>
      </c>
      <c r="DL19" s="217">
        <f t="shared" si="71"/>
        <v>570</v>
      </c>
      <c r="DM19" s="230">
        <f t="shared" si="72"/>
        <v>70</v>
      </c>
      <c r="DN19" s="231">
        <f>(DL19/'Finance Only'!B22)*100</f>
        <v>2.5</v>
      </c>
      <c r="DO19" s="216">
        <f t="shared" si="73"/>
        <v>339650</v>
      </c>
      <c r="DP19" s="216">
        <v>339940</v>
      </c>
      <c r="DQ19" s="217">
        <f t="shared" si="74"/>
        <v>290</v>
      </c>
      <c r="DR19" s="230">
        <f t="shared" si="75"/>
        <v>20</v>
      </c>
      <c r="DS19" s="231">
        <f>(DQ19/'Finance Only'!B22)*100</f>
        <v>1.2719298245614035</v>
      </c>
      <c r="DT19" s="216">
        <f t="shared" si="76"/>
        <v>110770</v>
      </c>
      <c r="DU19" s="216">
        <v>110900</v>
      </c>
      <c r="DV19" s="217">
        <f t="shared" si="77"/>
        <v>130</v>
      </c>
      <c r="DW19" s="230">
        <f t="shared" si="78"/>
        <v>10</v>
      </c>
      <c r="DX19" s="231">
        <f>(DV19/'Finance Only'!B22)*100</f>
        <v>0.57017543859649122</v>
      </c>
      <c r="DY19" s="216">
        <f t="shared" si="79"/>
        <v>70885</v>
      </c>
      <c r="DZ19" s="216">
        <v>70978</v>
      </c>
      <c r="EA19" s="217">
        <f t="shared" si="80"/>
        <v>93</v>
      </c>
      <c r="EB19" s="230">
        <f t="shared" si="81"/>
        <v>-3</v>
      </c>
      <c r="EC19" s="231">
        <f>(EA19/'Finance Only'!B22)*100</f>
        <v>0.40789473684210525</v>
      </c>
      <c r="ED19" s="216">
        <f t="shared" si="82"/>
        <v>226290</v>
      </c>
      <c r="EE19" s="216">
        <v>226550</v>
      </c>
      <c r="EF19" s="217">
        <f t="shared" si="83"/>
        <v>260</v>
      </c>
      <c r="EG19" s="230">
        <f t="shared" si="84"/>
        <v>-50</v>
      </c>
      <c r="EH19" s="231">
        <f>(EF19/'Finance Only'!B22)*100</f>
        <v>1.1403508771929824</v>
      </c>
      <c r="EI19" s="216">
        <f t="shared" si="85"/>
        <v>254040</v>
      </c>
      <c r="EJ19" s="216">
        <v>254410</v>
      </c>
      <c r="EK19" s="217">
        <f t="shared" si="86"/>
        <v>370</v>
      </c>
      <c r="EL19" s="230">
        <f t="shared" si="87"/>
        <v>40</v>
      </c>
      <c r="EM19" s="231">
        <f>(EK19/'Finance Only'!B22)*100</f>
        <v>1.6228070175438596</v>
      </c>
      <c r="EN19" s="216">
        <f t="shared" si="88"/>
        <v>419200</v>
      </c>
      <c r="EO19" s="216">
        <v>419720</v>
      </c>
      <c r="EP19" s="217">
        <f t="shared" si="89"/>
        <v>520</v>
      </c>
      <c r="EQ19" s="230">
        <f t="shared" si="90"/>
        <v>40</v>
      </c>
      <c r="ER19" s="231">
        <f>(EP19/'Finance Only'!B22)*100</f>
        <v>2.2807017543859649</v>
      </c>
      <c r="ES19" s="216">
        <f t="shared" si="91"/>
        <v>0</v>
      </c>
      <c r="ET19" s="216"/>
      <c r="EU19" s="217">
        <f t="shared" si="92"/>
        <v>0</v>
      </c>
      <c r="EV19" s="230">
        <f t="shared" si="93"/>
        <v>0</v>
      </c>
      <c r="EW19" s="231">
        <f>(EU19/'Finance Only'!B22)*100</f>
        <v>0</v>
      </c>
      <c r="EX19" s="216">
        <f t="shared" si="94"/>
        <v>0</v>
      </c>
      <c r="EY19" s="216"/>
      <c r="EZ19" s="217">
        <f t="shared" si="95"/>
        <v>0</v>
      </c>
      <c r="FA19" s="230">
        <f t="shared" si="96"/>
        <v>0</v>
      </c>
      <c r="FB19" s="231">
        <f>(EZ19/'Finance Only'!G22)*100</f>
        <v>0</v>
      </c>
      <c r="FC19" s="216">
        <f t="shared" si="97"/>
        <v>0</v>
      </c>
      <c r="FD19" s="216"/>
      <c r="FE19" s="217">
        <f t="shared" si="98"/>
        <v>0</v>
      </c>
      <c r="FF19" s="230">
        <f t="shared" si="99"/>
        <v>0</v>
      </c>
      <c r="FG19" s="231" t="e">
        <f>(FE19/'Finance Only'!M22)*100</f>
        <v>#DIV/0!</v>
      </c>
      <c r="FH19" s="304"/>
      <c r="FI19" s="304"/>
      <c r="FJ19" s="304"/>
      <c r="FK19" s="304"/>
      <c r="FL19" s="304"/>
      <c r="FM19" s="216">
        <f t="shared" si="100"/>
        <v>0</v>
      </c>
      <c r="FN19" s="216"/>
      <c r="FO19" s="217">
        <f t="shared" si="101"/>
        <v>0</v>
      </c>
      <c r="FP19" s="230">
        <f t="shared" si="102"/>
        <v>0</v>
      </c>
      <c r="FQ19" s="231" t="e">
        <f>(FO19/'Finance Only'!R22)*100</f>
        <v>#DIV/0!</v>
      </c>
      <c r="FR19" s="216">
        <f t="shared" si="103"/>
        <v>0</v>
      </c>
      <c r="FS19" s="216"/>
      <c r="FT19" s="217">
        <f t="shared" si="104"/>
        <v>0</v>
      </c>
      <c r="FU19" s="230">
        <f t="shared" si="105"/>
        <v>0</v>
      </c>
      <c r="FV19" s="231" t="e">
        <f>(FT19/'Finance Only'!W22)*100</f>
        <v>#DIV/0!</v>
      </c>
      <c r="FW19" s="216">
        <f t="shared" si="106"/>
        <v>0</v>
      </c>
      <c r="FX19" s="216"/>
      <c r="FY19" s="217">
        <f t="shared" si="107"/>
        <v>0</v>
      </c>
      <c r="FZ19" s="230">
        <f t="shared" si="108"/>
        <v>0</v>
      </c>
      <c r="GA19" s="231" t="e">
        <f>(FY19/'Finance Only'!AB22)*100</f>
        <v>#DIV/0!</v>
      </c>
      <c r="GB19" s="280"/>
      <c r="GC19" s="286">
        <f t="shared" si="1"/>
        <v>6388</v>
      </c>
      <c r="GD19" s="283"/>
      <c r="GE19" s="286">
        <f t="shared" si="2"/>
        <v>6381</v>
      </c>
      <c r="GF19" s="283"/>
      <c r="GG19" s="286">
        <f t="shared" si="3"/>
        <v>1900</v>
      </c>
      <c r="GH19" s="283"/>
      <c r="GI19" s="286">
        <f t="shared" si="4"/>
        <v>980.40000000000146</v>
      </c>
      <c r="GJ19" s="283"/>
      <c r="GK19" s="286">
        <f t="shared" si="5"/>
        <v>610</v>
      </c>
      <c r="GL19" s="283"/>
      <c r="GM19" s="286">
        <f t="shared" si="6"/>
        <v>0</v>
      </c>
      <c r="GN19" s="283"/>
    </row>
    <row r="20" spans="1:1105" s="3" customFormat="1" ht="13.5" customHeight="1" x14ac:dyDescent="0.2">
      <c r="A20" s="271">
        <v>16</v>
      </c>
      <c r="B20" s="274">
        <f>'Finance Only'!G23</f>
        <v>15</v>
      </c>
      <c r="C20" s="269">
        <f t="shared" si="7"/>
        <v>27033138</v>
      </c>
      <c r="D20" s="214">
        <v>27035822</v>
      </c>
      <c r="E20" s="215">
        <f t="shared" si="8"/>
        <v>2684</v>
      </c>
      <c r="F20" s="226">
        <f t="shared" si="9"/>
        <v>112</v>
      </c>
      <c r="G20" s="227">
        <f>(E20/'Finance Only'!B23)*100</f>
        <v>12.275325863251773</v>
      </c>
      <c r="H20" s="237">
        <f t="shared" si="10"/>
        <v>24946878</v>
      </c>
      <c r="I20" s="214">
        <v>24950757</v>
      </c>
      <c r="J20" s="214">
        <f t="shared" si="11"/>
        <v>3879</v>
      </c>
      <c r="K20" s="238">
        <f t="shared" si="12"/>
        <v>63</v>
      </c>
      <c r="L20" s="239">
        <f>(J20/'Finance Only'!B23)*100</f>
        <v>17.740681454379146</v>
      </c>
      <c r="M20" s="222">
        <f t="shared" si="13"/>
        <v>91966409</v>
      </c>
      <c r="N20" s="216">
        <v>91976565</v>
      </c>
      <c r="O20" s="217">
        <f t="shared" si="14"/>
        <v>10156</v>
      </c>
      <c r="P20" s="230">
        <f t="shared" si="15"/>
        <v>-565</v>
      </c>
      <c r="Q20" s="231">
        <f>(O20/'Finance Only'!B23)*100</f>
        <v>46.448662245597987</v>
      </c>
      <c r="R20" s="221">
        <f t="shared" si="16"/>
        <v>3034300</v>
      </c>
      <c r="S20" s="216">
        <v>3036700</v>
      </c>
      <c r="T20" s="217">
        <f t="shared" si="17"/>
        <v>2400</v>
      </c>
      <c r="U20" s="230">
        <f t="shared" si="18"/>
        <v>0</v>
      </c>
      <c r="V20" s="231">
        <f>(T20/'Finance Only'!B23)*100</f>
        <v>10.976446375485937</v>
      </c>
      <c r="W20" s="216">
        <f t="shared" si="19"/>
        <v>4103234</v>
      </c>
      <c r="X20" s="216">
        <v>4106080</v>
      </c>
      <c r="Y20" s="217">
        <f t="shared" si="20"/>
        <v>2846</v>
      </c>
      <c r="Z20" s="230">
        <f t="shared" si="21"/>
        <v>108</v>
      </c>
      <c r="AA20" s="231">
        <f>(Y20/'Finance Only'!B23)*100</f>
        <v>13.016235993597073</v>
      </c>
      <c r="AB20" s="216">
        <f t="shared" si="22"/>
        <v>2665800</v>
      </c>
      <c r="AC20" s="216">
        <v>2667700</v>
      </c>
      <c r="AD20" s="217">
        <f t="shared" si="0"/>
        <v>1900</v>
      </c>
      <c r="AE20" s="325">
        <f>AD20/WATER!V21</f>
        <v>5.1351351351351351</v>
      </c>
      <c r="AF20" s="230">
        <f t="shared" si="23"/>
        <v>-200</v>
      </c>
      <c r="AG20" s="231">
        <f>(AD20/'Finance Only'!B23)*100</f>
        <v>8.6896867139263652</v>
      </c>
      <c r="AH20" s="216">
        <f t="shared" si="24"/>
        <v>1083426</v>
      </c>
      <c r="AI20" s="216">
        <v>1083887</v>
      </c>
      <c r="AJ20" s="217">
        <f t="shared" si="25"/>
        <v>461</v>
      </c>
      <c r="AK20" s="230">
        <f t="shared" si="26"/>
        <v>-32</v>
      </c>
      <c r="AL20" s="231">
        <f>(AJ20/'Finance Only'!B23)*100</f>
        <v>2.1083924079579237</v>
      </c>
      <c r="AM20" s="216">
        <f t="shared" si="27"/>
        <v>1087200</v>
      </c>
      <c r="AN20" s="216">
        <v>1087900</v>
      </c>
      <c r="AO20" s="217">
        <f t="shared" si="28"/>
        <v>700</v>
      </c>
      <c r="AP20" s="230">
        <f t="shared" si="29"/>
        <v>0</v>
      </c>
      <c r="AQ20" s="231">
        <f>(AO20/'Finance Only'!B23)*100</f>
        <v>3.2014635261833986</v>
      </c>
      <c r="AR20" s="216">
        <f t="shared" si="30"/>
        <v>2447900</v>
      </c>
      <c r="AS20" s="216">
        <v>2448700</v>
      </c>
      <c r="AT20" s="217">
        <f t="shared" si="31"/>
        <v>800</v>
      </c>
      <c r="AU20" s="230">
        <f t="shared" si="32"/>
        <v>-400</v>
      </c>
      <c r="AV20" s="231">
        <f>(AT20/'Finance Only'!B23)*100</f>
        <v>3.6588154584953116</v>
      </c>
      <c r="AW20" s="216">
        <f t="shared" si="33"/>
        <v>8956.7000000000007</v>
      </c>
      <c r="AX20" s="216">
        <v>9312.2999999999993</v>
      </c>
      <c r="AY20" s="217">
        <f t="shared" si="34"/>
        <v>355.59999999999854</v>
      </c>
      <c r="AZ20" s="230">
        <f t="shared" si="35"/>
        <v>-4.8000000000029104</v>
      </c>
      <c r="BA20" s="231">
        <f>(AY20/'Finance Only'!B23)*100</f>
        <v>1.6263434713011595</v>
      </c>
      <c r="BB20" s="216">
        <f t="shared" si="36"/>
        <v>989980</v>
      </c>
      <c r="BC20" s="216">
        <v>990320</v>
      </c>
      <c r="BD20" s="217">
        <f t="shared" si="37"/>
        <v>340</v>
      </c>
      <c r="BE20" s="230">
        <f t="shared" si="38"/>
        <v>20</v>
      </c>
      <c r="BF20" s="231">
        <f>(BD20/'Finance Only'!B23)*100</f>
        <v>1.5549965698605077</v>
      </c>
      <c r="BG20" s="216">
        <f t="shared" si="39"/>
        <v>1068900</v>
      </c>
      <c r="BH20" s="216">
        <v>1069100</v>
      </c>
      <c r="BI20" s="217">
        <f t="shared" si="40"/>
        <v>200</v>
      </c>
      <c r="BJ20" s="230">
        <f t="shared" si="41"/>
        <v>-100</v>
      </c>
      <c r="BK20" s="231">
        <f>(BI20/'Finance Only'!B23)*100</f>
        <v>0.91470386462382791</v>
      </c>
      <c r="BL20" s="216">
        <f t="shared" si="42"/>
        <v>1583700</v>
      </c>
      <c r="BM20" s="216">
        <v>1584200</v>
      </c>
      <c r="BN20" s="217">
        <f t="shared" si="43"/>
        <v>500</v>
      </c>
      <c r="BO20" s="230">
        <f t="shared" si="44"/>
        <v>0</v>
      </c>
      <c r="BP20" s="231">
        <f>(BN20/'Finance Only'!B23)*100</f>
        <v>2.2867596615595698</v>
      </c>
      <c r="BQ20" s="216">
        <f t="shared" si="45"/>
        <v>134540</v>
      </c>
      <c r="BR20" s="216">
        <v>134660</v>
      </c>
      <c r="BS20" s="217">
        <f t="shared" si="46"/>
        <v>120</v>
      </c>
      <c r="BT20" s="230">
        <f t="shared" si="47"/>
        <v>10</v>
      </c>
      <c r="BU20" s="231">
        <f>(BS20/'Finance Only'!B23)*100</f>
        <v>0.54882231877429688</v>
      </c>
      <c r="BV20" s="216">
        <f t="shared" si="48"/>
        <v>574950</v>
      </c>
      <c r="BW20" s="216">
        <v>575350</v>
      </c>
      <c r="BX20" s="217">
        <f t="shared" si="49"/>
        <v>400</v>
      </c>
      <c r="BY20" s="230">
        <f t="shared" si="50"/>
        <v>-50</v>
      </c>
      <c r="BZ20" s="231">
        <f>(BX20/'Finance Only'!B23)*100</f>
        <v>1.8294077292476558</v>
      </c>
      <c r="CA20" s="216">
        <f t="shared" si="51"/>
        <v>1062500</v>
      </c>
      <c r="CB20" s="216">
        <v>1063600</v>
      </c>
      <c r="CC20" s="217">
        <f t="shared" si="52"/>
        <v>1100</v>
      </c>
      <c r="CD20" s="230">
        <f t="shared" si="53"/>
        <v>-100</v>
      </c>
      <c r="CE20" s="231">
        <f>(CC20/'Finance Only'!B23)*100</f>
        <v>5.0308712554310544</v>
      </c>
      <c r="CF20" s="216">
        <f t="shared" si="54"/>
        <v>345080</v>
      </c>
      <c r="CG20" s="216">
        <v>345550</v>
      </c>
      <c r="CH20" s="217">
        <f t="shared" si="55"/>
        <v>470</v>
      </c>
      <c r="CI20" s="230">
        <f t="shared" si="56"/>
        <v>40</v>
      </c>
      <c r="CJ20" s="231">
        <f>(CH20/'Finance Only'!B23)*100</f>
        <v>2.1495540818659959</v>
      </c>
      <c r="CK20" s="217">
        <f t="shared" si="57"/>
        <v>814850</v>
      </c>
      <c r="CL20" s="217">
        <v>815630</v>
      </c>
      <c r="CM20" s="217">
        <f t="shared" si="58"/>
        <v>780</v>
      </c>
      <c r="CN20" s="230">
        <f t="shared" si="59"/>
        <v>10</v>
      </c>
      <c r="CO20" s="231">
        <f>(CM20/'Finance Only'!B23)*100</f>
        <v>3.5673450720329294</v>
      </c>
      <c r="CP20" s="216">
        <f>CQ19</f>
        <v>673810</v>
      </c>
      <c r="CQ20" s="216">
        <v>674700</v>
      </c>
      <c r="CR20" s="218">
        <f t="shared" si="109"/>
        <v>890</v>
      </c>
      <c r="CS20" s="230">
        <f t="shared" si="60"/>
        <v>160</v>
      </c>
      <c r="CT20" s="231">
        <f>(CR20/'Finance Only'!B23)*100</f>
        <v>4.0704321975760349</v>
      </c>
      <c r="CU20" s="216">
        <f t="shared" si="61"/>
        <v>560060</v>
      </c>
      <c r="CV20" s="216">
        <v>560680</v>
      </c>
      <c r="CW20" s="217">
        <f t="shared" si="62"/>
        <v>620</v>
      </c>
      <c r="CX20" s="230">
        <f t="shared" si="63"/>
        <v>540</v>
      </c>
      <c r="CY20" s="231">
        <f>(CW20/'Finance Only'!B23)*100</f>
        <v>2.8355819803338669</v>
      </c>
      <c r="CZ20" s="216">
        <f t="shared" si="64"/>
        <v>937230</v>
      </c>
      <c r="DA20" s="216">
        <v>938160</v>
      </c>
      <c r="DB20" s="217">
        <f t="shared" si="65"/>
        <v>930</v>
      </c>
      <c r="DC20" s="230">
        <f t="shared" si="66"/>
        <v>70</v>
      </c>
      <c r="DD20" s="231">
        <f>(DB20/'Finance Only'!B23)*100</f>
        <v>4.2533729705008003</v>
      </c>
      <c r="DE20" s="216">
        <f t="shared" si="67"/>
        <v>717570</v>
      </c>
      <c r="DF20" s="216">
        <v>718310</v>
      </c>
      <c r="DG20" s="217">
        <f t="shared" si="68"/>
        <v>740</v>
      </c>
      <c r="DH20" s="230">
        <f t="shared" si="69"/>
        <v>-10</v>
      </c>
      <c r="DI20" s="231">
        <f>(DG20/'Finance Only'!B23)*100</f>
        <v>3.384404299108164</v>
      </c>
      <c r="DJ20" s="216">
        <f t="shared" si="70"/>
        <v>623930</v>
      </c>
      <c r="DK20" s="216">
        <v>624540</v>
      </c>
      <c r="DL20" s="217">
        <f t="shared" si="71"/>
        <v>610</v>
      </c>
      <c r="DM20" s="230">
        <f t="shared" si="72"/>
        <v>40</v>
      </c>
      <c r="DN20" s="231">
        <f>(DL20/'Finance Only'!B23)*100</f>
        <v>2.7898467871026753</v>
      </c>
      <c r="DO20" s="216">
        <f t="shared" si="73"/>
        <v>339940</v>
      </c>
      <c r="DP20" s="216">
        <v>340260</v>
      </c>
      <c r="DQ20" s="217">
        <f t="shared" si="74"/>
        <v>320</v>
      </c>
      <c r="DR20" s="230">
        <f t="shared" si="75"/>
        <v>30</v>
      </c>
      <c r="DS20" s="231">
        <f>(DQ20/'Finance Only'!B23)*100</f>
        <v>1.4635261833981248</v>
      </c>
      <c r="DT20" s="216">
        <f t="shared" si="76"/>
        <v>110900</v>
      </c>
      <c r="DU20" s="216">
        <v>111000</v>
      </c>
      <c r="DV20" s="217">
        <f t="shared" si="77"/>
        <v>100</v>
      </c>
      <c r="DW20" s="230">
        <f t="shared" si="78"/>
        <v>-30</v>
      </c>
      <c r="DX20" s="231">
        <f>(DV20/'Finance Only'!B23)*100</f>
        <v>0.45735193231191396</v>
      </c>
      <c r="DY20" s="216">
        <f t="shared" si="79"/>
        <v>70978</v>
      </c>
      <c r="DZ20" s="216">
        <v>71077</v>
      </c>
      <c r="EA20" s="217">
        <f t="shared" si="80"/>
        <v>99</v>
      </c>
      <c r="EB20" s="230">
        <f t="shared" si="81"/>
        <v>6</v>
      </c>
      <c r="EC20" s="231">
        <f>(EA20/'Finance Only'!B23)*100</f>
        <v>0.45277841298879484</v>
      </c>
      <c r="ED20" s="216">
        <f t="shared" si="82"/>
        <v>226550</v>
      </c>
      <c r="EE20" s="216">
        <v>226850</v>
      </c>
      <c r="EF20" s="217">
        <f t="shared" si="83"/>
        <v>300</v>
      </c>
      <c r="EG20" s="230">
        <f t="shared" si="84"/>
        <v>40</v>
      </c>
      <c r="EH20" s="231">
        <f>(EF20/'Finance Only'!B23)*100</f>
        <v>1.3720557969357421</v>
      </c>
      <c r="EI20" s="216">
        <f t="shared" si="85"/>
        <v>254410</v>
      </c>
      <c r="EJ20" s="216">
        <v>254680</v>
      </c>
      <c r="EK20" s="217">
        <f t="shared" si="86"/>
        <v>270</v>
      </c>
      <c r="EL20" s="230">
        <f t="shared" si="87"/>
        <v>-100</v>
      </c>
      <c r="EM20" s="231">
        <f>(EK20/'Finance Only'!B23)*100</f>
        <v>1.2348502172421678</v>
      </c>
      <c r="EN20" s="216">
        <f t="shared" si="88"/>
        <v>419720</v>
      </c>
      <c r="EO20" s="216">
        <v>420210</v>
      </c>
      <c r="EP20" s="217">
        <f t="shared" si="89"/>
        <v>490</v>
      </c>
      <c r="EQ20" s="230">
        <f t="shared" si="90"/>
        <v>-30</v>
      </c>
      <c r="ER20" s="231">
        <f>(EP20/'Finance Only'!B23)*100</f>
        <v>2.2410244683283786</v>
      </c>
      <c r="ES20" s="216">
        <f t="shared" si="91"/>
        <v>0</v>
      </c>
      <c r="ET20" s="216"/>
      <c r="EU20" s="217">
        <f t="shared" si="92"/>
        <v>0</v>
      </c>
      <c r="EV20" s="230">
        <f t="shared" si="93"/>
        <v>0</v>
      </c>
      <c r="EW20" s="231">
        <f>(EU20/'Finance Only'!B23)*100</f>
        <v>0</v>
      </c>
      <c r="EX20" s="216">
        <f t="shared" si="94"/>
        <v>0</v>
      </c>
      <c r="EY20" s="216"/>
      <c r="EZ20" s="217">
        <f t="shared" si="95"/>
        <v>0</v>
      </c>
      <c r="FA20" s="230">
        <f t="shared" si="96"/>
        <v>0</v>
      </c>
      <c r="FB20" s="231">
        <f>(EZ20/'Finance Only'!G23)*100</f>
        <v>0</v>
      </c>
      <c r="FC20" s="216">
        <f t="shared" si="97"/>
        <v>0</v>
      </c>
      <c r="FD20" s="216"/>
      <c r="FE20" s="217">
        <f t="shared" si="98"/>
        <v>0</v>
      </c>
      <c r="FF20" s="230">
        <f t="shared" si="99"/>
        <v>0</v>
      </c>
      <c r="FG20" s="231" t="e">
        <f>(FE20/'Finance Only'!M23)*100</f>
        <v>#DIV/0!</v>
      </c>
      <c r="FH20" s="304"/>
      <c r="FI20" s="304"/>
      <c r="FJ20" s="304"/>
      <c r="FK20" s="304"/>
      <c r="FL20" s="304"/>
      <c r="FM20" s="216">
        <f t="shared" si="100"/>
        <v>0</v>
      </c>
      <c r="FN20" s="216"/>
      <c r="FO20" s="217">
        <f t="shared" si="101"/>
        <v>0</v>
      </c>
      <c r="FP20" s="230">
        <f t="shared" si="102"/>
        <v>0</v>
      </c>
      <c r="FQ20" s="231" t="e">
        <f>(FO20/'Finance Only'!R23)*100</f>
        <v>#DIV/0!</v>
      </c>
      <c r="FR20" s="216">
        <f t="shared" si="103"/>
        <v>0</v>
      </c>
      <c r="FS20" s="216"/>
      <c r="FT20" s="217">
        <f t="shared" si="104"/>
        <v>0</v>
      </c>
      <c r="FU20" s="230">
        <f t="shared" si="105"/>
        <v>0</v>
      </c>
      <c r="FV20" s="231" t="e">
        <f>(FT20/'Finance Only'!W23)*100</f>
        <v>#DIV/0!</v>
      </c>
      <c r="FW20" s="216">
        <f t="shared" si="106"/>
        <v>0</v>
      </c>
      <c r="FX20" s="216"/>
      <c r="FY20" s="217">
        <f t="shared" si="107"/>
        <v>0</v>
      </c>
      <c r="FZ20" s="230">
        <f t="shared" si="108"/>
        <v>0</v>
      </c>
      <c r="GA20" s="231" t="e">
        <f>(FY20/'Finance Only'!AB23)*100</f>
        <v>#DIV/0!</v>
      </c>
      <c r="GB20" s="280"/>
      <c r="GC20" s="286">
        <f t="shared" si="1"/>
        <v>6563</v>
      </c>
      <c r="GD20" s="283"/>
      <c r="GE20" s="286">
        <f t="shared" si="2"/>
        <v>6405</v>
      </c>
      <c r="GF20" s="283"/>
      <c r="GG20" s="286">
        <f t="shared" si="3"/>
        <v>1500</v>
      </c>
      <c r="GH20" s="283"/>
      <c r="GI20" s="286">
        <f t="shared" si="4"/>
        <v>895.59999999999854</v>
      </c>
      <c r="GJ20" s="283"/>
      <c r="GK20" s="286">
        <f t="shared" si="5"/>
        <v>620</v>
      </c>
      <c r="GL20" s="283"/>
      <c r="GM20" s="286">
        <f t="shared" si="6"/>
        <v>0</v>
      </c>
      <c r="GN20" s="283"/>
    </row>
    <row r="21" spans="1:1105" s="3" customFormat="1" ht="13.5" customHeight="1" x14ac:dyDescent="0.2">
      <c r="A21" s="271">
        <v>17</v>
      </c>
      <c r="B21" s="274">
        <f>'Finance Only'!G24</f>
        <v>16</v>
      </c>
      <c r="C21" s="269">
        <f t="shared" si="7"/>
        <v>27035822</v>
      </c>
      <c r="D21" s="214">
        <v>27038492</v>
      </c>
      <c r="E21" s="215">
        <f t="shared" si="8"/>
        <v>2670</v>
      </c>
      <c r="F21" s="226">
        <f t="shared" si="9"/>
        <v>-14</v>
      </c>
      <c r="G21" s="227">
        <f>(E21/'Finance Only'!B24)*100</f>
        <v>11.7787188988883</v>
      </c>
      <c r="H21" s="237">
        <f t="shared" si="10"/>
        <v>24950757</v>
      </c>
      <c r="I21" s="214">
        <v>24954785</v>
      </c>
      <c r="J21" s="214">
        <f t="shared" si="11"/>
        <v>4028</v>
      </c>
      <c r="K21" s="238">
        <f t="shared" si="12"/>
        <v>149</v>
      </c>
      <c r="L21" s="239">
        <f>(J21/'Finance Only'!B24)*100</f>
        <v>17.769542968060705</v>
      </c>
      <c r="M21" s="222">
        <f t="shared" si="13"/>
        <v>91976565</v>
      </c>
      <c r="N21" s="216">
        <v>91986852</v>
      </c>
      <c r="O21" s="217">
        <f t="shared" si="14"/>
        <v>10287</v>
      </c>
      <c r="P21" s="230">
        <f t="shared" si="15"/>
        <v>131</v>
      </c>
      <c r="Q21" s="231">
        <f>(O21/'Finance Only'!B24)*100</f>
        <v>45.381154049761783</v>
      </c>
      <c r="R21" s="221">
        <f t="shared" si="16"/>
        <v>3036700</v>
      </c>
      <c r="S21" s="216">
        <v>3039200</v>
      </c>
      <c r="T21" s="217">
        <f t="shared" si="17"/>
        <v>2500</v>
      </c>
      <c r="U21" s="230">
        <f t="shared" si="18"/>
        <v>100</v>
      </c>
      <c r="V21" s="231">
        <f>(T21/'Finance Only'!B24)*100</f>
        <v>11.028763013940356</v>
      </c>
      <c r="W21" s="216">
        <f t="shared" si="19"/>
        <v>4106080</v>
      </c>
      <c r="X21" s="216">
        <v>4108986</v>
      </c>
      <c r="Y21" s="217">
        <f t="shared" si="20"/>
        <v>2906</v>
      </c>
      <c r="Z21" s="230">
        <f t="shared" si="21"/>
        <v>60</v>
      </c>
      <c r="AA21" s="231">
        <f>(Y21/'Finance Only'!B24)*100</f>
        <v>12.81983412740427</v>
      </c>
      <c r="AB21" s="216">
        <f t="shared" si="22"/>
        <v>2667700</v>
      </c>
      <c r="AC21" s="216">
        <v>2669600</v>
      </c>
      <c r="AD21" s="217">
        <f t="shared" si="0"/>
        <v>1900</v>
      </c>
      <c r="AE21" s="325">
        <f>AD21/WATER!V22</f>
        <v>5.5072463768115938</v>
      </c>
      <c r="AF21" s="230">
        <f t="shared" si="23"/>
        <v>0</v>
      </c>
      <c r="AG21" s="231">
        <f>(AD21/'Finance Only'!B24)*100</f>
        <v>8.3818598905946722</v>
      </c>
      <c r="AH21" s="216">
        <f t="shared" si="24"/>
        <v>1083887</v>
      </c>
      <c r="AI21" s="216">
        <v>1084382</v>
      </c>
      <c r="AJ21" s="217">
        <f t="shared" si="25"/>
        <v>495</v>
      </c>
      <c r="AK21" s="230">
        <f t="shared" si="26"/>
        <v>34</v>
      </c>
      <c r="AL21" s="231">
        <f>(AJ21/'Finance Only'!B24)*100</f>
        <v>2.1836950767601908</v>
      </c>
      <c r="AM21" s="216">
        <f t="shared" si="27"/>
        <v>1087900</v>
      </c>
      <c r="AN21" s="216">
        <v>1088600</v>
      </c>
      <c r="AO21" s="217">
        <f t="shared" si="28"/>
        <v>700</v>
      </c>
      <c r="AP21" s="230">
        <f t="shared" si="29"/>
        <v>0</v>
      </c>
      <c r="AQ21" s="231">
        <f>(AO21/'Finance Only'!B24)*100</f>
        <v>3.0880536439032999</v>
      </c>
      <c r="AR21" s="216">
        <f t="shared" si="30"/>
        <v>2448700</v>
      </c>
      <c r="AS21" s="216">
        <v>2449700</v>
      </c>
      <c r="AT21" s="217">
        <f t="shared" si="31"/>
        <v>1000</v>
      </c>
      <c r="AU21" s="230">
        <f t="shared" si="32"/>
        <v>200</v>
      </c>
      <c r="AV21" s="231">
        <f>(AT21/'Finance Only'!B24)*100</f>
        <v>4.4115052055761428</v>
      </c>
      <c r="AW21" s="216">
        <f t="shared" si="33"/>
        <v>9312.2999999999993</v>
      </c>
      <c r="AX21" s="216">
        <v>9675</v>
      </c>
      <c r="AY21" s="217">
        <f t="shared" si="34"/>
        <v>362.70000000000073</v>
      </c>
      <c r="AZ21" s="230">
        <f t="shared" si="35"/>
        <v>7.1000000000021828</v>
      </c>
      <c r="BA21" s="231">
        <f>(AY21/'Finance Only'!B24)*100</f>
        <v>1.6000529380624702</v>
      </c>
      <c r="BB21" s="216">
        <f t="shared" si="36"/>
        <v>990320</v>
      </c>
      <c r="BC21" s="216">
        <v>990670</v>
      </c>
      <c r="BD21" s="217">
        <f t="shared" si="37"/>
        <v>350</v>
      </c>
      <c r="BE21" s="230">
        <f t="shared" si="38"/>
        <v>10</v>
      </c>
      <c r="BF21" s="231">
        <f>(BD21/'Finance Only'!B24)*100</f>
        <v>1.54402682195165</v>
      </c>
      <c r="BG21" s="216">
        <f t="shared" si="39"/>
        <v>1069100</v>
      </c>
      <c r="BH21" s="216">
        <v>1069400</v>
      </c>
      <c r="BI21" s="217">
        <f t="shared" si="40"/>
        <v>300</v>
      </c>
      <c r="BJ21" s="230">
        <f t="shared" si="41"/>
        <v>100</v>
      </c>
      <c r="BK21" s="231">
        <f>(BI21/'Finance Only'!B24)*100</f>
        <v>1.3234515616728428</v>
      </c>
      <c r="BL21" s="216">
        <f t="shared" si="42"/>
        <v>1584200</v>
      </c>
      <c r="BM21" s="216">
        <v>1584700</v>
      </c>
      <c r="BN21" s="217">
        <f t="shared" si="43"/>
        <v>500</v>
      </c>
      <c r="BO21" s="230">
        <f t="shared" si="44"/>
        <v>0</v>
      </c>
      <c r="BP21" s="231">
        <f>(BN21/'Finance Only'!B24)*100</f>
        <v>2.2057526027880714</v>
      </c>
      <c r="BQ21" s="216">
        <f t="shared" si="45"/>
        <v>134660</v>
      </c>
      <c r="BR21" s="216">
        <v>134780</v>
      </c>
      <c r="BS21" s="217">
        <f t="shared" si="46"/>
        <v>120</v>
      </c>
      <c r="BT21" s="230">
        <f t="shared" si="47"/>
        <v>0</v>
      </c>
      <c r="BU21" s="231">
        <f>(BS21/'Finance Only'!B24)*100</f>
        <v>0.52938062466913716</v>
      </c>
      <c r="BV21" s="216">
        <f t="shared" si="48"/>
        <v>575350</v>
      </c>
      <c r="BW21" s="216">
        <v>575730</v>
      </c>
      <c r="BX21" s="217">
        <f t="shared" si="49"/>
        <v>380</v>
      </c>
      <c r="BY21" s="230">
        <f t="shared" si="50"/>
        <v>-20</v>
      </c>
      <c r="BZ21" s="231">
        <f>(BX21/'Finance Only'!B24)*100</f>
        <v>1.6763719781189341</v>
      </c>
      <c r="CA21" s="216">
        <f t="shared" si="51"/>
        <v>1063600</v>
      </c>
      <c r="CB21" s="216">
        <v>1064800</v>
      </c>
      <c r="CC21" s="217">
        <f t="shared" si="52"/>
        <v>1200</v>
      </c>
      <c r="CD21" s="230">
        <f t="shared" si="53"/>
        <v>100</v>
      </c>
      <c r="CE21" s="231">
        <f>(CC21/'Finance Only'!B24)*100</f>
        <v>5.2938062466913713</v>
      </c>
      <c r="CF21" s="216">
        <f t="shared" si="54"/>
        <v>345550</v>
      </c>
      <c r="CG21" s="216">
        <v>346020</v>
      </c>
      <c r="CH21" s="217">
        <f t="shared" si="55"/>
        <v>470</v>
      </c>
      <c r="CI21" s="230">
        <f t="shared" si="56"/>
        <v>0</v>
      </c>
      <c r="CJ21" s="231">
        <f>(CH21/'Finance Only'!B24)*100</f>
        <v>2.073407446620787</v>
      </c>
      <c r="CK21" s="217">
        <f t="shared" si="57"/>
        <v>815630</v>
      </c>
      <c r="CL21" s="217">
        <v>816610</v>
      </c>
      <c r="CM21" s="217">
        <f t="shared" si="58"/>
        <v>980</v>
      </c>
      <c r="CN21" s="230">
        <f t="shared" si="59"/>
        <v>200</v>
      </c>
      <c r="CO21" s="231">
        <f>(CM21/'Finance Only'!B24)*100</f>
        <v>4.3232751014646205</v>
      </c>
      <c r="CP21" s="216">
        <f t="shared" si="110"/>
        <v>674700</v>
      </c>
      <c r="CQ21" s="216">
        <v>675540</v>
      </c>
      <c r="CR21" s="218">
        <f t="shared" si="109"/>
        <v>840</v>
      </c>
      <c r="CS21" s="230">
        <f t="shared" si="60"/>
        <v>-50</v>
      </c>
      <c r="CT21" s="231">
        <f>(CR21/'Finance Only'!B24)*100</f>
        <v>3.7056643726839598</v>
      </c>
      <c r="CU21" s="216">
        <f t="shared" si="61"/>
        <v>560680</v>
      </c>
      <c r="CV21" s="216">
        <v>561300</v>
      </c>
      <c r="CW21" s="217">
        <f t="shared" si="62"/>
        <v>620</v>
      </c>
      <c r="CX21" s="230">
        <f t="shared" si="63"/>
        <v>0</v>
      </c>
      <c r="CY21" s="231">
        <f>(CW21/'Finance Only'!B24)*100</f>
        <v>2.7351332274572084</v>
      </c>
      <c r="CZ21" s="216">
        <f t="shared" si="64"/>
        <v>938160</v>
      </c>
      <c r="DA21" s="216">
        <v>939160</v>
      </c>
      <c r="DB21" s="217">
        <f t="shared" si="65"/>
        <v>1000</v>
      </c>
      <c r="DC21" s="230">
        <f t="shared" si="66"/>
        <v>70</v>
      </c>
      <c r="DD21" s="231">
        <f>(DB21/'Finance Only'!B24)*100</f>
        <v>4.4115052055761428</v>
      </c>
      <c r="DE21" s="216">
        <f t="shared" si="67"/>
        <v>718310</v>
      </c>
      <c r="DF21" s="216">
        <v>718980</v>
      </c>
      <c r="DG21" s="217">
        <f t="shared" si="68"/>
        <v>670</v>
      </c>
      <c r="DH21" s="230">
        <f t="shared" si="69"/>
        <v>-70</v>
      </c>
      <c r="DI21" s="231">
        <f>(DG21/'Finance Only'!B24)*100</f>
        <v>2.9557084877360156</v>
      </c>
      <c r="DJ21" s="216">
        <f t="shared" si="70"/>
        <v>624540</v>
      </c>
      <c r="DK21" s="216">
        <v>625140</v>
      </c>
      <c r="DL21" s="217">
        <f t="shared" si="71"/>
        <v>600</v>
      </c>
      <c r="DM21" s="230">
        <f t="shared" si="72"/>
        <v>-10</v>
      </c>
      <c r="DN21" s="231">
        <f>(DL21/'Finance Only'!B24)*100</f>
        <v>2.6469031233456857</v>
      </c>
      <c r="DO21" s="216">
        <f t="shared" si="73"/>
        <v>340260</v>
      </c>
      <c r="DP21" s="216">
        <v>340580</v>
      </c>
      <c r="DQ21" s="217">
        <f t="shared" si="74"/>
        <v>320</v>
      </c>
      <c r="DR21" s="230">
        <f t="shared" si="75"/>
        <v>0</v>
      </c>
      <c r="DS21" s="231">
        <f>(DQ21/'Finance Only'!B24)*100</f>
        <v>1.4116816657843656</v>
      </c>
      <c r="DT21" s="216">
        <f t="shared" si="76"/>
        <v>111000</v>
      </c>
      <c r="DU21" s="216">
        <v>111140</v>
      </c>
      <c r="DV21" s="217">
        <f t="shared" si="77"/>
        <v>140</v>
      </c>
      <c r="DW21" s="230">
        <f t="shared" si="78"/>
        <v>40</v>
      </c>
      <c r="DX21" s="231">
        <f>(DV21/'Finance Only'!B24)*100</f>
        <v>0.61761072878066003</v>
      </c>
      <c r="DY21" s="216">
        <f t="shared" si="79"/>
        <v>71077</v>
      </c>
      <c r="DZ21" s="216">
        <v>71170</v>
      </c>
      <c r="EA21" s="217">
        <f t="shared" si="80"/>
        <v>93</v>
      </c>
      <c r="EB21" s="230">
        <f t="shared" si="81"/>
        <v>-6</v>
      </c>
      <c r="EC21" s="231">
        <f>(EA21/'Finance Only'!B24)*100</f>
        <v>0.41026998411858123</v>
      </c>
      <c r="ED21" s="216">
        <f t="shared" si="82"/>
        <v>226850</v>
      </c>
      <c r="EE21" s="216">
        <v>227130</v>
      </c>
      <c r="EF21" s="217">
        <f t="shared" si="83"/>
        <v>280</v>
      </c>
      <c r="EG21" s="230">
        <f t="shared" si="84"/>
        <v>-20</v>
      </c>
      <c r="EH21" s="231">
        <f>(EF21/'Finance Only'!B24)*100</f>
        <v>1.2352214575613201</v>
      </c>
      <c r="EI21" s="216">
        <f t="shared" si="85"/>
        <v>254680</v>
      </c>
      <c r="EJ21" s="216">
        <v>255030</v>
      </c>
      <c r="EK21" s="217">
        <f t="shared" si="86"/>
        <v>350</v>
      </c>
      <c r="EL21" s="230">
        <f t="shared" si="87"/>
        <v>80</v>
      </c>
      <c r="EM21" s="231">
        <f>(EK21/'Finance Only'!B24)*100</f>
        <v>1.54402682195165</v>
      </c>
      <c r="EN21" s="216">
        <f t="shared" si="88"/>
        <v>420210</v>
      </c>
      <c r="EO21" s="216">
        <v>420720</v>
      </c>
      <c r="EP21" s="217">
        <f t="shared" si="89"/>
        <v>510</v>
      </c>
      <c r="EQ21" s="230">
        <f t="shared" si="90"/>
        <v>20</v>
      </c>
      <c r="ER21" s="231">
        <f>(EP21/'Finance Only'!B24)*100</f>
        <v>2.249867654843833</v>
      </c>
      <c r="ES21" s="216">
        <f t="shared" si="91"/>
        <v>0</v>
      </c>
      <c r="ET21" s="216"/>
      <c r="EU21" s="217">
        <f t="shared" si="92"/>
        <v>0</v>
      </c>
      <c r="EV21" s="230">
        <f t="shared" si="93"/>
        <v>0</v>
      </c>
      <c r="EW21" s="231">
        <f>(EU21/'Finance Only'!B24)*100</f>
        <v>0</v>
      </c>
      <c r="EX21" s="216">
        <f t="shared" si="94"/>
        <v>0</v>
      </c>
      <c r="EY21" s="216"/>
      <c r="EZ21" s="217">
        <f t="shared" si="95"/>
        <v>0</v>
      </c>
      <c r="FA21" s="230">
        <f t="shared" si="96"/>
        <v>0</v>
      </c>
      <c r="FB21" s="231">
        <f>(EZ21/'Finance Only'!G24)*100</f>
        <v>0</v>
      </c>
      <c r="FC21" s="216">
        <f t="shared" si="97"/>
        <v>0</v>
      </c>
      <c r="FD21" s="216"/>
      <c r="FE21" s="217">
        <f t="shared" si="98"/>
        <v>0</v>
      </c>
      <c r="FF21" s="230">
        <f t="shared" si="99"/>
        <v>0</v>
      </c>
      <c r="FG21" s="231" t="e">
        <f>(FE21/'Finance Only'!M24)*100</f>
        <v>#DIV/0!</v>
      </c>
      <c r="FH21" s="304"/>
      <c r="FI21" s="304"/>
      <c r="FJ21" s="304"/>
      <c r="FK21" s="304"/>
      <c r="FL21" s="304"/>
      <c r="FM21" s="216">
        <f t="shared" si="100"/>
        <v>0</v>
      </c>
      <c r="FN21" s="216"/>
      <c r="FO21" s="217">
        <f t="shared" si="101"/>
        <v>0</v>
      </c>
      <c r="FP21" s="230">
        <f t="shared" si="102"/>
        <v>0</v>
      </c>
      <c r="FQ21" s="231" t="e">
        <f>(FO21/'Finance Only'!R24)*100</f>
        <v>#DIV/0!</v>
      </c>
      <c r="FR21" s="216">
        <f t="shared" si="103"/>
        <v>0</v>
      </c>
      <c r="FS21" s="216"/>
      <c r="FT21" s="217">
        <f t="shared" si="104"/>
        <v>0</v>
      </c>
      <c r="FU21" s="230">
        <f t="shared" si="105"/>
        <v>0</v>
      </c>
      <c r="FV21" s="231" t="e">
        <f>(FT21/'Finance Only'!W24)*100</f>
        <v>#DIV/0!</v>
      </c>
      <c r="FW21" s="216">
        <f t="shared" si="106"/>
        <v>0</v>
      </c>
      <c r="FX21" s="216"/>
      <c r="FY21" s="217">
        <f t="shared" si="107"/>
        <v>0</v>
      </c>
      <c r="FZ21" s="230">
        <f t="shared" si="108"/>
        <v>0</v>
      </c>
      <c r="GA21" s="231" t="e">
        <f>(FY21/'Finance Only'!AB24)*100</f>
        <v>#DIV/0!</v>
      </c>
      <c r="GB21" s="280"/>
      <c r="GC21" s="286">
        <f t="shared" si="1"/>
        <v>6698</v>
      </c>
      <c r="GD21" s="283"/>
      <c r="GE21" s="286">
        <f t="shared" si="2"/>
        <v>6639</v>
      </c>
      <c r="GF21" s="283"/>
      <c r="GG21" s="286">
        <f t="shared" si="3"/>
        <v>1700</v>
      </c>
      <c r="GH21" s="283"/>
      <c r="GI21" s="286">
        <f t="shared" si="4"/>
        <v>1012.7000000000007</v>
      </c>
      <c r="GJ21" s="283"/>
      <c r="GK21" s="286">
        <f t="shared" si="5"/>
        <v>620</v>
      </c>
      <c r="GL21" s="283"/>
      <c r="GM21" s="286">
        <f t="shared" si="6"/>
        <v>0</v>
      </c>
      <c r="GN21" s="283"/>
    </row>
    <row r="22" spans="1:1105" s="3" customFormat="1" ht="13.5" customHeight="1" x14ac:dyDescent="0.2">
      <c r="A22" s="271">
        <v>18</v>
      </c>
      <c r="B22" s="274">
        <f>'Finance Only'!G25</f>
        <v>17</v>
      </c>
      <c r="C22" s="269">
        <f t="shared" si="7"/>
        <v>27038492</v>
      </c>
      <c r="D22" s="214">
        <v>27041078</v>
      </c>
      <c r="E22" s="215">
        <f t="shared" si="8"/>
        <v>2586</v>
      </c>
      <c r="F22" s="226">
        <f t="shared" si="9"/>
        <v>-84</v>
      </c>
      <c r="G22" s="227">
        <f>(E22/'Finance Only'!B25)*100</f>
        <v>11.529715992688038</v>
      </c>
      <c r="H22" s="237">
        <f t="shared" si="10"/>
        <v>24954785</v>
      </c>
      <c r="I22" s="214">
        <v>24958889</v>
      </c>
      <c r="J22" s="214">
        <f t="shared" si="11"/>
        <v>4104</v>
      </c>
      <c r="K22" s="238">
        <f t="shared" si="12"/>
        <v>76</v>
      </c>
      <c r="L22" s="239">
        <f>(J22/'Finance Only'!B25)*100</f>
        <v>18.297739533639483</v>
      </c>
      <c r="M22" s="222">
        <f t="shared" si="13"/>
        <v>91986852</v>
      </c>
      <c r="N22" s="216">
        <v>91997475</v>
      </c>
      <c r="O22" s="217">
        <f t="shared" si="14"/>
        <v>10623</v>
      </c>
      <c r="P22" s="230">
        <f t="shared" si="15"/>
        <v>336</v>
      </c>
      <c r="Q22" s="231">
        <f>(O22/'Finance Only'!B25)*100</f>
        <v>47.362789246065361</v>
      </c>
      <c r="R22" s="221">
        <f t="shared" si="16"/>
        <v>3039200</v>
      </c>
      <c r="S22" s="216">
        <v>3041700</v>
      </c>
      <c r="T22" s="217">
        <f t="shared" si="17"/>
        <v>2500</v>
      </c>
      <c r="U22" s="230">
        <f t="shared" si="18"/>
        <v>0</v>
      </c>
      <c r="V22" s="231">
        <f>(T22/'Finance Only'!B25)*100</f>
        <v>11.14628382897142</v>
      </c>
      <c r="W22" s="216">
        <f t="shared" si="19"/>
        <v>4108986</v>
      </c>
      <c r="X22" s="216">
        <v>4111870</v>
      </c>
      <c r="Y22" s="217">
        <f t="shared" si="20"/>
        <v>2884</v>
      </c>
      <c r="Z22" s="230">
        <f t="shared" si="21"/>
        <v>-22</v>
      </c>
      <c r="AA22" s="231">
        <f>(Y22/'Finance Only'!B25)*100</f>
        <v>12.858353025101433</v>
      </c>
      <c r="AB22" s="216">
        <f t="shared" si="22"/>
        <v>2669600</v>
      </c>
      <c r="AC22" s="216">
        <v>2671400</v>
      </c>
      <c r="AD22" s="217">
        <f t="shared" si="0"/>
        <v>1800</v>
      </c>
      <c r="AE22" s="325">
        <f>AD22/WATER!V23</f>
        <v>5.1428571428571432</v>
      </c>
      <c r="AF22" s="230">
        <f t="shared" si="23"/>
        <v>-100</v>
      </c>
      <c r="AG22" s="231">
        <f>(AD22/'Finance Only'!B25)*100</f>
        <v>8.0253243568594232</v>
      </c>
      <c r="AH22" s="216">
        <f t="shared" si="24"/>
        <v>1084382</v>
      </c>
      <c r="AI22" s="216">
        <v>1084849</v>
      </c>
      <c r="AJ22" s="217">
        <f t="shared" si="25"/>
        <v>467</v>
      </c>
      <c r="AK22" s="230">
        <f t="shared" si="26"/>
        <v>-28</v>
      </c>
      <c r="AL22" s="231">
        <f>(AJ22/'Finance Only'!B25)*100</f>
        <v>2.0821258192518615</v>
      </c>
      <c r="AM22" s="216">
        <f t="shared" si="27"/>
        <v>1088600</v>
      </c>
      <c r="AN22" s="216">
        <v>1089200</v>
      </c>
      <c r="AO22" s="217">
        <f t="shared" si="28"/>
        <v>600</v>
      </c>
      <c r="AP22" s="230">
        <f t="shared" si="29"/>
        <v>-100</v>
      </c>
      <c r="AQ22" s="231">
        <f>(AO22/'Finance Only'!B25)*100</f>
        <v>2.6751081189531409</v>
      </c>
      <c r="AR22" s="216">
        <f t="shared" si="30"/>
        <v>2449700</v>
      </c>
      <c r="AS22" s="216">
        <v>2450400</v>
      </c>
      <c r="AT22" s="217">
        <f t="shared" si="31"/>
        <v>700</v>
      </c>
      <c r="AU22" s="230">
        <f t="shared" si="32"/>
        <v>-300</v>
      </c>
      <c r="AV22" s="231">
        <f>(AT22/'Finance Only'!B25)*100</f>
        <v>3.120959472111998</v>
      </c>
      <c r="AW22" s="216">
        <f t="shared" si="33"/>
        <v>9675</v>
      </c>
      <c r="AX22" s="216">
        <v>10054</v>
      </c>
      <c r="AY22" s="217">
        <f t="shared" si="34"/>
        <v>379</v>
      </c>
      <c r="AZ22" s="230">
        <f t="shared" si="35"/>
        <v>16.299999999999272</v>
      </c>
      <c r="BA22" s="231">
        <f>(AY22/'Finance Only'!B25)*100</f>
        <v>1.6897766284720677</v>
      </c>
      <c r="BB22" s="216">
        <f t="shared" si="36"/>
        <v>990670</v>
      </c>
      <c r="BC22" s="216">
        <v>991040</v>
      </c>
      <c r="BD22" s="217">
        <f t="shared" si="37"/>
        <v>370</v>
      </c>
      <c r="BE22" s="230">
        <f t="shared" si="38"/>
        <v>20</v>
      </c>
      <c r="BF22" s="231">
        <f>(BD22/'Finance Only'!B25)*100</f>
        <v>1.6496500066877702</v>
      </c>
      <c r="BG22" s="216">
        <f t="shared" si="39"/>
        <v>1069400</v>
      </c>
      <c r="BH22" s="216">
        <v>1069600</v>
      </c>
      <c r="BI22" s="217">
        <f t="shared" si="40"/>
        <v>200</v>
      </c>
      <c r="BJ22" s="230">
        <f t="shared" si="41"/>
        <v>-100</v>
      </c>
      <c r="BK22" s="231">
        <f>(BI22/'Finance Only'!B25)*100</f>
        <v>0.89170270631771364</v>
      </c>
      <c r="BL22" s="216">
        <f t="shared" si="42"/>
        <v>1584700</v>
      </c>
      <c r="BM22" s="216">
        <v>1585300</v>
      </c>
      <c r="BN22" s="217">
        <f t="shared" si="43"/>
        <v>600</v>
      </c>
      <c r="BO22" s="230">
        <f t="shared" si="44"/>
        <v>100</v>
      </c>
      <c r="BP22" s="231">
        <f>(BN22/'Finance Only'!B25)*100</f>
        <v>2.6751081189531409</v>
      </c>
      <c r="BQ22" s="216">
        <f t="shared" si="45"/>
        <v>134780</v>
      </c>
      <c r="BR22" s="216">
        <v>134910</v>
      </c>
      <c r="BS22" s="217">
        <f t="shared" si="46"/>
        <v>130</v>
      </c>
      <c r="BT22" s="230">
        <f t="shared" si="47"/>
        <v>10</v>
      </c>
      <c r="BU22" s="231">
        <f>(BS22/'Finance Only'!B25)*100</f>
        <v>0.57960675910651394</v>
      </c>
      <c r="BV22" s="216">
        <f t="shared" si="48"/>
        <v>575730</v>
      </c>
      <c r="BW22" s="216">
        <v>576180</v>
      </c>
      <c r="BX22" s="217">
        <f t="shared" si="49"/>
        <v>450</v>
      </c>
      <c r="BY22" s="230">
        <f t="shared" si="50"/>
        <v>70</v>
      </c>
      <c r="BZ22" s="231">
        <f>(BX22/'Finance Only'!B25)*100</f>
        <v>2.0063310892148558</v>
      </c>
      <c r="CA22" s="216">
        <f t="shared" si="51"/>
        <v>1064800</v>
      </c>
      <c r="CB22" s="216">
        <v>1065900</v>
      </c>
      <c r="CC22" s="217">
        <f t="shared" si="52"/>
        <v>1100</v>
      </c>
      <c r="CD22" s="230">
        <f t="shared" si="53"/>
        <v>-100</v>
      </c>
      <c r="CE22" s="231">
        <f>(CC22/'Finance Only'!B25)*100</f>
        <v>4.9043648847474248</v>
      </c>
      <c r="CF22" s="216">
        <f t="shared" si="54"/>
        <v>346020</v>
      </c>
      <c r="CG22" s="216">
        <v>346500</v>
      </c>
      <c r="CH22" s="217">
        <f t="shared" si="55"/>
        <v>480</v>
      </c>
      <c r="CI22" s="230">
        <f t="shared" si="56"/>
        <v>10</v>
      </c>
      <c r="CJ22" s="231">
        <f>(CH22/'Finance Only'!B25)*100</f>
        <v>2.1400864951625129</v>
      </c>
      <c r="CK22" s="217">
        <f t="shared" si="57"/>
        <v>816610</v>
      </c>
      <c r="CL22" s="217">
        <v>817380</v>
      </c>
      <c r="CM22" s="217">
        <f t="shared" si="58"/>
        <v>770</v>
      </c>
      <c r="CN22" s="230">
        <f t="shared" si="59"/>
        <v>-210</v>
      </c>
      <c r="CO22" s="231">
        <f>(CM22/'Finance Only'!B25)*100</f>
        <v>3.4330554193231979</v>
      </c>
      <c r="CP22" s="216">
        <f t="shared" si="110"/>
        <v>675540</v>
      </c>
      <c r="CQ22" s="216">
        <v>676580</v>
      </c>
      <c r="CR22" s="218">
        <f t="shared" si="109"/>
        <v>1040</v>
      </c>
      <c r="CS22" s="230">
        <f t="shared" si="60"/>
        <v>200</v>
      </c>
      <c r="CT22" s="231">
        <f>(CR22/'Finance Only'!B25)*100</f>
        <v>4.6368540728521115</v>
      </c>
      <c r="CU22" s="216">
        <f t="shared" si="61"/>
        <v>561300</v>
      </c>
      <c r="CV22" s="216">
        <v>561910</v>
      </c>
      <c r="CW22" s="217">
        <f t="shared" si="62"/>
        <v>610</v>
      </c>
      <c r="CX22" s="230">
        <f t="shared" si="63"/>
        <v>-10</v>
      </c>
      <c r="CY22" s="231">
        <f>(CW22/'Finance Only'!B25)*100</f>
        <v>2.7196932542690266</v>
      </c>
      <c r="CZ22" s="216">
        <f t="shared" si="64"/>
        <v>939160</v>
      </c>
      <c r="DA22" s="216">
        <v>940140</v>
      </c>
      <c r="DB22" s="217">
        <f t="shared" si="65"/>
        <v>980</v>
      </c>
      <c r="DC22" s="230">
        <f t="shared" si="66"/>
        <v>-20</v>
      </c>
      <c r="DD22" s="231">
        <f>(DB22/'Finance Only'!B25)*100</f>
        <v>4.3693432609567973</v>
      </c>
      <c r="DE22" s="216">
        <f t="shared" si="67"/>
        <v>718980</v>
      </c>
      <c r="DF22" s="216">
        <v>719700</v>
      </c>
      <c r="DG22" s="217">
        <f t="shared" si="68"/>
        <v>720</v>
      </c>
      <c r="DH22" s="230">
        <f t="shared" si="69"/>
        <v>50</v>
      </c>
      <c r="DI22" s="231">
        <f>(DG22/'Finance Only'!B25)*100</f>
        <v>3.2101297427437689</v>
      </c>
      <c r="DJ22" s="216">
        <f t="shared" si="70"/>
        <v>625140</v>
      </c>
      <c r="DK22" s="216">
        <v>625770</v>
      </c>
      <c r="DL22" s="217">
        <f t="shared" si="71"/>
        <v>630</v>
      </c>
      <c r="DM22" s="230">
        <f t="shared" si="72"/>
        <v>30</v>
      </c>
      <c r="DN22" s="231">
        <f>(DL22/'Finance Only'!B25)*100</f>
        <v>2.808863524900798</v>
      </c>
      <c r="DO22" s="216">
        <f t="shared" si="73"/>
        <v>340580</v>
      </c>
      <c r="DP22" s="216">
        <v>340890</v>
      </c>
      <c r="DQ22" s="217">
        <f t="shared" si="74"/>
        <v>310</v>
      </c>
      <c r="DR22" s="230">
        <f t="shared" si="75"/>
        <v>-10</v>
      </c>
      <c r="DS22" s="231">
        <f>(DQ22/'Finance Only'!B25)*100</f>
        <v>1.3821391947924562</v>
      </c>
      <c r="DT22" s="216">
        <f t="shared" si="76"/>
        <v>111140</v>
      </c>
      <c r="DU22" s="216">
        <v>111260</v>
      </c>
      <c r="DV22" s="217">
        <f t="shared" si="77"/>
        <v>120</v>
      </c>
      <c r="DW22" s="230">
        <f t="shared" si="78"/>
        <v>-20</v>
      </c>
      <c r="DX22" s="231">
        <f>(DV22/'Finance Only'!B25)*100</f>
        <v>0.53502162379062823</v>
      </c>
      <c r="DY22" s="216">
        <f t="shared" si="79"/>
        <v>71170</v>
      </c>
      <c r="DZ22" s="216">
        <v>71260</v>
      </c>
      <c r="EA22" s="217">
        <f t="shared" si="80"/>
        <v>90</v>
      </c>
      <c r="EB22" s="230">
        <f t="shared" si="81"/>
        <v>-3</v>
      </c>
      <c r="EC22" s="231">
        <f>(EA22/'Finance Only'!B25)*100</f>
        <v>0.40126621784297112</v>
      </c>
      <c r="ED22" s="216">
        <f t="shared" si="82"/>
        <v>227130</v>
      </c>
      <c r="EE22" s="216">
        <v>227420</v>
      </c>
      <c r="EF22" s="217">
        <f t="shared" si="83"/>
        <v>290</v>
      </c>
      <c r="EG22" s="230">
        <f t="shared" si="84"/>
        <v>10</v>
      </c>
      <c r="EH22" s="231">
        <f>(EF22/'Finance Only'!B25)*100</f>
        <v>1.2929689241606848</v>
      </c>
      <c r="EI22" s="216">
        <f t="shared" si="85"/>
        <v>255030</v>
      </c>
      <c r="EJ22" s="216">
        <v>255390</v>
      </c>
      <c r="EK22" s="217">
        <f t="shared" si="86"/>
        <v>360</v>
      </c>
      <c r="EL22" s="230">
        <f t="shared" si="87"/>
        <v>10</v>
      </c>
      <c r="EM22" s="231">
        <f>(EK22/'Finance Only'!B25)*100</f>
        <v>1.6050648713718845</v>
      </c>
      <c r="EN22" s="216">
        <f t="shared" si="88"/>
        <v>420720</v>
      </c>
      <c r="EO22" s="216">
        <v>421122</v>
      </c>
      <c r="EP22" s="217">
        <f t="shared" si="89"/>
        <v>402</v>
      </c>
      <c r="EQ22" s="230">
        <f t="shared" si="90"/>
        <v>-108</v>
      </c>
      <c r="ER22" s="231">
        <f>(EP22/'Finance Only'!B25)*100</f>
        <v>1.7923224396986046</v>
      </c>
      <c r="ES22" s="216">
        <f t="shared" si="91"/>
        <v>0</v>
      </c>
      <c r="ET22" s="216"/>
      <c r="EU22" s="217">
        <f t="shared" si="92"/>
        <v>0</v>
      </c>
      <c r="EV22" s="230">
        <f t="shared" si="93"/>
        <v>0</v>
      </c>
      <c r="EW22" s="231">
        <f>(EU22/'Finance Only'!B25)*100</f>
        <v>0</v>
      </c>
      <c r="EX22" s="216">
        <f t="shared" si="94"/>
        <v>0</v>
      </c>
      <c r="EY22" s="216"/>
      <c r="EZ22" s="217">
        <f t="shared" si="95"/>
        <v>0</v>
      </c>
      <c r="FA22" s="230">
        <f t="shared" si="96"/>
        <v>0</v>
      </c>
      <c r="FB22" s="231">
        <f>(EZ22/'Finance Only'!G25)*100</f>
        <v>0</v>
      </c>
      <c r="FC22" s="216">
        <f t="shared" si="97"/>
        <v>0</v>
      </c>
      <c r="FD22" s="216"/>
      <c r="FE22" s="217">
        <f t="shared" si="98"/>
        <v>0</v>
      </c>
      <c r="FF22" s="230">
        <f t="shared" si="99"/>
        <v>0</v>
      </c>
      <c r="FG22" s="231" t="e">
        <f>(FE22/'Finance Only'!M25)*100</f>
        <v>#DIV/0!</v>
      </c>
      <c r="FH22" s="304"/>
      <c r="FI22" s="304"/>
      <c r="FJ22" s="304"/>
      <c r="FK22" s="304"/>
      <c r="FL22" s="304"/>
      <c r="FM22" s="216">
        <f t="shared" si="100"/>
        <v>0</v>
      </c>
      <c r="FN22" s="216"/>
      <c r="FO22" s="217">
        <f t="shared" si="101"/>
        <v>0</v>
      </c>
      <c r="FP22" s="230">
        <f t="shared" si="102"/>
        <v>0</v>
      </c>
      <c r="FQ22" s="231" t="e">
        <f>(FO22/'Finance Only'!R25)*100</f>
        <v>#DIV/0!</v>
      </c>
      <c r="FR22" s="216">
        <f t="shared" si="103"/>
        <v>0</v>
      </c>
      <c r="FS22" s="216"/>
      <c r="FT22" s="217">
        <f t="shared" si="104"/>
        <v>0</v>
      </c>
      <c r="FU22" s="230">
        <f t="shared" si="105"/>
        <v>0</v>
      </c>
      <c r="FV22" s="231" t="e">
        <f>(FT22/'Finance Only'!W25)*100</f>
        <v>#DIV/0!</v>
      </c>
      <c r="FW22" s="216">
        <f t="shared" si="106"/>
        <v>0</v>
      </c>
      <c r="FX22" s="216"/>
      <c r="FY22" s="217">
        <f t="shared" si="107"/>
        <v>0</v>
      </c>
      <c r="FZ22" s="230">
        <f t="shared" si="108"/>
        <v>0</v>
      </c>
      <c r="GA22" s="231" t="e">
        <f>(FY22/'Finance Only'!AB25)*100</f>
        <v>#DIV/0!</v>
      </c>
      <c r="GB22" s="280"/>
      <c r="GC22" s="286">
        <f t="shared" si="1"/>
        <v>6690</v>
      </c>
      <c r="GD22" s="283"/>
      <c r="GE22" s="286">
        <f t="shared" si="2"/>
        <v>6526</v>
      </c>
      <c r="GF22" s="283"/>
      <c r="GG22" s="286">
        <f t="shared" si="3"/>
        <v>1300</v>
      </c>
      <c r="GH22" s="283"/>
      <c r="GI22" s="286">
        <f t="shared" si="4"/>
        <v>949</v>
      </c>
      <c r="GJ22" s="283"/>
      <c r="GK22" s="286">
        <f t="shared" si="5"/>
        <v>730</v>
      </c>
      <c r="GL22" s="283"/>
      <c r="GM22" s="286">
        <f t="shared" si="6"/>
        <v>0</v>
      </c>
      <c r="GN22" s="283"/>
    </row>
    <row r="23" spans="1:1105" s="3" customFormat="1" ht="13.5" customHeight="1" x14ac:dyDescent="0.2">
      <c r="A23" s="271">
        <v>19</v>
      </c>
      <c r="B23" s="274">
        <f>'Finance Only'!G26</f>
        <v>15.5</v>
      </c>
      <c r="C23" s="269">
        <f t="shared" si="7"/>
        <v>27041078</v>
      </c>
      <c r="D23" s="214">
        <v>27043902</v>
      </c>
      <c r="E23" s="215">
        <f t="shared" si="8"/>
        <v>2824</v>
      </c>
      <c r="F23" s="226">
        <f t="shared" si="9"/>
        <v>238</v>
      </c>
      <c r="G23" s="227">
        <f>(E23/'Finance Only'!B26)*100</f>
        <v>12.036997570436043</v>
      </c>
      <c r="H23" s="237">
        <f t="shared" si="10"/>
        <v>24958889</v>
      </c>
      <c r="I23" s="214">
        <v>24962969</v>
      </c>
      <c r="J23" s="214">
        <f t="shared" si="11"/>
        <v>4080</v>
      </c>
      <c r="K23" s="238">
        <f t="shared" si="12"/>
        <v>-24</v>
      </c>
      <c r="L23" s="239">
        <f>(J23/'Finance Only'!B26)*100</f>
        <v>17.390563062103066</v>
      </c>
      <c r="M23" s="222">
        <f t="shared" si="13"/>
        <v>91997475</v>
      </c>
      <c r="N23" s="216">
        <v>92008304</v>
      </c>
      <c r="O23" s="217">
        <f t="shared" si="14"/>
        <v>10829</v>
      </c>
      <c r="P23" s="230">
        <f t="shared" si="15"/>
        <v>206</v>
      </c>
      <c r="Q23" s="231">
        <f>(O23/'Finance Only'!B26)*100</f>
        <v>46.157452793998551</v>
      </c>
      <c r="R23" s="221">
        <f t="shared" si="16"/>
        <v>3041700</v>
      </c>
      <c r="S23" s="216">
        <v>3044200</v>
      </c>
      <c r="T23" s="217">
        <f t="shared" si="17"/>
        <v>2500</v>
      </c>
      <c r="U23" s="230">
        <f t="shared" si="18"/>
        <v>0</v>
      </c>
      <c r="V23" s="231">
        <f>(T23/'Finance Only'!B26)*100</f>
        <v>10.655982268445504</v>
      </c>
      <c r="W23" s="216">
        <f t="shared" si="19"/>
        <v>4111870</v>
      </c>
      <c r="X23" s="216">
        <v>4114788</v>
      </c>
      <c r="Y23" s="217">
        <f t="shared" si="20"/>
        <v>2918</v>
      </c>
      <c r="Z23" s="230">
        <f t="shared" si="21"/>
        <v>34</v>
      </c>
      <c r="AA23" s="231">
        <f>(Y23/'Finance Only'!B26)*100</f>
        <v>12.437662503729593</v>
      </c>
      <c r="AB23" s="216">
        <f t="shared" si="22"/>
        <v>2671400</v>
      </c>
      <c r="AC23" s="216">
        <v>2673400</v>
      </c>
      <c r="AD23" s="217">
        <f t="shared" si="0"/>
        <v>2000</v>
      </c>
      <c r="AE23" s="325">
        <f>AD23/WATER!V24</f>
        <v>5.8997050147492622</v>
      </c>
      <c r="AF23" s="230">
        <f t="shared" si="23"/>
        <v>200</v>
      </c>
      <c r="AG23" s="231">
        <f>(AD23/'Finance Only'!B26)*100</f>
        <v>8.5247858147564042</v>
      </c>
      <c r="AH23" s="216">
        <f t="shared" si="24"/>
        <v>1084849</v>
      </c>
      <c r="AI23" s="216">
        <v>1085322</v>
      </c>
      <c r="AJ23" s="217">
        <f t="shared" si="25"/>
        <v>473</v>
      </c>
      <c r="AK23" s="230">
        <f t="shared" si="26"/>
        <v>6</v>
      </c>
      <c r="AL23" s="231">
        <f>(AJ23/'Finance Only'!B26)*100</f>
        <v>2.0161118451898896</v>
      </c>
      <c r="AM23" s="216">
        <f t="shared" si="27"/>
        <v>1089200</v>
      </c>
      <c r="AN23" s="216">
        <v>1090000</v>
      </c>
      <c r="AO23" s="217">
        <f t="shared" si="28"/>
        <v>800</v>
      </c>
      <c r="AP23" s="230">
        <f t="shared" si="29"/>
        <v>200</v>
      </c>
      <c r="AQ23" s="231">
        <f>(AO23/'Finance Only'!B26)*100</f>
        <v>3.4099143259025619</v>
      </c>
      <c r="AR23" s="216">
        <f t="shared" si="30"/>
        <v>2450400</v>
      </c>
      <c r="AS23" s="216">
        <v>2451500</v>
      </c>
      <c r="AT23" s="217">
        <f t="shared" si="31"/>
        <v>1100</v>
      </c>
      <c r="AU23" s="230">
        <f t="shared" si="32"/>
        <v>400</v>
      </c>
      <c r="AV23" s="231">
        <f>(AT23/'Finance Only'!B26)*100</f>
        <v>4.6886321981160224</v>
      </c>
      <c r="AW23" s="216">
        <f t="shared" si="33"/>
        <v>10054</v>
      </c>
      <c r="AX23" s="216">
        <v>10450</v>
      </c>
      <c r="AY23" s="217">
        <f t="shared" si="34"/>
        <v>396</v>
      </c>
      <c r="AZ23" s="230">
        <f t="shared" si="35"/>
        <v>17</v>
      </c>
      <c r="BA23" s="231">
        <f>(AY23/'Finance Only'!B26)*100</f>
        <v>1.6879075913217678</v>
      </c>
      <c r="BB23" s="216">
        <f t="shared" si="36"/>
        <v>991040</v>
      </c>
      <c r="BC23" s="216">
        <v>991420</v>
      </c>
      <c r="BD23" s="217">
        <f t="shared" si="37"/>
        <v>380</v>
      </c>
      <c r="BE23" s="230">
        <f t="shared" si="38"/>
        <v>10</v>
      </c>
      <c r="BF23" s="231">
        <f>(BD23/'Finance Only'!B26)*100</f>
        <v>1.6197093048037168</v>
      </c>
      <c r="BG23" s="216">
        <f t="shared" si="39"/>
        <v>1069600</v>
      </c>
      <c r="BH23" s="216">
        <v>1069900</v>
      </c>
      <c r="BI23" s="217">
        <f t="shared" si="40"/>
        <v>300</v>
      </c>
      <c r="BJ23" s="230">
        <f t="shared" si="41"/>
        <v>100</v>
      </c>
      <c r="BK23" s="231">
        <f>(BI23/'Finance Only'!B26)*100</f>
        <v>1.2787178722134607</v>
      </c>
      <c r="BL23" s="216">
        <f t="shared" si="42"/>
        <v>1585300</v>
      </c>
      <c r="BM23" s="216">
        <v>1585800</v>
      </c>
      <c r="BN23" s="217">
        <f t="shared" si="43"/>
        <v>500</v>
      </c>
      <c r="BO23" s="230">
        <f t="shared" si="44"/>
        <v>-100</v>
      </c>
      <c r="BP23" s="231">
        <f>(BN23/'Finance Only'!B26)*100</f>
        <v>2.131196453689101</v>
      </c>
      <c r="BQ23" s="216">
        <f t="shared" si="45"/>
        <v>134910</v>
      </c>
      <c r="BR23" s="216">
        <v>135040</v>
      </c>
      <c r="BS23" s="217">
        <f t="shared" si="46"/>
        <v>130</v>
      </c>
      <c r="BT23" s="230">
        <f t="shared" si="47"/>
        <v>0</v>
      </c>
      <c r="BU23" s="231">
        <f>(BS23/'Finance Only'!B26)*100</f>
        <v>0.55411107795916625</v>
      </c>
      <c r="BV23" s="216">
        <f t="shared" si="48"/>
        <v>576180</v>
      </c>
      <c r="BW23" s="216">
        <v>576670</v>
      </c>
      <c r="BX23" s="217">
        <f t="shared" si="49"/>
        <v>490</v>
      </c>
      <c r="BY23" s="230">
        <f t="shared" si="50"/>
        <v>40</v>
      </c>
      <c r="BZ23" s="231">
        <f>(BX23/'Finance Only'!B26)*100</f>
        <v>2.0885725246153188</v>
      </c>
      <c r="CA23" s="216">
        <f t="shared" si="51"/>
        <v>1065900</v>
      </c>
      <c r="CB23" s="216">
        <v>1067100</v>
      </c>
      <c r="CC23" s="217">
        <f t="shared" si="52"/>
        <v>1200</v>
      </c>
      <c r="CD23" s="230">
        <f t="shared" si="53"/>
        <v>100</v>
      </c>
      <c r="CE23" s="231">
        <f>(CC23/'Finance Only'!B26)*100</f>
        <v>5.1148714888538427</v>
      </c>
      <c r="CF23" s="216">
        <f t="shared" si="54"/>
        <v>346500</v>
      </c>
      <c r="CG23" s="216">
        <v>346970</v>
      </c>
      <c r="CH23" s="217">
        <f t="shared" si="55"/>
        <v>470</v>
      </c>
      <c r="CI23" s="230">
        <f t="shared" si="56"/>
        <v>-10</v>
      </c>
      <c r="CJ23" s="231">
        <f>(CH23/'Finance Only'!B26)*100</f>
        <v>2.0033246664677549</v>
      </c>
      <c r="CK23" s="217">
        <f t="shared" si="57"/>
        <v>817380</v>
      </c>
      <c r="CL23" s="217">
        <v>818170</v>
      </c>
      <c r="CM23" s="217">
        <f t="shared" si="58"/>
        <v>790</v>
      </c>
      <c r="CN23" s="230">
        <f t="shared" si="59"/>
        <v>20</v>
      </c>
      <c r="CO23" s="231">
        <f>(CM23/'Finance Only'!B26)*100</f>
        <v>3.3672903968287793</v>
      </c>
      <c r="CP23" s="216">
        <f t="shared" si="110"/>
        <v>676580</v>
      </c>
      <c r="CQ23" s="216">
        <v>677540</v>
      </c>
      <c r="CR23" s="218">
        <f t="shared" si="109"/>
        <v>960</v>
      </c>
      <c r="CS23" s="230">
        <f t="shared" si="60"/>
        <v>-80</v>
      </c>
      <c r="CT23" s="231">
        <f>(CR23/'Finance Only'!B26)*100</f>
        <v>4.0918971910830741</v>
      </c>
      <c r="CU23" s="216">
        <f t="shared" si="61"/>
        <v>561910</v>
      </c>
      <c r="CV23" s="216">
        <v>562480</v>
      </c>
      <c r="CW23" s="217">
        <f t="shared" si="62"/>
        <v>570</v>
      </c>
      <c r="CX23" s="230">
        <f t="shared" si="63"/>
        <v>-40</v>
      </c>
      <c r="CY23" s="231">
        <f>(CW23/'Finance Only'!B26)*100</f>
        <v>2.4295639572055752</v>
      </c>
      <c r="CZ23" s="216">
        <f t="shared" si="64"/>
        <v>940140</v>
      </c>
      <c r="DA23" s="216">
        <v>941120</v>
      </c>
      <c r="DB23" s="217">
        <f t="shared" si="65"/>
        <v>980</v>
      </c>
      <c r="DC23" s="230">
        <f t="shared" si="66"/>
        <v>0</v>
      </c>
      <c r="DD23" s="231">
        <f>(DB23/'Finance Only'!B26)*100</f>
        <v>4.1771450492306377</v>
      </c>
      <c r="DE23" s="216">
        <f t="shared" si="67"/>
        <v>719700</v>
      </c>
      <c r="DF23" s="216">
        <v>720480</v>
      </c>
      <c r="DG23" s="217">
        <f t="shared" si="68"/>
        <v>780</v>
      </c>
      <c r="DH23" s="230">
        <f t="shared" si="69"/>
        <v>60</v>
      </c>
      <c r="DI23" s="231">
        <f>(DG23/'Finance Only'!B26)*100</f>
        <v>3.3246664677549975</v>
      </c>
      <c r="DJ23" s="216">
        <f t="shared" si="70"/>
        <v>625770</v>
      </c>
      <c r="DK23" s="216">
        <v>626310</v>
      </c>
      <c r="DL23" s="217">
        <f t="shared" si="71"/>
        <v>540</v>
      </c>
      <c r="DM23" s="230">
        <f t="shared" si="72"/>
        <v>-90</v>
      </c>
      <c r="DN23" s="231">
        <f>(DL23/'Finance Only'!B26)*100</f>
        <v>2.301692169984229</v>
      </c>
      <c r="DO23" s="216">
        <f t="shared" si="73"/>
        <v>340890</v>
      </c>
      <c r="DP23" s="216">
        <v>341210</v>
      </c>
      <c r="DQ23" s="217">
        <f t="shared" si="74"/>
        <v>320</v>
      </c>
      <c r="DR23" s="230">
        <f t="shared" si="75"/>
        <v>10</v>
      </c>
      <c r="DS23" s="231">
        <f>(DQ23/'Finance Only'!B26)*100</f>
        <v>1.3639657303610249</v>
      </c>
      <c r="DT23" s="216">
        <f t="shared" si="76"/>
        <v>111260</v>
      </c>
      <c r="DU23" s="216">
        <v>111370</v>
      </c>
      <c r="DV23" s="217">
        <f t="shared" si="77"/>
        <v>110</v>
      </c>
      <c r="DW23" s="230">
        <f t="shared" si="78"/>
        <v>-10</v>
      </c>
      <c r="DX23" s="231">
        <f>(DV23/'Finance Only'!B26)*100</f>
        <v>0.46886321981160228</v>
      </c>
      <c r="DY23" s="216">
        <f t="shared" si="79"/>
        <v>71260</v>
      </c>
      <c r="DZ23" s="216">
        <v>71344</v>
      </c>
      <c r="EA23" s="217">
        <f t="shared" si="80"/>
        <v>84</v>
      </c>
      <c r="EB23" s="230">
        <f t="shared" si="81"/>
        <v>-6</v>
      </c>
      <c r="EC23" s="231">
        <f>(EA23/'Finance Only'!B26)*100</f>
        <v>0.35804100421976898</v>
      </c>
      <c r="ED23" s="216">
        <f t="shared" si="82"/>
        <v>227420</v>
      </c>
      <c r="EE23" s="216">
        <v>227680</v>
      </c>
      <c r="EF23" s="217">
        <f t="shared" si="83"/>
        <v>260</v>
      </c>
      <c r="EG23" s="230">
        <f t="shared" si="84"/>
        <v>-30</v>
      </c>
      <c r="EH23" s="231">
        <f>(EF23/'Finance Only'!B26)*100</f>
        <v>1.1082221559183325</v>
      </c>
      <c r="EI23" s="216">
        <f t="shared" si="85"/>
        <v>255390</v>
      </c>
      <c r="EJ23" s="216">
        <v>255730</v>
      </c>
      <c r="EK23" s="217">
        <f t="shared" si="86"/>
        <v>340</v>
      </c>
      <c r="EL23" s="230">
        <f t="shared" si="87"/>
        <v>-20</v>
      </c>
      <c r="EM23" s="231">
        <f>(EK23/'Finance Only'!B26)*100</f>
        <v>1.4492135885085888</v>
      </c>
      <c r="EN23" s="216">
        <f t="shared" si="88"/>
        <v>421122</v>
      </c>
      <c r="EO23" s="216">
        <v>421750</v>
      </c>
      <c r="EP23" s="217">
        <f t="shared" si="89"/>
        <v>628</v>
      </c>
      <c r="EQ23" s="230">
        <f t="shared" si="90"/>
        <v>226</v>
      </c>
      <c r="ER23" s="231">
        <f>(EP23/'Finance Only'!B26)*100</f>
        <v>2.6767827458335112</v>
      </c>
      <c r="ES23" s="216">
        <f t="shared" si="91"/>
        <v>0</v>
      </c>
      <c r="ET23" s="216"/>
      <c r="EU23" s="217">
        <f t="shared" si="92"/>
        <v>0</v>
      </c>
      <c r="EV23" s="230">
        <f t="shared" si="93"/>
        <v>0</v>
      </c>
      <c r="EW23" s="231">
        <f>(EU23/'Finance Only'!B26)*100</f>
        <v>0</v>
      </c>
      <c r="EX23" s="216">
        <f t="shared" si="94"/>
        <v>0</v>
      </c>
      <c r="EY23" s="216"/>
      <c r="EZ23" s="217">
        <f t="shared" si="95"/>
        <v>0</v>
      </c>
      <c r="FA23" s="230">
        <f t="shared" si="96"/>
        <v>0</v>
      </c>
      <c r="FB23" s="231">
        <f>(EZ23/'Finance Only'!G26)*100</f>
        <v>0</v>
      </c>
      <c r="FC23" s="216">
        <f t="shared" si="97"/>
        <v>0</v>
      </c>
      <c r="FD23" s="216"/>
      <c r="FE23" s="217">
        <f t="shared" si="98"/>
        <v>0</v>
      </c>
      <c r="FF23" s="230">
        <f t="shared" si="99"/>
        <v>0</v>
      </c>
      <c r="FG23" s="231" t="e">
        <f>(FE23/'Finance Only'!M26)*100</f>
        <v>#DIV/0!</v>
      </c>
      <c r="FH23" s="304"/>
      <c r="FI23" s="304"/>
      <c r="FJ23" s="304"/>
      <c r="FK23" s="304"/>
      <c r="FL23" s="304"/>
      <c r="FM23" s="216">
        <f t="shared" si="100"/>
        <v>0</v>
      </c>
      <c r="FN23" s="216"/>
      <c r="FO23" s="217">
        <f t="shared" si="101"/>
        <v>0</v>
      </c>
      <c r="FP23" s="230">
        <f t="shared" si="102"/>
        <v>0</v>
      </c>
      <c r="FQ23" s="231" t="e">
        <f>(FO23/'Finance Only'!R26)*100</f>
        <v>#DIV/0!</v>
      </c>
      <c r="FR23" s="216">
        <f t="shared" si="103"/>
        <v>0</v>
      </c>
      <c r="FS23" s="216"/>
      <c r="FT23" s="217">
        <f t="shared" si="104"/>
        <v>0</v>
      </c>
      <c r="FU23" s="230">
        <f t="shared" si="105"/>
        <v>0</v>
      </c>
      <c r="FV23" s="231" t="e">
        <f>(FT23/'Finance Only'!W26)*100</f>
        <v>#DIV/0!</v>
      </c>
      <c r="FW23" s="216">
        <f t="shared" si="106"/>
        <v>0</v>
      </c>
      <c r="FX23" s="216"/>
      <c r="FY23" s="217">
        <f t="shared" si="107"/>
        <v>0</v>
      </c>
      <c r="FZ23" s="230">
        <f t="shared" si="108"/>
        <v>0</v>
      </c>
      <c r="GA23" s="231" t="e">
        <f>(FY23/'Finance Only'!AB26)*100</f>
        <v>#DIV/0!</v>
      </c>
      <c r="GB23" s="280"/>
      <c r="GC23" s="286">
        <f t="shared" si="1"/>
        <v>6904</v>
      </c>
      <c r="GD23" s="283"/>
      <c r="GE23" s="286">
        <f t="shared" si="2"/>
        <v>6730</v>
      </c>
      <c r="GF23" s="283"/>
      <c r="GG23" s="286">
        <f t="shared" si="3"/>
        <v>1900</v>
      </c>
      <c r="GH23" s="283"/>
      <c r="GI23" s="286">
        <f t="shared" si="4"/>
        <v>1076</v>
      </c>
      <c r="GJ23" s="283"/>
      <c r="GK23" s="286">
        <f t="shared" si="5"/>
        <v>630</v>
      </c>
      <c r="GL23" s="283"/>
      <c r="GM23" s="286">
        <f t="shared" si="6"/>
        <v>0</v>
      </c>
      <c r="GN23" s="283"/>
    </row>
    <row r="24" spans="1:1105" s="3" customFormat="1" ht="13.5" customHeight="1" x14ac:dyDescent="0.2">
      <c r="A24" s="271">
        <v>20</v>
      </c>
      <c r="B24" s="274">
        <f>'Finance Only'!G27</f>
        <v>12.6</v>
      </c>
      <c r="C24" s="269">
        <f t="shared" si="7"/>
        <v>27043902</v>
      </c>
      <c r="D24" s="214">
        <v>27046695</v>
      </c>
      <c r="E24" s="215">
        <f t="shared" si="8"/>
        <v>2793</v>
      </c>
      <c r="F24" s="226">
        <f t="shared" si="9"/>
        <v>-31</v>
      </c>
      <c r="G24" s="227">
        <f>(E24/'Finance Only'!B27)*100</f>
        <v>12.640296886314264</v>
      </c>
      <c r="H24" s="237">
        <f t="shared" si="10"/>
        <v>24962969</v>
      </c>
      <c r="I24" s="214">
        <v>24966103</v>
      </c>
      <c r="J24" s="214">
        <f t="shared" si="11"/>
        <v>3134</v>
      </c>
      <c r="K24" s="238">
        <f t="shared" si="12"/>
        <v>-946</v>
      </c>
      <c r="L24" s="239">
        <f>(J24/'Finance Only'!B27)*100</f>
        <v>14.18356263577118</v>
      </c>
      <c r="M24" s="222">
        <f t="shared" si="13"/>
        <v>92008304</v>
      </c>
      <c r="N24" s="216">
        <v>92019698</v>
      </c>
      <c r="O24" s="217">
        <f t="shared" si="14"/>
        <v>11394</v>
      </c>
      <c r="P24" s="230">
        <f t="shared" si="15"/>
        <v>565</v>
      </c>
      <c r="Q24" s="231">
        <f>(O24/'Finance Only'!B27)*100</f>
        <v>51.56589427950761</v>
      </c>
      <c r="R24" s="221">
        <f t="shared" si="16"/>
        <v>3044200</v>
      </c>
      <c r="S24" s="216">
        <v>3046500</v>
      </c>
      <c r="T24" s="217">
        <f t="shared" si="17"/>
        <v>2300</v>
      </c>
      <c r="U24" s="230">
        <f t="shared" si="18"/>
        <v>-200</v>
      </c>
      <c r="V24" s="231">
        <f>(T24/'Finance Only'!B27)*100</f>
        <v>10.409123823316438</v>
      </c>
      <c r="W24" s="216">
        <f t="shared" si="19"/>
        <v>4114788</v>
      </c>
      <c r="X24" s="216">
        <v>4117472</v>
      </c>
      <c r="Y24" s="217">
        <f t="shared" si="20"/>
        <v>2684</v>
      </c>
      <c r="Z24" s="230">
        <f t="shared" si="21"/>
        <v>-234</v>
      </c>
      <c r="AA24" s="231">
        <f>(Y24/'Finance Only'!B27)*100</f>
        <v>12.146994931209269</v>
      </c>
      <c r="AB24" s="216">
        <f t="shared" si="22"/>
        <v>2673400</v>
      </c>
      <c r="AC24" s="219">
        <v>2675100</v>
      </c>
      <c r="AD24" s="217">
        <f t="shared" si="0"/>
        <v>1700</v>
      </c>
      <c r="AE24" s="325">
        <f>AD24/WATER!V25</f>
        <v>5.1987767584097861</v>
      </c>
      <c r="AF24" s="230">
        <f t="shared" si="23"/>
        <v>-300</v>
      </c>
      <c r="AG24" s="231">
        <f>(AD24/'Finance Only'!B27)*100</f>
        <v>7.6937002172338884</v>
      </c>
      <c r="AH24" s="216">
        <f t="shared" si="24"/>
        <v>1085322</v>
      </c>
      <c r="AI24" s="216">
        <v>1085811</v>
      </c>
      <c r="AJ24" s="217">
        <f t="shared" si="25"/>
        <v>489</v>
      </c>
      <c r="AK24" s="230">
        <f t="shared" si="26"/>
        <v>16</v>
      </c>
      <c r="AL24" s="231">
        <f>(AJ24/'Finance Only'!B27)*100</f>
        <v>2.2130702389572772</v>
      </c>
      <c r="AM24" s="216">
        <f t="shared" si="27"/>
        <v>1090000</v>
      </c>
      <c r="AN24" s="216">
        <v>1090700</v>
      </c>
      <c r="AO24" s="217">
        <f t="shared" si="28"/>
        <v>700</v>
      </c>
      <c r="AP24" s="230">
        <f t="shared" si="29"/>
        <v>-100</v>
      </c>
      <c r="AQ24" s="231">
        <f>(AO24/'Finance Only'!B27)*100</f>
        <v>3.167994207096307</v>
      </c>
      <c r="AR24" s="216">
        <f t="shared" si="30"/>
        <v>2451500</v>
      </c>
      <c r="AS24" s="216">
        <v>2452400</v>
      </c>
      <c r="AT24" s="217">
        <f t="shared" si="31"/>
        <v>900</v>
      </c>
      <c r="AU24" s="230">
        <f t="shared" si="32"/>
        <v>-200</v>
      </c>
      <c r="AV24" s="231">
        <f>(AT24/'Finance Only'!B27)*100</f>
        <v>4.0731354091238234</v>
      </c>
      <c r="AW24" s="216">
        <f t="shared" si="33"/>
        <v>10450</v>
      </c>
      <c r="AX24" s="216">
        <v>10788</v>
      </c>
      <c r="AY24" s="217">
        <f t="shared" si="34"/>
        <v>338</v>
      </c>
      <c r="AZ24" s="230">
        <f t="shared" si="35"/>
        <v>-58</v>
      </c>
      <c r="BA24" s="231">
        <f>(AY24/'Finance Only'!B27)*100</f>
        <v>1.5296886314265024</v>
      </c>
      <c r="BB24" s="216">
        <f t="shared" si="36"/>
        <v>991420</v>
      </c>
      <c r="BC24" s="216">
        <v>991850</v>
      </c>
      <c r="BD24" s="217">
        <f t="shared" si="37"/>
        <v>430</v>
      </c>
      <c r="BE24" s="230">
        <f t="shared" si="38"/>
        <v>50</v>
      </c>
      <c r="BF24" s="231">
        <f>(BD24/'Finance Only'!B27)*100</f>
        <v>1.94605358435916</v>
      </c>
      <c r="BG24" s="216">
        <f t="shared" si="39"/>
        <v>1069900</v>
      </c>
      <c r="BH24" s="216">
        <v>1070200</v>
      </c>
      <c r="BI24" s="217">
        <f t="shared" si="40"/>
        <v>300</v>
      </c>
      <c r="BJ24" s="230">
        <f t="shared" si="41"/>
        <v>0</v>
      </c>
      <c r="BK24" s="231">
        <f>(BI24/'Finance Only'!B27)*100</f>
        <v>1.3577118030412745</v>
      </c>
      <c r="BL24" s="216">
        <f t="shared" si="42"/>
        <v>1585800</v>
      </c>
      <c r="BM24" s="216">
        <v>1586500</v>
      </c>
      <c r="BN24" s="217">
        <f t="shared" si="43"/>
        <v>700</v>
      </c>
      <c r="BO24" s="230">
        <f t="shared" si="44"/>
        <v>200</v>
      </c>
      <c r="BP24" s="231">
        <f>(BN24/'Finance Only'!B27)*100</f>
        <v>3.167994207096307</v>
      </c>
      <c r="BQ24" s="216">
        <f t="shared" si="45"/>
        <v>135040</v>
      </c>
      <c r="BR24" s="216">
        <v>135170</v>
      </c>
      <c r="BS24" s="217">
        <f t="shared" si="46"/>
        <v>130</v>
      </c>
      <c r="BT24" s="230">
        <f t="shared" si="47"/>
        <v>0</v>
      </c>
      <c r="BU24" s="231">
        <f>(BS24/'Finance Only'!B27)*100</f>
        <v>0.58834178131788561</v>
      </c>
      <c r="BV24" s="216">
        <f t="shared" si="48"/>
        <v>576670</v>
      </c>
      <c r="BW24" s="216">
        <v>577150</v>
      </c>
      <c r="BX24" s="217">
        <f t="shared" si="49"/>
        <v>480</v>
      </c>
      <c r="BY24" s="230">
        <f t="shared" si="50"/>
        <v>-10</v>
      </c>
      <c r="BZ24" s="231">
        <f>(BX24/'Finance Only'!B27)*100</f>
        <v>2.172338884866039</v>
      </c>
      <c r="CA24" s="216">
        <f t="shared" si="51"/>
        <v>1067100</v>
      </c>
      <c r="CB24" s="216">
        <v>1068200</v>
      </c>
      <c r="CC24" s="217">
        <f t="shared" si="52"/>
        <v>1100</v>
      </c>
      <c r="CD24" s="230">
        <f t="shared" si="53"/>
        <v>-100</v>
      </c>
      <c r="CE24" s="231">
        <f>(CC24/'Finance Only'!B27)*100</f>
        <v>4.9782766111513395</v>
      </c>
      <c r="CF24" s="216">
        <f t="shared" si="54"/>
        <v>346970</v>
      </c>
      <c r="CG24" s="216">
        <v>347460</v>
      </c>
      <c r="CH24" s="217">
        <f t="shared" si="55"/>
        <v>490</v>
      </c>
      <c r="CI24" s="230">
        <f t="shared" si="56"/>
        <v>20</v>
      </c>
      <c r="CJ24" s="231">
        <f>(CH24/'Finance Only'!B27)*100</f>
        <v>2.2175959449674152</v>
      </c>
      <c r="CK24" s="217">
        <f t="shared" si="57"/>
        <v>818170</v>
      </c>
      <c r="CL24" s="217">
        <v>818790</v>
      </c>
      <c r="CM24" s="217">
        <f t="shared" si="58"/>
        <v>620</v>
      </c>
      <c r="CN24" s="230">
        <f t="shared" si="59"/>
        <v>-170</v>
      </c>
      <c r="CO24" s="231">
        <f>(CM24/'Finance Only'!B27)*100</f>
        <v>2.8059377262853005</v>
      </c>
      <c r="CP24" s="216">
        <f t="shared" si="110"/>
        <v>677540</v>
      </c>
      <c r="CQ24" s="216">
        <v>678350</v>
      </c>
      <c r="CR24" s="218">
        <f t="shared" si="109"/>
        <v>810</v>
      </c>
      <c r="CS24" s="230">
        <f t="shared" si="60"/>
        <v>-150</v>
      </c>
      <c r="CT24" s="231">
        <f>(CR24/'Finance Only'!B27)*100</f>
        <v>3.6658218682114412</v>
      </c>
      <c r="CU24" s="216">
        <f t="shared" si="61"/>
        <v>562480</v>
      </c>
      <c r="CV24" s="216">
        <v>562870</v>
      </c>
      <c r="CW24" s="217">
        <f t="shared" si="62"/>
        <v>390</v>
      </c>
      <c r="CX24" s="230">
        <f t="shared" si="63"/>
        <v>-180</v>
      </c>
      <c r="CY24" s="231">
        <f>(CW24/'Finance Only'!B27)*100</f>
        <v>1.7650253439536567</v>
      </c>
      <c r="CZ24" s="216">
        <f t="shared" si="64"/>
        <v>941120</v>
      </c>
      <c r="DA24" s="216">
        <v>941720</v>
      </c>
      <c r="DB24" s="217">
        <f t="shared" si="65"/>
        <v>600</v>
      </c>
      <c r="DC24" s="230">
        <f t="shared" si="66"/>
        <v>-380</v>
      </c>
      <c r="DD24" s="231">
        <f>(DB24/'Finance Only'!B27)*100</f>
        <v>2.715423606082549</v>
      </c>
      <c r="DE24" s="216">
        <f t="shared" si="67"/>
        <v>720480</v>
      </c>
      <c r="DF24" s="216">
        <v>721180</v>
      </c>
      <c r="DG24" s="217">
        <f t="shared" si="68"/>
        <v>700</v>
      </c>
      <c r="DH24" s="230">
        <f t="shared" si="69"/>
        <v>-80</v>
      </c>
      <c r="DI24" s="231">
        <f>(DG24/'Finance Only'!B27)*100</f>
        <v>3.167994207096307</v>
      </c>
      <c r="DJ24" s="216">
        <f t="shared" si="70"/>
        <v>626310</v>
      </c>
      <c r="DK24" s="216">
        <v>626710</v>
      </c>
      <c r="DL24" s="217">
        <f t="shared" si="71"/>
        <v>400</v>
      </c>
      <c r="DM24" s="230">
        <f t="shared" si="72"/>
        <v>-140</v>
      </c>
      <c r="DN24" s="231">
        <f>(DL24/'Finance Only'!B27)*100</f>
        <v>1.8102824040550327</v>
      </c>
      <c r="DO24" s="216">
        <f t="shared" si="73"/>
        <v>341210</v>
      </c>
      <c r="DP24" s="216">
        <v>341490</v>
      </c>
      <c r="DQ24" s="217">
        <f t="shared" si="74"/>
        <v>280</v>
      </c>
      <c r="DR24" s="230">
        <f t="shared" si="75"/>
        <v>-40</v>
      </c>
      <c r="DS24" s="231">
        <f>(DQ24/'Finance Only'!B27)*100</f>
        <v>1.2671976828385227</v>
      </c>
      <c r="DT24" s="216">
        <f t="shared" si="76"/>
        <v>111370</v>
      </c>
      <c r="DU24" s="216">
        <v>111490</v>
      </c>
      <c r="DV24" s="217">
        <f t="shared" si="77"/>
        <v>120</v>
      </c>
      <c r="DW24" s="230">
        <f t="shared" si="78"/>
        <v>10</v>
      </c>
      <c r="DX24" s="231">
        <f>(DV24/'Finance Only'!B27)*100</f>
        <v>0.54308472121650975</v>
      </c>
      <c r="DY24" s="216">
        <f t="shared" si="79"/>
        <v>71344</v>
      </c>
      <c r="DZ24" s="216">
        <v>71429</v>
      </c>
      <c r="EA24" s="217">
        <f t="shared" si="80"/>
        <v>85</v>
      </c>
      <c r="EB24" s="230">
        <f t="shared" si="81"/>
        <v>1</v>
      </c>
      <c r="EC24" s="231">
        <f>(EA24/'Finance Only'!B27)*100</f>
        <v>0.38468501086169443</v>
      </c>
      <c r="ED24" s="216">
        <f t="shared" si="82"/>
        <v>227680</v>
      </c>
      <c r="EE24" s="216">
        <v>227960</v>
      </c>
      <c r="EF24" s="217">
        <f t="shared" si="83"/>
        <v>280</v>
      </c>
      <c r="EG24" s="230">
        <f t="shared" si="84"/>
        <v>20</v>
      </c>
      <c r="EH24" s="231">
        <f>(EF24/'Finance Only'!B27)*100</f>
        <v>1.2671976828385227</v>
      </c>
      <c r="EI24" s="216">
        <f t="shared" si="85"/>
        <v>255730</v>
      </c>
      <c r="EJ24" s="216">
        <v>256060</v>
      </c>
      <c r="EK24" s="217">
        <f t="shared" si="86"/>
        <v>330</v>
      </c>
      <c r="EL24" s="230">
        <f t="shared" si="87"/>
        <v>-10</v>
      </c>
      <c r="EM24" s="231">
        <f>(EK24/'Finance Only'!B27)*100</f>
        <v>1.493482983345402</v>
      </c>
      <c r="EN24" s="216">
        <f t="shared" si="88"/>
        <v>421750</v>
      </c>
      <c r="EO24" s="216">
        <v>422260</v>
      </c>
      <c r="EP24" s="217">
        <f t="shared" si="89"/>
        <v>510</v>
      </c>
      <c r="EQ24" s="230">
        <f t="shared" si="90"/>
        <v>-118</v>
      </c>
      <c r="ER24" s="231">
        <f>(EP24/'Finance Only'!B27)*100</f>
        <v>2.3081100651701667</v>
      </c>
      <c r="ES24" s="216">
        <f t="shared" si="91"/>
        <v>0</v>
      </c>
      <c r="ET24" s="216"/>
      <c r="EU24" s="217">
        <f t="shared" si="92"/>
        <v>0</v>
      </c>
      <c r="EV24" s="230">
        <f t="shared" si="93"/>
        <v>0</v>
      </c>
      <c r="EW24" s="231">
        <f>(EU24/'Finance Only'!B27)*100</f>
        <v>0</v>
      </c>
      <c r="EX24" s="216">
        <f t="shared" si="94"/>
        <v>0</v>
      </c>
      <c r="EY24" s="216"/>
      <c r="EZ24" s="217">
        <f t="shared" si="95"/>
        <v>0</v>
      </c>
      <c r="FA24" s="230">
        <f t="shared" si="96"/>
        <v>0</v>
      </c>
      <c r="FB24" s="231">
        <f>(EZ24/'Finance Only'!G27)*100</f>
        <v>0</v>
      </c>
      <c r="FC24" s="216">
        <f t="shared" si="97"/>
        <v>0</v>
      </c>
      <c r="FD24" s="216"/>
      <c r="FE24" s="217">
        <f t="shared" si="98"/>
        <v>0</v>
      </c>
      <c r="FF24" s="230">
        <f t="shared" si="99"/>
        <v>0</v>
      </c>
      <c r="FG24" s="231" t="e">
        <f>(FE24/'Finance Only'!M27)*100</f>
        <v>#DIV/0!</v>
      </c>
      <c r="FH24" s="304"/>
      <c r="FI24" s="304"/>
      <c r="FJ24" s="304"/>
      <c r="FK24" s="304"/>
      <c r="FL24" s="304"/>
      <c r="FM24" s="216">
        <f t="shared" si="100"/>
        <v>0</v>
      </c>
      <c r="FN24" s="216"/>
      <c r="FO24" s="217">
        <f t="shared" si="101"/>
        <v>0</v>
      </c>
      <c r="FP24" s="230">
        <f t="shared" si="102"/>
        <v>0</v>
      </c>
      <c r="FQ24" s="231" t="e">
        <f>(FO24/'Finance Only'!R27)*100</f>
        <v>#DIV/0!</v>
      </c>
      <c r="FR24" s="216">
        <f t="shared" si="103"/>
        <v>0</v>
      </c>
      <c r="FS24" s="216"/>
      <c r="FT24" s="217">
        <f t="shared" si="104"/>
        <v>0</v>
      </c>
      <c r="FU24" s="230">
        <f t="shared" si="105"/>
        <v>0</v>
      </c>
      <c r="FV24" s="231" t="e">
        <f>(FT24/'Finance Only'!W27)*100</f>
        <v>#DIV/0!</v>
      </c>
      <c r="FW24" s="216">
        <f t="shared" si="106"/>
        <v>0</v>
      </c>
      <c r="FX24" s="216"/>
      <c r="FY24" s="217">
        <f t="shared" si="107"/>
        <v>0</v>
      </c>
      <c r="FZ24" s="230">
        <f t="shared" si="108"/>
        <v>0</v>
      </c>
      <c r="GA24" s="231" t="e">
        <f>(FY24/'Finance Only'!AB27)*100</f>
        <v>#DIV/0!</v>
      </c>
      <c r="GB24" s="280"/>
      <c r="GC24" s="286">
        <f>SUM(E24+J24)</f>
        <v>5927</v>
      </c>
      <c r="GD24" s="283"/>
      <c r="GE24" s="286">
        <f t="shared" si="2"/>
        <v>6189</v>
      </c>
      <c r="GF24" s="283"/>
      <c r="GG24" s="286">
        <f t="shared" si="3"/>
        <v>1600</v>
      </c>
      <c r="GH24" s="283"/>
      <c r="GI24" s="286">
        <f t="shared" si="4"/>
        <v>1068</v>
      </c>
      <c r="GJ24" s="283"/>
      <c r="GK24" s="286">
        <f t="shared" si="5"/>
        <v>830</v>
      </c>
      <c r="GL24" s="283"/>
      <c r="GM24" s="286">
        <f t="shared" si="6"/>
        <v>0</v>
      </c>
      <c r="GN24" s="283"/>
    </row>
    <row r="25" spans="1:1105" s="3" customFormat="1" ht="13.5" customHeight="1" x14ac:dyDescent="0.2">
      <c r="A25" s="271">
        <v>21</v>
      </c>
      <c r="B25" s="274">
        <f>'Finance Only'!G28</f>
        <v>21.4</v>
      </c>
      <c r="C25" s="269">
        <f t="shared" si="7"/>
        <v>27046695</v>
      </c>
      <c r="D25" s="214">
        <v>27049615</v>
      </c>
      <c r="E25" s="215">
        <f t="shared" si="8"/>
        <v>2920</v>
      </c>
      <c r="F25" s="226">
        <f t="shared" si="9"/>
        <v>127</v>
      </c>
      <c r="G25" s="227">
        <f>(E25/'Finance Only'!B28)*100</f>
        <v>14.111052046585801</v>
      </c>
      <c r="H25" s="237">
        <f t="shared" si="10"/>
        <v>24966103</v>
      </c>
      <c r="I25" s="214">
        <v>24969476</v>
      </c>
      <c r="J25" s="214">
        <f t="shared" si="11"/>
        <v>3373</v>
      </c>
      <c r="K25" s="238">
        <f t="shared" si="12"/>
        <v>239</v>
      </c>
      <c r="L25" s="239">
        <f>(J25/'Finance Only'!B28)*100</f>
        <v>16.300198134634901</v>
      </c>
      <c r="M25" s="222">
        <f t="shared" si="13"/>
        <v>92019698</v>
      </c>
      <c r="N25" s="216">
        <v>92028948</v>
      </c>
      <c r="O25" s="217">
        <f t="shared" si="14"/>
        <v>9250</v>
      </c>
      <c r="P25" s="230">
        <f t="shared" si="15"/>
        <v>-2144</v>
      </c>
      <c r="Q25" s="231">
        <f>(O25/'Finance Only'!B28)*100</f>
        <v>44.701106654424201</v>
      </c>
      <c r="R25" s="221">
        <f t="shared" si="16"/>
        <v>3046500</v>
      </c>
      <c r="S25" s="216">
        <v>3048900</v>
      </c>
      <c r="T25" s="217">
        <f t="shared" si="17"/>
        <v>2400</v>
      </c>
      <c r="U25" s="230">
        <f t="shared" si="18"/>
        <v>100</v>
      </c>
      <c r="V25" s="231">
        <f>(T25/'Finance Only'!B28)*100</f>
        <v>11.598124969796549</v>
      </c>
      <c r="W25" s="216">
        <f t="shared" si="19"/>
        <v>4117472</v>
      </c>
      <c r="X25" s="216">
        <v>4120195</v>
      </c>
      <c r="Y25" s="217">
        <f t="shared" si="20"/>
        <v>2723</v>
      </c>
      <c r="Z25" s="230">
        <f t="shared" si="21"/>
        <v>39</v>
      </c>
      <c r="AA25" s="231">
        <f>(Y25/'Finance Only'!B28)*100</f>
        <v>13.159039288648335</v>
      </c>
      <c r="AB25" s="216">
        <f t="shared" si="22"/>
        <v>2675100</v>
      </c>
      <c r="AC25" s="216">
        <v>2676300</v>
      </c>
      <c r="AD25" s="217">
        <f t="shared" si="0"/>
        <v>1200</v>
      </c>
      <c r="AE25" s="325">
        <f>AD25/WATER!V26</f>
        <v>5.02092050209205</v>
      </c>
      <c r="AF25" s="230">
        <f t="shared" si="23"/>
        <v>-500</v>
      </c>
      <c r="AG25" s="231">
        <f>(AD25/'Finance Only'!B28)*100</f>
        <v>5.7990624848982746</v>
      </c>
      <c r="AH25" s="216">
        <f t="shared" si="24"/>
        <v>1085811</v>
      </c>
      <c r="AI25" s="216">
        <v>1086288</v>
      </c>
      <c r="AJ25" s="217">
        <f t="shared" si="25"/>
        <v>477</v>
      </c>
      <c r="AK25" s="230">
        <f t="shared" si="26"/>
        <v>-12</v>
      </c>
      <c r="AL25" s="231">
        <f>(AJ25/'Finance Only'!B28)*100</f>
        <v>2.3051273377470642</v>
      </c>
      <c r="AM25" s="216">
        <f t="shared" si="27"/>
        <v>1090700</v>
      </c>
      <c r="AN25" s="216">
        <v>1091300</v>
      </c>
      <c r="AO25" s="217">
        <f t="shared" si="28"/>
        <v>600</v>
      </c>
      <c r="AP25" s="230">
        <f t="shared" si="29"/>
        <v>-100</v>
      </c>
      <c r="AQ25" s="231">
        <f>(AO25/'Finance Only'!B28)*100</f>
        <v>2.8995312424491373</v>
      </c>
      <c r="AR25" s="216">
        <f t="shared" si="30"/>
        <v>2452400</v>
      </c>
      <c r="AS25" s="216">
        <v>2453300</v>
      </c>
      <c r="AT25" s="217">
        <f t="shared" si="31"/>
        <v>900</v>
      </c>
      <c r="AU25" s="230">
        <f t="shared" si="32"/>
        <v>0</v>
      </c>
      <c r="AV25" s="231">
        <f>(AT25/'Finance Only'!B28)*100</f>
        <v>4.3492968636737057</v>
      </c>
      <c r="AW25" s="216">
        <f t="shared" si="33"/>
        <v>10788</v>
      </c>
      <c r="AX25" s="216">
        <v>11104</v>
      </c>
      <c r="AY25" s="217">
        <f t="shared" si="34"/>
        <v>316</v>
      </c>
      <c r="AZ25" s="230">
        <f t="shared" si="35"/>
        <v>-22</v>
      </c>
      <c r="BA25" s="231">
        <f>(AY25/'Finance Only'!B28)*100</f>
        <v>1.5270864543565457</v>
      </c>
      <c r="BB25" s="216">
        <f t="shared" si="36"/>
        <v>991850</v>
      </c>
      <c r="BC25" s="216">
        <v>992160</v>
      </c>
      <c r="BD25" s="217">
        <f t="shared" si="37"/>
        <v>310</v>
      </c>
      <c r="BE25" s="230">
        <f t="shared" si="38"/>
        <v>-120</v>
      </c>
      <c r="BF25" s="231">
        <f>(BD25/'Finance Only'!B28)*100</f>
        <v>1.4980911419320544</v>
      </c>
      <c r="BG25" s="216">
        <f t="shared" si="39"/>
        <v>1070200</v>
      </c>
      <c r="BH25" s="216">
        <v>1070500</v>
      </c>
      <c r="BI25" s="217">
        <f t="shared" si="40"/>
        <v>300</v>
      </c>
      <c r="BJ25" s="230">
        <f t="shared" si="41"/>
        <v>0</v>
      </c>
      <c r="BK25" s="231">
        <f>(BI25/'Finance Only'!B28)*100</f>
        <v>1.4497656212245686</v>
      </c>
      <c r="BL25" s="216">
        <f t="shared" si="42"/>
        <v>1586500</v>
      </c>
      <c r="BM25" s="216">
        <v>1586900</v>
      </c>
      <c r="BN25" s="217">
        <f t="shared" si="43"/>
        <v>400</v>
      </c>
      <c r="BO25" s="230">
        <f t="shared" si="44"/>
        <v>-300</v>
      </c>
      <c r="BP25" s="231">
        <f>(BN25/'Finance Only'!B28)*100</f>
        <v>1.9330208282994248</v>
      </c>
      <c r="BQ25" s="216">
        <f t="shared" si="45"/>
        <v>135170</v>
      </c>
      <c r="BR25" s="216">
        <v>135280</v>
      </c>
      <c r="BS25" s="217">
        <f t="shared" si="46"/>
        <v>110</v>
      </c>
      <c r="BT25" s="230">
        <f t="shared" si="47"/>
        <v>-20</v>
      </c>
      <c r="BU25" s="231">
        <f>(BS25/'Finance Only'!B28)*100</f>
        <v>0.53158072778234189</v>
      </c>
      <c r="BV25" s="216">
        <f t="shared" si="48"/>
        <v>577150</v>
      </c>
      <c r="BW25" s="216">
        <v>577510</v>
      </c>
      <c r="BX25" s="217">
        <f t="shared" si="49"/>
        <v>360</v>
      </c>
      <c r="BY25" s="230">
        <f t="shared" si="50"/>
        <v>-120</v>
      </c>
      <c r="BZ25" s="231">
        <f>(BX25/'Finance Only'!B28)*100</f>
        <v>1.7397187454694825</v>
      </c>
      <c r="CA25" s="216">
        <f t="shared" si="51"/>
        <v>1068200</v>
      </c>
      <c r="CB25" s="216">
        <v>1069400</v>
      </c>
      <c r="CC25" s="217">
        <f t="shared" si="52"/>
        <v>1200</v>
      </c>
      <c r="CD25" s="230">
        <f t="shared" si="53"/>
        <v>100</v>
      </c>
      <c r="CE25" s="231">
        <f>(CC25/'Finance Only'!B28)*100</f>
        <v>5.7990624848982746</v>
      </c>
      <c r="CF25" s="216">
        <f t="shared" si="54"/>
        <v>347460</v>
      </c>
      <c r="CG25" s="216">
        <v>347910</v>
      </c>
      <c r="CH25" s="217">
        <f t="shared" si="55"/>
        <v>450</v>
      </c>
      <c r="CI25" s="230">
        <f t="shared" si="56"/>
        <v>-40</v>
      </c>
      <c r="CJ25" s="231">
        <f>(CH25/'Finance Only'!B28)*100</f>
        <v>2.1746484318368529</v>
      </c>
      <c r="CK25" s="217">
        <f t="shared" si="57"/>
        <v>818790</v>
      </c>
      <c r="CL25" s="217">
        <v>819500</v>
      </c>
      <c r="CM25" s="217">
        <f t="shared" si="58"/>
        <v>710</v>
      </c>
      <c r="CN25" s="230">
        <f t="shared" si="59"/>
        <v>90</v>
      </c>
      <c r="CO25" s="231">
        <f>(CM25/'Finance Only'!B28)*100</f>
        <v>3.4311119702314792</v>
      </c>
      <c r="CP25" s="216">
        <f t="shared" si="110"/>
        <v>678350</v>
      </c>
      <c r="CQ25" s="216">
        <v>678970</v>
      </c>
      <c r="CR25" s="218">
        <f t="shared" si="109"/>
        <v>620</v>
      </c>
      <c r="CS25" s="230">
        <f t="shared" si="60"/>
        <v>-190</v>
      </c>
      <c r="CT25" s="231">
        <f>(CR25/'Finance Only'!B28)*100</f>
        <v>2.9961822838641088</v>
      </c>
      <c r="CU25" s="216">
        <f t="shared" si="61"/>
        <v>562870</v>
      </c>
      <c r="CV25" s="216">
        <v>563330</v>
      </c>
      <c r="CW25" s="217">
        <f t="shared" si="62"/>
        <v>460</v>
      </c>
      <c r="CX25" s="230">
        <f t="shared" si="63"/>
        <v>70</v>
      </c>
      <c r="CY25" s="231">
        <f>(CW25/'Finance Only'!B28)*100</f>
        <v>2.2229739525443386</v>
      </c>
      <c r="CZ25" s="216">
        <f t="shared" si="64"/>
        <v>941720</v>
      </c>
      <c r="DA25" s="216">
        <v>942440</v>
      </c>
      <c r="DB25" s="217">
        <f t="shared" si="65"/>
        <v>720</v>
      </c>
      <c r="DC25" s="230">
        <f t="shared" si="66"/>
        <v>120</v>
      </c>
      <c r="DD25" s="231">
        <f>(DB25/'Finance Only'!B28)*100</f>
        <v>3.4794374909389649</v>
      </c>
      <c r="DE25" s="216">
        <f t="shared" si="67"/>
        <v>721180</v>
      </c>
      <c r="DF25" s="216">
        <v>721920</v>
      </c>
      <c r="DG25" s="217">
        <f t="shared" si="68"/>
        <v>740</v>
      </c>
      <c r="DH25" s="230">
        <f t="shared" si="69"/>
        <v>40</v>
      </c>
      <c r="DI25" s="231">
        <f>(DG25/'Finance Only'!B28)*100</f>
        <v>3.576088532353936</v>
      </c>
      <c r="DJ25" s="216">
        <f t="shared" si="70"/>
        <v>626710</v>
      </c>
      <c r="DK25" s="216">
        <v>627210</v>
      </c>
      <c r="DL25" s="217">
        <f t="shared" si="71"/>
        <v>500</v>
      </c>
      <c r="DM25" s="230">
        <f t="shared" si="72"/>
        <v>100</v>
      </c>
      <c r="DN25" s="231">
        <f>(DL25/'Finance Only'!B28)*100</f>
        <v>2.4162760353742812</v>
      </c>
      <c r="DO25" s="216">
        <f t="shared" si="73"/>
        <v>341490</v>
      </c>
      <c r="DP25" s="216">
        <v>341770</v>
      </c>
      <c r="DQ25" s="217">
        <f t="shared" si="74"/>
        <v>280</v>
      </c>
      <c r="DR25" s="230">
        <f t="shared" si="75"/>
        <v>0</v>
      </c>
      <c r="DS25" s="231">
        <f>(DQ25/'Finance Only'!B28)*100</f>
        <v>1.3531145798095974</v>
      </c>
      <c r="DT25" s="216">
        <f t="shared" si="76"/>
        <v>111490</v>
      </c>
      <c r="DU25" s="216">
        <v>111620</v>
      </c>
      <c r="DV25" s="217">
        <f t="shared" si="77"/>
        <v>130</v>
      </c>
      <c r="DW25" s="230">
        <f t="shared" si="78"/>
        <v>10</v>
      </c>
      <c r="DX25" s="231">
        <f>(DV25/'Finance Only'!B28)*100</f>
        <v>0.62823176919731305</v>
      </c>
      <c r="DY25" s="216">
        <f t="shared" si="79"/>
        <v>71429</v>
      </c>
      <c r="DZ25" s="216">
        <v>71512</v>
      </c>
      <c r="EA25" s="217">
        <f t="shared" si="80"/>
        <v>83</v>
      </c>
      <c r="EB25" s="230">
        <f t="shared" si="81"/>
        <v>-2</v>
      </c>
      <c r="EC25" s="231">
        <f>(EA25/'Finance Only'!B28)*100</f>
        <v>0.40110182187213067</v>
      </c>
      <c r="ED25" s="216">
        <f t="shared" si="82"/>
        <v>227960</v>
      </c>
      <c r="EE25" s="216">
        <v>228190</v>
      </c>
      <c r="EF25" s="217">
        <f t="shared" si="83"/>
        <v>230</v>
      </c>
      <c r="EG25" s="230">
        <f t="shared" si="84"/>
        <v>-50</v>
      </c>
      <c r="EH25" s="231">
        <f>(EF25/'Finance Only'!B28)*100</f>
        <v>1.1114869762721693</v>
      </c>
      <c r="EI25" s="216">
        <f t="shared" si="85"/>
        <v>256060</v>
      </c>
      <c r="EJ25" s="216">
        <v>256380</v>
      </c>
      <c r="EK25" s="217">
        <f t="shared" si="86"/>
        <v>320</v>
      </c>
      <c r="EL25" s="230">
        <f t="shared" si="87"/>
        <v>-10</v>
      </c>
      <c r="EM25" s="231">
        <f>(EK25/'Finance Only'!B28)*100</f>
        <v>1.5464166626395399</v>
      </c>
      <c r="EN25" s="216">
        <f t="shared" si="88"/>
        <v>422260</v>
      </c>
      <c r="EO25" s="216">
        <v>422750</v>
      </c>
      <c r="EP25" s="217">
        <f t="shared" si="89"/>
        <v>490</v>
      </c>
      <c r="EQ25" s="230">
        <f t="shared" si="90"/>
        <v>-20</v>
      </c>
      <c r="ER25" s="231">
        <f>(EP25/'Finance Only'!B28)*100</f>
        <v>2.3679505146667954</v>
      </c>
      <c r="ES25" s="216">
        <f t="shared" si="91"/>
        <v>0</v>
      </c>
      <c r="ET25" s="216"/>
      <c r="EU25" s="217">
        <f t="shared" si="92"/>
        <v>0</v>
      </c>
      <c r="EV25" s="230">
        <f t="shared" si="93"/>
        <v>0</v>
      </c>
      <c r="EW25" s="231">
        <f>(EU25/'Finance Only'!B28)*100</f>
        <v>0</v>
      </c>
      <c r="EX25" s="216">
        <f t="shared" si="94"/>
        <v>0</v>
      </c>
      <c r="EY25" s="216"/>
      <c r="EZ25" s="217">
        <f t="shared" si="95"/>
        <v>0</v>
      </c>
      <c r="FA25" s="230">
        <f t="shared" si="96"/>
        <v>0</v>
      </c>
      <c r="FB25" s="231">
        <f>(EZ25/'Finance Only'!G28)*100</f>
        <v>0</v>
      </c>
      <c r="FC25" s="216">
        <f t="shared" si="97"/>
        <v>0</v>
      </c>
      <c r="FD25" s="216"/>
      <c r="FE25" s="217">
        <f t="shared" si="98"/>
        <v>0</v>
      </c>
      <c r="FF25" s="230">
        <f t="shared" si="99"/>
        <v>0</v>
      </c>
      <c r="FG25" s="231" t="e">
        <f>(FE25/'Finance Only'!M28)*100</f>
        <v>#DIV/0!</v>
      </c>
      <c r="FH25" s="304"/>
      <c r="FI25" s="304"/>
      <c r="FJ25" s="304"/>
      <c r="FK25" s="304"/>
      <c r="FL25" s="304"/>
      <c r="FM25" s="216">
        <f t="shared" si="100"/>
        <v>0</v>
      </c>
      <c r="FN25" s="216"/>
      <c r="FO25" s="217">
        <f t="shared" si="101"/>
        <v>0</v>
      </c>
      <c r="FP25" s="230">
        <f t="shared" si="102"/>
        <v>0</v>
      </c>
      <c r="FQ25" s="231" t="e">
        <f>(FO25/'Finance Only'!R28)*100</f>
        <v>#DIV/0!</v>
      </c>
      <c r="FR25" s="216">
        <f t="shared" si="103"/>
        <v>0</v>
      </c>
      <c r="FS25" s="216"/>
      <c r="FT25" s="217">
        <f t="shared" si="104"/>
        <v>0</v>
      </c>
      <c r="FU25" s="230">
        <f t="shared" si="105"/>
        <v>0</v>
      </c>
      <c r="FV25" s="231" t="e">
        <f>(FT25/'Finance Only'!W28)*100</f>
        <v>#DIV/0!</v>
      </c>
      <c r="FW25" s="216">
        <f t="shared" si="106"/>
        <v>0</v>
      </c>
      <c r="FX25" s="216"/>
      <c r="FY25" s="217">
        <f t="shared" si="107"/>
        <v>0</v>
      </c>
      <c r="FZ25" s="230">
        <f t="shared" si="108"/>
        <v>0</v>
      </c>
      <c r="GA25" s="231" t="e">
        <f>(FY25/'Finance Only'!AB28)*100</f>
        <v>#DIV/0!</v>
      </c>
      <c r="GB25" s="280"/>
      <c r="GC25" s="286">
        <f t="shared" si="1"/>
        <v>6293</v>
      </c>
      <c r="GD25" s="283"/>
      <c r="GE25" s="286">
        <f t="shared" si="2"/>
        <v>6246</v>
      </c>
      <c r="GF25" s="283"/>
      <c r="GG25" s="286">
        <f t="shared" si="3"/>
        <v>1500</v>
      </c>
      <c r="GH25" s="283"/>
      <c r="GI25" s="286">
        <f t="shared" si="4"/>
        <v>926</v>
      </c>
      <c r="GJ25" s="283"/>
      <c r="GK25" s="286">
        <f t="shared" si="5"/>
        <v>510</v>
      </c>
      <c r="GL25" s="283"/>
      <c r="GM25" s="286">
        <f t="shared" si="6"/>
        <v>0</v>
      </c>
      <c r="GN25" s="283"/>
    </row>
    <row r="26" spans="1:1105" s="3" customFormat="1" ht="13.5" customHeight="1" x14ac:dyDescent="0.2">
      <c r="A26" s="271">
        <v>22</v>
      </c>
      <c r="B26" s="274">
        <f>'Finance Only'!G29</f>
        <v>26.2</v>
      </c>
      <c r="C26" s="269">
        <f t="shared" si="7"/>
        <v>27049615</v>
      </c>
      <c r="D26" s="214">
        <v>27052587</v>
      </c>
      <c r="E26" s="215">
        <f t="shared" si="8"/>
        <v>2972</v>
      </c>
      <c r="F26" s="226">
        <f t="shared" si="9"/>
        <v>52</v>
      </c>
      <c r="G26" s="227">
        <f>(E26/'Finance Only'!B29)*100</f>
        <v>13.962228694916847</v>
      </c>
      <c r="H26" s="237">
        <f t="shared" si="10"/>
        <v>24969476</v>
      </c>
      <c r="I26" s="214">
        <v>24973156</v>
      </c>
      <c r="J26" s="214">
        <f t="shared" si="11"/>
        <v>3680</v>
      </c>
      <c r="K26" s="238">
        <f t="shared" si="12"/>
        <v>307</v>
      </c>
      <c r="L26" s="239">
        <f>(J26/'Finance Only'!B29)*100</f>
        <v>17.288358545522879</v>
      </c>
      <c r="M26" s="222">
        <f t="shared" si="13"/>
        <v>92028948</v>
      </c>
      <c r="N26" s="216">
        <v>92038290</v>
      </c>
      <c r="O26" s="217">
        <f t="shared" si="14"/>
        <v>9342</v>
      </c>
      <c r="P26" s="230">
        <f t="shared" si="15"/>
        <v>92</v>
      </c>
      <c r="Q26" s="231">
        <f>(O26/'Finance Only'!B29)*100</f>
        <v>43.888001503335531</v>
      </c>
      <c r="R26" s="221">
        <f t="shared" si="16"/>
        <v>3048900</v>
      </c>
      <c r="S26" s="216">
        <v>3051200</v>
      </c>
      <c r="T26" s="217">
        <f t="shared" si="17"/>
        <v>2300</v>
      </c>
      <c r="U26" s="230">
        <f t="shared" si="18"/>
        <v>-100</v>
      </c>
      <c r="V26" s="231">
        <f>(T26/'Finance Only'!B29)*100</f>
        <v>10.8052240909518</v>
      </c>
      <c r="W26" s="216">
        <f t="shared" si="19"/>
        <v>4120195</v>
      </c>
      <c r="X26" s="216">
        <v>4122895</v>
      </c>
      <c r="Y26" s="217">
        <f t="shared" si="20"/>
        <v>2700</v>
      </c>
      <c r="Z26" s="230">
        <f t="shared" si="21"/>
        <v>-23</v>
      </c>
      <c r="AA26" s="231">
        <f>(Y26/'Finance Only'!B29)*100</f>
        <v>12.684393498073851</v>
      </c>
      <c r="AB26" s="216">
        <f t="shared" si="22"/>
        <v>2676300</v>
      </c>
      <c r="AC26" s="216">
        <v>2677600</v>
      </c>
      <c r="AD26" s="217">
        <f t="shared" si="0"/>
        <v>1300</v>
      </c>
      <c r="AE26" s="325">
        <f>AD26/WATER!V27</f>
        <v>7.0270270270270272</v>
      </c>
      <c r="AF26" s="230">
        <f t="shared" si="23"/>
        <v>100</v>
      </c>
      <c r="AG26" s="231">
        <f>(AD26/'Finance Only'!B29)*100</f>
        <v>6.1073005731466692</v>
      </c>
      <c r="AH26" s="216">
        <f t="shared" si="24"/>
        <v>1086288</v>
      </c>
      <c r="AI26" s="216">
        <v>1086713</v>
      </c>
      <c r="AJ26" s="217">
        <f t="shared" si="25"/>
        <v>425</v>
      </c>
      <c r="AK26" s="230">
        <f t="shared" si="26"/>
        <v>-52</v>
      </c>
      <c r="AL26" s="231">
        <f>(AJ26/'Finance Only'!B29)*100</f>
        <v>1.9966174950671802</v>
      </c>
      <c r="AM26" s="216">
        <f t="shared" si="27"/>
        <v>1091300</v>
      </c>
      <c r="AN26" s="216">
        <v>1092000</v>
      </c>
      <c r="AO26" s="217">
        <f t="shared" si="28"/>
        <v>700</v>
      </c>
      <c r="AP26" s="230">
        <f t="shared" si="29"/>
        <v>100</v>
      </c>
      <c r="AQ26" s="231">
        <f>(AO26/'Finance Only'!B29)*100</f>
        <v>3.2885464624635907</v>
      </c>
      <c r="AR26" s="216">
        <f t="shared" si="30"/>
        <v>2453300</v>
      </c>
      <c r="AS26" s="216">
        <v>2454000</v>
      </c>
      <c r="AT26" s="217">
        <f t="shared" si="31"/>
        <v>700</v>
      </c>
      <c r="AU26" s="230">
        <f t="shared" si="32"/>
        <v>-200</v>
      </c>
      <c r="AV26" s="231">
        <f>(AT26/'Finance Only'!B29)*100</f>
        <v>3.2885464624635907</v>
      </c>
      <c r="AW26" s="216">
        <f t="shared" si="33"/>
        <v>11104</v>
      </c>
      <c r="AX26" s="216">
        <v>11439</v>
      </c>
      <c r="AY26" s="217">
        <f t="shared" si="34"/>
        <v>335</v>
      </c>
      <c r="AZ26" s="230">
        <f t="shared" si="35"/>
        <v>19</v>
      </c>
      <c r="BA26" s="231">
        <f>(AY26/'Finance Only'!B29)*100</f>
        <v>1.5738043784647187</v>
      </c>
      <c r="BB26" s="216">
        <f t="shared" si="36"/>
        <v>992160</v>
      </c>
      <c r="BC26" s="216">
        <v>992470</v>
      </c>
      <c r="BD26" s="217">
        <f t="shared" si="37"/>
        <v>310</v>
      </c>
      <c r="BE26" s="230">
        <f t="shared" si="38"/>
        <v>0</v>
      </c>
      <c r="BF26" s="231">
        <f>(BD26/'Finance Only'!B29)*100</f>
        <v>1.4563562905195904</v>
      </c>
      <c r="BG26" s="216">
        <f t="shared" si="39"/>
        <v>1070500</v>
      </c>
      <c r="BH26" s="216">
        <v>1070700</v>
      </c>
      <c r="BI26" s="217">
        <f t="shared" si="40"/>
        <v>200</v>
      </c>
      <c r="BJ26" s="230">
        <f t="shared" si="41"/>
        <v>-100</v>
      </c>
      <c r="BK26" s="231">
        <f>(BI26/'Finance Only'!B29)*100</f>
        <v>0.93958470356102597</v>
      </c>
      <c r="BL26" s="216">
        <f t="shared" si="42"/>
        <v>1586900</v>
      </c>
      <c r="BM26" s="216">
        <v>1587400</v>
      </c>
      <c r="BN26" s="217">
        <f t="shared" si="43"/>
        <v>500</v>
      </c>
      <c r="BO26" s="230">
        <f t="shared" si="44"/>
        <v>100</v>
      </c>
      <c r="BP26" s="231">
        <f>(BN26/'Finance Only'!B29)*100</f>
        <v>2.3489617589025653</v>
      </c>
      <c r="BQ26" s="216">
        <f t="shared" si="45"/>
        <v>135280</v>
      </c>
      <c r="BR26" s="216">
        <v>135390</v>
      </c>
      <c r="BS26" s="217">
        <f t="shared" si="46"/>
        <v>110</v>
      </c>
      <c r="BT26" s="230">
        <f t="shared" si="47"/>
        <v>0</v>
      </c>
      <c r="BU26" s="231">
        <f>(BS26/'Finance Only'!B29)*100</f>
        <v>0.51677158695856429</v>
      </c>
      <c r="BV26" s="216">
        <f t="shared" si="48"/>
        <v>577510</v>
      </c>
      <c r="BW26" s="216">
        <v>577940</v>
      </c>
      <c r="BX26" s="217">
        <f t="shared" si="49"/>
        <v>430</v>
      </c>
      <c r="BY26" s="230">
        <f t="shared" si="50"/>
        <v>70</v>
      </c>
      <c r="BZ26" s="231">
        <f>(BX26/'Finance Only'!B29)*100</f>
        <v>2.020107112656206</v>
      </c>
      <c r="CA26" s="216">
        <f t="shared" si="51"/>
        <v>1069400</v>
      </c>
      <c r="CB26" s="216">
        <v>1070500</v>
      </c>
      <c r="CC26" s="217">
        <f t="shared" si="52"/>
        <v>1100</v>
      </c>
      <c r="CD26" s="230">
        <f t="shared" si="53"/>
        <v>-100</v>
      </c>
      <c r="CE26" s="231">
        <f>(CC26/'Finance Only'!B29)*100</f>
        <v>5.1677158695856429</v>
      </c>
      <c r="CF26" s="216">
        <f t="shared" si="54"/>
        <v>347910</v>
      </c>
      <c r="CG26" s="216">
        <v>348370</v>
      </c>
      <c r="CH26" s="217">
        <f t="shared" si="55"/>
        <v>460</v>
      </c>
      <c r="CI26" s="230">
        <f t="shared" si="56"/>
        <v>10</v>
      </c>
      <c r="CJ26" s="231">
        <f>(CH26/'Finance Only'!B29)*100</f>
        <v>2.1610448181903599</v>
      </c>
      <c r="CK26" s="217">
        <f t="shared" si="57"/>
        <v>819500</v>
      </c>
      <c r="CL26" s="217">
        <v>820370</v>
      </c>
      <c r="CM26" s="217">
        <f t="shared" si="58"/>
        <v>870</v>
      </c>
      <c r="CN26" s="230">
        <f t="shared" si="59"/>
        <v>160</v>
      </c>
      <c r="CO26" s="231">
        <f>(CM26/'Finance Only'!B29)*100</f>
        <v>4.0871934604904636</v>
      </c>
      <c r="CP26" s="216">
        <f t="shared" si="110"/>
        <v>678970</v>
      </c>
      <c r="CQ26" s="216">
        <v>679570</v>
      </c>
      <c r="CR26" s="218">
        <f t="shared" si="109"/>
        <v>600</v>
      </c>
      <c r="CS26" s="230">
        <f t="shared" si="60"/>
        <v>-20</v>
      </c>
      <c r="CT26" s="231">
        <f>(CR26/'Finance Only'!B29)*100</f>
        <v>2.818754110683078</v>
      </c>
      <c r="CU26" s="216">
        <f t="shared" si="61"/>
        <v>563330</v>
      </c>
      <c r="CV26" s="216">
        <v>563870</v>
      </c>
      <c r="CW26" s="217">
        <f t="shared" si="62"/>
        <v>540</v>
      </c>
      <c r="CX26" s="230">
        <f t="shared" si="63"/>
        <v>80</v>
      </c>
      <c r="CY26" s="231">
        <f>(CW26/'Finance Only'!B29)*100</f>
        <v>2.5368786996147703</v>
      </c>
      <c r="CZ26" s="216">
        <f t="shared" si="64"/>
        <v>942440</v>
      </c>
      <c r="DA26" s="216">
        <v>943270</v>
      </c>
      <c r="DB26" s="217">
        <f t="shared" si="65"/>
        <v>830</v>
      </c>
      <c r="DC26" s="230">
        <f t="shared" si="66"/>
        <v>110</v>
      </c>
      <c r="DD26" s="231">
        <f>(DB26/'Finance Only'!B29)*100</f>
        <v>3.8992765197782582</v>
      </c>
      <c r="DE26" s="216">
        <f t="shared" si="67"/>
        <v>721920</v>
      </c>
      <c r="DF26" s="216">
        <v>722660</v>
      </c>
      <c r="DG26" s="217">
        <f t="shared" si="68"/>
        <v>740</v>
      </c>
      <c r="DH26" s="230">
        <f t="shared" si="69"/>
        <v>0</v>
      </c>
      <c r="DI26" s="231">
        <f>(DG26/'Finance Only'!B29)*100</f>
        <v>3.4764634031757962</v>
      </c>
      <c r="DJ26" s="216">
        <f t="shared" si="70"/>
        <v>627210</v>
      </c>
      <c r="DK26" s="216">
        <v>627660</v>
      </c>
      <c r="DL26" s="217">
        <f t="shared" si="71"/>
        <v>450</v>
      </c>
      <c r="DM26" s="230">
        <f t="shared" si="72"/>
        <v>-50</v>
      </c>
      <c r="DN26" s="231">
        <f>(DL26/'Finance Only'!B29)*100</f>
        <v>2.1140655830123087</v>
      </c>
      <c r="DO26" s="216">
        <f t="shared" si="73"/>
        <v>341770</v>
      </c>
      <c r="DP26" s="216">
        <v>342070</v>
      </c>
      <c r="DQ26" s="217">
        <f t="shared" si="74"/>
        <v>300</v>
      </c>
      <c r="DR26" s="230">
        <f t="shared" si="75"/>
        <v>20</v>
      </c>
      <c r="DS26" s="231">
        <f>(DQ26/'Finance Only'!B29)*100</f>
        <v>1.409377055341539</v>
      </c>
      <c r="DT26" s="216">
        <f t="shared" si="76"/>
        <v>111620</v>
      </c>
      <c r="DU26" s="216">
        <v>111750</v>
      </c>
      <c r="DV26" s="217">
        <f t="shared" si="77"/>
        <v>130</v>
      </c>
      <c r="DW26" s="230">
        <f t="shared" si="78"/>
        <v>0</v>
      </c>
      <c r="DX26" s="231">
        <f>(DV26/'Finance Only'!B29)*100</f>
        <v>0.6107300573146669</v>
      </c>
      <c r="DY26" s="216">
        <f t="shared" si="79"/>
        <v>71512</v>
      </c>
      <c r="DZ26" s="216">
        <v>71596</v>
      </c>
      <c r="EA26" s="217">
        <f t="shared" si="80"/>
        <v>84</v>
      </c>
      <c r="EB26" s="230">
        <f t="shared" si="81"/>
        <v>1</v>
      </c>
      <c r="EC26" s="231">
        <f>(EA26/'Finance Only'!B29)*100</f>
        <v>0.39462557549563093</v>
      </c>
      <c r="ED26" s="216">
        <f t="shared" si="82"/>
        <v>228190</v>
      </c>
      <c r="EE26" s="216">
        <v>228450</v>
      </c>
      <c r="EF26" s="217">
        <f t="shared" si="83"/>
        <v>260</v>
      </c>
      <c r="EG26" s="230">
        <f t="shared" si="84"/>
        <v>30</v>
      </c>
      <c r="EH26" s="231">
        <f>(EF26/'Finance Only'!B29)*100</f>
        <v>1.2214601146293338</v>
      </c>
      <c r="EI26" s="216">
        <f t="shared" si="85"/>
        <v>256380</v>
      </c>
      <c r="EJ26" s="216">
        <v>256720</v>
      </c>
      <c r="EK26" s="217">
        <f t="shared" si="86"/>
        <v>340</v>
      </c>
      <c r="EL26" s="230">
        <f t="shared" si="87"/>
        <v>20</v>
      </c>
      <c r="EM26" s="231">
        <f>(EK26/'Finance Only'!B29)*100</f>
        <v>1.5972939960537442</v>
      </c>
      <c r="EN26" s="216">
        <f t="shared" si="88"/>
        <v>422750</v>
      </c>
      <c r="EO26" s="216">
        <v>423230</v>
      </c>
      <c r="EP26" s="217">
        <f t="shared" si="89"/>
        <v>480</v>
      </c>
      <c r="EQ26" s="230">
        <f t="shared" si="90"/>
        <v>-10</v>
      </c>
      <c r="ER26" s="231">
        <f>(EP26/'Finance Only'!B29)*100</f>
        <v>2.2550032885464626</v>
      </c>
      <c r="ES26" s="216">
        <f t="shared" si="91"/>
        <v>0</v>
      </c>
      <c r="ET26" s="216"/>
      <c r="EU26" s="217">
        <f t="shared" si="92"/>
        <v>0</v>
      </c>
      <c r="EV26" s="230">
        <f t="shared" si="93"/>
        <v>0</v>
      </c>
      <c r="EW26" s="231">
        <f>(EU26/'Finance Only'!B29)*100</f>
        <v>0</v>
      </c>
      <c r="EX26" s="216">
        <f t="shared" si="94"/>
        <v>0</v>
      </c>
      <c r="EY26" s="216"/>
      <c r="EZ26" s="217">
        <f t="shared" si="95"/>
        <v>0</v>
      </c>
      <c r="FA26" s="230">
        <f t="shared" si="96"/>
        <v>0</v>
      </c>
      <c r="FB26" s="231">
        <f>(EZ26/'Finance Only'!G29)*100</f>
        <v>0</v>
      </c>
      <c r="FC26" s="216">
        <f t="shared" si="97"/>
        <v>0</v>
      </c>
      <c r="FD26" s="216"/>
      <c r="FE26" s="217">
        <f t="shared" si="98"/>
        <v>0</v>
      </c>
      <c r="FF26" s="230">
        <f t="shared" si="99"/>
        <v>0</v>
      </c>
      <c r="FG26" s="231" t="e">
        <f>(FE26/'Finance Only'!M29)*100</f>
        <v>#DIV/0!</v>
      </c>
      <c r="FH26" s="304"/>
      <c r="FI26" s="304"/>
      <c r="FJ26" s="304"/>
      <c r="FK26" s="304"/>
      <c r="FL26" s="304"/>
      <c r="FM26" s="216">
        <f t="shared" si="100"/>
        <v>0</v>
      </c>
      <c r="FN26" s="216"/>
      <c r="FO26" s="217">
        <f t="shared" si="101"/>
        <v>0</v>
      </c>
      <c r="FP26" s="230">
        <f t="shared" si="102"/>
        <v>0</v>
      </c>
      <c r="FQ26" s="231" t="e">
        <f>(FO26/'Finance Only'!R29)*100</f>
        <v>#DIV/0!</v>
      </c>
      <c r="FR26" s="216">
        <f t="shared" si="103"/>
        <v>0</v>
      </c>
      <c r="FS26" s="216"/>
      <c r="FT26" s="217">
        <f t="shared" si="104"/>
        <v>0</v>
      </c>
      <c r="FU26" s="230">
        <f t="shared" si="105"/>
        <v>0</v>
      </c>
      <c r="FV26" s="231" t="e">
        <f>(FT26/'Finance Only'!W29)*100</f>
        <v>#DIV/0!</v>
      </c>
      <c r="FW26" s="216">
        <f t="shared" si="106"/>
        <v>0</v>
      </c>
      <c r="FX26" s="216"/>
      <c r="FY26" s="217">
        <f t="shared" si="107"/>
        <v>0</v>
      </c>
      <c r="FZ26" s="230">
        <f t="shared" si="108"/>
        <v>0</v>
      </c>
      <c r="GA26" s="231" t="e">
        <f>(FY26/'Finance Only'!AB29)*100</f>
        <v>#DIV/0!</v>
      </c>
      <c r="GB26" s="280"/>
      <c r="GC26" s="286">
        <f t="shared" si="1"/>
        <v>6652</v>
      </c>
      <c r="GD26" s="283"/>
      <c r="GE26" s="286">
        <f t="shared" si="2"/>
        <v>6164</v>
      </c>
      <c r="GF26" s="283"/>
      <c r="GG26" s="286">
        <f t="shared" si="3"/>
        <v>1400</v>
      </c>
      <c r="GH26" s="283"/>
      <c r="GI26" s="286">
        <f t="shared" si="4"/>
        <v>845</v>
      </c>
      <c r="GJ26" s="283"/>
      <c r="GK26" s="286">
        <f t="shared" si="5"/>
        <v>610</v>
      </c>
      <c r="GL26" s="283"/>
      <c r="GM26" s="286">
        <f t="shared" si="6"/>
        <v>0</v>
      </c>
      <c r="GN26" s="283"/>
    </row>
    <row r="27" spans="1:1105" s="3" customFormat="1" ht="13.5" customHeight="1" x14ac:dyDescent="0.2">
      <c r="A27" s="271">
        <v>23</v>
      </c>
      <c r="B27" s="274">
        <f>'Finance Only'!G30</f>
        <v>26.2</v>
      </c>
      <c r="C27" s="269">
        <f t="shared" si="7"/>
        <v>27052587</v>
      </c>
      <c r="D27" s="214">
        <v>27055409</v>
      </c>
      <c r="E27" s="215">
        <f t="shared" si="8"/>
        <v>2822</v>
      </c>
      <c r="F27" s="226">
        <f t="shared" si="9"/>
        <v>-150</v>
      </c>
      <c r="G27" s="227">
        <f>(E27/'Finance Only'!B30)*100</f>
        <v>12.341467681273507</v>
      </c>
      <c r="H27" s="237">
        <f t="shared" si="10"/>
        <v>24973156</v>
      </c>
      <c r="I27" s="214">
        <v>24977325</v>
      </c>
      <c r="J27" s="214">
        <f t="shared" si="11"/>
        <v>4169</v>
      </c>
      <c r="K27" s="238">
        <f t="shared" si="12"/>
        <v>489</v>
      </c>
      <c r="L27" s="239">
        <f>(J27/'Finance Only'!B30)*100</f>
        <v>18.232309979882796</v>
      </c>
      <c r="M27" s="222">
        <f t="shared" si="13"/>
        <v>92038290</v>
      </c>
      <c r="N27" s="216">
        <v>92049075</v>
      </c>
      <c r="O27" s="217">
        <f t="shared" si="14"/>
        <v>10785</v>
      </c>
      <c r="P27" s="230">
        <f t="shared" si="15"/>
        <v>1443</v>
      </c>
      <c r="Q27" s="231">
        <f>(O27/'Finance Only'!B30)*100</f>
        <v>47.166098136971925</v>
      </c>
      <c r="R27" s="221">
        <f t="shared" si="16"/>
        <v>3051200</v>
      </c>
      <c r="S27" s="216">
        <v>3053700</v>
      </c>
      <c r="T27" s="217">
        <f t="shared" si="17"/>
        <v>2500</v>
      </c>
      <c r="U27" s="230">
        <f t="shared" si="18"/>
        <v>200</v>
      </c>
      <c r="V27" s="231">
        <f>(T27/'Finance Only'!B30)*100</f>
        <v>10.933263360447826</v>
      </c>
      <c r="W27" s="216">
        <f t="shared" si="19"/>
        <v>4122895</v>
      </c>
      <c r="X27" s="216">
        <v>4125733</v>
      </c>
      <c r="Y27" s="217">
        <f t="shared" si="20"/>
        <v>2838</v>
      </c>
      <c r="Z27" s="230">
        <f t="shared" si="21"/>
        <v>138</v>
      </c>
      <c r="AA27" s="231">
        <f>(Y27/'Finance Only'!B30)*100</f>
        <v>12.411440566780373</v>
      </c>
      <c r="AB27" s="216">
        <f t="shared" si="22"/>
        <v>2677600</v>
      </c>
      <c r="AC27" s="216">
        <v>2679600</v>
      </c>
      <c r="AD27" s="217">
        <f t="shared" si="0"/>
        <v>2000</v>
      </c>
      <c r="AE27" s="325">
        <f>AD27/WATER!V28</f>
        <v>6.9444444444444446</v>
      </c>
      <c r="AF27" s="230">
        <f t="shared" si="23"/>
        <v>700</v>
      </c>
      <c r="AG27" s="231">
        <f>(AD27/'Finance Only'!B30)*100</f>
        <v>8.7466106883582615</v>
      </c>
      <c r="AH27" s="216">
        <f t="shared" si="24"/>
        <v>1086713</v>
      </c>
      <c r="AI27" s="216">
        <v>1087210</v>
      </c>
      <c r="AJ27" s="217">
        <f t="shared" si="25"/>
        <v>497</v>
      </c>
      <c r="AK27" s="230">
        <f t="shared" si="26"/>
        <v>72</v>
      </c>
      <c r="AL27" s="231">
        <f>(AJ27/'Finance Only'!B30)*100</f>
        <v>2.1735327560570279</v>
      </c>
      <c r="AM27" s="216">
        <f t="shared" si="27"/>
        <v>1092000</v>
      </c>
      <c r="AN27" s="216">
        <v>1092800</v>
      </c>
      <c r="AO27" s="217">
        <f t="shared" si="28"/>
        <v>800</v>
      </c>
      <c r="AP27" s="230">
        <f t="shared" si="29"/>
        <v>100</v>
      </c>
      <c r="AQ27" s="231">
        <f>(AO27/'Finance Only'!B30)*100</f>
        <v>3.4986442753433042</v>
      </c>
      <c r="AR27" s="216">
        <f t="shared" si="30"/>
        <v>2454000</v>
      </c>
      <c r="AS27" s="216">
        <v>2455100</v>
      </c>
      <c r="AT27" s="217">
        <f t="shared" si="31"/>
        <v>1100</v>
      </c>
      <c r="AU27" s="230">
        <f t="shared" si="32"/>
        <v>400</v>
      </c>
      <c r="AV27" s="231">
        <f>(AT27/'Finance Only'!B30)*100</f>
        <v>4.8106358785970436</v>
      </c>
      <c r="AW27" s="216">
        <f t="shared" si="33"/>
        <v>11439</v>
      </c>
      <c r="AX27" s="216">
        <v>11823</v>
      </c>
      <c r="AY27" s="217">
        <f t="shared" si="34"/>
        <v>384</v>
      </c>
      <c r="AZ27" s="230">
        <f t="shared" si="35"/>
        <v>49</v>
      </c>
      <c r="BA27" s="231">
        <f>(AY27/'Finance Only'!B30)*100</f>
        <v>1.6793492521647861</v>
      </c>
      <c r="BB27" s="216">
        <f t="shared" si="36"/>
        <v>992470</v>
      </c>
      <c r="BC27" s="216">
        <v>992820</v>
      </c>
      <c r="BD27" s="217">
        <f t="shared" si="37"/>
        <v>350</v>
      </c>
      <c r="BE27" s="230">
        <f t="shared" si="38"/>
        <v>40</v>
      </c>
      <c r="BF27" s="231">
        <f>(BD27/'Finance Only'!B30)*100</f>
        <v>1.5306568704626957</v>
      </c>
      <c r="BG27" s="216">
        <f t="shared" si="39"/>
        <v>1070700</v>
      </c>
      <c r="BH27" s="216">
        <v>1071000</v>
      </c>
      <c r="BI27" s="217">
        <f t="shared" si="40"/>
        <v>300</v>
      </c>
      <c r="BJ27" s="230">
        <f t="shared" si="41"/>
        <v>100</v>
      </c>
      <c r="BK27" s="231">
        <f>(BI27/'Finance Only'!B30)*100</f>
        <v>1.3119916032537391</v>
      </c>
      <c r="BL27" s="216">
        <f t="shared" si="42"/>
        <v>1587400</v>
      </c>
      <c r="BM27" s="216">
        <v>1587900</v>
      </c>
      <c r="BN27" s="217">
        <f t="shared" si="43"/>
        <v>500</v>
      </c>
      <c r="BO27" s="230">
        <f t="shared" si="44"/>
        <v>0</v>
      </c>
      <c r="BP27" s="231">
        <f>(BN27/'Finance Only'!B30)*100</f>
        <v>2.1866526720895654</v>
      </c>
      <c r="BQ27" s="216">
        <f t="shared" si="45"/>
        <v>135390</v>
      </c>
      <c r="BR27" s="216">
        <v>135510</v>
      </c>
      <c r="BS27" s="217">
        <f t="shared" si="46"/>
        <v>120</v>
      </c>
      <c r="BT27" s="230">
        <f t="shared" si="47"/>
        <v>10</v>
      </c>
      <c r="BU27" s="231">
        <f>(BS27/'Finance Only'!B30)*100</f>
        <v>0.52479664130149573</v>
      </c>
      <c r="BV27" s="216">
        <f t="shared" si="48"/>
        <v>577940</v>
      </c>
      <c r="BW27" s="216">
        <v>578400</v>
      </c>
      <c r="BX27" s="217">
        <f t="shared" si="49"/>
        <v>460</v>
      </c>
      <c r="BY27" s="230">
        <f t="shared" si="50"/>
        <v>30</v>
      </c>
      <c r="BZ27" s="231">
        <f>(BX27/'Finance Only'!B30)*100</f>
        <v>2.0117204583224</v>
      </c>
      <c r="CA27" s="216">
        <f t="shared" si="51"/>
        <v>1070500</v>
      </c>
      <c r="CB27" s="216">
        <v>1071700</v>
      </c>
      <c r="CC27" s="217">
        <f t="shared" si="52"/>
        <v>1200</v>
      </c>
      <c r="CD27" s="230">
        <f t="shared" si="53"/>
        <v>100</v>
      </c>
      <c r="CE27" s="231">
        <f>(CC27/'Finance Only'!B30)*100</f>
        <v>5.2479664130149564</v>
      </c>
      <c r="CF27" s="216">
        <f t="shared" si="54"/>
        <v>348370</v>
      </c>
      <c r="CG27" s="216">
        <v>348850</v>
      </c>
      <c r="CH27" s="217">
        <f t="shared" si="55"/>
        <v>480</v>
      </c>
      <c r="CI27" s="230">
        <f t="shared" si="56"/>
        <v>20</v>
      </c>
      <c r="CJ27" s="231">
        <f>(CH27/'Finance Only'!B30)*100</f>
        <v>2.0991865652059829</v>
      </c>
      <c r="CK27" s="217">
        <f t="shared" si="57"/>
        <v>820370</v>
      </c>
      <c r="CL27" s="217">
        <v>821390</v>
      </c>
      <c r="CM27" s="217">
        <f t="shared" si="58"/>
        <v>1020</v>
      </c>
      <c r="CN27" s="230">
        <f t="shared" si="59"/>
        <v>150</v>
      </c>
      <c r="CO27" s="231">
        <f>(CM27/'Finance Only'!B30)*100</f>
        <v>4.4607714510627128</v>
      </c>
      <c r="CP27" s="216">
        <f t="shared" si="110"/>
        <v>679570</v>
      </c>
      <c r="CQ27" s="216">
        <v>680300</v>
      </c>
      <c r="CR27" s="218">
        <f t="shared" si="109"/>
        <v>730</v>
      </c>
      <c r="CS27" s="230">
        <f t="shared" si="60"/>
        <v>130</v>
      </c>
      <c r="CT27" s="231">
        <f>(CR27/'Finance Only'!B30)*100</f>
        <v>3.1925129012507649</v>
      </c>
      <c r="CU27" s="216">
        <f t="shared" si="61"/>
        <v>563870</v>
      </c>
      <c r="CV27" s="216">
        <v>564520</v>
      </c>
      <c r="CW27" s="217">
        <f t="shared" si="62"/>
        <v>650</v>
      </c>
      <c r="CX27" s="230">
        <f t="shared" si="63"/>
        <v>110</v>
      </c>
      <c r="CY27" s="231">
        <f>(CW27/'Finance Only'!B30)*100</f>
        <v>2.842648473716435</v>
      </c>
      <c r="CZ27" s="216">
        <f t="shared" si="64"/>
        <v>943270</v>
      </c>
      <c r="DA27" s="216">
        <v>944220</v>
      </c>
      <c r="DB27" s="217">
        <f t="shared" si="65"/>
        <v>950</v>
      </c>
      <c r="DC27" s="230">
        <f t="shared" si="66"/>
        <v>120</v>
      </c>
      <c r="DD27" s="231">
        <f>(DB27/'Finance Only'!B30)*100</f>
        <v>4.1546400769701748</v>
      </c>
      <c r="DE27" s="216">
        <f t="shared" si="67"/>
        <v>722660</v>
      </c>
      <c r="DF27" s="216">
        <v>723520</v>
      </c>
      <c r="DG27" s="217">
        <f t="shared" si="68"/>
        <v>860</v>
      </c>
      <c r="DH27" s="230">
        <f t="shared" si="69"/>
        <v>120</v>
      </c>
      <c r="DI27" s="231">
        <f>(DG27/'Finance Only'!B30)*100</f>
        <v>3.7610425959940526</v>
      </c>
      <c r="DJ27" s="216">
        <f t="shared" si="70"/>
        <v>627660</v>
      </c>
      <c r="DK27" s="216">
        <v>628580</v>
      </c>
      <c r="DL27" s="217">
        <f t="shared" si="71"/>
        <v>920</v>
      </c>
      <c r="DM27" s="230">
        <f t="shared" si="72"/>
        <v>470</v>
      </c>
      <c r="DN27" s="231">
        <f>(DL27/'Finance Only'!B30)*100</f>
        <v>4.0234409166448</v>
      </c>
      <c r="DO27" s="216">
        <f t="shared" si="73"/>
        <v>342070</v>
      </c>
      <c r="DP27" s="216">
        <v>342320</v>
      </c>
      <c r="DQ27" s="217">
        <f t="shared" si="74"/>
        <v>250</v>
      </c>
      <c r="DR27" s="230">
        <f t="shared" si="75"/>
        <v>-50</v>
      </c>
      <c r="DS27" s="231">
        <f>(DQ27/'Finance Only'!B30)*100</f>
        <v>1.0933263360447827</v>
      </c>
      <c r="DT27" s="216">
        <f t="shared" si="76"/>
        <v>111750</v>
      </c>
      <c r="DU27" s="216">
        <v>111890</v>
      </c>
      <c r="DV27" s="217">
        <f t="shared" si="77"/>
        <v>140</v>
      </c>
      <c r="DW27" s="230">
        <f t="shared" si="78"/>
        <v>10</v>
      </c>
      <c r="DX27" s="231">
        <f>(DV27/'Finance Only'!B30)*100</f>
        <v>0.61226274818507831</v>
      </c>
      <c r="DY27" s="216">
        <f t="shared" si="79"/>
        <v>71596</v>
      </c>
      <c r="DZ27" s="216">
        <v>71678</v>
      </c>
      <c r="EA27" s="217">
        <f t="shared" si="80"/>
        <v>82</v>
      </c>
      <c r="EB27" s="230">
        <f t="shared" si="81"/>
        <v>-2</v>
      </c>
      <c r="EC27" s="231">
        <f>(EA27/'Finance Only'!B30)*100</f>
        <v>0.35861103822268875</v>
      </c>
      <c r="ED27" s="216">
        <f t="shared" si="82"/>
        <v>228450</v>
      </c>
      <c r="EE27" s="216">
        <v>228720</v>
      </c>
      <c r="EF27" s="217">
        <f t="shared" si="83"/>
        <v>270</v>
      </c>
      <c r="EG27" s="230">
        <f t="shared" si="84"/>
        <v>10</v>
      </c>
      <c r="EH27" s="231">
        <f>(EF27/'Finance Only'!B30)*100</f>
        <v>1.1807924429283654</v>
      </c>
      <c r="EI27" s="216">
        <f t="shared" si="85"/>
        <v>256720</v>
      </c>
      <c r="EJ27" s="216">
        <v>256970</v>
      </c>
      <c r="EK27" s="217">
        <f t="shared" si="86"/>
        <v>250</v>
      </c>
      <c r="EL27" s="230">
        <f t="shared" si="87"/>
        <v>-90</v>
      </c>
      <c r="EM27" s="231">
        <f>(EK27/'Finance Only'!B30)*100</f>
        <v>1.0933263360447827</v>
      </c>
      <c r="EN27" s="216">
        <f t="shared" si="88"/>
        <v>423230</v>
      </c>
      <c r="EO27" s="216">
        <v>423700</v>
      </c>
      <c r="EP27" s="217">
        <f t="shared" si="89"/>
        <v>470</v>
      </c>
      <c r="EQ27" s="230">
        <f t="shared" si="90"/>
        <v>-10</v>
      </c>
      <c r="ER27" s="231">
        <f>(EP27/'Finance Only'!B30)*100</f>
        <v>2.0554535117641914</v>
      </c>
      <c r="ES27" s="216">
        <f t="shared" si="91"/>
        <v>0</v>
      </c>
      <c r="ET27" s="216"/>
      <c r="EU27" s="217">
        <f t="shared" si="92"/>
        <v>0</v>
      </c>
      <c r="EV27" s="230">
        <f t="shared" si="93"/>
        <v>0</v>
      </c>
      <c r="EW27" s="231">
        <f>(EU27/'Finance Only'!B30)*100</f>
        <v>0</v>
      </c>
      <c r="EX27" s="216">
        <f t="shared" si="94"/>
        <v>0</v>
      </c>
      <c r="EY27" s="216"/>
      <c r="EZ27" s="217">
        <f t="shared" si="95"/>
        <v>0</v>
      </c>
      <c r="FA27" s="230">
        <f t="shared" si="96"/>
        <v>0</v>
      </c>
      <c r="FB27" s="231">
        <f>(EZ27/'Finance Only'!G30)*100</f>
        <v>0</v>
      </c>
      <c r="FC27" s="216">
        <f>FD26</f>
        <v>0</v>
      </c>
      <c r="FD27" s="216"/>
      <c r="FE27" s="217">
        <f t="shared" si="98"/>
        <v>0</v>
      </c>
      <c r="FF27" s="230">
        <f t="shared" si="99"/>
        <v>0</v>
      </c>
      <c r="FG27" s="231" t="e">
        <f>(FE27/'Finance Only'!M30)*100</f>
        <v>#DIV/0!</v>
      </c>
      <c r="FH27" s="304"/>
      <c r="FI27" s="304"/>
      <c r="FJ27" s="304"/>
      <c r="FK27" s="304"/>
      <c r="FL27" s="304"/>
      <c r="FM27" s="216">
        <f t="shared" si="100"/>
        <v>0</v>
      </c>
      <c r="FN27" s="216"/>
      <c r="FO27" s="217">
        <f t="shared" si="101"/>
        <v>0</v>
      </c>
      <c r="FP27" s="230">
        <f t="shared" si="102"/>
        <v>0</v>
      </c>
      <c r="FQ27" s="231" t="e">
        <f>(FO27/'Finance Only'!R30)*100</f>
        <v>#DIV/0!</v>
      </c>
      <c r="FR27" s="216">
        <f t="shared" si="103"/>
        <v>0</v>
      </c>
      <c r="FS27" s="216"/>
      <c r="FT27" s="217">
        <f t="shared" si="104"/>
        <v>0</v>
      </c>
      <c r="FU27" s="230">
        <f t="shared" si="105"/>
        <v>0</v>
      </c>
      <c r="FV27" s="231" t="e">
        <f>(FT27/'Finance Only'!W30)*100</f>
        <v>#DIV/0!</v>
      </c>
      <c r="FW27" s="216">
        <f t="shared" si="106"/>
        <v>0</v>
      </c>
      <c r="FX27" s="216"/>
      <c r="FY27" s="217">
        <f t="shared" si="107"/>
        <v>0</v>
      </c>
      <c r="FZ27" s="230">
        <f t="shared" si="108"/>
        <v>0</v>
      </c>
      <c r="GA27" s="231" t="e">
        <f>(FY27/'Finance Only'!AB30)*100</f>
        <v>#DIV/0!</v>
      </c>
      <c r="GB27" s="280"/>
      <c r="GC27" s="286">
        <f t="shared" si="1"/>
        <v>6991</v>
      </c>
      <c r="GD27" s="283"/>
      <c r="GE27" s="286">
        <f t="shared" si="2"/>
        <v>6410</v>
      </c>
      <c r="GF27" s="283"/>
      <c r="GG27" s="286">
        <f t="shared" si="3"/>
        <v>1900</v>
      </c>
      <c r="GH27" s="283"/>
      <c r="GI27" s="286">
        <f t="shared" si="4"/>
        <v>1034</v>
      </c>
      <c r="GJ27" s="283"/>
      <c r="GK27" s="286">
        <f t="shared" si="5"/>
        <v>620</v>
      </c>
      <c r="GL27" s="283"/>
      <c r="GM27" s="286">
        <f t="shared" si="6"/>
        <v>0</v>
      </c>
      <c r="GN27" s="283"/>
    </row>
    <row r="28" spans="1:1105" s="74" customFormat="1" ht="13.5" customHeight="1" x14ac:dyDescent="0.2">
      <c r="A28" s="271">
        <v>24</v>
      </c>
      <c r="B28" s="274">
        <f>'Finance Only'!G31</f>
        <v>26.2</v>
      </c>
      <c r="C28" s="269">
        <f t="shared" si="7"/>
        <v>27055409</v>
      </c>
      <c r="D28" s="214">
        <v>27058637</v>
      </c>
      <c r="E28" s="215">
        <f t="shared" si="8"/>
        <v>3228</v>
      </c>
      <c r="F28" s="226">
        <f t="shared" si="9"/>
        <v>406</v>
      </c>
      <c r="G28" s="227">
        <f>(E28/'Finance Only'!B31)*100</f>
        <v>13.361480193716627</v>
      </c>
      <c r="H28" s="237">
        <f t="shared" si="10"/>
        <v>24977325</v>
      </c>
      <c r="I28" s="214">
        <v>24981773</v>
      </c>
      <c r="J28" s="214">
        <f t="shared" si="11"/>
        <v>4448</v>
      </c>
      <c r="K28" s="238">
        <f t="shared" si="12"/>
        <v>279</v>
      </c>
      <c r="L28" s="239">
        <f>(J28/'Finance Only'!B31)*100</f>
        <v>18.411358086013493</v>
      </c>
      <c r="M28" s="222">
        <f t="shared" si="13"/>
        <v>92049075</v>
      </c>
      <c r="N28" s="216">
        <v>92060193</v>
      </c>
      <c r="O28" s="217">
        <f t="shared" si="14"/>
        <v>11118</v>
      </c>
      <c r="P28" s="230">
        <f t="shared" si="15"/>
        <v>333</v>
      </c>
      <c r="Q28" s="231">
        <f>(O28/'Finance Only'!B31)*100</f>
        <v>46.020116726685707</v>
      </c>
      <c r="R28" s="221">
        <f t="shared" si="16"/>
        <v>3053700</v>
      </c>
      <c r="S28" s="216">
        <v>3056400</v>
      </c>
      <c r="T28" s="217">
        <f t="shared" si="17"/>
        <v>2700</v>
      </c>
      <c r="U28" s="230">
        <f t="shared" si="18"/>
        <v>200</v>
      </c>
      <c r="V28" s="231">
        <f>(T28/'Finance Only'!B31)*100</f>
        <v>11.175959269837328</v>
      </c>
      <c r="W28" s="216">
        <f t="shared" si="19"/>
        <v>4125733</v>
      </c>
      <c r="X28" s="216">
        <v>4128630</v>
      </c>
      <c r="Y28" s="217">
        <f t="shared" si="20"/>
        <v>2897</v>
      </c>
      <c r="Z28" s="230">
        <f t="shared" si="21"/>
        <v>59</v>
      </c>
      <c r="AA28" s="231">
        <f>(Y28/'Finance Only'!B31)*100</f>
        <v>11.991390372118051</v>
      </c>
      <c r="AB28" s="216">
        <f t="shared" si="22"/>
        <v>2679600</v>
      </c>
      <c r="AC28" s="216">
        <v>2681500</v>
      </c>
      <c r="AD28" s="217">
        <f t="shared" si="0"/>
        <v>1900</v>
      </c>
      <c r="AE28" s="325">
        <f>AD28/WATER!V29</f>
        <v>6.129032258064516</v>
      </c>
      <c r="AF28" s="230">
        <f t="shared" si="23"/>
        <v>-100</v>
      </c>
      <c r="AG28" s="231">
        <f>(AD28/'Finance Only'!B31)*100</f>
        <v>7.8645639306262671</v>
      </c>
      <c r="AH28" s="216">
        <f t="shared" si="24"/>
        <v>1087210</v>
      </c>
      <c r="AI28" s="216">
        <v>1087698</v>
      </c>
      <c r="AJ28" s="217">
        <f t="shared" si="25"/>
        <v>488</v>
      </c>
      <c r="AK28" s="230">
        <f t="shared" si="26"/>
        <v>-9</v>
      </c>
      <c r="AL28" s="231">
        <f>(AJ28/'Finance Only'!B31)*100</f>
        <v>2.0199511569187467</v>
      </c>
      <c r="AM28" s="216">
        <f t="shared" si="27"/>
        <v>1092800</v>
      </c>
      <c r="AN28" s="216">
        <v>1093500</v>
      </c>
      <c r="AO28" s="217">
        <f t="shared" si="28"/>
        <v>700</v>
      </c>
      <c r="AP28" s="230">
        <f t="shared" si="29"/>
        <v>-100</v>
      </c>
      <c r="AQ28" s="231">
        <f>(AO28/'Finance Only'!B31)*100</f>
        <v>2.8974709218096772</v>
      </c>
      <c r="AR28" s="216">
        <f t="shared" si="30"/>
        <v>2455100</v>
      </c>
      <c r="AS28" s="216">
        <v>2455800</v>
      </c>
      <c r="AT28" s="217">
        <f t="shared" si="31"/>
        <v>700</v>
      </c>
      <c r="AU28" s="230">
        <f t="shared" si="32"/>
        <v>-400</v>
      </c>
      <c r="AV28" s="231">
        <f>(AT28/'Finance Only'!B31)*100</f>
        <v>2.8974709218096772</v>
      </c>
      <c r="AW28" s="216">
        <f t="shared" si="33"/>
        <v>11823</v>
      </c>
      <c r="AX28" s="216">
        <v>12206</v>
      </c>
      <c r="AY28" s="217">
        <f t="shared" si="34"/>
        <v>383</v>
      </c>
      <c r="AZ28" s="230">
        <f t="shared" si="35"/>
        <v>-1</v>
      </c>
      <c r="BA28" s="231">
        <f>(AY28/'Finance Only'!B31)*100</f>
        <v>1.585330518647295</v>
      </c>
      <c r="BB28" s="216">
        <f t="shared" si="36"/>
        <v>992820</v>
      </c>
      <c r="BC28" s="216">
        <v>993190</v>
      </c>
      <c r="BD28" s="217">
        <f t="shared" si="37"/>
        <v>370</v>
      </c>
      <c r="BE28" s="230">
        <f t="shared" si="38"/>
        <v>20</v>
      </c>
      <c r="BF28" s="231">
        <f>(BD28/'Finance Only'!B31)*100</f>
        <v>1.5315203443851153</v>
      </c>
      <c r="BG28" s="216">
        <f t="shared" si="39"/>
        <v>1071000</v>
      </c>
      <c r="BH28" s="216">
        <v>1071300</v>
      </c>
      <c r="BI28" s="217">
        <f t="shared" si="40"/>
        <v>300</v>
      </c>
      <c r="BJ28" s="230">
        <f t="shared" si="41"/>
        <v>0</v>
      </c>
      <c r="BK28" s="231">
        <f>(BI28/'Finance Only'!B31)*100</f>
        <v>1.2417732522041476</v>
      </c>
      <c r="BL28" s="216">
        <f t="shared" si="42"/>
        <v>1587900</v>
      </c>
      <c r="BM28" s="216">
        <v>1588500</v>
      </c>
      <c r="BN28" s="217">
        <f t="shared" si="43"/>
        <v>600</v>
      </c>
      <c r="BO28" s="230">
        <f t="shared" si="44"/>
        <v>100</v>
      </c>
      <c r="BP28" s="231">
        <f>(BN28/'Finance Only'!B31)*100</f>
        <v>2.4835465044082952</v>
      </c>
      <c r="BQ28" s="216">
        <f t="shared" si="45"/>
        <v>135510</v>
      </c>
      <c r="BR28" s="216">
        <v>135640</v>
      </c>
      <c r="BS28" s="217">
        <f t="shared" si="46"/>
        <v>130</v>
      </c>
      <c r="BT28" s="230">
        <f t="shared" si="47"/>
        <v>10</v>
      </c>
      <c r="BU28" s="231">
        <f>(BS28/'Finance Only'!B31)*100</f>
        <v>0.53810174262179722</v>
      </c>
      <c r="BV28" s="216">
        <f t="shared" si="48"/>
        <v>578400</v>
      </c>
      <c r="BW28" s="216">
        <v>578840</v>
      </c>
      <c r="BX28" s="217">
        <f t="shared" si="49"/>
        <v>440</v>
      </c>
      <c r="BY28" s="230">
        <f t="shared" si="50"/>
        <v>-20</v>
      </c>
      <c r="BZ28" s="231">
        <f>(BX28/'Finance Only'!B31)*100</f>
        <v>1.821267436566083</v>
      </c>
      <c r="CA28" s="216">
        <f t="shared" si="51"/>
        <v>1071700</v>
      </c>
      <c r="CB28" s="216">
        <v>1072900</v>
      </c>
      <c r="CC28" s="217">
        <f t="shared" si="52"/>
        <v>1200</v>
      </c>
      <c r="CD28" s="230">
        <f t="shared" si="53"/>
        <v>0</v>
      </c>
      <c r="CE28" s="231">
        <f>(CC28/'Finance Only'!B31)*100</f>
        <v>4.9670930088165903</v>
      </c>
      <c r="CF28" s="216">
        <f t="shared" si="54"/>
        <v>348850</v>
      </c>
      <c r="CG28" s="216">
        <v>349320</v>
      </c>
      <c r="CH28" s="217">
        <f t="shared" si="55"/>
        <v>470</v>
      </c>
      <c r="CI28" s="230">
        <f t="shared" si="56"/>
        <v>-10</v>
      </c>
      <c r="CJ28" s="231">
        <f>(CH28/'Finance Only'!B31)*100</f>
        <v>1.9454447617864978</v>
      </c>
      <c r="CK28" s="217">
        <f t="shared" si="57"/>
        <v>821390</v>
      </c>
      <c r="CL28" s="217">
        <v>822240</v>
      </c>
      <c r="CM28" s="217">
        <f t="shared" si="58"/>
        <v>850</v>
      </c>
      <c r="CN28" s="230">
        <f t="shared" si="59"/>
        <v>-170</v>
      </c>
      <c r="CO28" s="231">
        <f>(CM28/'Finance Only'!B31)*100</f>
        <v>3.518357547911751</v>
      </c>
      <c r="CP28" s="216">
        <f t="shared" si="110"/>
        <v>680300</v>
      </c>
      <c r="CQ28" s="216">
        <v>681160</v>
      </c>
      <c r="CR28" s="218">
        <f t="shared" si="109"/>
        <v>860</v>
      </c>
      <c r="CS28" s="230">
        <f t="shared" si="60"/>
        <v>130</v>
      </c>
      <c r="CT28" s="231">
        <f>(CR28/'Finance Only'!B31)*100</f>
        <v>3.5597499896518898</v>
      </c>
      <c r="CU28" s="216">
        <f t="shared" si="61"/>
        <v>564520</v>
      </c>
      <c r="CV28" s="216">
        <v>565140</v>
      </c>
      <c r="CW28" s="217">
        <f t="shared" si="62"/>
        <v>620</v>
      </c>
      <c r="CX28" s="230">
        <f t="shared" si="63"/>
        <v>-30</v>
      </c>
      <c r="CY28" s="231">
        <f>(CW28/'Finance Only'!B31)*100</f>
        <v>2.5663313878885714</v>
      </c>
      <c r="CZ28" s="216">
        <f t="shared" si="64"/>
        <v>944220</v>
      </c>
      <c r="DA28" s="216">
        <v>945340</v>
      </c>
      <c r="DB28" s="217">
        <f t="shared" si="65"/>
        <v>1120</v>
      </c>
      <c r="DC28" s="230">
        <f t="shared" si="66"/>
        <v>170</v>
      </c>
      <c r="DD28" s="231">
        <f>(DB28/'Finance Only'!B31)*100</f>
        <v>4.6359534748954845</v>
      </c>
      <c r="DE28" s="216">
        <f t="shared" si="67"/>
        <v>723520</v>
      </c>
      <c r="DF28" s="216">
        <v>724400</v>
      </c>
      <c r="DG28" s="217">
        <f t="shared" si="68"/>
        <v>880</v>
      </c>
      <c r="DH28" s="230">
        <f t="shared" si="69"/>
        <v>20</v>
      </c>
      <c r="DI28" s="231">
        <f>(DG28/'Finance Only'!B31)*100</f>
        <v>3.6425348731321661</v>
      </c>
      <c r="DJ28" s="216">
        <f t="shared" si="70"/>
        <v>628580</v>
      </c>
      <c r="DK28" s="216">
        <v>629290</v>
      </c>
      <c r="DL28" s="217">
        <f t="shared" si="71"/>
        <v>710</v>
      </c>
      <c r="DM28" s="230">
        <f t="shared" si="72"/>
        <v>-210</v>
      </c>
      <c r="DN28" s="231">
        <f>(DL28/'Finance Only'!B31)*100</f>
        <v>2.938863363549816</v>
      </c>
      <c r="DO28" s="216">
        <f t="shared" si="73"/>
        <v>342320</v>
      </c>
      <c r="DP28" s="216">
        <v>342640</v>
      </c>
      <c r="DQ28" s="217">
        <f t="shared" si="74"/>
        <v>320</v>
      </c>
      <c r="DR28" s="230">
        <f t="shared" si="75"/>
        <v>70</v>
      </c>
      <c r="DS28" s="231">
        <f>(DQ28/'Finance Only'!B31)*100</f>
        <v>1.324558135684424</v>
      </c>
      <c r="DT28" s="216">
        <f t="shared" si="76"/>
        <v>111890</v>
      </c>
      <c r="DU28" s="216">
        <v>112000</v>
      </c>
      <c r="DV28" s="217">
        <f t="shared" si="77"/>
        <v>110</v>
      </c>
      <c r="DW28" s="230">
        <f t="shared" si="78"/>
        <v>-30</v>
      </c>
      <c r="DX28" s="231">
        <f>(DV28/'Finance Only'!B31)*100</f>
        <v>0.45531685914152076</v>
      </c>
      <c r="DY28" s="216">
        <f t="shared" si="79"/>
        <v>71678</v>
      </c>
      <c r="DZ28" s="216">
        <v>71760</v>
      </c>
      <c r="EA28" s="217">
        <f t="shared" si="80"/>
        <v>82</v>
      </c>
      <c r="EB28" s="230">
        <f t="shared" si="81"/>
        <v>0</v>
      </c>
      <c r="EC28" s="231">
        <f>(EA28/'Finance Only'!B31)*100</f>
        <v>0.33941802226913365</v>
      </c>
      <c r="ED28" s="216">
        <f t="shared" si="82"/>
        <v>228720</v>
      </c>
      <c r="EE28" s="216">
        <v>228970</v>
      </c>
      <c r="EF28" s="217">
        <f t="shared" si="83"/>
        <v>250</v>
      </c>
      <c r="EG28" s="230">
        <f t="shared" si="84"/>
        <v>-20</v>
      </c>
      <c r="EH28" s="231">
        <f>(EF28/'Finance Only'!B31)*100</f>
        <v>1.0348110435034563</v>
      </c>
      <c r="EI28" s="216">
        <f t="shared" si="85"/>
        <v>256970</v>
      </c>
      <c r="EJ28" s="216">
        <v>257310</v>
      </c>
      <c r="EK28" s="217">
        <f t="shared" si="86"/>
        <v>340</v>
      </c>
      <c r="EL28" s="230">
        <f t="shared" si="87"/>
        <v>90</v>
      </c>
      <c r="EM28" s="231">
        <f>(EK28/'Finance Only'!B31)*100</f>
        <v>1.4073430191647005</v>
      </c>
      <c r="EN28" s="216">
        <f t="shared" si="88"/>
        <v>423700</v>
      </c>
      <c r="EO28" s="216">
        <v>424160</v>
      </c>
      <c r="EP28" s="217">
        <f t="shared" si="89"/>
        <v>460</v>
      </c>
      <c r="EQ28" s="230">
        <f t="shared" si="90"/>
        <v>-10</v>
      </c>
      <c r="ER28" s="231">
        <f>(EP28/'Finance Only'!B31)*100</f>
        <v>1.9040523200463593</v>
      </c>
      <c r="ES28" s="216">
        <f t="shared" si="91"/>
        <v>0</v>
      </c>
      <c r="ET28" s="216"/>
      <c r="EU28" s="217">
        <f t="shared" si="92"/>
        <v>0</v>
      </c>
      <c r="EV28" s="230">
        <f t="shared" si="93"/>
        <v>0</v>
      </c>
      <c r="EW28" s="231">
        <f>(EU28/'Finance Only'!B31)*100</f>
        <v>0</v>
      </c>
      <c r="EX28" s="216">
        <f t="shared" si="94"/>
        <v>0</v>
      </c>
      <c r="EY28" s="216"/>
      <c r="EZ28" s="217">
        <f t="shared" si="95"/>
        <v>0</v>
      </c>
      <c r="FA28" s="230">
        <f t="shared" si="96"/>
        <v>0</v>
      </c>
      <c r="FB28" s="231">
        <f>(EZ28/'Finance Only'!G31)*100</f>
        <v>0</v>
      </c>
      <c r="FC28" s="216">
        <f t="shared" si="97"/>
        <v>0</v>
      </c>
      <c r="FD28" s="216"/>
      <c r="FE28" s="217">
        <f t="shared" si="98"/>
        <v>0</v>
      </c>
      <c r="FF28" s="230">
        <f t="shared" si="99"/>
        <v>0</v>
      </c>
      <c r="FG28" s="231" t="e">
        <f>(FE28/'Finance Only'!M31)*100</f>
        <v>#DIV/0!</v>
      </c>
      <c r="FH28" s="304"/>
      <c r="FI28" s="304"/>
      <c r="FJ28" s="304"/>
      <c r="FK28" s="304"/>
      <c r="FL28" s="304"/>
      <c r="FM28" s="216">
        <f t="shared" si="100"/>
        <v>0</v>
      </c>
      <c r="FN28" s="216"/>
      <c r="FO28" s="217">
        <f t="shared" si="101"/>
        <v>0</v>
      </c>
      <c r="FP28" s="230">
        <f t="shared" si="102"/>
        <v>0</v>
      </c>
      <c r="FQ28" s="231" t="e">
        <f>(FO28/'Finance Only'!R31)*100</f>
        <v>#DIV/0!</v>
      </c>
      <c r="FR28" s="216">
        <f t="shared" si="103"/>
        <v>0</v>
      </c>
      <c r="FS28" s="216"/>
      <c r="FT28" s="217">
        <f t="shared" si="104"/>
        <v>0</v>
      </c>
      <c r="FU28" s="230">
        <f t="shared" si="105"/>
        <v>0</v>
      </c>
      <c r="FV28" s="231" t="e">
        <f>(FT28/'Finance Only'!W31)*100</f>
        <v>#DIV/0!</v>
      </c>
      <c r="FW28" s="216">
        <f t="shared" si="106"/>
        <v>0</v>
      </c>
      <c r="FX28" s="216"/>
      <c r="FY28" s="217">
        <f t="shared" si="107"/>
        <v>0</v>
      </c>
      <c r="FZ28" s="230">
        <f t="shared" si="108"/>
        <v>0</v>
      </c>
      <c r="GA28" s="231" t="e">
        <f>(FY28/'Finance Only'!AB31)*100</f>
        <v>#DIV/0!</v>
      </c>
      <c r="GB28" s="280"/>
      <c r="GC28" s="286">
        <f t="shared" si="1"/>
        <v>7676</v>
      </c>
      <c r="GD28" s="284"/>
      <c r="GE28" s="286">
        <f t="shared" si="2"/>
        <v>6729</v>
      </c>
      <c r="GF28" s="284"/>
      <c r="GG28" s="286">
        <f t="shared" si="3"/>
        <v>1400</v>
      </c>
      <c r="GH28" s="284"/>
      <c r="GI28" s="286">
        <f t="shared" si="4"/>
        <v>1053</v>
      </c>
      <c r="GJ28" s="284"/>
      <c r="GK28" s="286">
        <f t="shared" si="5"/>
        <v>730</v>
      </c>
      <c r="GL28" s="284"/>
      <c r="GM28" s="286">
        <f t="shared" si="6"/>
        <v>0</v>
      </c>
      <c r="GN28" s="284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71">
        <v>25</v>
      </c>
      <c r="B29" s="274">
        <f>'Finance Only'!G32</f>
        <v>23.8</v>
      </c>
      <c r="C29" s="269">
        <f t="shared" si="7"/>
        <v>27058637</v>
      </c>
      <c r="D29" s="214">
        <v>27062091</v>
      </c>
      <c r="E29" s="215">
        <f t="shared" si="8"/>
        <v>3454</v>
      </c>
      <c r="F29" s="226">
        <f t="shared" si="9"/>
        <v>226</v>
      </c>
      <c r="G29" s="227">
        <f>(E29/'Finance Only'!B32)*100</f>
        <v>13.752737407923551</v>
      </c>
      <c r="H29" s="237">
        <f t="shared" si="10"/>
        <v>24981773</v>
      </c>
      <c r="I29" s="214">
        <v>24986200</v>
      </c>
      <c r="J29" s="214">
        <f t="shared" si="11"/>
        <v>4427</v>
      </c>
      <c r="K29" s="238">
        <f t="shared" si="12"/>
        <v>-21</v>
      </c>
      <c r="L29" s="239">
        <f>(J29/'Finance Only'!B32)*100</f>
        <v>17.626916185546488</v>
      </c>
      <c r="M29" s="222">
        <f t="shared" si="13"/>
        <v>92060193</v>
      </c>
      <c r="N29" s="216">
        <v>92071750</v>
      </c>
      <c r="O29" s="217">
        <f t="shared" si="14"/>
        <v>11557</v>
      </c>
      <c r="P29" s="230">
        <f t="shared" si="15"/>
        <v>439</v>
      </c>
      <c r="Q29" s="231">
        <f>(O29/'Finance Only'!B32)*100</f>
        <v>46.016324905434999</v>
      </c>
      <c r="R29" s="221">
        <f t="shared" si="16"/>
        <v>3056400</v>
      </c>
      <c r="S29" s="216">
        <v>3058900</v>
      </c>
      <c r="T29" s="217">
        <f t="shared" si="17"/>
        <v>2500</v>
      </c>
      <c r="U29" s="230">
        <f t="shared" si="18"/>
        <v>-200</v>
      </c>
      <c r="V29" s="231">
        <f>(T29/'Finance Only'!B32)*100</f>
        <v>9.954210631096954</v>
      </c>
      <c r="W29" s="216">
        <f t="shared" si="19"/>
        <v>4128630</v>
      </c>
      <c r="X29" s="216">
        <v>4131334</v>
      </c>
      <c r="Y29" s="217">
        <f t="shared" si="20"/>
        <v>2704</v>
      </c>
      <c r="Z29" s="230">
        <f t="shared" si="21"/>
        <v>-193</v>
      </c>
      <c r="AA29" s="231">
        <f>(Y29/'Finance Only'!B32)*100</f>
        <v>10.766474218594466</v>
      </c>
      <c r="AB29" s="216">
        <f t="shared" si="22"/>
        <v>2681500</v>
      </c>
      <c r="AC29" s="216">
        <v>2683600</v>
      </c>
      <c r="AD29" s="217">
        <f t="shared" si="0"/>
        <v>2100</v>
      </c>
      <c r="AE29" s="325">
        <f>AD29/WATER!V30</f>
        <v>6.4024390243902438</v>
      </c>
      <c r="AF29" s="230">
        <f t="shared" si="23"/>
        <v>200</v>
      </c>
      <c r="AG29" s="231">
        <f>(AD29/'Finance Only'!B32)*100</f>
        <v>8.3615369301214404</v>
      </c>
      <c r="AH29" s="216">
        <f t="shared" si="24"/>
        <v>1087698</v>
      </c>
      <c r="AI29" s="216">
        <v>1088152</v>
      </c>
      <c r="AJ29" s="217">
        <f t="shared" si="25"/>
        <v>454</v>
      </c>
      <c r="AK29" s="230">
        <f t="shared" si="26"/>
        <v>-34</v>
      </c>
      <c r="AL29" s="231">
        <f>(AJ29/'Finance Only'!B32)*100</f>
        <v>1.8076846506072066</v>
      </c>
      <c r="AM29" s="216">
        <f t="shared" si="27"/>
        <v>1093500</v>
      </c>
      <c r="AN29" s="216">
        <v>1094200</v>
      </c>
      <c r="AO29" s="217">
        <f t="shared" si="28"/>
        <v>700</v>
      </c>
      <c r="AP29" s="230">
        <f t="shared" si="29"/>
        <v>0</v>
      </c>
      <c r="AQ29" s="231">
        <f>(AO29/'Finance Only'!B32)*100</f>
        <v>2.7871789767071471</v>
      </c>
      <c r="AR29" s="216">
        <f t="shared" si="30"/>
        <v>2455800</v>
      </c>
      <c r="AS29" s="216">
        <v>2456900</v>
      </c>
      <c r="AT29" s="217">
        <f t="shared" si="31"/>
        <v>1100</v>
      </c>
      <c r="AU29" s="230">
        <f t="shared" si="32"/>
        <v>400</v>
      </c>
      <c r="AV29" s="231">
        <f>(AT29/'Finance Only'!B32)*100</f>
        <v>4.3798526776826598</v>
      </c>
      <c r="AW29" s="216">
        <f t="shared" si="33"/>
        <v>12206</v>
      </c>
      <c r="AX29" s="216">
        <v>12588</v>
      </c>
      <c r="AY29" s="217">
        <f t="shared" si="34"/>
        <v>382</v>
      </c>
      <c r="AZ29" s="230">
        <f t="shared" si="35"/>
        <v>-1</v>
      </c>
      <c r="BA29" s="231">
        <f>(AY29/'Finance Only'!B32)*100</f>
        <v>1.5210033844316146</v>
      </c>
      <c r="BB29" s="216">
        <f t="shared" si="36"/>
        <v>993190</v>
      </c>
      <c r="BC29" s="216">
        <v>993580</v>
      </c>
      <c r="BD29" s="217">
        <f t="shared" si="37"/>
        <v>390</v>
      </c>
      <c r="BE29" s="230">
        <f t="shared" si="38"/>
        <v>20</v>
      </c>
      <c r="BF29" s="231">
        <f>(BD29/'Finance Only'!B32)*100</f>
        <v>1.5528568584511249</v>
      </c>
      <c r="BG29" s="216">
        <f t="shared" si="39"/>
        <v>1071300</v>
      </c>
      <c r="BH29" s="216">
        <v>1071500</v>
      </c>
      <c r="BI29" s="217">
        <f t="shared" si="40"/>
        <v>200</v>
      </c>
      <c r="BJ29" s="230">
        <f t="shared" si="41"/>
        <v>-100</v>
      </c>
      <c r="BK29" s="231">
        <f>(BI29/'Finance Only'!B32)*100</f>
        <v>0.79633685048775638</v>
      </c>
      <c r="BL29" s="216">
        <f t="shared" si="42"/>
        <v>1588500</v>
      </c>
      <c r="BM29" s="216">
        <v>1589100</v>
      </c>
      <c r="BN29" s="217">
        <f t="shared" si="43"/>
        <v>600</v>
      </c>
      <c r="BO29" s="230">
        <f t="shared" si="44"/>
        <v>0</v>
      </c>
      <c r="BP29" s="231">
        <f>(BN29/'Finance Only'!B32)*100</f>
        <v>2.3890105514632687</v>
      </c>
      <c r="BQ29" s="216">
        <f t="shared" si="45"/>
        <v>135640</v>
      </c>
      <c r="BR29" s="216">
        <v>135770</v>
      </c>
      <c r="BS29" s="217">
        <f t="shared" si="46"/>
        <v>130</v>
      </c>
      <c r="BT29" s="230">
        <f t="shared" si="47"/>
        <v>0</v>
      </c>
      <c r="BU29" s="231">
        <f>(BS29/'Finance Only'!B32)*100</f>
        <v>0.51761895281704162</v>
      </c>
      <c r="BV29" s="216">
        <f t="shared" si="48"/>
        <v>578840</v>
      </c>
      <c r="BW29" s="216">
        <v>579270</v>
      </c>
      <c r="BX29" s="217">
        <f t="shared" si="49"/>
        <v>430</v>
      </c>
      <c r="BY29" s="230">
        <f t="shared" si="50"/>
        <v>-10</v>
      </c>
      <c r="BZ29" s="231">
        <f>(BX29/'Finance Only'!B32)*100</f>
        <v>1.7121242285486762</v>
      </c>
      <c r="CA29" s="216">
        <f t="shared" si="51"/>
        <v>1072900</v>
      </c>
      <c r="CB29" s="216">
        <v>1074000</v>
      </c>
      <c r="CC29" s="217">
        <f t="shared" si="52"/>
        <v>1100</v>
      </c>
      <c r="CD29" s="230">
        <f t="shared" si="53"/>
        <v>-100</v>
      </c>
      <c r="CE29" s="231">
        <f>(CC29/'Finance Only'!B32)*100</f>
        <v>4.3798526776826598</v>
      </c>
      <c r="CF29" s="216">
        <f t="shared" si="54"/>
        <v>349320</v>
      </c>
      <c r="CG29" s="216">
        <v>349810</v>
      </c>
      <c r="CH29" s="217">
        <f t="shared" si="55"/>
        <v>490</v>
      </c>
      <c r="CI29" s="230">
        <f t="shared" si="56"/>
        <v>20</v>
      </c>
      <c r="CJ29" s="231">
        <f>(CH29/'Finance Only'!B32)*100</f>
        <v>1.9510252836950028</v>
      </c>
      <c r="CK29" s="217">
        <f t="shared" si="57"/>
        <v>822240</v>
      </c>
      <c r="CL29" s="217">
        <v>823040</v>
      </c>
      <c r="CM29" s="217">
        <f t="shared" si="58"/>
        <v>800</v>
      </c>
      <c r="CN29" s="230">
        <f t="shared" si="59"/>
        <v>-50</v>
      </c>
      <c r="CO29" s="231">
        <f>(CM29/'Finance Only'!B32)*100</f>
        <v>3.1853474019510255</v>
      </c>
      <c r="CP29" s="216">
        <f t="shared" si="110"/>
        <v>681160</v>
      </c>
      <c r="CQ29" s="216">
        <v>682050</v>
      </c>
      <c r="CR29" s="218">
        <f t="shared" si="109"/>
        <v>890</v>
      </c>
      <c r="CS29" s="230">
        <f t="shared" si="60"/>
        <v>30</v>
      </c>
      <c r="CT29" s="231">
        <f>(CR29/'Finance Only'!B32)*100</f>
        <v>3.5436989846705158</v>
      </c>
      <c r="CU29" s="216">
        <f t="shared" si="61"/>
        <v>565140</v>
      </c>
      <c r="CV29" s="216">
        <v>565750</v>
      </c>
      <c r="CW29" s="217">
        <f t="shared" si="62"/>
        <v>610</v>
      </c>
      <c r="CX29" s="230">
        <f t="shared" si="63"/>
        <v>-10</v>
      </c>
      <c r="CY29" s="231">
        <f>(CW29/'Finance Only'!B32)*100</f>
        <v>2.4288273939876568</v>
      </c>
      <c r="CZ29" s="216">
        <f t="shared" si="64"/>
        <v>945340</v>
      </c>
      <c r="DA29" s="216">
        <v>946460</v>
      </c>
      <c r="DB29" s="217">
        <f t="shared" si="65"/>
        <v>1120</v>
      </c>
      <c r="DC29" s="230">
        <f t="shared" si="66"/>
        <v>0</v>
      </c>
      <c r="DD29" s="231">
        <f>(DB29/'Finance Only'!B32)*100</f>
        <v>4.4594863627314352</v>
      </c>
      <c r="DE29" s="216">
        <f t="shared" si="67"/>
        <v>724400</v>
      </c>
      <c r="DF29" s="216">
        <v>725250</v>
      </c>
      <c r="DG29" s="217">
        <f t="shared" si="68"/>
        <v>850</v>
      </c>
      <c r="DH29" s="230">
        <f t="shared" si="69"/>
        <v>-30</v>
      </c>
      <c r="DI29" s="231">
        <f>(DG29/'Finance Only'!B32)*100</f>
        <v>3.3844316145729643</v>
      </c>
      <c r="DJ29" s="216">
        <f t="shared" si="70"/>
        <v>629290</v>
      </c>
      <c r="DK29" s="216">
        <v>630040</v>
      </c>
      <c r="DL29" s="217">
        <f t="shared" si="71"/>
        <v>750</v>
      </c>
      <c r="DM29" s="230">
        <f t="shared" si="72"/>
        <v>40</v>
      </c>
      <c r="DN29" s="231">
        <f>(DL29/'Finance Only'!B32)*100</f>
        <v>2.9862631893290863</v>
      </c>
      <c r="DO29" s="216">
        <f t="shared" si="73"/>
        <v>342640</v>
      </c>
      <c r="DP29" s="216">
        <v>342960</v>
      </c>
      <c r="DQ29" s="217">
        <f t="shared" si="74"/>
        <v>320</v>
      </c>
      <c r="DR29" s="230">
        <f t="shared" si="75"/>
        <v>0</v>
      </c>
      <c r="DS29" s="231">
        <f>(DQ29/'Finance Only'!B32)*100</f>
        <v>1.2741389607804101</v>
      </c>
      <c r="DT29" s="216">
        <f t="shared" si="76"/>
        <v>112000</v>
      </c>
      <c r="DU29" s="216">
        <v>112110</v>
      </c>
      <c r="DV29" s="217">
        <f t="shared" si="77"/>
        <v>110</v>
      </c>
      <c r="DW29" s="230">
        <f t="shared" si="78"/>
        <v>0</v>
      </c>
      <c r="DX29" s="231">
        <f>(DV29/'Finance Only'!B32)*100</f>
        <v>0.43798526776826602</v>
      </c>
      <c r="DY29" s="216">
        <f t="shared" si="79"/>
        <v>71760</v>
      </c>
      <c r="DZ29" s="216">
        <v>71846</v>
      </c>
      <c r="EA29" s="217">
        <f t="shared" si="80"/>
        <v>86</v>
      </c>
      <c r="EB29" s="230">
        <f t="shared" si="81"/>
        <v>4</v>
      </c>
      <c r="EC29" s="231">
        <f>(EA29/'Finance Only'!B32)*100</f>
        <v>0.34242484570973519</v>
      </c>
      <c r="ED29" s="216">
        <f t="shared" si="82"/>
        <v>228970</v>
      </c>
      <c r="EE29" s="216">
        <v>229220</v>
      </c>
      <c r="EF29" s="217">
        <f t="shared" si="83"/>
        <v>250</v>
      </c>
      <c r="EG29" s="230">
        <f t="shared" si="84"/>
        <v>0</v>
      </c>
      <c r="EH29" s="231">
        <f>(EF29/'Finance Only'!B32)*100</f>
        <v>0.99542106310969536</v>
      </c>
      <c r="EI29" s="216">
        <f t="shared" si="85"/>
        <v>257310</v>
      </c>
      <c r="EJ29" s="216">
        <v>257650</v>
      </c>
      <c r="EK29" s="217">
        <f t="shared" si="86"/>
        <v>340</v>
      </c>
      <c r="EL29" s="230">
        <f t="shared" si="87"/>
        <v>0</v>
      </c>
      <c r="EM29" s="231">
        <f>(EK29/'Finance Only'!B32)*100</f>
        <v>1.3537726458291857</v>
      </c>
      <c r="EN29" s="216">
        <f t="shared" si="88"/>
        <v>424160</v>
      </c>
      <c r="EO29" s="216">
        <v>424580</v>
      </c>
      <c r="EP29" s="217">
        <f t="shared" si="89"/>
        <v>420</v>
      </c>
      <c r="EQ29" s="230">
        <f t="shared" si="90"/>
        <v>-40</v>
      </c>
      <c r="ER29" s="231">
        <f>(EP29/'Finance Only'!B32)*100</f>
        <v>1.6723073860242881</v>
      </c>
      <c r="ES29" s="216">
        <f t="shared" si="91"/>
        <v>0</v>
      </c>
      <c r="ET29" s="216"/>
      <c r="EU29" s="217">
        <f t="shared" si="92"/>
        <v>0</v>
      </c>
      <c r="EV29" s="230">
        <f t="shared" si="93"/>
        <v>0</v>
      </c>
      <c r="EW29" s="231">
        <f>(EU29/'Finance Only'!B32)*100</f>
        <v>0</v>
      </c>
      <c r="EX29" s="216">
        <f t="shared" si="94"/>
        <v>0</v>
      </c>
      <c r="EY29" s="216"/>
      <c r="EZ29" s="217">
        <f t="shared" si="95"/>
        <v>0</v>
      </c>
      <c r="FA29" s="230">
        <f t="shared" si="96"/>
        <v>0</v>
      </c>
      <c r="FB29" s="231">
        <f>(EZ29/'Finance Only'!G32)*100</f>
        <v>0</v>
      </c>
      <c r="FC29" s="216">
        <f t="shared" si="97"/>
        <v>0</v>
      </c>
      <c r="FD29" s="216"/>
      <c r="FE29" s="217">
        <f t="shared" si="98"/>
        <v>0</v>
      </c>
      <c r="FF29" s="230">
        <f t="shared" si="99"/>
        <v>0</v>
      </c>
      <c r="FG29" s="231" t="e">
        <f>(FE29/'Finance Only'!M32)*100</f>
        <v>#DIV/0!</v>
      </c>
      <c r="FH29" s="304"/>
      <c r="FI29" s="304"/>
      <c r="FJ29" s="304"/>
      <c r="FK29" s="304"/>
      <c r="FL29" s="304"/>
      <c r="FM29" s="216">
        <f t="shared" si="100"/>
        <v>0</v>
      </c>
      <c r="FN29" s="216"/>
      <c r="FO29" s="217">
        <f t="shared" si="101"/>
        <v>0</v>
      </c>
      <c r="FP29" s="230">
        <f t="shared" si="102"/>
        <v>0</v>
      </c>
      <c r="FQ29" s="231" t="e">
        <f>(FO29/'Finance Only'!R32)*100</f>
        <v>#DIV/0!</v>
      </c>
      <c r="FR29" s="216">
        <f t="shared" si="103"/>
        <v>0</v>
      </c>
      <c r="FS29" s="216"/>
      <c r="FT29" s="217">
        <f t="shared" si="104"/>
        <v>0</v>
      </c>
      <c r="FU29" s="230">
        <f t="shared" si="105"/>
        <v>0</v>
      </c>
      <c r="FV29" s="231" t="e">
        <f>(FT29/'Finance Only'!W32)*100</f>
        <v>#DIV/0!</v>
      </c>
      <c r="FW29" s="216">
        <f t="shared" si="106"/>
        <v>0</v>
      </c>
      <c r="FX29" s="216"/>
      <c r="FY29" s="217">
        <f t="shared" si="107"/>
        <v>0</v>
      </c>
      <c r="FZ29" s="230">
        <f t="shared" si="108"/>
        <v>0</v>
      </c>
      <c r="GA29" s="231" t="e">
        <f>(FY29/'Finance Only'!AB32)*100</f>
        <v>#DIV/0!</v>
      </c>
      <c r="GB29" s="280"/>
      <c r="GC29" s="286">
        <f t="shared" si="1"/>
        <v>7881</v>
      </c>
      <c r="GD29" s="283"/>
      <c r="GE29" s="286">
        <f t="shared" si="2"/>
        <v>6300</v>
      </c>
      <c r="GF29" s="283"/>
      <c r="GG29" s="286">
        <f t="shared" si="3"/>
        <v>1800</v>
      </c>
      <c r="GH29" s="283"/>
      <c r="GI29" s="286">
        <f t="shared" si="4"/>
        <v>972</v>
      </c>
      <c r="GJ29" s="283"/>
      <c r="GK29" s="286">
        <f t="shared" si="5"/>
        <v>730</v>
      </c>
      <c r="GL29" s="283"/>
      <c r="GM29" s="286">
        <f t="shared" si="6"/>
        <v>0</v>
      </c>
      <c r="GN29" s="283"/>
    </row>
    <row r="30" spans="1:1105" s="3" customFormat="1" ht="13.5" customHeight="1" x14ac:dyDescent="0.2">
      <c r="A30" s="271">
        <v>26</v>
      </c>
      <c r="B30" s="274">
        <f>'Finance Only'!G33</f>
        <v>11.7</v>
      </c>
      <c r="C30" s="269">
        <f t="shared" si="7"/>
        <v>27062091</v>
      </c>
      <c r="D30" s="214">
        <v>27065269</v>
      </c>
      <c r="E30" s="215">
        <f t="shared" si="8"/>
        <v>3178</v>
      </c>
      <c r="F30" s="226">
        <f t="shared" si="9"/>
        <v>-276</v>
      </c>
      <c r="G30" s="227">
        <f>(E30/'Finance Only'!B33)*100</f>
        <v>13.642412534878728</v>
      </c>
      <c r="H30" s="237">
        <f t="shared" si="10"/>
        <v>24986200</v>
      </c>
      <c r="I30" s="214">
        <v>24989979</v>
      </c>
      <c r="J30" s="214">
        <f t="shared" si="11"/>
        <v>3779</v>
      </c>
      <c r="K30" s="238">
        <f t="shared" si="12"/>
        <v>-648</v>
      </c>
      <c r="L30" s="239">
        <f>(J30/'Finance Only'!B33)*100</f>
        <v>16.22236531444516</v>
      </c>
      <c r="M30" s="222">
        <f t="shared" si="13"/>
        <v>92071750</v>
      </c>
      <c r="N30" s="216">
        <v>92083033</v>
      </c>
      <c r="O30" s="217">
        <f t="shared" si="14"/>
        <v>11283</v>
      </c>
      <c r="P30" s="230">
        <f t="shared" si="15"/>
        <v>-274</v>
      </c>
      <c r="Q30" s="231">
        <f>(O30/'Finance Only'!B33)*100</f>
        <v>48.435286542176428</v>
      </c>
      <c r="R30" s="221">
        <f t="shared" si="16"/>
        <v>3058900</v>
      </c>
      <c r="S30" s="216">
        <v>3061500</v>
      </c>
      <c r="T30" s="217">
        <f t="shared" si="17"/>
        <v>2600</v>
      </c>
      <c r="U30" s="230">
        <f t="shared" si="18"/>
        <v>100</v>
      </c>
      <c r="V30" s="231">
        <f>(T30/'Finance Only'!B33)*100</f>
        <v>11.161193389139299</v>
      </c>
      <c r="W30" s="216">
        <f t="shared" si="19"/>
        <v>4131334</v>
      </c>
      <c r="X30" s="216">
        <v>4134101</v>
      </c>
      <c r="Y30" s="217">
        <f t="shared" si="20"/>
        <v>2767</v>
      </c>
      <c r="Z30" s="230">
        <f t="shared" si="21"/>
        <v>63</v>
      </c>
      <c r="AA30" s="231">
        <f>(Y30/'Finance Only'!B33)*100</f>
        <v>11.878085426057092</v>
      </c>
      <c r="AB30" s="216">
        <f t="shared" si="22"/>
        <v>2683600</v>
      </c>
      <c r="AC30" s="216">
        <v>2685500</v>
      </c>
      <c r="AD30" s="217">
        <f t="shared" si="0"/>
        <v>1900</v>
      </c>
      <c r="AE30" s="325">
        <f>AD30/WATER!V31</f>
        <v>5.4285714285714288</v>
      </c>
      <c r="AF30" s="230">
        <f t="shared" si="23"/>
        <v>-200</v>
      </c>
      <c r="AG30" s="231">
        <f>(AD30/'Finance Only'!B33)*100</f>
        <v>8.1562567074479517</v>
      </c>
      <c r="AH30" s="216">
        <f t="shared" si="24"/>
        <v>1088152</v>
      </c>
      <c r="AI30" s="216">
        <v>1088641</v>
      </c>
      <c r="AJ30" s="217">
        <f t="shared" si="25"/>
        <v>489</v>
      </c>
      <c r="AK30" s="230">
        <f t="shared" si="26"/>
        <v>35</v>
      </c>
      <c r="AL30" s="231">
        <f>(AJ30/'Finance Only'!B33)*100</f>
        <v>2.0991629104958145</v>
      </c>
      <c r="AM30" s="216">
        <f t="shared" si="27"/>
        <v>1094200</v>
      </c>
      <c r="AN30" s="216">
        <v>1094900</v>
      </c>
      <c r="AO30" s="217">
        <f t="shared" si="28"/>
        <v>700</v>
      </c>
      <c r="AP30" s="230">
        <f t="shared" si="29"/>
        <v>0</v>
      </c>
      <c r="AQ30" s="231">
        <f>(AO30/'Finance Only'!B33)*100</f>
        <v>3.0049366816913499</v>
      </c>
      <c r="AR30" s="216">
        <f t="shared" si="30"/>
        <v>2456900</v>
      </c>
      <c r="AS30" s="216">
        <v>2457600</v>
      </c>
      <c r="AT30" s="217">
        <f t="shared" si="31"/>
        <v>700</v>
      </c>
      <c r="AU30" s="230">
        <f t="shared" si="32"/>
        <v>-400</v>
      </c>
      <c r="AV30" s="231">
        <f>(AT30/'Finance Only'!B33)*100</f>
        <v>3.0049366816913499</v>
      </c>
      <c r="AW30" s="216">
        <f t="shared" si="33"/>
        <v>12588</v>
      </c>
      <c r="AX30" s="216">
        <v>12942</v>
      </c>
      <c r="AY30" s="217">
        <f t="shared" si="34"/>
        <v>354</v>
      </c>
      <c r="AZ30" s="230">
        <f t="shared" si="35"/>
        <v>-28</v>
      </c>
      <c r="BA30" s="231">
        <f>(AY30/'Finance Only'!B33)*100</f>
        <v>1.5196394075981972</v>
      </c>
      <c r="BB30" s="216">
        <f t="shared" si="36"/>
        <v>993580</v>
      </c>
      <c r="BC30" s="216">
        <v>993980</v>
      </c>
      <c r="BD30" s="217">
        <f t="shared" si="37"/>
        <v>400</v>
      </c>
      <c r="BE30" s="230">
        <f t="shared" si="38"/>
        <v>10</v>
      </c>
      <c r="BF30" s="231">
        <f>(BD30/'Finance Only'!B33)*100</f>
        <v>1.7171066752522002</v>
      </c>
      <c r="BG30" s="216">
        <f t="shared" si="39"/>
        <v>1071500</v>
      </c>
      <c r="BH30" s="216">
        <v>1071800</v>
      </c>
      <c r="BI30" s="217">
        <f t="shared" si="40"/>
        <v>300</v>
      </c>
      <c r="BJ30" s="230">
        <f t="shared" si="41"/>
        <v>100</v>
      </c>
      <c r="BK30" s="231">
        <f>(BI30/'Finance Only'!B33)*100</f>
        <v>1.2878300064391499</v>
      </c>
      <c r="BL30" s="216">
        <f t="shared" si="42"/>
        <v>1589100</v>
      </c>
      <c r="BM30" s="216">
        <v>1589700</v>
      </c>
      <c r="BN30" s="217">
        <f t="shared" si="43"/>
        <v>600</v>
      </c>
      <c r="BO30" s="230">
        <f t="shared" si="44"/>
        <v>0</v>
      </c>
      <c r="BP30" s="231">
        <f>(BN30/'Finance Only'!B33)*100</f>
        <v>2.5756600128782998</v>
      </c>
      <c r="BQ30" s="216">
        <f t="shared" si="45"/>
        <v>135770</v>
      </c>
      <c r="BR30" s="216">
        <v>135900</v>
      </c>
      <c r="BS30" s="217">
        <f t="shared" si="46"/>
        <v>130</v>
      </c>
      <c r="BT30" s="230">
        <f t="shared" si="47"/>
        <v>0</v>
      </c>
      <c r="BU30" s="231">
        <f>(BS30/'Finance Only'!B33)*100</f>
        <v>0.55805966945696506</v>
      </c>
      <c r="BV30" s="216">
        <f t="shared" si="48"/>
        <v>579270</v>
      </c>
      <c r="BW30" s="216">
        <v>579750</v>
      </c>
      <c r="BX30" s="217">
        <f t="shared" si="49"/>
        <v>480</v>
      </c>
      <c r="BY30" s="230">
        <f t="shared" si="50"/>
        <v>50</v>
      </c>
      <c r="BZ30" s="231">
        <f>(BX30/'Finance Only'!B33)*100</f>
        <v>2.0605280103026402</v>
      </c>
      <c r="CA30" s="216">
        <f t="shared" si="51"/>
        <v>1074000</v>
      </c>
      <c r="CB30" s="216">
        <v>1075200</v>
      </c>
      <c r="CC30" s="217">
        <f t="shared" si="52"/>
        <v>1200</v>
      </c>
      <c r="CD30" s="230">
        <f t="shared" si="53"/>
        <v>100</v>
      </c>
      <c r="CE30" s="231">
        <f>(CC30/'Finance Only'!B33)*100</f>
        <v>5.1513200257565996</v>
      </c>
      <c r="CF30" s="216">
        <f t="shared" si="54"/>
        <v>349810</v>
      </c>
      <c r="CG30" s="216">
        <v>350310</v>
      </c>
      <c r="CH30" s="217">
        <f t="shared" si="55"/>
        <v>500</v>
      </c>
      <c r="CI30" s="230">
        <f t="shared" si="56"/>
        <v>10</v>
      </c>
      <c r="CJ30" s="231">
        <f>(CH30/'Finance Only'!B33)*100</f>
        <v>2.1463833440652502</v>
      </c>
      <c r="CK30" s="217">
        <f t="shared" si="57"/>
        <v>823040</v>
      </c>
      <c r="CL30" s="217">
        <v>823800</v>
      </c>
      <c r="CM30" s="217">
        <f t="shared" si="58"/>
        <v>760</v>
      </c>
      <c r="CN30" s="230">
        <f t="shared" si="59"/>
        <v>-40</v>
      </c>
      <c r="CO30" s="231">
        <f>(CM30/'Finance Only'!B33)*100</f>
        <v>3.2625026829791799</v>
      </c>
      <c r="CP30" s="216">
        <f t="shared" si="110"/>
        <v>682050</v>
      </c>
      <c r="CQ30" s="216">
        <v>682720</v>
      </c>
      <c r="CR30" s="218">
        <f t="shared" si="109"/>
        <v>670</v>
      </c>
      <c r="CS30" s="230">
        <f t="shared" si="60"/>
        <v>-220</v>
      </c>
      <c r="CT30" s="231">
        <f>(CR30/'Finance Only'!B33)*100</f>
        <v>2.8761536810474353</v>
      </c>
      <c r="CU30" s="216">
        <f t="shared" si="61"/>
        <v>565750</v>
      </c>
      <c r="CV30" s="216">
        <v>566270</v>
      </c>
      <c r="CW30" s="217">
        <f t="shared" si="62"/>
        <v>520</v>
      </c>
      <c r="CX30" s="230">
        <f t="shared" si="63"/>
        <v>-90</v>
      </c>
      <c r="CY30" s="231">
        <f>(CW30/'Finance Only'!B33)*100</f>
        <v>2.2322386778278602</v>
      </c>
      <c r="CZ30" s="216">
        <f t="shared" si="64"/>
        <v>946460</v>
      </c>
      <c r="DA30" s="216">
        <v>947350</v>
      </c>
      <c r="DB30" s="217">
        <f t="shared" si="65"/>
        <v>890</v>
      </c>
      <c r="DC30" s="230">
        <f t="shared" si="66"/>
        <v>-230</v>
      </c>
      <c r="DD30" s="231">
        <f>(DB30/'Finance Only'!B33)*100</f>
        <v>3.8205623524361449</v>
      </c>
      <c r="DE30" s="216">
        <f t="shared" si="67"/>
        <v>725250</v>
      </c>
      <c r="DF30" s="216">
        <v>725920</v>
      </c>
      <c r="DG30" s="217">
        <f t="shared" si="68"/>
        <v>670</v>
      </c>
      <c r="DH30" s="230">
        <f t="shared" si="69"/>
        <v>-180</v>
      </c>
      <c r="DI30" s="231">
        <f>(DG30/'Finance Only'!B33)*100</f>
        <v>2.8761536810474353</v>
      </c>
      <c r="DJ30" s="216">
        <f t="shared" si="70"/>
        <v>630040</v>
      </c>
      <c r="DK30" s="216">
        <v>630660</v>
      </c>
      <c r="DL30" s="217">
        <f t="shared" si="71"/>
        <v>620</v>
      </c>
      <c r="DM30" s="230">
        <f t="shared" si="72"/>
        <v>-130</v>
      </c>
      <c r="DN30" s="231">
        <f>(DL30/'Finance Only'!B33)*100</f>
        <v>2.6615153466409103</v>
      </c>
      <c r="DO30" s="216">
        <f t="shared" si="73"/>
        <v>342960</v>
      </c>
      <c r="DP30" s="216">
        <v>343270</v>
      </c>
      <c r="DQ30" s="217">
        <f t="shared" si="74"/>
        <v>310</v>
      </c>
      <c r="DR30" s="230">
        <f t="shared" si="75"/>
        <v>-10</v>
      </c>
      <c r="DS30" s="231">
        <f>(DQ30/'Finance Only'!B33)*100</f>
        <v>1.3307576733204551</v>
      </c>
      <c r="DT30" s="216">
        <f t="shared" si="76"/>
        <v>112110</v>
      </c>
      <c r="DU30" s="216">
        <v>112240</v>
      </c>
      <c r="DV30" s="217">
        <f t="shared" si="77"/>
        <v>130</v>
      </c>
      <c r="DW30" s="230">
        <f t="shared" si="78"/>
        <v>20</v>
      </c>
      <c r="DX30" s="231">
        <f>(DV30/'Finance Only'!B33)*100</f>
        <v>0.55805966945696506</v>
      </c>
      <c r="DY30" s="216">
        <f t="shared" si="79"/>
        <v>71846</v>
      </c>
      <c r="DZ30" s="216">
        <v>71928</v>
      </c>
      <c r="EA30" s="217">
        <f t="shared" si="80"/>
        <v>82</v>
      </c>
      <c r="EB30" s="230">
        <f t="shared" si="81"/>
        <v>-4</v>
      </c>
      <c r="EC30" s="231">
        <f>(EA30/'Finance Only'!B33)*100</f>
        <v>0.35200686842670104</v>
      </c>
      <c r="ED30" s="216">
        <f t="shared" si="82"/>
        <v>229220</v>
      </c>
      <c r="EE30" s="216">
        <v>229470</v>
      </c>
      <c r="EF30" s="217">
        <f t="shared" si="83"/>
        <v>250</v>
      </c>
      <c r="EG30" s="230">
        <f t="shared" si="84"/>
        <v>0</v>
      </c>
      <c r="EH30" s="231">
        <f>(EF30/'Finance Only'!B33)*100</f>
        <v>1.0731916720326251</v>
      </c>
      <c r="EI30" s="216">
        <f t="shared" si="85"/>
        <v>257650</v>
      </c>
      <c r="EJ30" s="216">
        <v>257980</v>
      </c>
      <c r="EK30" s="217">
        <f t="shared" si="86"/>
        <v>330</v>
      </c>
      <c r="EL30" s="230">
        <f t="shared" si="87"/>
        <v>-10</v>
      </c>
      <c r="EM30" s="231">
        <f>(EK30/'Finance Only'!B33)*100</f>
        <v>1.4166130070830651</v>
      </c>
      <c r="EN30" s="216">
        <f t="shared" si="88"/>
        <v>424580</v>
      </c>
      <c r="EO30" s="216">
        <v>425090</v>
      </c>
      <c r="EP30" s="217">
        <f t="shared" si="89"/>
        <v>510</v>
      </c>
      <c r="EQ30" s="230">
        <f t="shared" si="90"/>
        <v>90</v>
      </c>
      <c r="ER30" s="231">
        <f>(EP30/'Finance Only'!B33)*100</f>
        <v>2.1893110109465552</v>
      </c>
      <c r="ES30" s="216">
        <f t="shared" si="91"/>
        <v>0</v>
      </c>
      <c r="ET30" s="216"/>
      <c r="EU30" s="217">
        <f t="shared" si="92"/>
        <v>0</v>
      </c>
      <c r="EV30" s="230">
        <f t="shared" si="93"/>
        <v>0</v>
      </c>
      <c r="EW30" s="231">
        <f>(EU30/'Finance Only'!B33)*100</f>
        <v>0</v>
      </c>
      <c r="EX30" s="216">
        <f t="shared" si="94"/>
        <v>0</v>
      </c>
      <c r="EY30" s="216"/>
      <c r="EZ30" s="217">
        <f t="shared" si="95"/>
        <v>0</v>
      </c>
      <c r="FA30" s="230">
        <f t="shared" si="96"/>
        <v>0</v>
      </c>
      <c r="FB30" s="231">
        <f>(EZ30/'Finance Only'!G33)*100</f>
        <v>0</v>
      </c>
      <c r="FC30" s="216">
        <f t="shared" si="97"/>
        <v>0</v>
      </c>
      <c r="FD30" s="216"/>
      <c r="FE30" s="217">
        <f t="shared" si="98"/>
        <v>0</v>
      </c>
      <c r="FF30" s="230">
        <f t="shared" si="99"/>
        <v>0</v>
      </c>
      <c r="FG30" s="231" t="e">
        <f>(FE30/'Finance Only'!M33)*100</f>
        <v>#DIV/0!</v>
      </c>
      <c r="FH30" s="304"/>
      <c r="FI30" s="304"/>
      <c r="FJ30" s="304"/>
      <c r="FK30" s="304"/>
      <c r="FL30" s="304"/>
      <c r="FM30" s="216">
        <f t="shared" si="100"/>
        <v>0</v>
      </c>
      <c r="FN30" s="216"/>
      <c r="FO30" s="217">
        <f t="shared" si="101"/>
        <v>0</v>
      </c>
      <c r="FP30" s="230">
        <f t="shared" si="102"/>
        <v>0</v>
      </c>
      <c r="FQ30" s="231" t="e">
        <f>(FO30/'Finance Only'!R33)*100</f>
        <v>#DIV/0!</v>
      </c>
      <c r="FR30" s="216">
        <f t="shared" si="103"/>
        <v>0</v>
      </c>
      <c r="FS30" s="216"/>
      <c r="FT30" s="217">
        <f t="shared" si="104"/>
        <v>0</v>
      </c>
      <c r="FU30" s="230">
        <f t="shared" si="105"/>
        <v>0</v>
      </c>
      <c r="FV30" s="231" t="e">
        <f>(FT30/'Finance Only'!W33)*100</f>
        <v>#DIV/0!</v>
      </c>
      <c r="FW30" s="216">
        <f t="shared" si="106"/>
        <v>0</v>
      </c>
      <c r="FX30" s="216"/>
      <c r="FY30" s="217">
        <f t="shared" si="107"/>
        <v>0</v>
      </c>
      <c r="FZ30" s="230">
        <f t="shared" si="108"/>
        <v>0</v>
      </c>
      <c r="GA30" s="231" t="e">
        <f>(FY30/'Finance Only'!AB33)*100</f>
        <v>#DIV/0!</v>
      </c>
      <c r="GB30" s="280"/>
      <c r="GC30" s="286">
        <f t="shared" si="1"/>
        <v>6957</v>
      </c>
      <c r="GD30" s="283"/>
      <c r="GE30" s="286">
        <f t="shared" si="2"/>
        <v>6539</v>
      </c>
      <c r="GF30" s="283"/>
      <c r="GG30" s="286">
        <f t="shared" si="3"/>
        <v>1400</v>
      </c>
      <c r="GH30" s="283"/>
      <c r="GI30" s="286">
        <f t="shared" si="4"/>
        <v>1054</v>
      </c>
      <c r="GJ30" s="283"/>
      <c r="GK30" s="286">
        <f t="shared" si="5"/>
        <v>730</v>
      </c>
      <c r="GL30" s="283"/>
      <c r="GM30" s="286">
        <f t="shared" si="6"/>
        <v>0</v>
      </c>
      <c r="GN30" s="283"/>
    </row>
    <row r="31" spans="1:1105" s="3" customFormat="1" ht="13.5" customHeight="1" x14ac:dyDescent="0.2">
      <c r="A31" s="271">
        <v>27</v>
      </c>
      <c r="B31" s="274">
        <f>'Finance Only'!G34</f>
        <v>14.6</v>
      </c>
      <c r="C31" s="269">
        <f t="shared" si="7"/>
        <v>27065269</v>
      </c>
      <c r="D31" s="214">
        <v>27068452</v>
      </c>
      <c r="E31" s="215">
        <f t="shared" si="8"/>
        <v>3183</v>
      </c>
      <c r="F31" s="226">
        <f t="shared" si="9"/>
        <v>5</v>
      </c>
      <c r="G31" s="227">
        <f>(E31/'Finance Only'!B34)*100</f>
        <v>13.2901878914405</v>
      </c>
      <c r="H31" s="237">
        <f t="shared" si="10"/>
        <v>24989979</v>
      </c>
      <c r="I31" s="214">
        <v>24993662</v>
      </c>
      <c r="J31" s="214">
        <f t="shared" si="11"/>
        <v>3683</v>
      </c>
      <c r="K31" s="238">
        <f t="shared" si="12"/>
        <v>-96</v>
      </c>
      <c r="L31" s="239">
        <f>(J31/'Finance Only'!B34)*100</f>
        <v>15.377870563674319</v>
      </c>
      <c r="M31" s="222">
        <f t="shared" si="13"/>
        <v>92083033</v>
      </c>
      <c r="N31" s="216">
        <v>92093990</v>
      </c>
      <c r="O31" s="217">
        <f t="shared" si="14"/>
        <v>10957</v>
      </c>
      <c r="P31" s="230">
        <f t="shared" si="15"/>
        <v>-326</v>
      </c>
      <c r="Q31" s="231">
        <f>(O31/'Finance Only'!B34)*100</f>
        <v>45.749478079331936</v>
      </c>
      <c r="R31" s="221">
        <f t="shared" si="16"/>
        <v>3061500</v>
      </c>
      <c r="S31" s="216">
        <v>3064000</v>
      </c>
      <c r="T31" s="217">
        <f t="shared" si="17"/>
        <v>2500</v>
      </c>
      <c r="U31" s="230">
        <f t="shared" si="18"/>
        <v>-100</v>
      </c>
      <c r="V31" s="231">
        <f>(T31/'Finance Only'!B34)*100</f>
        <v>10.438413361169102</v>
      </c>
      <c r="W31" s="216">
        <f t="shared" si="19"/>
        <v>4134101</v>
      </c>
      <c r="X31" s="216">
        <v>4136851</v>
      </c>
      <c r="Y31" s="217">
        <f t="shared" si="20"/>
        <v>2750</v>
      </c>
      <c r="Z31" s="230">
        <f t="shared" si="21"/>
        <v>-17</v>
      </c>
      <c r="AA31" s="231">
        <f>(Y31/'Finance Only'!B34)*100</f>
        <v>11.482254697286013</v>
      </c>
      <c r="AB31" s="216">
        <f t="shared" si="22"/>
        <v>2685500</v>
      </c>
      <c r="AC31" s="216">
        <v>2687300</v>
      </c>
      <c r="AD31" s="217">
        <f t="shared" si="0"/>
        <v>1800</v>
      </c>
      <c r="AE31" s="325">
        <f>AD31/WATER!V32</f>
        <v>6.0606060606060606</v>
      </c>
      <c r="AF31" s="230">
        <f t="shared" si="23"/>
        <v>-100</v>
      </c>
      <c r="AG31" s="231">
        <f>(AD31/'Finance Only'!B34)*100</f>
        <v>7.5156576200417531</v>
      </c>
      <c r="AH31" s="216">
        <f t="shared" si="24"/>
        <v>1088641</v>
      </c>
      <c r="AI31" s="216">
        <v>1089086</v>
      </c>
      <c r="AJ31" s="217">
        <f t="shared" si="25"/>
        <v>445</v>
      </c>
      <c r="AK31" s="230">
        <f t="shared" si="26"/>
        <v>-44</v>
      </c>
      <c r="AL31" s="231">
        <f>(AJ31/'Finance Only'!B34)*100</f>
        <v>1.8580375782881002</v>
      </c>
      <c r="AM31" s="216">
        <f t="shared" si="27"/>
        <v>1094900</v>
      </c>
      <c r="AN31" s="216">
        <v>1095700</v>
      </c>
      <c r="AO31" s="217">
        <f t="shared" si="28"/>
        <v>800</v>
      </c>
      <c r="AP31" s="230">
        <f t="shared" si="29"/>
        <v>100</v>
      </c>
      <c r="AQ31" s="231">
        <f>(AO31/'Finance Only'!B34)*100</f>
        <v>3.3402922755741122</v>
      </c>
      <c r="AR31" s="216">
        <f t="shared" si="30"/>
        <v>2457600</v>
      </c>
      <c r="AS31" s="216">
        <v>2459200</v>
      </c>
      <c r="AT31" s="217">
        <f t="shared" si="31"/>
        <v>1600</v>
      </c>
      <c r="AU31" s="230">
        <f t="shared" si="32"/>
        <v>900</v>
      </c>
      <c r="AV31" s="231">
        <f>(AT31/'Finance Only'!B34)*100</f>
        <v>6.6805845511482245</v>
      </c>
      <c r="AW31" s="216">
        <f t="shared" si="33"/>
        <v>12942</v>
      </c>
      <c r="AX31" s="216">
        <v>13308</v>
      </c>
      <c r="AY31" s="217">
        <f t="shared" si="34"/>
        <v>366</v>
      </c>
      <c r="AZ31" s="230">
        <f t="shared" si="35"/>
        <v>12</v>
      </c>
      <c r="BA31" s="231">
        <f>(AY31/'Finance Only'!B34)*100</f>
        <v>1.5281837160751566</v>
      </c>
      <c r="BB31" s="216">
        <f t="shared" si="36"/>
        <v>993980</v>
      </c>
      <c r="BC31" s="216">
        <v>994350</v>
      </c>
      <c r="BD31" s="217">
        <f t="shared" si="37"/>
        <v>370</v>
      </c>
      <c r="BE31" s="230">
        <f t="shared" si="38"/>
        <v>-30</v>
      </c>
      <c r="BF31" s="231">
        <f>(BD31/'Finance Only'!B34)*100</f>
        <v>1.544885177453027</v>
      </c>
      <c r="BG31" s="216">
        <f t="shared" si="39"/>
        <v>1071800</v>
      </c>
      <c r="BH31" s="216">
        <v>1072100</v>
      </c>
      <c r="BI31" s="217">
        <f t="shared" si="40"/>
        <v>300</v>
      </c>
      <c r="BJ31" s="230">
        <f t="shared" si="41"/>
        <v>0</v>
      </c>
      <c r="BK31" s="231">
        <f>(BI31/'Finance Only'!B34)*100</f>
        <v>1.2526096033402923</v>
      </c>
      <c r="BL31" s="216">
        <f t="shared" si="42"/>
        <v>1589700</v>
      </c>
      <c r="BM31" s="216">
        <v>1590300</v>
      </c>
      <c r="BN31" s="217">
        <f t="shared" si="43"/>
        <v>600</v>
      </c>
      <c r="BO31" s="230">
        <f t="shared" si="44"/>
        <v>0</v>
      </c>
      <c r="BP31" s="231">
        <f>(BN31/'Finance Only'!B34)*100</f>
        <v>2.5052192066805845</v>
      </c>
      <c r="BQ31" s="216">
        <f t="shared" si="45"/>
        <v>135900</v>
      </c>
      <c r="BR31" s="216">
        <v>136030</v>
      </c>
      <c r="BS31" s="217">
        <f t="shared" si="46"/>
        <v>130</v>
      </c>
      <c r="BT31" s="230">
        <f t="shared" si="47"/>
        <v>0</v>
      </c>
      <c r="BU31" s="231">
        <f>(BS31/'Finance Only'!B34)*100</f>
        <v>0.54279749478079331</v>
      </c>
      <c r="BV31" s="216">
        <f t="shared" si="48"/>
        <v>579750</v>
      </c>
      <c r="BW31" s="216">
        <v>580160</v>
      </c>
      <c r="BX31" s="217">
        <f t="shared" si="49"/>
        <v>410</v>
      </c>
      <c r="BY31" s="230">
        <f t="shared" si="50"/>
        <v>-70</v>
      </c>
      <c r="BZ31" s="231">
        <f>(BX31/'Finance Only'!B34)*100</f>
        <v>1.7118997912317326</v>
      </c>
      <c r="CA31" s="216">
        <f t="shared" si="51"/>
        <v>1075200</v>
      </c>
      <c r="CB31" s="216">
        <v>1076400</v>
      </c>
      <c r="CC31" s="217">
        <f t="shared" si="52"/>
        <v>1200</v>
      </c>
      <c r="CD31" s="230">
        <f t="shared" si="53"/>
        <v>0</v>
      </c>
      <c r="CE31" s="231">
        <f>(CC31/'Finance Only'!B34)*100</f>
        <v>5.010438413361169</v>
      </c>
      <c r="CF31" s="216">
        <f t="shared" si="54"/>
        <v>350310</v>
      </c>
      <c r="CG31" s="216">
        <v>350810</v>
      </c>
      <c r="CH31" s="217">
        <f t="shared" si="55"/>
        <v>500</v>
      </c>
      <c r="CI31" s="230">
        <f t="shared" si="56"/>
        <v>0</v>
      </c>
      <c r="CJ31" s="231">
        <f>(CH31/'Finance Only'!B34)*100</f>
        <v>2.0876826722338206</v>
      </c>
      <c r="CK31" s="217">
        <f t="shared" si="57"/>
        <v>823800</v>
      </c>
      <c r="CL31" s="217">
        <v>824470</v>
      </c>
      <c r="CM31" s="217">
        <f t="shared" si="58"/>
        <v>670</v>
      </c>
      <c r="CN31" s="230">
        <f t="shared" si="59"/>
        <v>-90</v>
      </c>
      <c r="CO31" s="231">
        <f>(CM31/'Finance Only'!B34)*100</f>
        <v>2.7974947807933193</v>
      </c>
      <c r="CP31" s="216">
        <f t="shared" si="110"/>
        <v>682720</v>
      </c>
      <c r="CQ31" s="216">
        <v>683510</v>
      </c>
      <c r="CR31" s="218">
        <f t="shared" si="109"/>
        <v>790</v>
      </c>
      <c r="CS31" s="230">
        <f t="shared" si="60"/>
        <v>120</v>
      </c>
      <c r="CT31" s="231">
        <f>(CR31/'Finance Only'!B34)*100</f>
        <v>3.2985386221294362</v>
      </c>
      <c r="CU31" s="216">
        <f t="shared" si="61"/>
        <v>566270</v>
      </c>
      <c r="CV31" s="216">
        <v>566770</v>
      </c>
      <c r="CW31" s="217">
        <f t="shared" si="62"/>
        <v>500</v>
      </c>
      <c r="CX31" s="230">
        <f t="shared" si="63"/>
        <v>-20</v>
      </c>
      <c r="CY31" s="231">
        <f>(CW31/'Finance Only'!B34)*100</f>
        <v>2.0876826722338206</v>
      </c>
      <c r="CZ31" s="216">
        <f t="shared" si="64"/>
        <v>947350</v>
      </c>
      <c r="DA31" s="216">
        <v>948230</v>
      </c>
      <c r="DB31" s="217">
        <f t="shared" si="65"/>
        <v>880</v>
      </c>
      <c r="DC31" s="230">
        <f t="shared" si="66"/>
        <v>-10</v>
      </c>
      <c r="DD31" s="231">
        <f>(DB31/'Finance Only'!B34)*100</f>
        <v>3.6743215031315239</v>
      </c>
      <c r="DE31" s="216">
        <f t="shared" si="67"/>
        <v>725920</v>
      </c>
      <c r="DF31" s="216">
        <v>726580</v>
      </c>
      <c r="DG31" s="217">
        <f t="shared" si="68"/>
        <v>660</v>
      </c>
      <c r="DH31" s="230">
        <f t="shared" si="69"/>
        <v>-10</v>
      </c>
      <c r="DI31" s="231">
        <f>(DG31/'Finance Only'!B34)*100</f>
        <v>2.7557411273486427</v>
      </c>
      <c r="DJ31" s="216">
        <f t="shared" si="70"/>
        <v>630660</v>
      </c>
      <c r="DK31" s="216">
        <v>631330</v>
      </c>
      <c r="DL31" s="217">
        <f t="shared" si="71"/>
        <v>670</v>
      </c>
      <c r="DM31" s="230">
        <f t="shared" si="72"/>
        <v>50</v>
      </c>
      <c r="DN31" s="231">
        <f>(DL31/'Finance Only'!B34)*100</f>
        <v>2.7974947807933193</v>
      </c>
      <c r="DO31" s="216">
        <f t="shared" si="73"/>
        <v>343270</v>
      </c>
      <c r="DP31" s="216">
        <v>343570</v>
      </c>
      <c r="DQ31" s="217">
        <f t="shared" si="74"/>
        <v>300</v>
      </c>
      <c r="DR31" s="230">
        <f t="shared" si="75"/>
        <v>-10</v>
      </c>
      <c r="DS31" s="231">
        <f>(DQ31/'Finance Only'!B34)*100</f>
        <v>1.2526096033402923</v>
      </c>
      <c r="DT31" s="216">
        <f t="shared" si="76"/>
        <v>112240</v>
      </c>
      <c r="DU31" s="216">
        <v>112360</v>
      </c>
      <c r="DV31" s="217">
        <f t="shared" si="77"/>
        <v>120</v>
      </c>
      <c r="DW31" s="230">
        <f t="shared" si="78"/>
        <v>-10</v>
      </c>
      <c r="DX31" s="231">
        <f>(DV31/'Finance Only'!B34)*100</f>
        <v>0.5010438413361169</v>
      </c>
      <c r="DY31" s="216">
        <f t="shared" si="79"/>
        <v>71928</v>
      </c>
      <c r="DZ31" s="216">
        <v>72011</v>
      </c>
      <c r="EA31" s="217">
        <f t="shared" si="80"/>
        <v>83</v>
      </c>
      <c r="EB31" s="230">
        <f t="shared" si="81"/>
        <v>1</v>
      </c>
      <c r="EC31" s="231">
        <f>(EA31/'Finance Only'!B34)*100</f>
        <v>0.3465553235908142</v>
      </c>
      <c r="ED31" s="216">
        <f t="shared" si="82"/>
        <v>229470</v>
      </c>
      <c r="EE31" s="216">
        <v>229720</v>
      </c>
      <c r="EF31" s="217">
        <f t="shared" si="83"/>
        <v>250</v>
      </c>
      <c r="EG31" s="230">
        <f t="shared" si="84"/>
        <v>0</v>
      </c>
      <c r="EH31" s="231">
        <f>(EF31/'Finance Only'!B34)*100</f>
        <v>1.0438413361169103</v>
      </c>
      <c r="EI31" s="216">
        <f t="shared" si="85"/>
        <v>257980</v>
      </c>
      <c r="EJ31" s="216">
        <v>258370</v>
      </c>
      <c r="EK31" s="217">
        <f t="shared" si="86"/>
        <v>390</v>
      </c>
      <c r="EL31" s="230">
        <f t="shared" si="87"/>
        <v>60</v>
      </c>
      <c r="EM31" s="231">
        <f>(EK31/'Finance Only'!B34)*100</f>
        <v>1.62839248434238</v>
      </c>
      <c r="EN31" s="216">
        <f t="shared" si="88"/>
        <v>425090</v>
      </c>
      <c r="EO31" s="216">
        <v>425110</v>
      </c>
      <c r="EP31" s="217">
        <f t="shared" si="89"/>
        <v>20</v>
      </c>
      <c r="EQ31" s="230">
        <f t="shared" si="90"/>
        <v>-490</v>
      </c>
      <c r="ER31" s="231">
        <f>(EP31/'Finance Only'!B34)*100</f>
        <v>8.3507306889352817E-2</v>
      </c>
      <c r="ES31" s="216">
        <f t="shared" si="91"/>
        <v>0</v>
      </c>
      <c r="ET31" s="216"/>
      <c r="EU31" s="217">
        <f t="shared" si="92"/>
        <v>0</v>
      </c>
      <c r="EV31" s="230">
        <f t="shared" si="93"/>
        <v>0</v>
      </c>
      <c r="EW31" s="231">
        <f>(EU31/'Finance Only'!B34)*100</f>
        <v>0</v>
      </c>
      <c r="EX31" s="216">
        <f t="shared" si="94"/>
        <v>0</v>
      </c>
      <c r="EY31" s="216"/>
      <c r="EZ31" s="217">
        <f t="shared" si="95"/>
        <v>0</v>
      </c>
      <c r="FA31" s="230">
        <f t="shared" si="96"/>
        <v>0</v>
      </c>
      <c r="FB31" s="231">
        <f>(EZ31/'Finance Only'!G34)*100</f>
        <v>0</v>
      </c>
      <c r="FC31" s="216">
        <f t="shared" si="97"/>
        <v>0</v>
      </c>
      <c r="FD31" s="216"/>
      <c r="FE31" s="217">
        <f t="shared" si="98"/>
        <v>0</v>
      </c>
      <c r="FF31" s="230">
        <f t="shared" si="99"/>
        <v>0</v>
      </c>
      <c r="FG31" s="231" t="e">
        <f>(FE31/'Finance Only'!M34)*100</f>
        <v>#DIV/0!</v>
      </c>
      <c r="FH31" s="304"/>
      <c r="FI31" s="304"/>
      <c r="FJ31" s="304"/>
      <c r="FK31" s="304"/>
      <c r="FL31" s="304"/>
      <c r="FM31" s="216">
        <f t="shared" si="100"/>
        <v>0</v>
      </c>
      <c r="FN31" s="216"/>
      <c r="FO31" s="217">
        <f t="shared" si="101"/>
        <v>0</v>
      </c>
      <c r="FP31" s="230">
        <f t="shared" si="102"/>
        <v>0</v>
      </c>
      <c r="FQ31" s="231" t="e">
        <f>(FO31/'Finance Only'!R34)*100</f>
        <v>#DIV/0!</v>
      </c>
      <c r="FR31" s="216">
        <f t="shared" si="103"/>
        <v>0</v>
      </c>
      <c r="FS31" s="216"/>
      <c r="FT31" s="217">
        <f t="shared" si="104"/>
        <v>0</v>
      </c>
      <c r="FU31" s="230">
        <f t="shared" si="105"/>
        <v>0</v>
      </c>
      <c r="FV31" s="231" t="e">
        <f>(FT31/'Finance Only'!W34)*100</f>
        <v>#DIV/0!</v>
      </c>
      <c r="FW31" s="216">
        <f t="shared" si="106"/>
        <v>0</v>
      </c>
      <c r="FX31" s="216"/>
      <c r="FY31" s="217">
        <f t="shared" si="107"/>
        <v>0</v>
      </c>
      <c r="FZ31" s="230">
        <f t="shared" si="108"/>
        <v>0</v>
      </c>
      <c r="GA31" s="231" t="e">
        <f>(FY31/'Finance Only'!AB34)*100</f>
        <v>#DIV/0!</v>
      </c>
      <c r="GB31" s="280"/>
      <c r="GC31" s="286">
        <f t="shared" si="1"/>
        <v>6866</v>
      </c>
      <c r="GD31" s="283"/>
      <c r="GE31" s="286">
        <f t="shared" si="2"/>
        <v>5993</v>
      </c>
      <c r="GF31" s="283"/>
      <c r="GG31" s="286">
        <f t="shared" si="3"/>
        <v>2400</v>
      </c>
      <c r="GH31" s="283"/>
      <c r="GI31" s="286">
        <f t="shared" si="4"/>
        <v>1036</v>
      </c>
      <c r="GJ31" s="283"/>
      <c r="GK31" s="286">
        <f t="shared" si="5"/>
        <v>730</v>
      </c>
      <c r="GL31" s="283"/>
      <c r="GM31" s="286">
        <f t="shared" si="6"/>
        <v>0</v>
      </c>
      <c r="GN31" s="283"/>
    </row>
    <row r="32" spans="1:1105" s="3" customFormat="1" ht="13.5" customHeight="1" x14ac:dyDescent="0.2">
      <c r="A32" s="271">
        <v>28</v>
      </c>
      <c r="B32" s="274">
        <f>'Finance Only'!G35</f>
        <v>16.5</v>
      </c>
      <c r="C32" s="269">
        <f t="shared" si="7"/>
        <v>27068452</v>
      </c>
      <c r="D32" s="214">
        <v>27071415</v>
      </c>
      <c r="E32" s="215">
        <f t="shared" si="8"/>
        <v>2963</v>
      </c>
      <c r="F32" s="226">
        <f t="shared" si="9"/>
        <v>-220</v>
      </c>
      <c r="G32" s="227">
        <f>(E32/'Finance Only'!B35)*100</f>
        <v>12.831283561406547</v>
      </c>
      <c r="H32" s="237">
        <f t="shared" si="10"/>
        <v>24993662</v>
      </c>
      <c r="I32" s="214">
        <v>24997402</v>
      </c>
      <c r="J32" s="214">
        <f t="shared" si="11"/>
        <v>3740</v>
      </c>
      <c r="K32" s="238">
        <f t="shared" si="12"/>
        <v>57</v>
      </c>
      <c r="L32" s="239">
        <f>(J32/'Finance Only'!B35)*100</f>
        <v>16.196085224320111</v>
      </c>
      <c r="M32" s="222">
        <f t="shared" si="13"/>
        <v>92093990</v>
      </c>
      <c r="N32" s="216">
        <v>92105101</v>
      </c>
      <c r="O32" s="217">
        <f t="shared" si="14"/>
        <v>11111</v>
      </c>
      <c r="P32" s="230">
        <f t="shared" si="15"/>
        <v>154</v>
      </c>
      <c r="Q32" s="231">
        <f>(O32/'Finance Only'!B35)*100</f>
        <v>48.116230729256884</v>
      </c>
      <c r="R32" s="221">
        <f t="shared" si="16"/>
        <v>3064000</v>
      </c>
      <c r="S32" s="216">
        <v>3066600</v>
      </c>
      <c r="T32" s="217">
        <f t="shared" si="17"/>
        <v>2600</v>
      </c>
      <c r="U32" s="230">
        <f t="shared" si="18"/>
        <v>100</v>
      </c>
      <c r="V32" s="231">
        <f>(T32/'Finance Only'!B35)*100</f>
        <v>11.259310583751949</v>
      </c>
      <c r="W32" s="216">
        <f t="shared" si="19"/>
        <v>4136851</v>
      </c>
      <c r="X32" s="216">
        <v>4139694</v>
      </c>
      <c r="Y32" s="217">
        <f t="shared" si="20"/>
        <v>2843</v>
      </c>
      <c r="Z32" s="230">
        <f t="shared" si="21"/>
        <v>93</v>
      </c>
      <c r="AA32" s="231">
        <f>(Y32/'Finance Only'!B35)*100</f>
        <v>12.311623072925688</v>
      </c>
      <c r="AB32" s="216">
        <f t="shared" si="22"/>
        <v>2687300</v>
      </c>
      <c r="AC32" s="216">
        <v>2689300</v>
      </c>
      <c r="AD32" s="217">
        <f t="shared" si="0"/>
        <v>2000</v>
      </c>
      <c r="AE32" s="325">
        <f>AD32/WATER!V33</f>
        <v>6.8965517241379306</v>
      </c>
      <c r="AF32" s="230">
        <f t="shared" si="23"/>
        <v>200</v>
      </c>
      <c r="AG32" s="231">
        <f>(AD32/'Finance Only'!B35)*100</f>
        <v>8.6610081413476525</v>
      </c>
      <c r="AH32" s="216">
        <f t="shared" si="24"/>
        <v>1089086</v>
      </c>
      <c r="AI32" s="216">
        <v>1089531</v>
      </c>
      <c r="AJ32" s="217">
        <f t="shared" si="25"/>
        <v>445</v>
      </c>
      <c r="AK32" s="230">
        <f t="shared" si="26"/>
        <v>0</v>
      </c>
      <c r="AL32" s="231">
        <f>(AJ32/'Finance Only'!B35)*100</f>
        <v>1.9270743114498528</v>
      </c>
      <c r="AM32" s="216">
        <f t="shared" si="27"/>
        <v>1095700</v>
      </c>
      <c r="AN32" s="216">
        <v>1096500</v>
      </c>
      <c r="AO32" s="217">
        <f t="shared" si="28"/>
        <v>800</v>
      </c>
      <c r="AP32" s="230">
        <f t="shared" si="29"/>
        <v>0</v>
      </c>
      <c r="AQ32" s="231">
        <f>(AO32/'Finance Only'!B35)*100</f>
        <v>3.4644032565390614</v>
      </c>
      <c r="AR32" s="216">
        <f t="shared" si="30"/>
        <v>2459200</v>
      </c>
      <c r="AS32" s="216">
        <v>2459900</v>
      </c>
      <c r="AT32" s="217">
        <f t="shared" si="31"/>
        <v>700</v>
      </c>
      <c r="AU32" s="230">
        <f t="shared" si="32"/>
        <v>-900</v>
      </c>
      <c r="AV32" s="231">
        <f>(AT32/'Finance Only'!B35)*100</f>
        <v>3.0313528494716784</v>
      </c>
      <c r="AW32" s="216">
        <f t="shared" si="33"/>
        <v>13308</v>
      </c>
      <c r="AX32" s="216">
        <v>13653</v>
      </c>
      <c r="AY32" s="217">
        <f t="shared" si="34"/>
        <v>345</v>
      </c>
      <c r="AZ32" s="230">
        <f t="shared" si="35"/>
        <v>-21</v>
      </c>
      <c r="BA32" s="231">
        <f>(AY32/'Finance Only'!B35)*100</f>
        <v>1.4940239043824701</v>
      </c>
      <c r="BB32" s="216">
        <f t="shared" si="36"/>
        <v>994350</v>
      </c>
      <c r="BC32" s="216">
        <v>994730</v>
      </c>
      <c r="BD32" s="217">
        <f t="shared" si="37"/>
        <v>380</v>
      </c>
      <c r="BE32" s="230">
        <f t="shared" si="38"/>
        <v>10</v>
      </c>
      <c r="BF32" s="231">
        <f>(BD32/'Finance Only'!B35)*100</f>
        <v>1.6455915468560538</v>
      </c>
      <c r="BG32" s="216">
        <f t="shared" si="39"/>
        <v>1072100</v>
      </c>
      <c r="BH32" s="216">
        <v>1072400</v>
      </c>
      <c r="BI32" s="217">
        <f t="shared" si="40"/>
        <v>300</v>
      </c>
      <c r="BJ32" s="230">
        <f t="shared" si="41"/>
        <v>0</v>
      </c>
      <c r="BK32" s="231">
        <f>(BI32/'Finance Only'!B35)*100</f>
        <v>1.2991512212021479</v>
      </c>
      <c r="BL32" s="216">
        <f t="shared" si="42"/>
        <v>1590300</v>
      </c>
      <c r="BM32" s="216">
        <v>1590800</v>
      </c>
      <c r="BN32" s="217">
        <f t="shared" si="43"/>
        <v>500</v>
      </c>
      <c r="BO32" s="230">
        <f t="shared" si="44"/>
        <v>-100</v>
      </c>
      <c r="BP32" s="231">
        <f>(BN32/'Finance Only'!B35)*100</f>
        <v>2.1652520353369131</v>
      </c>
      <c r="BQ32" s="216">
        <f t="shared" si="45"/>
        <v>136030</v>
      </c>
      <c r="BR32" s="216">
        <v>136160</v>
      </c>
      <c r="BS32" s="217">
        <f t="shared" si="46"/>
        <v>130</v>
      </c>
      <c r="BT32" s="230">
        <f t="shared" si="47"/>
        <v>0</v>
      </c>
      <c r="BU32" s="231">
        <f>(BS32/'Finance Only'!B35)*100</f>
        <v>0.56296552918759746</v>
      </c>
      <c r="BV32" s="216">
        <f t="shared" si="48"/>
        <v>580160</v>
      </c>
      <c r="BW32" s="216">
        <v>580560</v>
      </c>
      <c r="BX32" s="217">
        <f t="shared" si="49"/>
        <v>400</v>
      </c>
      <c r="BY32" s="230">
        <f t="shared" si="50"/>
        <v>-10</v>
      </c>
      <c r="BZ32" s="231">
        <f>(BX32/'Finance Only'!B35)*100</f>
        <v>1.7322016282695307</v>
      </c>
      <c r="CA32" s="216">
        <f t="shared" si="51"/>
        <v>1076400</v>
      </c>
      <c r="CB32" s="216">
        <v>1077600</v>
      </c>
      <c r="CC32" s="217">
        <f t="shared" si="52"/>
        <v>1200</v>
      </c>
      <c r="CD32" s="230">
        <f t="shared" si="53"/>
        <v>0</v>
      </c>
      <c r="CE32" s="231">
        <f>(CC32/'Finance Only'!B35)*100</f>
        <v>5.1966048848085915</v>
      </c>
      <c r="CF32" s="216">
        <f t="shared" si="54"/>
        <v>350810</v>
      </c>
      <c r="CG32" s="216">
        <v>351310</v>
      </c>
      <c r="CH32" s="217">
        <f t="shared" si="55"/>
        <v>500</v>
      </c>
      <c r="CI32" s="230">
        <f t="shared" si="56"/>
        <v>0</v>
      </c>
      <c r="CJ32" s="231">
        <f>(CH32/'Finance Only'!B35)*100</f>
        <v>2.1652520353369131</v>
      </c>
      <c r="CK32" s="217">
        <f t="shared" si="57"/>
        <v>824470</v>
      </c>
      <c r="CL32" s="217">
        <v>825140</v>
      </c>
      <c r="CM32" s="217">
        <f t="shared" si="58"/>
        <v>670</v>
      </c>
      <c r="CN32" s="230">
        <f t="shared" si="59"/>
        <v>0</v>
      </c>
      <c r="CO32" s="231">
        <f>(CM32/'Finance Only'!B35)*100</f>
        <v>2.9014377273514635</v>
      </c>
      <c r="CP32" s="216">
        <f t="shared" si="110"/>
        <v>683510</v>
      </c>
      <c r="CQ32" s="216">
        <v>684220</v>
      </c>
      <c r="CR32" s="218">
        <f t="shared" si="109"/>
        <v>710</v>
      </c>
      <c r="CS32" s="230">
        <f t="shared" si="60"/>
        <v>-80</v>
      </c>
      <c r="CT32" s="231">
        <f>(CR32/'Finance Only'!B35)*100</f>
        <v>3.074657890178417</v>
      </c>
      <c r="CU32" s="216">
        <f t="shared" si="61"/>
        <v>566770</v>
      </c>
      <c r="CV32" s="216">
        <v>567280</v>
      </c>
      <c r="CW32" s="217">
        <f t="shared" si="62"/>
        <v>510</v>
      </c>
      <c r="CX32" s="230">
        <f t="shared" si="63"/>
        <v>10</v>
      </c>
      <c r="CY32" s="231">
        <f>(CW32/'Finance Only'!B35)*100</f>
        <v>2.2085570760436513</v>
      </c>
      <c r="CZ32" s="216">
        <f t="shared" si="64"/>
        <v>948230</v>
      </c>
      <c r="DA32" s="216">
        <v>949200</v>
      </c>
      <c r="DB32" s="217">
        <f t="shared" si="65"/>
        <v>970</v>
      </c>
      <c r="DC32" s="230">
        <f t="shared" si="66"/>
        <v>90</v>
      </c>
      <c r="DD32" s="231">
        <f>(DB32/'Finance Only'!B35)*100</f>
        <v>4.2005889485536114</v>
      </c>
      <c r="DE32" s="216">
        <f t="shared" si="67"/>
        <v>726580</v>
      </c>
      <c r="DF32" s="216">
        <v>727230</v>
      </c>
      <c r="DG32" s="217">
        <f t="shared" si="68"/>
        <v>650</v>
      </c>
      <c r="DH32" s="230">
        <f t="shared" si="69"/>
        <v>-10</v>
      </c>
      <c r="DI32" s="231">
        <f>(DG32/'Finance Only'!B35)*100</f>
        <v>2.8148276459379873</v>
      </c>
      <c r="DJ32" s="216">
        <f t="shared" si="70"/>
        <v>631330</v>
      </c>
      <c r="DK32" s="216">
        <v>632030</v>
      </c>
      <c r="DL32" s="217">
        <f t="shared" si="71"/>
        <v>700</v>
      </c>
      <c r="DM32" s="230">
        <f t="shared" si="72"/>
        <v>30</v>
      </c>
      <c r="DN32" s="231">
        <f>(DL32/'Finance Only'!B35)*100</f>
        <v>3.0313528494716784</v>
      </c>
      <c r="DO32" s="216">
        <f t="shared" si="73"/>
        <v>343570</v>
      </c>
      <c r="DP32" s="216">
        <v>343900</v>
      </c>
      <c r="DQ32" s="217">
        <f t="shared" si="74"/>
        <v>330</v>
      </c>
      <c r="DR32" s="230">
        <f t="shared" si="75"/>
        <v>30</v>
      </c>
      <c r="DS32" s="231">
        <f>(DQ32/'Finance Only'!B35)*100</f>
        <v>1.4290663433223627</v>
      </c>
      <c r="DT32" s="216">
        <f t="shared" si="76"/>
        <v>112360</v>
      </c>
      <c r="DU32" s="216">
        <v>112490</v>
      </c>
      <c r="DV32" s="217">
        <f t="shared" si="77"/>
        <v>130</v>
      </c>
      <c r="DW32" s="230">
        <f t="shared" si="78"/>
        <v>10</v>
      </c>
      <c r="DX32" s="231">
        <f>(DV32/'Finance Only'!B35)*100</f>
        <v>0.56296552918759746</v>
      </c>
      <c r="DY32" s="216">
        <f t="shared" si="79"/>
        <v>72011</v>
      </c>
      <c r="DZ32" s="216">
        <v>72096</v>
      </c>
      <c r="EA32" s="217">
        <f t="shared" si="80"/>
        <v>85</v>
      </c>
      <c r="EB32" s="230">
        <f t="shared" si="81"/>
        <v>2</v>
      </c>
      <c r="EC32" s="231">
        <f>(EA32/'Finance Only'!B35)*100</f>
        <v>0.36809284600727527</v>
      </c>
      <c r="ED32" s="216">
        <f t="shared" si="82"/>
        <v>229720</v>
      </c>
      <c r="EE32" s="216">
        <v>229980</v>
      </c>
      <c r="EF32" s="217">
        <f t="shared" si="83"/>
        <v>260</v>
      </c>
      <c r="EG32" s="230">
        <f t="shared" si="84"/>
        <v>10</v>
      </c>
      <c r="EH32" s="231">
        <f>(EF32/'Finance Only'!B35)*100</f>
        <v>1.1259310583751949</v>
      </c>
      <c r="EI32" s="216">
        <f t="shared" si="85"/>
        <v>258370</v>
      </c>
      <c r="EJ32" s="216">
        <v>258730</v>
      </c>
      <c r="EK32" s="217">
        <f t="shared" si="86"/>
        <v>360</v>
      </c>
      <c r="EL32" s="230">
        <f t="shared" si="87"/>
        <v>-30</v>
      </c>
      <c r="EM32" s="231">
        <f>(EK32/'Finance Only'!B35)*100</f>
        <v>1.5589814654425775</v>
      </c>
      <c r="EN32" s="216">
        <f t="shared" si="88"/>
        <v>425110</v>
      </c>
      <c r="EO32" s="216">
        <v>426040</v>
      </c>
      <c r="EP32" s="217">
        <f t="shared" si="89"/>
        <v>930</v>
      </c>
      <c r="EQ32" s="230">
        <f t="shared" si="90"/>
        <v>910</v>
      </c>
      <c r="ER32" s="231">
        <f>(EP32/'Finance Only'!B35)*100</f>
        <v>4.0273687857266589</v>
      </c>
      <c r="ES32" s="216">
        <f t="shared" si="91"/>
        <v>0</v>
      </c>
      <c r="ET32" s="216"/>
      <c r="EU32" s="217">
        <f t="shared" si="92"/>
        <v>0</v>
      </c>
      <c r="EV32" s="230">
        <f t="shared" si="93"/>
        <v>0</v>
      </c>
      <c r="EW32" s="231">
        <f>(EU32/'Finance Only'!B35)*100</f>
        <v>0</v>
      </c>
      <c r="EX32" s="216">
        <f t="shared" si="94"/>
        <v>0</v>
      </c>
      <c r="EY32" s="216"/>
      <c r="EZ32" s="217">
        <f t="shared" si="95"/>
        <v>0</v>
      </c>
      <c r="FA32" s="230">
        <f t="shared" si="96"/>
        <v>0</v>
      </c>
      <c r="FB32" s="231">
        <f>(EZ32/'Finance Only'!G35)*100</f>
        <v>0</v>
      </c>
      <c r="FC32" s="216">
        <f t="shared" si="97"/>
        <v>0</v>
      </c>
      <c r="FD32" s="216"/>
      <c r="FE32" s="217">
        <f t="shared" si="98"/>
        <v>0</v>
      </c>
      <c r="FF32" s="230">
        <f t="shared" si="99"/>
        <v>0</v>
      </c>
      <c r="FG32" s="231" t="e">
        <f>(FE32/'Finance Only'!M35)*100</f>
        <v>#DIV/0!</v>
      </c>
      <c r="FH32" s="304"/>
      <c r="FI32" s="304"/>
      <c r="FJ32" s="304"/>
      <c r="FK32" s="304"/>
      <c r="FL32" s="304"/>
      <c r="FM32" s="216">
        <f t="shared" si="100"/>
        <v>0</v>
      </c>
      <c r="FN32" s="216"/>
      <c r="FO32" s="217">
        <f t="shared" si="101"/>
        <v>0</v>
      </c>
      <c r="FP32" s="230">
        <f t="shared" si="102"/>
        <v>0</v>
      </c>
      <c r="FQ32" s="231" t="e">
        <f>(FO32/'Finance Only'!R35)*100</f>
        <v>#DIV/0!</v>
      </c>
      <c r="FR32" s="216">
        <f t="shared" si="103"/>
        <v>0</v>
      </c>
      <c r="FS32" s="216"/>
      <c r="FT32" s="217">
        <f t="shared" si="104"/>
        <v>0</v>
      </c>
      <c r="FU32" s="230">
        <f t="shared" si="105"/>
        <v>0</v>
      </c>
      <c r="FV32" s="231" t="e">
        <f>(FT32/'Finance Only'!W35)*100</f>
        <v>#DIV/0!</v>
      </c>
      <c r="FW32" s="216">
        <f t="shared" si="106"/>
        <v>0</v>
      </c>
      <c r="FX32" s="216"/>
      <c r="FY32" s="217">
        <f t="shared" si="107"/>
        <v>0</v>
      </c>
      <c r="FZ32" s="230">
        <f t="shared" si="108"/>
        <v>0</v>
      </c>
      <c r="GA32" s="231" t="e">
        <f>(FY32/'Finance Only'!AB35)*100</f>
        <v>#DIV/0!</v>
      </c>
      <c r="GB32" s="280"/>
      <c r="GC32" s="286">
        <f t="shared" si="1"/>
        <v>6703</v>
      </c>
      <c r="GD32" s="283"/>
      <c r="GE32" s="286">
        <f t="shared" si="2"/>
        <v>7078</v>
      </c>
      <c r="GF32" s="283"/>
      <c r="GG32" s="286">
        <f t="shared" si="3"/>
        <v>1500</v>
      </c>
      <c r="GH32" s="283"/>
      <c r="GI32" s="286">
        <f t="shared" si="4"/>
        <v>1025</v>
      </c>
      <c r="GJ32" s="283"/>
      <c r="GK32" s="286">
        <f t="shared" si="5"/>
        <v>630</v>
      </c>
      <c r="GL32" s="283"/>
      <c r="GM32" s="286">
        <f t="shared" si="6"/>
        <v>0</v>
      </c>
      <c r="GN32" s="283"/>
    </row>
    <row r="33" spans="1:196" s="3" customFormat="1" ht="13.5" customHeight="1" x14ac:dyDescent="0.2">
      <c r="A33" s="271">
        <v>29</v>
      </c>
      <c r="B33" s="274">
        <f>'Finance Only'!G36</f>
        <v>17.5</v>
      </c>
      <c r="C33" s="269">
        <f t="shared" si="7"/>
        <v>27071415</v>
      </c>
      <c r="D33" s="214">
        <v>27074388</v>
      </c>
      <c r="E33" s="215">
        <f t="shared" si="8"/>
        <v>2973</v>
      </c>
      <c r="F33" s="226">
        <f t="shared" si="9"/>
        <v>10</v>
      </c>
      <c r="G33" s="227">
        <f>(E33/'Finance Only'!B36)*100</f>
        <v>12.309539582643261</v>
      </c>
      <c r="H33" s="237">
        <f t="shared" si="10"/>
        <v>24997402</v>
      </c>
      <c r="I33" s="214">
        <v>25001545</v>
      </c>
      <c r="J33" s="214">
        <f t="shared" si="11"/>
        <v>4143</v>
      </c>
      <c r="K33" s="238">
        <f t="shared" si="12"/>
        <v>403</v>
      </c>
      <c r="L33" s="239">
        <f>(J33/'Finance Only'!B36)*100</f>
        <v>17.153858893673402</v>
      </c>
      <c r="M33" s="222">
        <f t="shared" si="13"/>
        <v>92105101</v>
      </c>
      <c r="N33" s="216">
        <v>92116163</v>
      </c>
      <c r="O33" s="217">
        <f t="shared" si="14"/>
        <v>11062</v>
      </c>
      <c r="P33" s="230">
        <f t="shared" si="15"/>
        <v>-49</v>
      </c>
      <c r="Q33" s="231">
        <f>(O33/'Finance Only'!B36)*100</f>
        <v>45.801589930440542</v>
      </c>
      <c r="R33" s="221">
        <f t="shared" si="16"/>
        <v>3066600</v>
      </c>
      <c r="S33" s="216">
        <v>3069000</v>
      </c>
      <c r="T33" s="217">
        <f t="shared" si="17"/>
        <v>2400</v>
      </c>
      <c r="U33" s="230">
        <f t="shared" si="18"/>
        <v>-200</v>
      </c>
      <c r="V33" s="231">
        <f>(T33/'Finance Only'!B36)*100</f>
        <v>9.9370652533951631</v>
      </c>
      <c r="W33" s="216">
        <f t="shared" si="19"/>
        <v>4139694</v>
      </c>
      <c r="X33" s="216">
        <v>4142651</v>
      </c>
      <c r="Y33" s="217">
        <f t="shared" si="20"/>
        <v>2957</v>
      </c>
      <c r="Z33" s="230">
        <f t="shared" si="21"/>
        <v>114</v>
      </c>
      <c r="AA33" s="231">
        <f>(Y33/'Finance Only'!B36)*100</f>
        <v>12.243292480953958</v>
      </c>
      <c r="AB33" s="216">
        <f t="shared" si="22"/>
        <v>2689300</v>
      </c>
      <c r="AC33" s="217">
        <v>2691400</v>
      </c>
      <c r="AD33" s="217">
        <f t="shared" si="0"/>
        <v>2100</v>
      </c>
      <c r="AE33" s="325">
        <f>AD33/WATER!V34</f>
        <v>5.6300268096514747</v>
      </c>
      <c r="AF33" s="230">
        <f t="shared" si="23"/>
        <v>100</v>
      </c>
      <c r="AG33" s="231">
        <f>(AD33/'Finance Only'!B36)*100</f>
        <v>8.6949320967207679</v>
      </c>
      <c r="AH33" s="216">
        <f t="shared" si="24"/>
        <v>1089531</v>
      </c>
      <c r="AI33" s="216">
        <v>1090018</v>
      </c>
      <c r="AJ33" s="217">
        <f t="shared" si="25"/>
        <v>487</v>
      </c>
      <c r="AK33" s="230">
        <f t="shared" si="26"/>
        <v>42</v>
      </c>
      <c r="AL33" s="231">
        <f>(AJ33/'Finance Only'!B36)*100</f>
        <v>2.016396157668102</v>
      </c>
      <c r="AM33" s="216">
        <f t="shared" si="27"/>
        <v>1096500</v>
      </c>
      <c r="AN33" s="216">
        <v>1097200</v>
      </c>
      <c r="AO33" s="217">
        <f t="shared" si="28"/>
        <v>700</v>
      </c>
      <c r="AP33" s="230">
        <f t="shared" si="29"/>
        <v>-100</v>
      </c>
      <c r="AQ33" s="231">
        <f>(AO33/'Finance Only'!B36)*100</f>
        <v>2.8983106989069229</v>
      </c>
      <c r="AR33" s="216">
        <f t="shared" si="30"/>
        <v>2459900</v>
      </c>
      <c r="AS33" s="216">
        <v>2461300</v>
      </c>
      <c r="AT33" s="217">
        <f t="shared" si="31"/>
        <v>1400</v>
      </c>
      <c r="AU33" s="230">
        <f t="shared" si="32"/>
        <v>700</v>
      </c>
      <c r="AV33" s="231">
        <f>(AT33/'Finance Only'!B36)*100</f>
        <v>5.7966213978138459</v>
      </c>
      <c r="AW33" s="216">
        <f t="shared" si="33"/>
        <v>13653</v>
      </c>
      <c r="AX33" s="216">
        <v>14001</v>
      </c>
      <c r="AY33" s="217">
        <f t="shared" si="34"/>
        <v>348</v>
      </c>
      <c r="AZ33" s="230">
        <f t="shared" si="35"/>
        <v>3</v>
      </c>
      <c r="BA33" s="231">
        <f>(AY33/'Finance Only'!B36)*100</f>
        <v>1.4408744617422986</v>
      </c>
      <c r="BB33" s="216">
        <f t="shared" si="36"/>
        <v>994730</v>
      </c>
      <c r="BC33" s="216">
        <v>995090</v>
      </c>
      <c r="BD33" s="217">
        <f t="shared" si="37"/>
        <v>360</v>
      </c>
      <c r="BE33" s="230">
        <f t="shared" si="38"/>
        <v>-20</v>
      </c>
      <c r="BF33" s="231">
        <f>(BD33/'Finance Only'!B36)*100</f>
        <v>1.4905597880092747</v>
      </c>
      <c r="BG33" s="216">
        <f t="shared" si="39"/>
        <v>1072400</v>
      </c>
      <c r="BH33" s="216">
        <v>1072600</v>
      </c>
      <c r="BI33" s="217">
        <f t="shared" si="40"/>
        <v>200</v>
      </c>
      <c r="BJ33" s="230">
        <f t="shared" si="41"/>
        <v>-100</v>
      </c>
      <c r="BK33" s="231">
        <f>(BI33/'Finance Only'!B36)*100</f>
        <v>0.82808877111626367</v>
      </c>
      <c r="BL33" s="216">
        <f t="shared" si="42"/>
        <v>1590800</v>
      </c>
      <c r="BM33" s="216">
        <v>1591400</v>
      </c>
      <c r="BN33" s="217">
        <f t="shared" si="43"/>
        <v>600</v>
      </c>
      <c r="BO33" s="230">
        <f t="shared" si="44"/>
        <v>100</v>
      </c>
      <c r="BP33" s="231">
        <f>(BN33/'Finance Only'!B36)*100</f>
        <v>2.4842663133487908</v>
      </c>
      <c r="BQ33" s="216">
        <f t="shared" si="45"/>
        <v>136160</v>
      </c>
      <c r="BR33" s="216">
        <v>136290</v>
      </c>
      <c r="BS33" s="217">
        <f t="shared" si="46"/>
        <v>130</v>
      </c>
      <c r="BT33" s="230">
        <f t="shared" si="47"/>
        <v>0</v>
      </c>
      <c r="BU33" s="231">
        <f>(BS33/'Finance Only'!B36)*100</f>
        <v>0.53825770122557137</v>
      </c>
      <c r="BV33" s="216">
        <f t="shared" si="48"/>
        <v>580560</v>
      </c>
      <c r="BW33" s="216">
        <v>581000</v>
      </c>
      <c r="BX33" s="217">
        <f t="shared" si="49"/>
        <v>440</v>
      </c>
      <c r="BY33" s="230">
        <f t="shared" si="50"/>
        <v>40</v>
      </c>
      <c r="BZ33" s="231">
        <f>(BX33/'Finance Only'!B36)*100</f>
        <v>1.82179529645578</v>
      </c>
      <c r="CA33" s="216">
        <f t="shared" si="51"/>
        <v>1077600</v>
      </c>
      <c r="CB33" s="216">
        <v>1078700</v>
      </c>
      <c r="CC33" s="217">
        <f t="shared" si="52"/>
        <v>1100</v>
      </c>
      <c r="CD33" s="230">
        <f t="shared" si="53"/>
        <v>-100</v>
      </c>
      <c r="CE33" s="231">
        <f>(CC33/'Finance Only'!B36)*100</f>
        <v>4.5544882411394507</v>
      </c>
      <c r="CF33" s="216">
        <f t="shared" si="54"/>
        <v>351310</v>
      </c>
      <c r="CG33" s="216">
        <v>351780</v>
      </c>
      <c r="CH33" s="217">
        <f t="shared" si="55"/>
        <v>470</v>
      </c>
      <c r="CI33" s="230">
        <f t="shared" si="56"/>
        <v>-30</v>
      </c>
      <c r="CJ33" s="231">
        <f>(CH33/'Finance Only'!B36)*100</f>
        <v>1.9460086121232196</v>
      </c>
      <c r="CK33" s="217">
        <f t="shared" si="57"/>
        <v>825140</v>
      </c>
      <c r="CL33" s="217">
        <v>826030</v>
      </c>
      <c r="CM33" s="217">
        <f t="shared" si="58"/>
        <v>890</v>
      </c>
      <c r="CN33" s="230">
        <f t="shared" si="59"/>
        <v>220</v>
      </c>
      <c r="CO33" s="231">
        <f>(CM33/'Finance Only'!B36)*100</f>
        <v>3.684995031467373</v>
      </c>
      <c r="CP33" s="216">
        <f t="shared" si="110"/>
        <v>684220</v>
      </c>
      <c r="CQ33" s="216">
        <v>684970</v>
      </c>
      <c r="CR33" s="218">
        <f t="shared" si="109"/>
        <v>750</v>
      </c>
      <c r="CS33" s="230">
        <f t="shared" si="60"/>
        <v>40</v>
      </c>
      <c r="CT33" s="231">
        <f>(CR33/'Finance Only'!B36)*100</f>
        <v>3.1053328916859888</v>
      </c>
      <c r="CU33" s="216">
        <f t="shared" si="61"/>
        <v>567280</v>
      </c>
      <c r="CV33" s="216">
        <v>567900</v>
      </c>
      <c r="CW33" s="217">
        <f t="shared" si="62"/>
        <v>620</v>
      </c>
      <c r="CX33" s="230">
        <f t="shared" si="63"/>
        <v>110</v>
      </c>
      <c r="CY33" s="231">
        <f>(CW33/'Finance Only'!B36)*100</f>
        <v>2.5670751904604177</v>
      </c>
      <c r="CZ33" s="216">
        <f t="shared" si="64"/>
        <v>949200</v>
      </c>
      <c r="DA33" s="216">
        <v>950280</v>
      </c>
      <c r="DB33" s="217">
        <f t="shared" si="65"/>
        <v>1080</v>
      </c>
      <c r="DC33" s="230">
        <f t="shared" si="66"/>
        <v>110</v>
      </c>
      <c r="DD33" s="231">
        <f>(DB33/'Finance Only'!B36)*100</f>
        <v>4.4716793640278238</v>
      </c>
      <c r="DE33" s="216">
        <f t="shared" si="67"/>
        <v>727230</v>
      </c>
      <c r="DF33" s="216">
        <v>728020</v>
      </c>
      <c r="DG33" s="217">
        <f t="shared" si="68"/>
        <v>790</v>
      </c>
      <c r="DH33" s="230">
        <f t="shared" si="69"/>
        <v>140</v>
      </c>
      <c r="DI33" s="231">
        <f>(DG33/'Finance Only'!B36)*100</f>
        <v>3.2709506459092417</v>
      </c>
      <c r="DJ33" s="216">
        <f t="shared" si="70"/>
        <v>632030</v>
      </c>
      <c r="DK33" s="216">
        <v>632790</v>
      </c>
      <c r="DL33" s="217">
        <f t="shared" si="71"/>
        <v>760</v>
      </c>
      <c r="DM33" s="230">
        <f t="shared" si="72"/>
        <v>60</v>
      </c>
      <c r="DN33" s="231">
        <f>(DL33/'Finance Only'!B36)*100</f>
        <v>3.1467373302418022</v>
      </c>
      <c r="DO33" s="216">
        <f t="shared" si="73"/>
        <v>343900</v>
      </c>
      <c r="DP33" s="216">
        <v>344240</v>
      </c>
      <c r="DQ33" s="217">
        <f t="shared" si="74"/>
        <v>340</v>
      </c>
      <c r="DR33" s="230">
        <f t="shared" si="75"/>
        <v>10</v>
      </c>
      <c r="DS33" s="231">
        <f>(DQ33/'Finance Only'!B36)*100</f>
        <v>1.4077509108976483</v>
      </c>
      <c r="DT33" s="216">
        <f t="shared" si="76"/>
        <v>112490</v>
      </c>
      <c r="DU33" s="216">
        <v>112640</v>
      </c>
      <c r="DV33" s="217">
        <f t="shared" si="77"/>
        <v>150</v>
      </c>
      <c r="DW33" s="230">
        <f t="shared" si="78"/>
        <v>20</v>
      </c>
      <c r="DX33" s="231">
        <f>(DV33/'Finance Only'!B36)*100</f>
        <v>0.62106657833719769</v>
      </c>
      <c r="DY33" s="216">
        <f t="shared" si="79"/>
        <v>72096</v>
      </c>
      <c r="DZ33" s="216">
        <v>72172</v>
      </c>
      <c r="EA33" s="217">
        <f t="shared" si="80"/>
        <v>76</v>
      </c>
      <c r="EB33" s="230">
        <f t="shared" si="81"/>
        <v>-9</v>
      </c>
      <c r="EC33" s="231">
        <f>(EA33/'Finance Only'!B36)*100</f>
        <v>0.31467373302418017</v>
      </c>
      <c r="ED33" s="216">
        <f t="shared" si="82"/>
        <v>229980</v>
      </c>
      <c r="EE33" s="216">
        <v>230250</v>
      </c>
      <c r="EF33" s="217">
        <f t="shared" si="83"/>
        <v>270</v>
      </c>
      <c r="EG33" s="230">
        <f t="shared" si="84"/>
        <v>10</v>
      </c>
      <c r="EH33" s="231">
        <f>(EF33/'Finance Only'!B36)*100</f>
        <v>1.117919841006956</v>
      </c>
      <c r="EI33" s="216">
        <f t="shared" si="85"/>
        <v>258730</v>
      </c>
      <c r="EJ33" s="216">
        <v>259080</v>
      </c>
      <c r="EK33" s="217">
        <f t="shared" si="86"/>
        <v>350</v>
      </c>
      <c r="EL33" s="230">
        <f t="shared" si="87"/>
        <v>-10</v>
      </c>
      <c r="EM33" s="231">
        <f>(EK33/'Finance Only'!B36)*100</f>
        <v>1.4491553494534615</v>
      </c>
      <c r="EN33" s="216">
        <f t="shared" si="88"/>
        <v>426040</v>
      </c>
      <c r="EO33" s="216">
        <v>426540</v>
      </c>
      <c r="EP33" s="217">
        <f t="shared" si="89"/>
        <v>500</v>
      </c>
      <c r="EQ33" s="230">
        <f t="shared" si="90"/>
        <v>-430</v>
      </c>
      <c r="ER33" s="231">
        <f>(EP33/'Finance Only'!B36)*100</f>
        <v>2.0702219277906591</v>
      </c>
      <c r="ES33" s="216">
        <f t="shared" si="91"/>
        <v>0</v>
      </c>
      <c r="ET33" s="216"/>
      <c r="EU33" s="217">
        <f t="shared" si="92"/>
        <v>0</v>
      </c>
      <c r="EV33" s="230">
        <f t="shared" si="93"/>
        <v>0</v>
      </c>
      <c r="EW33" s="231">
        <f>(EU33/'Finance Only'!B36)*100</f>
        <v>0</v>
      </c>
      <c r="EX33" s="216">
        <f t="shared" si="94"/>
        <v>0</v>
      </c>
      <c r="EY33" s="216"/>
      <c r="EZ33" s="217">
        <f t="shared" si="95"/>
        <v>0</v>
      </c>
      <c r="FA33" s="230">
        <f t="shared" si="96"/>
        <v>0</v>
      </c>
      <c r="FB33" s="231">
        <f>(EZ33/'Finance Only'!G36)*100</f>
        <v>0</v>
      </c>
      <c r="FC33" s="216">
        <f t="shared" si="97"/>
        <v>0</v>
      </c>
      <c r="FD33" s="216"/>
      <c r="FE33" s="217">
        <f t="shared" si="98"/>
        <v>0</v>
      </c>
      <c r="FF33" s="230">
        <f t="shared" si="99"/>
        <v>0</v>
      </c>
      <c r="FG33" s="231" t="e">
        <f>(FE33/'Finance Only'!M36)*100</f>
        <v>#DIV/0!</v>
      </c>
      <c r="FH33" s="304"/>
      <c r="FI33" s="304"/>
      <c r="FJ33" s="304"/>
      <c r="FK33" s="304"/>
      <c r="FL33" s="304"/>
      <c r="FM33" s="216">
        <f t="shared" si="100"/>
        <v>0</v>
      </c>
      <c r="FN33" s="216"/>
      <c r="FO33" s="217">
        <f t="shared" si="101"/>
        <v>0</v>
      </c>
      <c r="FP33" s="230">
        <f t="shared" si="102"/>
        <v>0</v>
      </c>
      <c r="FQ33" s="231" t="e">
        <f>(FO33/'Finance Only'!R36)*100</f>
        <v>#DIV/0!</v>
      </c>
      <c r="FR33" s="216">
        <f t="shared" si="103"/>
        <v>0</v>
      </c>
      <c r="FS33" s="216"/>
      <c r="FT33" s="217">
        <f t="shared" si="104"/>
        <v>0</v>
      </c>
      <c r="FU33" s="230">
        <f t="shared" si="105"/>
        <v>0</v>
      </c>
      <c r="FV33" s="231" t="e">
        <f>(FT33/'Finance Only'!W36)*100</f>
        <v>#DIV/0!</v>
      </c>
      <c r="FW33" s="216">
        <f t="shared" si="106"/>
        <v>0</v>
      </c>
      <c r="FX33" s="216"/>
      <c r="FY33" s="217">
        <f t="shared" si="107"/>
        <v>0</v>
      </c>
      <c r="FZ33" s="230">
        <f t="shared" si="108"/>
        <v>0</v>
      </c>
      <c r="GA33" s="231" t="e">
        <f>(FY33/'Finance Only'!AB36)*100</f>
        <v>#DIV/0!</v>
      </c>
      <c r="GB33" s="280"/>
      <c r="GC33" s="286">
        <f t="shared" si="1"/>
        <v>7116</v>
      </c>
      <c r="GD33" s="283"/>
      <c r="GE33" s="286">
        <f t="shared" si="2"/>
        <v>6553</v>
      </c>
      <c r="GF33" s="283"/>
      <c r="GG33" s="286">
        <f t="shared" si="3"/>
        <v>2100</v>
      </c>
      <c r="GH33" s="283"/>
      <c r="GI33" s="286">
        <f t="shared" si="4"/>
        <v>908</v>
      </c>
      <c r="GJ33" s="283"/>
      <c r="GK33" s="286">
        <f t="shared" si="5"/>
        <v>730</v>
      </c>
      <c r="GL33" s="283"/>
      <c r="GM33" s="286">
        <f t="shared" si="6"/>
        <v>0</v>
      </c>
      <c r="GN33" s="283"/>
    </row>
    <row r="34" spans="1:196" s="3" customFormat="1" ht="13.5" customHeight="1" x14ac:dyDescent="0.2">
      <c r="A34" s="271">
        <v>30</v>
      </c>
      <c r="B34" s="274">
        <f>'Finance Only'!G37</f>
        <v>18</v>
      </c>
      <c r="C34" s="269">
        <f t="shared" si="7"/>
        <v>27074388</v>
      </c>
      <c r="D34" s="214">
        <v>27077022</v>
      </c>
      <c r="E34" s="215">
        <f t="shared" si="8"/>
        <v>2634</v>
      </c>
      <c r="F34" s="226">
        <f t="shared" si="9"/>
        <v>-339</v>
      </c>
      <c r="G34" s="227">
        <f>(E34/'Finance Only'!B37)*100</f>
        <v>12.39004656851216</v>
      </c>
      <c r="H34" s="237">
        <f t="shared" si="10"/>
        <v>25001545</v>
      </c>
      <c r="I34" s="240">
        <v>25004777</v>
      </c>
      <c r="J34" s="214">
        <f t="shared" si="11"/>
        <v>3232</v>
      </c>
      <c r="K34" s="238">
        <f t="shared" si="12"/>
        <v>-911</v>
      </c>
      <c r="L34" s="239">
        <f>(J34/'Finance Only'!B37)*100</f>
        <v>15.202972858554023</v>
      </c>
      <c r="M34" s="222">
        <f t="shared" si="13"/>
        <v>92116163</v>
      </c>
      <c r="N34" s="216">
        <v>92126615</v>
      </c>
      <c r="O34" s="217">
        <f t="shared" si="14"/>
        <v>10452</v>
      </c>
      <c r="P34" s="230">
        <f t="shared" si="15"/>
        <v>-610</v>
      </c>
      <c r="Q34" s="231">
        <f>(O34/'Finance Only'!B37)*100</f>
        <v>49.165059504209978</v>
      </c>
      <c r="R34" s="221">
        <f t="shared" si="16"/>
        <v>3069000</v>
      </c>
      <c r="S34" s="216">
        <v>3071300</v>
      </c>
      <c r="T34" s="217">
        <f t="shared" si="17"/>
        <v>2300</v>
      </c>
      <c r="U34" s="230">
        <f t="shared" si="18"/>
        <v>-100</v>
      </c>
      <c r="V34" s="231">
        <f>(T34/'Finance Only'!B37)*100</f>
        <v>10.818947269391789</v>
      </c>
      <c r="W34" s="216">
        <f t="shared" si="19"/>
        <v>4142651</v>
      </c>
      <c r="X34" s="216">
        <v>4145389</v>
      </c>
      <c r="Y34" s="217">
        <f t="shared" si="20"/>
        <v>2738</v>
      </c>
      <c r="Z34" s="230">
        <f t="shared" si="21"/>
        <v>-219</v>
      </c>
      <c r="AA34" s="231">
        <f>(Y34/'Finance Only'!B37)*100</f>
        <v>12.879251140693354</v>
      </c>
      <c r="AB34" s="216">
        <f t="shared" si="22"/>
        <v>2691400</v>
      </c>
      <c r="AC34" s="217">
        <v>2692900</v>
      </c>
      <c r="AD34" s="217">
        <f t="shared" si="0"/>
        <v>1500</v>
      </c>
      <c r="AE34" s="325">
        <f>AD34/WATER!V35</f>
        <v>5.5762081784386615</v>
      </c>
      <c r="AF34" s="230">
        <f t="shared" si="23"/>
        <v>-600</v>
      </c>
      <c r="AG34" s="231">
        <f>(AD34/'Finance Only'!B37)*100</f>
        <v>7.0558351756902962</v>
      </c>
      <c r="AH34" s="216">
        <f t="shared" si="24"/>
        <v>1090018</v>
      </c>
      <c r="AI34" s="216">
        <v>1090526</v>
      </c>
      <c r="AJ34" s="217">
        <f t="shared" si="25"/>
        <v>508</v>
      </c>
      <c r="AK34" s="230">
        <f t="shared" si="26"/>
        <v>21</v>
      </c>
      <c r="AL34" s="231">
        <f>(AJ34/'Finance Only'!B37)*100</f>
        <v>2.3895761795004469</v>
      </c>
      <c r="AM34" s="216">
        <f t="shared" si="27"/>
        <v>1097200</v>
      </c>
      <c r="AN34" s="216">
        <v>1097900</v>
      </c>
      <c r="AO34" s="217">
        <f t="shared" si="28"/>
        <v>700</v>
      </c>
      <c r="AP34" s="230">
        <f t="shared" si="29"/>
        <v>0</v>
      </c>
      <c r="AQ34" s="231">
        <f>(AO34/'Finance Only'!B37)*100</f>
        <v>3.2927230819888047</v>
      </c>
      <c r="AR34" s="216">
        <f t="shared" si="30"/>
        <v>2461300</v>
      </c>
      <c r="AS34" s="216">
        <v>2462200</v>
      </c>
      <c r="AT34" s="217">
        <f t="shared" si="31"/>
        <v>900</v>
      </c>
      <c r="AU34" s="230">
        <f t="shared" si="32"/>
        <v>-500</v>
      </c>
      <c r="AV34" s="231">
        <f>(AT34/'Finance Only'!B37)*100</f>
        <v>4.2335011054141773</v>
      </c>
      <c r="AW34" s="216">
        <f t="shared" si="33"/>
        <v>14001</v>
      </c>
      <c r="AX34" s="216">
        <v>14371</v>
      </c>
      <c r="AY34" s="217">
        <f t="shared" si="34"/>
        <v>370</v>
      </c>
      <c r="AZ34" s="230">
        <f t="shared" si="35"/>
        <v>22</v>
      </c>
      <c r="BA34" s="231">
        <f>(AY34/'Finance Only'!B37)*100</f>
        <v>1.7404393433369396</v>
      </c>
      <c r="BB34" s="216">
        <f t="shared" si="36"/>
        <v>995090</v>
      </c>
      <c r="BC34" s="216">
        <v>995500</v>
      </c>
      <c r="BD34" s="217">
        <f t="shared" si="37"/>
        <v>410</v>
      </c>
      <c r="BE34" s="230">
        <f t="shared" si="38"/>
        <v>50</v>
      </c>
      <c r="BF34" s="231">
        <f>(BD34/'Finance Only'!B37)*100</f>
        <v>1.9285949480220141</v>
      </c>
      <c r="BG34" s="216">
        <f t="shared" si="39"/>
        <v>1072600</v>
      </c>
      <c r="BH34" s="216">
        <v>1072900</v>
      </c>
      <c r="BI34" s="217">
        <f t="shared" si="40"/>
        <v>300</v>
      </c>
      <c r="BJ34" s="230">
        <f t="shared" si="41"/>
        <v>100</v>
      </c>
      <c r="BK34" s="231">
        <f>(BI34/'Finance Only'!B37)*100</f>
        <v>1.4111670351380592</v>
      </c>
      <c r="BL34" s="216">
        <f t="shared" si="42"/>
        <v>1591400</v>
      </c>
      <c r="BM34" s="216">
        <v>1591900</v>
      </c>
      <c r="BN34" s="217">
        <f t="shared" si="43"/>
        <v>500</v>
      </c>
      <c r="BO34" s="230">
        <f t="shared" si="44"/>
        <v>-100</v>
      </c>
      <c r="BP34" s="231">
        <f>(BN34/'Finance Only'!B37)*100</f>
        <v>2.3519450585634321</v>
      </c>
      <c r="BQ34" s="216">
        <f t="shared" si="45"/>
        <v>136290</v>
      </c>
      <c r="BR34" s="216">
        <v>136420</v>
      </c>
      <c r="BS34" s="217">
        <f t="shared" si="46"/>
        <v>130</v>
      </c>
      <c r="BT34" s="230">
        <f t="shared" si="47"/>
        <v>0</v>
      </c>
      <c r="BU34" s="231">
        <f>(BS34/'Finance Only'!B37)*100</f>
        <v>0.61150571522649233</v>
      </c>
      <c r="BV34" s="216">
        <f t="shared" si="48"/>
        <v>581000</v>
      </c>
      <c r="BW34" s="216">
        <v>581460</v>
      </c>
      <c r="BX34" s="217">
        <f t="shared" si="49"/>
        <v>460</v>
      </c>
      <c r="BY34" s="230">
        <f t="shared" si="50"/>
        <v>20</v>
      </c>
      <c r="BZ34" s="231">
        <f>(BX34/'Finance Only'!B37)*100</f>
        <v>2.1637894538783575</v>
      </c>
      <c r="CA34" s="216">
        <f t="shared" si="51"/>
        <v>1078700</v>
      </c>
      <c r="CB34" s="216">
        <v>1079900</v>
      </c>
      <c r="CC34" s="217">
        <f t="shared" si="52"/>
        <v>1200</v>
      </c>
      <c r="CD34" s="230">
        <f t="shared" si="53"/>
        <v>100</v>
      </c>
      <c r="CE34" s="231">
        <f>(CC34/'Finance Only'!B37)*100</f>
        <v>5.6446681405522368</v>
      </c>
      <c r="CF34" s="216">
        <f t="shared" si="54"/>
        <v>351780</v>
      </c>
      <c r="CG34" s="216">
        <v>352170</v>
      </c>
      <c r="CH34" s="217">
        <f t="shared" si="55"/>
        <v>390</v>
      </c>
      <c r="CI34" s="230">
        <f t="shared" si="56"/>
        <v>-80</v>
      </c>
      <c r="CJ34" s="231">
        <f>(CH34/'Finance Only'!B37)*100</f>
        <v>1.8345171456794769</v>
      </c>
      <c r="CK34" s="217">
        <f t="shared" si="57"/>
        <v>826030</v>
      </c>
      <c r="CL34" s="217">
        <v>826630</v>
      </c>
      <c r="CM34" s="217">
        <f t="shared" si="58"/>
        <v>600</v>
      </c>
      <c r="CN34" s="230">
        <f t="shared" si="59"/>
        <v>-290</v>
      </c>
      <c r="CO34" s="231">
        <f>(CM34/'Finance Only'!B37)*100</f>
        <v>2.8223340702761184</v>
      </c>
      <c r="CP34" s="216">
        <f t="shared" si="110"/>
        <v>684970</v>
      </c>
      <c r="CQ34" s="216">
        <v>685640</v>
      </c>
      <c r="CR34" s="218">
        <f t="shared" si="109"/>
        <v>670</v>
      </c>
      <c r="CS34" s="230">
        <f t="shared" si="60"/>
        <v>-80</v>
      </c>
      <c r="CT34" s="231">
        <f>(CR34/'Finance Only'!B37)*100</f>
        <v>3.151606378474999</v>
      </c>
      <c r="CU34" s="216">
        <f t="shared" si="61"/>
        <v>567900</v>
      </c>
      <c r="CV34" s="216">
        <v>568370</v>
      </c>
      <c r="CW34" s="217">
        <f t="shared" si="62"/>
        <v>470</v>
      </c>
      <c r="CX34" s="230">
        <f t="shared" si="63"/>
        <v>-150</v>
      </c>
      <c r="CY34" s="231">
        <f>(CW34/'Finance Only'!B37)*100</f>
        <v>2.2108283550496259</v>
      </c>
      <c r="CZ34" s="216">
        <f t="shared" si="64"/>
        <v>950280</v>
      </c>
      <c r="DA34" s="216">
        <v>951060</v>
      </c>
      <c r="DB34" s="217">
        <f t="shared" si="65"/>
        <v>780</v>
      </c>
      <c r="DC34" s="230">
        <f t="shared" si="66"/>
        <v>-300</v>
      </c>
      <c r="DD34" s="231">
        <f>(DB34/'Finance Only'!B37)*100</f>
        <v>3.6690342913589538</v>
      </c>
      <c r="DE34" s="216">
        <f t="shared" si="67"/>
        <v>728020</v>
      </c>
      <c r="DF34" s="216">
        <v>728630</v>
      </c>
      <c r="DG34" s="217">
        <f t="shared" si="68"/>
        <v>610</v>
      </c>
      <c r="DH34" s="230">
        <f t="shared" si="69"/>
        <v>-180</v>
      </c>
      <c r="DI34" s="231">
        <f>(DG34/'Finance Only'!B37)*100</f>
        <v>2.8693729714473868</v>
      </c>
      <c r="DJ34" s="216">
        <f t="shared" si="70"/>
        <v>632790</v>
      </c>
      <c r="DK34" s="216">
        <v>633300</v>
      </c>
      <c r="DL34" s="217">
        <f t="shared" si="71"/>
        <v>510</v>
      </c>
      <c r="DM34" s="230">
        <f t="shared" si="72"/>
        <v>-250</v>
      </c>
      <c r="DN34" s="231">
        <f>(DL34/'Finance Only'!B37)*100</f>
        <v>2.3989839597347009</v>
      </c>
      <c r="DO34" s="216">
        <f t="shared" si="73"/>
        <v>344240</v>
      </c>
      <c r="DP34" s="216">
        <v>344500</v>
      </c>
      <c r="DQ34" s="217">
        <f t="shared" si="74"/>
        <v>260</v>
      </c>
      <c r="DR34" s="230">
        <f t="shared" si="75"/>
        <v>-80</v>
      </c>
      <c r="DS34" s="231">
        <f>(DQ34/'Finance Only'!B37)*100</f>
        <v>1.2230114304529847</v>
      </c>
      <c r="DT34" s="216">
        <f t="shared" si="76"/>
        <v>112640</v>
      </c>
      <c r="DU34" s="216">
        <v>112740</v>
      </c>
      <c r="DV34" s="217">
        <f t="shared" si="77"/>
        <v>100</v>
      </c>
      <c r="DW34" s="230">
        <f t="shared" si="78"/>
        <v>-50</v>
      </c>
      <c r="DX34" s="231">
        <f>(DV34/'Finance Only'!B37)*100</f>
        <v>0.47038901171268643</v>
      </c>
      <c r="DY34" s="216">
        <f t="shared" si="79"/>
        <v>72172</v>
      </c>
      <c r="DZ34" s="216">
        <v>72250</v>
      </c>
      <c r="EA34" s="217">
        <f t="shared" si="80"/>
        <v>78</v>
      </c>
      <c r="EB34" s="230">
        <f t="shared" si="81"/>
        <v>2</v>
      </c>
      <c r="EC34" s="231">
        <f>(EA34/'Finance Only'!B37)*100</f>
        <v>0.36690342913589535</v>
      </c>
      <c r="ED34" s="216">
        <f t="shared" si="82"/>
        <v>230250</v>
      </c>
      <c r="EE34" s="216">
        <v>230520</v>
      </c>
      <c r="EF34" s="217">
        <f t="shared" si="83"/>
        <v>270</v>
      </c>
      <c r="EG34" s="230">
        <f t="shared" si="84"/>
        <v>0</v>
      </c>
      <c r="EH34" s="231">
        <f>(EF34/'Finance Only'!B37)*100</f>
        <v>1.2700503316242533</v>
      </c>
      <c r="EI34" s="216">
        <f t="shared" si="85"/>
        <v>259080</v>
      </c>
      <c r="EJ34" s="216">
        <v>259470</v>
      </c>
      <c r="EK34" s="217">
        <f t="shared" si="86"/>
        <v>390</v>
      </c>
      <c r="EL34" s="230">
        <f t="shared" si="87"/>
        <v>40</v>
      </c>
      <c r="EM34" s="231">
        <f>(EK34/'Finance Only'!B37)*100</f>
        <v>1.8345171456794769</v>
      </c>
      <c r="EN34" s="216">
        <f t="shared" si="88"/>
        <v>426540</v>
      </c>
      <c r="EO34" s="216">
        <v>427010</v>
      </c>
      <c r="EP34" s="217">
        <f t="shared" si="89"/>
        <v>470</v>
      </c>
      <c r="EQ34" s="230">
        <f t="shared" si="90"/>
        <v>-30</v>
      </c>
      <c r="ER34" s="231">
        <f>(EP34/'Finance Only'!B37)*100</f>
        <v>2.2108283550496259</v>
      </c>
      <c r="ES34" s="216">
        <f t="shared" si="91"/>
        <v>0</v>
      </c>
      <c r="ET34" s="216"/>
      <c r="EU34" s="217">
        <f t="shared" si="92"/>
        <v>0</v>
      </c>
      <c r="EV34" s="230">
        <f t="shared" si="93"/>
        <v>0</v>
      </c>
      <c r="EW34" s="231">
        <f>(EU34/'Finance Only'!B37)*100</f>
        <v>0</v>
      </c>
      <c r="EX34" s="216">
        <f t="shared" si="94"/>
        <v>0</v>
      </c>
      <c r="EY34" s="216"/>
      <c r="EZ34" s="217">
        <f t="shared" si="95"/>
        <v>0</v>
      </c>
      <c r="FA34" s="230">
        <f t="shared" si="96"/>
        <v>0</v>
      </c>
      <c r="FB34" s="231">
        <f>(EZ34/'Finance Only'!G37)*100</f>
        <v>0</v>
      </c>
      <c r="FC34" s="216">
        <f t="shared" si="97"/>
        <v>0</v>
      </c>
      <c r="FD34" s="216"/>
      <c r="FE34" s="217">
        <f t="shared" si="98"/>
        <v>0</v>
      </c>
      <c r="FF34" s="230">
        <f t="shared" si="99"/>
        <v>0</v>
      </c>
      <c r="FG34" s="231" t="e">
        <f>(FE34/'Finance Only'!M37)*100</f>
        <v>#DIV/0!</v>
      </c>
      <c r="FH34" s="304"/>
      <c r="FI34" s="304"/>
      <c r="FJ34" s="304"/>
      <c r="FK34" s="304"/>
      <c r="FL34" s="304"/>
      <c r="FM34" s="216">
        <f t="shared" si="100"/>
        <v>0</v>
      </c>
      <c r="FN34" s="216"/>
      <c r="FO34" s="217">
        <f t="shared" si="101"/>
        <v>0</v>
      </c>
      <c r="FP34" s="230">
        <f t="shared" si="102"/>
        <v>0</v>
      </c>
      <c r="FQ34" s="231" t="e">
        <f>(FO34/'Finance Only'!R37)*100</f>
        <v>#DIV/0!</v>
      </c>
      <c r="FR34" s="216">
        <f t="shared" si="103"/>
        <v>0</v>
      </c>
      <c r="FS34" s="216"/>
      <c r="FT34" s="217">
        <f t="shared" si="104"/>
        <v>0</v>
      </c>
      <c r="FU34" s="230">
        <f t="shared" si="105"/>
        <v>0</v>
      </c>
      <c r="FV34" s="231" t="e">
        <f>(FT34/'Finance Only'!W37)*100</f>
        <v>#DIV/0!</v>
      </c>
      <c r="FW34" s="216">
        <f t="shared" si="106"/>
        <v>0</v>
      </c>
      <c r="FX34" s="216"/>
      <c r="FY34" s="217">
        <f t="shared" si="107"/>
        <v>0</v>
      </c>
      <c r="FZ34" s="230">
        <f t="shared" si="108"/>
        <v>0</v>
      </c>
      <c r="GA34" s="231" t="e">
        <f>(FY34/'Finance Only'!AB37)*100</f>
        <v>#DIV/0!</v>
      </c>
      <c r="GB34" s="280"/>
      <c r="GC34" s="286">
        <f t="shared" si="1"/>
        <v>5866</v>
      </c>
      <c r="GD34" s="283"/>
      <c r="GE34" s="286">
        <f t="shared" si="2"/>
        <v>6246</v>
      </c>
      <c r="GF34" s="283"/>
      <c r="GG34" s="286">
        <f t="shared" si="3"/>
        <v>1600</v>
      </c>
      <c r="GH34" s="283"/>
      <c r="GI34" s="286">
        <f t="shared" si="4"/>
        <v>1080</v>
      </c>
      <c r="GJ34" s="283"/>
      <c r="GK34" s="286">
        <f t="shared" si="5"/>
        <v>630</v>
      </c>
      <c r="GL34" s="283"/>
      <c r="GM34" s="286">
        <f t="shared" si="6"/>
        <v>0</v>
      </c>
      <c r="GN34" s="283"/>
    </row>
    <row r="35" spans="1:196" s="3" customFormat="1" ht="13.5" customHeight="1" thickBot="1" x14ac:dyDescent="0.25">
      <c r="A35" s="271">
        <v>31</v>
      </c>
      <c r="B35" s="274">
        <f>'Finance Only'!G38</f>
        <v>0</v>
      </c>
      <c r="C35" s="269">
        <f t="shared" si="7"/>
        <v>27077022</v>
      </c>
      <c r="D35" s="214"/>
      <c r="E35" s="215">
        <f t="shared" si="8"/>
        <v>0</v>
      </c>
      <c r="F35" s="226">
        <f>E35-E34</f>
        <v>-2634</v>
      </c>
      <c r="G35" s="227">
        <f>(E35/'Finance Only'!B39)*100</f>
        <v>0</v>
      </c>
      <c r="H35" s="237">
        <f t="shared" si="10"/>
        <v>25004777</v>
      </c>
      <c r="I35" s="240"/>
      <c r="J35" s="214">
        <f t="shared" si="11"/>
        <v>0</v>
      </c>
      <c r="K35" s="238">
        <f>J35-J34</f>
        <v>-3232</v>
      </c>
      <c r="L35" s="239">
        <f>(J35/'Finance Only'!B39)*100</f>
        <v>0</v>
      </c>
      <c r="M35" s="222">
        <f t="shared" si="13"/>
        <v>92126615</v>
      </c>
      <c r="N35" s="216"/>
      <c r="O35" s="217">
        <f t="shared" si="14"/>
        <v>0</v>
      </c>
      <c r="P35" s="230">
        <f>O35-O34</f>
        <v>-10452</v>
      </c>
      <c r="Q35" s="231">
        <f>(O35/'Finance Only'!B39)*100</f>
        <v>0</v>
      </c>
      <c r="R35" s="221">
        <f t="shared" si="16"/>
        <v>3071300</v>
      </c>
      <c r="S35" s="216"/>
      <c r="T35" s="217">
        <f t="shared" si="17"/>
        <v>0</v>
      </c>
      <c r="U35" s="230">
        <f>T35-T34</f>
        <v>-2300</v>
      </c>
      <c r="V35" s="231">
        <f>(T35/'Finance Only'!B39)*100</f>
        <v>0</v>
      </c>
      <c r="W35" s="216">
        <f t="shared" si="19"/>
        <v>4145389</v>
      </c>
      <c r="X35" s="216"/>
      <c r="Y35" s="217">
        <f t="shared" si="20"/>
        <v>0</v>
      </c>
      <c r="Z35" s="230">
        <f>Y35-Y34</f>
        <v>-2738</v>
      </c>
      <c r="AA35" s="231">
        <f>(Y35/'Finance Only'!B39)*100</f>
        <v>0</v>
      </c>
      <c r="AB35" s="216">
        <f t="shared" si="22"/>
        <v>2692900</v>
      </c>
      <c r="AC35" s="217"/>
      <c r="AD35" s="217">
        <f t="shared" si="0"/>
        <v>0</v>
      </c>
      <c r="AE35" s="325" t="e">
        <f>AD35/WATER!V36</f>
        <v>#DIV/0!</v>
      </c>
      <c r="AF35" s="230">
        <f>AD35-AD34</f>
        <v>-1500</v>
      </c>
      <c r="AG35" s="231">
        <f>(AD35/'Finance Only'!B39)*100</f>
        <v>0</v>
      </c>
      <c r="AH35" s="216">
        <f t="shared" si="24"/>
        <v>1090526</v>
      </c>
      <c r="AI35" s="216"/>
      <c r="AJ35" s="217">
        <f t="shared" si="25"/>
        <v>0</v>
      </c>
      <c r="AK35" s="230">
        <f>AJ35-AJ34</f>
        <v>-508</v>
      </c>
      <c r="AL35" s="231">
        <f>(AJ35/'Finance Only'!B39)*100</f>
        <v>0</v>
      </c>
      <c r="AM35" s="216">
        <f t="shared" si="27"/>
        <v>1097900</v>
      </c>
      <c r="AN35" s="216"/>
      <c r="AO35" s="217">
        <f t="shared" si="28"/>
        <v>0</v>
      </c>
      <c r="AP35" s="230">
        <f>AO35-AO34</f>
        <v>-700</v>
      </c>
      <c r="AQ35" s="231">
        <f>(AO35/'Finance Only'!B39)*100</f>
        <v>0</v>
      </c>
      <c r="AR35" s="216">
        <f t="shared" si="30"/>
        <v>2462200</v>
      </c>
      <c r="AS35" s="216"/>
      <c r="AT35" s="217">
        <f t="shared" si="31"/>
        <v>0</v>
      </c>
      <c r="AU35" s="230">
        <f>AT35-AT34</f>
        <v>-900</v>
      </c>
      <c r="AV35" s="231">
        <f>(AT35/'Finance Only'!B39)*100</f>
        <v>0</v>
      </c>
      <c r="AW35" s="216">
        <f t="shared" si="33"/>
        <v>14371</v>
      </c>
      <c r="AX35" s="216"/>
      <c r="AY35" s="217">
        <f t="shared" si="34"/>
        <v>0</v>
      </c>
      <c r="AZ35" s="230">
        <f>AY35-AY34</f>
        <v>-370</v>
      </c>
      <c r="BA35" s="231">
        <f>(AY35/'Finance Only'!B39)*100</f>
        <v>0</v>
      </c>
      <c r="BB35" s="216">
        <f t="shared" si="36"/>
        <v>995500</v>
      </c>
      <c r="BC35" s="216"/>
      <c r="BD35" s="217">
        <f t="shared" si="37"/>
        <v>0</v>
      </c>
      <c r="BE35" s="230">
        <f>BD35-BD34</f>
        <v>-410</v>
      </c>
      <c r="BF35" s="231">
        <f>(BD35/'Finance Only'!B39)*100</f>
        <v>0</v>
      </c>
      <c r="BG35" s="216">
        <f t="shared" si="39"/>
        <v>1072900</v>
      </c>
      <c r="BH35" s="216"/>
      <c r="BI35" s="217">
        <f t="shared" si="40"/>
        <v>0</v>
      </c>
      <c r="BJ35" s="230">
        <f>BI35-BI34</f>
        <v>-300</v>
      </c>
      <c r="BK35" s="231">
        <f>(BI35/'Finance Only'!B39)*100</f>
        <v>0</v>
      </c>
      <c r="BL35" s="216">
        <f t="shared" si="42"/>
        <v>1591900</v>
      </c>
      <c r="BM35" s="216"/>
      <c r="BN35" s="217">
        <f t="shared" si="43"/>
        <v>0</v>
      </c>
      <c r="BO35" s="230">
        <f>BN35-BN34</f>
        <v>-500</v>
      </c>
      <c r="BP35" s="231">
        <f>(BN35/'Finance Only'!B39)*100</f>
        <v>0</v>
      </c>
      <c r="BQ35" s="216">
        <f t="shared" si="45"/>
        <v>136420</v>
      </c>
      <c r="BR35" s="216"/>
      <c r="BS35" s="217">
        <f t="shared" si="46"/>
        <v>0</v>
      </c>
      <c r="BT35" s="230">
        <f>BS35-BS34</f>
        <v>-130</v>
      </c>
      <c r="BU35" s="231">
        <f>(BS35/'Finance Only'!B39)*100</f>
        <v>0</v>
      </c>
      <c r="BV35" s="216">
        <f t="shared" si="48"/>
        <v>581460</v>
      </c>
      <c r="BW35" s="216"/>
      <c r="BX35" s="217">
        <f t="shared" si="49"/>
        <v>0</v>
      </c>
      <c r="BY35" s="230">
        <f>BX35-BX34</f>
        <v>-460</v>
      </c>
      <c r="BZ35" s="231">
        <f>(BX35/'Finance Only'!B39)*100</f>
        <v>0</v>
      </c>
      <c r="CA35" s="216">
        <f t="shared" si="51"/>
        <v>1079900</v>
      </c>
      <c r="CB35" s="216"/>
      <c r="CC35" s="217">
        <f t="shared" si="52"/>
        <v>0</v>
      </c>
      <c r="CD35" s="230">
        <f>CC35-CC34</f>
        <v>-1200</v>
      </c>
      <c r="CE35" s="231">
        <f>(CC35/'Finance Only'!B39)*100</f>
        <v>0</v>
      </c>
      <c r="CF35" s="216">
        <f t="shared" si="54"/>
        <v>352170</v>
      </c>
      <c r="CG35" s="216"/>
      <c r="CH35" s="217">
        <f t="shared" si="55"/>
        <v>0</v>
      </c>
      <c r="CI35" s="230">
        <f>CH35-CH34</f>
        <v>-390</v>
      </c>
      <c r="CJ35" s="231">
        <f>(CH35/'Finance Only'!B39)*100</f>
        <v>0</v>
      </c>
      <c r="CK35" s="217">
        <f t="shared" si="57"/>
        <v>826630</v>
      </c>
      <c r="CL35" s="217"/>
      <c r="CM35" s="217">
        <f t="shared" si="58"/>
        <v>0</v>
      </c>
      <c r="CN35" s="230">
        <f>CM35-CM34</f>
        <v>-600</v>
      </c>
      <c r="CO35" s="231">
        <f>(CM35/'Finance Only'!B39)*100</f>
        <v>0</v>
      </c>
      <c r="CP35" s="216">
        <f t="shared" si="110"/>
        <v>685640</v>
      </c>
      <c r="CQ35" s="216"/>
      <c r="CR35" s="218">
        <f t="shared" si="109"/>
        <v>0</v>
      </c>
      <c r="CS35" s="230">
        <f>CR35-CR34</f>
        <v>-670</v>
      </c>
      <c r="CT35" s="231">
        <f>(CR35/'Finance Only'!B39)*100</f>
        <v>0</v>
      </c>
      <c r="CU35" s="216">
        <f t="shared" si="61"/>
        <v>568370</v>
      </c>
      <c r="CV35" s="216"/>
      <c r="CW35" s="217">
        <f t="shared" si="62"/>
        <v>0</v>
      </c>
      <c r="CX35" s="230">
        <f>CW35-CW34</f>
        <v>-470</v>
      </c>
      <c r="CY35" s="231">
        <f>(CW35/'Finance Only'!B39)*100</f>
        <v>0</v>
      </c>
      <c r="CZ35" s="216">
        <f t="shared" si="64"/>
        <v>951060</v>
      </c>
      <c r="DA35" s="216"/>
      <c r="DB35" s="217">
        <f t="shared" si="65"/>
        <v>0</v>
      </c>
      <c r="DC35" s="230">
        <f>DB35-DB34</f>
        <v>-780</v>
      </c>
      <c r="DD35" s="231">
        <f>(DB35/'Finance Only'!B39)*100</f>
        <v>0</v>
      </c>
      <c r="DE35" s="216">
        <f t="shared" si="67"/>
        <v>728630</v>
      </c>
      <c r="DF35" s="216"/>
      <c r="DG35" s="217">
        <f t="shared" si="68"/>
        <v>0</v>
      </c>
      <c r="DH35" s="230">
        <f>DG35-DG34</f>
        <v>-610</v>
      </c>
      <c r="DI35" s="231">
        <f>(DG35/'Finance Only'!B39)*100</f>
        <v>0</v>
      </c>
      <c r="DJ35" s="216">
        <f t="shared" si="70"/>
        <v>633300</v>
      </c>
      <c r="DK35" s="216"/>
      <c r="DL35" s="217">
        <f t="shared" si="71"/>
        <v>0</v>
      </c>
      <c r="DM35" s="230">
        <f>DL35-DL34</f>
        <v>-510</v>
      </c>
      <c r="DN35" s="231">
        <f>(DL35/'Finance Only'!B39)*100</f>
        <v>0</v>
      </c>
      <c r="DO35" s="216">
        <f t="shared" si="73"/>
        <v>344500</v>
      </c>
      <c r="DP35" s="216"/>
      <c r="DQ35" s="217">
        <f t="shared" si="74"/>
        <v>0</v>
      </c>
      <c r="DR35" s="230">
        <f>DQ35-DQ34</f>
        <v>-260</v>
      </c>
      <c r="DS35" s="231">
        <f>(DQ35/'Finance Only'!B39)*100</f>
        <v>0</v>
      </c>
      <c r="DT35" s="216">
        <f t="shared" si="76"/>
        <v>112740</v>
      </c>
      <c r="DU35" s="216"/>
      <c r="DV35" s="217">
        <f t="shared" si="77"/>
        <v>0</v>
      </c>
      <c r="DW35" s="230">
        <f>DV35-DV34</f>
        <v>-100</v>
      </c>
      <c r="DX35" s="231">
        <f>(DV35/'Finance Only'!B39)*100</f>
        <v>0</v>
      </c>
      <c r="DY35" s="216">
        <f t="shared" si="79"/>
        <v>72250</v>
      </c>
      <c r="DZ35" s="216"/>
      <c r="EA35" s="217">
        <f t="shared" si="80"/>
        <v>0</v>
      </c>
      <c r="EB35" s="230">
        <f>EA35-EA34</f>
        <v>-78</v>
      </c>
      <c r="EC35" s="231">
        <f>(EA35/'Finance Only'!B39)*100</f>
        <v>0</v>
      </c>
      <c r="ED35" s="216">
        <f t="shared" si="82"/>
        <v>230520</v>
      </c>
      <c r="EE35" s="216"/>
      <c r="EF35" s="217">
        <f t="shared" si="83"/>
        <v>0</v>
      </c>
      <c r="EG35" s="230">
        <f>EF35-EF34</f>
        <v>-270</v>
      </c>
      <c r="EH35" s="231">
        <f>(EF35/'Finance Only'!B39)*100</f>
        <v>0</v>
      </c>
      <c r="EI35" s="216">
        <f t="shared" si="85"/>
        <v>259470</v>
      </c>
      <c r="EJ35" s="216"/>
      <c r="EK35" s="217">
        <f t="shared" si="86"/>
        <v>0</v>
      </c>
      <c r="EL35" s="230">
        <f>EK35-EK34</f>
        <v>-390</v>
      </c>
      <c r="EM35" s="231">
        <f>(EK35/'Finance Only'!B39)*100</f>
        <v>0</v>
      </c>
      <c r="EN35" s="216">
        <f t="shared" si="88"/>
        <v>427010</v>
      </c>
      <c r="EO35" s="216"/>
      <c r="EP35" s="217">
        <f t="shared" si="89"/>
        <v>0</v>
      </c>
      <c r="EQ35" s="230">
        <f>EP35-EP34</f>
        <v>-470</v>
      </c>
      <c r="ER35" s="231">
        <f>(EP35/'Finance Only'!B39)*100</f>
        <v>0</v>
      </c>
      <c r="ES35" s="216">
        <f t="shared" si="91"/>
        <v>0</v>
      </c>
      <c r="ET35" s="216"/>
      <c r="EU35" s="217">
        <f t="shared" si="92"/>
        <v>0</v>
      </c>
      <c r="EV35" s="230">
        <f>EU35-EU34</f>
        <v>0</v>
      </c>
      <c r="EW35" s="231">
        <f>(EU35/'Finance Only'!B39)*100</f>
        <v>0</v>
      </c>
      <c r="EX35" s="216">
        <f t="shared" si="94"/>
        <v>0</v>
      </c>
      <c r="EY35" s="216"/>
      <c r="EZ35" s="217">
        <f t="shared" si="95"/>
        <v>0</v>
      </c>
      <c r="FA35" s="230">
        <f t="shared" si="96"/>
        <v>0</v>
      </c>
      <c r="FB35" s="231">
        <f>(EZ35/'Finance Only'!G39)*100</f>
        <v>0</v>
      </c>
      <c r="FC35" s="216">
        <f t="shared" si="97"/>
        <v>0</v>
      </c>
      <c r="FD35" s="216"/>
      <c r="FE35" s="217">
        <f t="shared" si="98"/>
        <v>0</v>
      </c>
      <c r="FF35" s="230">
        <f t="shared" si="99"/>
        <v>0</v>
      </c>
      <c r="FG35" s="231" t="e">
        <f>(FE35/'Finance Only'!M39)*100</f>
        <v>#DIV/0!</v>
      </c>
      <c r="FH35" s="304"/>
      <c r="FI35" s="304"/>
      <c r="FJ35" s="304"/>
      <c r="FK35" s="304"/>
      <c r="FL35" s="304"/>
      <c r="FM35" s="216">
        <f t="shared" si="100"/>
        <v>0</v>
      </c>
      <c r="FN35" s="216"/>
      <c r="FO35" s="217">
        <f t="shared" si="101"/>
        <v>0</v>
      </c>
      <c r="FP35" s="230">
        <f t="shared" si="102"/>
        <v>0</v>
      </c>
      <c r="FQ35" s="231" t="e">
        <f>(FO35/'Finance Only'!R39)*100</f>
        <v>#DIV/0!</v>
      </c>
      <c r="FR35" s="216">
        <f t="shared" si="103"/>
        <v>0</v>
      </c>
      <c r="FS35" s="216"/>
      <c r="FT35" s="217">
        <f t="shared" si="104"/>
        <v>0</v>
      </c>
      <c r="FU35" s="230">
        <f t="shared" si="105"/>
        <v>0</v>
      </c>
      <c r="FV35" s="231" t="e">
        <f>(FT35/'Finance Only'!W39)*100</f>
        <v>#DIV/0!</v>
      </c>
      <c r="FW35" s="216">
        <f t="shared" si="106"/>
        <v>0</v>
      </c>
      <c r="FX35" s="216"/>
      <c r="FY35" s="217">
        <f t="shared" si="107"/>
        <v>0</v>
      </c>
      <c r="FZ35" s="230">
        <f t="shared" si="108"/>
        <v>0</v>
      </c>
      <c r="GA35" s="231" t="e">
        <f>(FY35/'Finance Only'!AB39)*100</f>
        <v>#DIV/0!</v>
      </c>
      <c r="GB35" s="280"/>
      <c r="GC35" s="286">
        <f t="shared" si="1"/>
        <v>0</v>
      </c>
      <c r="GD35" s="285"/>
      <c r="GE35" s="286">
        <f t="shared" si="2"/>
        <v>0</v>
      </c>
      <c r="GF35" s="285"/>
      <c r="GG35" s="286">
        <f t="shared" si="3"/>
        <v>0</v>
      </c>
      <c r="GH35" s="285"/>
      <c r="GI35" s="286">
        <f t="shared" si="4"/>
        <v>0</v>
      </c>
      <c r="GJ35" s="285"/>
      <c r="GK35" s="286">
        <f t="shared" si="5"/>
        <v>0</v>
      </c>
      <c r="GL35" s="285"/>
      <c r="GM35" s="286">
        <f t="shared" si="6"/>
        <v>0</v>
      </c>
      <c r="GN35" s="285"/>
    </row>
    <row r="36" spans="1:196" s="3" customFormat="1" ht="13.5" thickBot="1" x14ac:dyDescent="0.25">
      <c r="A36" s="3" t="s">
        <v>7</v>
      </c>
      <c r="C36" s="75"/>
      <c r="D36" s="75"/>
      <c r="E36" s="288">
        <f>SUM(E5:E35)</f>
        <v>82350</v>
      </c>
      <c r="F36" s="76"/>
      <c r="G36" s="76"/>
      <c r="H36" s="76"/>
      <c r="I36" s="76"/>
      <c r="J36" s="76">
        <f>SUM(J5:J35)</f>
        <v>111625</v>
      </c>
      <c r="K36" s="76"/>
      <c r="L36" s="76"/>
      <c r="M36" s="76"/>
      <c r="N36" s="76"/>
      <c r="O36" s="76">
        <f>SUM(O5:O35)</f>
        <v>310125</v>
      </c>
      <c r="P36" s="76"/>
      <c r="Q36" s="76"/>
      <c r="R36" s="76"/>
      <c r="S36" s="76"/>
      <c r="T36" s="76">
        <f>SUM(T5:T35)</f>
        <v>71500</v>
      </c>
      <c r="U36" s="76"/>
      <c r="V36" s="76"/>
      <c r="W36" s="76"/>
      <c r="X36" s="76"/>
      <c r="Y36" s="76">
        <f>SUM(Y5:Y35)</f>
        <v>82751</v>
      </c>
      <c r="Z36" s="76"/>
      <c r="AA36" s="76"/>
      <c r="AB36" s="76"/>
      <c r="AC36" s="76"/>
      <c r="AD36" s="76">
        <f>SUM(AD5:AD35)</f>
        <v>52700</v>
      </c>
      <c r="AE36" s="76"/>
      <c r="AF36" s="76"/>
      <c r="AG36" s="76"/>
      <c r="AH36" s="76"/>
      <c r="AI36" s="76"/>
      <c r="AJ36" s="76">
        <f>SUM(AJ5:AJ35)</f>
        <v>14753</v>
      </c>
      <c r="AK36" s="76"/>
      <c r="AL36" s="76"/>
      <c r="AM36" s="76"/>
      <c r="AN36" s="76"/>
      <c r="AO36" s="76">
        <f>SUM(AO5:AO35)</f>
        <v>20500</v>
      </c>
      <c r="AP36" s="76"/>
      <c r="AQ36" s="76"/>
      <c r="AR36" s="76"/>
      <c r="AS36" s="76"/>
      <c r="AT36" s="76">
        <f>SUM(AT5:AT35)</f>
        <v>29200</v>
      </c>
      <c r="AU36" s="76"/>
      <c r="AV36" s="76"/>
      <c r="AW36" s="76"/>
      <c r="AX36" s="76"/>
      <c r="AY36" s="76">
        <f>SUM(AY5:AY35)</f>
        <v>10438.9</v>
      </c>
      <c r="AZ36" s="76"/>
      <c r="BA36" s="76"/>
      <c r="BB36" s="76"/>
      <c r="BC36" s="76"/>
      <c r="BD36" s="76">
        <f>SUM(BD5:BD35)</f>
        <v>10850</v>
      </c>
      <c r="BE36" s="76"/>
      <c r="BF36" s="76"/>
      <c r="BG36" s="76"/>
      <c r="BH36" s="76"/>
      <c r="BI36" s="76">
        <f>SUM(BI5:BI35)</f>
        <v>7800</v>
      </c>
      <c r="BJ36" s="76"/>
      <c r="BK36" s="76"/>
      <c r="BL36" s="76"/>
      <c r="BM36" s="76"/>
      <c r="BN36" s="76">
        <f>SUM(BN5:BN35)</f>
        <v>15500</v>
      </c>
      <c r="BO36" s="76"/>
      <c r="BP36" s="76"/>
      <c r="BQ36" s="76"/>
      <c r="BR36" s="76"/>
      <c r="BS36" s="76">
        <f>SUM(BS5:BS35)</f>
        <v>4820</v>
      </c>
      <c r="BT36" s="76"/>
      <c r="BU36" s="76"/>
      <c r="BV36" s="76"/>
      <c r="BW36" s="76"/>
      <c r="BX36" s="76">
        <f>SUM(BX5:BX35)</f>
        <v>12740</v>
      </c>
      <c r="BY36" s="76"/>
      <c r="BZ36" s="76"/>
      <c r="CA36" s="76"/>
      <c r="CB36" s="76"/>
      <c r="CC36" s="76">
        <f>SUM(CC5:CC35)</f>
        <v>34400</v>
      </c>
      <c r="CD36" s="76"/>
      <c r="CE36" s="76"/>
      <c r="CF36" s="76"/>
      <c r="CG36" s="76"/>
      <c r="CH36" s="76">
        <f>SUM(CH5:CH35)</f>
        <v>52960</v>
      </c>
      <c r="CI36" s="76"/>
      <c r="CJ36" s="76"/>
      <c r="CK36" s="76"/>
      <c r="CL36" s="76"/>
      <c r="CM36" s="76">
        <f>SUM(CM5:CM35)</f>
        <v>22190</v>
      </c>
      <c r="CN36" s="76"/>
      <c r="CO36" s="76"/>
      <c r="CP36" s="76"/>
      <c r="CQ36" s="76"/>
      <c r="CR36" s="117">
        <f>SUM(CR5:CR35)</f>
        <v>20460</v>
      </c>
      <c r="CS36" s="76"/>
      <c r="CT36" s="76"/>
      <c r="CU36" s="76"/>
      <c r="CV36" s="76"/>
      <c r="CW36" s="117">
        <f>SUM(CW5:CW35)</f>
        <v>15770</v>
      </c>
      <c r="CX36" s="76"/>
      <c r="CY36" s="76"/>
      <c r="CZ36" s="76"/>
      <c r="DA36" s="76"/>
      <c r="DB36" s="289">
        <f>SUM(DB5:DB35)</f>
        <v>26680</v>
      </c>
      <c r="DC36" s="76"/>
      <c r="DD36" s="76"/>
      <c r="DE36" s="76"/>
      <c r="DF36" s="76"/>
      <c r="DG36" s="289">
        <f>SUM(DG5:DG35)</f>
        <v>22720</v>
      </c>
      <c r="DH36" s="76"/>
      <c r="DI36" s="76"/>
      <c r="DJ36" s="76"/>
      <c r="DK36" s="76"/>
      <c r="DL36" s="289">
        <f>SUM(DL5:DL35)</f>
        <v>18030</v>
      </c>
      <c r="DM36" s="76"/>
      <c r="DN36" s="76"/>
      <c r="DO36" s="76"/>
      <c r="DP36" s="76"/>
      <c r="DQ36" s="289">
        <f>SUM(DQ5:DQ35)</f>
        <v>9640</v>
      </c>
      <c r="DR36" s="76"/>
      <c r="DS36" s="76"/>
      <c r="DT36" s="76"/>
      <c r="DU36" s="76"/>
      <c r="DV36" s="289">
        <f>SUM(DV5:DV35)</f>
        <v>3640</v>
      </c>
      <c r="DW36" s="76"/>
      <c r="DX36" s="76"/>
      <c r="DY36" s="76"/>
      <c r="DZ36" s="76"/>
      <c r="EA36" s="289">
        <f>SUM(EA5:EA35)</f>
        <v>2659</v>
      </c>
      <c r="EB36" s="76"/>
      <c r="EC36" s="76"/>
      <c r="ED36" s="76"/>
      <c r="EE36" s="76"/>
      <c r="EF36" s="289">
        <f>SUM(EF5:EF35)</f>
        <v>8040</v>
      </c>
      <c r="EG36" s="76"/>
      <c r="EH36" s="76"/>
      <c r="EI36" s="76"/>
      <c r="EJ36" s="76"/>
      <c r="EK36" s="289">
        <f>SUM(EK5:EK35)</f>
        <v>9940</v>
      </c>
      <c r="EL36" s="76"/>
      <c r="EM36" s="76"/>
      <c r="EN36" s="76"/>
      <c r="EO36" s="76"/>
      <c r="EP36" s="289">
        <f>SUM(EP5:EP35)</f>
        <v>14650</v>
      </c>
      <c r="EQ36" s="76"/>
      <c r="ER36" s="76"/>
      <c r="ES36" s="76"/>
      <c r="ET36" s="76"/>
      <c r="EU36" s="289">
        <f>SUM(EU5:EU34)</f>
        <v>0</v>
      </c>
      <c r="EV36" s="76"/>
      <c r="EW36" s="76"/>
      <c r="EX36" s="76"/>
      <c r="EY36" s="76"/>
      <c r="EZ36" s="289">
        <f>SUM(EZ5:EZ35)</f>
        <v>0</v>
      </c>
      <c r="FA36" s="76"/>
      <c r="FB36" s="76"/>
      <c r="FC36" s="76"/>
      <c r="FD36" s="76"/>
      <c r="FE36" s="289">
        <f>SUM(FE5:FE35)</f>
        <v>0</v>
      </c>
      <c r="FF36" s="76"/>
      <c r="FG36" s="76"/>
      <c r="FH36" s="76"/>
      <c r="FI36" s="76"/>
      <c r="FJ36" s="76"/>
      <c r="FK36" s="76"/>
      <c r="FL36" s="76"/>
      <c r="FM36" s="76"/>
      <c r="FN36" s="76"/>
      <c r="FO36" s="289">
        <f>SUM(FO5:FO34)</f>
        <v>0</v>
      </c>
      <c r="FP36" s="76"/>
      <c r="FQ36" s="76"/>
      <c r="FR36" s="305"/>
      <c r="FS36" s="305"/>
      <c r="FT36" s="305"/>
      <c r="FU36" s="305"/>
      <c r="FV36" s="305"/>
      <c r="FW36" s="305"/>
      <c r="FX36" s="305"/>
      <c r="FY36" s="305"/>
      <c r="FZ36" s="305"/>
      <c r="GA36" s="305"/>
      <c r="GB36" s="280"/>
      <c r="GC36" s="287"/>
      <c r="GI36" s="287"/>
      <c r="GK36" s="287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DW6" activePane="bottomRight" state="frozen"/>
      <selection pane="topRight" activeCell="B1" sqref="B1"/>
      <selection pane="bottomLeft" activeCell="A6" sqref="A6"/>
      <selection pane="bottomRight" activeCell="ET8" activeCellId="6" sqref="FO8 FL8 FI8 FF8 EZ8 EW8 ET8"/>
    </sheetView>
  </sheetViews>
  <sheetFormatPr defaultColWidth="9.140625" defaultRowHeight="12.75" x14ac:dyDescent="0.2"/>
  <cols>
    <col min="1" max="1" width="4.7109375" style="147" customWidth="1"/>
    <col min="2" max="2" width="13.5703125" style="147" customWidth="1"/>
    <col min="3" max="3" width="11.42578125" style="147" customWidth="1"/>
    <col min="4" max="4" width="10.5703125" style="147" customWidth="1"/>
    <col min="5" max="5" width="2" style="150" customWidth="1"/>
    <col min="6" max="6" width="5.140625" style="147" customWidth="1"/>
    <col min="7" max="7" width="13.5703125" style="147" customWidth="1"/>
    <col min="8" max="8" width="10" style="147" customWidth="1"/>
    <col min="9" max="9" width="14" style="147" customWidth="1"/>
    <col min="10" max="10" width="2.85546875" style="150" customWidth="1"/>
    <col min="11" max="11" width="5.42578125" style="147" customWidth="1"/>
    <col min="12" max="13" width="13.5703125" style="147" customWidth="1"/>
    <col min="14" max="14" width="12.140625" style="147" customWidth="1"/>
    <col min="15" max="15" width="2.85546875" style="150" customWidth="1"/>
    <col min="16" max="16" width="5.85546875" style="147" customWidth="1"/>
    <col min="17" max="17" width="13.5703125" style="147" customWidth="1"/>
    <col min="18" max="18" width="10.7109375" style="147" customWidth="1"/>
    <col min="19" max="19" width="11.140625" style="147" customWidth="1"/>
    <col min="20" max="20" width="2.42578125" style="150" customWidth="1"/>
    <col min="21" max="21" width="6.42578125" style="127" customWidth="1"/>
    <col min="22" max="22" width="10.85546875" style="147" customWidth="1"/>
    <col min="23" max="23" width="13" style="127" bestFit="1" customWidth="1"/>
    <col min="24" max="24" width="11.85546875" style="166" hidden="1" customWidth="1"/>
    <col min="25" max="25" width="11.85546875" style="166" customWidth="1"/>
    <col min="26" max="26" width="4" style="327" customWidth="1"/>
    <col min="27" max="27" width="7.7109375" style="127" customWidth="1"/>
    <col min="28" max="28" width="11.140625" style="166" customWidth="1"/>
    <col min="29" max="29" width="9.140625" style="166"/>
    <col min="30" max="30" width="11.42578125" style="166" customWidth="1"/>
    <col min="31" max="31" width="10.140625" style="166" customWidth="1"/>
    <col min="32" max="32" width="7.42578125" style="166" customWidth="1"/>
    <col min="33" max="33" width="10.85546875" style="166" bestFit="1" customWidth="1"/>
    <col min="34" max="35" width="9.140625" style="166"/>
    <col min="36" max="36" width="10.140625" style="166" customWidth="1"/>
    <col min="37" max="37" width="7.42578125" style="166" customWidth="1"/>
    <col min="38" max="40" width="9.140625" style="166"/>
    <col min="41" max="41" width="10.140625" style="166" customWidth="1"/>
    <col min="42" max="42" width="7.42578125" style="166" customWidth="1"/>
    <col min="43" max="45" width="9.140625" style="166"/>
    <col min="46" max="46" width="10.140625" style="166" customWidth="1"/>
    <col min="47" max="47" width="7.42578125" style="166" customWidth="1"/>
    <col min="48" max="50" width="9.140625" style="166"/>
    <col min="51" max="51" width="10.140625" style="166" customWidth="1"/>
    <col min="52" max="52" width="7.42578125" style="166" customWidth="1"/>
    <col min="53" max="55" width="9.140625" style="166"/>
    <col min="56" max="56" width="10.140625" style="166" customWidth="1"/>
    <col min="57" max="57" width="7.42578125" style="166" customWidth="1"/>
    <col min="58" max="60" width="9.140625" style="166"/>
    <col min="61" max="61" width="10.140625" style="166" customWidth="1"/>
    <col min="62" max="62" width="7.42578125" style="166" customWidth="1"/>
    <col min="63" max="65" width="9.140625" style="166"/>
    <col min="66" max="66" width="10.140625" style="166" customWidth="1"/>
    <col min="67" max="67" width="7.42578125" style="166" customWidth="1"/>
    <col min="68" max="70" width="9.140625" style="166"/>
    <col min="71" max="71" width="10.140625" style="166" customWidth="1"/>
    <col min="72" max="72" width="7.42578125" style="166" customWidth="1"/>
    <col min="73" max="75" width="9.140625" style="166"/>
    <col min="76" max="76" width="10.140625" style="166" customWidth="1"/>
    <col min="77" max="77" width="7.42578125" style="166" customWidth="1"/>
    <col min="78" max="80" width="9.140625" style="166"/>
    <col min="81" max="81" width="10.140625" style="166" customWidth="1"/>
    <col min="82" max="82" width="7.42578125" style="166" customWidth="1"/>
    <col min="83" max="85" width="9.140625" style="166"/>
    <col min="86" max="86" width="10.140625" style="166" customWidth="1"/>
    <col min="87" max="87" width="7.42578125" style="166" customWidth="1"/>
    <col min="88" max="90" width="9.140625" style="166"/>
    <col min="91" max="91" width="10.140625" style="166" customWidth="1"/>
    <col min="92" max="92" width="7.42578125" style="166" customWidth="1"/>
    <col min="93" max="95" width="9.140625" style="166"/>
    <col min="96" max="96" width="10.140625" style="166" customWidth="1"/>
    <col min="97" max="97" width="7.42578125" style="166" customWidth="1"/>
    <col min="98" max="100" width="9.140625" style="166"/>
    <col min="101" max="101" width="10.140625" style="166" customWidth="1"/>
    <col min="102" max="102" width="7.42578125" style="166" customWidth="1"/>
    <col min="103" max="105" width="9.140625" style="166"/>
    <col min="106" max="106" width="10.140625" style="166" customWidth="1"/>
    <col min="107" max="107" width="7.42578125" style="166" customWidth="1"/>
    <col min="108" max="110" width="9.140625" style="166"/>
    <col min="111" max="111" width="10.140625" style="166" customWidth="1"/>
    <col min="112" max="112" width="7.42578125" style="166" customWidth="1"/>
    <col min="113" max="115" width="9.140625" style="166"/>
    <col min="116" max="116" width="10.140625" style="166" customWidth="1"/>
    <col min="117" max="117" width="7.42578125" style="166" customWidth="1"/>
    <col min="118" max="120" width="9.140625" style="166"/>
    <col min="121" max="121" width="10.140625" style="166" customWidth="1"/>
    <col min="122" max="122" width="7.42578125" style="166" customWidth="1"/>
    <col min="123" max="125" width="9.140625" style="166"/>
    <col min="126" max="126" width="10.140625" style="166" customWidth="1"/>
    <col min="127" max="127" width="7.42578125" style="166" customWidth="1"/>
    <col min="128" max="129" width="9.140625" style="166"/>
    <col min="130" max="130" width="9.140625" style="127"/>
    <col min="131" max="131" width="10.140625" style="166" customWidth="1"/>
    <col min="132" max="132" width="7.42578125" style="166" customWidth="1"/>
    <col min="133" max="147" width="0" style="127" hidden="1" customWidth="1"/>
    <col min="148" max="16384" width="9.140625" style="127"/>
  </cols>
  <sheetData>
    <row r="1" spans="1:174" ht="12.75" customHeight="1" x14ac:dyDescent="0.3">
      <c r="A1" s="409" t="s">
        <v>107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319"/>
      <c r="AA1" s="404" t="s">
        <v>123</v>
      </c>
      <c r="AB1" s="404"/>
      <c r="AC1" s="404"/>
      <c r="AD1" s="404"/>
      <c r="AE1" s="404"/>
      <c r="AF1" s="404"/>
      <c r="AG1" s="404"/>
      <c r="AH1" s="404"/>
      <c r="AI1" s="404"/>
      <c r="AJ1" s="404"/>
      <c r="AK1" s="404"/>
      <c r="AL1" s="404"/>
      <c r="AM1" s="404"/>
      <c r="AN1" s="404"/>
      <c r="AO1" s="404"/>
      <c r="AP1" s="404"/>
      <c r="AQ1" s="404"/>
      <c r="AR1" s="404"/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404"/>
      <c r="BD1" s="404"/>
      <c r="BE1" s="404"/>
      <c r="BF1" s="404"/>
      <c r="BG1" s="404"/>
      <c r="BH1" s="404"/>
      <c r="BI1" s="404"/>
      <c r="BJ1" s="404"/>
      <c r="BK1" s="404"/>
      <c r="BL1" s="404"/>
      <c r="BM1" s="404"/>
      <c r="BN1" s="404"/>
      <c r="BO1" s="404"/>
      <c r="BP1" s="404"/>
      <c r="BQ1" s="404"/>
      <c r="BR1" s="404"/>
      <c r="BS1" s="404"/>
      <c r="BT1" s="404"/>
      <c r="BU1" s="404"/>
      <c r="BV1" s="404"/>
      <c r="BW1" s="404"/>
      <c r="BX1" s="404"/>
      <c r="BY1" s="404"/>
      <c r="BZ1" s="404"/>
      <c r="CA1" s="404"/>
      <c r="CB1" s="404"/>
      <c r="CC1" s="404"/>
      <c r="CD1" s="404"/>
      <c r="CE1" s="404"/>
      <c r="CF1" s="404"/>
      <c r="CG1" s="404"/>
      <c r="CH1" s="404"/>
      <c r="CI1" s="404"/>
      <c r="CJ1" s="404"/>
      <c r="CK1" s="404"/>
      <c r="CL1" s="404"/>
      <c r="CM1" s="404"/>
      <c r="CN1" s="404"/>
      <c r="CO1" s="404"/>
      <c r="CP1" s="404"/>
      <c r="CQ1" s="404"/>
      <c r="CR1" s="404"/>
      <c r="CS1" s="404"/>
      <c r="CT1" s="404"/>
      <c r="CU1" s="404"/>
      <c r="CV1" s="404"/>
      <c r="CW1" s="404"/>
      <c r="CX1" s="404"/>
      <c r="CY1" s="404"/>
      <c r="CZ1" s="404"/>
      <c r="DA1" s="404"/>
      <c r="DB1" s="404"/>
      <c r="DC1" s="404"/>
      <c r="DD1" s="404"/>
      <c r="DE1" s="404"/>
      <c r="DF1" s="404"/>
      <c r="DG1" s="404"/>
      <c r="DH1" s="404"/>
      <c r="DI1" s="404"/>
      <c r="DJ1" s="404"/>
      <c r="DK1" s="404"/>
      <c r="DL1" s="404"/>
      <c r="DM1" s="404"/>
      <c r="DN1" s="404"/>
      <c r="DO1" s="404"/>
      <c r="DP1" s="404"/>
      <c r="DQ1" s="404"/>
      <c r="DR1" s="404"/>
      <c r="DS1" s="404"/>
      <c r="DT1" s="404"/>
      <c r="DU1" s="404"/>
      <c r="DV1" s="404"/>
      <c r="DW1" s="404"/>
      <c r="DX1" s="404"/>
      <c r="DY1" s="404"/>
      <c r="DZ1" s="404"/>
      <c r="EA1" s="404"/>
      <c r="EB1" s="404"/>
      <c r="EC1" s="404"/>
      <c r="ED1" s="404"/>
      <c r="EE1" s="404"/>
      <c r="EF1" s="404"/>
      <c r="EG1" s="404"/>
      <c r="EH1" s="404"/>
      <c r="EI1" s="404"/>
      <c r="EJ1" s="404"/>
      <c r="EK1" s="404"/>
      <c r="EL1" s="404"/>
      <c r="EM1" s="404"/>
      <c r="EN1" s="404"/>
      <c r="EO1" s="404"/>
      <c r="EP1" s="404"/>
      <c r="EQ1" s="404"/>
      <c r="ER1" s="404"/>
      <c r="ES1" s="404"/>
      <c r="ET1" s="404"/>
      <c r="EU1" s="404"/>
      <c r="EV1" s="404"/>
      <c r="EW1" s="404"/>
      <c r="EX1" s="404"/>
      <c r="EY1" s="404"/>
      <c r="EZ1" s="404"/>
      <c r="FA1" s="404"/>
      <c r="FB1" s="404"/>
      <c r="FC1" s="404"/>
      <c r="FD1" s="404"/>
      <c r="FE1" s="404"/>
      <c r="FF1" s="404"/>
      <c r="FG1" s="404"/>
      <c r="FH1" s="404"/>
      <c r="FI1" s="404"/>
      <c r="FJ1" s="404"/>
      <c r="FK1" s="404"/>
      <c r="FL1" s="404"/>
      <c r="FM1" s="335"/>
      <c r="FN1" s="335"/>
      <c r="FO1" s="335"/>
      <c r="FP1" s="335"/>
      <c r="FQ1" s="335"/>
      <c r="FR1" s="335"/>
    </row>
    <row r="2" spans="1:174" s="128" customFormat="1" ht="24" customHeight="1" x14ac:dyDescent="0.3">
      <c r="A2" s="409"/>
      <c r="B2" s="409"/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409"/>
      <c r="W2" s="409"/>
      <c r="X2" s="409"/>
      <c r="Y2" s="319"/>
      <c r="Z2" s="328"/>
      <c r="AA2" s="404"/>
      <c r="AB2" s="404"/>
      <c r="AC2" s="404"/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  <c r="AO2" s="404"/>
      <c r="AP2" s="404"/>
      <c r="AQ2" s="404"/>
      <c r="AR2" s="404"/>
      <c r="AS2" s="404"/>
      <c r="AT2" s="404"/>
      <c r="AU2" s="404"/>
      <c r="AV2" s="404"/>
      <c r="AW2" s="404"/>
      <c r="AX2" s="404"/>
      <c r="AY2" s="404"/>
      <c r="AZ2" s="404"/>
      <c r="BA2" s="404"/>
      <c r="BB2" s="404"/>
      <c r="BC2" s="404"/>
      <c r="BD2" s="404"/>
      <c r="BE2" s="404"/>
      <c r="BF2" s="404"/>
      <c r="BG2" s="404"/>
      <c r="BH2" s="404"/>
      <c r="BI2" s="404"/>
      <c r="BJ2" s="404"/>
      <c r="BK2" s="404"/>
      <c r="BL2" s="404"/>
      <c r="BM2" s="404"/>
      <c r="BN2" s="404"/>
      <c r="BO2" s="404"/>
      <c r="BP2" s="404"/>
      <c r="BQ2" s="404"/>
      <c r="BR2" s="404"/>
      <c r="BS2" s="404"/>
      <c r="BT2" s="404"/>
      <c r="BU2" s="404"/>
      <c r="BV2" s="404"/>
      <c r="BW2" s="404"/>
      <c r="BX2" s="404"/>
      <c r="BY2" s="404"/>
      <c r="BZ2" s="404"/>
      <c r="CA2" s="404"/>
      <c r="CB2" s="404"/>
      <c r="CC2" s="404"/>
      <c r="CD2" s="404"/>
      <c r="CE2" s="404"/>
      <c r="CF2" s="404"/>
      <c r="CG2" s="404"/>
      <c r="CH2" s="404"/>
      <c r="CI2" s="404"/>
      <c r="CJ2" s="404"/>
      <c r="CK2" s="404"/>
      <c r="CL2" s="404"/>
      <c r="CM2" s="404"/>
      <c r="CN2" s="404"/>
      <c r="CO2" s="404"/>
      <c r="CP2" s="404"/>
      <c r="CQ2" s="404"/>
      <c r="CR2" s="404"/>
      <c r="CS2" s="404"/>
      <c r="CT2" s="404"/>
      <c r="CU2" s="404"/>
      <c r="CV2" s="404"/>
      <c r="CW2" s="404"/>
      <c r="CX2" s="404"/>
      <c r="CY2" s="404"/>
      <c r="CZ2" s="404"/>
      <c r="DA2" s="404"/>
      <c r="DB2" s="404"/>
      <c r="DC2" s="404"/>
      <c r="DD2" s="404"/>
      <c r="DE2" s="404"/>
      <c r="DF2" s="404"/>
      <c r="DG2" s="404"/>
      <c r="DH2" s="404"/>
      <c r="DI2" s="404"/>
      <c r="DJ2" s="404"/>
      <c r="DK2" s="404"/>
      <c r="DL2" s="404"/>
      <c r="DM2" s="404"/>
      <c r="DN2" s="404"/>
      <c r="DO2" s="404"/>
      <c r="DP2" s="404"/>
      <c r="DQ2" s="404"/>
      <c r="DR2" s="404"/>
      <c r="DS2" s="404"/>
      <c r="DT2" s="404"/>
      <c r="DU2" s="404"/>
      <c r="DV2" s="404"/>
      <c r="DW2" s="404"/>
      <c r="DX2" s="404"/>
      <c r="DY2" s="404"/>
      <c r="DZ2" s="404"/>
      <c r="EA2" s="404"/>
      <c r="EB2" s="404"/>
      <c r="EC2" s="404"/>
      <c r="ED2" s="404"/>
      <c r="EE2" s="404"/>
      <c r="EF2" s="404"/>
      <c r="EG2" s="404"/>
      <c r="EH2" s="404"/>
      <c r="EI2" s="404"/>
      <c r="EJ2" s="404"/>
      <c r="EK2" s="404"/>
      <c r="EL2" s="404"/>
      <c r="EM2" s="404"/>
      <c r="EN2" s="404"/>
      <c r="EO2" s="404"/>
      <c r="EP2" s="404"/>
      <c r="EQ2" s="404"/>
      <c r="ER2" s="404"/>
      <c r="ES2" s="404"/>
      <c r="ET2" s="404"/>
      <c r="EU2" s="404"/>
      <c r="EV2" s="404"/>
      <c r="EW2" s="404"/>
      <c r="EX2" s="404"/>
      <c r="EY2" s="404"/>
      <c r="EZ2" s="404"/>
      <c r="FA2" s="404"/>
      <c r="FB2" s="404"/>
      <c r="FC2" s="404"/>
      <c r="FD2" s="404"/>
      <c r="FE2" s="404"/>
      <c r="FF2" s="404"/>
      <c r="FG2" s="404"/>
      <c r="FH2" s="404"/>
      <c r="FI2" s="404"/>
      <c r="FJ2" s="404"/>
      <c r="FK2" s="404"/>
      <c r="FL2" s="404"/>
      <c r="FM2" s="335"/>
      <c r="FN2" s="335"/>
      <c r="FO2" s="335"/>
      <c r="FP2" s="335"/>
      <c r="FQ2" s="335"/>
      <c r="FR2" s="335"/>
    </row>
    <row r="3" spans="1:174" s="147" customFormat="1" ht="24.75" customHeight="1" thickBot="1" x14ac:dyDescent="0.35">
      <c r="A3" s="410" t="s">
        <v>3</v>
      </c>
      <c r="B3" s="410"/>
      <c r="C3" s="203" cm="1">
        <f t="array" ref="C3:E3">'FEEDER Consumption '!A1:C1</f>
        <v>44806</v>
      </c>
      <c r="D3" s="129">
        <v>0</v>
      </c>
      <c r="E3" s="129">
        <v>0</v>
      </c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320"/>
      <c r="Z3" s="329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  <c r="AL3" s="405"/>
      <c r="AM3" s="405"/>
      <c r="AN3" s="405"/>
      <c r="AO3" s="405"/>
      <c r="AP3" s="405"/>
      <c r="AQ3" s="405"/>
      <c r="AR3" s="405"/>
      <c r="AS3" s="405"/>
      <c r="AT3" s="405"/>
      <c r="AU3" s="405"/>
      <c r="AV3" s="405"/>
      <c r="AW3" s="405"/>
      <c r="AX3" s="405"/>
      <c r="AY3" s="405"/>
      <c r="AZ3" s="405"/>
      <c r="BA3" s="405"/>
      <c r="BB3" s="405"/>
      <c r="BC3" s="405"/>
      <c r="BD3" s="405"/>
      <c r="BE3" s="405"/>
      <c r="BF3" s="405"/>
      <c r="BG3" s="405"/>
      <c r="BH3" s="405"/>
      <c r="BI3" s="405"/>
      <c r="BJ3" s="405"/>
      <c r="BK3" s="405"/>
      <c r="BL3" s="405"/>
      <c r="BM3" s="405"/>
      <c r="BN3" s="405"/>
      <c r="BO3" s="405"/>
      <c r="BP3" s="405"/>
      <c r="BQ3" s="405"/>
      <c r="BR3" s="405"/>
      <c r="BS3" s="405"/>
      <c r="BT3" s="405"/>
      <c r="BU3" s="405"/>
      <c r="BV3" s="405"/>
      <c r="BW3" s="405"/>
      <c r="BX3" s="405"/>
      <c r="BY3" s="405"/>
      <c r="BZ3" s="405"/>
      <c r="CA3" s="405"/>
      <c r="CB3" s="405"/>
      <c r="CC3" s="405"/>
      <c r="CD3" s="405"/>
      <c r="CE3" s="405"/>
      <c r="CF3" s="405"/>
      <c r="CG3" s="405"/>
      <c r="CH3" s="405"/>
      <c r="CI3" s="405"/>
      <c r="CJ3" s="405"/>
      <c r="CK3" s="405"/>
      <c r="CL3" s="405"/>
      <c r="CM3" s="405"/>
      <c r="CN3" s="405"/>
      <c r="CO3" s="405"/>
      <c r="CP3" s="405"/>
      <c r="CQ3" s="405"/>
      <c r="CR3" s="405"/>
      <c r="CS3" s="405"/>
      <c r="CT3" s="405"/>
      <c r="CU3" s="405"/>
      <c r="CV3" s="405"/>
      <c r="CW3" s="405"/>
      <c r="CX3" s="405"/>
      <c r="CY3" s="405"/>
      <c r="CZ3" s="405"/>
      <c r="DA3" s="405"/>
      <c r="DB3" s="405"/>
      <c r="DC3" s="405"/>
      <c r="DD3" s="405"/>
      <c r="DE3" s="405"/>
      <c r="DF3" s="405"/>
      <c r="DG3" s="405"/>
      <c r="DH3" s="405"/>
      <c r="DI3" s="405"/>
      <c r="DJ3" s="405"/>
      <c r="DK3" s="405"/>
      <c r="DL3" s="405"/>
      <c r="DM3" s="405"/>
      <c r="DN3" s="405"/>
      <c r="DO3" s="405"/>
      <c r="DP3" s="405"/>
      <c r="DQ3" s="405"/>
      <c r="DR3" s="405"/>
      <c r="DS3" s="405"/>
      <c r="DT3" s="405"/>
      <c r="DU3" s="405"/>
      <c r="DV3" s="405"/>
      <c r="DW3" s="405"/>
      <c r="DX3" s="405"/>
      <c r="DY3" s="405"/>
      <c r="DZ3" s="405"/>
      <c r="EA3" s="405"/>
      <c r="EB3" s="405"/>
      <c r="EC3" s="405"/>
      <c r="ED3" s="405"/>
      <c r="EE3" s="405"/>
      <c r="EF3" s="405"/>
      <c r="EG3" s="405"/>
      <c r="EH3" s="405"/>
      <c r="EI3" s="405"/>
      <c r="EJ3" s="405"/>
      <c r="EK3" s="405"/>
      <c r="EL3" s="405"/>
      <c r="EM3" s="405"/>
      <c r="EN3" s="405"/>
      <c r="EO3" s="405"/>
      <c r="EP3" s="405"/>
      <c r="EQ3" s="405"/>
      <c r="ER3" s="405"/>
      <c r="ES3" s="405"/>
      <c r="ET3" s="405"/>
      <c r="EU3" s="405"/>
      <c r="EV3" s="405"/>
      <c r="EW3" s="405"/>
      <c r="EX3" s="405"/>
      <c r="EY3" s="405"/>
      <c r="EZ3" s="405"/>
      <c r="FA3" s="405"/>
      <c r="FB3" s="405"/>
      <c r="FC3" s="405"/>
      <c r="FD3" s="405"/>
      <c r="FE3" s="405"/>
      <c r="FF3" s="405"/>
      <c r="FG3" s="405"/>
      <c r="FH3" s="405"/>
      <c r="FI3" s="405"/>
      <c r="FJ3" s="405"/>
      <c r="FK3" s="405"/>
      <c r="FL3" s="405"/>
      <c r="FM3" s="335"/>
      <c r="FN3" s="335"/>
      <c r="FO3" s="335"/>
      <c r="FP3" s="335"/>
      <c r="FQ3" s="335"/>
      <c r="FR3" s="335"/>
    </row>
    <row r="4" spans="1:174" ht="15" customHeight="1" x14ac:dyDescent="0.2">
      <c r="A4" s="411" t="s">
        <v>108</v>
      </c>
      <c r="B4" s="412"/>
      <c r="C4" s="412"/>
      <c r="D4" s="413"/>
      <c r="E4" s="130"/>
      <c r="F4" s="411" t="s">
        <v>109</v>
      </c>
      <c r="G4" s="412"/>
      <c r="H4" s="412"/>
      <c r="I4" s="413"/>
      <c r="J4" s="130"/>
      <c r="K4" s="411" t="s">
        <v>110</v>
      </c>
      <c r="L4" s="412"/>
      <c r="M4" s="412"/>
      <c r="N4" s="413"/>
      <c r="O4" s="130"/>
      <c r="P4" s="411" t="s">
        <v>111</v>
      </c>
      <c r="Q4" s="412"/>
      <c r="R4" s="412"/>
      <c r="S4" s="413"/>
      <c r="T4" s="130"/>
      <c r="U4" s="414" t="s">
        <v>181</v>
      </c>
      <c r="V4" s="415"/>
      <c r="W4" s="415"/>
      <c r="X4" s="416"/>
      <c r="Y4" s="321"/>
      <c r="AA4" s="406" t="s">
        <v>182</v>
      </c>
      <c r="AB4" s="407"/>
      <c r="AC4" s="407"/>
      <c r="AD4" s="407"/>
      <c r="AE4" s="407"/>
      <c r="AF4" s="408"/>
      <c r="AG4" s="406" t="s">
        <v>183</v>
      </c>
      <c r="AH4" s="407"/>
      <c r="AI4" s="407"/>
      <c r="AJ4" s="407"/>
      <c r="AK4" s="407"/>
      <c r="AL4" s="406" t="s">
        <v>184</v>
      </c>
      <c r="AM4" s="407"/>
      <c r="AN4" s="407"/>
      <c r="AO4" s="407"/>
      <c r="AP4" s="407"/>
      <c r="AQ4" s="406" t="s">
        <v>185</v>
      </c>
      <c r="AR4" s="407"/>
      <c r="AS4" s="407"/>
      <c r="AT4" s="407"/>
      <c r="AU4" s="407"/>
      <c r="AV4" s="406" t="s">
        <v>186</v>
      </c>
      <c r="AW4" s="407"/>
      <c r="AX4" s="407"/>
      <c r="AY4" s="407"/>
      <c r="AZ4" s="407"/>
      <c r="BA4" s="406" t="s">
        <v>187</v>
      </c>
      <c r="BB4" s="407"/>
      <c r="BC4" s="407"/>
      <c r="BD4" s="407"/>
      <c r="BE4" s="407"/>
      <c r="BF4" s="406" t="s">
        <v>188</v>
      </c>
      <c r="BG4" s="407"/>
      <c r="BH4" s="407"/>
      <c r="BI4" s="407"/>
      <c r="BJ4" s="407"/>
      <c r="BK4" s="406" t="s">
        <v>178</v>
      </c>
      <c r="BL4" s="407"/>
      <c r="BM4" s="407"/>
      <c r="BN4" s="407"/>
      <c r="BO4" s="407"/>
      <c r="BP4" s="406" t="s">
        <v>179</v>
      </c>
      <c r="BQ4" s="407"/>
      <c r="BR4" s="407"/>
      <c r="BS4" s="407"/>
      <c r="BT4" s="407"/>
      <c r="BU4" s="406" t="s">
        <v>180</v>
      </c>
      <c r="BV4" s="407"/>
      <c r="BW4" s="407"/>
      <c r="BX4" s="407"/>
      <c r="BY4" s="407"/>
      <c r="BZ4" s="406" t="s">
        <v>189</v>
      </c>
      <c r="CA4" s="407"/>
      <c r="CB4" s="407"/>
      <c r="CC4" s="407"/>
      <c r="CD4" s="408"/>
      <c r="CE4" s="406" t="s">
        <v>190</v>
      </c>
      <c r="CF4" s="407"/>
      <c r="CG4" s="407"/>
      <c r="CH4" s="407"/>
      <c r="CI4" s="408"/>
      <c r="CJ4" s="406" t="s">
        <v>191</v>
      </c>
      <c r="CK4" s="407"/>
      <c r="CL4" s="407"/>
      <c r="CM4" s="407"/>
      <c r="CN4" s="408"/>
      <c r="CO4" s="406" t="s">
        <v>192</v>
      </c>
      <c r="CP4" s="407"/>
      <c r="CQ4" s="407"/>
      <c r="CR4" s="407"/>
      <c r="CS4" s="408"/>
      <c r="CT4" s="406" t="s">
        <v>193</v>
      </c>
      <c r="CU4" s="407"/>
      <c r="CV4" s="407"/>
      <c r="CW4" s="407"/>
      <c r="CX4" s="408"/>
      <c r="CY4" s="406" t="s">
        <v>194</v>
      </c>
      <c r="CZ4" s="407"/>
      <c r="DA4" s="407"/>
      <c r="DB4" s="407"/>
      <c r="DC4" s="408"/>
      <c r="DD4" s="406" t="s">
        <v>196</v>
      </c>
      <c r="DE4" s="407"/>
      <c r="DF4" s="407"/>
      <c r="DG4" s="407"/>
      <c r="DH4" s="408"/>
      <c r="DI4" s="406" t="s">
        <v>195</v>
      </c>
      <c r="DJ4" s="407"/>
      <c r="DK4" s="407"/>
      <c r="DL4" s="407"/>
      <c r="DM4" s="408"/>
      <c r="DN4" s="406" t="s">
        <v>197</v>
      </c>
      <c r="DO4" s="407"/>
      <c r="DP4" s="407"/>
      <c r="DQ4" s="407"/>
      <c r="DR4" s="408"/>
      <c r="DS4" s="406" t="s">
        <v>198</v>
      </c>
      <c r="DT4" s="407"/>
      <c r="DU4" s="407"/>
      <c r="DV4" s="407"/>
      <c r="DW4" s="408"/>
      <c r="DX4" s="406" t="s">
        <v>199</v>
      </c>
      <c r="DY4" s="407"/>
      <c r="DZ4" s="407"/>
      <c r="EA4" s="407"/>
      <c r="EB4" s="408"/>
      <c r="EC4" s="406" t="s">
        <v>144</v>
      </c>
      <c r="ED4" s="407"/>
      <c r="EE4" s="408"/>
      <c r="EF4" s="406" t="s">
        <v>145</v>
      </c>
      <c r="EG4" s="407"/>
      <c r="EH4" s="408"/>
      <c r="EI4" s="406" t="s">
        <v>146</v>
      </c>
      <c r="EJ4" s="407"/>
      <c r="EK4" s="408"/>
      <c r="EL4" s="406" t="s">
        <v>147</v>
      </c>
      <c r="EM4" s="407"/>
      <c r="EN4" s="408"/>
      <c r="EO4" s="406" t="s">
        <v>163</v>
      </c>
      <c r="EP4" s="407"/>
      <c r="EQ4" s="408"/>
      <c r="ER4" s="401" t="s">
        <v>200</v>
      </c>
      <c r="ES4" s="402"/>
      <c r="ET4" s="403"/>
      <c r="EU4" s="401" t="s">
        <v>201</v>
      </c>
      <c r="EV4" s="402"/>
      <c r="EW4" s="403"/>
      <c r="EX4" s="401" t="s">
        <v>202</v>
      </c>
      <c r="EY4" s="402"/>
      <c r="EZ4" s="403"/>
      <c r="FA4" s="398" t="s">
        <v>203</v>
      </c>
      <c r="FB4" s="399"/>
      <c r="FC4" s="400"/>
      <c r="FD4" s="398" t="s">
        <v>204</v>
      </c>
      <c r="FE4" s="399"/>
      <c r="FF4" s="400"/>
      <c r="FG4" s="398" t="s">
        <v>205</v>
      </c>
      <c r="FH4" s="399"/>
      <c r="FI4" s="400"/>
      <c r="FJ4" s="398" t="s">
        <v>206</v>
      </c>
      <c r="FK4" s="399"/>
      <c r="FL4" s="400"/>
      <c r="FM4" s="398" t="s">
        <v>207</v>
      </c>
      <c r="FN4" s="399"/>
      <c r="FO4" s="400"/>
      <c r="FP4" s="398" t="s">
        <v>208</v>
      </c>
      <c r="FQ4" s="399"/>
      <c r="FR4" s="400"/>
    </row>
    <row r="5" spans="1:174" ht="36" customHeight="1" x14ac:dyDescent="0.2">
      <c r="A5" s="131" t="s">
        <v>5</v>
      </c>
      <c r="B5" s="131" t="s">
        <v>19</v>
      </c>
      <c r="C5" s="131" t="s">
        <v>20</v>
      </c>
      <c r="D5" s="132" t="s">
        <v>112</v>
      </c>
      <c r="E5" s="132"/>
      <c r="F5" s="131" t="s">
        <v>5</v>
      </c>
      <c r="G5" s="131" t="s">
        <v>19</v>
      </c>
      <c r="H5" s="131" t="s">
        <v>20</v>
      </c>
      <c r="I5" s="132" t="s">
        <v>112</v>
      </c>
      <c r="J5" s="132"/>
      <c r="K5" s="131" t="s">
        <v>5</v>
      </c>
      <c r="L5" s="131" t="s">
        <v>19</v>
      </c>
      <c r="M5" s="131" t="s">
        <v>20</v>
      </c>
      <c r="N5" s="132" t="s">
        <v>112</v>
      </c>
      <c r="O5" s="132"/>
      <c r="P5" s="131" t="s">
        <v>5</v>
      </c>
      <c r="Q5" s="131" t="s">
        <v>19</v>
      </c>
      <c r="R5" s="131" t="s">
        <v>20</v>
      </c>
      <c r="S5" s="132" t="s">
        <v>112</v>
      </c>
      <c r="T5" s="132"/>
      <c r="U5" s="133" t="s">
        <v>42</v>
      </c>
      <c r="V5" s="134" t="s">
        <v>13</v>
      </c>
      <c r="W5" s="135" t="s">
        <v>113</v>
      </c>
      <c r="X5" s="318" t="s">
        <v>175</v>
      </c>
      <c r="Y5" s="322" t="s">
        <v>176</v>
      </c>
      <c r="AA5" s="197" t="s">
        <v>5</v>
      </c>
      <c r="AB5" s="196" t="s">
        <v>49</v>
      </c>
      <c r="AC5" s="196" t="s">
        <v>50</v>
      </c>
      <c r="AD5" s="196" t="s">
        <v>162</v>
      </c>
      <c r="AE5" s="299" t="s">
        <v>161</v>
      </c>
      <c r="AF5" s="295" t="s">
        <v>125</v>
      </c>
      <c r="AG5" s="197" t="s">
        <v>49</v>
      </c>
      <c r="AH5" s="196" t="s">
        <v>50</v>
      </c>
      <c r="AI5" s="299" t="s">
        <v>162</v>
      </c>
      <c r="AJ5" s="299" t="s">
        <v>161</v>
      </c>
      <c r="AK5" s="299" t="s">
        <v>125</v>
      </c>
      <c r="AL5" s="197" t="s">
        <v>49</v>
      </c>
      <c r="AM5" s="196" t="s">
        <v>50</v>
      </c>
      <c r="AN5" s="299" t="s">
        <v>162</v>
      </c>
      <c r="AO5" s="299" t="s">
        <v>161</v>
      </c>
      <c r="AP5" s="299" t="s">
        <v>125</v>
      </c>
      <c r="AQ5" s="197" t="s">
        <v>49</v>
      </c>
      <c r="AR5" s="196" t="s">
        <v>50</v>
      </c>
      <c r="AS5" s="299" t="s">
        <v>162</v>
      </c>
      <c r="AT5" s="299" t="s">
        <v>161</v>
      </c>
      <c r="AU5" s="299" t="s">
        <v>125</v>
      </c>
      <c r="AV5" s="197" t="s">
        <v>49</v>
      </c>
      <c r="AW5" s="196" t="s">
        <v>50</v>
      </c>
      <c r="AX5" s="299" t="s">
        <v>162</v>
      </c>
      <c r="AY5" s="299" t="s">
        <v>161</v>
      </c>
      <c r="AZ5" s="299" t="s">
        <v>125</v>
      </c>
      <c r="BA5" s="197" t="s">
        <v>49</v>
      </c>
      <c r="BB5" s="196" t="s">
        <v>50</v>
      </c>
      <c r="BC5" s="299" t="s">
        <v>162</v>
      </c>
      <c r="BD5" s="299" t="s">
        <v>161</v>
      </c>
      <c r="BE5" s="299" t="s">
        <v>125</v>
      </c>
      <c r="BF5" s="197" t="s">
        <v>49</v>
      </c>
      <c r="BG5" s="196" t="s">
        <v>50</v>
      </c>
      <c r="BH5" s="299" t="s">
        <v>162</v>
      </c>
      <c r="BI5" s="299" t="s">
        <v>161</v>
      </c>
      <c r="BJ5" s="299" t="s">
        <v>125</v>
      </c>
      <c r="BK5" s="197" t="s">
        <v>49</v>
      </c>
      <c r="BL5" s="196" t="s">
        <v>50</v>
      </c>
      <c r="BM5" s="299" t="s">
        <v>162</v>
      </c>
      <c r="BN5" s="299" t="s">
        <v>161</v>
      </c>
      <c r="BO5" s="299" t="s">
        <v>125</v>
      </c>
      <c r="BP5" s="197" t="s">
        <v>49</v>
      </c>
      <c r="BQ5" s="196" t="s">
        <v>50</v>
      </c>
      <c r="BR5" s="299" t="s">
        <v>162</v>
      </c>
      <c r="BS5" s="299" t="s">
        <v>161</v>
      </c>
      <c r="BT5" s="299" t="s">
        <v>125</v>
      </c>
      <c r="BU5" s="197" t="s">
        <v>49</v>
      </c>
      <c r="BV5" s="196" t="s">
        <v>50</v>
      </c>
      <c r="BW5" s="299" t="s">
        <v>162</v>
      </c>
      <c r="BX5" s="299" t="s">
        <v>161</v>
      </c>
      <c r="BY5" s="299" t="s">
        <v>125</v>
      </c>
      <c r="BZ5" s="197" t="s">
        <v>49</v>
      </c>
      <c r="CA5" s="196" t="s">
        <v>50</v>
      </c>
      <c r="CB5" s="299" t="s">
        <v>122</v>
      </c>
      <c r="CC5" s="299" t="s">
        <v>161</v>
      </c>
      <c r="CD5" s="198" t="s">
        <v>125</v>
      </c>
      <c r="CE5" s="197" t="s">
        <v>49</v>
      </c>
      <c r="CF5" s="196" t="s">
        <v>50</v>
      </c>
      <c r="CG5" s="299" t="s">
        <v>162</v>
      </c>
      <c r="CH5" s="299" t="s">
        <v>161</v>
      </c>
      <c r="CI5" s="198" t="s">
        <v>125</v>
      </c>
      <c r="CJ5" s="197" t="s">
        <v>49</v>
      </c>
      <c r="CK5" s="196" t="s">
        <v>50</v>
      </c>
      <c r="CL5" s="299" t="s">
        <v>162</v>
      </c>
      <c r="CM5" s="299" t="s">
        <v>161</v>
      </c>
      <c r="CN5" s="198" t="s">
        <v>125</v>
      </c>
      <c r="CO5" s="197" t="s">
        <v>49</v>
      </c>
      <c r="CP5" s="196" t="s">
        <v>50</v>
      </c>
      <c r="CQ5" s="299" t="s">
        <v>162</v>
      </c>
      <c r="CR5" s="299" t="s">
        <v>161</v>
      </c>
      <c r="CS5" s="198" t="s">
        <v>125</v>
      </c>
      <c r="CT5" s="197" t="s">
        <v>49</v>
      </c>
      <c r="CU5" s="196" t="s">
        <v>50</v>
      </c>
      <c r="CV5" s="299" t="s">
        <v>122</v>
      </c>
      <c r="CW5" s="299" t="s">
        <v>161</v>
      </c>
      <c r="CX5" s="198" t="s">
        <v>125</v>
      </c>
      <c r="CY5" s="197" t="s">
        <v>49</v>
      </c>
      <c r="CZ5" s="196" t="s">
        <v>50</v>
      </c>
      <c r="DA5" s="299" t="s">
        <v>162</v>
      </c>
      <c r="DB5" s="299" t="s">
        <v>161</v>
      </c>
      <c r="DC5" s="198" t="s">
        <v>125</v>
      </c>
      <c r="DD5" s="197" t="s">
        <v>49</v>
      </c>
      <c r="DE5" s="196" t="s">
        <v>50</v>
      </c>
      <c r="DF5" s="299" t="s">
        <v>122</v>
      </c>
      <c r="DG5" s="299" t="s">
        <v>161</v>
      </c>
      <c r="DH5" s="198" t="s">
        <v>125</v>
      </c>
      <c r="DI5" s="197" t="s">
        <v>49</v>
      </c>
      <c r="DJ5" s="196" t="s">
        <v>50</v>
      </c>
      <c r="DK5" s="299" t="s">
        <v>162</v>
      </c>
      <c r="DL5" s="299" t="s">
        <v>161</v>
      </c>
      <c r="DM5" s="198" t="s">
        <v>125</v>
      </c>
      <c r="DN5" s="197" t="s">
        <v>49</v>
      </c>
      <c r="DO5" s="196" t="s">
        <v>50</v>
      </c>
      <c r="DP5" s="299" t="s">
        <v>162</v>
      </c>
      <c r="DQ5" s="299" t="s">
        <v>161</v>
      </c>
      <c r="DR5" s="198" t="s">
        <v>125</v>
      </c>
      <c r="DS5" s="197" t="s">
        <v>49</v>
      </c>
      <c r="DT5" s="196" t="s">
        <v>50</v>
      </c>
      <c r="DU5" s="299" t="s">
        <v>122</v>
      </c>
      <c r="DV5" s="299" t="s">
        <v>161</v>
      </c>
      <c r="DW5" s="198" t="s">
        <v>125</v>
      </c>
      <c r="DX5" s="197" t="s">
        <v>49</v>
      </c>
      <c r="DY5" s="196" t="s">
        <v>50</v>
      </c>
      <c r="DZ5" s="299" t="s">
        <v>162</v>
      </c>
      <c r="EA5" s="299" t="s">
        <v>161</v>
      </c>
      <c r="EB5" s="198" t="s">
        <v>125</v>
      </c>
      <c r="EC5" s="197" t="s">
        <v>49</v>
      </c>
      <c r="ED5" s="196" t="s">
        <v>50</v>
      </c>
      <c r="EE5" s="198" t="s">
        <v>162</v>
      </c>
      <c r="EF5" s="197" t="s">
        <v>49</v>
      </c>
      <c r="EG5" s="196" t="s">
        <v>50</v>
      </c>
      <c r="EH5" s="198" t="s">
        <v>162</v>
      </c>
      <c r="EI5" s="197" t="s">
        <v>49</v>
      </c>
      <c r="EJ5" s="196" t="s">
        <v>50</v>
      </c>
      <c r="EK5" s="198" t="s">
        <v>162</v>
      </c>
      <c r="EL5" s="197" t="s">
        <v>49</v>
      </c>
      <c r="EM5" s="196" t="s">
        <v>50</v>
      </c>
      <c r="EN5" s="198" t="s">
        <v>162</v>
      </c>
      <c r="EO5" s="302" t="s">
        <v>49</v>
      </c>
      <c r="EP5" s="299" t="s">
        <v>50</v>
      </c>
      <c r="EQ5" s="198" t="s">
        <v>162</v>
      </c>
      <c r="ER5" s="336" t="s">
        <v>49</v>
      </c>
      <c r="ES5" s="337" t="s">
        <v>50</v>
      </c>
      <c r="ET5" s="338" t="s">
        <v>162</v>
      </c>
      <c r="EU5" s="336" t="s">
        <v>49</v>
      </c>
      <c r="EV5" s="337" t="s">
        <v>50</v>
      </c>
      <c r="EW5" s="338" t="s">
        <v>162</v>
      </c>
      <c r="EX5" s="336" t="s">
        <v>49</v>
      </c>
      <c r="EY5" s="337" t="s">
        <v>50</v>
      </c>
      <c r="EZ5" s="338" t="s">
        <v>162</v>
      </c>
      <c r="FA5" s="336" t="s">
        <v>49</v>
      </c>
      <c r="FB5" s="337" t="s">
        <v>50</v>
      </c>
      <c r="FC5" s="338" t="s">
        <v>162</v>
      </c>
      <c r="FD5" s="336" t="s">
        <v>49</v>
      </c>
      <c r="FE5" s="337" t="s">
        <v>50</v>
      </c>
      <c r="FF5" s="338" t="s">
        <v>162</v>
      </c>
      <c r="FG5" s="336" t="s">
        <v>49</v>
      </c>
      <c r="FH5" s="337" t="s">
        <v>50</v>
      </c>
      <c r="FI5" s="338" t="s">
        <v>162</v>
      </c>
      <c r="FJ5" s="336" t="s">
        <v>49</v>
      </c>
      <c r="FK5" s="337" t="s">
        <v>50</v>
      </c>
      <c r="FL5" s="338" t="s">
        <v>162</v>
      </c>
      <c r="FM5" s="336" t="s">
        <v>49</v>
      </c>
      <c r="FN5" s="337" t="s">
        <v>50</v>
      </c>
      <c r="FO5" s="338" t="s">
        <v>162</v>
      </c>
      <c r="FP5" s="336" t="s">
        <v>49</v>
      </c>
      <c r="FQ5" s="337" t="s">
        <v>50</v>
      </c>
      <c r="FR5" s="338" t="s">
        <v>162</v>
      </c>
    </row>
    <row r="6" spans="1:174" ht="15" customHeight="1" thickBot="1" x14ac:dyDescent="0.25">
      <c r="A6" s="142">
        <v>1</v>
      </c>
      <c r="B6" s="143">
        <v>22663</v>
      </c>
      <c r="C6" s="136">
        <v>22722</v>
      </c>
      <c r="D6" s="137">
        <f>MAX(0,C6-B6)</f>
        <v>59</v>
      </c>
      <c r="E6" s="192"/>
      <c r="F6" s="142">
        <v>1</v>
      </c>
      <c r="G6" s="143">
        <v>39028</v>
      </c>
      <c r="H6" s="136">
        <v>39028</v>
      </c>
      <c r="I6" s="137">
        <f>MAX(0,H6-G6)</f>
        <v>0</v>
      </c>
      <c r="J6" s="192"/>
      <c r="K6" s="142">
        <v>1</v>
      </c>
      <c r="L6" s="143">
        <v>838202</v>
      </c>
      <c r="M6" s="136">
        <v>838400</v>
      </c>
      <c r="N6" s="137">
        <f>MAX(0,M6-L6)</f>
        <v>198</v>
      </c>
      <c r="O6" s="139"/>
      <c r="P6" s="142">
        <v>1</v>
      </c>
      <c r="Q6" s="143">
        <v>237416</v>
      </c>
      <c r="R6" s="136">
        <v>237462</v>
      </c>
      <c r="S6" s="137">
        <f>MAX(0,R6-Q6)</f>
        <v>46</v>
      </c>
      <c r="T6" s="138"/>
      <c r="U6" s="140">
        <v>1</v>
      </c>
      <c r="V6" s="206">
        <f>SUM(S6+N6+I6+D6)</f>
        <v>303</v>
      </c>
      <c r="W6" s="141">
        <f>'Maldives at LG Daily'!I5</f>
        <v>13.6</v>
      </c>
      <c r="X6" s="137">
        <v>81</v>
      </c>
      <c r="Y6" s="323">
        <f>V6/X6</f>
        <v>3.7407407407407409</v>
      </c>
      <c r="AA6" s="201">
        <v>1</v>
      </c>
      <c r="AB6" s="144">
        <v>45988</v>
      </c>
      <c r="AC6" s="144">
        <v>46002</v>
      </c>
      <c r="AD6" s="144">
        <f>AC6-AB6</f>
        <v>14</v>
      </c>
      <c r="AE6" s="144"/>
      <c r="AF6" s="296"/>
      <c r="AG6" s="201">
        <v>10204</v>
      </c>
      <c r="AH6" s="144">
        <v>10209</v>
      </c>
      <c r="AI6" s="144">
        <v>6</v>
      </c>
      <c r="AJ6" s="144"/>
      <c r="AK6" s="144"/>
      <c r="AL6" s="201">
        <v>9246</v>
      </c>
      <c r="AM6" s="144">
        <f>9246+10</f>
        <v>9256</v>
      </c>
      <c r="AN6" s="144">
        <f>AM6-AL6</f>
        <v>10</v>
      </c>
      <c r="AO6" s="144"/>
      <c r="AP6" s="144"/>
      <c r="AQ6" s="201">
        <v>18516</v>
      </c>
      <c r="AR6" s="144">
        <f>18516+10</f>
        <v>18526</v>
      </c>
      <c r="AS6" s="144">
        <f>AR6-AQ6</f>
        <v>10</v>
      </c>
      <c r="AT6" s="144"/>
      <c r="AU6" s="144"/>
      <c r="AV6" s="201">
        <v>34750</v>
      </c>
      <c r="AW6" s="144">
        <v>34989</v>
      </c>
      <c r="AX6" s="144">
        <f t="shared" ref="AX6:AX36" si="0">AW6-AV6</f>
        <v>239</v>
      </c>
      <c r="AY6" s="144"/>
      <c r="AZ6" s="144"/>
      <c r="BA6" s="201">
        <v>8812</v>
      </c>
      <c r="BB6" s="144">
        <v>8831</v>
      </c>
      <c r="BC6" s="144">
        <f t="shared" ref="BC6:BC36" si="1">BB6-BA6</f>
        <v>19</v>
      </c>
      <c r="BD6" s="144"/>
      <c r="BE6" s="144"/>
      <c r="BF6" s="201">
        <v>25515</v>
      </c>
      <c r="BG6" s="144">
        <v>25525</v>
      </c>
      <c r="BH6" s="144">
        <f t="shared" ref="BH6:BH36" si="2">BG6-BF6</f>
        <v>10</v>
      </c>
      <c r="BI6" s="144"/>
      <c r="BJ6" s="144"/>
      <c r="BK6" s="201">
        <v>9525</v>
      </c>
      <c r="BL6" s="144">
        <v>9531</v>
      </c>
      <c r="BM6" s="144">
        <f t="shared" ref="BM6:BM36" si="3">BL6-BK6</f>
        <v>6</v>
      </c>
      <c r="BN6" s="144"/>
      <c r="BO6" s="144"/>
      <c r="BP6" s="201">
        <v>4066</v>
      </c>
      <c r="BQ6" s="144">
        <v>4068</v>
      </c>
      <c r="BR6" s="330">
        <f t="shared" ref="BR6:BR36" si="4">BQ6-BP6</f>
        <v>2</v>
      </c>
      <c r="BS6" s="144"/>
      <c r="BT6" s="144"/>
      <c r="BU6" s="201">
        <v>1844</v>
      </c>
      <c r="BV6" s="144">
        <v>1844</v>
      </c>
      <c r="BW6" s="144">
        <f t="shared" ref="BW6:BW36" si="5">BV6-BU6</f>
        <v>0</v>
      </c>
      <c r="BX6" s="144"/>
      <c r="BY6" s="144"/>
      <c r="BZ6" s="205">
        <v>28840</v>
      </c>
      <c r="CA6" s="144">
        <v>28845</v>
      </c>
      <c r="CB6" s="330">
        <f t="shared" ref="CB6:CB36" si="6">CA6-BZ6</f>
        <v>5</v>
      </c>
      <c r="CC6" s="144"/>
      <c r="CD6" s="199"/>
      <c r="CE6" s="205">
        <v>3344</v>
      </c>
      <c r="CF6" s="144">
        <v>3346</v>
      </c>
      <c r="CG6" s="144">
        <f t="shared" ref="CG6:CG36" si="7">CF6-CE6</f>
        <v>2</v>
      </c>
      <c r="CH6" s="144"/>
      <c r="CI6" s="199"/>
      <c r="CJ6" s="205">
        <v>83357</v>
      </c>
      <c r="CK6" s="144">
        <v>83403</v>
      </c>
      <c r="CL6" s="144">
        <f t="shared" ref="CL6:CL36" si="8">CK6-CJ6</f>
        <v>46</v>
      </c>
      <c r="CM6" s="144"/>
      <c r="CN6" s="199"/>
      <c r="CO6" s="205">
        <v>25522</v>
      </c>
      <c r="CP6" s="144">
        <v>25525</v>
      </c>
      <c r="CQ6" s="144">
        <f t="shared" ref="CQ6:CQ36" si="9">CP6-CO6</f>
        <v>3</v>
      </c>
      <c r="CR6" s="144"/>
      <c r="CS6" s="199"/>
      <c r="CT6" s="204">
        <v>12770</v>
      </c>
      <c r="CU6" s="144">
        <v>12771</v>
      </c>
      <c r="CV6" s="144">
        <f t="shared" ref="CV6:CV36" si="10">CU6-CT6</f>
        <v>1</v>
      </c>
      <c r="CW6" s="144"/>
      <c r="CX6" s="199"/>
      <c r="CY6" s="204">
        <v>19562</v>
      </c>
      <c r="CZ6" s="144">
        <v>19563</v>
      </c>
      <c r="DA6" s="144">
        <f t="shared" ref="DA6:DA36" si="11">CZ6-CY6</f>
        <v>1</v>
      </c>
      <c r="DB6" s="144"/>
      <c r="DC6" s="199"/>
      <c r="DD6" s="204">
        <v>20777</v>
      </c>
      <c r="DE6" s="144">
        <v>20779</v>
      </c>
      <c r="DF6" s="144">
        <f t="shared" ref="DF6:DF36" si="12">DE6-DD6</f>
        <v>2</v>
      </c>
      <c r="DG6" s="144"/>
      <c r="DH6" s="199"/>
      <c r="DI6" s="204">
        <v>9696</v>
      </c>
      <c r="DJ6" s="144">
        <v>9698</v>
      </c>
      <c r="DK6" s="144">
        <f t="shared" ref="DK6:DK36" si="13">DJ6-DI6</f>
        <v>2</v>
      </c>
      <c r="DL6" s="144"/>
      <c r="DM6" s="199"/>
      <c r="DN6" s="204">
        <v>25534</v>
      </c>
      <c r="DO6" s="144">
        <v>25540</v>
      </c>
      <c r="DP6" s="144">
        <f t="shared" ref="DP6:DP36" si="14">DO6-DN6</f>
        <v>6</v>
      </c>
      <c r="DQ6" s="144"/>
      <c r="DR6" s="199"/>
      <c r="DS6" s="204">
        <v>2656</v>
      </c>
      <c r="DT6" s="144">
        <v>2655</v>
      </c>
      <c r="DU6" s="144">
        <f t="shared" ref="DU6:DU36" si="15">DT6-DS6</f>
        <v>-1</v>
      </c>
      <c r="DV6" s="144"/>
      <c r="DW6" s="199"/>
      <c r="DX6" s="204">
        <v>10547</v>
      </c>
      <c r="DY6" s="144">
        <v>10547</v>
      </c>
      <c r="DZ6" s="144">
        <f>DY6-DX6</f>
        <v>0</v>
      </c>
      <c r="EA6" s="144"/>
      <c r="EB6" s="199"/>
      <c r="EC6" s="204">
        <v>4550</v>
      </c>
      <c r="ED6" s="144"/>
      <c r="EE6" s="199">
        <f>ED6-EC6</f>
        <v>-4550</v>
      </c>
      <c r="EF6" s="204">
        <v>2479</v>
      </c>
      <c r="EG6" s="144"/>
      <c r="EH6" s="199">
        <f>EG6-EF6</f>
        <v>-2479</v>
      </c>
      <c r="EI6" s="204">
        <v>2008</v>
      </c>
      <c r="EJ6" s="144"/>
      <c r="EK6" s="199">
        <f>EJ6-EI6</f>
        <v>-2008</v>
      </c>
      <c r="EL6" s="204">
        <v>1556</v>
      </c>
      <c r="EM6" s="144"/>
      <c r="EN6" s="199">
        <f>EM6-EL6</f>
        <v>-1556</v>
      </c>
      <c r="EO6" s="144">
        <v>840</v>
      </c>
      <c r="EP6" s="144"/>
      <c r="EQ6" s="199">
        <f>EP6-EO6</f>
        <v>-840</v>
      </c>
      <c r="ER6" s="205"/>
      <c r="ES6" s="144"/>
      <c r="ET6" s="199">
        <f>ES6-ER6</f>
        <v>0</v>
      </c>
      <c r="EU6" s="205"/>
      <c r="EV6" s="144"/>
      <c r="EW6" s="199">
        <f>EV6-EU6</f>
        <v>0</v>
      </c>
      <c r="EX6" s="205"/>
      <c r="EY6" s="144"/>
      <c r="EZ6" s="199">
        <f>EY6-EX6</f>
        <v>0</v>
      </c>
      <c r="FA6" s="205"/>
      <c r="FB6" s="144"/>
      <c r="FC6" s="199">
        <f>FB6-FA6</f>
        <v>0</v>
      </c>
      <c r="FD6" s="205"/>
      <c r="FE6" s="144"/>
      <c r="FF6" s="199">
        <f>FE6-FD6</f>
        <v>0</v>
      </c>
      <c r="FG6" s="205"/>
      <c r="FH6" s="144"/>
      <c r="FI6" s="199">
        <f>FH6-FG6</f>
        <v>0</v>
      </c>
      <c r="FJ6" s="205"/>
      <c r="FK6" s="144"/>
      <c r="FL6" s="199">
        <f>FK6-FJ6</f>
        <v>0</v>
      </c>
      <c r="FM6" s="205"/>
      <c r="FN6" s="144"/>
      <c r="FO6" s="199">
        <f>FN6-FM6</f>
        <v>0</v>
      </c>
      <c r="FP6" s="205"/>
      <c r="FQ6" s="144"/>
      <c r="FR6" s="199">
        <f>FQ6-FP6</f>
        <v>0</v>
      </c>
    </row>
    <row r="7" spans="1:174" ht="15" customHeight="1" x14ac:dyDescent="0.2">
      <c r="A7" s="142">
        <v>2</v>
      </c>
      <c r="B7" s="142">
        <f>C6</f>
        <v>22722</v>
      </c>
      <c r="C7" s="143">
        <v>22768</v>
      </c>
      <c r="D7" s="137">
        <f t="shared" ref="D7:D36" si="16">MAX(0,C7-B7)</f>
        <v>46</v>
      </c>
      <c r="E7" s="192"/>
      <c r="F7" s="142">
        <v>2</v>
      </c>
      <c r="G7" s="142">
        <f>H6</f>
        <v>39028</v>
      </c>
      <c r="H7" s="136">
        <v>39028</v>
      </c>
      <c r="I7" s="137">
        <f t="shared" ref="I7:I36" si="17">MAX(0,H7-G7)</f>
        <v>0</v>
      </c>
      <c r="J7" s="192"/>
      <c r="K7" s="142">
        <v>2</v>
      </c>
      <c r="L7" s="142">
        <f>M6</f>
        <v>838400</v>
      </c>
      <c r="M7" s="143">
        <v>838567</v>
      </c>
      <c r="N7" s="137">
        <f t="shared" ref="N7:N36" si="18">MAX(0,M7-L7)</f>
        <v>167</v>
      </c>
      <c r="O7" s="139"/>
      <c r="P7" s="142">
        <v>2</v>
      </c>
      <c r="Q7" s="142">
        <f>R6</f>
        <v>237462</v>
      </c>
      <c r="R7" s="143">
        <v>237569</v>
      </c>
      <c r="S7" s="137">
        <f t="shared" ref="S7:S36" si="19">MAX(0,R7-Q7)</f>
        <v>107</v>
      </c>
      <c r="T7" s="138"/>
      <c r="U7" s="142">
        <v>2</v>
      </c>
      <c r="V7" s="207">
        <f t="shared" ref="V7:V36" si="20">SUM(S7+N7+I7+D7)</f>
        <v>320</v>
      </c>
      <c r="W7" s="141">
        <f>'Maldives at LG Daily'!I6</f>
        <v>14.6</v>
      </c>
      <c r="X7" s="144">
        <v>93</v>
      </c>
      <c r="Y7" s="323">
        <f t="shared" ref="Y7:Y36" si="21">V7/X7</f>
        <v>3.4408602150537635</v>
      </c>
      <c r="AA7" s="201">
        <v>2</v>
      </c>
      <c r="AB7" s="144">
        <f>AC6</f>
        <v>46002</v>
      </c>
      <c r="AC7" s="144">
        <v>46018</v>
      </c>
      <c r="AD7" s="144">
        <f t="shared" ref="AD7:AD36" si="22">AC7-AB7</f>
        <v>16</v>
      </c>
      <c r="AE7" s="144">
        <f>AD7-AD6</f>
        <v>2</v>
      </c>
      <c r="AF7" s="297"/>
      <c r="AG7" s="201">
        <f>AH6</f>
        <v>10209</v>
      </c>
      <c r="AH7" s="144">
        <v>10214</v>
      </c>
      <c r="AI7" s="144">
        <f t="shared" ref="AI7:AI36" si="23">AH7-AG7</f>
        <v>5</v>
      </c>
      <c r="AJ7" s="144">
        <f>AI7-AI6</f>
        <v>-1</v>
      </c>
      <c r="AK7" s="144"/>
      <c r="AL7" s="201">
        <f>AM6</f>
        <v>9256</v>
      </c>
      <c r="AM7" s="144">
        <v>9266</v>
      </c>
      <c r="AN7" s="144">
        <f t="shared" ref="AN7:AN36" si="24">AM7-AL7</f>
        <v>10</v>
      </c>
      <c r="AO7" s="144">
        <f>AN7-AN6</f>
        <v>0</v>
      </c>
      <c r="AP7" s="144"/>
      <c r="AQ7" s="201">
        <f>AR6</f>
        <v>18526</v>
      </c>
      <c r="AR7" s="144">
        <v>18536</v>
      </c>
      <c r="AS7" s="144">
        <f t="shared" ref="AS7:AS36" si="25">AR7-AQ7</f>
        <v>10</v>
      </c>
      <c r="AT7" s="144">
        <f>AS7-AS6</f>
        <v>0</v>
      </c>
      <c r="AU7" s="144"/>
      <c r="AV7" s="201">
        <f>AW6</f>
        <v>34989</v>
      </c>
      <c r="AW7" s="144">
        <v>34997</v>
      </c>
      <c r="AX7" s="144">
        <f t="shared" si="0"/>
        <v>8</v>
      </c>
      <c r="AY7" s="144">
        <f>AX7-AX6</f>
        <v>-231</v>
      </c>
      <c r="AZ7" s="144"/>
      <c r="BA7" s="201">
        <f>BB6</f>
        <v>8831</v>
      </c>
      <c r="BB7" s="144">
        <v>8837</v>
      </c>
      <c r="BC7" s="144">
        <f t="shared" si="1"/>
        <v>6</v>
      </c>
      <c r="BD7" s="144">
        <f>BC7-BC6</f>
        <v>-13</v>
      </c>
      <c r="BE7" s="144"/>
      <c r="BF7" s="201">
        <f>BG6</f>
        <v>25525</v>
      </c>
      <c r="BG7" s="144">
        <v>25535</v>
      </c>
      <c r="BH7" s="144">
        <f t="shared" si="2"/>
        <v>10</v>
      </c>
      <c r="BI7" s="144">
        <f>BH7-BH6</f>
        <v>0</v>
      </c>
      <c r="BJ7" s="144"/>
      <c r="BK7" s="201">
        <f>BL6</f>
        <v>9531</v>
      </c>
      <c r="BL7" s="144">
        <v>9537</v>
      </c>
      <c r="BM7" s="144">
        <f t="shared" si="3"/>
        <v>6</v>
      </c>
      <c r="BN7" s="144">
        <f>BM7-BM6</f>
        <v>0</v>
      </c>
      <c r="BO7" s="144"/>
      <c r="BP7" s="201">
        <f>BQ6</f>
        <v>4068</v>
      </c>
      <c r="BQ7" s="144">
        <v>4070</v>
      </c>
      <c r="BR7" s="330">
        <f t="shared" si="4"/>
        <v>2</v>
      </c>
      <c r="BS7" s="144">
        <f>BR7-BR6</f>
        <v>0</v>
      </c>
      <c r="BT7" s="144"/>
      <c r="BU7" s="201">
        <f>BV6</f>
        <v>1844</v>
      </c>
      <c r="BV7" s="144">
        <v>1844</v>
      </c>
      <c r="BW7" s="144">
        <f t="shared" si="5"/>
        <v>0</v>
      </c>
      <c r="BX7" s="144">
        <f>BW7-BW6</f>
        <v>0</v>
      </c>
      <c r="BY7" s="144"/>
      <c r="BZ7" s="205">
        <f>CA6</f>
        <v>28845</v>
      </c>
      <c r="CA7" s="144">
        <v>28854</v>
      </c>
      <c r="CB7" s="330">
        <f t="shared" si="6"/>
        <v>9</v>
      </c>
      <c r="CC7" s="144">
        <f>CB7-CB6</f>
        <v>4</v>
      </c>
      <c r="CD7" s="199"/>
      <c r="CE7" s="205">
        <f>CF6</f>
        <v>3346</v>
      </c>
      <c r="CF7" s="144">
        <v>3348</v>
      </c>
      <c r="CG7" s="144">
        <f t="shared" si="7"/>
        <v>2</v>
      </c>
      <c r="CH7" s="144">
        <f>CG7-CG6</f>
        <v>0</v>
      </c>
      <c r="CI7" s="199"/>
      <c r="CJ7" s="205">
        <f>CK6</f>
        <v>83403</v>
      </c>
      <c r="CK7" s="144">
        <f>83403+30</f>
        <v>83433</v>
      </c>
      <c r="CL7" s="144">
        <f t="shared" si="8"/>
        <v>30</v>
      </c>
      <c r="CM7" s="144">
        <f>CL7-CL6</f>
        <v>-16</v>
      </c>
      <c r="CN7" s="199"/>
      <c r="CO7" s="205">
        <f>CP6</f>
        <v>25525</v>
      </c>
      <c r="CP7" s="144">
        <v>25529</v>
      </c>
      <c r="CQ7" s="144">
        <f t="shared" si="9"/>
        <v>4</v>
      </c>
      <c r="CR7" s="144">
        <f>CQ7-CQ6</f>
        <v>1</v>
      </c>
      <c r="CS7" s="199"/>
      <c r="CT7" s="205">
        <f>CU6</f>
        <v>12771</v>
      </c>
      <c r="CU7" s="144">
        <v>12772</v>
      </c>
      <c r="CV7" s="144">
        <f t="shared" si="10"/>
        <v>1</v>
      </c>
      <c r="CW7" s="144">
        <f>CV7-CV6</f>
        <v>0</v>
      </c>
      <c r="CX7" s="199"/>
      <c r="CY7" s="205">
        <f>CZ6</f>
        <v>19563</v>
      </c>
      <c r="CZ7" s="144">
        <v>19563</v>
      </c>
      <c r="DA7" s="144">
        <f t="shared" si="11"/>
        <v>0</v>
      </c>
      <c r="DB7" s="144">
        <f>DA7-DA6</f>
        <v>-1</v>
      </c>
      <c r="DC7" s="199"/>
      <c r="DD7" s="205">
        <f>DE6</f>
        <v>20779</v>
      </c>
      <c r="DE7" s="144">
        <v>20783</v>
      </c>
      <c r="DF7" s="144">
        <f t="shared" si="12"/>
        <v>4</v>
      </c>
      <c r="DG7" s="144">
        <f>DF7-DF6</f>
        <v>2</v>
      </c>
      <c r="DH7" s="199"/>
      <c r="DI7" s="205">
        <f>DJ6</f>
        <v>9698</v>
      </c>
      <c r="DJ7" s="144">
        <v>9701</v>
      </c>
      <c r="DK7" s="144">
        <f t="shared" si="13"/>
        <v>3</v>
      </c>
      <c r="DL7" s="144">
        <f>DK7-DK6</f>
        <v>1</v>
      </c>
      <c r="DM7" s="199"/>
      <c r="DN7" s="205">
        <f>DO6</f>
        <v>25540</v>
      </c>
      <c r="DO7" s="144">
        <v>25546</v>
      </c>
      <c r="DP7" s="144">
        <f t="shared" si="14"/>
        <v>6</v>
      </c>
      <c r="DQ7" s="144">
        <f>DP7-DP6</f>
        <v>0</v>
      </c>
      <c r="DR7" s="199"/>
      <c r="DS7" s="205">
        <f>DT6</f>
        <v>2655</v>
      </c>
      <c r="DT7" s="144">
        <v>2656</v>
      </c>
      <c r="DU7" s="144">
        <f t="shared" si="15"/>
        <v>1</v>
      </c>
      <c r="DV7" s="144">
        <f>DU7-DU6</f>
        <v>2</v>
      </c>
      <c r="DW7" s="199"/>
      <c r="DX7" s="205">
        <f>DY6</f>
        <v>10547</v>
      </c>
      <c r="DY7" s="144">
        <v>10547</v>
      </c>
      <c r="DZ7" s="144">
        <f>DY7-DX7</f>
        <v>0</v>
      </c>
      <c r="EA7" s="144">
        <f>DZ7-DZ6</f>
        <v>0</v>
      </c>
      <c r="EB7" s="199"/>
      <c r="EC7" s="205">
        <f>ED6</f>
        <v>0</v>
      </c>
      <c r="ED7" s="144"/>
      <c r="EE7" s="199">
        <f t="shared" ref="EE7:EE36" si="26">ED7-EC7</f>
        <v>0</v>
      </c>
      <c r="EF7" s="205">
        <f>EG6</f>
        <v>0</v>
      </c>
      <c r="EG7" s="144"/>
      <c r="EH7" s="199">
        <f t="shared" ref="EH7:EH36" si="27">EG7-EF7</f>
        <v>0</v>
      </c>
      <c r="EI7" s="205">
        <f>EJ6</f>
        <v>0</v>
      </c>
      <c r="EJ7" s="144"/>
      <c r="EK7" s="199">
        <f t="shared" ref="EK7:EK36" si="28">EJ7-EI7</f>
        <v>0</v>
      </c>
      <c r="EL7" s="205">
        <f>EM6</f>
        <v>0</v>
      </c>
      <c r="EM7" s="144"/>
      <c r="EN7" s="199">
        <f t="shared" ref="EN7:EN36" si="29">EM7-EL7</f>
        <v>0</v>
      </c>
      <c r="EO7" s="205">
        <f>EP6</f>
        <v>0</v>
      </c>
      <c r="EP7" s="144"/>
      <c r="EQ7" s="199">
        <f t="shared" ref="EQ7:EQ36" si="30">EP7-EO7</f>
        <v>0</v>
      </c>
      <c r="ER7" s="205">
        <f>ES6</f>
        <v>0</v>
      </c>
      <c r="ES7" s="144">
        <v>563</v>
      </c>
      <c r="ET7" s="199">
        <v>0</v>
      </c>
      <c r="EU7" s="205">
        <f>EV6</f>
        <v>0</v>
      </c>
      <c r="EV7" s="144">
        <v>831</v>
      </c>
      <c r="EW7" s="199">
        <v>0</v>
      </c>
      <c r="EX7" s="205">
        <f>EY6</f>
        <v>0</v>
      </c>
      <c r="EY7" s="144">
        <v>1199</v>
      </c>
      <c r="EZ7" s="199">
        <v>0</v>
      </c>
      <c r="FA7" s="205">
        <f>FB6</f>
        <v>0</v>
      </c>
      <c r="FB7" s="144">
        <v>15</v>
      </c>
      <c r="FC7" s="199">
        <v>0</v>
      </c>
      <c r="FD7" s="205">
        <f>FE6</f>
        <v>0</v>
      </c>
      <c r="FE7" s="144">
        <v>34</v>
      </c>
      <c r="FF7" s="199">
        <v>0</v>
      </c>
      <c r="FG7" s="205">
        <f>FH6</f>
        <v>0</v>
      </c>
      <c r="FH7" s="144">
        <v>89</v>
      </c>
      <c r="FI7" s="199">
        <v>0</v>
      </c>
      <c r="FJ7" s="205">
        <f>FK6</f>
        <v>0</v>
      </c>
      <c r="FK7" s="144">
        <v>15</v>
      </c>
      <c r="FL7" s="199">
        <v>0</v>
      </c>
      <c r="FM7" s="205">
        <f>FN6</f>
        <v>0</v>
      </c>
      <c r="FN7" s="144">
        <v>8</v>
      </c>
      <c r="FO7" s="199">
        <v>0</v>
      </c>
      <c r="FP7" s="205">
        <f>FQ6</f>
        <v>0</v>
      </c>
      <c r="FQ7" s="144">
        <v>23</v>
      </c>
      <c r="FR7" s="199">
        <f t="shared" ref="FR7:FR36" si="31">FQ7-FP7</f>
        <v>23</v>
      </c>
    </row>
    <row r="8" spans="1:174" ht="15" customHeight="1" x14ac:dyDescent="0.2">
      <c r="A8" s="142">
        <v>3</v>
      </c>
      <c r="B8" s="142">
        <f t="shared" ref="B8:B36" si="32">C7</f>
        <v>22768</v>
      </c>
      <c r="C8" s="143">
        <v>22840</v>
      </c>
      <c r="D8" s="137">
        <f t="shared" si="16"/>
        <v>72</v>
      </c>
      <c r="E8" s="192"/>
      <c r="F8" s="142">
        <v>3</v>
      </c>
      <c r="G8" s="142">
        <f t="shared" ref="G8:G36" si="33">H7</f>
        <v>39028</v>
      </c>
      <c r="H8" s="136">
        <v>39028</v>
      </c>
      <c r="I8" s="137">
        <f t="shared" si="17"/>
        <v>0</v>
      </c>
      <c r="J8" s="192"/>
      <c r="K8" s="142">
        <v>3</v>
      </c>
      <c r="L8" s="142">
        <f t="shared" ref="L8:L36" si="34">M7</f>
        <v>838567</v>
      </c>
      <c r="M8" s="143">
        <v>838779</v>
      </c>
      <c r="N8" s="137">
        <f t="shared" si="18"/>
        <v>212</v>
      </c>
      <c r="O8" s="139"/>
      <c r="P8" s="142">
        <v>3</v>
      </c>
      <c r="Q8" s="142">
        <f t="shared" ref="Q8:Q36" si="35">R7</f>
        <v>237569</v>
      </c>
      <c r="R8" s="143">
        <v>237609</v>
      </c>
      <c r="S8" s="137">
        <f t="shared" si="19"/>
        <v>40</v>
      </c>
      <c r="T8" s="138"/>
      <c r="U8" s="140">
        <v>3</v>
      </c>
      <c r="V8" s="207">
        <f t="shared" si="20"/>
        <v>324</v>
      </c>
      <c r="W8" s="141">
        <f>'Maldives at LG Daily'!I7</f>
        <v>14.6</v>
      </c>
      <c r="X8" s="144">
        <v>94</v>
      </c>
      <c r="Y8" s="323">
        <f t="shared" si="21"/>
        <v>3.4468085106382977</v>
      </c>
      <c r="AA8" s="201">
        <v>3</v>
      </c>
      <c r="AB8" s="144">
        <f t="shared" ref="AB8:AB36" si="36">AC7</f>
        <v>46018</v>
      </c>
      <c r="AC8" s="144">
        <v>46036</v>
      </c>
      <c r="AD8" s="144">
        <f t="shared" si="22"/>
        <v>18</v>
      </c>
      <c r="AE8" s="144">
        <f>AD8-AD7</f>
        <v>2</v>
      </c>
      <c r="AF8" s="297"/>
      <c r="AG8" s="201">
        <f t="shared" ref="AG8:AG36" si="37">AH7</f>
        <v>10214</v>
      </c>
      <c r="AH8" s="144">
        <v>10219</v>
      </c>
      <c r="AI8" s="144">
        <f t="shared" si="23"/>
        <v>5</v>
      </c>
      <c r="AJ8" s="144">
        <f>AI8-AI7</f>
        <v>0</v>
      </c>
      <c r="AK8" s="144"/>
      <c r="AL8" s="201">
        <f t="shared" ref="AL8:AL36" si="38">AM7</f>
        <v>9266</v>
      </c>
      <c r="AM8" s="144">
        <v>9277</v>
      </c>
      <c r="AN8" s="144">
        <f t="shared" si="24"/>
        <v>11</v>
      </c>
      <c r="AO8" s="144">
        <f t="shared" ref="AO8:AO36" si="39">AN8-AN7</f>
        <v>1</v>
      </c>
      <c r="AP8" s="144"/>
      <c r="AQ8" s="201">
        <f t="shared" ref="AQ8:AQ36" si="40">AR7</f>
        <v>18536</v>
      </c>
      <c r="AR8" s="144">
        <f>18536+13</f>
        <v>18549</v>
      </c>
      <c r="AS8" s="144">
        <f t="shared" si="25"/>
        <v>13</v>
      </c>
      <c r="AT8" s="144">
        <f t="shared" ref="AT8:AT36" si="41">AS8-AS7</f>
        <v>3</v>
      </c>
      <c r="AU8" s="144"/>
      <c r="AV8" s="201">
        <f t="shared" ref="AV8:AV36" si="42">AW7</f>
        <v>34997</v>
      </c>
      <c r="AW8" s="144">
        <f>34997+8</f>
        <v>35005</v>
      </c>
      <c r="AX8" s="144">
        <f t="shared" si="0"/>
        <v>8</v>
      </c>
      <c r="AY8" s="144">
        <f t="shared" ref="AY8:AY36" si="43">AX8-AX7</f>
        <v>0</v>
      </c>
      <c r="AZ8" s="144"/>
      <c r="BA8" s="201">
        <f t="shared" ref="BA8:BA36" si="44">BB7</f>
        <v>8837</v>
      </c>
      <c r="BB8" s="144">
        <f>8837+7</f>
        <v>8844</v>
      </c>
      <c r="BC8" s="144">
        <f t="shared" si="1"/>
        <v>7</v>
      </c>
      <c r="BD8" s="144">
        <f t="shared" ref="BD8:BD36" si="45">BC8-BC7</f>
        <v>1</v>
      </c>
      <c r="BE8" s="144"/>
      <c r="BF8" s="201">
        <f t="shared" ref="BF8:BF36" si="46">BG7</f>
        <v>25535</v>
      </c>
      <c r="BG8" s="144">
        <f>25535+10</f>
        <v>25545</v>
      </c>
      <c r="BH8" s="144">
        <f t="shared" si="2"/>
        <v>10</v>
      </c>
      <c r="BI8" s="144">
        <f t="shared" ref="BI8:BI36" si="47">BH8-BH7</f>
        <v>0</v>
      </c>
      <c r="BJ8" s="144"/>
      <c r="BK8" s="201">
        <f t="shared" ref="BK8:BK36" si="48">BL7</f>
        <v>9537</v>
      </c>
      <c r="BL8" s="144">
        <f>9537+6</f>
        <v>9543</v>
      </c>
      <c r="BM8" s="144">
        <f t="shared" si="3"/>
        <v>6</v>
      </c>
      <c r="BN8" s="144">
        <f t="shared" ref="BN8:BN36" si="49">BM8-BM7</f>
        <v>0</v>
      </c>
      <c r="BO8" s="144"/>
      <c r="BP8" s="201">
        <f t="shared" ref="BP8:BP36" si="50">BQ7</f>
        <v>4070</v>
      </c>
      <c r="BQ8" s="144">
        <f>4070+2</f>
        <v>4072</v>
      </c>
      <c r="BR8" s="330">
        <f t="shared" si="4"/>
        <v>2</v>
      </c>
      <c r="BS8" s="144">
        <f t="shared" ref="BS8:BS36" si="51">BR8-BR7</f>
        <v>0</v>
      </c>
      <c r="BT8" s="144"/>
      <c r="BU8" s="201">
        <f t="shared" ref="BU8:BU36" si="52">BV7</f>
        <v>1844</v>
      </c>
      <c r="BV8" s="144">
        <v>1845</v>
      </c>
      <c r="BW8" s="144">
        <f t="shared" si="5"/>
        <v>1</v>
      </c>
      <c r="BX8" s="144">
        <f t="shared" ref="BX8:BX36" si="53">BW8-BW7</f>
        <v>1</v>
      </c>
      <c r="BY8" s="144"/>
      <c r="BZ8" s="205">
        <f t="shared" ref="BZ8:BZ36" si="54">CA7</f>
        <v>28854</v>
      </c>
      <c r="CA8" s="144">
        <f>28854+4.5</f>
        <v>28858.5</v>
      </c>
      <c r="CB8" s="330">
        <f t="shared" si="6"/>
        <v>4.5</v>
      </c>
      <c r="CC8" s="144">
        <f t="shared" ref="CC8:CC36" si="55">CB8-CB7</f>
        <v>-4.5</v>
      </c>
      <c r="CD8" s="199"/>
      <c r="CE8" s="205">
        <f t="shared" ref="CE8:CE36" si="56">CF7</f>
        <v>3348</v>
      </c>
      <c r="CF8" s="144">
        <v>3350</v>
      </c>
      <c r="CG8" s="144">
        <f t="shared" si="7"/>
        <v>2</v>
      </c>
      <c r="CH8" s="144">
        <f t="shared" ref="CH8:CH36" si="57">CG8-CG7</f>
        <v>0</v>
      </c>
      <c r="CI8" s="199"/>
      <c r="CJ8" s="205">
        <f t="shared" ref="CJ8:CJ36" si="58">CK7</f>
        <v>83433</v>
      </c>
      <c r="CK8" s="144">
        <f>83433+30</f>
        <v>83463</v>
      </c>
      <c r="CL8" s="144">
        <f t="shared" si="8"/>
        <v>30</v>
      </c>
      <c r="CM8" s="144">
        <f t="shared" ref="CM8:CM36" si="59">CL8-CL7</f>
        <v>0</v>
      </c>
      <c r="CN8" s="199"/>
      <c r="CO8" s="205">
        <f t="shared" ref="CO8:CO36" si="60">CP7</f>
        <v>25529</v>
      </c>
      <c r="CP8" s="144">
        <f>25529+2</f>
        <v>25531</v>
      </c>
      <c r="CQ8" s="144">
        <f t="shared" si="9"/>
        <v>2</v>
      </c>
      <c r="CR8" s="144">
        <f t="shared" ref="CR8:CR36" si="61">CQ8-CQ7</f>
        <v>-2</v>
      </c>
      <c r="CS8" s="199"/>
      <c r="CT8" s="205">
        <f t="shared" ref="CT8:CT36" si="62">CU7</f>
        <v>12772</v>
      </c>
      <c r="CU8" s="144">
        <f>12772+1</f>
        <v>12773</v>
      </c>
      <c r="CV8" s="144">
        <f t="shared" si="10"/>
        <v>1</v>
      </c>
      <c r="CW8" s="144">
        <f t="shared" ref="CW8:CW36" si="63">CV8-CV7</f>
        <v>0</v>
      </c>
      <c r="CX8" s="199"/>
      <c r="CY8" s="205">
        <f t="shared" ref="CY8:CY36" si="64">CZ7</f>
        <v>19563</v>
      </c>
      <c r="CZ8" s="144">
        <f>19563+5</f>
        <v>19568</v>
      </c>
      <c r="DA8" s="144">
        <f t="shared" si="11"/>
        <v>5</v>
      </c>
      <c r="DB8" s="144">
        <f t="shared" ref="DB8:DB36" si="65">DA8-DA7</f>
        <v>5</v>
      </c>
      <c r="DC8" s="199"/>
      <c r="DD8" s="205">
        <f t="shared" ref="DD8:DD36" si="66">DE7</f>
        <v>20783</v>
      </c>
      <c r="DE8" s="144">
        <f>20783+4</f>
        <v>20787</v>
      </c>
      <c r="DF8" s="144">
        <f t="shared" si="12"/>
        <v>4</v>
      </c>
      <c r="DG8" s="144">
        <f t="shared" ref="DG8:DG36" si="67">DF8-DF7</f>
        <v>0</v>
      </c>
      <c r="DH8" s="199"/>
      <c r="DI8" s="205">
        <f t="shared" ref="DI8:DI36" si="68">DJ7</f>
        <v>9701</v>
      </c>
      <c r="DJ8" s="144">
        <f>9701+2</f>
        <v>9703</v>
      </c>
      <c r="DK8" s="144">
        <f t="shared" si="13"/>
        <v>2</v>
      </c>
      <c r="DL8" s="144">
        <f t="shared" ref="DL8:DL36" si="69">DK8-DK7</f>
        <v>-1</v>
      </c>
      <c r="DM8" s="199"/>
      <c r="DN8" s="205">
        <f t="shared" ref="DN8:DN36" si="70">DO7</f>
        <v>25546</v>
      </c>
      <c r="DO8" s="144">
        <f>25546+20</f>
        <v>25566</v>
      </c>
      <c r="DP8" s="144">
        <f t="shared" si="14"/>
        <v>20</v>
      </c>
      <c r="DQ8" s="144">
        <f t="shared" ref="DQ8:DQ36" si="71">DP8-DP7</f>
        <v>14</v>
      </c>
      <c r="DR8" s="199"/>
      <c r="DS8" s="205">
        <f t="shared" ref="DS8:DS36" si="72">DT7</f>
        <v>2656</v>
      </c>
      <c r="DT8" s="144">
        <v>2658</v>
      </c>
      <c r="DU8" s="144">
        <f t="shared" si="15"/>
        <v>2</v>
      </c>
      <c r="DV8" s="144">
        <f t="shared" ref="DV8:DV36" si="73">DU8-DU7</f>
        <v>1</v>
      </c>
      <c r="DW8" s="199"/>
      <c r="DX8" s="205">
        <f t="shared" ref="DX8:DX36" si="74">DY7</f>
        <v>10547</v>
      </c>
      <c r="DY8" s="144">
        <v>10549</v>
      </c>
      <c r="DZ8" s="144">
        <f t="shared" ref="DZ8:DZ36" si="75">DY8-DX8</f>
        <v>2</v>
      </c>
      <c r="EA8" s="144">
        <f t="shared" ref="EA8:EA36" si="76">DZ8-DZ7</f>
        <v>2</v>
      </c>
      <c r="EB8" s="199"/>
      <c r="EC8" s="205">
        <f t="shared" ref="EC8:EC18" si="77">ED7</f>
        <v>0</v>
      </c>
      <c r="ED8" s="144"/>
      <c r="EE8" s="199">
        <f t="shared" si="26"/>
        <v>0</v>
      </c>
      <c r="EF8" s="205">
        <f t="shared" ref="EF8:EF14" si="78">EG7</f>
        <v>0</v>
      </c>
      <c r="EG8" s="144"/>
      <c r="EH8" s="199">
        <f t="shared" si="27"/>
        <v>0</v>
      </c>
      <c r="EI8" s="205">
        <f t="shared" ref="EI8:EI14" si="79">EJ7</f>
        <v>0</v>
      </c>
      <c r="EJ8" s="144"/>
      <c r="EK8" s="199">
        <f t="shared" si="28"/>
        <v>0</v>
      </c>
      <c r="EL8" s="205">
        <f t="shared" ref="EL8:EL16" si="80">EM7</f>
        <v>0</v>
      </c>
      <c r="EM8" s="144"/>
      <c r="EN8" s="199">
        <f t="shared" si="29"/>
        <v>0</v>
      </c>
      <c r="EO8" s="205">
        <f t="shared" ref="EO8:EO36" si="81">EP7</f>
        <v>0</v>
      </c>
      <c r="EP8" s="144"/>
      <c r="EQ8" s="199">
        <f t="shared" si="30"/>
        <v>0</v>
      </c>
      <c r="ER8" s="205">
        <f t="shared" ref="ER8:ER36" si="82">ES7</f>
        <v>563</v>
      </c>
      <c r="ES8" s="144">
        <v>578</v>
      </c>
      <c r="ET8" s="199">
        <f t="shared" ref="ET8:ET36" si="83">ES8-ER8</f>
        <v>15</v>
      </c>
      <c r="EU8" s="205">
        <f t="shared" ref="EU8:EU36" si="84">EV7</f>
        <v>831</v>
      </c>
      <c r="EV8" s="144">
        <v>840</v>
      </c>
      <c r="EW8" s="199">
        <f t="shared" ref="EW8:EW36" si="85">EV8-EU8</f>
        <v>9</v>
      </c>
      <c r="EX8" s="205">
        <f t="shared" ref="EX8:EX36" si="86">EY7</f>
        <v>1199</v>
      </c>
      <c r="EY8" s="144">
        <v>1230</v>
      </c>
      <c r="EZ8" s="199">
        <f t="shared" ref="EZ8:EZ36" si="87">EY8-EX8</f>
        <v>31</v>
      </c>
      <c r="FA8" s="205">
        <f t="shared" ref="FA8:FA36" si="88">FB7</f>
        <v>15</v>
      </c>
      <c r="FB8" s="144">
        <v>0</v>
      </c>
      <c r="FC8" s="199">
        <f t="shared" ref="FC8:FC36" si="89">FB8-FA8</f>
        <v>-15</v>
      </c>
      <c r="FD8" s="205">
        <f t="shared" ref="FD8:FD36" si="90">FE7</f>
        <v>34</v>
      </c>
      <c r="FE8" s="144">
        <v>71</v>
      </c>
      <c r="FF8" s="199">
        <f t="shared" ref="FF8:FF36" si="91">FE8-FD8</f>
        <v>37</v>
      </c>
      <c r="FG8" s="205">
        <f t="shared" ref="FG8:FG36" si="92">FH7</f>
        <v>89</v>
      </c>
      <c r="FH8" s="144">
        <v>123</v>
      </c>
      <c r="FI8" s="199">
        <f t="shared" ref="FI8:FI36" si="93">FH8-FG8</f>
        <v>34</v>
      </c>
      <c r="FJ8" s="205">
        <f t="shared" ref="FJ8:FJ36" si="94">FK7</f>
        <v>15</v>
      </c>
      <c r="FK8" s="144">
        <v>23</v>
      </c>
      <c r="FL8" s="199">
        <f t="shared" ref="FL8:FL36" si="95">FK8-FJ8</f>
        <v>8</v>
      </c>
      <c r="FM8" s="205">
        <f t="shared" ref="FM8:FM36" si="96">FN7</f>
        <v>8</v>
      </c>
      <c r="FN8" s="144">
        <v>10</v>
      </c>
      <c r="FO8" s="199">
        <f t="shared" ref="FO8:FO36" si="97">FN8-FM8</f>
        <v>2</v>
      </c>
      <c r="FP8" s="205">
        <f t="shared" ref="FP8:FP36" si="98">FQ7</f>
        <v>23</v>
      </c>
      <c r="FQ8" s="144">
        <v>23</v>
      </c>
      <c r="FR8" s="199">
        <f t="shared" si="31"/>
        <v>0</v>
      </c>
    </row>
    <row r="9" spans="1:174" ht="15" customHeight="1" x14ac:dyDescent="0.2">
      <c r="A9" s="142">
        <v>4</v>
      </c>
      <c r="B9" s="142">
        <f t="shared" si="32"/>
        <v>22840</v>
      </c>
      <c r="C9" s="143">
        <v>22840</v>
      </c>
      <c r="D9" s="137">
        <f t="shared" si="16"/>
        <v>0</v>
      </c>
      <c r="E9" s="192"/>
      <c r="F9" s="142">
        <v>4</v>
      </c>
      <c r="G9" s="142">
        <f t="shared" si="33"/>
        <v>39028</v>
      </c>
      <c r="H9" s="136">
        <v>39028</v>
      </c>
      <c r="I9" s="137">
        <f t="shared" si="17"/>
        <v>0</v>
      </c>
      <c r="J9" s="192"/>
      <c r="K9" s="142">
        <v>4</v>
      </c>
      <c r="L9" s="142">
        <f t="shared" si="34"/>
        <v>838779</v>
      </c>
      <c r="M9" s="143">
        <v>838984</v>
      </c>
      <c r="N9" s="137">
        <f t="shared" si="18"/>
        <v>205</v>
      </c>
      <c r="O9" s="139"/>
      <c r="P9" s="142">
        <v>4</v>
      </c>
      <c r="Q9" s="142">
        <f t="shared" si="35"/>
        <v>237609</v>
      </c>
      <c r="R9" s="143">
        <v>237703</v>
      </c>
      <c r="S9" s="137">
        <f t="shared" si="19"/>
        <v>94</v>
      </c>
      <c r="T9" s="138"/>
      <c r="U9" s="140">
        <v>4</v>
      </c>
      <c r="V9" s="207">
        <f>SUM(S9+N9+I9+D9)</f>
        <v>299</v>
      </c>
      <c r="W9" s="141">
        <f>'Maldives at LG Daily'!I8</f>
        <v>10.7</v>
      </c>
      <c r="X9" s="144">
        <v>98</v>
      </c>
      <c r="Y9" s="323">
        <f t="shared" si="21"/>
        <v>3.0510204081632653</v>
      </c>
      <c r="AA9" s="201">
        <v>4</v>
      </c>
      <c r="AB9" s="144">
        <f t="shared" si="36"/>
        <v>46036</v>
      </c>
      <c r="AC9" s="144">
        <v>46055</v>
      </c>
      <c r="AD9" s="144">
        <f t="shared" si="22"/>
        <v>19</v>
      </c>
      <c r="AE9" s="144">
        <f t="shared" ref="AE9:AE36" si="99">AD9-AD8</f>
        <v>1</v>
      </c>
      <c r="AF9" s="297"/>
      <c r="AG9" s="201">
        <f t="shared" si="37"/>
        <v>10219</v>
      </c>
      <c r="AH9" s="144">
        <v>10224</v>
      </c>
      <c r="AI9" s="144">
        <f t="shared" si="23"/>
        <v>5</v>
      </c>
      <c r="AJ9" s="144">
        <f t="shared" ref="AJ9:AJ36" si="100">AI9-AI8</f>
        <v>0</v>
      </c>
      <c r="AK9" s="144"/>
      <c r="AL9" s="201">
        <f t="shared" si="38"/>
        <v>9277</v>
      </c>
      <c r="AM9" s="144">
        <v>9309</v>
      </c>
      <c r="AN9" s="144">
        <f t="shared" si="24"/>
        <v>32</v>
      </c>
      <c r="AO9" s="144">
        <f t="shared" si="39"/>
        <v>21</v>
      </c>
      <c r="AP9" s="144"/>
      <c r="AQ9" s="201">
        <f t="shared" si="40"/>
        <v>18549</v>
      </c>
      <c r="AR9" s="144">
        <v>18555</v>
      </c>
      <c r="AS9" s="144">
        <f t="shared" si="25"/>
        <v>6</v>
      </c>
      <c r="AT9" s="144">
        <f t="shared" si="41"/>
        <v>-7</v>
      </c>
      <c r="AU9" s="144"/>
      <c r="AV9" s="201">
        <f t="shared" si="42"/>
        <v>35005</v>
      </c>
      <c r="AW9" s="144">
        <v>35012</v>
      </c>
      <c r="AX9" s="144">
        <f t="shared" si="0"/>
        <v>7</v>
      </c>
      <c r="AY9" s="144">
        <f t="shared" si="43"/>
        <v>-1</v>
      </c>
      <c r="AZ9" s="144"/>
      <c r="BA9" s="201">
        <f t="shared" si="44"/>
        <v>8844</v>
      </c>
      <c r="BB9" s="144">
        <v>8850</v>
      </c>
      <c r="BC9" s="144">
        <f t="shared" si="1"/>
        <v>6</v>
      </c>
      <c r="BD9" s="144">
        <f t="shared" si="45"/>
        <v>-1</v>
      </c>
      <c r="BE9" s="144"/>
      <c r="BF9" s="201">
        <f t="shared" si="46"/>
        <v>25545</v>
      </c>
      <c r="BG9" s="144">
        <v>25555</v>
      </c>
      <c r="BH9" s="144">
        <f t="shared" si="2"/>
        <v>10</v>
      </c>
      <c r="BI9" s="144">
        <f t="shared" si="47"/>
        <v>0</v>
      </c>
      <c r="BJ9" s="144"/>
      <c r="BK9" s="201">
        <f t="shared" si="48"/>
        <v>9543</v>
      </c>
      <c r="BL9" s="144">
        <v>9575</v>
      </c>
      <c r="BM9" s="144">
        <f t="shared" si="3"/>
        <v>32</v>
      </c>
      <c r="BN9" s="144">
        <f t="shared" si="49"/>
        <v>26</v>
      </c>
      <c r="BO9" s="144"/>
      <c r="BP9" s="201">
        <f t="shared" si="50"/>
        <v>4072</v>
      </c>
      <c r="BQ9" s="144">
        <v>4073</v>
      </c>
      <c r="BR9" s="330">
        <f t="shared" si="4"/>
        <v>1</v>
      </c>
      <c r="BS9" s="144">
        <f t="shared" si="51"/>
        <v>-1</v>
      </c>
      <c r="BT9" s="144"/>
      <c r="BU9" s="201">
        <f t="shared" si="52"/>
        <v>1845</v>
      </c>
      <c r="BV9" s="144">
        <v>1846</v>
      </c>
      <c r="BW9" s="144">
        <f t="shared" si="5"/>
        <v>1</v>
      </c>
      <c r="BX9" s="144">
        <f t="shared" si="53"/>
        <v>0</v>
      </c>
      <c r="BY9" s="144"/>
      <c r="BZ9" s="205">
        <f t="shared" si="54"/>
        <v>28858.5</v>
      </c>
      <c r="CA9" s="144">
        <v>28866</v>
      </c>
      <c r="CB9" s="330">
        <f t="shared" si="6"/>
        <v>7.5</v>
      </c>
      <c r="CC9" s="144">
        <f t="shared" si="55"/>
        <v>3</v>
      </c>
      <c r="CD9" s="199"/>
      <c r="CE9" s="205">
        <f t="shared" si="56"/>
        <v>3350</v>
      </c>
      <c r="CF9" s="144">
        <v>3352</v>
      </c>
      <c r="CG9" s="144">
        <f t="shared" si="7"/>
        <v>2</v>
      </c>
      <c r="CH9" s="144">
        <f t="shared" si="57"/>
        <v>0</v>
      </c>
      <c r="CI9" s="199"/>
      <c r="CJ9" s="205">
        <f t="shared" si="58"/>
        <v>83463</v>
      </c>
      <c r="CK9" s="144">
        <f>83463+30</f>
        <v>83493</v>
      </c>
      <c r="CL9" s="144">
        <f t="shared" si="8"/>
        <v>30</v>
      </c>
      <c r="CM9" s="144">
        <f t="shared" si="59"/>
        <v>0</v>
      </c>
      <c r="CN9" s="199"/>
      <c r="CO9" s="205">
        <f t="shared" si="60"/>
        <v>25531</v>
      </c>
      <c r="CP9" s="144">
        <v>25556</v>
      </c>
      <c r="CQ9" s="144">
        <f t="shared" si="9"/>
        <v>25</v>
      </c>
      <c r="CR9" s="144">
        <f t="shared" si="61"/>
        <v>23</v>
      </c>
      <c r="CS9" s="199"/>
      <c r="CT9" s="205">
        <f t="shared" si="62"/>
        <v>12773</v>
      </c>
      <c r="CU9" s="144">
        <v>12774</v>
      </c>
      <c r="CV9" s="144">
        <f t="shared" si="10"/>
        <v>1</v>
      </c>
      <c r="CW9" s="144">
        <f t="shared" si="63"/>
        <v>0</v>
      </c>
      <c r="CX9" s="199"/>
      <c r="CY9" s="205">
        <f t="shared" si="64"/>
        <v>19568</v>
      </c>
      <c r="CZ9" s="144">
        <v>19564</v>
      </c>
      <c r="DA9" s="144">
        <f t="shared" si="11"/>
        <v>-4</v>
      </c>
      <c r="DB9" s="144">
        <f t="shared" si="65"/>
        <v>-9</v>
      </c>
      <c r="DC9" s="199"/>
      <c r="DD9" s="205">
        <f t="shared" si="66"/>
        <v>20787</v>
      </c>
      <c r="DE9" s="144">
        <v>20787</v>
      </c>
      <c r="DF9" s="144">
        <f t="shared" si="12"/>
        <v>0</v>
      </c>
      <c r="DG9" s="144">
        <f t="shared" si="67"/>
        <v>-4</v>
      </c>
      <c r="DH9" s="199"/>
      <c r="DI9" s="205">
        <f t="shared" si="68"/>
        <v>9703</v>
      </c>
      <c r="DJ9" s="144">
        <v>9706</v>
      </c>
      <c r="DK9" s="144">
        <f t="shared" si="13"/>
        <v>3</v>
      </c>
      <c r="DL9" s="144">
        <f t="shared" si="69"/>
        <v>1</v>
      </c>
      <c r="DM9" s="199"/>
      <c r="DN9" s="205">
        <f t="shared" si="70"/>
        <v>25566</v>
      </c>
      <c r="DO9" s="144">
        <v>25559</v>
      </c>
      <c r="DP9" s="144">
        <f t="shared" si="14"/>
        <v>-7</v>
      </c>
      <c r="DQ9" s="144">
        <f t="shared" si="71"/>
        <v>-27</v>
      </c>
      <c r="DR9" s="199"/>
      <c r="DS9" s="205">
        <f t="shared" si="72"/>
        <v>2658</v>
      </c>
      <c r="DT9" s="144">
        <v>2658</v>
      </c>
      <c r="DU9" s="144">
        <f t="shared" si="15"/>
        <v>0</v>
      </c>
      <c r="DV9" s="144">
        <f t="shared" si="73"/>
        <v>-2</v>
      </c>
      <c r="DW9" s="199"/>
      <c r="DX9" s="205">
        <f t="shared" si="74"/>
        <v>10549</v>
      </c>
      <c r="DY9" s="144">
        <v>10547</v>
      </c>
      <c r="DZ9" s="144">
        <f t="shared" si="75"/>
        <v>-2</v>
      </c>
      <c r="EA9" s="144">
        <f t="shared" si="76"/>
        <v>-4</v>
      </c>
      <c r="EB9" s="199"/>
      <c r="EC9" s="205">
        <f t="shared" si="77"/>
        <v>0</v>
      </c>
      <c r="ED9" s="144"/>
      <c r="EE9" s="199">
        <f t="shared" si="26"/>
        <v>0</v>
      </c>
      <c r="EF9" s="205">
        <f t="shared" si="78"/>
        <v>0</v>
      </c>
      <c r="EG9" s="144"/>
      <c r="EH9" s="199">
        <f t="shared" si="27"/>
        <v>0</v>
      </c>
      <c r="EI9" s="205">
        <f t="shared" si="79"/>
        <v>0</v>
      </c>
      <c r="EJ9" s="144"/>
      <c r="EK9" s="199">
        <f t="shared" si="28"/>
        <v>0</v>
      </c>
      <c r="EL9" s="205">
        <f t="shared" si="80"/>
        <v>0</v>
      </c>
      <c r="EM9" s="144"/>
      <c r="EN9" s="199">
        <f t="shared" si="29"/>
        <v>0</v>
      </c>
      <c r="EO9" s="205">
        <f t="shared" si="81"/>
        <v>0</v>
      </c>
      <c r="EP9" s="144"/>
      <c r="EQ9" s="199">
        <f t="shared" si="30"/>
        <v>0</v>
      </c>
      <c r="ER9" s="205">
        <f t="shared" si="82"/>
        <v>578</v>
      </c>
      <c r="ES9" s="144"/>
      <c r="ET9" s="199">
        <f t="shared" si="83"/>
        <v>-578</v>
      </c>
      <c r="EU9" s="205">
        <f t="shared" si="84"/>
        <v>840</v>
      </c>
      <c r="EV9" s="144"/>
      <c r="EW9" s="199">
        <f t="shared" si="85"/>
        <v>-840</v>
      </c>
      <c r="EX9" s="205">
        <f t="shared" si="86"/>
        <v>1230</v>
      </c>
      <c r="EY9" s="144"/>
      <c r="EZ9" s="199">
        <f t="shared" si="87"/>
        <v>-1230</v>
      </c>
      <c r="FA9" s="205">
        <f t="shared" si="88"/>
        <v>0</v>
      </c>
      <c r="FB9" s="144"/>
      <c r="FC9" s="199">
        <f t="shared" si="89"/>
        <v>0</v>
      </c>
      <c r="FD9" s="205">
        <f t="shared" si="90"/>
        <v>71</v>
      </c>
      <c r="FE9" s="144"/>
      <c r="FF9" s="199">
        <f t="shared" si="91"/>
        <v>-71</v>
      </c>
      <c r="FG9" s="205">
        <f t="shared" si="92"/>
        <v>123</v>
      </c>
      <c r="FH9" s="144"/>
      <c r="FI9" s="199">
        <f t="shared" si="93"/>
        <v>-123</v>
      </c>
      <c r="FJ9" s="205">
        <f t="shared" si="94"/>
        <v>23</v>
      </c>
      <c r="FK9" s="144"/>
      <c r="FL9" s="199">
        <f t="shared" si="95"/>
        <v>-23</v>
      </c>
      <c r="FM9" s="205">
        <f t="shared" si="96"/>
        <v>10</v>
      </c>
      <c r="FN9" s="144"/>
      <c r="FO9" s="199">
        <f t="shared" si="97"/>
        <v>-10</v>
      </c>
      <c r="FP9" s="205">
        <f t="shared" si="98"/>
        <v>23</v>
      </c>
      <c r="FQ9" s="144"/>
      <c r="FR9" s="199">
        <f t="shared" si="31"/>
        <v>-23</v>
      </c>
    </row>
    <row r="10" spans="1:174" ht="15" customHeight="1" x14ac:dyDescent="0.2">
      <c r="A10" s="142">
        <v>5</v>
      </c>
      <c r="B10" s="142">
        <f t="shared" si="32"/>
        <v>22840</v>
      </c>
      <c r="C10" s="143">
        <v>22840</v>
      </c>
      <c r="D10" s="137">
        <f t="shared" si="16"/>
        <v>0</v>
      </c>
      <c r="E10" s="192"/>
      <c r="F10" s="142">
        <v>5</v>
      </c>
      <c r="G10" s="142">
        <f t="shared" si="33"/>
        <v>39028</v>
      </c>
      <c r="H10" s="136">
        <v>39028</v>
      </c>
      <c r="I10" s="137">
        <f t="shared" si="17"/>
        <v>0</v>
      </c>
      <c r="J10" s="192"/>
      <c r="K10" s="142">
        <v>5</v>
      </c>
      <c r="L10" s="142">
        <f t="shared" si="34"/>
        <v>838984</v>
      </c>
      <c r="M10" s="143">
        <v>839152</v>
      </c>
      <c r="N10" s="137">
        <f t="shared" si="18"/>
        <v>168</v>
      </c>
      <c r="O10" s="139"/>
      <c r="P10" s="142">
        <v>5</v>
      </c>
      <c r="Q10" s="142">
        <f t="shared" si="35"/>
        <v>237703</v>
      </c>
      <c r="R10" s="143">
        <v>237800</v>
      </c>
      <c r="S10" s="137">
        <f t="shared" si="19"/>
        <v>97</v>
      </c>
      <c r="T10" s="138"/>
      <c r="U10" s="142">
        <v>5</v>
      </c>
      <c r="V10" s="207">
        <f t="shared" si="20"/>
        <v>265</v>
      </c>
      <c r="W10" s="141">
        <f>'Maldives at LG Daily'!I9</f>
        <v>10.7</v>
      </c>
      <c r="X10" s="144">
        <v>73</v>
      </c>
      <c r="Y10" s="323">
        <f t="shared" si="21"/>
        <v>3.6301369863013697</v>
      </c>
      <c r="AA10" s="201">
        <v>5</v>
      </c>
      <c r="AB10" s="144">
        <f t="shared" si="36"/>
        <v>46055</v>
      </c>
      <c r="AC10" s="144">
        <v>46069</v>
      </c>
      <c r="AD10" s="144">
        <f t="shared" si="22"/>
        <v>14</v>
      </c>
      <c r="AE10" s="144">
        <f t="shared" si="99"/>
        <v>-5</v>
      </c>
      <c r="AF10" s="297"/>
      <c r="AG10" s="201">
        <f t="shared" si="37"/>
        <v>10224</v>
      </c>
      <c r="AH10" s="144">
        <v>10230</v>
      </c>
      <c r="AI10" s="144">
        <f t="shared" si="23"/>
        <v>6</v>
      </c>
      <c r="AJ10" s="144">
        <f t="shared" si="100"/>
        <v>1</v>
      </c>
      <c r="AK10" s="144"/>
      <c r="AL10" s="201">
        <f t="shared" si="38"/>
        <v>9309</v>
      </c>
      <c r="AM10" s="144">
        <v>9317</v>
      </c>
      <c r="AN10" s="144">
        <f t="shared" si="24"/>
        <v>8</v>
      </c>
      <c r="AO10" s="144">
        <f t="shared" si="39"/>
        <v>-24</v>
      </c>
      <c r="AP10" s="144"/>
      <c r="AQ10" s="201">
        <f t="shared" si="40"/>
        <v>18555</v>
      </c>
      <c r="AR10" s="144">
        <v>18560</v>
      </c>
      <c r="AS10" s="144">
        <f t="shared" si="25"/>
        <v>5</v>
      </c>
      <c r="AT10" s="144">
        <f t="shared" si="41"/>
        <v>-1</v>
      </c>
      <c r="AU10" s="144"/>
      <c r="AV10" s="201">
        <f t="shared" si="42"/>
        <v>35012</v>
      </c>
      <c r="AW10" s="144">
        <v>35020</v>
      </c>
      <c r="AX10" s="144">
        <f t="shared" si="0"/>
        <v>8</v>
      </c>
      <c r="AY10" s="144">
        <f t="shared" si="43"/>
        <v>1</v>
      </c>
      <c r="AZ10" s="144"/>
      <c r="BA10" s="201">
        <f t="shared" si="44"/>
        <v>8850</v>
      </c>
      <c r="BB10" s="144">
        <v>8856</v>
      </c>
      <c r="BC10" s="144">
        <f t="shared" si="1"/>
        <v>6</v>
      </c>
      <c r="BD10" s="144">
        <f t="shared" si="45"/>
        <v>0</v>
      </c>
      <c r="BE10" s="144"/>
      <c r="BF10" s="201">
        <f t="shared" si="46"/>
        <v>25555</v>
      </c>
      <c r="BG10" s="144">
        <v>25565</v>
      </c>
      <c r="BH10" s="144">
        <f t="shared" si="2"/>
        <v>10</v>
      </c>
      <c r="BI10" s="144">
        <f t="shared" si="47"/>
        <v>0</v>
      </c>
      <c r="BJ10" s="144"/>
      <c r="BK10" s="201">
        <f t="shared" si="48"/>
        <v>9575</v>
      </c>
      <c r="BL10" s="144">
        <v>9583</v>
      </c>
      <c r="BM10" s="144">
        <f t="shared" si="3"/>
        <v>8</v>
      </c>
      <c r="BN10" s="144">
        <f t="shared" si="49"/>
        <v>-24</v>
      </c>
      <c r="BO10" s="144"/>
      <c r="BP10" s="201">
        <f t="shared" si="50"/>
        <v>4073</v>
      </c>
      <c r="BQ10" s="144">
        <v>4074</v>
      </c>
      <c r="BR10" s="330">
        <f t="shared" si="4"/>
        <v>1</v>
      </c>
      <c r="BS10" s="144">
        <f t="shared" si="51"/>
        <v>0</v>
      </c>
      <c r="BT10" s="144"/>
      <c r="BU10" s="201">
        <f t="shared" si="52"/>
        <v>1846</v>
      </c>
      <c r="BV10" s="144">
        <v>1847</v>
      </c>
      <c r="BW10" s="144">
        <f t="shared" si="5"/>
        <v>1</v>
      </c>
      <c r="BX10" s="144">
        <f t="shared" si="53"/>
        <v>0</v>
      </c>
      <c r="BY10" s="144"/>
      <c r="BZ10" s="205">
        <f t="shared" si="54"/>
        <v>28866</v>
      </c>
      <c r="CA10" s="144">
        <v>28869</v>
      </c>
      <c r="CB10" s="330">
        <f t="shared" si="6"/>
        <v>3</v>
      </c>
      <c r="CC10" s="144">
        <f t="shared" si="55"/>
        <v>-4.5</v>
      </c>
      <c r="CD10" s="199"/>
      <c r="CE10" s="205">
        <f t="shared" si="56"/>
        <v>3352</v>
      </c>
      <c r="CF10" s="144">
        <v>3353</v>
      </c>
      <c r="CG10" s="144">
        <f t="shared" si="7"/>
        <v>1</v>
      </c>
      <c r="CH10" s="144">
        <f t="shared" si="57"/>
        <v>-1</v>
      </c>
      <c r="CI10" s="199"/>
      <c r="CJ10" s="205">
        <f t="shared" si="58"/>
        <v>83493</v>
      </c>
      <c r="CK10" s="144">
        <v>83513</v>
      </c>
      <c r="CL10" s="144">
        <f t="shared" si="8"/>
        <v>20</v>
      </c>
      <c r="CM10" s="144">
        <f t="shared" si="59"/>
        <v>-10</v>
      </c>
      <c r="CN10" s="199"/>
      <c r="CO10" s="205">
        <f t="shared" si="60"/>
        <v>25556</v>
      </c>
      <c r="CP10" s="144">
        <v>25567</v>
      </c>
      <c r="CQ10" s="144">
        <f t="shared" si="9"/>
        <v>11</v>
      </c>
      <c r="CR10" s="144">
        <f t="shared" si="61"/>
        <v>-14</v>
      </c>
      <c r="CS10" s="199"/>
      <c r="CT10" s="205">
        <f t="shared" si="62"/>
        <v>12774</v>
      </c>
      <c r="CU10" s="144">
        <v>12774</v>
      </c>
      <c r="CV10" s="144">
        <f t="shared" si="10"/>
        <v>0</v>
      </c>
      <c r="CW10" s="144">
        <f t="shared" si="63"/>
        <v>-1</v>
      </c>
      <c r="CX10" s="199"/>
      <c r="CY10" s="205">
        <f t="shared" si="64"/>
        <v>19564</v>
      </c>
      <c r="CZ10" s="144">
        <v>19565</v>
      </c>
      <c r="DA10" s="144">
        <f t="shared" si="11"/>
        <v>1</v>
      </c>
      <c r="DB10" s="144">
        <f t="shared" si="65"/>
        <v>5</v>
      </c>
      <c r="DC10" s="199"/>
      <c r="DD10" s="205">
        <f t="shared" si="66"/>
        <v>20787</v>
      </c>
      <c r="DE10" s="144">
        <v>20789</v>
      </c>
      <c r="DF10" s="144">
        <f t="shared" si="12"/>
        <v>2</v>
      </c>
      <c r="DG10" s="144">
        <f t="shared" si="67"/>
        <v>2</v>
      </c>
      <c r="DH10" s="199"/>
      <c r="DI10" s="205">
        <f t="shared" si="68"/>
        <v>9706</v>
      </c>
      <c r="DJ10" s="144">
        <v>9708</v>
      </c>
      <c r="DK10" s="144">
        <f t="shared" si="13"/>
        <v>2</v>
      </c>
      <c r="DL10" s="144">
        <f t="shared" si="69"/>
        <v>-1</v>
      </c>
      <c r="DM10" s="199"/>
      <c r="DN10" s="205">
        <f t="shared" si="70"/>
        <v>25559</v>
      </c>
      <c r="DO10" s="144">
        <v>25566</v>
      </c>
      <c r="DP10" s="144">
        <f t="shared" si="14"/>
        <v>7</v>
      </c>
      <c r="DQ10" s="144">
        <f t="shared" si="71"/>
        <v>14</v>
      </c>
      <c r="DR10" s="199"/>
      <c r="DS10" s="205">
        <f t="shared" si="72"/>
        <v>2658</v>
      </c>
      <c r="DT10" s="144">
        <v>2658</v>
      </c>
      <c r="DU10" s="144">
        <f t="shared" si="15"/>
        <v>0</v>
      </c>
      <c r="DV10" s="144">
        <f t="shared" si="73"/>
        <v>0</v>
      </c>
      <c r="DW10" s="199"/>
      <c r="DX10" s="205">
        <f t="shared" si="74"/>
        <v>10547</v>
      </c>
      <c r="DY10" s="144">
        <v>10547</v>
      </c>
      <c r="DZ10" s="144">
        <f t="shared" si="75"/>
        <v>0</v>
      </c>
      <c r="EA10" s="144">
        <f t="shared" si="76"/>
        <v>2</v>
      </c>
      <c r="EB10" s="199"/>
      <c r="EC10" s="205">
        <f t="shared" si="77"/>
        <v>0</v>
      </c>
      <c r="ED10" s="144"/>
      <c r="EE10" s="199">
        <f t="shared" si="26"/>
        <v>0</v>
      </c>
      <c r="EF10" s="205">
        <f t="shared" si="78"/>
        <v>0</v>
      </c>
      <c r="EG10" s="144"/>
      <c r="EH10" s="199">
        <f t="shared" si="27"/>
        <v>0</v>
      </c>
      <c r="EI10" s="205">
        <f t="shared" si="79"/>
        <v>0</v>
      </c>
      <c r="EJ10" s="144"/>
      <c r="EK10" s="199">
        <f t="shared" si="28"/>
        <v>0</v>
      </c>
      <c r="EL10" s="205">
        <f t="shared" si="80"/>
        <v>0</v>
      </c>
      <c r="EM10" s="144"/>
      <c r="EN10" s="199">
        <f t="shared" si="29"/>
        <v>0</v>
      </c>
      <c r="EO10" s="205">
        <f t="shared" si="81"/>
        <v>0</v>
      </c>
      <c r="EP10" s="144"/>
      <c r="EQ10" s="199">
        <f t="shared" si="30"/>
        <v>0</v>
      </c>
      <c r="ER10" s="205">
        <f t="shared" si="82"/>
        <v>0</v>
      </c>
      <c r="ES10" s="144"/>
      <c r="ET10" s="199">
        <f t="shared" si="83"/>
        <v>0</v>
      </c>
      <c r="EU10" s="205">
        <f t="shared" si="84"/>
        <v>0</v>
      </c>
      <c r="EV10" s="144"/>
      <c r="EW10" s="199">
        <f t="shared" si="85"/>
        <v>0</v>
      </c>
      <c r="EX10" s="205">
        <f t="shared" si="86"/>
        <v>0</v>
      </c>
      <c r="EY10" s="144"/>
      <c r="EZ10" s="199">
        <f t="shared" si="87"/>
        <v>0</v>
      </c>
      <c r="FA10" s="205">
        <f t="shared" si="88"/>
        <v>0</v>
      </c>
      <c r="FB10" s="144"/>
      <c r="FC10" s="199">
        <f t="shared" si="89"/>
        <v>0</v>
      </c>
      <c r="FD10" s="205">
        <f t="shared" si="90"/>
        <v>0</v>
      </c>
      <c r="FE10" s="144"/>
      <c r="FF10" s="199">
        <f t="shared" si="91"/>
        <v>0</v>
      </c>
      <c r="FG10" s="205">
        <f t="shared" si="92"/>
        <v>0</v>
      </c>
      <c r="FH10" s="144"/>
      <c r="FI10" s="199">
        <f t="shared" si="93"/>
        <v>0</v>
      </c>
      <c r="FJ10" s="205">
        <f t="shared" si="94"/>
        <v>0</v>
      </c>
      <c r="FK10" s="144"/>
      <c r="FL10" s="199">
        <f t="shared" si="95"/>
        <v>0</v>
      </c>
      <c r="FM10" s="205">
        <f t="shared" si="96"/>
        <v>0</v>
      </c>
      <c r="FN10" s="144"/>
      <c r="FO10" s="199">
        <f t="shared" si="97"/>
        <v>0</v>
      </c>
      <c r="FP10" s="205">
        <f t="shared" si="98"/>
        <v>0</v>
      </c>
      <c r="FQ10" s="144"/>
      <c r="FR10" s="199">
        <f t="shared" si="31"/>
        <v>0</v>
      </c>
    </row>
    <row r="11" spans="1:174" ht="15" customHeight="1" x14ac:dyDescent="0.2">
      <c r="A11" s="142">
        <v>6</v>
      </c>
      <c r="B11" s="142">
        <f t="shared" si="32"/>
        <v>22840</v>
      </c>
      <c r="C11" s="143">
        <v>22840</v>
      </c>
      <c r="D11" s="137">
        <f t="shared" si="16"/>
        <v>0</v>
      </c>
      <c r="E11" s="192"/>
      <c r="F11" s="142">
        <v>6</v>
      </c>
      <c r="G11" s="142">
        <f t="shared" si="33"/>
        <v>39028</v>
      </c>
      <c r="H11" s="136">
        <v>39028</v>
      </c>
      <c r="I11" s="137">
        <f t="shared" si="17"/>
        <v>0</v>
      </c>
      <c r="J11" s="192"/>
      <c r="K11" s="142">
        <v>6</v>
      </c>
      <c r="L11" s="142">
        <f t="shared" si="34"/>
        <v>839152</v>
      </c>
      <c r="M11" s="143">
        <v>839361</v>
      </c>
      <c r="N11" s="137">
        <f t="shared" si="18"/>
        <v>209</v>
      </c>
      <c r="O11" s="139"/>
      <c r="P11" s="142">
        <v>6</v>
      </c>
      <c r="Q11" s="142">
        <f t="shared" si="35"/>
        <v>237800</v>
      </c>
      <c r="R11" s="143">
        <v>237894</v>
      </c>
      <c r="S11" s="137">
        <f t="shared" si="19"/>
        <v>94</v>
      </c>
      <c r="T11" s="138"/>
      <c r="U11" s="140">
        <v>6</v>
      </c>
      <c r="V11" s="207">
        <f t="shared" si="20"/>
        <v>303</v>
      </c>
      <c r="W11" s="141">
        <f>'Maldives at LG Daily'!I10</f>
        <v>13.6</v>
      </c>
      <c r="X11" s="144">
        <v>81</v>
      </c>
      <c r="Y11" s="323">
        <f t="shared" si="21"/>
        <v>3.7407407407407409</v>
      </c>
      <c r="AA11" s="201">
        <v>6</v>
      </c>
      <c r="AB11" s="144">
        <f t="shared" si="36"/>
        <v>46069</v>
      </c>
      <c r="AC11" s="144">
        <v>46083</v>
      </c>
      <c r="AD11" s="144">
        <f t="shared" si="22"/>
        <v>14</v>
      </c>
      <c r="AE11" s="144">
        <f t="shared" si="99"/>
        <v>0</v>
      </c>
      <c r="AF11" s="297"/>
      <c r="AG11" s="201">
        <f t="shared" si="37"/>
        <v>10230</v>
      </c>
      <c r="AH11" s="144">
        <v>10236</v>
      </c>
      <c r="AI11" s="144">
        <f t="shared" si="23"/>
        <v>6</v>
      </c>
      <c r="AJ11" s="144">
        <f t="shared" si="100"/>
        <v>0</v>
      </c>
      <c r="AK11" s="144"/>
      <c r="AL11" s="201">
        <f t="shared" si="38"/>
        <v>9317</v>
      </c>
      <c r="AM11" s="144">
        <v>9322</v>
      </c>
      <c r="AN11" s="144">
        <f t="shared" si="24"/>
        <v>5</v>
      </c>
      <c r="AO11" s="144">
        <f t="shared" si="39"/>
        <v>-3</v>
      </c>
      <c r="AP11" s="144"/>
      <c r="AQ11" s="201">
        <f t="shared" si="40"/>
        <v>18560</v>
      </c>
      <c r="AR11" s="144">
        <v>18569</v>
      </c>
      <c r="AS11" s="144">
        <f t="shared" si="25"/>
        <v>9</v>
      </c>
      <c r="AT11" s="144">
        <f t="shared" si="41"/>
        <v>4</v>
      </c>
      <c r="AU11" s="144"/>
      <c r="AV11" s="201">
        <f t="shared" si="42"/>
        <v>35020</v>
      </c>
      <c r="AW11" s="144">
        <v>35026</v>
      </c>
      <c r="AX11" s="144">
        <f t="shared" si="0"/>
        <v>6</v>
      </c>
      <c r="AY11" s="144">
        <f t="shared" si="43"/>
        <v>-2</v>
      </c>
      <c r="AZ11" s="144"/>
      <c r="BA11" s="201">
        <f t="shared" si="44"/>
        <v>8856</v>
      </c>
      <c r="BB11" s="144">
        <v>8862</v>
      </c>
      <c r="BC11" s="144">
        <f t="shared" si="1"/>
        <v>6</v>
      </c>
      <c r="BD11" s="144">
        <f t="shared" si="45"/>
        <v>0</v>
      </c>
      <c r="BE11" s="144"/>
      <c r="BF11" s="201">
        <f t="shared" si="46"/>
        <v>25565</v>
      </c>
      <c r="BG11" s="144">
        <v>25575</v>
      </c>
      <c r="BH11" s="144">
        <f t="shared" si="2"/>
        <v>10</v>
      </c>
      <c r="BI11" s="144">
        <f t="shared" si="47"/>
        <v>0</v>
      </c>
      <c r="BJ11" s="144"/>
      <c r="BK11" s="201">
        <f t="shared" si="48"/>
        <v>9583</v>
      </c>
      <c r="BL11" s="144">
        <v>9590</v>
      </c>
      <c r="BM11" s="144">
        <f t="shared" si="3"/>
        <v>7</v>
      </c>
      <c r="BN11" s="144">
        <f t="shared" si="49"/>
        <v>-1</v>
      </c>
      <c r="BO11" s="144"/>
      <c r="BP11" s="201">
        <f t="shared" si="50"/>
        <v>4074</v>
      </c>
      <c r="BQ11" s="144">
        <v>4075</v>
      </c>
      <c r="BR11" s="330">
        <f t="shared" si="4"/>
        <v>1</v>
      </c>
      <c r="BS11" s="144">
        <f t="shared" si="51"/>
        <v>0</v>
      </c>
      <c r="BT11" s="144"/>
      <c r="BU11" s="201">
        <f t="shared" si="52"/>
        <v>1847</v>
      </c>
      <c r="BV11" s="144">
        <v>1848</v>
      </c>
      <c r="BW11" s="144">
        <f t="shared" si="5"/>
        <v>1</v>
      </c>
      <c r="BX11" s="144">
        <f t="shared" si="53"/>
        <v>0</v>
      </c>
      <c r="BY11" s="144"/>
      <c r="BZ11" s="205">
        <f t="shared" si="54"/>
        <v>28869</v>
      </c>
      <c r="CA11" s="144">
        <v>28875</v>
      </c>
      <c r="CB11" s="330">
        <f t="shared" si="6"/>
        <v>6</v>
      </c>
      <c r="CC11" s="144">
        <f t="shared" si="55"/>
        <v>3</v>
      </c>
      <c r="CD11" s="199"/>
      <c r="CE11" s="205">
        <f t="shared" si="56"/>
        <v>3353</v>
      </c>
      <c r="CF11" s="144">
        <v>3356</v>
      </c>
      <c r="CG11" s="144">
        <f t="shared" si="7"/>
        <v>3</v>
      </c>
      <c r="CH11" s="144">
        <f t="shared" si="57"/>
        <v>2</v>
      </c>
      <c r="CI11" s="199"/>
      <c r="CJ11" s="205">
        <f t="shared" si="58"/>
        <v>83513</v>
      </c>
      <c r="CK11" s="144">
        <f>83513+30</f>
        <v>83543</v>
      </c>
      <c r="CL11" s="144">
        <f t="shared" si="8"/>
        <v>30</v>
      </c>
      <c r="CM11" s="144">
        <f t="shared" si="59"/>
        <v>10</v>
      </c>
      <c r="CN11" s="199"/>
      <c r="CO11" s="205">
        <f t="shared" si="60"/>
        <v>25567</v>
      </c>
      <c r="CP11" s="144">
        <v>25568</v>
      </c>
      <c r="CQ11" s="144">
        <f t="shared" si="9"/>
        <v>1</v>
      </c>
      <c r="CR11" s="144">
        <f t="shared" si="61"/>
        <v>-10</v>
      </c>
      <c r="CS11" s="199"/>
      <c r="CT11" s="205">
        <f t="shared" si="62"/>
        <v>12774</v>
      </c>
      <c r="CU11" s="144">
        <v>12775</v>
      </c>
      <c r="CV11" s="144">
        <f t="shared" si="10"/>
        <v>1</v>
      </c>
      <c r="CW11" s="144">
        <f t="shared" si="63"/>
        <v>1</v>
      </c>
      <c r="CX11" s="199"/>
      <c r="CY11" s="205">
        <f t="shared" si="64"/>
        <v>19565</v>
      </c>
      <c r="CZ11" s="144">
        <v>19565</v>
      </c>
      <c r="DA11" s="144">
        <f t="shared" si="11"/>
        <v>0</v>
      </c>
      <c r="DB11" s="144">
        <f t="shared" si="65"/>
        <v>-1</v>
      </c>
      <c r="DC11" s="199"/>
      <c r="DD11" s="205">
        <f t="shared" si="66"/>
        <v>20789</v>
      </c>
      <c r="DE11" s="144">
        <v>20791</v>
      </c>
      <c r="DF11" s="144">
        <f t="shared" si="12"/>
        <v>2</v>
      </c>
      <c r="DG11" s="144">
        <f t="shared" si="67"/>
        <v>0</v>
      </c>
      <c r="DH11" s="199"/>
      <c r="DI11" s="205">
        <f t="shared" si="68"/>
        <v>9708</v>
      </c>
      <c r="DJ11" s="144">
        <v>9711</v>
      </c>
      <c r="DK11" s="144">
        <f t="shared" si="13"/>
        <v>3</v>
      </c>
      <c r="DL11" s="144">
        <f t="shared" si="69"/>
        <v>1</v>
      </c>
      <c r="DM11" s="199"/>
      <c r="DN11" s="205">
        <f t="shared" si="70"/>
        <v>25566</v>
      </c>
      <c r="DO11" s="144">
        <v>25572</v>
      </c>
      <c r="DP11" s="144">
        <f t="shared" si="14"/>
        <v>6</v>
      </c>
      <c r="DQ11" s="144">
        <f t="shared" si="71"/>
        <v>-1</v>
      </c>
      <c r="DR11" s="199"/>
      <c r="DS11" s="205">
        <f t="shared" si="72"/>
        <v>2658</v>
      </c>
      <c r="DT11" s="144">
        <v>2660</v>
      </c>
      <c r="DU11" s="144">
        <f t="shared" si="15"/>
        <v>2</v>
      </c>
      <c r="DV11" s="144">
        <f t="shared" si="73"/>
        <v>2</v>
      </c>
      <c r="DW11" s="199"/>
      <c r="DX11" s="205">
        <f t="shared" si="74"/>
        <v>10547</v>
      </c>
      <c r="DY11" s="144">
        <v>10547</v>
      </c>
      <c r="DZ11" s="144">
        <f t="shared" si="75"/>
        <v>0</v>
      </c>
      <c r="EA11" s="144">
        <f t="shared" si="76"/>
        <v>0</v>
      </c>
      <c r="EB11" s="199"/>
      <c r="EC11" s="205">
        <f t="shared" si="77"/>
        <v>0</v>
      </c>
      <c r="ED11" s="144"/>
      <c r="EE11" s="199">
        <f t="shared" si="26"/>
        <v>0</v>
      </c>
      <c r="EF11" s="205">
        <f t="shared" si="78"/>
        <v>0</v>
      </c>
      <c r="EG11" s="144"/>
      <c r="EH11" s="199">
        <f t="shared" si="27"/>
        <v>0</v>
      </c>
      <c r="EI11" s="205">
        <f t="shared" si="79"/>
        <v>0</v>
      </c>
      <c r="EJ11" s="144"/>
      <c r="EK11" s="199">
        <f t="shared" si="28"/>
        <v>0</v>
      </c>
      <c r="EL11" s="205">
        <f t="shared" si="80"/>
        <v>0</v>
      </c>
      <c r="EM11" s="144"/>
      <c r="EN11" s="199">
        <f t="shared" si="29"/>
        <v>0</v>
      </c>
      <c r="EO11" s="205">
        <f t="shared" si="81"/>
        <v>0</v>
      </c>
      <c r="EP11" s="144"/>
      <c r="EQ11" s="199">
        <f t="shared" si="30"/>
        <v>0</v>
      </c>
      <c r="ER11" s="205">
        <f t="shared" si="82"/>
        <v>0</v>
      </c>
      <c r="ES11" s="144"/>
      <c r="ET11" s="199">
        <f t="shared" si="83"/>
        <v>0</v>
      </c>
      <c r="EU11" s="205">
        <f t="shared" si="84"/>
        <v>0</v>
      </c>
      <c r="EV11" s="144"/>
      <c r="EW11" s="199">
        <f t="shared" si="85"/>
        <v>0</v>
      </c>
      <c r="EX11" s="205">
        <f t="shared" si="86"/>
        <v>0</v>
      </c>
      <c r="EY11" s="144"/>
      <c r="EZ11" s="199">
        <f t="shared" si="87"/>
        <v>0</v>
      </c>
      <c r="FA11" s="205">
        <f t="shared" si="88"/>
        <v>0</v>
      </c>
      <c r="FB11" s="144"/>
      <c r="FC11" s="199">
        <f t="shared" si="89"/>
        <v>0</v>
      </c>
      <c r="FD11" s="205">
        <f t="shared" si="90"/>
        <v>0</v>
      </c>
      <c r="FE11" s="144"/>
      <c r="FF11" s="199">
        <f t="shared" si="91"/>
        <v>0</v>
      </c>
      <c r="FG11" s="205">
        <f t="shared" si="92"/>
        <v>0</v>
      </c>
      <c r="FH11" s="144"/>
      <c r="FI11" s="199">
        <f t="shared" si="93"/>
        <v>0</v>
      </c>
      <c r="FJ11" s="205">
        <f t="shared" si="94"/>
        <v>0</v>
      </c>
      <c r="FK11" s="144"/>
      <c r="FL11" s="199">
        <f t="shared" si="95"/>
        <v>0</v>
      </c>
      <c r="FM11" s="205">
        <f t="shared" si="96"/>
        <v>0</v>
      </c>
      <c r="FN11" s="144"/>
      <c r="FO11" s="199">
        <f t="shared" si="97"/>
        <v>0</v>
      </c>
      <c r="FP11" s="205">
        <f t="shared" si="98"/>
        <v>0</v>
      </c>
      <c r="FQ11" s="144"/>
      <c r="FR11" s="199">
        <f t="shared" si="31"/>
        <v>0</v>
      </c>
    </row>
    <row r="12" spans="1:174" ht="15" customHeight="1" x14ac:dyDescent="0.2">
      <c r="A12" s="142">
        <v>7</v>
      </c>
      <c r="B12" s="142">
        <f t="shared" si="32"/>
        <v>22840</v>
      </c>
      <c r="C12" s="143">
        <v>22840</v>
      </c>
      <c r="D12" s="137">
        <f t="shared" si="16"/>
        <v>0</v>
      </c>
      <c r="E12" s="192"/>
      <c r="F12" s="142">
        <v>7</v>
      </c>
      <c r="G12" s="142">
        <f t="shared" si="33"/>
        <v>39028</v>
      </c>
      <c r="H12" s="136">
        <v>39028</v>
      </c>
      <c r="I12" s="137">
        <f t="shared" si="17"/>
        <v>0</v>
      </c>
      <c r="J12" s="192"/>
      <c r="K12" s="142">
        <v>7</v>
      </c>
      <c r="L12" s="142">
        <f t="shared" si="34"/>
        <v>839361</v>
      </c>
      <c r="M12" s="143">
        <v>839562</v>
      </c>
      <c r="N12" s="137">
        <f t="shared" si="18"/>
        <v>201</v>
      </c>
      <c r="O12" s="139"/>
      <c r="P12" s="142">
        <v>7</v>
      </c>
      <c r="Q12" s="142">
        <f t="shared" si="35"/>
        <v>237894</v>
      </c>
      <c r="R12" s="143">
        <v>237976</v>
      </c>
      <c r="S12" s="137">
        <f>MAX(0,R12-Q12)</f>
        <v>82</v>
      </c>
      <c r="T12" s="138"/>
      <c r="U12" s="140">
        <v>7</v>
      </c>
      <c r="V12" s="207">
        <f>SUM(S12+N12+I12+D12)</f>
        <v>283</v>
      </c>
      <c r="W12" s="141">
        <f>'Maldives at LG Daily'!I11</f>
        <v>13.6</v>
      </c>
      <c r="X12" s="144">
        <v>80</v>
      </c>
      <c r="Y12" s="323">
        <f t="shared" si="21"/>
        <v>3.5375000000000001</v>
      </c>
      <c r="AA12" s="201">
        <v>7</v>
      </c>
      <c r="AB12" s="144">
        <f t="shared" si="36"/>
        <v>46083</v>
      </c>
      <c r="AC12" s="144">
        <v>46100</v>
      </c>
      <c r="AD12" s="144">
        <f t="shared" si="22"/>
        <v>17</v>
      </c>
      <c r="AE12" s="144">
        <f t="shared" si="99"/>
        <v>3</v>
      </c>
      <c r="AF12" s="297"/>
      <c r="AG12" s="201">
        <f t="shared" si="37"/>
        <v>10236</v>
      </c>
      <c r="AH12" s="144">
        <v>10241</v>
      </c>
      <c r="AI12" s="144">
        <f t="shared" si="23"/>
        <v>5</v>
      </c>
      <c r="AJ12" s="144">
        <f t="shared" si="100"/>
        <v>-1</v>
      </c>
      <c r="AK12" s="144"/>
      <c r="AL12" s="201">
        <f t="shared" si="38"/>
        <v>9322</v>
      </c>
      <c r="AM12" s="144">
        <v>9333</v>
      </c>
      <c r="AN12" s="144">
        <f t="shared" si="24"/>
        <v>11</v>
      </c>
      <c r="AO12" s="144">
        <f t="shared" si="39"/>
        <v>6</v>
      </c>
      <c r="AP12" s="144"/>
      <c r="AQ12" s="201">
        <f t="shared" si="40"/>
        <v>18569</v>
      </c>
      <c r="AR12" s="144">
        <v>18575</v>
      </c>
      <c r="AS12" s="144">
        <f t="shared" si="25"/>
        <v>6</v>
      </c>
      <c r="AT12" s="144">
        <f t="shared" si="41"/>
        <v>-3</v>
      </c>
      <c r="AU12" s="144"/>
      <c r="AV12" s="201">
        <f t="shared" si="42"/>
        <v>35026</v>
      </c>
      <c r="AW12" s="144">
        <v>35033</v>
      </c>
      <c r="AX12" s="144">
        <f t="shared" si="0"/>
        <v>7</v>
      </c>
      <c r="AY12" s="144">
        <f t="shared" si="43"/>
        <v>1</v>
      </c>
      <c r="AZ12" s="144"/>
      <c r="BA12" s="201">
        <f t="shared" si="44"/>
        <v>8862</v>
      </c>
      <c r="BB12" s="144">
        <v>8868</v>
      </c>
      <c r="BC12" s="144">
        <f t="shared" si="1"/>
        <v>6</v>
      </c>
      <c r="BD12" s="144">
        <f t="shared" si="45"/>
        <v>0</v>
      </c>
      <c r="BE12" s="144"/>
      <c r="BF12" s="201">
        <f t="shared" si="46"/>
        <v>25575</v>
      </c>
      <c r="BG12" s="144">
        <v>25585</v>
      </c>
      <c r="BH12" s="144">
        <f t="shared" si="2"/>
        <v>10</v>
      </c>
      <c r="BI12" s="144">
        <f t="shared" si="47"/>
        <v>0</v>
      </c>
      <c r="BJ12" s="144"/>
      <c r="BK12" s="201">
        <f t="shared" si="48"/>
        <v>9590</v>
      </c>
      <c r="BL12" s="144">
        <v>9598</v>
      </c>
      <c r="BM12" s="144">
        <f t="shared" si="3"/>
        <v>8</v>
      </c>
      <c r="BN12" s="144">
        <f t="shared" si="49"/>
        <v>1</v>
      </c>
      <c r="BO12" s="144"/>
      <c r="BP12" s="201">
        <f t="shared" si="50"/>
        <v>4075</v>
      </c>
      <c r="BQ12" s="144">
        <v>4076</v>
      </c>
      <c r="BR12" s="330">
        <f t="shared" si="4"/>
        <v>1</v>
      </c>
      <c r="BS12" s="144">
        <f t="shared" si="51"/>
        <v>0</v>
      </c>
      <c r="BT12" s="144"/>
      <c r="BU12" s="201">
        <f t="shared" si="52"/>
        <v>1848</v>
      </c>
      <c r="BV12" s="144">
        <v>1849</v>
      </c>
      <c r="BW12" s="144">
        <f t="shared" si="5"/>
        <v>1</v>
      </c>
      <c r="BX12" s="144">
        <f t="shared" si="53"/>
        <v>0</v>
      </c>
      <c r="BY12" s="144"/>
      <c r="BZ12" s="205">
        <f t="shared" si="54"/>
        <v>28875</v>
      </c>
      <c r="CA12" s="144">
        <v>28879</v>
      </c>
      <c r="CB12" s="330">
        <f t="shared" si="6"/>
        <v>4</v>
      </c>
      <c r="CC12" s="144">
        <f t="shared" si="55"/>
        <v>-2</v>
      </c>
      <c r="CD12" s="199"/>
      <c r="CE12" s="205">
        <f t="shared" si="56"/>
        <v>3356</v>
      </c>
      <c r="CF12" s="144">
        <v>3359</v>
      </c>
      <c r="CG12" s="144">
        <f t="shared" si="7"/>
        <v>3</v>
      </c>
      <c r="CH12" s="144">
        <f t="shared" si="57"/>
        <v>0</v>
      </c>
      <c r="CI12" s="199"/>
      <c r="CJ12" s="205">
        <f t="shared" si="58"/>
        <v>83543</v>
      </c>
      <c r="CK12" s="144">
        <v>83564</v>
      </c>
      <c r="CL12" s="144">
        <f t="shared" si="8"/>
        <v>21</v>
      </c>
      <c r="CM12" s="144">
        <f t="shared" si="59"/>
        <v>-9</v>
      </c>
      <c r="CN12" s="199"/>
      <c r="CO12" s="205">
        <f t="shared" si="60"/>
        <v>25568</v>
      </c>
      <c r="CP12" s="144">
        <v>25573</v>
      </c>
      <c r="CQ12" s="144">
        <f t="shared" si="9"/>
        <v>5</v>
      </c>
      <c r="CR12" s="144">
        <f t="shared" si="61"/>
        <v>4</v>
      </c>
      <c r="CS12" s="199"/>
      <c r="CT12" s="205">
        <f t="shared" si="62"/>
        <v>12775</v>
      </c>
      <c r="CU12" s="144">
        <v>12777</v>
      </c>
      <c r="CV12" s="144">
        <f t="shared" si="10"/>
        <v>2</v>
      </c>
      <c r="CW12" s="144">
        <f t="shared" si="63"/>
        <v>1</v>
      </c>
      <c r="CX12" s="199"/>
      <c r="CY12" s="205">
        <f t="shared" si="64"/>
        <v>19565</v>
      </c>
      <c r="CZ12" s="144">
        <v>19565</v>
      </c>
      <c r="DA12" s="144">
        <f t="shared" si="11"/>
        <v>0</v>
      </c>
      <c r="DB12" s="144">
        <f t="shared" si="65"/>
        <v>0</v>
      </c>
      <c r="DC12" s="199"/>
      <c r="DD12" s="205">
        <f t="shared" si="66"/>
        <v>20791</v>
      </c>
      <c r="DE12" s="144">
        <v>20793</v>
      </c>
      <c r="DF12" s="144">
        <f t="shared" si="12"/>
        <v>2</v>
      </c>
      <c r="DG12" s="144">
        <f t="shared" si="67"/>
        <v>0</v>
      </c>
      <c r="DH12" s="199"/>
      <c r="DI12" s="205">
        <f t="shared" si="68"/>
        <v>9711</v>
      </c>
      <c r="DJ12" s="144">
        <v>9713</v>
      </c>
      <c r="DK12" s="144">
        <f t="shared" si="13"/>
        <v>2</v>
      </c>
      <c r="DL12" s="144"/>
      <c r="DM12" s="199"/>
      <c r="DN12" s="205">
        <f t="shared" si="70"/>
        <v>25572</v>
      </c>
      <c r="DO12" s="144">
        <v>25570</v>
      </c>
      <c r="DP12" s="144">
        <f t="shared" si="14"/>
        <v>-2</v>
      </c>
      <c r="DQ12" s="144">
        <f t="shared" si="71"/>
        <v>-8</v>
      </c>
      <c r="DR12" s="199"/>
      <c r="DS12" s="205">
        <f t="shared" si="72"/>
        <v>2660</v>
      </c>
      <c r="DT12" s="144">
        <v>2661</v>
      </c>
      <c r="DU12" s="144">
        <f t="shared" si="15"/>
        <v>1</v>
      </c>
      <c r="DV12" s="144">
        <f t="shared" si="73"/>
        <v>-1</v>
      </c>
      <c r="DW12" s="199"/>
      <c r="DX12" s="205">
        <f t="shared" si="74"/>
        <v>10547</v>
      </c>
      <c r="DY12" s="144">
        <v>10547</v>
      </c>
      <c r="DZ12" s="144">
        <f t="shared" si="75"/>
        <v>0</v>
      </c>
      <c r="EA12" s="144">
        <f t="shared" si="76"/>
        <v>0</v>
      </c>
      <c r="EB12" s="199"/>
      <c r="EC12" s="205">
        <f t="shared" si="77"/>
        <v>0</v>
      </c>
      <c r="ED12" s="144"/>
      <c r="EE12" s="199">
        <f t="shared" si="26"/>
        <v>0</v>
      </c>
      <c r="EF12" s="205">
        <f t="shared" si="78"/>
        <v>0</v>
      </c>
      <c r="EG12" s="144"/>
      <c r="EH12" s="199">
        <f t="shared" si="27"/>
        <v>0</v>
      </c>
      <c r="EI12" s="205">
        <f t="shared" si="79"/>
        <v>0</v>
      </c>
      <c r="EJ12" s="144"/>
      <c r="EK12" s="199">
        <f t="shared" si="28"/>
        <v>0</v>
      </c>
      <c r="EL12" s="205">
        <f t="shared" si="80"/>
        <v>0</v>
      </c>
      <c r="EM12" s="144"/>
      <c r="EN12" s="199">
        <f t="shared" si="29"/>
        <v>0</v>
      </c>
      <c r="EO12" s="205">
        <f t="shared" si="81"/>
        <v>0</v>
      </c>
      <c r="EP12" s="144"/>
      <c r="EQ12" s="199">
        <f t="shared" si="30"/>
        <v>0</v>
      </c>
      <c r="ER12" s="205">
        <f t="shared" si="82"/>
        <v>0</v>
      </c>
      <c r="ES12" s="144"/>
      <c r="ET12" s="199">
        <f t="shared" si="83"/>
        <v>0</v>
      </c>
      <c r="EU12" s="205">
        <f t="shared" si="84"/>
        <v>0</v>
      </c>
      <c r="EV12" s="144"/>
      <c r="EW12" s="199">
        <f t="shared" si="85"/>
        <v>0</v>
      </c>
      <c r="EX12" s="205">
        <f t="shared" si="86"/>
        <v>0</v>
      </c>
      <c r="EY12" s="144"/>
      <c r="EZ12" s="199">
        <f t="shared" si="87"/>
        <v>0</v>
      </c>
      <c r="FA12" s="205">
        <f t="shared" si="88"/>
        <v>0</v>
      </c>
      <c r="FB12" s="144"/>
      <c r="FC12" s="199">
        <f t="shared" si="89"/>
        <v>0</v>
      </c>
      <c r="FD12" s="205">
        <f t="shared" si="90"/>
        <v>0</v>
      </c>
      <c r="FE12" s="144"/>
      <c r="FF12" s="199">
        <f t="shared" si="91"/>
        <v>0</v>
      </c>
      <c r="FG12" s="205">
        <f t="shared" si="92"/>
        <v>0</v>
      </c>
      <c r="FH12" s="144"/>
      <c r="FI12" s="199">
        <f t="shared" si="93"/>
        <v>0</v>
      </c>
      <c r="FJ12" s="205">
        <f t="shared" si="94"/>
        <v>0</v>
      </c>
      <c r="FK12" s="144"/>
      <c r="FL12" s="199">
        <f t="shared" si="95"/>
        <v>0</v>
      </c>
      <c r="FM12" s="205">
        <f t="shared" si="96"/>
        <v>0</v>
      </c>
      <c r="FN12" s="144"/>
      <c r="FO12" s="199">
        <f t="shared" si="97"/>
        <v>0</v>
      </c>
      <c r="FP12" s="205">
        <f t="shared" si="98"/>
        <v>0</v>
      </c>
      <c r="FQ12" s="144"/>
      <c r="FR12" s="199">
        <f t="shared" si="31"/>
        <v>0</v>
      </c>
    </row>
    <row r="13" spans="1:174" ht="15" customHeight="1" x14ac:dyDescent="0.2">
      <c r="A13" s="142">
        <v>8</v>
      </c>
      <c r="B13" s="142">
        <f t="shared" si="32"/>
        <v>22840</v>
      </c>
      <c r="C13" s="143">
        <v>22840</v>
      </c>
      <c r="D13" s="137">
        <f t="shared" si="16"/>
        <v>0</v>
      </c>
      <c r="E13" s="192"/>
      <c r="F13" s="142">
        <v>8</v>
      </c>
      <c r="G13" s="142">
        <f t="shared" si="33"/>
        <v>39028</v>
      </c>
      <c r="H13" s="136">
        <v>39028</v>
      </c>
      <c r="I13" s="137">
        <f t="shared" si="17"/>
        <v>0</v>
      </c>
      <c r="J13" s="192"/>
      <c r="K13" s="142">
        <v>8</v>
      </c>
      <c r="L13" s="142">
        <f t="shared" si="34"/>
        <v>839562</v>
      </c>
      <c r="M13" s="143">
        <v>839726</v>
      </c>
      <c r="N13" s="137">
        <f t="shared" si="18"/>
        <v>164</v>
      </c>
      <c r="O13" s="139"/>
      <c r="P13" s="142">
        <v>8</v>
      </c>
      <c r="Q13" s="142">
        <f t="shared" si="35"/>
        <v>237976</v>
      </c>
      <c r="R13" s="143">
        <v>238100</v>
      </c>
      <c r="S13" s="137">
        <f t="shared" si="19"/>
        <v>124</v>
      </c>
      <c r="T13" s="138"/>
      <c r="U13" s="142">
        <v>8</v>
      </c>
      <c r="V13" s="207">
        <f t="shared" si="20"/>
        <v>288</v>
      </c>
      <c r="W13" s="141">
        <f>'Maldives at LG Daily'!I12</f>
        <v>15</v>
      </c>
      <c r="X13" s="144">
        <v>46</v>
      </c>
      <c r="Y13" s="323">
        <f t="shared" si="21"/>
        <v>6.2608695652173916</v>
      </c>
      <c r="AA13" s="201">
        <v>8</v>
      </c>
      <c r="AB13" s="144">
        <f t="shared" si="36"/>
        <v>46100</v>
      </c>
      <c r="AC13" s="144">
        <v>46115</v>
      </c>
      <c r="AD13" s="144">
        <f>AC13-AB13</f>
        <v>15</v>
      </c>
      <c r="AE13" s="144">
        <f t="shared" si="99"/>
        <v>-2</v>
      </c>
      <c r="AF13" s="297"/>
      <c r="AG13" s="201">
        <f t="shared" si="37"/>
        <v>10241</v>
      </c>
      <c r="AH13" s="144">
        <v>10246</v>
      </c>
      <c r="AI13" s="144">
        <f>AH13-AG13</f>
        <v>5</v>
      </c>
      <c r="AJ13" s="144">
        <f t="shared" si="100"/>
        <v>0</v>
      </c>
      <c r="AK13" s="144"/>
      <c r="AL13" s="201">
        <f t="shared" si="38"/>
        <v>9333</v>
      </c>
      <c r="AM13" s="144">
        <v>9341</v>
      </c>
      <c r="AN13" s="144">
        <f t="shared" si="24"/>
        <v>8</v>
      </c>
      <c r="AO13" s="144">
        <f t="shared" si="39"/>
        <v>-3</v>
      </c>
      <c r="AP13" s="144"/>
      <c r="AQ13" s="201">
        <f t="shared" si="40"/>
        <v>18575</v>
      </c>
      <c r="AR13" s="144">
        <v>18590</v>
      </c>
      <c r="AS13" s="144">
        <f t="shared" si="25"/>
        <v>15</v>
      </c>
      <c r="AT13" s="144">
        <f t="shared" si="41"/>
        <v>9</v>
      </c>
      <c r="AU13" s="144"/>
      <c r="AV13" s="201">
        <f t="shared" si="42"/>
        <v>35033</v>
      </c>
      <c r="AW13" s="144">
        <v>35040</v>
      </c>
      <c r="AX13" s="144">
        <f t="shared" si="0"/>
        <v>7</v>
      </c>
      <c r="AY13" s="144">
        <f t="shared" si="43"/>
        <v>0</v>
      </c>
      <c r="AZ13" s="144"/>
      <c r="BA13" s="201">
        <f t="shared" si="44"/>
        <v>8868</v>
      </c>
      <c r="BB13" s="144">
        <v>8875</v>
      </c>
      <c r="BC13" s="144">
        <f t="shared" si="1"/>
        <v>7</v>
      </c>
      <c r="BD13" s="144">
        <f t="shared" si="45"/>
        <v>1</v>
      </c>
      <c r="BE13" s="144"/>
      <c r="BF13" s="201">
        <f t="shared" si="46"/>
        <v>25585</v>
      </c>
      <c r="BG13" s="144">
        <v>25585</v>
      </c>
      <c r="BH13" s="144">
        <f t="shared" si="2"/>
        <v>0</v>
      </c>
      <c r="BI13" s="144">
        <f t="shared" si="47"/>
        <v>-10</v>
      </c>
      <c r="BJ13" s="144"/>
      <c r="BK13" s="201">
        <f t="shared" si="48"/>
        <v>9598</v>
      </c>
      <c r="BL13" s="144">
        <v>9613</v>
      </c>
      <c r="BM13" s="144">
        <f t="shared" si="3"/>
        <v>15</v>
      </c>
      <c r="BN13" s="144">
        <f t="shared" si="49"/>
        <v>7</v>
      </c>
      <c r="BO13" s="144"/>
      <c r="BP13" s="201">
        <f t="shared" si="50"/>
        <v>4076</v>
      </c>
      <c r="BQ13" s="144">
        <v>4080</v>
      </c>
      <c r="BR13" s="330">
        <f t="shared" si="4"/>
        <v>4</v>
      </c>
      <c r="BS13" s="144">
        <f t="shared" si="51"/>
        <v>3</v>
      </c>
      <c r="BT13" s="144"/>
      <c r="BU13" s="201">
        <f t="shared" si="52"/>
        <v>1849</v>
      </c>
      <c r="BV13" s="144">
        <v>1849</v>
      </c>
      <c r="BW13" s="144">
        <f t="shared" si="5"/>
        <v>0</v>
      </c>
      <c r="BX13" s="144">
        <f t="shared" si="53"/>
        <v>-1</v>
      </c>
      <c r="BY13" s="144"/>
      <c r="BZ13" s="205">
        <f t="shared" si="54"/>
        <v>28879</v>
      </c>
      <c r="CA13" s="144">
        <v>28891</v>
      </c>
      <c r="CB13" s="330">
        <f t="shared" si="6"/>
        <v>12</v>
      </c>
      <c r="CC13" s="144">
        <f t="shared" si="55"/>
        <v>8</v>
      </c>
      <c r="CD13" s="199"/>
      <c r="CE13" s="205">
        <f t="shared" si="56"/>
        <v>3359</v>
      </c>
      <c r="CF13" s="144">
        <v>3364</v>
      </c>
      <c r="CG13" s="144">
        <f t="shared" si="7"/>
        <v>5</v>
      </c>
      <c r="CH13" s="144">
        <f t="shared" si="57"/>
        <v>2</v>
      </c>
      <c r="CI13" s="199"/>
      <c r="CJ13" s="205">
        <f t="shared" si="58"/>
        <v>83564</v>
      </c>
      <c r="CK13" s="144">
        <v>83593</v>
      </c>
      <c r="CL13" s="144">
        <f t="shared" si="8"/>
        <v>29</v>
      </c>
      <c r="CM13" s="144">
        <f t="shared" si="59"/>
        <v>8</v>
      </c>
      <c r="CN13" s="199"/>
      <c r="CO13" s="205">
        <f t="shared" si="60"/>
        <v>25573</v>
      </c>
      <c r="CP13" s="144">
        <v>25580</v>
      </c>
      <c r="CQ13" s="144">
        <f t="shared" si="9"/>
        <v>7</v>
      </c>
      <c r="CR13" s="144">
        <f t="shared" si="61"/>
        <v>2</v>
      </c>
      <c r="CS13" s="199"/>
      <c r="CT13" s="205">
        <f t="shared" si="62"/>
        <v>12777</v>
      </c>
      <c r="CU13" s="144">
        <v>12777</v>
      </c>
      <c r="CV13" s="144">
        <f t="shared" si="10"/>
        <v>0</v>
      </c>
      <c r="CW13" s="144">
        <f t="shared" si="63"/>
        <v>-2</v>
      </c>
      <c r="CX13" s="199"/>
      <c r="CY13" s="205">
        <f t="shared" si="64"/>
        <v>19565</v>
      </c>
      <c r="CZ13" s="144">
        <v>19566</v>
      </c>
      <c r="DA13" s="144">
        <f t="shared" si="11"/>
        <v>1</v>
      </c>
      <c r="DB13" s="144">
        <f t="shared" si="65"/>
        <v>1</v>
      </c>
      <c r="DC13" s="199"/>
      <c r="DD13" s="205">
        <f t="shared" si="66"/>
        <v>20793</v>
      </c>
      <c r="DE13" s="144">
        <v>20798</v>
      </c>
      <c r="DF13" s="144">
        <f t="shared" si="12"/>
        <v>5</v>
      </c>
      <c r="DG13" s="144">
        <f t="shared" si="67"/>
        <v>3</v>
      </c>
      <c r="DH13" s="199"/>
      <c r="DI13" s="205">
        <f t="shared" si="68"/>
        <v>9713</v>
      </c>
      <c r="DJ13" s="144">
        <v>9715</v>
      </c>
      <c r="DK13" s="144">
        <f t="shared" si="13"/>
        <v>2</v>
      </c>
      <c r="DL13" s="144">
        <f t="shared" si="69"/>
        <v>0</v>
      </c>
      <c r="DM13" s="199"/>
      <c r="DN13" s="205">
        <f t="shared" si="70"/>
        <v>25570</v>
      </c>
      <c r="DO13" s="144">
        <v>25586</v>
      </c>
      <c r="DP13" s="144">
        <f t="shared" si="14"/>
        <v>16</v>
      </c>
      <c r="DQ13" s="144">
        <f t="shared" si="71"/>
        <v>18</v>
      </c>
      <c r="DR13" s="199"/>
      <c r="DS13" s="205">
        <f t="shared" si="72"/>
        <v>2661</v>
      </c>
      <c r="DT13" s="144">
        <v>2662</v>
      </c>
      <c r="DU13" s="144">
        <f t="shared" si="15"/>
        <v>1</v>
      </c>
      <c r="DV13" s="144">
        <f t="shared" si="73"/>
        <v>0</v>
      </c>
      <c r="DW13" s="199"/>
      <c r="DX13" s="205">
        <f t="shared" si="74"/>
        <v>10547</v>
      </c>
      <c r="DY13" s="144">
        <v>10547</v>
      </c>
      <c r="DZ13" s="144">
        <f t="shared" si="75"/>
        <v>0</v>
      </c>
      <c r="EA13" s="144">
        <f t="shared" si="76"/>
        <v>0</v>
      </c>
      <c r="EB13" s="199"/>
      <c r="EC13" s="205">
        <f t="shared" si="77"/>
        <v>0</v>
      </c>
      <c r="ED13" s="144"/>
      <c r="EE13" s="199">
        <f t="shared" si="26"/>
        <v>0</v>
      </c>
      <c r="EF13" s="205">
        <f t="shared" si="78"/>
        <v>0</v>
      </c>
      <c r="EG13" s="144"/>
      <c r="EH13" s="199">
        <f t="shared" si="27"/>
        <v>0</v>
      </c>
      <c r="EI13" s="205">
        <f t="shared" si="79"/>
        <v>0</v>
      </c>
      <c r="EJ13" s="144"/>
      <c r="EK13" s="199">
        <f t="shared" si="28"/>
        <v>0</v>
      </c>
      <c r="EL13" s="205">
        <f t="shared" si="80"/>
        <v>0</v>
      </c>
      <c r="EM13" s="144"/>
      <c r="EN13" s="199">
        <f t="shared" si="29"/>
        <v>0</v>
      </c>
      <c r="EO13" s="205">
        <f t="shared" si="81"/>
        <v>0</v>
      </c>
      <c r="EP13" s="144"/>
      <c r="EQ13" s="199">
        <f t="shared" si="30"/>
        <v>0</v>
      </c>
      <c r="ER13" s="205">
        <f t="shared" si="82"/>
        <v>0</v>
      </c>
      <c r="ES13" s="144"/>
      <c r="ET13" s="199">
        <f t="shared" si="83"/>
        <v>0</v>
      </c>
      <c r="EU13" s="205">
        <f t="shared" si="84"/>
        <v>0</v>
      </c>
      <c r="EV13" s="144"/>
      <c r="EW13" s="199">
        <f t="shared" si="85"/>
        <v>0</v>
      </c>
      <c r="EX13" s="205">
        <f t="shared" si="86"/>
        <v>0</v>
      </c>
      <c r="EY13" s="144"/>
      <c r="EZ13" s="199">
        <f t="shared" si="87"/>
        <v>0</v>
      </c>
      <c r="FA13" s="205">
        <f t="shared" si="88"/>
        <v>0</v>
      </c>
      <c r="FB13" s="144"/>
      <c r="FC13" s="199">
        <f t="shared" si="89"/>
        <v>0</v>
      </c>
      <c r="FD13" s="205">
        <f t="shared" si="90"/>
        <v>0</v>
      </c>
      <c r="FE13" s="144"/>
      <c r="FF13" s="199">
        <f t="shared" si="91"/>
        <v>0</v>
      </c>
      <c r="FG13" s="205">
        <f t="shared" si="92"/>
        <v>0</v>
      </c>
      <c r="FH13" s="144"/>
      <c r="FI13" s="199">
        <f t="shared" si="93"/>
        <v>0</v>
      </c>
      <c r="FJ13" s="205">
        <f t="shared" si="94"/>
        <v>0</v>
      </c>
      <c r="FK13" s="144"/>
      <c r="FL13" s="199">
        <f t="shared" si="95"/>
        <v>0</v>
      </c>
      <c r="FM13" s="205">
        <f t="shared" si="96"/>
        <v>0</v>
      </c>
      <c r="FN13" s="144"/>
      <c r="FO13" s="199">
        <f t="shared" si="97"/>
        <v>0</v>
      </c>
      <c r="FP13" s="205">
        <f t="shared" si="98"/>
        <v>0</v>
      </c>
      <c r="FQ13" s="144"/>
      <c r="FR13" s="199">
        <f t="shared" si="31"/>
        <v>0</v>
      </c>
    </row>
    <row r="14" spans="1:174" ht="15" customHeight="1" x14ac:dyDescent="0.2">
      <c r="A14" s="142">
        <v>9</v>
      </c>
      <c r="B14" s="142">
        <f t="shared" si="32"/>
        <v>22840</v>
      </c>
      <c r="C14" s="143">
        <v>22849</v>
      </c>
      <c r="D14" s="137">
        <f t="shared" si="16"/>
        <v>9</v>
      </c>
      <c r="E14" s="192"/>
      <c r="F14" s="142">
        <v>9</v>
      </c>
      <c r="G14" s="142">
        <f t="shared" si="33"/>
        <v>39028</v>
      </c>
      <c r="H14" s="136">
        <v>39028</v>
      </c>
      <c r="I14" s="137">
        <f t="shared" si="17"/>
        <v>0</v>
      </c>
      <c r="J14" s="192"/>
      <c r="K14" s="142">
        <v>9</v>
      </c>
      <c r="L14" s="142">
        <f t="shared" si="34"/>
        <v>839726</v>
      </c>
      <c r="M14" s="143">
        <v>839914</v>
      </c>
      <c r="N14" s="137">
        <f t="shared" si="18"/>
        <v>188</v>
      </c>
      <c r="O14" s="139"/>
      <c r="P14" s="142">
        <v>9</v>
      </c>
      <c r="Q14" s="142">
        <f t="shared" si="35"/>
        <v>238100</v>
      </c>
      <c r="R14" s="143">
        <v>238332</v>
      </c>
      <c r="S14" s="137">
        <f t="shared" si="19"/>
        <v>232</v>
      </c>
      <c r="T14" s="138"/>
      <c r="U14" s="140">
        <v>9</v>
      </c>
      <c r="V14" s="207">
        <f t="shared" si="20"/>
        <v>429</v>
      </c>
      <c r="W14" s="141">
        <f>'Maldives at LG Daily'!I13</f>
        <v>12</v>
      </c>
      <c r="X14" s="144">
        <v>36</v>
      </c>
      <c r="Y14" s="323">
        <f t="shared" si="21"/>
        <v>11.916666666666666</v>
      </c>
      <c r="AA14" s="201">
        <v>9</v>
      </c>
      <c r="AB14" s="144">
        <f t="shared" si="36"/>
        <v>46115</v>
      </c>
      <c r="AC14" s="144">
        <v>46126</v>
      </c>
      <c r="AD14" s="144">
        <f t="shared" si="22"/>
        <v>11</v>
      </c>
      <c r="AE14" s="144">
        <f t="shared" si="99"/>
        <v>-4</v>
      </c>
      <c r="AF14" s="297"/>
      <c r="AG14" s="201">
        <f t="shared" si="37"/>
        <v>10246</v>
      </c>
      <c r="AH14" s="144">
        <v>10251</v>
      </c>
      <c r="AI14" s="144">
        <f t="shared" si="23"/>
        <v>5</v>
      </c>
      <c r="AJ14" s="144">
        <f t="shared" si="100"/>
        <v>0</v>
      </c>
      <c r="AK14" s="144"/>
      <c r="AL14" s="201">
        <f t="shared" si="38"/>
        <v>9341</v>
      </c>
      <c r="AM14" s="144">
        <v>9349</v>
      </c>
      <c r="AN14" s="144">
        <f t="shared" si="24"/>
        <v>8</v>
      </c>
      <c r="AO14" s="144">
        <f t="shared" si="39"/>
        <v>0</v>
      </c>
      <c r="AP14" s="144"/>
      <c r="AQ14" s="201">
        <f t="shared" si="40"/>
        <v>18590</v>
      </c>
      <c r="AR14" s="144">
        <v>18635</v>
      </c>
      <c r="AS14" s="144">
        <f t="shared" si="25"/>
        <v>45</v>
      </c>
      <c r="AT14" s="144">
        <f t="shared" si="41"/>
        <v>30</v>
      </c>
      <c r="AU14" s="144"/>
      <c r="AV14" s="201">
        <f t="shared" si="42"/>
        <v>35040</v>
      </c>
      <c r="AW14" s="144">
        <v>35047</v>
      </c>
      <c r="AX14" s="144">
        <f t="shared" si="0"/>
        <v>7</v>
      </c>
      <c r="AY14" s="144">
        <f t="shared" si="43"/>
        <v>0</v>
      </c>
      <c r="AZ14" s="144"/>
      <c r="BA14" s="201">
        <f t="shared" si="44"/>
        <v>8875</v>
      </c>
      <c r="BB14" s="144">
        <v>8881</v>
      </c>
      <c r="BC14" s="144">
        <f t="shared" si="1"/>
        <v>6</v>
      </c>
      <c r="BD14" s="144">
        <f t="shared" si="45"/>
        <v>-1</v>
      </c>
      <c r="BE14" s="144"/>
      <c r="BF14" s="201">
        <f t="shared" si="46"/>
        <v>25585</v>
      </c>
      <c r="BG14" s="144">
        <v>25585</v>
      </c>
      <c r="BH14" s="144">
        <f t="shared" si="2"/>
        <v>0</v>
      </c>
      <c r="BI14" s="144">
        <f t="shared" si="47"/>
        <v>0</v>
      </c>
      <c r="BJ14" s="144"/>
      <c r="BK14" s="201">
        <f t="shared" si="48"/>
        <v>9613</v>
      </c>
      <c r="BL14" s="144">
        <v>9613</v>
      </c>
      <c r="BM14" s="144">
        <f>BL14-BK14</f>
        <v>0</v>
      </c>
      <c r="BN14" s="144">
        <f t="shared" si="49"/>
        <v>-15</v>
      </c>
      <c r="BO14" s="144"/>
      <c r="BP14" s="201">
        <f t="shared" si="50"/>
        <v>4080</v>
      </c>
      <c r="BQ14" s="144">
        <v>4080</v>
      </c>
      <c r="BR14" s="330">
        <f t="shared" si="4"/>
        <v>0</v>
      </c>
      <c r="BS14" s="144">
        <f t="shared" si="51"/>
        <v>-4</v>
      </c>
      <c r="BT14" s="144"/>
      <c r="BU14" s="201">
        <f t="shared" si="52"/>
        <v>1849</v>
      </c>
      <c r="BV14" s="144">
        <v>1849</v>
      </c>
      <c r="BW14" s="144">
        <f t="shared" si="5"/>
        <v>0</v>
      </c>
      <c r="BX14" s="144">
        <f t="shared" si="53"/>
        <v>0</v>
      </c>
      <c r="BY14" s="144"/>
      <c r="BZ14" s="205">
        <f t="shared" si="54"/>
        <v>28891</v>
      </c>
      <c r="CA14" s="144">
        <v>28899</v>
      </c>
      <c r="CB14" s="330">
        <f t="shared" si="6"/>
        <v>8</v>
      </c>
      <c r="CC14" s="144">
        <f t="shared" si="55"/>
        <v>-4</v>
      </c>
      <c r="CD14" s="199"/>
      <c r="CE14" s="205">
        <f t="shared" si="56"/>
        <v>3364</v>
      </c>
      <c r="CF14" s="144">
        <v>3368</v>
      </c>
      <c r="CG14" s="144">
        <f t="shared" si="7"/>
        <v>4</v>
      </c>
      <c r="CH14" s="144">
        <f t="shared" si="57"/>
        <v>-1</v>
      </c>
      <c r="CI14" s="199"/>
      <c r="CJ14" s="205">
        <f t="shared" si="58"/>
        <v>83593</v>
      </c>
      <c r="CK14" s="144">
        <v>83620</v>
      </c>
      <c r="CL14" s="144">
        <f t="shared" si="8"/>
        <v>27</v>
      </c>
      <c r="CM14" s="144">
        <f t="shared" si="59"/>
        <v>-2</v>
      </c>
      <c r="CN14" s="199"/>
      <c r="CO14" s="205">
        <f t="shared" si="60"/>
        <v>25580</v>
      </c>
      <c r="CP14" s="144">
        <v>25586</v>
      </c>
      <c r="CQ14" s="144">
        <f t="shared" si="9"/>
        <v>6</v>
      </c>
      <c r="CR14" s="144">
        <f t="shared" si="61"/>
        <v>-1</v>
      </c>
      <c r="CS14" s="199"/>
      <c r="CT14" s="205">
        <f t="shared" si="62"/>
        <v>12777</v>
      </c>
      <c r="CU14" s="144">
        <v>12778</v>
      </c>
      <c r="CV14" s="144">
        <f t="shared" si="10"/>
        <v>1</v>
      </c>
      <c r="CW14" s="144">
        <f t="shared" si="63"/>
        <v>1</v>
      </c>
      <c r="CX14" s="199"/>
      <c r="CY14" s="205">
        <f t="shared" si="64"/>
        <v>19566</v>
      </c>
      <c r="CZ14" s="144">
        <v>19567</v>
      </c>
      <c r="DA14" s="144">
        <f t="shared" si="11"/>
        <v>1</v>
      </c>
      <c r="DB14" s="144">
        <f t="shared" si="65"/>
        <v>0</v>
      </c>
      <c r="DC14" s="199"/>
      <c r="DD14" s="205">
        <f t="shared" si="66"/>
        <v>20798</v>
      </c>
      <c r="DE14" s="144">
        <v>20801</v>
      </c>
      <c r="DF14" s="144">
        <f t="shared" si="12"/>
        <v>3</v>
      </c>
      <c r="DG14" s="144">
        <f t="shared" si="67"/>
        <v>-2</v>
      </c>
      <c r="DH14" s="199"/>
      <c r="DI14" s="205">
        <f t="shared" si="68"/>
        <v>9715</v>
      </c>
      <c r="DJ14" s="144">
        <v>9719</v>
      </c>
      <c r="DK14" s="144">
        <f t="shared" si="13"/>
        <v>4</v>
      </c>
      <c r="DL14" s="144">
        <f t="shared" si="69"/>
        <v>2</v>
      </c>
      <c r="DM14" s="199"/>
      <c r="DN14" s="205">
        <f t="shared" si="70"/>
        <v>25586</v>
      </c>
      <c r="DO14" s="144">
        <v>25591</v>
      </c>
      <c r="DP14" s="144">
        <f t="shared" si="14"/>
        <v>5</v>
      </c>
      <c r="DQ14" s="144">
        <f t="shared" si="71"/>
        <v>-11</v>
      </c>
      <c r="DR14" s="199"/>
      <c r="DS14" s="205">
        <f t="shared" si="72"/>
        <v>2662</v>
      </c>
      <c r="DT14" s="144">
        <v>2664</v>
      </c>
      <c r="DU14" s="144">
        <f t="shared" si="15"/>
        <v>2</v>
      </c>
      <c r="DV14" s="144">
        <f t="shared" si="73"/>
        <v>1</v>
      </c>
      <c r="DW14" s="199"/>
      <c r="DX14" s="205">
        <f t="shared" si="74"/>
        <v>10547</v>
      </c>
      <c r="DY14" s="144">
        <v>10547</v>
      </c>
      <c r="DZ14" s="144">
        <f t="shared" si="75"/>
        <v>0</v>
      </c>
      <c r="EA14" s="144">
        <f t="shared" si="76"/>
        <v>0</v>
      </c>
      <c r="EB14" s="199"/>
      <c r="EC14" s="205">
        <f t="shared" si="77"/>
        <v>0</v>
      </c>
      <c r="ED14" s="144"/>
      <c r="EE14" s="199">
        <f t="shared" si="26"/>
        <v>0</v>
      </c>
      <c r="EF14" s="205">
        <f t="shared" si="78"/>
        <v>0</v>
      </c>
      <c r="EG14" s="144"/>
      <c r="EH14" s="199">
        <f t="shared" si="27"/>
        <v>0</v>
      </c>
      <c r="EI14" s="205">
        <f t="shared" si="79"/>
        <v>0</v>
      </c>
      <c r="EJ14" s="144"/>
      <c r="EK14" s="199">
        <f t="shared" si="28"/>
        <v>0</v>
      </c>
      <c r="EL14" s="205">
        <f t="shared" si="80"/>
        <v>0</v>
      </c>
      <c r="EM14" s="144"/>
      <c r="EN14" s="199">
        <f t="shared" si="29"/>
        <v>0</v>
      </c>
      <c r="EO14" s="205">
        <f t="shared" si="81"/>
        <v>0</v>
      </c>
      <c r="EP14" s="144"/>
      <c r="EQ14" s="199">
        <f t="shared" si="30"/>
        <v>0</v>
      </c>
      <c r="ER14" s="205">
        <f t="shared" si="82"/>
        <v>0</v>
      </c>
      <c r="ES14" s="144"/>
      <c r="ET14" s="199">
        <f t="shared" si="83"/>
        <v>0</v>
      </c>
      <c r="EU14" s="205">
        <f t="shared" si="84"/>
        <v>0</v>
      </c>
      <c r="EV14" s="144"/>
      <c r="EW14" s="199">
        <f t="shared" si="85"/>
        <v>0</v>
      </c>
      <c r="EX14" s="205">
        <f t="shared" si="86"/>
        <v>0</v>
      </c>
      <c r="EY14" s="144"/>
      <c r="EZ14" s="199">
        <f t="shared" si="87"/>
        <v>0</v>
      </c>
      <c r="FA14" s="205">
        <f t="shared" si="88"/>
        <v>0</v>
      </c>
      <c r="FB14" s="144"/>
      <c r="FC14" s="199">
        <f t="shared" si="89"/>
        <v>0</v>
      </c>
      <c r="FD14" s="205">
        <f t="shared" si="90"/>
        <v>0</v>
      </c>
      <c r="FE14" s="144"/>
      <c r="FF14" s="199">
        <f t="shared" si="91"/>
        <v>0</v>
      </c>
      <c r="FG14" s="205">
        <f t="shared" si="92"/>
        <v>0</v>
      </c>
      <c r="FH14" s="144"/>
      <c r="FI14" s="199">
        <f t="shared" si="93"/>
        <v>0</v>
      </c>
      <c r="FJ14" s="205">
        <f t="shared" si="94"/>
        <v>0</v>
      </c>
      <c r="FK14" s="144"/>
      <c r="FL14" s="199">
        <f t="shared" si="95"/>
        <v>0</v>
      </c>
      <c r="FM14" s="205">
        <f t="shared" si="96"/>
        <v>0</v>
      </c>
      <c r="FN14" s="144"/>
      <c r="FO14" s="199">
        <f t="shared" si="97"/>
        <v>0</v>
      </c>
      <c r="FP14" s="205">
        <f t="shared" si="98"/>
        <v>0</v>
      </c>
      <c r="FQ14" s="144"/>
      <c r="FR14" s="199">
        <f t="shared" si="31"/>
        <v>0</v>
      </c>
    </row>
    <row r="15" spans="1:174" ht="15" customHeight="1" x14ac:dyDescent="0.2">
      <c r="A15" s="142">
        <v>10</v>
      </c>
      <c r="B15" s="142">
        <f t="shared" si="32"/>
        <v>22849</v>
      </c>
      <c r="C15" s="143">
        <v>22849</v>
      </c>
      <c r="D15" s="137">
        <f t="shared" si="16"/>
        <v>0</v>
      </c>
      <c r="E15" s="192"/>
      <c r="F15" s="142">
        <v>10</v>
      </c>
      <c r="G15" s="142">
        <f t="shared" si="33"/>
        <v>39028</v>
      </c>
      <c r="H15" s="136">
        <v>39028</v>
      </c>
      <c r="I15" s="137">
        <f t="shared" si="17"/>
        <v>0</v>
      </c>
      <c r="J15" s="192"/>
      <c r="K15" s="142">
        <v>10</v>
      </c>
      <c r="L15" s="142">
        <f t="shared" si="34"/>
        <v>839914</v>
      </c>
      <c r="M15" s="143">
        <v>840113</v>
      </c>
      <c r="N15" s="137">
        <f t="shared" si="18"/>
        <v>199</v>
      </c>
      <c r="O15" s="139"/>
      <c r="P15" s="142">
        <v>10</v>
      </c>
      <c r="Q15" s="142">
        <f t="shared" si="35"/>
        <v>238332</v>
      </c>
      <c r="R15" s="143">
        <v>238332</v>
      </c>
      <c r="S15" s="137">
        <f t="shared" si="19"/>
        <v>0</v>
      </c>
      <c r="T15" s="138"/>
      <c r="U15" s="140">
        <v>10</v>
      </c>
      <c r="V15" s="207">
        <f t="shared" si="20"/>
        <v>199</v>
      </c>
      <c r="W15" s="141">
        <f>'Maldives at LG Daily'!I14</f>
        <v>12</v>
      </c>
      <c r="X15" s="144">
        <v>37</v>
      </c>
      <c r="Y15" s="323">
        <f t="shared" si="21"/>
        <v>5.3783783783783781</v>
      </c>
      <c r="AA15" s="201">
        <v>10</v>
      </c>
      <c r="AB15" s="144">
        <f t="shared" si="36"/>
        <v>46126</v>
      </c>
      <c r="AC15" s="144">
        <v>46145</v>
      </c>
      <c r="AD15" s="144">
        <f t="shared" si="22"/>
        <v>19</v>
      </c>
      <c r="AE15" s="144">
        <f t="shared" si="99"/>
        <v>8</v>
      </c>
      <c r="AF15" s="297"/>
      <c r="AG15" s="201">
        <f t="shared" si="37"/>
        <v>10251</v>
      </c>
      <c r="AH15" s="144">
        <v>10256</v>
      </c>
      <c r="AI15" s="144">
        <f t="shared" si="23"/>
        <v>5</v>
      </c>
      <c r="AJ15" s="144">
        <f t="shared" si="100"/>
        <v>0</v>
      </c>
      <c r="AK15" s="144"/>
      <c r="AL15" s="201">
        <f t="shared" si="38"/>
        <v>9349</v>
      </c>
      <c r="AM15" s="144">
        <v>9358</v>
      </c>
      <c r="AN15" s="144">
        <f t="shared" si="24"/>
        <v>9</v>
      </c>
      <c r="AO15" s="144">
        <f t="shared" si="39"/>
        <v>1</v>
      </c>
      <c r="AP15" s="144"/>
      <c r="AQ15" s="201">
        <f t="shared" si="40"/>
        <v>18635</v>
      </c>
      <c r="AR15" s="144">
        <v>18645</v>
      </c>
      <c r="AS15" s="144">
        <f t="shared" si="25"/>
        <v>10</v>
      </c>
      <c r="AT15" s="144">
        <f t="shared" si="41"/>
        <v>-35</v>
      </c>
      <c r="AU15" s="144"/>
      <c r="AV15" s="201">
        <f t="shared" si="42"/>
        <v>35047</v>
      </c>
      <c r="AW15" s="144">
        <v>35055</v>
      </c>
      <c r="AX15" s="144">
        <f t="shared" si="0"/>
        <v>8</v>
      </c>
      <c r="AY15" s="144">
        <f t="shared" si="43"/>
        <v>1</v>
      </c>
      <c r="AZ15" s="144"/>
      <c r="BA15" s="201">
        <f t="shared" si="44"/>
        <v>8881</v>
      </c>
      <c r="BB15" s="144">
        <v>8888</v>
      </c>
      <c r="BC15" s="144">
        <f t="shared" si="1"/>
        <v>7</v>
      </c>
      <c r="BD15" s="144">
        <f t="shared" si="45"/>
        <v>1</v>
      </c>
      <c r="BE15" s="144"/>
      <c r="BF15" s="201">
        <f t="shared" si="46"/>
        <v>25585</v>
      </c>
      <c r="BG15" s="144">
        <v>25585</v>
      </c>
      <c r="BH15" s="144">
        <f t="shared" si="2"/>
        <v>0</v>
      </c>
      <c r="BI15" s="144">
        <f t="shared" si="47"/>
        <v>0</v>
      </c>
      <c r="BJ15" s="144"/>
      <c r="BK15" s="201">
        <f t="shared" si="48"/>
        <v>9613</v>
      </c>
      <c r="BL15" s="144">
        <v>9621</v>
      </c>
      <c r="BM15" s="144">
        <f t="shared" si="3"/>
        <v>8</v>
      </c>
      <c r="BN15" s="144">
        <f t="shared" si="49"/>
        <v>8</v>
      </c>
      <c r="BO15" s="144"/>
      <c r="BP15" s="201">
        <f t="shared" si="50"/>
        <v>4080</v>
      </c>
      <c r="BQ15" s="144">
        <v>4081</v>
      </c>
      <c r="BR15" s="330">
        <f t="shared" si="4"/>
        <v>1</v>
      </c>
      <c r="BS15" s="144">
        <f t="shared" si="51"/>
        <v>1</v>
      </c>
      <c r="BT15" s="144"/>
      <c r="BU15" s="201">
        <f t="shared" si="52"/>
        <v>1849</v>
      </c>
      <c r="BV15" s="144">
        <v>1849</v>
      </c>
      <c r="BW15" s="144">
        <f t="shared" si="5"/>
        <v>0</v>
      </c>
      <c r="BX15" s="144">
        <f t="shared" si="53"/>
        <v>0</v>
      </c>
      <c r="BY15" s="144"/>
      <c r="BZ15" s="205">
        <f t="shared" si="54"/>
        <v>28899</v>
      </c>
      <c r="CA15" s="144">
        <v>28905</v>
      </c>
      <c r="CB15" s="330">
        <f t="shared" si="6"/>
        <v>6</v>
      </c>
      <c r="CC15" s="144">
        <f t="shared" si="55"/>
        <v>-2</v>
      </c>
      <c r="CD15" s="199"/>
      <c r="CE15" s="205">
        <f t="shared" si="56"/>
        <v>3368</v>
      </c>
      <c r="CF15" s="144">
        <v>3370</v>
      </c>
      <c r="CG15" s="144">
        <f t="shared" si="7"/>
        <v>2</v>
      </c>
      <c r="CH15" s="144">
        <f t="shared" si="57"/>
        <v>-2</v>
      </c>
      <c r="CI15" s="199"/>
      <c r="CJ15" s="205">
        <f t="shared" si="58"/>
        <v>83620</v>
      </c>
      <c r="CK15" s="144">
        <v>83648</v>
      </c>
      <c r="CL15" s="144">
        <f t="shared" si="8"/>
        <v>28</v>
      </c>
      <c r="CM15" s="144">
        <f t="shared" si="59"/>
        <v>1</v>
      </c>
      <c r="CN15" s="199"/>
      <c r="CO15" s="205">
        <f t="shared" si="60"/>
        <v>25586</v>
      </c>
      <c r="CP15" s="144">
        <v>25592</v>
      </c>
      <c r="CQ15" s="144">
        <f t="shared" si="9"/>
        <v>6</v>
      </c>
      <c r="CR15" s="144">
        <f t="shared" si="61"/>
        <v>0</v>
      </c>
      <c r="CS15" s="199"/>
      <c r="CT15" s="205">
        <f t="shared" si="62"/>
        <v>12778</v>
      </c>
      <c r="CU15" s="144">
        <v>12778</v>
      </c>
      <c r="CV15" s="144">
        <f t="shared" si="10"/>
        <v>0</v>
      </c>
      <c r="CW15" s="144">
        <f t="shared" si="63"/>
        <v>-1</v>
      </c>
      <c r="CX15" s="199"/>
      <c r="CY15" s="205">
        <f t="shared" si="64"/>
        <v>19567</v>
      </c>
      <c r="CZ15" s="144">
        <v>19567</v>
      </c>
      <c r="DA15" s="144">
        <f t="shared" si="11"/>
        <v>0</v>
      </c>
      <c r="DB15" s="144">
        <f t="shared" si="65"/>
        <v>-1</v>
      </c>
      <c r="DC15" s="199"/>
      <c r="DD15" s="205">
        <f t="shared" si="66"/>
        <v>20801</v>
      </c>
      <c r="DE15" s="144">
        <v>20805</v>
      </c>
      <c r="DF15" s="144">
        <f t="shared" si="12"/>
        <v>4</v>
      </c>
      <c r="DG15" s="144">
        <f t="shared" si="67"/>
        <v>1</v>
      </c>
      <c r="DH15" s="199"/>
      <c r="DI15" s="205">
        <f t="shared" si="68"/>
        <v>9719</v>
      </c>
      <c r="DJ15" s="144">
        <v>9719</v>
      </c>
      <c r="DK15" s="144">
        <f t="shared" si="13"/>
        <v>0</v>
      </c>
      <c r="DL15" s="144">
        <f t="shared" si="69"/>
        <v>-4</v>
      </c>
      <c r="DM15" s="199"/>
      <c r="DN15" s="205">
        <f t="shared" si="70"/>
        <v>25591</v>
      </c>
      <c r="DO15" s="144">
        <v>25591</v>
      </c>
      <c r="DP15" s="144">
        <f t="shared" si="14"/>
        <v>0</v>
      </c>
      <c r="DQ15" s="144">
        <f t="shared" si="71"/>
        <v>-5</v>
      </c>
      <c r="DR15" s="199"/>
      <c r="DS15" s="205">
        <f t="shared" si="72"/>
        <v>2664</v>
      </c>
      <c r="DT15" s="144">
        <v>2666</v>
      </c>
      <c r="DU15" s="144">
        <f t="shared" si="15"/>
        <v>2</v>
      </c>
      <c r="DV15" s="144">
        <f t="shared" si="73"/>
        <v>0</v>
      </c>
      <c r="DW15" s="199"/>
      <c r="DX15" s="205">
        <f t="shared" si="74"/>
        <v>10547</v>
      </c>
      <c r="DY15" s="144">
        <v>10547</v>
      </c>
      <c r="DZ15" s="144">
        <f t="shared" si="75"/>
        <v>0</v>
      </c>
      <c r="EA15" s="144">
        <f t="shared" si="76"/>
        <v>0</v>
      </c>
      <c r="EB15" s="199"/>
      <c r="EC15" s="205">
        <f t="shared" si="77"/>
        <v>0</v>
      </c>
      <c r="ED15" s="144"/>
      <c r="EE15" s="199">
        <f t="shared" si="26"/>
        <v>0</v>
      </c>
      <c r="EF15" s="205">
        <f t="shared" ref="EF15:EF36" si="101">EG14</f>
        <v>0</v>
      </c>
      <c r="EG15" s="144"/>
      <c r="EH15" s="199">
        <f t="shared" si="27"/>
        <v>0</v>
      </c>
      <c r="EI15" s="205">
        <f t="shared" ref="EI15:EI36" si="102">EJ14</f>
        <v>0</v>
      </c>
      <c r="EJ15" s="144"/>
      <c r="EK15" s="199">
        <f t="shared" si="28"/>
        <v>0</v>
      </c>
      <c r="EL15" s="205">
        <f t="shared" si="80"/>
        <v>0</v>
      </c>
      <c r="EM15" s="144"/>
      <c r="EN15" s="199">
        <f t="shared" si="29"/>
        <v>0</v>
      </c>
      <c r="EO15" s="205">
        <f t="shared" si="81"/>
        <v>0</v>
      </c>
      <c r="EP15" s="144"/>
      <c r="EQ15" s="199">
        <f t="shared" si="30"/>
        <v>0</v>
      </c>
      <c r="ER15" s="205">
        <f t="shared" si="82"/>
        <v>0</v>
      </c>
      <c r="ES15" s="144"/>
      <c r="ET15" s="199">
        <f t="shared" si="83"/>
        <v>0</v>
      </c>
      <c r="EU15" s="205">
        <f t="shared" si="84"/>
        <v>0</v>
      </c>
      <c r="EV15" s="144"/>
      <c r="EW15" s="199">
        <f t="shared" si="85"/>
        <v>0</v>
      </c>
      <c r="EX15" s="205">
        <f t="shared" si="86"/>
        <v>0</v>
      </c>
      <c r="EY15" s="144"/>
      <c r="EZ15" s="199">
        <f t="shared" si="87"/>
        <v>0</v>
      </c>
      <c r="FA15" s="205">
        <f t="shared" si="88"/>
        <v>0</v>
      </c>
      <c r="FB15" s="144"/>
      <c r="FC15" s="199">
        <f t="shared" si="89"/>
        <v>0</v>
      </c>
      <c r="FD15" s="205">
        <f t="shared" si="90"/>
        <v>0</v>
      </c>
      <c r="FE15" s="144"/>
      <c r="FF15" s="199">
        <f t="shared" si="91"/>
        <v>0</v>
      </c>
      <c r="FG15" s="205">
        <f t="shared" si="92"/>
        <v>0</v>
      </c>
      <c r="FH15" s="144"/>
      <c r="FI15" s="199">
        <f t="shared" si="93"/>
        <v>0</v>
      </c>
      <c r="FJ15" s="205">
        <f t="shared" si="94"/>
        <v>0</v>
      </c>
      <c r="FK15" s="144"/>
      <c r="FL15" s="199">
        <f t="shared" si="95"/>
        <v>0</v>
      </c>
      <c r="FM15" s="205">
        <f t="shared" si="96"/>
        <v>0</v>
      </c>
      <c r="FN15" s="144"/>
      <c r="FO15" s="199">
        <f t="shared" si="97"/>
        <v>0</v>
      </c>
      <c r="FP15" s="205">
        <f t="shared" si="98"/>
        <v>0</v>
      </c>
      <c r="FQ15" s="144"/>
      <c r="FR15" s="199">
        <f t="shared" si="31"/>
        <v>0</v>
      </c>
    </row>
    <row r="16" spans="1:174" ht="15" customHeight="1" x14ac:dyDescent="0.2">
      <c r="A16" s="142">
        <v>11</v>
      </c>
      <c r="B16" s="142">
        <f t="shared" si="32"/>
        <v>22849</v>
      </c>
      <c r="C16" s="143">
        <v>22920</v>
      </c>
      <c r="D16" s="137">
        <f t="shared" si="16"/>
        <v>71</v>
      </c>
      <c r="E16" s="192"/>
      <c r="F16" s="142">
        <v>11</v>
      </c>
      <c r="G16" s="142">
        <f t="shared" si="33"/>
        <v>39028</v>
      </c>
      <c r="H16" s="136">
        <v>39028</v>
      </c>
      <c r="I16" s="137">
        <f t="shared" si="17"/>
        <v>0</v>
      </c>
      <c r="J16" s="192"/>
      <c r="K16" s="142">
        <v>11</v>
      </c>
      <c r="L16" s="142">
        <f t="shared" si="34"/>
        <v>840113</v>
      </c>
      <c r="M16" s="143">
        <v>840298</v>
      </c>
      <c r="N16" s="137">
        <f t="shared" si="18"/>
        <v>185</v>
      </c>
      <c r="O16" s="139"/>
      <c r="P16" s="142">
        <v>11</v>
      </c>
      <c r="Q16" s="142">
        <f t="shared" si="35"/>
        <v>238332</v>
      </c>
      <c r="R16" s="143">
        <v>238395</v>
      </c>
      <c r="S16" s="137">
        <f t="shared" si="19"/>
        <v>63</v>
      </c>
      <c r="T16" s="138"/>
      <c r="U16" s="142">
        <v>11</v>
      </c>
      <c r="V16" s="207">
        <f t="shared" si="20"/>
        <v>319</v>
      </c>
      <c r="W16" s="141">
        <f>'Maldives at LG Daily'!I15</f>
        <v>11</v>
      </c>
      <c r="X16" s="144">
        <v>51</v>
      </c>
      <c r="Y16" s="323">
        <f t="shared" si="21"/>
        <v>6.2549019607843137</v>
      </c>
      <c r="AA16" s="201">
        <v>11</v>
      </c>
      <c r="AB16" s="144">
        <f t="shared" si="36"/>
        <v>46145</v>
      </c>
      <c r="AC16" s="144">
        <v>46162</v>
      </c>
      <c r="AD16" s="144">
        <f t="shared" si="22"/>
        <v>17</v>
      </c>
      <c r="AE16" s="144">
        <f t="shared" si="99"/>
        <v>-2</v>
      </c>
      <c r="AF16" s="297"/>
      <c r="AG16" s="201">
        <f t="shared" si="37"/>
        <v>10256</v>
      </c>
      <c r="AH16" s="144">
        <v>10261</v>
      </c>
      <c r="AI16" s="144">
        <f t="shared" si="23"/>
        <v>5</v>
      </c>
      <c r="AJ16" s="144">
        <f t="shared" si="100"/>
        <v>0</v>
      </c>
      <c r="AK16" s="144"/>
      <c r="AL16" s="201">
        <f t="shared" si="38"/>
        <v>9358</v>
      </c>
      <c r="AM16" s="144">
        <v>9366</v>
      </c>
      <c r="AN16" s="144">
        <f t="shared" si="24"/>
        <v>8</v>
      </c>
      <c r="AO16" s="144">
        <f t="shared" si="39"/>
        <v>-1</v>
      </c>
      <c r="AP16" s="144"/>
      <c r="AQ16" s="201">
        <f t="shared" si="40"/>
        <v>18645</v>
      </c>
      <c r="AR16" s="144">
        <v>18654</v>
      </c>
      <c r="AS16" s="144">
        <f t="shared" si="25"/>
        <v>9</v>
      </c>
      <c r="AT16" s="144">
        <f t="shared" si="41"/>
        <v>-1</v>
      </c>
      <c r="AU16" s="144"/>
      <c r="AV16" s="201">
        <f t="shared" si="42"/>
        <v>35055</v>
      </c>
      <c r="AW16" s="144">
        <v>35061</v>
      </c>
      <c r="AX16" s="144">
        <f t="shared" si="0"/>
        <v>6</v>
      </c>
      <c r="AY16" s="144">
        <f t="shared" si="43"/>
        <v>-2</v>
      </c>
      <c r="AZ16" s="144"/>
      <c r="BA16" s="201">
        <f t="shared" si="44"/>
        <v>8888</v>
      </c>
      <c r="BB16" s="144">
        <v>8894</v>
      </c>
      <c r="BC16" s="144">
        <f t="shared" si="1"/>
        <v>6</v>
      </c>
      <c r="BD16" s="144">
        <f t="shared" si="45"/>
        <v>-1</v>
      </c>
      <c r="BE16" s="144"/>
      <c r="BF16" s="201">
        <f t="shared" si="46"/>
        <v>25585</v>
      </c>
      <c r="BG16" s="144">
        <v>25623</v>
      </c>
      <c r="BH16" s="144">
        <f t="shared" si="2"/>
        <v>38</v>
      </c>
      <c r="BI16" s="144">
        <f t="shared" si="47"/>
        <v>38</v>
      </c>
      <c r="BJ16" s="144"/>
      <c r="BK16" s="201">
        <f t="shared" si="48"/>
        <v>9621</v>
      </c>
      <c r="BL16" s="144">
        <v>9629</v>
      </c>
      <c r="BM16" s="144">
        <f t="shared" si="3"/>
        <v>8</v>
      </c>
      <c r="BN16" s="144">
        <f t="shared" si="49"/>
        <v>0</v>
      </c>
      <c r="BO16" s="144"/>
      <c r="BP16" s="201">
        <f t="shared" si="50"/>
        <v>4081</v>
      </c>
      <c r="BQ16" s="144">
        <v>4082</v>
      </c>
      <c r="BR16" s="330">
        <f t="shared" si="4"/>
        <v>1</v>
      </c>
      <c r="BS16" s="144">
        <f t="shared" si="51"/>
        <v>0</v>
      </c>
      <c r="BT16" s="144"/>
      <c r="BU16" s="201">
        <f t="shared" si="52"/>
        <v>1849</v>
      </c>
      <c r="BV16" s="144">
        <v>1849</v>
      </c>
      <c r="BW16" s="144">
        <f t="shared" si="5"/>
        <v>0</v>
      </c>
      <c r="BX16" s="144">
        <f t="shared" si="53"/>
        <v>0</v>
      </c>
      <c r="BY16" s="144"/>
      <c r="BZ16" s="205">
        <f t="shared" si="54"/>
        <v>28905</v>
      </c>
      <c r="CA16" s="144">
        <v>28915</v>
      </c>
      <c r="CB16" s="330">
        <f t="shared" si="6"/>
        <v>10</v>
      </c>
      <c r="CC16" s="144">
        <f t="shared" si="55"/>
        <v>4</v>
      </c>
      <c r="CD16" s="199"/>
      <c r="CE16" s="205">
        <f t="shared" si="56"/>
        <v>3370</v>
      </c>
      <c r="CF16" s="144">
        <v>3370</v>
      </c>
      <c r="CG16" s="144">
        <f t="shared" si="7"/>
        <v>0</v>
      </c>
      <c r="CH16" s="144">
        <f t="shared" si="57"/>
        <v>-2</v>
      </c>
      <c r="CI16" s="199"/>
      <c r="CJ16" s="205">
        <f t="shared" si="58"/>
        <v>83648</v>
      </c>
      <c r="CK16" s="144">
        <v>83673</v>
      </c>
      <c r="CL16" s="144">
        <f t="shared" si="8"/>
        <v>25</v>
      </c>
      <c r="CM16" s="144">
        <f t="shared" si="59"/>
        <v>-3</v>
      </c>
      <c r="CN16" s="199"/>
      <c r="CO16" s="205">
        <f t="shared" si="60"/>
        <v>25592</v>
      </c>
      <c r="CP16" s="144">
        <v>25598</v>
      </c>
      <c r="CQ16" s="144">
        <f t="shared" si="9"/>
        <v>6</v>
      </c>
      <c r="CR16" s="144">
        <f t="shared" si="61"/>
        <v>0</v>
      </c>
      <c r="CS16" s="199"/>
      <c r="CT16" s="205">
        <f t="shared" si="62"/>
        <v>12778</v>
      </c>
      <c r="CU16" s="144">
        <v>12779</v>
      </c>
      <c r="CV16" s="144">
        <f t="shared" si="10"/>
        <v>1</v>
      </c>
      <c r="CW16" s="144">
        <f t="shared" si="63"/>
        <v>1</v>
      </c>
      <c r="CX16" s="199"/>
      <c r="CY16" s="205">
        <f t="shared" si="64"/>
        <v>19567</v>
      </c>
      <c r="CZ16" s="144">
        <v>19568</v>
      </c>
      <c r="DA16" s="144">
        <f t="shared" si="11"/>
        <v>1</v>
      </c>
      <c r="DB16" s="144">
        <f t="shared" si="65"/>
        <v>1</v>
      </c>
      <c r="DC16" s="199"/>
      <c r="DD16" s="205">
        <f t="shared" si="66"/>
        <v>20805</v>
      </c>
      <c r="DE16" s="144">
        <v>20808</v>
      </c>
      <c r="DF16" s="144">
        <f t="shared" si="12"/>
        <v>3</v>
      </c>
      <c r="DG16" s="144">
        <f t="shared" si="67"/>
        <v>-1</v>
      </c>
      <c r="DH16" s="199"/>
      <c r="DI16" s="205">
        <f t="shared" si="68"/>
        <v>9719</v>
      </c>
      <c r="DJ16" s="144">
        <v>9721</v>
      </c>
      <c r="DK16" s="144">
        <f t="shared" si="13"/>
        <v>2</v>
      </c>
      <c r="DL16" s="144">
        <f t="shared" si="69"/>
        <v>2</v>
      </c>
      <c r="DM16" s="199"/>
      <c r="DN16" s="205">
        <f t="shared" si="70"/>
        <v>25591</v>
      </c>
      <c r="DO16" s="144">
        <v>25611</v>
      </c>
      <c r="DP16" s="144">
        <f t="shared" si="14"/>
        <v>20</v>
      </c>
      <c r="DQ16" s="144">
        <f t="shared" si="71"/>
        <v>20</v>
      </c>
      <c r="DR16" s="199"/>
      <c r="DS16" s="205">
        <f t="shared" si="72"/>
        <v>2666</v>
      </c>
      <c r="DT16" s="144">
        <v>2667</v>
      </c>
      <c r="DU16" s="144">
        <f t="shared" si="15"/>
        <v>1</v>
      </c>
      <c r="DV16" s="144">
        <f t="shared" si="73"/>
        <v>-1</v>
      </c>
      <c r="DW16" s="199"/>
      <c r="DX16" s="205">
        <f t="shared" si="74"/>
        <v>10547</v>
      </c>
      <c r="DY16" s="144">
        <v>10547</v>
      </c>
      <c r="DZ16" s="144">
        <f t="shared" si="75"/>
        <v>0</v>
      </c>
      <c r="EA16" s="144">
        <f t="shared" si="76"/>
        <v>0</v>
      </c>
      <c r="EB16" s="199"/>
      <c r="EC16" s="205">
        <f t="shared" si="77"/>
        <v>0</v>
      </c>
      <c r="ED16" s="144"/>
      <c r="EE16" s="199">
        <f t="shared" si="26"/>
        <v>0</v>
      </c>
      <c r="EF16" s="205">
        <f t="shared" si="101"/>
        <v>0</v>
      </c>
      <c r="EG16" s="144"/>
      <c r="EH16" s="199">
        <f t="shared" si="27"/>
        <v>0</v>
      </c>
      <c r="EI16" s="205">
        <f t="shared" si="102"/>
        <v>0</v>
      </c>
      <c r="EJ16" s="144"/>
      <c r="EK16" s="199">
        <f t="shared" si="28"/>
        <v>0</v>
      </c>
      <c r="EL16" s="205">
        <f t="shared" si="80"/>
        <v>0</v>
      </c>
      <c r="EM16" s="144"/>
      <c r="EN16" s="199">
        <f t="shared" si="29"/>
        <v>0</v>
      </c>
      <c r="EO16" s="205">
        <f t="shared" si="81"/>
        <v>0</v>
      </c>
      <c r="EP16" s="144"/>
      <c r="EQ16" s="199">
        <f t="shared" si="30"/>
        <v>0</v>
      </c>
      <c r="ER16" s="205">
        <f t="shared" si="82"/>
        <v>0</v>
      </c>
      <c r="ES16" s="144"/>
      <c r="ET16" s="199">
        <f t="shared" si="83"/>
        <v>0</v>
      </c>
      <c r="EU16" s="205">
        <f t="shared" si="84"/>
        <v>0</v>
      </c>
      <c r="EV16" s="144"/>
      <c r="EW16" s="199">
        <f t="shared" si="85"/>
        <v>0</v>
      </c>
      <c r="EX16" s="205">
        <f t="shared" si="86"/>
        <v>0</v>
      </c>
      <c r="EY16" s="144"/>
      <c r="EZ16" s="199">
        <f t="shared" si="87"/>
        <v>0</v>
      </c>
      <c r="FA16" s="205">
        <f t="shared" si="88"/>
        <v>0</v>
      </c>
      <c r="FB16" s="144"/>
      <c r="FC16" s="199">
        <f t="shared" si="89"/>
        <v>0</v>
      </c>
      <c r="FD16" s="205">
        <f t="shared" si="90"/>
        <v>0</v>
      </c>
      <c r="FE16" s="144"/>
      <c r="FF16" s="199">
        <f t="shared" si="91"/>
        <v>0</v>
      </c>
      <c r="FG16" s="205">
        <f t="shared" si="92"/>
        <v>0</v>
      </c>
      <c r="FH16" s="144"/>
      <c r="FI16" s="199">
        <f t="shared" si="93"/>
        <v>0</v>
      </c>
      <c r="FJ16" s="205">
        <f t="shared" si="94"/>
        <v>0</v>
      </c>
      <c r="FK16" s="144"/>
      <c r="FL16" s="199">
        <f t="shared" si="95"/>
        <v>0</v>
      </c>
      <c r="FM16" s="205">
        <f t="shared" si="96"/>
        <v>0</v>
      </c>
      <c r="FN16" s="144"/>
      <c r="FO16" s="199">
        <f t="shared" si="97"/>
        <v>0</v>
      </c>
      <c r="FP16" s="205">
        <f t="shared" si="98"/>
        <v>0</v>
      </c>
      <c r="FQ16" s="144"/>
      <c r="FR16" s="199">
        <f t="shared" si="31"/>
        <v>0</v>
      </c>
    </row>
    <row r="17" spans="1:174" ht="15" customHeight="1" x14ac:dyDescent="0.2">
      <c r="A17" s="142">
        <v>12</v>
      </c>
      <c r="B17" s="142">
        <f t="shared" si="32"/>
        <v>22920</v>
      </c>
      <c r="C17" s="143">
        <v>22956</v>
      </c>
      <c r="D17" s="137">
        <f t="shared" si="16"/>
        <v>36</v>
      </c>
      <c r="E17" s="192"/>
      <c r="F17" s="142">
        <v>12</v>
      </c>
      <c r="G17" s="142">
        <f t="shared" si="33"/>
        <v>39028</v>
      </c>
      <c r="H17" s="143">
        <v>39028</v>
      </c>
      <c r="I17" s="137">
        <f t="shared" si="17"/>
        <v>0</v>
      </c>
      <c r="J17" s="192"/>
      <c r="K17" s="142">
        <v>12</v>
      </c>
      <c r="L17" s="142">
        <f t="shared" si="34"/>
        <v>840298</v>
      </c>
      <c r="M17" s="143">
        <v>840448</v>
      </c>
      <c r="N17" s="137">
        <f t="shared" si="18"/>
        <v>150</v>
      </c>
      <c r="O17" s="139"/>
      <c r="P17" s="142">
        <v>12</v>
      </c>
      <c r="Q17" s="142">
        <f t="shared" si="35"/>
        <v>238395</v>
      </c>
      <c r="R17" s="143">
        <v>238511</v>
      </c>
      <c r="S17" s="137">
        <f t="shared" si="19"/>
        <v>116</v>
      </c>
      <c r="T17" s="138"/>
      <c r="U17" s="140">
        <v>12</v>
      </c>
      <c r="V17" s="207">
        <f t="shared" si="20"/>
        <v>302</v>
      </c>
      <c r="W17" s="141">
        <f>'Maldives at LG Daily'!I16</f>
        <v>14</v>
      </c>
      <c r="X17" s="144">
        <v>54</v>
      </c>
      <c r="Y17" s="323">
        <f t="shared" si="21"/>
        <v>5.5925925925925926</v>
      </c>
      <c r="AA17" s="201">
        <v>12</v>
      </c>
      <c r="AB17" s="144">
        <f t="shared" si="36"/>
        <v>46162</v>
      </c>
      <c r="AC17" s="144">
        <v>46176</v>
      </c>
      <c r="AD17" s="144">
        <f t="shared" si="22"/>
        <v>14</v>
      </c>
      <c r="AE17" s="144">
        <f t="shared" si="99"/>
        <v>-3</v>
      </c>
      <c r="AF17" s="297"/>
      <c r="AG17" s="201">
        <f t="shared" si="37"/>
        <v>10261</v>
      </c>
      <c r="AH17" s="144">
        <v>10265</v>
      </c>
      <c r="AI17" s="144">
        <f t="shared" si="23"/>
        <v>4</v>
      </c>
      <c r="AJ17" s="144">
        <f t="shared" si="100"/>
        <v>-1</v>
      </c>
      <c r="AK17" s="144"/>
      <c r="AL17" s="201">
        <f t="shared" si="38"/>
        <v>9366</v>
      </c>
      <c r="AM17" s="144">
        <v>9375</v>
      </c>
      <c r="AN17" s="144">
        <f t="shared" si="24"/>
        <v>9</v>
      </c>
      <c r="AO17" s="144">
        <f t="shared" si="39"/>
        <v>1</v>
      </c>
      <c r="AP17" s="144"/>
      <c r="AQ17" s="201">
        <f t="shared" si="40"/>
        <v>18654</v>
      </c>
      <c r="AR17" s="144">
        <v>18664</v>
      </c>
      <c r="AS17" s="144">
        <f t="shared" si="25"/>
        <v>10</v>
      </c>
      <c r="AT17" s="144">
        <f t="shared" si="41"/>
        <v>1</v>
      </c>
      <c r="AU17" s="144"/>
      <c r="AV17" s="201">
        <f t="shared" si="42"/>
        <v>35061</v>
      </c>
      <c r="AW17" s="144">
        <v>35068</v>
      </c>
      <c r="AX17" s="144">
        <f t="shared" si="0"/>
        <v>7</v>
      </c>
      <c r="AY17" s="144">
        <f t="shared" si="43"/>
        <v>1</v>
      </c>
      <c r="AZ17" s="144"/>
      <c r="BA17" s="201">
        <f t="shared" si="44"/>
        <v>8894</v>
      </c>
      <c r="BB17" s="144">
        <v>8901</v>
      </c>
      <c r="BC17" s="144">
        <f t="shared" si="1"/>
        <v>7</v>
      </c>
      <c r="BD17" s="144">
        <f t="shared" si="45"/>
        <v>1</v>
      </c>
      <c r="BE17" s="144"/>
      <c r="BF17" s="201">
        <f t="shared" si="46"/>
        <v>25623</v>
      </c>
      <c r="BG17" s="144">
        <v>25631</v>
      </c>
      <c r="BH17" s="144">
        <f t="shared" si="2"/>
        <v>8</v>
      </c>
      <c r="BI17" s="144">
        <f t="shared" si="47"/>
        <v>-30</v>
      </c>
      <c r="BJ17" s="144"/>
      <c r="BK17" s="201">
        <f t="shared" si="48"/>
        <v>9629</v>
      </c>
      <c r="BL17" s="144">
        <v>9636</v>
      </c>
      <c r="BM17" s="144">
        <f t="shared" si="3"/>
        <v>7</v>
      </c>
      <c r="BN17" s="144">
        <f t="shared" si="49"/>
        <v>-1</v>
      </c>
      <c r="BO17" s="144"/>
      <c r="BP17" s="201">
        <f t="shared" si="50"/>
        <v>4082</v>
      </c>
      <c r="BQ17" s="144">
        <v>4083</v>
      </c>
      <c r="BR17" s="330">
        <f t="shared" si="4"/>
        <v>1</v>
      </c>
      <c r="BS17" s="144">
        <f t="shared" si="51"/>
        <v>0</v>
      </c>
      <c r="BT17" s="144"/>
      <c r="BU17" s="201">
        <f t="shared" si="52"/>
        <v>1849</v>
      </c>
      <c r="BV17" s="144">
        <v>1850</v>
      </c>
      <c r="BW17" s="144">
        <f t="shared" si="5"/>
        <v>1</v>
      </c>
      <c r="BX17" s="144">
        <f t="shared" si="53"/>
        <v>1</v>
      </c>
      <c r="BY17" s="144"/>
      <c r="BZ17" s="205">
        <f t="shared" si="54"/>
        <v>28915</v>
      </c>
      <c r="CA17" s="144">
        <v>28921</v>
      </c>
      <c r="CB17" s="330">
        <f t="shared" si="6"/>
        <v>6</v>
      </c>
      <c r="CC17" s="144">
        <f t="shared" si="55"/>
        <v>-4</v>
      </c>
      <c r="CD17" s="199"/>
      <c r="CE17" s="205">
        <f t="shared" si="56"/>
        <v>3370</v>
      </c>
      <c r="CF17" s="144">
        <v>3371</v>
      </c>
      <c r="CG17" s="144">
        <f t="shared" si="7"/>
        <v>1</v>
      </c>
      <c r="CH17" s="144">
        <f t="shared" si="57"/>
        <v>1</v>
      </c>
      <c r="CI17" s="199"/>
      <c r="CJ17" s="205">
        <f t="shared" si="58"/>
        <v>83673</v>
      </c>
      <c r="CK17" s="144">
        <v>83701</v>
      </c>
      <c r="CL17" s="144">
        <f t="shared" si="8"/>
        <v>28</v>
      </c>
      <c r="CM17" s="144">
        <f t="shared" si="59"/>
        <v>3</v>
      </c>
      <c r="CN17" s="199"/>
      <c r="CO17" s="205">
        <f t="shared" si="60"/>
        <v>25598</v>
      </c>
      <c r="CP17" s="144">
        <v>25603</v>
      </c>
      <c r="CQ17" s="144">
        <f t="shared" si="9"/>
        <v>5</v>
      </c>
      <c r="CR17" s="144">
        <f t="shared" si="61"/>
        <v>-1</v>
      </c>
      <c r="CS17" s="199"/>
      <c r="CT17" s="205">
        <f t="shared" si="62"/>
        <v>12779</v>
      </c>
      <c r="CU17" s="144">
        <v>12779</v>
      </c>
      <c r="CV17" s="144">
        <f t="shared" si="10"/>
        <v>0</v>
      </c>
      <c r="CW17" s="144">
        <f t="shared" si="63"/>
        <v>-1</v>
      </c>
      <c r="CX17" s="199"/>
      <c r="CY17" s="205">
        <f t="shared" si="64"/>
        <v>19568</v>
      </c>
      <c r="CZ17" s="144">
        <v>19568</v>
      </c>
      <c r="DA17" s="144">
        <f t="shared" si="11"/>
        <v>0</v>
      </c>
      <c r="DB17" s="144">
        <f t="shared" si="65"/>
        <v>-1</v>
      </c>
      <c r="DC17" s="199"/>
      <c r="DD17" s="205">
        <f t="shared" si="66"/>
        <v>20808</v>
      </c>
      <c r="DE17" s="144">
        <v>20811</v>
      </c>
      <c r="DF17" s="144">
        <f t="shared" si="12"/>
        <v>3</v>
      </c>
      <c r="DG17" s="144">
        <f t="shared" si="67"/>
        <v>0</v>
      </c>
      <c r="DH17" s="199"/>
      <c r="DI17" s="205">
        <f t="shared" si="68"/>
        <v>9721</v>
      </c>
      <c r="DJ17" s="144">
        <v>9722</v>
      </c>
      <c r="DK17" s="144">
        <f t="shared" si="13"/>
        <v>1</v>
      </c>
      <c r="DL17" s="144">
        <f t="shared" si="69"/>
        <v>-1</v>
      </c>
      <c r="DM17" s="199"/>
      <c r="DN17" s="205">
        <f t="shared" si="70"/>
        <v>25611</v>
      </c>
      <c r="DO17" s="144">
        <v>25620</v>
      </c>
      <c r="DP17" s="144">
        <f t="shared" si="14"/>
        <v>9</v>
      </c>
      <c r="DQ17" s="144">
        <f t="shared" si="71"/>
        <v>-11</v>
      </c>
      <c r="DR17" s="199"/>
      <c r="DS17" s="205">
        <f t="shared" si="72"/>
        <v>2667</v>
      </c>
      <c r="DT17" s="144">
        <v>2668</v>
      </c>
      <c r="DU17" s="144">
        <f t="shared" si="15"/>
        <v>1</v>
      </c>
      <c r="DV17" s="144">
        <f t="shared" si="73"/>
        <v>0</v>
      </c>
      <c r="DW17" s="199"/>
      <c r="DX17" s="205">
        <f t="shared" si="74"/>
        <v>10547</v>
      </c>
      <c r="DY17" s="144">
        <v>10547</v>
      </c>
      <c r="DZ17" s="144">
        <f t="shared" si="75"/>
        <v>0</v>
      </c>
      <c r="EA17" s="144">
        <f t="shared" si="76"/>
        <v>0</v>
      </c>
      <c r="EB17" s="199"/>
      <c r="EC17" s="205">
        <f t="shared" si="77"/>
        <v>0</v>
      </c>
      <c r="ED17" s="144"/>
      <c r="EE17" s="199">
        <f t="shared" si="26"/>
        <v>0</v>
      </c>
      <c r="EF17" s="205">
        <f t="shared" si="101"/>
        <v>0</v>
      </c>
      <c r="EG17" s="144"/>
      <c r="EH17" s="199">
        <f t="shared" si="27"/>
        <v>0</v>
      </c>
      <c r="EI17" s="205">
        <f t="shared" si="102"/>
        <v>0</v>
      </c>
      <c r="EJ17" s="144"/>
      <c r="EK17" s="199">
        <f t="shared" si="28"/>
        <v>0</v>
      </c>
      <c r="EL17" s="205">
        <f t="shared" ref="EL17:EL36" si="103">EM16</f>
        <v>0</v>
      </c>
      <c r="EM17" s="144"/>
      <c r="EN17" s="199">
        <f t="shared" si="29"/>
        <v>0</v>
      </c>
      <c r="EO17" s="205">
        <f t="shared" si="81"/>
        <v>0</v>
      </c>
      <c r="EP17" s="144"/>
      <c r="EQ17" s="199">
        <f t="shared" si="30"/>
        <v>0</v>
      </c>
      <c r="ER17" s="205">
        <f t="shared" si="82"/>
        <v>0</v>
      </c>
      <c r="ES17" s="144"/>
      <c r="ET17" s="199">
        <f t="shared" si="83"/>
        <v>0</v>
      </c>
      <c r="EU17" s="205">
        <f t="shared" si="84"/>
        <v>0</v>
      </c>
      <c r="EV17" s="144"/>
      <c r="EW17" s="199">
        <f t="shared" si="85"/>
        <v>0</v>
      </c>
      <c r="EX17" s="205">
        <f t="shared" si="86"/>
        <v>0</v>
      </c>
      <c r="EY17" s="144"/>
      <c r="EZ17" s="199">
        <f t="shared" si="87"/>
        <v>0</v>
      </c>
      <c r="FA17" s="205">
        <f t="shared" si="88"/>
        <v>0</v>
      </c>
      <c r="FB17" s="144"/>
      <c r="FC17" s="199">
        <f t="shared" si="89"/>
        <v>0</v>
      </c>
      <c r="FD17" s="205">
        <f t="shared" si="90"/>
        <v>0</v>
      </c>
      <c r="FE17" s="144"/>
      <c r="FF17" s="199">
        <f t="shared" si="91"/>
        <v>0</v>
      </c>
      <c r="FG17" s="205">
        <f t="shared" si="92"/>
        <v>0</v>
      </c>
      <c r="FH17" s="144"/>
      <c r="FI17" s="199">
        <f t="shared" si="93"/>
        <v>0</v>
      </c>
      <c r="FJ17" s="205">
        <f t="shared" si="94"/>
        <v>0</v>
      </c>
      <c r="FK17" s="144"/>
      <c r="FL17" s="199">
        <f t="shared" si="95"/>
        <v>0</v>
      </c>
      <c r="FM17" s="205">
        <f t="shared" si="96"/>
        <v>0</v>
      </c>
      <c r="FN17" s="144"/>
      <c r="FO17" s="199">
        <f t="shared" si="97"/>
        <v>0</v>
      </c>
      <c r="FP17" s="205">
        <f t="shared" si="98"/>
        <v>0</v>
      </c>
      <c r="FQ17" s="144"/>
      <c r="FR17" s="199">
        <f t="shared" si="31"/>
        <v>0</v>
      </c>
    </row>
    <row r="18" spans="1:174" ht="15" customHeight="1" x14ac:dyDescent="0.2">
      <c r="A18" s="142">
        <v>13</v>
      </c>
      <c r="B18" s="142">
        <f t="shared" si="32"/>
        <v>22956</v>
      </c>
      <c r="C18" s="143">
        <v>22997</v>
      </c>
      <c r="D18" s="137">
        <f t="shared" si="16"/>
        <v>41</v>
      </c>
      <c r="E18" s="192"/>
      <c r="F18" s="142">
        <v>13</v>
      </c>
      <c r="G18" s="142">
        <f t="shared" si="33"/>
        <v>39028</v>
      </c>
      <c r="H18" s="143">
        <v>39028</v>
      </c>
      <c r="I18" s="137">
        <f t="shared" si="17"/>
        <v>0</v>
      </c>
      <c r="J18" s="192"/>
      <c r="K18" s="142">
        <v>13</v>
      </c>
      <c r="L18" s="142">
        <f t="shared" si="34"/>
        <v>840448</v>
      </c>
      <c r="M18" s="143">
        <v>840633</v>
      </c>
      <c r="N18" s="137">
        <f t="shared" si="18"/>
        <v>185</v>
      </c>
      <c r="O18" s="139"/>
      <c r="P18" s="142">
        <v>13</v>
      </c>
      <c r="Q18" s="142">
        <f t="shared" si="35"/>
        <v>238511</v>
      </c>
      <c r="R18" s="143">
        <v>238627</v>
      </c>
      <c r="S18" s="137">
        <f t="shared" si="19"/>
        <v>116</v>
      </c>
      <c r="T18" s="138"/>
      <c r="U18" s="140">
        <v>13</v>
      </c>
      <c r="V18" s="207">
        <f t="shared" si="20"/>
        <v>342</v>
      </c>
      <c r="W18" s="141">
        <f>'Maldives at LG Daily'!I17</f>
        <v>12</v>
      </c>
      <c r="X18" s="144">
        <v>48</v>
      </c>
      <c r="Y18" s="323">
        <f t="shared" si="21"/>
        <v>7.125</v>
      </c>
      <c r="AA18" s="201">
        <v>13</v>
      </c>
      <c r="AB18" s="144">
        <f t="shared" si="36"/>
        <v>46176</v>
      </c>
      <c r="AC18" s="144">
        <v>46194</v>
      </c>
      <c r="AD18" s="144">
        <f t="shared" si="22"/>
        <v>18</v>
      </c>
      <c r="AE18" s="144">
        <f t="shared" si="99"/>
        <v>4</v>
      </c>
      <c r="AF18" s="297"/>
      <c r="AG18" s="201">
        <f t="shared" si="37"/>
        <v>10265</v>
      </c>
      <c r="AH18" s="144">
        <v>10269</v>
      </c>
      <c r="AI18" s="144">
        <f t="shared" si="23"/>
        <v>4</v>
      </c>
      <c r="AJ18" s="144">
        <f t="shared" si="100"/>
        <v>0</v>
      </c>
      <c r="AK18" s="144"/>
      <c r="AL18" s="201">
        <f t="shared" si="38"/>
        <v>9375</v>
      </c>
      <c r="AM18" s="144">
        <v>9383</v>
      </c>
      <c r="AN18" s="144">
        <f t="shared" si="24"/>
        <v>8</v>
      </c>
      <c r="AO18" s="144">
        <f t="shared" si="39"/>
        <v>-1</v>
      </c>
      <c r="AP18" s="144"/>
      <c r="AQ18" s="201">
        <f t="shared" si="40"/>
        <v>18664</v>
      </c>
      <c r="AR18" s="144">
        <v>18673</v>
      </c>
      <c r="AS18" s="144">
        <f t="shared" si="25"/>
        <v>9</v>
      </c>
      <c r="AT18" s="144">
        <f t="shared" si="41"/>
        <v>-1</v>
      </c>
      <c r="AU18" s="144"/>
      <c r="AV18" s="201">
        <f t="shared" si="42"/>
        <v>35068</v>
      </c>
      <c r="AW18" s="144">
        <v>35075</v>
      </c>
      <c r="AX18" s="144">
        <f t="shared" si="0"/>
        <v>7</v>
      </c>
      <c r="AY18" s="144">
        <f t="shared" si="43"/>
        <v>0</v>
      </c>
      <c r="AZ18" s="144"/>
      <c r="BA18" s="201">
        <f t="shared" si="44"/>
        <v>8901</v>
      </c>
      <c r="BB18" s="144">
        <v>8907</v>
      </c>
      <c r="BC18" s="144">
        <f t="shared" si="1"/>
        <v>6</v>
      </c>
      <c r="BD18" s="144">
        <f t="shared" si="45"/>
        <v>-1</v>
      </c>
      <c r="BE18" s="144"/>
      <c r="BF18" s="201">
        <f t="shared" si="46"/>
        <v>25631</v>
      </c>
      <c r="BG18" s="144">
        <v>25639</v>
      </c>
      <c r="BH18" s="144">
        <f t="shared" si="2"/>
        <v>8</v>
      </c>
      <c r="BI18" s="144">
        <f t="shared" si="47"/>
        <v>0</v>
      </c>
      <c r="BJ18" s="144"/>
      <c r="BK18" s="201">
        <f t="shared" si="48"/>
        <v>9636</v>
      </c>
      <c r="BL18" s="144">
        <v>9644</v>
      </c>
      <c r="BM18" s="144">
        <f t="shared" si="3"/>
        <v>8</v>
      </c>
      <c r="BN18" s="144">
        <f t="shared" si="49"/>
        <v>1</v>
      </c>
      <c r="BO18" s="144"/>
      <c r="BP18" s="201">
        <f t="shared" si="50"/>
        <v>4083</v>
      </c>
      <c r="BQ18" s="144">
        <v>4084</v>
      </c>
      <c r="BR18" s="330">
        <f t="shared" si="4"/>
        <v>1</v>
      </c>
      <c r="BS18" s="144">
        <f t="shared" si="51"/>
        <v>0</v>
      </c>
      <c r="BT18" s="144"/>
      <c r="BU18" s="201">
        <f t="shared" si="52"/>
        <v>1850</v>
      </c>
      <c r="BV18" s="144">
        <v>1850</v>
      </c>
      <c r="BW18" s="144">
        <f t="shared" si="5"/>
        <v>0</v>
      </c>
      <c r="BX18" s="144">
        <f t="shared" si="53"/>
        <v>-1</v>
      </c>
      <c r="BY18" s="144"/>
      <c r="BZ18" s="205">
        <f t="shared" si="54"/>
        <v>28921</v>
      </c>
      <c r="CA18" s="144">
        <v>28928</v>
      </c>
      <c r="CB18" s="330">
        <f t="shared" si="6"/>
        <v>7</v>
      </c>
      <c r="CC18" s="144">
        <f t="shared" si="55"/>
        <v>1</v>
      </c>
      <c r="CD18" s="199"/>
      <c r="CE18" s="205">
        <f t="shared" si="56"/>
        <v>3371</v>
      </c>
      <c r="CF18" s="144">
        <v>3374</v>
      </c>
      <c r="CG18" s="144">
        <f t="shared" si="7"/>
        <v>3</v>
      </c>
      <c r="CH18" s="144">
        <f t="shared" si="57"/>
        <v>2</v>
      </c>
      <c r="CI18" s="199"/>
      <c r="CJ18" s="205">
        <f t="shared" si="58"/>
        <v>83701</v>
      </c>
      <c r="CK18" s="144">
        <v>83728</v>
      </c>
      <c r="CL18" s="144">
        <f t="shared" si="8"/>
        <v>27</v>
      </c>
      <c r="CM18" s="144">
        <f t="shared" si="59"/>
        <v>-1</v>
      </c>
      <c r="CN18" s="199"/>
      <c r="CO18" s="205">
        <f t="shared" si="60"/>
        <v>25603</v>
      </c>
      <c r="CP18" s="144">
        <v>25610</v>
      </c>
      <c r="CQ18" s="144">
        <f>CP18-CO18</f>
        <v>7</v>
      </c>
      <c r="CR18" s="144">
        <f t="shared" si="61"/>
        <v>2</v>
      </c>
      <c r="CS18" s="199"/>
      <c r="CT18" s="205">
        <f t="shared" si="62"/>
        <v>12779</v>
      </c>
      <c r="CU18" s="144">
        <v>12780</v>
      </c>
      <c r="CV18" s="144">
        <f t="shared" si="10"/>
        <v>1</v>
      </c>
      <c r="CW18" s="144">
        <f t="shared" si="63"/>
        <v>1</v>
      </c>
      <c r="CX18" s="199"/>
      <c r="CY18" s="205">
        <f t="shared" si="64"/>
        <v>19568</v>
      </c>
      <c r="CZ18" s="144">
        <v>19569</v>
      </c>
      <c r="DA18" s="144">
        <f t="shared" si="11"/>
        <v>1</v>
      </c>
      <c r="DB18" s="144">
        <f t="shared" si="65"/>
        <v>1</v>
      </c>
      <c r="DC18" s="199"/>
      <c r="DD18" s="205">
        <f t="shared" si="66"/>
        <v>20811</v>
      </c>
      <c r="DE18" s="144">
        <v>20814</v>
      </c>
      <c r="DF18" s="144">
        <f t="shared" si="12"/>
        <v>3</v>
      </c>
      <c r="DG18" s="144">
        <f t="shared" si="67"/>
        <v>0</v>
      </c>
      <c r="DH18" s="199"/>
      <c r="DI18" s="205">
        <f t="shared" si="68"/>
        <v>9722</v>
      </c>
      <c r="DJ18" s="144">
        <v>9725</v>
      </c>
      <c r="DK18" s="144">
        <f t="shared" si="13"/>
        <v>3</v>
      </c>
      <c r="DL18" s="144">
        <f t="shared" si="69"/>
        <v>2</v>
      </c>
      <c r="DM18" s="199"/>
      <c r="DN18" s="205">
        <f t="shared" si="70"/>
        <v>25620</v>
      </c>
      <c r="DO18" s="144">
        <v>25627</v>
      </c>
      <c r="DP18" s="144">
        <f t="shared" si="14"/>
        <v>7</v>
      </c>
      <c r="DQ18" s="144">
        <f t="shared" si="71"/>
        <v>-2</v>
      </c>
      <c r="DR18" s="199"/>
      <c r="DS18" s="205">
        <f t="shared" si="72"/>
        <v>2668</v>
      </c>
      <c r="DT18" s="144">
        <v>2669</v>
      </c>
      <c r="DU18" s="144">
        <f t="shared" si="15"/>
        <v>1</v>
      </c>
      <c r="DV18" s="144">
        <f t="shared" si="73"/>
        <v>0</v>
      </c>
      <c r="DW18" s="199"/>
      <c r="DX18" s="205">
        <f t="shared" si="74"/>
        <v>10547</v>
      </c>
      <c r="DY18" s="144">
        <v>10547</v>
      </c>
      <c r="DZ18" s="144">
        <f t="shared" si="75"/>
        <v>0</v>
      </c>
      <c r="EA18" s="144">
        <f t="shared" si="76"/>
        <v>0</v>
      </c>
      <c r="EB18" s="199"/>
      <c r="EC18" s="205">
        <f t="shared" si="77"/>
        <v>0</v>
      </c>
      <c r="ED18" s="144"/>
      <c r="EE18" s="199">
        <f t="shared" si="26"/>
        <v>0</v>
      </c>
      <c r="EF18" s="205">
        <f t="shared" si="101"/>
        <v>0</v>
      </c>
      <c r="EG18" s="144"/>
      <c r="EH18" s="199">
        <f t="shared" si="27"/>
        <v>0</v>
      </c>
      <c r="EI18" s="205">
        <f t="shared" si="102"/>
        <v>0</v>
      </c>
      <c r="EJ18" s="144"/>
      <c r="EK18" s="199">
        <f t="shared" si="28"/>
        <v>0</v>
      </c>
      <c r="EL18" s="205">
        <f t="shared" si="103"/>
        <v>0</v>
      </c>
      <c r="EM18" s="144"/>
      <c r="EN18" s="199">
        <f t="shared" si="29"/>
        <v>0</v>
      </c>
      <c r="EO18" s="205">
        <f t="shared" si="81"/>
        <v>0</v>
      </c>
      <c r="EP18" s="144"/>
      <c r="EQ18" s="199">
        <f t="shared" si="30"/>
        <v>0</v>
      </c>
      <c r="ER18" s="205">
        <f t="shared" si="82"/>
        <v>0</v>
      </c>
      <c r="ES18" s="144"/>
      <c r="ET18" s="199">
        <f t="shared" si="83"/>
        <v>0</v>
      </c>
      <c r="EU18" s="205">
        <f t="shared" si="84"/>
        <v>0</v>
      </c>
      <c r="EV18" s="144"/>
      <c r="EW18" s="199">
        <f t="shared" si="85"/>
        <v>0</v>
      </c>
      <c r="EX18" s="205">
        <f t="shared" si="86"/>
        <v>0</v>
      </c>
      <c r="EY18" s="144"/>
      <c r="EZ18" s="199">
        <f t="shared" si="87"/>
        <v>0</v>
      </c>
      <c r="FA18" s="205">
        <f t="shared" si="88"/>
        <v>0</v>
      </c>
      <c r="FB18" s="144"/>
      <c r="FC18" s="199">
        <f t="shared" si="89"/>
        <v>0</v>
      </c>
      <c r="FD18" s="205">
        <f t="shared" si="90"/>
        <v>0</v>
      </c>
      <c r="FE18" s="144"/>
      <c r="FF18" s="199">
        <f t="shared" si="91"/>
        <v>0</v>
      </c>
      <c r="FG18" s="205">
        <f t="shared" si="92"/>
        <v>0</v>
      </c>
      <c r="FH18" s="144"/>
      <c r="FI18" s="199">
        <f t="shared" si="93"/>
        <v>0</v>
      </c>
      <c r="FJ18" s="205">
        <f t="shared" si="94"/>
        <v>0</v>
      </c>
      <c r="FK18" s="144"/>
      <c r="FL18" s="199">
        <f t="shared" si="95"/>
        <v>0</v>
      </c>
      <c r="FM18" s="205">
        <f t="shared" si="96"/>
        <v>0</v>
      </c>
      <c r="FN18" s="144"/>
      <c r="FO18" s="199">
        <f t="shared" si="97"/>
        <v>0</v>
      </c>
      <c r="FP18" s="205">
        <f t="shared" si="98"/>
        <v>0</v>
      </c>
      <c r="FQ18" s="144"/>
      <c r="FR18" s="199">
        <f t="shared" si="31"/>
        <v>0</v>
      </c>
    </row>
    <row r="19" spans="1:174" ht="15" customHeight="1" x14ac:dyDescent="0.2">
      <c r="A19" s="142">
        <v>14</v>
      </c>
      <c r="B19" s="142">
        <f t="shared" si="32"/>
        <v>22997</v>
      </c>
      <c r="C19" s="143">
        <v>23033</v>
      </c>
      <c r="D19" s="137">
        <f t="shared" si="16"/>
        <v>36</v>
      </c>
      <c r="E19" s="192"/>
      <c r="F19" s="142">
        <v>14</v>
      </c>
      <c r="G19" s="142">
        <f t="shared" si="33"/>
        <v>39028</v>
      </c>
      <c r="H19" s="143">
        <v>39028</v>
      </c>
      <c r="I19" s="137">
        <f t="shared" si="17"/>
        <v>0</v>
      </c>
      <c r="J19" s="192"/>
      <c r="K19" s="142">
        <v>14</v>
      </c>
      <c r="L19" s="142">
        <f t="shared" si="34"/>
        <v>840633</v>
      </c>
      <c r="M19" s="143">
        <v>840805</v>
      </c>
      <c r="N19" s="137">
        <f t="shared" si="18"/>
        <v>172</v>
      </c>
      <c r="O19" s="139"/>
      <c r="P19" s="142">
        <v>14</v>
      </c>
      <c r="Q19" s="142">
        <f t="shared" si="35"/>
        <v>238627</v>
      </c>
      <c r="R19" s="143">
        <v>238715</v>
      </c>
      <c r="S19" s="137">
        <f t="shared" si="19"/>
        <v>88</v>
      </c>
      <c r="T19" s="138"/>
      <c r="U19" s="142">
        <v>14</v>
      </c>
      <c r="V19" s="207">
        <f t="shared" si="20"/>
        <v>296</v>
      </c>
      <c r="W19" s="141">
        <f>'Maldives at LG Daily'!I18</f>
        <v>13</v>
      </c>
      <c r="X19" s="144">
        <v>59</v>
      </c>
      <c r="Y19" s="323">
        <f t="shared" si="21"/>
        <v>5.0169491525423728</v>
      </c>
      <c r="AA19" s="201">
        <v>14</v>
      </c>
      <c r="AB19" s="144">
        <f t="shared" si="36"/>
        <v>46194</v>
      </c>
      <c r="AC19" s="144">
        <v>46209</v>
      </c>
      <c r="AD19" s="144">
        <f t="shared" si="22"/>
        <v>15</v>
      </c>
      <c r="AE19" s="144">
        <f t="shared" si="99"/>
        <v>-3</v>
      </c>
      <c r="AF19" s="297"/>
      <c r="AG19" s="201">
        <f t="shared" si="37"/>
        <v>10269</v>
      </c>
      <c r="AH19" s="144">
        <v>10274</v>
      </c>
      <c r="AI19" s="144">
        <f t="shared" si="23"/>
        <v>5</v>
      </c>
      <c r="AJ19" s="144">
        <f t="shared" si="100"/>
        <v>1</v>
      </c>
      <c r="AK19" s="144"/>
      <c r="AL19" s="201">
        <f t="shared" si="38"/>
        <v>9383</v>
      </c>
      <c r="AM19" s="144">
        <v>9392</v>
      </c>
      <c r="AN19" s="144">
        <f t="shared" si="24"/>
        <v>9</v>
      </c>
      <c r="AO19" s="144">
        <f t="shared" si="39"/>
        <v>1</v>
      </c>
      <c r="AP19" s="144"/>
      <c r="AQ19" s="201">
        <f t="shared" si="40"/>
        <v>18673</v>
      </c>
      <c r="AR19" s="144">
        <v>18684</v>
      </c>
      <c r="AS19" s="144">
        <f t="shared" si="25"/>
        <v>11</v>
      </c>
      <c r="AT19" s="144">
        <f t="shared" si="41"/>
        <v>2</v>
      </c>
      <c r="AU19" s="144"/>
      <c r="AV19" s="201">
        <f t="shared" si="42"/>
        <v>35075</v>
      </c>
      <c r="AW19" s="144">
        <v>35082</v>
      </c>
      <c r="AX19" s="144">
        <f t="shared" si="0"/>
        <v>7</v>
      </c>
      <c r="AY19" s="144">
        <f t="shared" si="43"/>
        <v>0</v>
      </c>
      <c r="AZ19" s="144"/>
      <c r="BA19" s="201">
        <f t="shared" si="44"/>
        <v>8907</v>
      </c>
      <c r="BB19" s="144">
        <v>8914</v>
      </c>
      <c r="BC19" s="144">
        <f t="shared" si="1"/>
        <v>7</v>
      </c>
      <c r="BD19" s="144">
        <f t="shared" si="45"/>
        <v>1</v>
      </c>
      <c r="BE19" s="144"/>
      <c r="BF19" s="201">
        <f t="shared" si="46"/>
        <v>25639</v>
      </c>
      <c r="BG19" s="144">
        <v>25647</v>
      </c>
      <c r="BH19" s="144">
        <f t="shared" si="2"/>
        <v>8</v>
      </c>
      <c r="BI19" s="144">
        <f t="shared" si="47"/>
        <v>0</v>
      </c>
      <c r="BJ19" s="144"/>
      <c r="BK19" s="201">
        <f t="shared" si="48"/>
        <v>9644</v>
      </c>
      <c r="BL19" s="144">
        <v>9652</v>
      </c>
      <c r="BM19" s="144">
        <f t="shared" si="3"/>
        <v>8</v>
      </c>
      <c r="BN19" s="144">
        <f t="shared" si="49"/>
        <v>0</v>
      </c>
      <c r="BO19" s="144"/>
      <c r="BP19" s="201">
        <f t="shared" si="50"/>
        <v>4084</v>
      </c>
      <c r="BQ19" s="144">
        <v>4085</v>
      </c>
      <c r="BR19" s="330">
        <f t="shared" si="4"/>
        <v>1</v>
      </c>
      <c r="BS19" s="144">
        <f t="shared" si="51"/>
        <v>0</v>
      </c>
      <c r="BT19" s="144"/>
      <c r="BU19" s="201">
        <f t="shared" si="52"/>
        <v>1850</v>
      </c>
      <c r="BV19" s="144">
        <v>1850</v>
      </c>
      <c r="BW19" s="144">
        <f t="shared" si="5"/>
        <v>0</v>
      </c>
      <c r="BX19" s="144">
        <f t="shared" si="53"/>
        <v>0</v>
      </c>
      <c r="BY19" s="144"/>
      <c r="BZ19" s="205">
        <f t="shared" si="54"/>
        <v>28928</v>
      </c>
      <c r="CA19" s="144">
        <v>28933</v>
      </c>
      <c r="CB19" s="330">
        <f t="shared" si="6"/>
        <v>5</v>
      </c>
      <c r="CC19" s="144">
        <f t="shared" si="55"/>
        <v>-2</v>
      </c>
      <c r="CD19" s="199"/>
      <c r="CE19" s="205">
        <f t="shared" si="56"/>
        <v>3374</v>
      </c>
      <c r="CF19" s="144">
        <v>3377</v>
      </c>
      <c r="CG19" s="144">
        <f t="shared" si="7"/>
        <v>3</v>
      </c>
      <c r="CH19" s="144">
        <f t="shared" si="57"/>
        <v>0</v>
      </c>
      <c r="CI19" s="199"/>
      <c r="CJ19" s="205">
        <f t="shared" si="58"/>
        <v>83728</v>
      </c>
      <c r="CK19" s="144">
        <v>83754</v>
      </c>
      <c r="CL19" s="144">
        <f t="shared" si="8"/>
        <v>26</v>
      </c>
      <c r="CM19" s="144">
        <f t="shared" si="59"/>
        <v>-1</v>
      </c>
      <c r="CN19" s="199"/>
      <c r="CO19" s="205">
        <f t="shared" si="60"/>
        <v>25610</v>
      </c>
      <c r="CP19" s="144">
        <v>25616</v>
      </c>
      <c r="CQ19" s="144">
        <f t="shared" si="9"/>
        <v>6</v>
      </c>
      <c r="CR19" s="144">
        <f t="shared" si="61"/>
        <v>-1</v>
      </c>
      <c r="CS19" s="199"/>
      <c r="CT19" s="205">
        <f t="shared" si="62"/>
        <v>12780</v>
      </c>
      <c r="CU19" s="144">
        <v>12781</v>
      </c>
      <c r="CV19" s="144">
        <f t="shared" si="10"/>
        <v>1</v>
      </c>
      <c r="CW19" s="144">
        <f t="shared" si="63"/>
        <v>0</v>
      </c>
      <c r="CX19" s="199"/>
      <c r="CY19" s="205">
        <f t="shared" si="64"/>
        <v>19569</v>
      </c>
      <c r="CZ19" s="144">
        <v>19569</v>
      </c>
      <c r="DA19" s="144">
        <f t="shared" si="11"/>
        <v>0</v>
      </c>
      <c r="DB19" s="144">
        <f t="shared" si="65"/>
        <v>-1</v>
      </c>
      <c r="DC19" s="199"/>
      <c r="DD19" s="205">
        <f t="shared" si="66"/>
        <v>20814</v>
      </c>
      <c r="DE19" s="144">
        <v>20817</v>
      </c>
      <c r="DF19" s="144">
        <f t="shared" si="12"/>
        <v>3</v>
      </c>
      <c r="DG19" s="144">
        <f t="shared" si="67"/>
        <v>0</v>
      </c>
      <c r="DH19" s="199"/>
      <c r="DI19" s="205">
        <f t="shared" si="68"/>
        <v>9725</v>
      </c>
      <c r="DJ19" s="144">
        <v>9727</v>
      </c>
      <c r="DK19" s="144">
        <f t="shared" si="13"/>
        <v>2</v>
      </c>
      <c r="DL19" s="144">
        <f t="shared" si="69"/>
        <v>-1</v>
      </c>
      <c r="DM19" s="199"/>
      <c r="DN19" s="205">
        <f t="shared" si="70"/>
        <v>25627</v>
      </c>
      <c r="DO19" s="144">
        <v>25639</v>
      </c>
      <c r="DP19" s="144">
        <f t="shared" si="14"/>
        <v>12</v>
      </c>
      <c r="DQ19" s="144">
        <f t="shared" si="71"/>
        <v>5</v>
      </c>
      <c r="DR19" s="199"/>
      <c r="DS19" s="205">
        <f t="shared" si="72"/>
        <v>2669</v>
      </c>
      <c r="DT19" s="144">
        <v>2670</v>
      </c>
      <c r="DU19" s="144">
        <f t="shared" si="15"/>
        <v>1</v>
      </c>
      <c r="DV19" s="144">
        <f t="shared" si="73"/>
        <v>0</v>
      </c>
      <c r="DW19" s="199"/>
      <c r="DX19" s="205">
        <f t="shared" si="74"/>
        <v>10547</v>
      </c>
      <c r="DY19" s="144">
        <v>10547</v>
      </c>
      <c r="DZ19" s="144">
        <f t="shared" si="75"/>
        <v>0</v>
      </c>
      <c r="EA19" s="144">
        <f t="shared" si="76"/>
        <v>0</v>
      </c>
      <c r="EB19" s="199"/>
      <c r="EC19" s="205">
        <f t="shared" ref="EC19:EC36" si="104">ED18</f>
        <v>0</v>
      </c>
      <c r="ED19" s="144"/>
      <c r="EE19" s="199">
        <f t="shared" si="26"/>
        <v>0</v>
      </c>
      <c r="EF19" s="205">
        <f t="shared" si="101"/>
        <v>0</v>
      </c>
      <c r="EG19" s="144"/>
      <c r="EH19" s="199">
        <f t="shared" si="27"/>
        <v>0</v>
      </c>
      <c r="EI19" s="205">
        <f t="shared" si="102"/>
        <v>0</v>
      </c>
      <c r="EJ19" s="144"/>
      <c r="EK19" s="199">
        <f t="shared" si="28"/>
        <v>0</v>
      </c>
      <c r="EL19" s="205">
        <f t="shared" si="103"/>
        <v>0</v>
      </c>
      <c r="EM19" s="144"/>
      <c r="EN19" s="199">
        <f t="shared" si="29"/>
        <v>0</v>
      </c>
      <c r="EO19" s="205">
        <f t="shared" si="81"/>
        <v>0</v>
      </c>
      <c r="EP19" s="144"/>
      <c r="EQ19" s="199">
        <f t="shared" si="30"/>
        <v>0</v>
      </c>
      <c r="ER19" s="205">
        <f t="shared" si="82"/>
        <v>0</v>
      </c>
      <c r="ES19" s="144"/>
      <c r="ET19" s="199">
        <f t="shared" si="83"/>
        <v>0</v>
      </c>
      <c r="EU19" s="205">
        <f t="shared" si="84"/>
        <v>0</v>
      </c>
      <c r="EV19" s="144"/>
      <c r="EW19" s="199">
        <f t="shared" si="85"/>
        <v>0</v>
      </c>
      <c r="EX19" s="205">
        <f t="shared" si="86"/>
        <v>0</v>
      </c>
      <c r="EY19" s="144"/>
      <c r="EZ19" s="199">
        <f t="shared" si="87"/>
        <v>0</v>
      </c>
      <c r="FA19" s="205">
        <f t="shared" si="88"/>
        <v>0</v>
      </c>
      <c r="FB19" s="144"/>
      <c r="FC19" s="199">
        <f t="shared" si="89"/>
        <v>0</v>
      </c>
      <c r="FD19" s="205">
        <f t="shared" si="90"/>
        <v>0</v>
      </c>
      <c r="FE19" s="144"/>
      <c r="FF19" s="199">
        <f t="shared" si="91"/>
        <v>0</v>
      </c>
      <c r="FG19" s="205">
        <f t="shared" si="92"/>
        <v>0</v>
      </c>
      <c r="FH19" s="144"/>
      <c r="FI19" s="199">
        <f t="shared" si="93"/>
        <v>0</v>
      </c>
      <c r="FJ19" s="205">
        <f t="shared" si="94"/>
        <v>0</v>
      </c>
      <c r="FK19" s="144"/>
      <c r="FL19" s="199">
        <f t="shared" si="95"/>
        <v>0</v>
      </c>
      <c r="FM19" s="205">
        <f t="shared" si="96"/>
        <v>0</v>
      </c>
      <c r="FN19" s="144"/>
      <c r="FO19" s="199">
        <f t="shared" si="97"/>
        <v>0</v>
      </c>
      <c r="FP19" s="205">
        <f t="shared" si="98"/>
        <v>0</v>
      </c>
      <c r="FQ19" s="144"/>
      <c r="FR19" s="199">
        <f t="shared" si="31"/>
        <v>0</v>
      </c>
    </row>
    <row r="20" spans="1:174" ht="15" customHeight="1" x14ac:dyDescent="0.2">
      <c r="A20" s="142">
        <v>15</v>
      </c>
      <c r="B20" s="142">
        <f t="shared" si="32"/>
        <v>23033</v>
      </c>
      <c r="C20" s="143">
        <v>23084</v>
      </c>
      <c r="D20" s="137">
        <f t="shared" si="16"/>
        <v>51</v>
      </c>
      <c r="E20" s="192"/>
      <c r="F20" s="142">
        <v>15</v>
      </c>
      <c r="G20" s="142">
        <f t="shared" si="33"/>
        <v>39028</v>
      </c>
      <c r="H20" s="143">
        <v>39028</v>
      </c>
      <c r="I20" s="137">
        <f t="shared" si="17"/>
        <v>0</v>
      </c>
      <c r="J20" s="192"/>
      <c r="K20" s="142">
        <v>15</v>
      </c>
      <c r="L20" s="142">
        <f t="shared" si="34"/>
        <v>840805</v>
      </c>
      <c r="M20" s="143">
        <v>840996</v>
      </c>
      <c r="N20" s="137">
        <f t="shared" si="18"/>
        <v>191</v>
      </c>
      <c r="O20" s="139"/>
      <c r="P20" s="142">
        <v>15</v>
      </c>
      <c r="Q20" s="142">
        <f t="shared" si="35"/>
        <v>238715</v>
      </c>
      <c r="R20" s="143">
        <v>238834</v>
      </c>
      <c r="S20" s="137">
        <f t="shared" si="19"/>
        <v>119</v>
      </c>
      <c r="T20" s="138"/>
      <c r="U20" s="140">
        <v>15</v>
      </c>
      <c r="V20" s="207">
        <f t="shared" si="20"/>
        <v>361</v>
      </c>
      <c r="W20" s="141">
        <f>'Maldives at LG Daily'!I19</f>
        <v>12</v>
      </c>
      <c r="X20" s="144">
        <v>63</v>
      </c>
      <c r="Y20" s="323">
        <f t="shared" si="21"/>
        <v>5.7301587301587302</v>
      </c>
      <c r="AA20" s="201">
        <v>15</v>
      </c>
      <c r="AB20" s="144">
        <f t="shared" si="36"/>
        <v>46209</v>
      </c>
      <c r="AC20" s="144">
        <v>46225</v>
      </c>
      <c r="AD20" s="144">
        <f t="shared" si="22"/>
        <v>16</v>
      </c>
      <c r="AE20" s="144">
        <f t="shared" si="99"/>
        <v>1</v>
      </c>
      <c r="AF20" s="297"/>
      <c r="AG20" s="201">
        <f t="shared" si="37"/>
        <v>10274</v>
      </c>
      <c r="AH20" s="144">
        <v>10278</v>
      </c>
      <c r="AI20" s="144">
        <f t="shared" si="23"/>
        <v>4</v>
      </c>
      <c r="AJ20" s="144">
        <f t="shared" si="100"/>
        <v>-1</v>
      </c>
      <c r="AK20" s="144"/>
      <c r="AL20" s="201">
        <f t="shared" si="38"/>
        <v>9392</v>
      </c>
      <c r="AM20" s="144">
        <v>9401</v>
      </c>
      <c r="AN20" s="144">
        <f t="shared" si="24"/>
        <v>9</v>
      </c>
      <c r="AO20" s="144">
        <f t="shared" si="39"/>
        <v>0</v>
      </c>
      <c r="AP20" s="144"/>
      <c r="AQ20" s="201">
        <f t="shared" si="40"/>
        <v>18684</v>
      </c>
      <c r="AR20" s="144">
        <v>18694</v>
      </c>
      <c r="AS20" s="144">
        <f t="shared" si="25"/>
        <v>10</v>
      </c>
      <c r="AT20" s="144">
        <f t="shared" si="41"/>
        <v>-1</v>
      </c>
      <c r="AU20" s="144"/>
      <c r="AV20" s="201">
        <f t="shared" si="42"/>
        <v>35082</v>
      </c>
      <c r="AW20" s="144">
        <v>35089</v>
      </c>
      <c r="AX20" s="144">
        <f t="shared" si="0"/>
        <v>7</v>
      </c>
      <c r="AY20" s="144">
        <f t="shared" si="43"/>
        <v>0</v>
      </c>
      <c r="AZ20" s="144"/>
      <c r="BA20" s="201">
        <f t="shared" si="44"/>
        <v>8914</v>
      </c>
      <c r="BB20" s="144">
        <v>8921</v>
      </c>
      <c r="BC20" s="144">
        <f t="shared" si="1"/>
        <v>7</v>
      </c>
      <c r="BD20" s="144">
        <f t="shared" si="45"/>
        <v>0</v>
      </c>
      <c r="BE20" s="144"/>
      <c r="BF20" s="201">
        <f t="shared" si="46"/>
        <v>25647</v>
      </c>
      <c r="BG20" s="144">
        <v>25655</v>
      </c>
      <c r="BH20" s="144">
        <f t="shared" si="2"/>
        <v>8</v>
      </c>
      <c r="BI20" s="144">
        <f t="shared" si="47"/>
        <v>0</v>
      </c>
      <c r="BJ20" s="144"/>
      <c r="BK20" s="201">
        <f t="shared" si="48"/>
        <v>9652</v>
      </c>
      <c r="BL20" s="144">
        <v>9659</v>
      </c>
      <c r="BM20" s="144">
        <f t="shared" si="3"/>
        <v>7</v>
      </c>
      <c r="BN20" s="144">
        <f t="shared" si="49"/>
        <v>-1</v>
      </c>
      <c r="BO20" s="144"/>
      <c r="BP20" s="201">
        <f t="shared" si="50"/>
        <v>4085</v>
      </c>
      <c r="BQ20" s="144">
        <v>4086</v>
      </c>
      <c r="BR20" s="330">
        <f t="shared" si="4"/>
        <v>1</v>
      </c>
      <c r="BS20" s="144">
        <f t="shared" si="51"/>
        <v>0</v>
      </c>
      <c r="BT20" s="144"/>
      <c r="BU20" s="201">
        <f t="shared" si="52"/>
        <v>1850</v>
      </c>
      <c r="BV20" s="144">
        <v>1851</v>
      </c>
      <c r="BW20" s="144">
        <f t="shared" si="5"/>
        <v>1</v>
      </c>
      <c r="BX20" s="144">
        <f t="shared" si="53"/>
        <v>1</v>
      </c>
      <c r="BY20" s="144"/>
      <c r="BZ20" s="205">
        <f t="shared" si="54"/>
        <v>28933</v>
      </c>
      <c r="CA20" s="144">
        <v>28946</v>
      </c>
      <c r="CB20" s="330">
        <f t="shared" si="6"/>
        <v>13</v>
      </c>
      <c r="CC20" s="144">
        <f t="shared" si="55"/>
        <v>8</v>
      </c>
      <c r="CD20" s="199"/>
      <c r="CE20" s="205">
        <f t="shared" si="56"/>
        <v>3377</v>
      </c>
      <c r="CF20" s="144">
        <v>3379</v>
      </c>
      <c r="CG20" s="144">
        <f t="shared" si="7"/>
        <v>2</v>
      </c>
      <c r="CH20" s="144">
        <f t="shared" si="57"/>
        <v>-1</v>
      </c>
      <c r="CI20" s="199"/>
      <c r="CJ20" s="205">
        <f t="shared" si="58"/>
        <v>83754</v>
      </c>
      <c r="CK20" s="144">
        <v>83781</v>
      </c>
      <c r="CL20" s="144">
        <f t="shared" si="8"/>
        <v>27</v>
      </c>
      <c r="CM20" s="144">
        <f t="shared" si="59"/>
        <v>1</v>
      </c>
      <c r="CN20" s="199"/>
      <c r="CO20" s="205">
        <f t="shared" si="60"/>
        <v>25616</v>
      </c>
      <c r="CP20" s="144">
        <v>25622</v>
      </c>
      <c r="CQ20" s="144">
        <f t="shared" si="9"/>
        <v>6</v>
      </c>
      <c r="CR20" s="144">
        <f t="shared" si="61"/>
        <v>0</v>
      </c>
      <c r="CS20" s="199"/>
      <c r="CT20" s="205">
        <f t="shared" si="62"/>
        <v>12781</v>
      </c>
      <c r="CU20" s="144">
        <v>12782</v>
      </c>
      <c r="CV20" s="144">
        <f t="shared" si="10"/>
        <v>1</v>
      </c>
      <c r="CW20" s="144">
        <f t="shared" si="63"/>
        <v>0</v>
      </c>
      <c r="CX20" s="199"/>
      <c r="CY20" s="205">
        <f t="shared" si="64"/>
        <v>19569</v>
      </c>
      <c r="CZ20" s="144">
        <v>19585</v>
      </c>
      <c r="DA20" s="144">
        <f t="shared" si="11"/>
        <v>16</v>
      </c>
      <c r="DB20" s="144">
        <f t="shared" si="65"/>
        <v>16</v>
      </c>
      <c r="DC20" s="199"/>
      <c r="DD20" s="205">
        <f t="shared" si="66"/>
        <v>20817</v>
      </c>
      <c r="DE20" s="144">
        <v>20819</v>
      </c>
      <c r="DF20" s="144">
        <f t="shared" si="12"/>
        <v>2</v>
      </c>
      <c r="DG20" s="144">
        <f t="shared" si="67"/>
        <v>-1</v>
      </c>
      <c r="DH20" s="199"/>
      <c r="DI20" s="205">
        <f t="shared" si="68"/>
        <v>9727</v>
      </c>
      <c r="DJ20" s="144">
        <v>9734</v>
      </c>
      <c r="DK20" s="144">
        <f t="shared" si="13"/>
        <v>7</v>
      </c>
      <c r="DL20" s="144">
        <f t="shared" si="69"/>
        <v>5</v>
      </c>
      <c r="DM20" s="199"/>
      <c r="DN20" s="205">
        <f t="shared" si="70"/>
        <v>25639</v>
      </c>
      <c r="DO20" s="144">
        <v>25645</v>
      </c>
      <c r="DP20" s="144">
        <f t="shared" si="14"/>
        <v>6</v>
      </c>
      <c r="DQ20" s="144">
        <f t="shared" si="71"/>
        <v>-6</v>
      </c>
      <c r="DR20" s="199"/>
      <c r="DS20" s="205">
        <f t="shared" si="72"/>
        <v>2670</v>
      </c>
      <c r="DT20" s="144">
        <v>2672</v>
      </c>
      <c r="DU20" s="144">
        <f t="shared" si="15"/>
        <v>2</v>
      </c>
      <c r="DV20" s="144">
        <f t="shared" si="73"/>
        <v>1</v>
      </c>
      <c r="DW20" s="199"/>
      <c r="DX20" s="205">
        <f t="shared" si="74"/>
        <v>10547</v>
      </c>
      <c r="DY20" s="144">
        <v>10547</v>
      </c>
      <c r="DZ20" s="144">
        <f t="shared" si="75"/>
        <v>0</v>
      </c>
      <c r="EA20" s="144">
        <f t="shared" si="76"/>
        <v>0</v>
      </c>
      <c r="EB20" s="199"/>
      <c r="EC20" s="205">
        <f t="shared" si="104"/>
        <v>0</v>
      </c>
      <c r="ED20" s="144"/>
      <c r="EE20" s="199">
        <f t="shared" si="26"/>
        <v>0</v>
      </c>
      <c r="EF20" s="205">
        <f t="shared" si="101"/>
        <v>0</v>
      </c>
      <c r="EG20" s="144"/>
      <c r="EH20" s="199">
        <f t="shared" si="27"/>
        <v>0</v>
      </c>
      <c r="EI20" s="205">
        <f t="shared" si="102"/>
        <v>0</v>
      </c>
      <c r="EJ20" s="144"/>
      <c r="EK20" s="199">
        <f t="shared" si="28"/>
        <v>0</v>
      </c>
      <c r="EL20" s="205">
        <f t="shared" si="103"/>
        <v>0</v>
      </c>
      <c r="EM20" s="144"/>
      <c r="EN20" s="199">
        <f t="shared" si="29"/>
        <v>0</v>
      </c>
      <c r="EO20" s="205">
        <f t="shared" si="81"/>
        <v>0</v>
      </c>
      <c r="EP20" s="144"/>
      <c r="EQ20" s="199">
        <f t="shared" si="30"/>
        <v>0</v>
      </c>
      <c r="ER20" s="205">
        <f t="shared" si="82"/>
        <v>0</v>
      </c>
      <c r="ES20" s="144"/>
      <c r="ET20" s="199">
        <f t="shared" si="83"/>
        <v>0</v>
      </c>
      <c r="EU20" s="205">
        <f t="shared" si="84"/>
        <v>0</v>
      </c>
      <c r="EV20" s="144"/>
      <c r="EW20" s="199">
        <f t="shared" si="85"/>
        <v>0</v>
      </c>
      <c r="EX20" s="205">
        <f t="shared" si="86"/>
        <v>0</v>
      </c>
      <c r="EY20" s="144"/>
      <c r="EZ20" s="199">
        <f t="shared" si="87"/>
        <v>0</v>
      </c>
      <c r="FA20" s="205">
        <f t="shared" si="88"/>
        <v>0</v>
      </c>
      <c r="FB20" s="144"/>
      <c r="FC20" s="199">
        <f t="shared" si="89"/>
        <v>0</v>
      </c>
      <c r="FD20" s="205">
        <f t="shared" si="90"/>
        <v>0</v>
      </c>
      <c r="FE20" s="144"/>
      <c r="FF20" s="199">
        <f t="shared" si="91"/>
        <v>0</v>
      </c>
      <c r="FG20" s="205">
        <f t="shared" si="92"/>
        <v>0</v>
      </c>
      <c r="FH20" s="144"/>
      <c r="FI20" s="199">
        <f t="shared" si="93"/>
        <v>0</v>
      </c>
      <c r="FJ20" s="205">
        <f t="shared" si="94"/>
        <v>0</v>
      </c>
      <c r="FK20" s="144"/>
      <c r="FL20" s="199">
        <f t="shared" si="95"/>
        <v>0</v>
      </c>
      <c r="FM20" s="205">
        <f t="shared" si="96"/>
        <v>0</v>
      </c>
      <c r="FN20" s="144"/>
      <c r="FO20" s="199">
        <f t="shared" si="97"/>
        <v>0</v>
      </c>
      <c r="FP20" s="205">
        <f t="shared" si="98"/>
        <v>0</v>
      </c>
      <c r="FQ20" s="144"/>
      <c r="FR20" s="199">
        <f t="shared" si="31"/>
        <v>0</v>
      </c>
    </row>
    <row r="21" spans="1:174" ht="15" customHeight="1" x14ac:dyDescent="0.2">
      <c r="A21" s="142">
        <v>16</v>
      </c>
      <c r="B21" s="142">
        <f t="shared" si="32"/>
        <v>23084</v>
      </c>
      <c r="C21" s="143">
        <v>23084</v>
      </c>
      <c r="D21" s="137">
        <f t="shared" si="16"/>
        <v>0</v>
      </c>
      <c r="E21" s="192"/>
      <c r="F21" s="142">
        <v>16</v>
      </c>
      <c r="G21" s="142">
        <f t="shared" si="33"/>
        <v>39028</v>
      </c>
      <c r="H21" s="143">
        <v>39028</v>
      </c>
      <c r="I21" s="137">
        <f t="shared" si="17"/>
        <v>0</v>
      </c>
      <c r="J21" s="192"/>
      <c r="K21" s="142">
        <v>16</v>
      </c>
      <c r="L21" s="142">
        <f t="shared" si="34"/>
        <v>840996</v>
      </c>
      <c r="M21" s="143">
        <v>841235</v>
      </c>
      <c r="N21" s="137">
        <f t="shared" si="18"/>
        <v>239</v>
      </c>
      <c r="O21" s="139"/>
      <c r="P21" s="142">
        <v>16</v>
      </c>
      <c r="Q21" s="142">
        <f t="shared" si="35"/>
        <v>238834</v>
      </c>
      <c r="R21" s="143">
        <v>238965</v>
      </c>
      <c r="S21" s="137">
        <f t="shared" si="19"/>
        <v>131</v>
      </c>
      <c r="T21" s="138"/>
      <c r="U21" s="140">
        <v>16</v>
      </c>
      <c r="V21" s="207">
        <f t="shared" si="20"/>
        <v>370</v>
      </c>
      <c r="W21" s="141">
        <f>'Maldives at LG Daily'!I20</f>
        <v>15</v>
      </c>
      <c r="X21" s="160">
        <v>62</v>
      </c>
      <c r="Y21" s="323">
        <f t="shared" si="21"/>
        <v>5.967741935483871</v>
      </c>
      <c r="AA21" s="201">
        <v>16</v>
      </c>
      <c r="AB21" s="144">
        <f t="shared" si="36"/>
        <v>46225</v>
      </c>
      <c r="AC21" s="144">
        <v>46241</v>
      </c>
      <c r="AD21" s="144">
        <f t="shared" si="22"/>
        <v>16</v>
      </c>
      <c r="AE21" s="144">
        <f t="shared" si="99"/>
        <v>0</v>
      </c>
      <c r="AF21" s="297"/>
      <c r="AG21" s="201">
        <f t="shared" si="37"/>
        <v>10278</v>
      </c>
      <c r="AH21" s="144">
        <v>10283</v>
      </c>
      <c r="AI21" s="144">
        <f t="shared" si="23"/>
        <v>5</v>
      </c>
      <c r="AJ21" s="144">
        <f t="shared" si="100"/>
        <v>1</v>
      </c>
      <c r="AK21" s="144"/>
      <c r="AL21" s="201">
        <f t="shared" si="38"/>
        <v>9401</v>
      </c>
      <c r="AM21" s="144">
        <v>9409</v>
      </c>
      <c r="AN21" s="144">
        <f t="shared" si="24"/>
        <v>8</v>
      </c>
      <c r="AO21" s="144">
        <f t="shared" si="39"/>
        <v>-1</v>
      </c>
      <c r="AP21" s="144"/>
      <c r="AQ21" s="201">
        <f t="shared" si="40"/>
        <v>18694</v>
      </c>
      <c r="AR21" s="144">
        <v>18704</v>
      </c>
      <c r="AS21" s="144">
        <f t="shared" si="25"/>
        <v>10</v>
      </c>
      <c r="AT21" s="144">
        <f t="shared" si="41"/>
        <v>0</v>
      </c>
      <c r="AU21" s="144"/>
      <c r="AV21" s="201">
        <f t="shared" si="42"/>
        <v>35089</v>
      </c>
      <c r="AW21" s="144">
        <v>35095</v>
      </c>
      <c r="AX21" s="144">
        <f t="shared" si="0"/>
        <v>6</v>
      </c>
      <c r="AY21" s="144">
        <f t="shared" si="43"/>
        <v>-1</v>
      </c>
      <c r="AZ21" s="144"/>
      <c r="BA21" s="201">
        <f t="shared" si="44"/>
        <v>8921</v>
      </c>
      <c r="BB21" s="144">
        <v>8928</v>
      </c>
      <c r="BC21" s="144">
        <f t="shared" si="1"/>
        <v>7</v>
      </c>
      <c r="BD21" s="144">
        <f t="shared" si="45"/>
        <v>0</v>
      </c>
      <c r="BE21" s="144"/>
      <c r="BF21" s="201">
        <f t="shared" si="46"/>
        <v>25655</v>
      </c>
      <c r="BG21" s="144">
        <v>25662</v>
      </c>
      <c r="BH21" s="144">
        <f t="shared" si="2"/>
        <v>7</v>
      </c>
      <c r="BI21" s="144">
        <f t="shared" si="47"/>
        <v>-1</v>
      </c>
      <c r="BJ21" s="144"/>
      <c r="BK21" s="201">
        <f t="shared" si="48"/>
        <v>9659</v>
      </c>
      <c r="BL21" s="144">
        <v>9666</v>
      </c>
      <c r="BM21" s="144">
        <f t="shared" si="3"/>
        <v>7</v>
      </c>
      <c r="BN21" s="144">
        <f t="shared" si="49"/>
        <v>0</v>
      </c>
      <c r="BO21" s="144"/>
      <c r="BP21" s="201">
        <f t="shared" si="50"/>
        <v>4086</v>
      </c>
      <c r="BQ21" s="144">
        <v>4087</v>
      </c>
      <c r="BR21" s="330">
        <f t="shared" si="4"/>
        <v>1</v>
      </c>
      <c r="BS21" s="144">
        <f t="shared" si="51"/>
        <v>0</v>
      </c>
      <c r="BT21" s="144"/>
      <c r="BU21" s="201">
        <f t="shared" si="52"/>
        <v>1851</v>
      </c>
      <c r="BV21" s="144">
        <v>1851</v>
      </c>
      <c r="BW21" s="144">
        <f t="shared" si="5"/>
        <v>0</v>
      </c>
      <c r="BX21" s="144">
        <f t="shared" si="53"/>
        <v>-1</v>
      </c>
      <c r="BY21" s="144"/>
      <c r="BZ21" s="205">
        <f t="shared" si="54"/>
        <v>28946</v>
      </c>
      <c r="CA21" s="144">
        <v>28952</v>
      </c>
      <c r="CB21" s="330">
        <f t="shared" si="6"/>
        <v>6</v>
      </c>
      <c r="CC21" s="144">
        <f t="shared" si="55"/>
        <v>-7</v>
      </c>
      <c r="CD21" s="199"/>
      <c r="CE21" s="205">
        <f t="shared" si="56"/>
        <v>3379</v>
      </c>
      <c r="CF21" s="144">
        <v>3387</v>
      </c>
      <c r="CG21" s="144">
        <f t="shared" si="7"/>
        <v>8</v>
      </c>
      <c r="CH21" s="144">
        <f t="shared" si="57"/>
        <v>6</v>
      </c>
      <c r="CI21" s="199"/>
      <c r="CJ21" s="205">
        <f t="shared" si="58"/>
        <v>83781</v>
      </c>
      <c r="CK21" s="144">
        <v>83809</v>
      </c>
      <c r="CL21" s="144">
        <f t="shared" si="8"/>
        <v>28</v>
      </c>
      <c r="CM21" s="144">
        <f t="shared" si="59"/>
        <v>1</v>
      </c>
      <c r="CN21" s="199"/>
      <c r="CO21" s="205">
        <f t="shared" si="60"/>
        <v>25622</v>
      </c>
      <c r="CP21" s="144">
        <v>25630</v>
      </c>
      <c r="CQ21" s="144">
        <f t="shared" si="9"/>
        <v>8</v>
      </c>
      <c r="CR21" s="144">
        <f t="shared" si="61"/>
        <v>2</v>
      </c>
      <c r="CS21" s="199"/>
      <c r="CT21" s="205">
        <f t="shared" si="62"/>
        <v>12782</v>
      </c>
      <c r="CU21" s="144">
        <v>12782</v>
      </c>
      <c r="CV21" s="144">
        <f t="shared" si="10"/>
        <v>0</v>
      </c>
      <c r="CW21" s="144">
        <f t="shared" si="63"/>
        <v>-1</v>
      </c>
      <c r="CX21" s="199"/>
      <c r="CY21" s="205">
        <f t="shared" si="64"/>
        <v>19585</v>
      </c>
      <c r="CZ21" s="144">
        <v>19590</v>
      </c>
      <c r="DA21" s="144">
        <f t="shared" si="11"/>
        <v>5</v>
      </c>
      <c r="DB21" s="144">
        <f t="shared" si="65"/>
        <v>-11</v>
      </c>
      <c r="DC21" s="199"/>
      <c r="DD21" s="205">
        <f t="shared" si="66"/>
        <v>20819</v>
      </c>
      <c r="DE21" s="144">
        <v>20823</v>
      </c>
      <c r="DF21" s="144">
        <f t="shared" si="12"/>
        <v>4</v>
      </c>
      <c r="DG21" s="144">
        <f t="shared" si="67"/>
        <v>2</v>
      </c>
      <c r="DH21" s="199"/>
      <c r="DI21" s="205">
        <f t="shared" si="68"/>
        <v>9734</v>
      </c>
      <c r="DJ21" s="144">
        <v>9744</v>
      </c>
      <c r="DK21" s="144">
        <f t="shared" si="13"/>
        <v>10</v>
      </c>
      <c r="DL21" s="144">
        <f t="shared" si="69"/>
        <v>3</v>
      </c>
      <c r="DM21" s="199"/>
      <c r="DN21" s="205">
        <f t="shared" si="70"/>
        <v>25645</v>
      </c>
      <c r="DO21" s="144">
        <v>25654</v>
      </c>
      <c r="DP21" s="144">
        <f t="shared" si="14"/>
        <v>9</v>
      </c>
      <c r="DQ21" s="144">
        <f t="shared" si="71"/>
        <v>3</v>
      </c>
      <c r="DR21" s="199"/>
      <c r="DS21" s="205">
        <f t="shared" si="72"/>
        <v>2672</v>
      </c>
      <c r="DT21" s="144">
        <v>2676</v>
      </c>
      <c r="DU21" s="144">
        <f t="shared" si="15"/>
        <v>4</v>
      </c>
      <c r="DV21" s="144">
        <f t="shared" si="73"/>
        <v>2</v>
      </c>
      <c r="DW21" s="199"/>
      <c r="DX21" s="205">
        <f t="shared" si="74"/>
        <v>10547</v>
      </c>
      <c r="DY21" s="144">
        <v>10547</v>
      </c>
      <c r="DZ21" s="144">
        <f t="shared" si="75"/>
        <v>0</v>
      </c>
      <c r="EA21" s="144">
        <f t="shared" si="76"/>
        <v>0</v>
      </c>
      <c r="EB21" s="199"/>
      <c r="EC21" s="205">
        <f t="shared" si="104"/>
        <v>0</v>
      </c>
      <c r="ED21" s="144"/>
      <c r="EE21" s="199">
        <f t="shared" si="26"/>
        <v>0</v>
      </c>
      <c r="EF21" s="205">
        <f t="shared" si="101"/>
        <v>0</v>
      </c>
      <c r="EG21" s="144"/>
      <c r="EH21" s="199">
        <f t="shared" si="27"/>
        <v>0</v>
      </c>
      <c r="EI21" s="205">
        <f t="shared" si="102"/>
        <v>0</v>
      </c>
      <c r="EJ21" s="144"/>
      <c r="EK21" s="199">
        <f t="shared" si="28"/>
        <v>0</v>
      </c>
      <c r="EL21" s="205">
        <f t="shared" si="103"/>
        <v>0</v>
      </c>
      <c r="EM21" s="144"/>
      <c r="EN21" s="199">
        <f t="shared" si="29"/>
        <v>0</v>
      </c>
      <c r="EO21" s="205">
        <f t="shared" si="81"/>
        <v>0</v>
      </c>
      <c r="EP21" s="144"/>
      <c r="EQ21" s="199">
        <f t="shared" si="30"/>
        <v>0</v>
      </c>
      <c r="ER21" s="205">
        <f t="shared" si="82"/>
        <v>0</v>
      </c>
      <c r="ES21" s="144"/>
      <c r="ET21" s="199">
        <f t="shared" si="83"/>
        <v>0</v>
      </c>
      <c r="EU21" s="205">
        <f t="shared" si="84"/>
        <v>0</v>
      </c>
      <c r="EV21" s="144"/>
      <c r="EW21" s="199">
        <f t="shared" si="85"/>
        <v>0</v>
      </c>
      <c r="EX21" s="205">
        <f t="shared" si="86"/>
        <v>0</v>
      </c>
      <c r="EY21" s="144"/>
      <c r="EZ21" s="199">
        <f t="shared" si="87"/>
        <v>0</v>
      </c>
      <c r="FA21" s="205">
        <f t="shared" si="88"/>
        <v>0</v>
      </c>
      <c r="FB21" s="144"/>
      <c r="FC21" s="199">
        <f t="shared" si="89"/>
        <v>0</v>
      </c>
      <c r="FD21" s="205">
        <f t="shared" si="90"/>
        <v>0</v>
      </c>
      <c r="FE21" s="144"/>
      <c r="FF21" s="199">
        <f t="shared" si="91"/>
        <v>0</v>
      </c>
      <c r="FG21" s="205">
        <f t="shared" si="92"/>
        <v>0</v>
      </c>
      <c r="FH21" s="144"/>
      <c r="FI21" s="199">
        <f t="shared" si="93"/>
        <v>0</v>
      </c>
      <c r="FJ21" s="205">
        <f t="shared" si="94"/>
        <v>0</v>
      </c>
      <c r="FK21" s="144"/>
      <c r="FL21" s="199">
        <f t="shared" si="95"/>
        <v>0</v>
      </c>
      <c r="FM21" s="205">
        <f t="shared" si="96"/>
        <v>0</v>
      </c>
      <c r="FN21" s="144"/>
      <c r="FO21" s="199">
        <f t="shared" si="97"/>
        <v>0</v>
      </c>
      <c r="FP21" s="205">
        <f t="shared" si="98"/>
        <v>0</v>
      </c>
      <c r="FQ21" s="144"/>
      <c r="FR21" s="199">
        <f t="shared" si="31"/>
        <v>0</v>
      </c>
    </row>
    <row r="22" spans="1:174" ht="15" customHeight="1" x14ac:dyDescent="0.2">
      <c r="A22" s="142">
        <v>17</v>
      </c>
      <c r="B22" s="142">
        <f t="shared" si="32"/>
        <v>23084</v>
      </c>
      <c r="C22" s="143">
        <v>23084</v>
      </c>
      <c r="D22" s="137">
        <f t="shared" si="16"/>
        <v>0</v>
      </c>
      <c r="E22" s="192"/>
      <c r="F22" s="142">
        <v>17</v>
      </c>
      <c r="G22" s="142">
        <f t="shared" si="33"/>
        <v>39028</v>
      </c>
      <c r="H22" s="143">
        <v>39028</v>
      </c>
      <c r="I22" s="137">
        <f t="shared" si="17"/>
        <v>0</v>
      </c>
      <c r="J22" s="192"/>
      <c r="K22" s="142">
        <v>17</v>
      </c>
      <c r="L22" s="142">
        <f t="shared" si="34"/>
        <v>841235</v>
      </c>
      <c r="M22" s="143">
        <v>841453</v>
      </c>
      <c r="N22" s="137">
        <f t="shared" si="18"/>
        <v>218</v>
      </c>
      <c r="O22" s="139"/>
      <c r="P22" s="142">
        <v>17</v>
      </c>
      <c r="Q22" s="142">
        <f t="shared" si="35"/>
        <v>238965</v>
      </c>
      <c r="R22" s="143">
        <v>239092</v>
      </c>
      <c r="S22" s="137">
        <f t="shared" si="19"/>
        <v>127</v>
      </c>
      <c r="T22" s="138"/>
      <c r="U22" s="142">
        <v>17</v>
      </c>
      <c r="V22" s="207">
        <f t="shared" si="20"/>
        <v>345</v>
      </c>
      <c r="W22" s="141">
        <f>'Maldives at LG Daily'!I21</f>
        <v>16</v>
      </c>
      <c r="X22" s="160">
        <v>47</v>
      </c>
      <c r="Y22" s="323">
        <f t="shared" si="21"/>
        <v>7.3404255319148932</v>
      </c>
      <c r="AA22" s="201">
        <v>17</v>
      </c>
      <c r="AB22" s="144">
        <f t="shared" si="36"/>
        <v>46241</v>
      </c>
      <c r="AC22" s="144">
        <v>46258</v>
      </c>
      <c r="AD22" s="144">
        <f t="shared" si="22"/>
        <v>17</v>
      </c>
      <c r="AE22" s="144">
        <f t="shared" si="99"/>
        <v>1</v>
      </c>
      <c r="AF22" s="297"/>
      <c r="AG22" s="201">
        <f t="shared" si="37"/>
        <v>10283</v>
      </c>
      <c r="AH22" s="144">
        <v>10287</v>
      </c>
      <c r="AI22" s="144">
        <f t="shared" si="23"/>
        <v>4</v>
      </c>
      <c r="AJ22" s="144">
        <f t="shared" si="100"/>
        <v>-1</v>
      </c>
      <c r="AK22" s="144"/>
      <c r="AL22" s="201">
        <f t="shared" si="38"/>
        <v>9409</v>
      </c>
      <c r="AM22" s="144">
        <v>9418</v>
      </c>
      <c r="AN22" s="144">
        <f t="shared" si="24"/>
        <v>9</v>
      </c>
      <c r="AO22" s="144">
        <f t="shared" si="39"/>
        <v>1</v>
      </c>
      <c r="AP22" s="144"/>
      <c r="AQ22" s="201">
        <f t="shared" si="40"/>
        <v>18704</v>
      </c>
      <c r="AR22" s="144">
        <v>18716</v>
      </c>
      <c r="AS22" s="144">
        <f t="shared" si="25"/>
        <v>12</v>
      </c>
      <c r="AT22" s="144">
        <f t="shared" si="41"/>
        <v>2</v>
      </c>
      <c r="AU22" s="144"/>
      <c r="AV22" s="201">
        <f t="shared" si="42"/>
        <v>35095</v>
      </c>
      <c r="AW22" s="144">
        <v>35101</v>
      </c>
      <c r="AX22" s="144">
        <f t="shared" si="0"/>
        <v>6</v>
      </c>
      <c r="AY22" s="144">
        <f t="shared" si="43"/>
        <v>0</v>
      </c>
      <c r="AZ22" s="144"/>
      <c r="BA22" s="201">
        <f t="shared" si="44"/>
        <v>8928</v>
      </c>
      <c r="BB22" s="144">
        <v>8935</v>
      </c>
      <c r="BC22" s="144">
        <f t="shared" si="1"/>
        <v>7</v>
      </c>
      <c r="BD22" s="144">
        <f t="shared" si="45"/>
        <v>0</v>
      </c>
      <c r="BE22" s="144"/>
      <c r="BF22" s="201">
        <f t="shared" si="46"/>
        <v>25662</v>
      </c>
      <c r="BG22" s="144">
        <v>25670</v>
      </c>
      <c r="BH22" s="144">
        <f t="shared" si="2"/>
        <v>8</v>
      </c>
      <c r="BI22" s="144">
        <f t="shared" si="47"/>
        <v>1</v>
      </c>
      <c r="BJ22" s="144"/>
      <c r="BK22" s="201">
        <f t="shared" si="48"/>
        <v>9666</v>
      </c>
      <c r="BL22" s="144">
        <v>9673</v>
      </c>
      <c r="BM22" s="144">
        <f t="shared" si="3"/>
        <v>7</v>
      </c>
      <c r="BN22" s="144">
        <f t="shared" si="49"/>
        <v>0</v>
      </c>
      <c r="BO22" s="144"/>
      <c r="BP22" s="201">
        <f t="shared" si="50"/>
        <v>4087</v>
      </c>
      <c r="BQ22" s="144">
        <v>4088</v>
      </c>
      <c r="BR22" s="330">
        <f t="shared" si="4"/>
        <v>1</v>
      </c>
      <c r="BS22" s="144">
        <f t="shared" si="51"/>
        <v>0</v>
      </c>
      <c r="BT22" s="144"/>
      <c r="BU22" s="201">
        <f t="shared" si="52"/>
        <v>1851</v>
      </c>
      <c r="BV22" s="144">
        <v>1852</v>
      </c>
      <c r="BW22" s="144">
        <f t="shared" si="5"/>
        <v>1</v>
      </c>
      <c r="BX22" s="144">
        <f t="shared" si="53"/>
        <v>1</v>
      </c>
      <c r="BY22" s="144"/>
      <c r="BZ22" s="205">
        <f t="shared" si="54"/>
        <v>28952</v>
      </c>
      <c r="CA22" s="144">
        <v>28957</v>
      </c>
      <c r="CB22" s="330">
        <f t="shared" si="6"/>
        <v>5</v>
      </c>
      <c r="CC22" s="144">
        <f t="shared" si="55"/>
        <v>-1</v>
      </c>
      <c r="CD22" s="199"/>
      <c r="CE22" s="205">
        <f t="shared" si="56"/>
        <v>3387</v>
      </c>
      <c r="CF22" s="144">
        <v>3390</v>
      </c>
      <c r="CG22" s="144">
        <f t="shared" si="7"/>
        <v>3</v>
      </c>
      <c r="CH22" s="144">
        <f t="shared" si="57"/>
        <v>-5</v>
      </c>
      <c r="CI22" s="199"/>
      <c r="CJ22" s="205">
        <f t="shared" si="58"/>
        <v>83809</v>
      </c>
      <c r="CK22" s="144">
        <v>83837</v>
      </c>
      <c r="CL22" s="144">
        <f t="shared" si="8"/>
        <v>28</v>
      </c>
      <c r="CM22" s="144">
        <f t="shared" si="59"/>
        <v>0</v>
      </c>
      <c r="CN22" s="199"/>
      <c r="CO22" s="205">
        <f t="shared" si="60"/>
        <v>25630</v>
      </c>
      <c r="CP22" s="144">
        <v>25638</v>
      </c>
      <c r="CQ22" s="144">
        <f t="shared" si="9"/>
        <v>8</v>
      </c>
      <c r="CR22" s="144">
        <f t="shared" si="61"/>
        <v>0</v>
      </c>
      <c r="CS22" s="199"/>
      <c r="CT22" s="205">
        <f t="shared" si="62"/>
        <v>12782</v>
      </c>
      <c r="CU22" s="144">
        <v>12784</v>
      </c>
      <c r="CV22" s="144">
        <f t="shared" si="10"/>
        <v>2</v>
      </c>
      <c r="CW22" s="144">
        <f t="shared" si="63"/>
        <v>2</v>
      </c>
      <c r="CX22" s="199"/>
      <c r="CY22" s="205">
        <f t="shared" si="64"/>
        <v>19590</v>
      </c>
      <c r="CZ22" s="144">
        <v>19595</v>
      </c>
      <c r="DA22" s="144">
        <f t="shared" si="11"/>
        <v>5</v>
      </c>
      <c r="DB22" s="144">
        <f t="shared" si="65"/>
        <v>0</v>
      </c>
      <c r="DC22" s="199"/>
      <c r="DD22" s="205">
        <f t="shared" si="66"/>
        <v>20823</v>
      </c>
      <c r="DE22" s="144">
        <v>20826</v>
      </c>
      <c r="DF22" s="144">
        <f t="shared" si="12"/>
        <v>3</v>
      </c>
      <c r="DG22" s="144">
        <f t="shared" si="67"/>
        <v>-1</v>
      </c>
      <c r="DH22" s="199"/>
      <c r="DI22" s="205">
        <f t="shared" si="68"/>
        <v>9744</v>
      </c>
      <c r="DJ22" s="144">
        <v>9749</v>
      </c>
      <c r="DK22" s="144">
        <f t="shared" si="13"/>
        <v>5</v>
      </c>
      <c r="DL22" s="144">
        <f t="shared" si="69"/>
        <v>-5</v>
      </c>
      <c r="DM22" s="199"/>
      <c r="DN22" s="205">
        <f t="shared" si="70"/>
        <v>25654</v>
      </c>
      <c r="DO22" s="144">
        <v>25664</v>
      </c>
      <c r="DP22" s="144">
        <f t="shared" si="14"/>
        <v>10</v>
      </c>
      <c r="DQ22" s="144">
        <f t="shared" si="71"/>
        <v>1</v>
      </c>
      <c r="DR22" s="199"/>
      <c r="DS22" s="205">
        <f t="shared" si="72"/>
        <v>2676</v>
      </c>
      <c r="DT22" s="144">
        <v>2677</v>
      </c>
      <c r="DU22" s="144">
        <f t="shared" si="15"/>
        <v>1</v>
      </c>
      <c r="DV22" s="144">
        <f t="shared" si="73"/>
        <v>-3</v>
      </c>
      <c r="DW22" s="199"/>
      <c r="DX22" s="205">
        <f t="shared" si="74"/>
        <v>10547</v>
      </c>
      <c r="DY22" s="144">
        <v>10547</v>
      </c>
      <c r="DZ22" s="144">
        <f t="shared" si="75"/>
        <v>0</v>
      </c>
      <c r="EA22" s="144">
        <f t="shared" si="76"/>
        <v>0</v>
      </c>
      <c r="EB22" s="199"/>
      <c r="EC22" s="205">
        <f t="shared" si="104"/>
        <v>0</v>
      </c>
      <c r="ED22" s="144"/>
      <c r="EE22" s="199">
        <f t="shared" si="26"/>
        <v>0</v>
      </c>
      <c r="EF22" s="205">
        <f t="shared" si="101"/>
        <v>0</v>
      </c>
      <c r="EG22" s="144"/>
      <c r="EH22" s="199">
        <f t="shared" si="27"/>
        <v>0</v>
      </c>
      <c r="EI22" s="205">
        <f t="shared" si="102"/>
        <v>0</v>
      </c>
      <c r="EJ22" s="144"/>
      <c r="EK22" s="199">
        <f t="shared" si="28"/>
        <v>0</v>
      </c>
      <c r="EL22" s="205">
        <f t="shared" si="103"/>
        <v>0</v>
      </c>
      <c r="EM22" s="144"/>
      <c r="EN22" s="199">
        <f t="shared" si="29"/>
        <v>0</v>
      </c>
      <c r="EO22" s="205">
        <f t="shared" si="81"/>
        <v>0</v>
      </c>
      <c r="EP22" s="144"/>
      <c r="EQ22" s="199">
        <f t="shared" si="30"/>
        <v>0</v>
      </c>
      <c r="ER22" s="205">
        <f t="shared" si="82"/>
        <v>0</v>
      </c>
      <c r="ES22" s="144"/>
      <c r="ET22" s="199">
        <f t="shared" si="83"/>
        <v>0</v>
      </c>
      <c r="EU22" s="205">
        <f t="shared" si="84"/>
        <v>0</v>
      </c>
      <c r="EV22" s="144"/>
      <c r="EW22" s="199">
        <f t="shared" si="85"/>
        <v>0</v>
      </c>
      <c r="EX22" s="205">
        <f t="shared" si="86"/>
        <v>0</v>
      </c>
      <c r="EY22" s="144"/>
      <c r="EZ22" s="199">
        <f t="shared" si="87"/>
        <v>0</v>
      </c>
      <c r="FA22" s="205">
        <f t="shared" si="88"/>
        <v>0</v>
      </c>
      <c r="FB22" s="144"/>
      <c r="FC22" s="199">
        <f t="shared" si="89"/>
        <v>0</v>
      </c>
      <c r="FD22" s="205">
        <f t="shared" si="90"/>
        <v>0</v>
      </c>
      <c r="FE22" s="144"/>
      <c r="FF22" s="199">
        <f t="shared" si="91"/>
        <v>0</v>
      </c>
      <c r="FG22" s="205">
        <f t="shared" si="92"/>
        <v>0</v>
      </c>
      <c r="FH22" s="144"/>
      <c r="FI22" s="199">
        <f t="shared" si="93"/>
        <v>0</v>
      </c>
      <c r="FJ22" s="205">
        <f t="shared" si="94"/>
        <v>0</v>
      </c>
      <c r="FK22" s="144"/>
      <c r="FL22" s="199">
        <f t="shared" si="95"/>
        <v>0</v>
      </c>
      <c r="FM22" s="205">
        <f t="shared" si="96"/>
        <v>0</v>
      </c>
      <c r="FN22" s="144"/>
      <c r="FO22" s="199">
        <f t="shared" si="97"/>
        <v>0</v>
      </c>
      <c r="FP22" s="205">
        <f t="shared" si="98"/>
        <v>0</v>
      </c>
      <c r="FQ22" s="144"/>
      <c r="FR22" s="199">
        <f t="shared" si="31"/>
        <v>0</v>
      </c>
    </row>
    <row r="23" spans="1:174" ht="15" customHeight="1" x14ac:dyDescent="0.2">
      <c r="A23" s="142">
        <v>18</v>
      </c>
      <c r="B23" s="142">
        <f t="shared" si="32"/>
        <v>23084</v>
      </c>
      <c r="C23" s="143">
        <v>23103</v>
      </c>
      <c r="D23" s="137">
        <f t="shared" si="16"/>
        <v>19</v>
      </c>
      <c r="E23" s="192"/>
      <c r="F23" s="142">
        <v>18</v>
      </c>
      <c r="G23" s="142">
        <f t="shared" si="33"/>
        <v>39028</v>
      </c>
      <c r="H23" s="143">
        <v>39028</v>
      </c>
      <c r="I23" s="137">
        <f t="shared" si="17"/>
        <v>0</v>
      </c>
      <c r="J23" s="192"/>
      <c r="K23" s="142">
        <v>18</v>
      </c>
      <c r="L23" s="142">
        <f t="shared" si="34"/>
        <v>841453</v>
      </c>
      <c r="M23" s="143">
        <v>841659</v>
      </c>
      <c r="N23" s="137">
        <f t="shared" si="18"/>
        <v>206</v>
      </c>
      <c r="O23" s="139"/>
      <c r="P23" s="142">
        <v>18</v>
      </c>
      <c r="Q23" s="142">
        <f t="shared" si="35"/>
        <v>239092</v>
      </c>
      <c r="R23" s="143">
        <v>239217</v>
      </c>
      <c r="S23" s="137">
        <f t="shared" si="19"/>
        <v>125</v>
      </c>
      <c r="T23" s="138"/>
      <c r="U23" s="140">
        <v>18</v>
      </c>
      <c r="V23" s="207">
        <f t="shared" si="20"/>
        <v>350</v>
      </c>
      <c r="W23" s="141">
        <f>'Maldives at LG Daily'!I22</f>
        <v>17</v>
      </c>
      <c r="X23" s="160">
        <v>46</v>
      </c>
      <c r="Y23" s="323">
        <f t="shared" si="21"/>
        <v>7.6086956521739131</v>
      </c>
      <c r="AA23" s="201">
        <v>18</v>
      </c>
      <c r="AB23" s="144">
        <f t="shared" si="36"/>
        <v>46258</v>
      </c>
      <c r="AC23" s="144">
        <v>46272</v>
      </c>
      <c r="AD23" s="144">
        <f t="shared" si="22"/>
        <v>14</v>
      </c>
      <c r="AE23" s="144">
        <f t="shared" si="99"/>
        <v>-3</v>
      </c>
      <c r="AF23" s="297"/>
      <c r="AG23" s="201">
        <f t="shared" si="37"/>
        <v>10287</v>
      </c>
      <c r="AH23" s="144">
        <v>10292</v>
      </c>
      <c r="AI23" s="144">
        <f t="shared" si="23"/>
        <v>5</v>
      </c>
      <c r="AJ23" s="144">
        <f t="shared" si="100"/>
        <v>1</v>
      </c>
      <c r="AK23" s="144"/>
      <c r="AL23" s="201">
        <f t="shared" si="38"/>
        <v>9418</v>
      </c>
      <c r="AM23" s="144">
        <v>9427</v>
      </c>
      <c r="AN23" s="144">
        <f t="shared" si="24"/>
        <v>9</v>
      </c>
      <c r="AO23" s="144">
        <f t="shared" si="39"/>
        <v>0</v>
      </c>
      <c r="AP23" s="144"/>
      <c r="AQ23" s="201">
        <f t="shared" si="40"/>
        <v>18716</v>
      </c>
      <c r="AR23" s="144">
        <v>18725</v>
      </c>
      <c r="AS23" s="144">
        <f t="shared" si="25"/>
        <v>9</v>
      </c>
      <c r="AT23" s="144">
        <f t="shared" si="41"/>
        <v>-3</v>
      </c>
      <c r="AU23" s="144"/>
      <c r="AV23" s="201">
        <f t="shared" si="42"/>
        <v>35101</v>
      </c>
      <c r="AW23" s="144">
        <v>35108</v>
      </c>
      <c r="AX23" s="144">
        <f t="shared" si="0"/>
        <v>7</v>
      </c>
      <c r="AY23" s="144">
        <f t="shared" si="43"/>
        <v>1</v>
      </c>
      <c r="AZ23" s="144"/>
      <c r="BA23" s="201">
        <f t="shared" si="44"/>
        <v>8935</v>
      </c>
      <c r="BB23" s="144">
        <v>8942</v>
      </c>
      <c r="BC23" s="144">
        <f t="shared" si="1"/>
        <v>7</v>
      </c>
      <c r="BD23" s="144">
        <f t="shared" si="45"/>
        <v>0</v>
      </c>
      <c r="BE23" s="144"/>
      <c r="BF23" s="201">
        <f t="shared" si="46"/>
        <v>25670</v>
      </c>
      <c r="BG23" s="144">
        <v>25677</v>
      </c>
      <c r="BH23" s="144">
        <f t="shared" si="2"/>
        <v>7</v>
      </c>
      <c r="BI23" s="144">
        <f t="shared" si="47"/>
        <v>-1</v>
      </c>
      <c r="BJ23" s="144"/>
      <c r="BK23" s="201">
        <f t="shared" si="48"/>
        <v>9673</v>
      </c>
      <c r="BL23" s="144">
        <v>9680</v>
      </c>
      <c r="BM23" s="144">
        <f t="shared" si="3"/>
        <v>7</v>
      </c>
      <c r="BN23" s="144">
        <f t="shared" si="49"/>
        <v>0</v>
      </c>
      <c r="BO23" s="144"/>
      <c r="BP23" s="201">
        <f t="shared" si="50"/>
        <v>4088</v>
      </c>
      <c r="BQ23" s="144">
        <v>4089</v>
      </c>
      <c r="BR23" s="330">
        <f t="shared" si="4"/>
        <v>1</v>
      </c>
      <c r="BS23" s="144">
        <f t="shared" si="51"/>
        <v>0</v>
      </c>
      <c r="BT23" s="144"/>
      <c r="BU23" s="201">
        <f t="shared" si="52"/>
        <v>1852</v>
      </c>
      <c r="BV23" s="144">
        <v>1852</v>
      </c>
      <c r="BW23" s="144">
        <f t="shared" si="5"/>
        <v>0</v>
      </c>
      <c r="BX23" s="144">
        <f t="shared" si="53"/>
        <v>-1</v>
      </c>
      <c r="BY23" s="144"/>
      <c r="BZ23" s="205">
        <f t="shared" si="54"/>
        <v>28957</v>
      </c>
      <c r="CA23" s="144">
        <v>28964</v>
      </c>
      <c r="CB23" s="330">
        <f t="shared" si="6"/>
        <v>7</v>
      </c>
      <c r="CC23" s="144">
        <f t="shared" si="55"/>
        <v>2</v>
      </c>
      <c r="CD23" s="199"/>
      <c r="CE23" s="205">
        <f t="shared" si="56"/>
        <v>3390</v>
      </c>
      <c r="CF23" s="144">
        <v>3391</v>
      </c>
      <c r="CG23" s="144">
        <f t="shared" si="7"/>
        <v>1</v>
      </c>
      <c r="CH23" s="144">
        <f t="shared" si="57"/>
        <v>-2</v>
      </c>
      <c r="CI23" s="199"/>
      <c r="CJ23" s="205">
        <f t="shared" si="58"/>
        <v>83837</v>
      </c>
      <c r="CK23" s="144">
        <v>83864</v>
      </c>
      <c r="CL23" s="144">
        <f t="shared" si="8"/>
        <v>27</v>
      </c>
      <c r="CM23" s="144">
        <f t="shared" si="59"/>
        <v>-1</v>
      </c>
      <c r="CN23" s="199"/>
      <c r="CO23" s="205">
        <f t="shared" si="60"/>
        <v>25638</v>
      </c>
      <c r="CP23" s="144">
        <v>25645</v>
      </c>
      <c r="CQ23" s="144">
        <f t="shared" si="9"/>
        <v>7</v>
      </c>
      <c r="CR23" s="144">
        <f t="shared" si="61"/>
        <v>-1</v>
      </c>
      <c r="CS23" s="199"/>
      <c r="CT23" s="205">
        <f t="shared" si="62"/>
        <v>12784</v>
      </c>
      <c r="CU23" s="144">
        <v>12785</v>
      </c>
      <c r="CV23" s="144">
        <f t="shared" si="10"/>
        <v>1</v>
      </c>
      <c r="CW23" s="144">
        <f t="shared" si="63"/>
        <v>-1</v>
      </c>
      <c r="CX23" s="199"/>
      <c r="CY23" s="205">
        <f t="shared" si="64"/>
        <v>19595</v>
      </c>
      <c r="CZ23" s="144">
        <v>19599</v>
      </c>
      <c r="DA23" s="144">
        <f t="shared" si="11"/>
        <v>4</v>
      </c>
      <c r="DB23" s="144">
        <f t="shared" si="65"/>
        <v>-1</v>
      </c>
      <c r="DC23" s="199"/>
      <c r="DD23" s="205">
        <f t="shared" si="66"/>
        <v>20826</v>
      </c>
      <c r="DE23" s="144">
        <v>20828</v>
      </c>
      <c r="DF23" s="144">
        <f t="shared" si="12"/>
        <v>2</v>
      </c>
      <c r="DG23" s="144">
        <f t="shared" si="67"/>
        <v>-1</v>
      </c>
      <c r="DH23" s="199"/>
      <c r="DI23" s="205">
        <f t="shared" si="68"/>
        <v>9749</v>
      </c>
      <c r="DJ23" s="144">
        <v>9759</v>
      </c>
      <c r="DK23" s="144">
        <f t="shared" si="13"/>
        <v>10</v>
      </c>
      <c r="DL23" s="144">
        <f t="shared" si="69"/>
        <v>5</v>
      </c>
      <c r="DM23" s="199"/>
      <c r="DN23" s="205">
        <f t="shared" si="70"/>
        <v>25664</v>
      </c>
      <c r="DO23" s="144">
        <v>25674</v>
      </c>
      <c r="DP23" s="144">
        <f t="shared" si="14"/>
        <v>10</v>
      </c>
      <c r="DQ23" s="144">
        <f t="shared" si="71"/>
        <v>0</v>
      </c>
      <c r="DR23" s="199"/>
      <c r="DS23" s="205">
        <f t="shared" si="72"/>
        <v>2677</v>
      </c>
      <c r="DT23" s="144">
        <v>2679</v>
      </c>
      <c r="DU23" s="144">
        <f t="shared" si="15"/>
        <v>2</v>
      </c>
      <c r="DV23" s="144">
        <f t="shared" si="73"/>
        <v>1</v>
      </c>
      <c r="DW23" s="199"/>
      <c r="DX23" s="205">
        <f t="shared" si="74"/>
        <v>10547</v>
      </c>
      <c r="DY23" s="144">
        <v>10547</v>
      </c>
      <c r="DZ23" s="144">
        <f t="shared" si="75"/>
        <v>0</v>
      </c>
      <c r="EA23" s="144">
        <f t="shared" si="76"/>
        <v>0</v>
      </c>
      <c r="EB23" s="199"/>
      <c r="EC23" s="205">
        <f t="shared" si="104"/>
        <v>0</v>
      </c>
      <c r="ED23" s="144"/>
      <c r="EE23" s="199">
        <f t="shared" si="26"/>
        <v>0</v>
      </c>
      <c r="EF23" s="205">
        <f t="shared" si="101"/>
        <v>0</v>
      </c>
      <c r="EG23" s="144"/>
      <c r="EH23" s="199">
        <f t="shared" si="27"/>
        <v>0</v>
      </c>
      <c r="EI23" s="205">
        <f t="shared" si="102"/>
        <v>0</v>
      </c>
      <c r="EJ23" s="144"/>
      <c r="EK23" s="199">
        <f t="shared" si="28"/>
        <v>0</v>
      </c>
      <c r="EL23" s="205">
        <f t="shared" si="103"/>
        <v>0</v>
      </c>
      <c r="EM23" s="144"/>
      <c r="EN23" s="199">
        <f t="shared" si="29"/>
        <v>0</v>
      </c>
      <c r="EO23" s="205">
        <f t="shared" si="81"/>
        <v>0</v>
      </c>
      <c r="EP23" s="144"/>
      <c r="EQ23" s="199">
        <f t="shared" si="30"/>
        <v>0</v>
      </c>
      <c r="ER23" s="205">
        <f t="shared" si="82"/>
        <v>0</v>
      </c>
      <c r="ES23" s="144"/>
      <c r="ET23" s="199">
        <f t="shared" si="83"/>
        <v>0</v>
      </c>
      <c r="EU23" s="205">
        <f t="shared" si="84"/>
        <v>0</v>
      </c>
      <c r="EV23" s="144"/>
      <c r="EW23" s="199">
        <f t="shared" si="85"/>
        <v>0</v>
      </c>
      <c r="EX23" s="205">
        <f t="shared" si="86"/>
        <v>0</v>
      </c>
      <c r="EY23" s="144"/>
      <c r="EZ23" s="199">
        <f t="shared" si="87"/>
        <v>0</v>
      </c>
      <c r="FA23" s="205">
        <f t="shared" si="88"/>
        <v>0</v>
      </c>
      <c r="FB23" s="144"/>
      <c r="FC23" s="199">
        <f t="shared" si="89"/>
        <v>0</v>
      </c>
      <c r="FD23" s="205">
        <f t="shared" si="90"/>
        <v>0</v>
      </c>
      <c r="FE23" s="144"/>
      <c r="FF23" s="199">
        <f t="shared" si="91"/>
        <v>0</v>
      </c>
      <c r="FG23" s="205">
        <f t="shared" si="92"/>
        <v>0</v>
      </c>
      <c r="FH23" s="144"/>
      <c r="FI23" s="199">
        <f t="shared" si="93"/>
        <v>0</v>
      </c>
      <c r="FJ23" s="205">
        <f t="shared" si="94"/>
        <v>0</v>
      </c>
      <c r="FK23" s="144"/>
      <c r="FL23" s="199">
        <f t="shared" si="95"/>
        <v>0</v>
      </c>
      <c r="FM23" s="205">
        <f t="shared" si="96"/>
        <v>0</v>
      </c>
      <c r="FN23" s="144"/>
      <c r="FO23" s="199">
        <f t="shared" si="97"/>
        <v>0</v>
      </c>
      <c r="FP23" s="205">
        <f t="shared" si="98"/>
        <v>0</v>
      </c>
      <c r="FQ23" s="144"/>
      <c r="FR23" s="199">
        <f t="shared" si="31"/>
        <v>0</v>
      </c>
    </row>
    <row r="24" spans="1:174" ht="15" customHeight="1" x14ac:dyDescent="0.2">
      <c r="A24" s="142">
        <v>19</v>
      </c>
      <c r="B24" s="142">
        <f t="shared" si="32"/>
        <v>23103</v>
      </c>
      <c r="C24" s="143">
        <v>23103</v>
      </c>
      <c r="D24" s="137">
        <f t="shared" si="16"/>
        <v>0</v>
      </c>
      <c r="E24" s="192"/>
      <c r="F24" s="142">
        <v>19</v>
      </c>
      <c r="G24" s="142">
        <f t="shared" si="33"/>
        <v>39028</v>
      </c>
      <c r="H24" s="143">
        <v>39028</v>
      </c>
      <c r="I24" s="137">
        <f t="shared" si="17"/>
        <v>0</v>
      </c>
      <c r="J24" s="192"/>
      <c r="K24" s="142">
        <v>19</v>
      </c>
      <c r="L24" s="142">
        <f t="shared" si="34"/>
        <v>841659</v>
      </c>
      <c r="M24" s="143">
        <v>841869</v>
      </c>
      <c r="N24" s="137">
        <f t="shared" si="18"/>
        <v>210</v>
      </c>
      <c r="O24" s="139"/>
      <c r="P24" s="142">
        <v>19</v>
      </c>
      <c r="Q24" s="142">
        <f t="shared" si="35"/>
        <v>239217</v>
      </c>
      <c r="R24" s="143">
        <v>239346</v>
      </c>
      <c r="S24" s="137">
        <f t="shared" si="19"/>
        <v>129</v>
      </c>
      <c r="T24" s="138"/>
      <c r="U24" s="140">
        <v>19</v>
      </c>
      <c r="V24" s="207">
        <f t="shared" si="20"/>
        <v>339</v>
      </c>
      <c r="W24" s="141">
        <f>'Maldives at LG Daily'!I23</f>
        <v>15.5</v>
      </c>
      <c r="X24" s="160"/>
      <c r="Y24" s="323" t="e">
        <f t="shared" si="21"/>
        <v>#DIV/0!</v>
      </c>
      <c r="AA24" s="201">
        <v>19</v>
      </c>
      <c r="AB24" s="144">
        <f t="shared" si="36"/>
        <v>46272</v>
      </c>
      <c r="AC24" s="144">
        <v>46288</v>
      </c>
      <c r="AD24" s="144">
        <f t="shared" si="22"/>
        <v>16</v>
      </c>
      <c r="AE24" s="144">
        <f t="shared" si="99"/>
        <v>2</v>
      </c>
      <c r="AF24" s="297"/>
      <c r="AG24" s="201">
        <f t="shared" si="37"/>
        <v>10292</v>
      </c>
      <c r="AH24" s="144">
        <v>10297</v>
      </c>
      <c r="AI24" s="144">
        <f t="shared" si="23"/>
        <v>5</v>
      </c>
      <c r="AJ24" s="144">
        <f t="shared" si="100"/>
        <v>0</v>
      </c>
      <c r="AK24" s="144"/>
      <c r="AL24" s="201">
        <f t="shared" si="38"/>
        <v>9427</v>
      </c>
      <c r="AM24" s="144">
        <v>9436</v>
      </c>
      <c r="AN24" s="144">
        <f t="shared" si="24"/>
        <v>9</v>
      </c>
      <c r="AO24" s="144">
        <f t="shared" si="39"/>
        <v>0</v>
      </c>
      <c r="AP24" s="144"/>
      <c r="AQ24" s="201">
        <f t="shared" si="40"/>
        <v>18725</v>
      </c>
      <c r="AR24" s="144">
        <v>18736</v>
      </c>
      <c r="AS24" s="144">
        <f t="shared" si="25"/>
        <v>11</v>
      </c>
      <c r="AT24" s="144">
        <f t="shared" si="41"/>
        <v>2</v>
      </c>
      <c r="AU24" s="144"/>
      <c r="AV24" s="201">
        <f t="shared" si="42"/>
        <v>35108</v>
      </c>
      <c r="AW24" s="144">
        <v>35114</v>
      </c>
      <c r="AX24" s="144">
        <f t="shared" si="0"/>
        <v>6</v>
      </c>
      <c r="AY24" s="144">
        <f t="shared" si="43"/>
        <v>-1</v>
      </c>
      <c r="AZ24" s="144"/>
      <c r="BA24" s="201">
        <f t="shared" si="44"/>
        <v>8942</v>
      </c>
      <c r="BB24" s="144">
        <v>8949</v>
      </c>
      <c r="BC24" s="144">
        <f t="shared" si="1"/>
        <v>7</v>
      </c>
      <c r="BD24" s="144">
        <f t="shared" si="45"/>
        <v>0</v>
      </c>
      <c r="BE24" s="144"/>
      <c r="BF24" s="201">
        <f t="shared" si="46"/>
        <v>25677</v>
      </c>
      <c r="BG24" s="144">
        <v>25685</v>
      </c>
      <c r="BH24" s="144">
        <f t="shared" si="2"/>
        <v>8</v>
      </c>
      <c r="BI24" s="144">
        <f t="shared" si="47"/>
        <v>1</v>
      </c>
      <c r="BJ24" s="144"/>
      <c r="BK24" s="201">
        <f t="shared" si="48"/>
        <v>9680</v>
      </c>
      <c r="BL24" s="144">
        <v>9688</v>
      </c>
      <c r="BM24" s="144">
        <f t="shared" si="3"/>
        <v>8</v>
      </c>
      <c r="BN24" s="144">
        <f t="shared" si="49"/>
        <v>1</v>
      </c>
      <c r="BO24" s="144"/>
      <c r="BP24" s="201">
        <f t="shared" si="50"/>
        <v>4089</v>
      </c>
      <c r="BQ24" s="144">
        <v>4090</v>
      </c>
      <c r="BR24" s="330">
        <f t="shared" si="4"/>
        <v>1</v>
      </c>
      <c r="BS24" s="144">
        <f t="shared" si="51"/>
        <v>0</v>
      </c>
      <c r="BT24" s="144"/>
      <c r="BU24" s="201">
        <f t="shared" si="52"/>
        <v>1852</v>
      </c>
      <c r="BV24" s="144">
        <v>1852</v>
      </c>
      <c r="BW24" s="144">
        <f t="shared" si="5"/>
        <v>0</v>
      </c>
      <c r="BX24" s="144">
        <f t="shared" si="53"/>
        <v>0</v>
      </c>
      <c r="BY24" s="144"/>
      <c r="BZ24" s="205">
        <f t="shared" si="54"/>
        <v>28964</v>
      </c>
      <c r="CA24" s="144">
        <v>28970</v>
      </c>
      <c r="CB24" s="330">
        <f t="shared" si="6"/>
        <v>6</v>
      </c>
      <c r="CC24" s="144">
        <f t="shared" si="55"/>
        <v>-1</v>
      </c>
      <c r="CD24" s="199"/>
      <c r="CE24" s="205">
        <f t="shared" si="56"/>
        <v>3391</v>
      </c>
      <c r="CF24" s="144">
        <v>3393</v>
      </c>
      <c r="CG24" s="144">
        <f t="shared" si="7"/>
        <v>2</v>
      </c>
      <c r="CH24" s="144">
        <f t="shared" si="57"/>
        <v>1</v>
      </c>
      <c r="CI24" s="199"/>
      <c r="CJ24" s="205">
        <f t="shared" si="58"/>
        <v>83864</v>
      </c>
      <c r="CK24" s="144">
        <v>83892</v>
      </c>
      <c r="CL24" s="144">
        <f t="shared" si="8"/>
        <v>28</v>
      </c>
      <c r="CM24" s="144">
        <f t="shared" si="59"/>
        <v>1</v>
      </c>
      <c r="CN24" s="199"/>
      <c r="CO24" s="205">
        <f t="shared" si="60"/>
        <v>25645</v>
      </c>
      <c r="CP24" s="144">
        <v>25653</v>
      </c>
      <c r="CQ24" s="144">
        <f t="shared" si="9"/>
        <v>8</v>
      </c>
      <c r="CR24" s="144">
        <f t="shared" si="61"/>
        <v>1</v>
      </c>
      <c r="CS24" s="199"/>
      <c r="CT24" s="205">
        <f t="shared" si="62"/>
        <v>12785</v>
      </c>
      <c r="CU24" s="144">
        <v>12786</v>
      </c>
      <c r="CV24" s="144">
        <f t="shared" si="10"/>
        <v>1</v>
      </c>
      <c r="CW24" s="144">
        <f t="shared" si="63"/>
        <v>0</v>
      </c>
      <c r="CX24" s="199"/>
      <c r="CY24" s="205">
        <f t="shared" si="64"/>
        <v>19599</v>
      </c>
      <c r="CZ24" s="144">
        <v>19603</v>
      </c>
      <c r="DA24" s="144">
        <f t="shared" si="11"/>
        <v>4</v>
      </c>
      <c r="DB24" s="144">
        <f t="shared" si="65"/>
        <v>0</v>
      </c>
      <c r="DC24" s="199"/>
      <c r="DD24" s="205">
        <f t="shared" si="66"/>
        <v>20828</v>
      </c>
      <c r="DE24" s="144">
        <v>20831</v>
      </c>
      <c r="DF24" s="144">
        <f t="shared" si="12"/>
        <v>3</v>
      </c>
      <c r="DG24" s="144">
        <f t="shared" si="67"/>
        <v>1</v>
      </c>
      <c r="DH24" s="199"/>
      <c r="DI24" s="205">
        <f t="shared" si="68"/>
        <v>9759</v>
      </c>
      <c r="DJ24" s="144">
        <v>9762</v>
      </c>
      <c r="DK24" s="144">
        <f t="shared" si="13"/>
        <v>3</v>
      </c>
      <c r="DL24" s="144">
        <f t="shared" si="69"/>
        <v>-7</v>
      </c>
      <c r="DM24" s="199"/>
      <c r="DN24" s="205">
        <f t="shared" si="70"/>
        <v>25674</v>
      </c>
      <c r="DO24" s="144">
        <v>25696</v>
      </c>
      <c r="DP24" s="144">
        <f t="shared" si="14"/>
        <v>22</v>
      </c>
      <c r="DQ24" s="144">
        <f t="shared" si="71"/>
        <v>12</v>
      </c>
      <c r="DR24" s="199"/>
      <c r="DS24" s="205">
        <f t="shared" si="72"/>
        <v>2679</v>
      </c>
      <c r="DT24" s="144">
        <v>2680</v>
      </c>
      <c r="DU24" s="144">
        <f t="shared" si="15"/>
        <v>1</v>
      </c>
      <c r="DV24" s="144">
        <f t="shared" si="73"/>
        <v>-1</v>
      </c>
      <c r="DW24" s="199"/>
      <c r="DX24" s="205">
        <f t="shared" si="74"/>
        <v>10547</v>
      </c>
      <c r="DY24" s="144">
        <v>10547</v>
      </c>
      <c r="DZ24" s="144">
        <f t="shared" si="75"/>
        <v>0</v>
      </c>
      <c r="EA24" s="144">
        <f t="shared" si="76"/>
        <v>0</v>
      </c>
      <c r="EB24" s="199"/>
      <c r="EC24" s="205">
        <f t="shared" si="104"/>
        <v>0</v>
      </c>
      <c r="ED24" s="144"/>
      <c r="EE24" s="199">
        <f t="shared" si="26"/>
        <v>0</v>
      </c>
      <c r="EF24" s="205">
        <f t="shared" si="101"/>
        <v>0</v>
      </c>
      <c r="EG24" s="144"/>
      <c r="EH24" s="199">
        <f t="shared" si="27"/>
        <v>0</v>
      </c>
      <c r="EI24" s="205">
        <f t="shared" si="102"/>
        <v>0</v>
      </c>
      <c r="EJ24" s="144"/>
      <c r="EK24" s="199">
        <f t="shared" si="28"/>
        <v>0</v>
      </c>
      <c r="EL24" s="205">
        <f t="shared" si="103"/>
        <v>0</v>
      </c>
      <c r="EM24" s="144"/>
      <c r="EN24" s="199">
        <f t="shared" si="29"/>
        <v>0</v>
      </c>
      <c r="EO24" s="205">
        <f t="shared" si="81"/>
        <v>0</v>
      </c>
      <c r="EP24" s="144"/>
      <c r="EQ24" s="199">
        <f t="shared" si="30"/>
        <v>0</v>
      </c>
      <c r="ER24" s="205">
        <f t="shared" si="82"/>
        <v>0</v>
      </c>
      <c r="ES24" s="144"/>
      <c r="ET24" s="199">
        <f t="shared" si="83"/>
        <v>0</v>
      </c>
      <c r="EU24" s="205">
        <f t="shared" si="84"/>
        <v>0</v>
      </c>
      <c r="EV24" s="144"/>
      <c r="EW24" s="199">
        <f t="shared" si="85"/>
        <v>0</v>
      </c>
      <c r="EX24" s="205">
        <f t="shared" si="86"/>
        <v>0</v>
      </c>
      <c r="EY24" s="144"/>
      <c r="EZ24" s="199">
        <f t="shared" si="87"/>
        <v>0</v>
      </c>
      <c r="FA24" s="205">
        <f t="shared" si="88"/>
        <v>0</v>
      </c>
      <c r="FB24" s="144"/>
      <c r="FC24" s="199">
        <f t="shared" si="89"/>
        <v>0</v>
      </c>
      <c r="FD24" s="205">
        <f t="shared" si="90"/>
        <v>0</v>
      </c>
      <c r="FE24" s="144"/>
      <c r="FF24" s="199">
        <f t="shared" si="91"/>
        <v>0</v>
      </c>
      <c r="FG24" s="205">
        <f t="shared" si="92"/>
        <v>0</v>
      </c>
      <c r="FH24" s="144"/>
      <c r="FI24" s="199">
        <f t="shared" si="93"/>
        <v>0</v>
      </c>
      <c r="FJ24" s="205">
        <f t="shared" si="94"/>
        <v>0</v>
      </c>
      <c r="FK24" s="144"/>
      <c r="FL24" s="199">
        <f t="shared" si="95"/>
        <v>0</v>
      </c>
      <c r="FM24" s="205">
        <f t="shared" si="96"/>
        <v>0</v>
      </c>
      <c r="FN24" s="144"/>
      <c r="FO24" s="199">
        <f t="shared" si="97"/>
        <v>0</v>
      </c>
      <c r="FP24" s="205">
        <f t="shared" si="98"/>
        <v>0</v>
      </c>
      <c r="FQ24" s="144"/>
      <c r="FR24" s="199">
        <f t="shared" si="31"/>
        <v>0</v>
      </c>
    </row>
    <row r="25" spans="1:174" ht="15" customHeight="1" x14ac:dyDescent="0.2">
      <c r="A25" s="142">
        <v>20</v>
      </c>
      <c r="B25" s="142">
        <f t="shared" si="32"/>
        <v>23103</v>
      </c>
      <c r="C25" s="143">
        <v>23152</v>
      </c>
      <c r="D25" s="137">
        <f t="shared" si="16"/>
        <v>49</v>
      </c>
      <c r="E25" s="192"/>
      <c r="F25" s="142">
        <v>20</v>
      </c>
      <c r="G25" s="142">
        <f t="shared" si="33"/>
        <v>39028</v>
      </c>
      <c r="H25" s="143">
        <v>39028</v>
      </c>
      <c r="I25" s="137">
        <f t="shared" si="17"/>
        <v>0</v>
      </c>
      <c r="J25" s="192"/>
      <c r="K25" s="142">
        <v>20</v>
      </c>
      <c r="L25" s="142">
        <f t="shared" si="34"/>
        <v>841869</v>
      </c>
      <c r="M25" s="143">
        <v>842062</v>
      </c>
      <c r="N25" s="137">
        <f t="shared" si="18"/>
        <v>193</v>
      </c>
      <c r="O25" s="139"/>
      <c r="P25" s="142">
        <v>20</v>
      </c>
      <c r="Q25" s="142">
        <f t="shared" si="35"/>
        <v>239346</v>
      </c>
      <c r="R25" s="143">
        <v>239431</v>
      </c>
      <c r="S25" s="137">
        <f t="shared" si="19"/>
        <v>85</v>
      </c>
      <c r="T25" s="138"/>
      <c r="U25" s="142">
        <v>20</v>
      </c>
      <c r="V25" s="207">
        <f t="shared" si="20"/>
        <v>327</v>
      </c>
      <c r="W25" s="141">
        <f>'Maldives at LG Daily'!I24</f>
        <v>12.6</v>
      </c>
      <c r="X25" s="160"/>
      <c r="Y25" s="323" t="e">
        <f t="shared" si="21"/>
        <v>#DIV/0!</v>
      </c>
      <c r="AA25" s="201">
        <v>20</v>
      </c>
      <c r="AB25" s="144">
        <f t="shared" si="36"/>
        <v>46288</v>
      </c>
      <c r="AC25" s="144">
        <v>46307</v>
      </c>
      <c r="AD25" s="144">
        <f t="shared" si="22"/>
        <v>19</v>
      </c>
      <c r="AE25" s="144">
        <f t="shared" si="99"/>
        <v>3</v>
      </c>
      <c r="AF25" s="297"/>
      <c r="AG25" s="201">
        <f t="shared" si="37"/>
        <v>10297</v>
      </c>
      <c r="AH25" s="144">
        <v>10301</v>
      </c>
      <c r="AI25" s="144">
        <f t="shared" si="23"/>
        <v>4</v>
      </c>
      <c r="AJ25" s="144">
        <f t="shared" si="100"/>
        <v>-1</v>
      </c>
      <c r="AK25" s="144"/>
      <c r="AL25" s="201">
        <f t="shared" si="38"/>
        <v>9436</v>
      </c>
      <c r="AM25" s="144">
        <v>9444</v>
      </c>
      <c r="AN25" s="144">
        <f t="shared" si="24"/>
        <v>8</v>
      </c>
      <c r="AO25" s="144">
        <f t="shared" si="39"/>
        <v>-1</v>
      </c>
      <c r="AP25" s="144"/>
      <c r="AQ25" s="201">
        <f t="shared" si="40"/>
        <v>18736</v>
      </c>
      <c r="AR25" s="144">
        <v>18747</v>
      </c>
      <c r="AS25" s="144">
        <f t="shared" si="25"/>
        <v>11</v>
      </c>
      <c r="AT25" s="144">
        <f t="shared" si="41"/>
        <v>0</v>
      </c>
      <c r="AU25" s="144"/>
      <c r="AV25" s="201">
        <f t="shared" si="42"/>
        <v>35114</v>
      </c>
      <c r="AW25" s="144">
        <v>35121</v>
      </c>
      <c r="AX25" s="144">
        <f t="shared" si="0"/>
        <v>7</v>
      </c>
      <c r="AY25" s="144">
        <f t="shared" si="43"/>
        <v>1</v>
      </c>
      <c r="AZ25" s="144"/>
      <c r="BA25" s="201">
        <f t="shared" si="44"/>
        <v>8949</v>
      </c>
      <c r="BB25" s="144">
        <v>8952</v>
      </c>
      <c r="BC25" s="144">
        <f t="shared" si="1"/>
        <v>3</v>
      </c>
      <c r="BD25" s="144">
        <f t="shared" si="45"/>
        <v>-4</v>
      </c>
      <c r="BE25" s="144"/>
      <c r="BF25" s="201">
        <f t="shared" si="46"/>
        <v>25685</v>
      </c>
      <c r="BG25" s="144">
        <v>25694</v>
      </c>
      <c r="BH25" s="144">
        <f t="shared" si="2"/>
        <v>9</v>
      </c>
      <c r="BI25" s="144">
        <f t="shared" si="47"/>
        <v>1</v>
      </c>
      <c r="BJ25" s="144"/>
      <c r="BK25" s="201">
        <f t="shared" si="48"/>
        <v>9688</v>
      </c>
      <c r="BL25" s="144">
        <v>9697</v>
      </c>
      <c r="BM25" s="144">
        <f t="shared" si="3"/>
        <v>9</v>
      </c>
      <c r="BN25" s="144">
        <f t="shared" si="49"/>
        <v>1</v>
      </c>
      <c r="BO25" s="144"/>
      <c r="BP25" s="201">
        <f t="shared" si="50"/>
        <v>4090</v>
      </c>
      <c r="BQ25" s="144">
        <v>4091</v>
      </c>
      <c r="BR25" s="330">
        <f t="shared" si="4"/>
        <v>1</v>
      </c>
      <c r="BS25" s="144">
        <f t="shared" si="51"/>
        <v>0</v>
      </c>
      <c r="BT25" s="144"/>
      <c r="BU25" s="201">
        <f t="shared" si="52"/>
        <v>1852</v>
      </c>
      <c r="BV25" s="144">
        <v>1852</v>
      </c>
      <c r="BW25" s="144">
        <f t="shared" si="5"/>
        <v>0</v>
      </c>
      <c r="BX25" s="144">
        <f t="shared" si="53"/>
        <v>0</v>
      </c>
      <c r="BY25" s="144"/>
      <c r="BZ25" s="205">
        <f t="shared" si="54"/>
        <v>28970</v>
      </c>
      <c r="CA25" s="144">
        <v>28970</v>
      </c>
      <c r="CB25" s="330">
        <f t="shared" si="6"/>
        <v>0</v>
      </c>
      <c r="CC25" s="144">
        <f t="shared" si="55"/>
        <v>-6</v>
      </c>
      <c r="CD25" s="199"/>
      <c r="CE25" s="205">
        <f t="shared" si="56"/>
        <v>3393</v>
      </c>
      <c r="CF25" s="144">
        <v>3397</v>
      </c>
      <c r="CG25" s="144">
        <f t="shared" si="7"/>
        <v>4</v>
      </c>
      <c r="CH25" s="144">
        <f t="shared" si="57"/>
        <v>2</v>
      </c>
      <c r="CI25" s="199"/>
      <c r="CJ25" s="205">
        <f t="shared" si="58"/>
        <v>83892</v>
      </c>
      <c r="CK25" s="144">
        <v>83919</v>
      </c>
      <c r="CL25" s="144">
        <f t="shared" si="8"/>
        <v>27</v>
      </c>
      <c r="CM25" s="144">
        <f t="shared" si="59"/>
        <v>-1</v>
      </c>
      <c r="CN25" s="199"/>
      <c r="CO25" s="205">
        <f t="shared" si="60"/>
        <v>25653</v>
      </c>
      <c r="CP25" s="144">
        <v>25661</v>
      </c>
      <c r="CQ25" s="144">
        <f t="shared" si="9"/>
        <v>8</v>
      </c>
      <c r="CR25" s="144">
        <f t="shared" si="61"/>
        <v>0</v>
      </c>
      <c r="CS25" s="199"/>
      <c r="CT25" s="205">
        <f t="shared" si="62"/>
        <v>12786</v>
      </c>
      <c r="CU25" s="144">
        <v>12787</v>
      </c>
      <c r="CV25" s="144">
        <f t="shared" si="10"/>
        <v>1</v>
      </c>
      <c r="CW25" s="144">
        <f t="shared" si="63"/>
        <v>0</v>
      </c>
      <c r="CX25" s="199"/>
      <c r="CY25" s="205">
        <f t="shared" si="64"/>
        <v>19603</v>
      </c>
      <c r="CZ25" s="144">
        <v>19609</v>
      </c>
      <c r="DA25" s="144">
        <f t="shared" si="11"/>
        <v>6</v>
      </c>
      <c r="DB25" s="144">
        <f t="shared" si="65"/>
        <v>2</v>
      </c>
      <c r="DC25" s="199"/>
      <c r="DD25" s="205">
        <f t="shared" si="66"/>
        <v>20831</v>
      </c>
      <c r="DE25" s="144">
        <v>20834</v>
      </c>
      <c r="DF25" s="144">
        <f t="shared" si="12"/>
        <v>3</v>
      </c>
      <c r="DG25" s="144">
        <f t="shared" si="67"/>
        <v>0</v>
      </c>
      <c r="DH25" s="199"/>
      <c r="DI25" s="205">
        <f t="shared" si="68"/>
        <v>9762</v>
      </c>
      <c r="DJ25" s="144">
        <v>9764</v>
      </c>
      <c r="DK25" s="144">
        <f t="shared" si="13"/>
        <v>2</v>
      </c>
      <c r="DL25" s="144">
        <f t="shared" si="69"/>
        <v>-1</v>
      </c>
      <c r="DM25" s="199"/>
      <c r="DN25" s="205">
        <f t="shared" si="70"/>
        <v>25696</v>
      </c>
      <c r="DO25" s="144">
        <v>25703</v>
      </c>
      <c r="DP25" s="144">
        <f t="shared" si="14"/>
        <v>7</v>
      </c>
      <c r="DQ25" s="144">
        <f t="shared" si="71"/>
        <v>-15</v>
      </c>
      <c r="DR25" s="199"/>
      <c r="DS25" s="205">
        <f t="shared" si="72"/>
        <v>2680</v>
      </c>
      <c r="DT25" s="144">
        <v>2687</v>
      </c>
      <c r="DU25" s="144">
        <f t="shared" si="15"/>
        <v>7</v>
      </c>
      <c r="DV25" s="144">
        <f t="shared" si="73"/>
        <v>6</v>
      </c>
      <c r="DW25" s="199"/>
      <c r="DX25" s="205">
        <f t="shared" si="74"/>
        <v>10547</v>
      </c>
      <c r="DY25" s="144">
        <v>10547</v>
      </c>
      <c r="DZ25" s="144">
        <f t="shared" si="75"/>
        <v>0</v>
      </c>
      <c r="EA25" s="144">
        <f t="shared" si="76"/>
        <v>0</v>
      </c>
      <c r="EB25" s="199"/>
      <c r="EC25" s="205">
        <f t="shared" si="104"/>
        <v>0</v>
      </c>
      <c r="ED25" s="144"/>
      <c r="EE25" s="199">
        <f t="shared" si="26"/>
        <v>0</v>
      </c>
      <c r="EF25" s="205">
        <f t="shared" si="101"/>
        <v>0</v>
      </c>
      <c r="EG25" s="144"/>
      <c r="EH25" s="199">
        <f t="shared" si="27"/>
        <v>0</v>
      </c>
      <c r="EI25" s="205">
        <f t="shared" si="102"/>
        <v>0</v>
      </c>
      <c r="EJ25" s="144"/>
      <c r="EK25" s="199">
        <f t="shared" si="28"/>
        <v>0</v>
      </c>
      <c r="EL25" s="205">
        <f t="shared" si="103"/>
        <v>0</v>
      </c>
      <c r="EM25" s="144"/>
      <c r="EN25" s="199">
        <f t="shared" si="29"/>
        <v>0</v>
      </c>
      <c r="EO25" s="205">
        <f t="shared" si="81"/>
        <v>0</v>
      </c>
      <c r="EP25" s="144"/>
      <c r="EQ25" s="199">
        <f t="shared" si="30"/>
        <v>0</v>
      </c>
      <c r="ER25" s="205">
        <f t="shared" si="82"/>
        <v>0</v>
      </c>
      <c r="ES25" s="144"/>
      <c r="ET25" s="199">
        <f t="shared" si="83"/>
        <v>0</v>
      </c>
      <c r="EU25" s="205">
        <f t="shared" si="84"/>
        <v>0</v>
      </c>
      <c r="EV25" s="144"/>
      <c r="EW25" s="199">
        <f t="shared" si="85"/>
        <v>0</v>
      </c>
      <c r="EX25" s="205">
        <f t="shared" si="86"/>
        <v>0</v>
      </c>
      <c r="EY25" s="144"/>
      <c r="EZ25" s="199">
        <f t="shared" si="87"/>
        <v>0</v>
      </c>
      <c r="FA25" s="205">
        <f t="shared" si="88"/>
        <v>0</v>
      </c>
      <c r="FB25" s="144"/>
      <c r="FC25" s="199">
        <f t="shared" si="89"/>
        <v>0</v>
      </c>
      <c r="FD25" s="205">
        <f t="shared" si="90"/>
        <v>0</v>
      </c>
      <c r="FE25" s="144"/>
      <c r="FF25" s="199">
        <f t="shared" si="91"/>
        <v>0</v>
      </c>
      <c r="FG25" s="205">
        <f t="shared" si="92"/>
        <v>0</v>
      </c>
      <c r="FH25" s="144"/>
      <c r="FI25" s="199">
        <f t="shared" si="93"/>
        <v>0</v>
      </c>
      <c r="FJ25" s="205">
        <f t="shared" si="94"/>
        <v>0</v>
      </c>
      <c r="FK25" s="144"/>
      <c r="FL25" s="199">
        <f t="shared" si="95"/>
        <v>0</v>
      </c>
      <c r="FM25" s="205">
        <f t="shared" si="96"/>
        <v>0</v>
      </c>
      <c r="FN25" s="144"/>
      <c r="FO25" s="199">
        <f t="shared" si="97"/>
        <v>0</v>
      </c>
      <c r="FP25" s="205">
        <f t="shared" si="98"/>
        <v>0</v>
      </c>
      <c r="FQ25" s="144"/>
      <c r="FR25" s="199">
        <f t="shared" si="31"/>
        <v>0</v>
      </c>
    </row>
    <row r="26" spans="1:174" ht="15" customHeight="1" x14ac:dyDescent="0.2">
      <c r="A26" s="142">
        <v>21</v>
      </c>
      <c r="B26" s="142">
        <f t="shared" si="32"/>
        <v>23152</v>
      </c>
      <c r="C26" s="143">
        <v>23152</v>
      </c>
      <c r="D26" s="137">
        <f t="shared" si="16"/>
        <v>0</v>
      </c>
      <c r="E26" s="192"/>
      <c r="F26" s="142">
        <v>21</v>
      </c>
      <c r="G26" s="142">
        <f t="shared" si="33"/>
        <v>39028</v>
      </c>
      <c r="H26" s="143">
        <v>39028</v>
      </c>
      <c r="I26" s="137">
        <f t="shared" si="17"/>
        <v>0</v>
      </c>
      <c r="J26" s="192"/>
      <c r="K26" s="142">
        <v>21</v>
      </c>
      <c r="L26" s="142">
        <f t="shared" si="34"/>
        <v>842062</v>
      </c>
      <c r="M26" s="143">
        <v>842228</v>
      </c>
      <c r="N26" s="137">
        <f t="shared" si="18"/>
        <v>166</v>
      </c>
      <c r="O26" s="139"/>
      <c r="P26" s="142">
        <v>21</v>
      </c>
      <c r="Q26" s="142">
        <f t="shared" si="35"/>
        <v>239431</v>
      </c>
      <c r="R26" s="143">
        <v>239504</v>
      </c>
      <c r="S26" s="137">
        <f t="shared" si="19"/>
        <v>73</v>
      </c>
      <c r="T26" s="138"/>
      <c r="U26" s="140">
        <v>21</v>
      </c>
      <c r="V26" s="207">
        <f t="shared" si="20"/>
        <v>239</v>
      </c>
      <c r="W26" s="141">
        <f>'Maldives at LG Daily'!I25</f>
        <v>21.4</v>
      </c>
      <c r="X26" s="160"/>
      <c r="Y26" s="323" t="e">
        <f t="shared" si="21"/>
        <v>#DIV/0!</v>
      </c>
      <c r="AA26" s="201">
        <v>21</v>
      </c>
      <c r="AB26" s="144">
        <f t="shared" si="36"/>
        <v>46307</v>
      </c>
      <c r="AC26" s="144">
        <v>46323</v>
      </c>
      <c r="AD26" s="144">
        <f t="shared" si="22"/>
        <v>16</v>
      </c>
      <c r="AE26" s="144">
        <f t="shared" si="99"/>
        <v>-3</v>
      </c>
      <c r="AF26" s="297"/>
      <c r="AG26" s="201">
        <f t="shared" si="37"/>
        <v>10301</v>
      </c>
      <c r="AH26" s="144">
        <v>10306</v>
      </c>
      <c r="AI26" s="144">
        <f t="shared" si="23"/>
        <v>5</v>
      </c>
      <c r="AJ26" s="144">
        <f t="shared" si="100"/>
        <v>1</v>
      </c>
      <c r="AK26" s="144"/>
      <c r="AL26" s="201">
        <f t="shared" si="38"/>
        <v>9444</v>
      </c>
      <c r="AM26" s="144">
        <v>9452</v>
      </c>
      <c r="AN26" s="144">
        <f t="shared" si="24"/>
        <v>8</v>
      </c>
      <c r="AO26" s="144">
        <f t="shared" si="39"/>
        <v>0</v>
      </c>
      <c r="AP26" s="144"/>
      <c r="AQ26" s="201">
        <f t="shared" si="40"/>
        <v>18747</v>
      </c>
      <c r="AR26" s="144">
        <v>18755</v>
      </c>
      <c r="AS26" s="144">
        <f t="shared" si="25"/>
        <v>8</v>
      </c>
      <c r="AT26" s="144">
        <f t="shared" si="41"/>
        <v>-3</v>
      </c>
      <c r="AU26" s="144"/>
      <c r="AV26" s="201">
        <f t="shared" si="42"/>
        <v>35121</v>
      </c>
      <c r="AW26" s="144">
        <v>35128</v>
      </c>
      <c r="AX26" s="144">
        <f t="shared" si="0"/>
        <v>7</v>
      </c>
      <c r="AY26" s="144">
        <f t="shared" si="43"/>
        <v>0</v>
      </c>
      <c r="AZ26" s="144"/>
      <c r="BA26" s="201">
        <f t="shared" si="44"/>
        <v>8952</v>
      </c>
      <c r="BB26" s="144">
        <v>8962</v>
      </c>
      <c r="BC26" s="144">
        <f t="shared" si="1"/>
        <v>10</v>
      </c>
      <c r="BD26" s="144">
        <f t="shared" si="45"/>
        <v>7</v>
      </c>
      <c r="BE26" s="144"/>
      <c r="BF26" s="201">
        <f t="shared" si="46"/>
        <v>25694</v>
      </c>
      <c r="BG26" s="144">
        <v>25703</v>
      </c>
      <c r="BH26" s="144">
        <f t="shared" si="2"/>
        <v>9</v>
      </c>
      <c r="BI26" s="144">
        <f t="shared" si="47"/>
        <v>0</v>
      </c>
      <c r="BJ26" s="144"/>
      <c r="BK26" s="201">
        <f t="shared" si="48"/>
        <v>9697</v>
      </c>
      <c r="BL26" s="144">
        <v>9704</v>
      </c>
      <c r="BM26" s="144">
        <f t="shared" si="3"/>
        <v>7</v>
      </c>
      <c r="BN26" s="144">
        <f t="shared" si="49"/>
        <v>-2</v>
      </c>
      <c r="BO26" s="144"/>
      <c r="BP26" s="201">
        <f t="shared" si="50"/>
        <v>4091</v>
      </c>
      <c r="BQ26" s="144">
        <v>4092</v>
      </c>
      <c r="BR26" s="330">
        <f t="shared" si="4"/>
        <v>1</v>
      </c>
      <c r="BS26" s="144">
        <f t="shared" si="51"/>
        <v>0</v>
      </c>
      <c r="BT26" s="144"/>
      <c r="BU26" s="201">
        <f t="shared" si="52"/>
        <v>1852</v>
      </c>
      <c r="BV26" s="144">
        <v>1852</v>
      </c>
      <c r="BW26" s="144">
        <f t="shared" si="5"/>
        <v>0</v>
      </c>
      <c r="BX26" s="144">
        <f t="shared" si="53"/>
        <v>0</v>
      </c>
      <c r="BY26" s="144"/>
      <c r="BZ26" s="205">
        <f t="shared" si="54"/>
        <v>28970</v>
      </c>
      <c r="CA26" s="144">
        <v>28982</v>
      </c>
      <c r="CB26" s="330">
        <f t="shared" si="6"/>
        <v>12</v>
      </c>
      <c r="CC26" s="144">
        <f t="shared" si="55"/>
        <v>12</v>
      </c>
      <c r="CD26" s="199"/>
      <c r="CE26" s="205">
        <f t="shared" si="56"/>
        <v>3397</v>
      </c>
      <c r="CF26" s="144">
        <v>3399</v>
      </c>
      <c r="CG26" s="144">
        <f t="shared" si="7"/>
        <v>2</v>
      </c>
      <c r="CH26" s="144">
        <f t="shared" si="57"/>
        <v>-2</v>
      </c>
      <c r="CI26" s="199"/>
      <c r="CJ26" s="205">
        <f t="shared" si="58"/>
        <v>83919</v>
      </c>
      <c r="CK26" s="144">
        <v>83944</v>
      </c>
      <c r="CL26" s="144">
        <f t="shared" si="8"/>
        <v>25</v>
      </c>
      <c r="CM26" s="144">
        <f t="shared" si="59"/>
        <v>-2</v>
      </c>
      <c r="CN26" s="199"/>
      <c r="CO26" s="205">
        <f t="shared" si="60"/>
        <v>25661</v>
      </c>
      <c r="CP26" s="144">
        <v>25668</v>
      </c>
      <c r="CQ26" s="144">
        <f t="shared" si="9"/>
        <v>7</v>
      </c>
      <c r="CR26" s="144">
        <f t="shared" si="61"/>
        <v>-1</v>
      </c>
      <c r="CS26" s="199"/>
      <c r="CT26" s="205">
        <f t="shared" si="62"/>
        <v>12787</v>
      </c>
      <c r="CU26" s="144">
        <v>12787</v>
      </c>
      <c r="CV26" s="144">
        <f t="shared" si="10"/>
        <v>0</v>
      </c>
      <c r="CW26" s="144">
        <f t="shared" si="63"/>
        <v>-1</v>
      </c>
      <c r="CX26" s="199"/>
      <c r="CY26" s="205">
        <f t="shared" si="64"/>
        <v>19609</v>
      </c>
      <c r="CZ26" s="144">
        <v>19610</v>
      </c>
      <c r="DA26" s="144">
        <f t="shared" si="11"/>
        <v>1</v>
      </c>
      <c r="DB26" s="144">
        <f t="shared" si="65"/>
        <v>-5</v>
      </c>
      <c r="DC26" s="199"/>
      <c r="DD26" s="205">
        <f t="shared" si="66"/>
        <v>20834</v>
      </c>
      <c r="DE26" s="144">
        <v>20837</v>
      </c>
      <c r="DF26" s="144">
        <f t="shared" si="12"/>
        <v>3</v>
      </c>
      <c r="DG26" s="144">
        <f t="shared" si="67"/>
        <v>0</v>
      </c>
      <c r="DH26" s="199"/>
      <c r="DI26" s="205">
        <f t="shared" si="68"/>
        <v>9764</v>
      </c>
      <c r="DJ26" s="144">
        <v>9766</v>
      </c>
      <c r="DK26" s="144">
        <f t="shared" si="13"/>
        <v>2</v>
      </c>
      <c r="DL26" s="144">
        <f t="shared" si="69"/>
        <v>0</v>
      </c>
      <c r="DM26" s="199"/>
      <c r="DN26" s="205">
        <f t="shared" si="70"/>
        <v>25703</v>
      </c>
      <c r="DO26" s="144">
        <v>25708</v>
      </c>
      <c r="DP26" s="144">
        <f t="shared" si="14"/>
        <v>5</v>
      </c>
      <c r="DQ26" s="144">
        <f t="shared" si="71"/>
        <v>-2</v>
      </c>
      <c r="DR26" s="199"/>
      <c r="DS26" s="205">
        <f t="shared" si="72"/>
        <v>2687</v>
      </c>
      <c r="DT26" s="144">
        <v>2682</v>
      </c>
      <c r="DU26" s="144">
        <f t="shared" si="15"/>
        <v>-5</v>
      </c>
      <c r="DV26" s="144">
        <f t="shared" si="73"/>
        <v>-12</v>
      </c>
      <c r="DW26" s="199"/>
      <c r="DX26" s="205">
        <f t="shared" si="74"/>
        <v>10547</v>
      </c>
      <c r="DY26" s="144">
        <v>10547</v>
      </c>
      <c r="DZ26" s="144">
        <f t="shared" si="75"/>
        <v>0</v>
      </c>
      <c r="EA26" s="144">
        <f t="shared" si="76"/>
        <v>0</v>
      </c>
      <c r="EB26" s="199"/>
      <c r="EC26" s="205">
        <f t="shared" si="104"/>
        <v>0</v>
      </c>
      <c r="ED26" s="144"/>
      <c r="EE26" s="199">
        <f t="shared" si="26"/>
        <v>0</v>
      </c>
      <c r="EF26" s="205">
        <f t="shared" si="101"/>
        <v>0</v>
      </c>
      <c r="EG26" s="144"/>
      <c r="EH26" s="199">
        <f t="shared" si="27"/>
        <v>0</v>
      </c>
      <c r="EI26" s="205">
        <f t="shared" si="102"/>
        <v>0</v>
      </c>
      <c r="EJ26" s="144"/>
      <c r="EK26" s="199">
        <f t="shared" si="28"/>
        <v>0</v>
      </c>
      <c r="EL26" s="205">
        <f t="shared" si="103"/>
        <v>0</v>
      </c>
      <c r="EM26" s="144"/>
      <c r="EN26" s="199">
        <f t="shared" si="29"/>
        <v>0</v>
      </c>
      <c r="EO26" s="205">
        <f t="shared" si="81"/>
        <v>0</v>
      </c>
      <c r="EP26" s="144"/>
      <c r="EQ26" s="199">
        <f t="shared" si="30"/>
        <v>0</v>
      </c>
      <c r="ER26" s="205">
        <f t="shared" si="82"/>
        <v>0</v>
      </c>
      <c r="ES26" s="144"/>
      <c r="ET26" s="199">
        <f t="shared" si="83"/>
        <v>0</v>
      </c>
      <c r="EU26" s="205">
        <f t="shared" si="84"/>
        <v>0</v>
      </c>
      <c r="EV26" s="144"/>
      <c r="EW26" s="199">
        <f t="shared" si="85"/>
        <v>0</v>
      </c>
      <c r="EX26" s="205">
        <f t="shared" si="86"/>
        <v>0</v>
      </c>
      <c r="EY26" s="144"/>
      <c r="EZ26" s="199">
        <f t="shared" si="87"/>
        <v>0</v>
      </c>
      <c r="FA26" s="205">
        <f t="shared" si="88"/>
        <v>0</v>
      </c>
      <c r="FB26" s="144"/>
      <c r="FC26" s="199">
        <f t="shared" si="89"/>
        <v>0</v>
      </c>
      <c r="FD26" s="205">
        <f t="shared" si="90"/>
        <v>0</v>
      </c>
      <c r="FE26" s="144"/>
      <c r="FF26" s="199">
        <f t="shared" si="91"/>
        <v>0</v>
      </c>
      <c r="FG26" s="205">
        <f t="shared" si="92"/>
        <v>0</v>
      </c>
      <c r="FH26" s="144"/>
      <c r="FI26" s="199">
        <f t="shared" si="93"/>
        <v>0</v>
      </c>
      <c r="FJ26" s="205">
        <f t="shared" si="94"/>
        <v>0</v>
      </c>
      <c r="FK26" s="144"/>
      <c r="FL26" s="199">
        <f t="shared" si="95"/>
        <v>0</v>
      </c>
      <c r="FM26" s="205">
        <f t="shared" si="96"/>
        <v>0</v>
      </c>
      <c r="FN26" s="144"/>
      <c r="FO26" s="199">
        <f t="shared" si="97"/>
        <v>0</v>
      </c>
      <c r="FP26" s="205">
        <f t="shared" si="98"/>
        <v>0</v>
      </c>
      <c r="FQ26" s="144"/>
      <c r="FR26" s="199">
        <f t="shared" si="31"/>
        <v>0</v>
      </c>
    </row>
    <row r="27" spans="1:174" ht="15" customHeight="1" x14ac:dyDescent="0.2">
      <c r="A27" s="142">
        <v>22</v>
      </c>
      <c r="B27" s="142">
        <f t="shared" si="32"/>
        <v>23152</v>
      </c>
      <c r="C27" s="143">
        <v>23152</v>
      </c>
      <c r="D27" s="137">
        <f t="shared" si="16"/>
        <v>0</v>
      </c>
      <c r="E27" s="192"/>
      <c r="F27" s="142">
        <v>22</v>
      </c>
      <c r="G27" s="142">
        <f t="shared" si="33"/>
        <v>39028</v>
      </c>
      <c r="H27" s="143">
        <v>39028</v>
      </c>
      <c r="I27" s="137">
        <f t="shared" si="17"/>
        <v>0</v>
      </c>
      <c r="J27" s="192"/>
      <c r="K27" s="142">
        <v>22</v>
      </c>
      <c r="L27" s="142">
        <f t="shared" si="34"/>
        <v>842228</v>
      </c>
      <c r="M27" s="143">
        <v>842343</v>
      </c>
      <c r="N27" s="137">
        <f t="shared" si="18"/>
        <v>115</v>
      </c>
      <c r="O27" s="139"/>
      <c r="P27" s="142">
        <v>22</v>
      </c>
      <c r="Q27" s="142">
        <f t="shared" si="35"/>
        <v>239504</v>
      </c>
      <c r="R27" s="143">
        <v>239574</v>
      </c>
      <c r="S27" s="137">
        <f t="shared" si="19"/>
        <v>70</v>
      </c>
      <c r="T27" s="138"/>
      <c r="U27" s="140">
        <v>22</v>
      </c>
      <c r="V27" s="207">
        <f t="shared" si="20"/>
        <v>185</v>
      </c>
      <c r="W27" s="141">
        <f>'Maldives at LG Daily'!I26</f>
        <v>26.2</v>
      </c>
      <c r="X27" s="160"/>
      <c r="Y27" s="323" t="e">
        <f t="shared" si="21"/>
        <v>#DIV/0!</v>
      </c>
      <c r="AA27" s="201">
        <v>22</v>
      </c>
      <c r="AB27" s="144">
        <f t="shared" si="36"/>
        <v>46323</v>
      </c>
      <c r="AC27" s="144">
        <v>46336</v>
      </c>
      <c r="AD27" s="144">
        <f t="shared" si="22"/>
        <v>13</v>
      </c>
      <c r="AE27" s="144">
        <f t="shared" si="99"/>
        <v>-3</v>
      </c>
      <c r="AF27" s="297"/>
      <c r="AG27" s="201">
        <f t="shared" si="37"/>
        <v>10306</v>
      </c>
      <c r="AH27" s="144">
        <v>10311</v>
      </c>
      <c r="AI27" s="144">
        <f t="shared" si="23"/>
        <v>5</v>
      </c>
      <c r="AJ27" s="144">
        <f t="shared" si="100"/>
        <v>0</v>
      </c>
      <c r="AK27" s="144"/>
      <c r="AL27" s="201">
        <f t="shared" si="38"/>
        <v>9452</v>
      </c>
      <c r="AM27" s="144">
        <v>9461</v>
      </c>
      <c r="AN27" s="144">
        <f t="shared" si="24"/>
        <v>9</v>
      </c>
      <c r="AO27" s="144">
        <f t="shared" si="39"/>
        <v>1</v>
      </c>
      <c r="AP27" s="144"/>
      <c r="AQ27" s="201">
        <f t="shared" si="40"/>
        <v>18755</v>
      </c>
      <c r="AR27" s="144">
        <v>18765</v>
      </c>
      <c r="AS27" s="144">
        <f t="shared" si="25"/>
        <v>10</v>
      </c>
      <c r="AT27" s="144">
        <f t="shared" si="41"/>
        <v>2</v>
      </c>
      <c r="AU27" s="144"/>
      <c r="AV27" s="201">
        <f t="shared" si="42"/>
        <v>35128</v>
      </c>
      <c r="AW27" s="144">
        <v>35135</v>
      </c>
      <c r="AX27" s="144">
        <f t="shared" si="0"/>
        <v>7</v>
      </c>
      <c r="AY27" s="144">
        <f t="shared" si="43"/>
        <v>0</v>
      </c>
      <c r="AZ27" s="144"/>
      <c r="BA27" s="201">
        <f t="shared" si="44"/>
        <v>8962</v>
      </c>
      <c r="BB27" s="144">
        <v>8968</v>
      </c>
      <c r="BC27" s="144">
        <f t="shared" si="1"/>
        <v>6</v>
      </c>
      <c r="BD27" s="144">
        <f t="shared" si="45"/>
        <v>-4</v>
      </c>
      <c r="BE27" s="144"/>
      <c r="BF27" s="201">
        <f t="shared" si="46"/>
        <v>25703</v>
      </c>
      <c r="BG27" s="144">
        <v>25712</v>
      </c>
      <c r="BH27" s="144">
        <f t="shared" si="2"/>
        <v>9</v>
      </c>
      <c r="BI27" s="144">
        <f t="shared" si="47"/>
        <v>0</v>
      </c>
      <c r="BJ27" s="144"/>
      <c r="BK27" s="201">
        <f t="shared" si="48"/>
        <v>9704</v>
      </c>
      <c r="BL27" s="144">
        <v>9712</v>
      </c>
      <c r="BM27" s="144">
        <f t="shared" si="3"/>
        <v>8</v>
      </c>
      <c r="BN27" s="144">
        <f t="shared" si="49"/>
        <v>1</v>
      </c>
      <c r="BO27" s="144"/>
      <c r="BP27" s="201">
        <f t="shared" si="50"/>
        <v>4092</v>
      </c>
      <c r="BQ27" s="144">
        <v>4094</v>
      </c>
      <c r="BR27" s="330">
        <f t="shared" si="4"/>
        <v>2</v>
      </c>
      <c r="BS27" s="144">
        <f t="shared" si="51"/>
        <v>1</v>
      </c>
      <c r="BT27" s="144"/>
      <c r="BU27" s="201">
        <f t="shared" si="52"/>
        <v>1852</v>
      </c>
      <c r="BV27" s="144">
        <v>1853</v>
      </c>
      <c r="BW27" s="144">
        <f t="shared" si="5"/>
        <v>1</v>
      </c>
      <c r="BX27" s="144">
        <f t="shared" si="53"/>
        <v>1</v>
      </c>
      <c r="BY27" s="144"/>
      <c r="BZ27" s="205">
        <f t="shared" si="54"/>
        <v>28982</v>
      </c>
      <c r="CA27" s="144">
        <v>28987</v>
      </c>
      <c r="CB27" s="330">
        <f t="shared" si="6"/>
        <v>5</v>
      </c>
      <c r="CC27" s="144">
        <f t="shared" si="55"/>
        <v>-7</v>
      </c>
      <c r="CD27" s="199"/>
      <c r="CE27" s="205">
        <f t="shared" si="56"/>
        <v>3399</v>
      </c>
      <c r="CF27" s="144">
        <v>3404</v>
      </c>
      <c r="CG27" s="144">
        <f t="shared" si="7"/>
        <v>5</v>
      </c>
      <c r="CH27" s="144">
        <f t="shared" si="57"/>
        <v>3</v>
      </c>
      <c r="CI27" s="199"/>
      <c r="CJ27" s="205">
        <f t="shared" si="58"/>
        <v>83944</v>
      </c>
      <c r="CK27" s="144">
        <v>83971</v>
      </c>
      <c r="CL27" s="144">
        <f t="shared" si="8"/>
        <v>27</v>
      </c>
      <c r="CM27" s="144">
        <f t="shared" si="59"/>
        <v>2</v>
      </c>
      <c r="CN27" s="199"/>
      <c r="CO27" s="205">
        <f t="shared" si="60"/>
        <v>25668</v>
      </c>
      <c r="CP27" s="144">
        <v>25676</v>
      </c>
      <c r="CQ27" s="144">
        <f t="shared" si="9"/>
        <v>8</v>
      </c>
      <c r="CR27" s="144">
        <f t="shared" si="61"/>
        <v>1</v>
      </c>
      <c r="CS27" s="199"/>
      <c r="CT27" s="205">
        <f t="shared" si="62"/>
        <v>12787</v>
      </c>
      <c r="CU27" s="144">
        <v>12788</v>
      </c>
      <c r="CV27" s="144">
        <f t="shared" si="10"/>
        <v>1</v>
      </c>
      <c r="CW27" s="144">
        <f t="shared" si="63"/>
        <v>1</v>
      </c>
      <c r="CX27" s="199"/>
      <c r="CY27" s="205">
        <f t="shared" si="64"/>
        <v>19610</v>
      </c>
      <c r="CZ27" s="144">
        <v>19610</v>
      </c>
      <c r="DA27" s="144">
        <f t="shared" si="11"/>
        <v>0</v>
      </c>
      <c r="DB27" s="144">
        <f t="shared" si="65"/>
        <v>-1</v>
      </c>
      <c r="DC27" s="199"/>
      <c r="DD27" s="205">
        <f t="shared" si="66"/>
        <v>20837</v>
      </c>
      <c r="DE27" s="144">
        <v>20841</v>
      </c>
      <c r="DF27" s="144">
        <f t="shared" si="12"/>
        <v>4</v>
      </c>
      <c r="DG27" s="144">
        <f t="shared" si="67"/>
        <v>1</v>
      </c>
      <c r="DH27" s="199"/>
      <c r="DI27" s="205">
        <f t="shared" si="68"/>
        <v>9766</v>
      </c>
      <c r="DJ27" s="144">
        <v>9768</v>
      </c>
      <c r="DK27" s="144">
        <f t="shared" si="13"/>
        <v>2</v>
      </c>
      <c r="DL27" s="144">
        <f t="shared" si="69"/>
        <v>0</v>
      </c>
      <c r="DM27" s="199"/>
      <c r="DN27" s="205">
        <f t="shared" si="70"/>
        <v>25708</v>
      </c>
      <c r="DO27" s="144">
        <v>25715</v>
      </c>
      <c r="DP27" s="144">
        <f t="shared" si="14"/>
        <v>7</v>
      </c>
      <c r="DQ27" s="144">
        <f t="shared" si="71"/>
        <v>2</v>
      </c>
      <c r="DR27" s="199"/>
      <c r="DS27" s="205">
        <f t="shared" si="72"/>
        <v>2682</v>
      </c>
      <c r="DT27" s="144">
        <v>2683</v>
      </c>
      <c r="DU27" s="144">
        <f t="shared" si="15"/>
        <v>1</v>
      </c>
      <c r="DV27" s="144">
        <f t="shared" si="73"/>
        <v>6</v>
      </c>
      <c r="DW27" s="199"/>
      <c r="DX27" s="205">
        <f t="shared" si="74"/>
        <v>10547</v>
      </c>
      <c r="DY27" s="144">
        <v>10547</v>
      </c>
      <c r="DZ27" s="144">
        <f t="shared" si="75"/>
        <v>0</v>
      </c>
      <c r="EA27" s="144">
        <f t="shared" si="76"/>
        <v>0</v>
      </c>
      <c r="EB27" s="199"/>
      <c r="EC27" s="205">
        <f t="shared" si="104"/>
        <v>0</v>
      </c>
      <c r="ED27" s="144"/>
      <c r="EE27" s="199">
        <f t="shared" si="26"/>
        <v>0</v>
      </c>
      <c r="EF27" s="205">
        <f t="shared" si="101"/>
        <v>0</v>
      </c>
      <c r="EG27" s="144"/>
      <c r="EH27" s="199">
        <f t="shared" si="27"/>
        <v>0</v>
      </c>
      <c r="EI27" s="205">
        <f t="shared" si="102"/>
        <v>0</v>
      </c>
      <c r="EJ27" s="144"/>
      <c r="EK27" s="199">
        <f t="shared" si="28"/>
        <v>0</v>
      </c>
      <c r="EL27" s="205">
        <f t="shared" si="103"/>
        <v>0</v>
      </c>
      <c r="EM27" s="144"/>
      <c r="EN27" s="199">
        <f t="shared" si="29"/>
        <v>0</v>
      </c>
      <c r="EO27" s="205">
        <f t="shared" si="81"/>
        <v>0</v>
      </c>
      <c r="EP27" s="144"/>
      <c r="EQ27" s="199">
        <f t="shared" si="30"/>
        <v>0</v>
      </c>
      <c r="ER27" s="205">
        <f t="shared" si="82"/>
        <v>0</v>
      </c>
      <c r="ES27" s="144"/>
      <c r="ET27" s="199">
        <f t="shared" si="83"/>
        <v>0</v>
      </c>
      <c r="EU27" s="205">
        <f t="shared" si="84"/>
        <v>0</v>
      </c>
      <c r="EV27" s="144"/>
      <c r="EW27" s="199">
        <f t="shared" si="85"/>
        <v>0</v>
      </c>
      <c r="EX27" s="205">
        <f t="shared" si="86"/>
        <v>0</v>
      </c>
      <c r="EY27" s="144"/>
      <c r="EZ27" s="199">
        <f t="shared" si="87"/>
        <v>0</v>
      </c>
      <c r="FA27" s="205">
        <f t="shared" si="88"/>
        <v>0</v>
      </c>
      <c r="FB27" s="144"/>
      <c r="FC27" s="199">
        <f t="shared" si="89"/>
        <v>0</v>
      </c>
      <c r="FD27" s="205">
        <f t="shared" si="90"/>
        <v>0</v>
      </c>
      <c r="FE27" s="144"/>
      <c r="FF27" s="199">
        <f t="shared" si="91"/>
        <v>0</v>
      </c>
      <c r="FG27" s="205">
        <f t="shared" si="92"/>
        <v>0</v>
      </c>
      <c r="FH27" s="144"/>
      <c r="FI27" s="199">
        <f t="shared" si="93"/>
        <v>0</v>
      </c>
      <c r="FJ27" s="205">
        <f t="shared" si="94"/>
        <v>0</v>
      </c>
      <c r="FK27" s="144"/>
      <c r="FL27" s="199">
        <f t="shared" si="95"/>
        <v>0</v>
      </c>
      <c r="FM27" s="205">
        <f t="shared" si="96"/>
        <v>0</v>
      </c>
      <c r="FN27" s="144"/>
      <c r="FO27" s="199">
        <f t="shared" si="97"/>
        <v>0</v>
      </c>
      <c r="FP27" s="205">
        <f t="shared" si="98"/>
        <v>0</v>
      </c>
      <c r="FQ27" s="144"/>
      <c r="FR27" s="199">
        <f t="shared" si="31"/>
        <v>0</v>
      </c>
    </row>
    <row r="28" spans="1:174" ht="15" customHeight="1" x14ac:dyDescent="0.2">
      <c r="A28" s="142">
        <v>23</v>
      </c>
      <c r="B28" s="142">
        <f t="shared" si="32"/>
        <v>23152</v>
      </c>
      <c r="C28" s="143">
        <v>23152</v>
      </c>
      <c r="D28" s="137">
        <f t="shared" si="16"/>
        <v>0</v>
      </c>
      <c r="E28" s="192"/>
      <c r="F28" s="142">
        <v>23</v>
      </c>
      <c r="G28" s="142">
        <f t="shared" si="33"/>
        <v>39028</v>
      </c>
      <c r="H28" s="143">
        <v>39028</v>
      </c>
      <c r="I28" s="137">
        <f t="shared" si="17"/>
        <v>0</v>
      </c>
      <c r="J28" s="192"/>
      <c r="K28" s="142">
        <v>23</v>
      </c>
      <c r="L28" s="142">
        <f t="shared" si="34"/>
        <v>842343</v>
      </c>
      <c r="M28" s="143">
        <v>842502</v>
      </c>
      <c r="N28" s="137">
        <f t="shared" si="18"/>
        <v>159</v>
      </c>
      <c r="O28" s="139"/>
      <c r="P28" s="142">
        <v>23</v>
      </c>
      <c r="Q28" s="142">
        <f t="shared" si="35"/>
        <v>239574</v>
      </c>
      <c r="R28" s="143">
        <v>239703</v>
      </c>
      <c r="S28" s="137">
        <f t="shared" si="19"/>
        <v>129</v>
      </c>
      <c r="T28" s="138"/>
      <c r="U28" s="142">
        <v>23</v>
      </c>
      <c r="V28" s="207">
        <f t="shared" si="20"/>
        <v>288</v>
      </c>
      <c r="W28" s="141">
        <f>'Maldives at LG Daily'!I27</f>
        <v>26.2</v>
      </c>
      <c r="X28" s="160"/>
      <c r="Y28" s="323" t="e">
        <f t="shared" si="21"/>
        <v>#DIV/0!</v>
      </c>
      <c r="AA28" s="201">
        <v>23</v>
      </c>
      <c r="AB28" s="144">
        <f t="shared" si="36"/>
        <v>46336</v>
      </c>
      <c r="AC28" s="144">
        <v>46355</v>
      </c>
      <c r="AD28" s="144">
        <f t="shared" si="22"/>
        <v>19</v>
      </c>
      <c r="AE28" s="144">
        <f t="shared" si="99"/>
        <v>6</v>
      </c>
      <c r="AF28" s="297"/>
      <c r="AG28" s="201">
        <f t="shared" si="37"/>
        <v>10311</v>
      </c>
      <c r="AH28" s="144">
        <v>10316</v>
      </c>
      <c r="AI28" s="144">
        <f t="shared" si="23"/>
        <v>5</v>
      </c>
      <c r="AJ28" s="144">
        <f t="shared" si="100"/>
        <v>0</v>
      </c>
      <c r="AK28" s="144"/>
      <c r="AL28" s="201">
        <f t="shared" si="38"/>
        <v>9461</v>
      </c>
      <c r="AM28" s="144">
        <v>9471</v>
      </c>
      <c r="AN28" s="144">
        <f t="shared" si="24"/>
        <v>10</v>
      </c>
      <c r="AO28" s="144">
        <f t="shared" si="39"/>
        <v>1</v>
      </c>
      <c r="AP28" s="144"/>
      <c r="AQ28" s="201">
        <f t="shared" si="40"/>
        <v>18765</v>
      </c>
      <c r="AR28" s="144">
        <v>18775</v>
      </c>
      <c r="AS28" s="144">
        <f t="shared" si="25"/>
        <v>10</v>
      </c>
      <c r="AT28" s="144">
        <f t="shared" si="41"/>
        <v>0</v>
      </c>
      <c r="AU28" s="144"/>
      <c r="AV28" s="201">
        <f t="shared" si="42"/>
        <v>35135</v>
      </c>
      <c r="AW28" s="144">
        <v>35140</v>
      </c>
      <c r="AX28" s="144">
        <f t="shared" si="0"/>
        <v>5</v>
      </c>
      <c r="AY28" s="144">
        <f t="shared" si="43"/>
        <v>-2</v>
      </c>
      <c r="AZ28" s="144"/>
      <c r="BA28" s="201">
        <f t="shared" si="44"/>
        <v>8968</v>
      </c>
      <c r="BB28" s="144">
        <v>8975</v>
      </c>
      <c r="BC28" s="144">
        <f t="shared" si="1"/>
        <v>7</v>
      </c>
      <c r="BD28" s="144">
        <f t="shared" si="45"/>
        <v>1</v>
      </c>
      <c r="BE28" s="144"/>
      <c r="BF28" s="201">
        <f t="shared" si="46"/>
        <v>25712</v>
      </c>
      <c r="BG28" s="144">
        <v>25720</v>
      </c>
      <c r="BH28" s="144">
        <f t="shared" si="2"/>
        <v>8</v>
      </c>
      <c r="BI28" s="144">
        <f t="shared" si="47"/>
        <v>-1</v>
      </c>
      <c r="BJ28" s="144"/>
      <c r="BK28" s="201">
        <f t="shared" si="48"/>
        <v>9712</v>
      </c>
      <c r="BL28" s="144">
        <v>9721</v>
      </c>
      <c r="BM28" s="144">
        <f t="shared" si="3"/>
        <v>9</v>
      </c>
      <c r="BN28" s="144">
        <f t="shared" si="49"/>
        <v>1</v>
      </c>
      <c r="BO28" s="144"/>
      <c r="BP28" s="201">
        <f t="shared" si="50"/>
        <v>4094</v>
      </c>
      <c r="BQ28" s="144">
        <v>4096</v>
      </c>
      <c r="BR28" s="330">
        <f t="shared" si="4"/>
        <v>2</v>
      </c>
      <c r="BS28" s="144">
        <f t="shared" si="51"/>
        <v>0</v>
      </c>
      <c r="BT28" s="144"/>
      <c r="BU28" s="201">
        <f t="shared" si="52"/>
        <v>1853</v>
      </c>
      <c r="BV28" s="144">
        <v>1854</v>
      </c>
      <c r="BW28" s="144">
        <f t="shared" si="5"/>
        <v>1</v>
      </c>
      <c r="BX28" s="144">
        <f t="shared" si="53"/>
        <v>0</v>
      </c>
      <c r="BY28" s="144"/>
      <c r="BZ28" s="205">
        <f t="shared" si="54"/>
        <v>28987</v>
      </c>
      <c r="CA28" s="144">
        <v>28992</v>
      </c>
      <c r="CB28" s="330">
        <f t="shared" si="6"/>
        <v>5</v>
      </c>
      <c r="CC28" s="144">
        <f t="shared" si="55"/>
        <v>0</v>
      </c>
      <c r="CD28" s="199"/>
      <c r="CE28" s="205">
        <f t="shared" si="56"/>
        <v>3404</v>
      </c>
      <c r="CF28" s="144">
        <v>3407</v>
      </c>
      <c r="CG28" s="144">
        <f t="shared" si="7"/>
        <v>3</v>
      </c>
      <c r="CH28" s="144">
        <f t="shared" si="57"/>
        <v>-2</v>
      </c>
      <c r="CI28" s="199"/>
      <c r="CJ28" s="205">
        <f t="shared" si="58"/>
        <v>83971</v>
      </c>
      <c r="CK28" s="144">
        <v>83998</v>
      </c>
      <c r="CL28" s="144">
        <f t="shared" si="8"/>
        <v>27</v>
      </c>
      <c r="CM28" s="144">
        <f t="shared" si="59"/>
        <v>0</v>
      </c>
      <c r="CN28" s="199"/>
      <c r="CO28" s="205">
        <f t="shared" si="60"/>
        <v>25676</v>
      </c>
      <c r="CP28" s="144">
        <v>25684</v>
      </c>
      <c r="CQ28" s="144">
        <f t="shared" si="9"/>
        <v>8</v>
      </c>
      <c r="CR28" s="144">
        <f t="shared" si="61"/>
        <v>0</v>
      </c>
      <c r="CS28" s="199"/>
      <c r="CT28" s="205">
        <f t="shared" si="62"/>
        <v>12788</v>
      </c>
      <c r="CU28" s="144">
        <v>12789</v>
      </c>
      <c r="CV28" s="144">
        <f t="shared" si="10"/>
        <v>1</v>
      </c>
      <c r="CW28" s="144">
        <f t="shared" si="63"/>
        <v>0</v>
      </c>
      <c r="CX28" s="199"/>
      <c r="CY28" s="205">
        <f t="shared" si="64"/>
        <v>19610</v>
      </c>
      <c r="CZ28" s="144">
        <v>19611</v>
      </c>
      <c r="DA28" s="144">
        <f t="shared" si="11"/>
        <v>1</v>
      </c>
      <c r="DB28" s="144">
        <f t="shared" si="65"/>
        <v>1</v>
      </c>
      <c r="DC28" s="199"/>
      <c r="DD28" s="205">
        <f t="shared" si="66"/>
        <v>20841</v>
      </c>
      <c r="DE28" s="144">
        <v>20843</v>
      </c>
      <c r="DF28" s="144">
        <f t="shared" si="12"/>
        <v>2</v>
      </c>
      <c r="DG28" s="144">
        <f t="shared" si="67"/>
        <v>-2</v>
      </c>
      <c r="DH28" s="199"/>
      <c r="DI28" s="205">
        <f t="shared" si="68"/>
        <v>9768</v>
      </c>
      <c r="DJ28" s="144">
        <v>9770</v>
      </c>
      <c r="DK28" s="144">
        <f t="shared" si="13"/>
        <v>2</v>
      </c>
      <c r="DL28" s="144">
        <f t="shared" si="69"/>
        <v>0</v>
      </c>
      <c r="DM28" s="199"/>
      <c r="DN28" s="205">
        <f t="shared" si="70"/>
        <v>25715</v>
      </c>
      <c r="DO28" s="144">
        <v>25739</v>
      </c>
      <c r="DP28" s="144">
        <f t="shared" si="14"/>
        <v>24</v>
      </c>
      <c r="DQ28" s="144">
        <f t="shared" si="71"/>
        <v>17</v>
      </c>
      <c r="DR28" s="199"/>
      <c r="DS28" s="205">
        <f t="shared" si="72"/>
        <v>2683</v>
      </c>
      <c r="DT28" s="144">
        <v>2686</v>
      </c>
      <c r="DU28" s="144">
        <f t="shared" si="15"/>
        <v>3</v>
      </c>
      <c r="DV28" s="144">
        <f t="shared" si="73"/>
        <v>2</v>
      </c>
      <c r="DW28" s="199"/>
      <c r="DX28" s="205">
        <f t="shared" si="74"/>
        <v>10547</v>
      </c>
      <c r="DY28" s="144">
        <v>10547</v>
      </c>
      <c r="DZ28" s="144">
        <f t="shared" si="75"/>
        <v>0</v>
      </c>
      <c r="EA28" s="144">
        <f t="shared" si="76"/>
        <v>0</v>
      </c>
      <c r="EB28" s="199"/>
      <c r="EC28" s="205">
        <f t="shared" si="104"/>
        <v>0</v>
      </c>
      <c r="ED28" s="144"/>
      <c r="EE28" s="199">
        <f t="shared" si="26"/>
        <v>0</v>
      </c>
      <c r="EF28" s="205">
        <f t="shared" si="101"/>
        <v>0</v>
      </c>
      <c r="EG28" s="144"/>
      <c r="EH28" s="199">
        <f t="shared" si="27"/>
        <v>0</v>
      </c>
      <c r="EI28" s="205">
        <f t="shared" si="102"/>
        <v>0</v>
      </c>
      <c r="EJ28" s="144"/>
      <c r="EK28" s="199">
        <f t="shared" si="28"/>
        <v>0</v>
      </c>
      <c r="EL28" s="205">
        <f t="shared" si="103"/>
        <v>0</v>
      </c>
      <c r="EM28" s="144"/>
      <c r="EN28" s="199">
        <f t="shared" si="29"/>
        <v>0</v>
      </c>
      <c r="EO28" s="205">
        <f t="shared" si="81"/>
        <v>0</v>
      </c>
      <c r="EP28" s="144"/>
      <c r="EQ28" s="199">
        <f t="shared" si="30"/>
        <v>0</v>
      </c>
      <c r="ER28" s="205">
        <f t="shared" si="82"/>
        <v>0</v>
      </c>
      <c r="ES28" s="144"/>
      <c r="ET28" s="199">
        <f t="shared" si="83"/>
        <v>0</v>
      </c>
      <c r="EU28" s="205">
        <f t="shared" si="84"/>
        <v>0</v>
      </c>
      <c r="EV28" s="144"/>
      <c r="EW28" s="199">
        <f t="shared" si="85"/>
        <v>0</v>
      </c>
      <c r="EX28" s="205">
        <f t="shared" si="86"/>
        <v>0</v>
      </c>
      <c r="EY28" s="144"/>
      <c r="EZ28" s="199">
        <f t="shared" si="87"/>
        <v>0</v>
      </c>
      <c r="FA28" s="205">
        <f t="shared" si="88"/>
        <v>0</v>
      </c>
      <c r="FB28" s="144"/>
      <c r="FC28" s="199">
        <f t="shared" si="89"/>
        <v>0</v>
      </c>
      <c r="FD28" s="205">
        <f t="shared" si="90"/>
        <v>0</v>
      </c>
      <c r="FE28" s="144"/>
      <c r="FF28" s="199">
        <f t="shared" si="91"/>
        <v>0</v>
      </c>
      <c r="FG28" s="205">
        <f t="shared" si="92"/>
        <v>0</v>
      </c>
      <c r="FH28" s="144"/>
      <c r="FI28" s="199">
        <f t="shared" si="93"/>
        <v>0</v>
      </c>
      <c r="FJ28" s="205">
        <f t="shared" si="94"/>
        <v>0</v>
      </c>
      <c r="FK28" s="144"/>
      <c r="FL28" s="199">
        <f t="shared" si="95"/>
        <v>0</v>
      </c>
      <c r="FM28" s="205">
        <f t="shared" si="96"/>
        <v>0</v>
      </c>
      <c r="FN28" s="144"/>
      <c r="FO28" s="199">
        <f t="shared" si="97"/>
        <v>0</v>
      </c>
      <c r="FP28" s="205">
        <f t="shared" si="98"/>
        <v>0</v>
      </c>
      <c r="FQ28" s="144"/>
      <c r="FR28" s="199">
        <f t="shared" si="31"/>
        <v>0</v>
      </c>
    </row>
    <row r="29" spans="1:174" ht="15" customHeight="1" x14ac:dyDescent="0.2">
      <c r="A29" s="142">
        <v>24</v>
      </c>
      <c r="B29" s="142">
        <f t="shared" si="32"/>
        <v>23152</v>
      </c>
      <c r="C29" s="143">
        <v>23188</v>
      </c>
      <c r="D29" s="137">
        <f t="shared" si="16"/>
        <v>36</v>
      </c>
      <c r="E29" s="192"/>
      <c r="F29" s="142">
        <v>24</v>
      </c>
      <c r="G29" s="142">
        <f t="shared" si="33"/>
        <v>39028</v>
      </c>
      <c r="H29" s="143">
        <v>39028</v>
      </c>
      <c r="I29" s="137">
        <f t="shared" si="17"/>
        <v>0</v>
      </c>
      <c r="J29" s="192"/>
      <c r="K29" s="142">
        <v>24</v>
      </c>
      <c r="L29" s="142">
        <f t="shared" si="34"/>
        <v>842502</v>
      </c>
      <c r="M29" s="143">
        <v>842674</v>
      </c>
      <c r="N29" s="137">
        <f t="shared" si="18"/>
        <v>172</v>
      </c>
      <c r="O29" s="139"/>
      <c r="P29" s="142">
        <v>24</v>
      </c>
      <c r="Q29" s="142">
        <f t="shared" si="35"/>
        <v>239703</v>
      </c>
      <c r="R29" s="143">
        <v>239805</v>
      </c>
      <c r="S29" s="137">
        <f t="shared" si="19"/>
        <v>102</v>
      </c>
      <c r="T29" s="138"/>
      <c r="U29" s="140">
        <v>24</v>
      </c>
      <c r="V29" s="207">
        <f t="shared" si="20"/>
        <v>310</v>
      </c>
      <c r="W29" s="141">
        <f>'Maldives at LG Daily'!I28</f>
        <v>26.2</v>
      </c>
      <c r="X29" s="160"/>
      <c r="Y29" s="323" t="e">
        <f t="shared" si="21"/>
        <v>#DIV/0!</v>
      </c>
      <c r="AA29" s="201">
        <v>24</v>
      </c>
      <c r="AB29" s="144">
        <f t="shared" si="36"/>
        <v>46355</v>
      </c>
      <c r="AC29" s="144">
        <v>46369</v>
      </c>
      <c r="AD29" s="144">
        <f t="shared" si="22"/>
        <v>14</v>
      </c>
      <c r="AE29" s="144">
        <f t="shared" si="99"/>
        <v>-5</v>
      </c>
      <c r="AF29" s="297"/>
      <c r="AG29" s="201">
        <f t="shared" si="37"/>
        <v>10316</v>
      </c>
      <c r="AH29" s="144">
        <v>10320</v>
      </c>
      <c r="AI29" s="144">
        <f t="shared" si="23"/>
        <v>4</v>
      </c>
      <c r="AJ29" s="144">
        <f t="shared" si="100"/>
        <v>-1</v>
      </c>
      <c r="AK29" s="144"/>
      <c r="AL29" s="201">
        <f t="shared" si="38"/>
        <v>9471</v>
      </c>
      <c r="AM29" s="144">
        <v>9479</v>
      </c>
      <c r="AN29" s="144">
        <f t="shared" si="24"/>
        <v>8</v>
      </c>
      <c r="AO29" s="144">
        <f t="shared" si="39"/>
        <v>-2</v>
      </c>
      <c r="AP29" s="144"/>
      <c r="AQ29" s="201">
        <f t="shared" si="40"/>
        <v>18775</v>
      </c>
      <c r="AR29" s="144">
        <v>18784</v>
      </c>
      <c r="AS29" s="144">
        <f t="shared" si="25"/>
        <v>9</v>
      </c>
      <c r="AT29" s="144">
        <f t="shared" si="41"/>
        <v>-1</v>
      </c>
      <c r="AU29" s="144"/>
      <c r="AV29" s="201">
        <f t="shared" si="42"/>
        <v>35140</v>
      </c>
      <c r="AW29" s="144">
        <v>35149</v>
      </c>
      <c r="AX29" s="144">
        <f t="shared" si="0"/>
        <v>9</v>
      </c>
      <c r="AY29" s="144">
        <f t="shared" si="43"/>
        <v>4</v>
      </c>
      <c r="AZ29" s="144"/>
      <c r="BA29" s="201">
        <f t="shared" si="44"/>
        <v>8975</v>
      </c>
      <c r="BB29" s="144">
        <v>8982</v>
      </c>
      <c r="BC29" s="144">
        <f t="shared" si="1"/>
        <v>7</v>
      </c>
      <c r="BD29" s="144">
        <f t="shared" si="45"/>
        <v>0</v>
      </c>
      <c r="BE29" s="144"/>
      <c r="BF29" s="201">
        <f t="shared" si="46"/>
        <v>25720</v>
      </c>
      <c r="BG29" s="144">
        <v>25729</v>
      </c>
      <c r="BH29" s="144">
        <f t="shared" si="2"/>
        <v>9</v>
      </c>
      <c r="BI29" s="144">
        <f t="shared" si="47"/>
        <v>1</v>
      </c>
      <c r="BJ29" s="144"/>
      <c r="BK29" s="201">
        <f t="shared" si="48"/>
        <v>9721</v>
      </c>
      <c r="BL29" s="144">
        <v>9729</v>
      </c>
      <c r="BM29" s="144">
        <f t="shared" si="3"/>
        <v>8</v>
      </c>
      <c r="BN29" s="144">
        <f t="shared" si="49"/>
        <v>-1</v>
      </c>
      <c r="BO29" s="144"/>
      <c r="BP29" s="201">
        <f t="shared" si="50"/>
        <v>4096</v>
      </c>
      <c r="BQ29" s="144">
        <v>4097</v>
      </c>
      <c r="BR29" s="330">
        <f t="shared" si="4"/>
        <v>1</v>
      </c>
      <c r="BS29" s="144">
        <f t="shared" si="51"/>
        <v>-1</v>
      </c>
      <c r="BT29" s="144"/>
      <c r="BU29" s="201">
        <f t="shared" si="52"/>
        <v>1854</v>
      </c>
      <c r="BV29" s="144">
        <v>1854</v>
      </c>
      <c r="BW29" s="144">
        <f t="shared" si="5"/>
        <v>0</v>
      </c>
      <c r="BX29" s="144">
        <f t="shared" si="53"/>
        <v>-1</v>
      </c>
      <c r="BY29" s="144"/>
      <c r="BZ29" s="205">
        <f t="shared" si="54"/>
        <v>28992</v>
      </c>
      <c r="CA29" s="144">
        <v>28997</v>
      </c>
      <c r="CB29" s="330">
        <f t="shared" si="6"/>
        <v>5</v>
      </c>
      <c r="CC29" s="144">
        <f t="shared" si="55"/>
        <v>0</v>
      </c>
      <c r="CD29" s="199"/>
      <c r="CE29" s="205">
        <f t="shared" si="56"/>
        <v>3407</v>
      </c>
      <c r="CF29" s="144">
        <v>3409</v>
      </c>
      <c r="CG29" s="144">
        <f t="shared" si="7"/>
        <v>2</v>
      </c>
      <c r="CH29" s="144">
        <f t="shared" si="57"/>
        <v>-1</v>
      </c>
      <c r="CI29" s="199"/>
      <c r="CJ29" s="205">
        <f t="shared" si="58"/>
        <v>83998</v>
      </c>
      <c r="CK29" s="144">
        <v>84023</v>
      </c>
      <c r="CL29" s="144">
        <f t="shared" si="8"/>
        <v>25</v>
      </c>
      <c r="CM29" s="144">
        <f t="shared" si="59"/>
        <v>-2</v>
      </c>
      <c r="CN29" s="199"/>
      <c r="CO29" s="205">
        <f t="shared" si="60"/>
        <v>25684</v>
      </c>
      <c r="CP29" s="144">
        <v>25690</v>
      </c>
      <c r="CQ29" s="144">
        <f t="shared" si="9"/>
        <v>6</v>
      </c>
      <c r="CR29" s="144">
        <f t="shared" si="61"/>
        <v>-2</v>
      </c>
      <c r="CS29" s="199"/>
      <c r="CT29" s="205">
        <f t="shared" si="62"/>
        <v>12789</v>
      </c>
      <c r="CU29" s="144">
        <v>12790</v>
      </c>
      <c r="CV29" s="144">
        <f t="shared" si="10"/>
        <v>1</v>
      </c>
      <c r="CW29" s="144">
        <f t="shared" si="63"/>
        <v>0</v>
      </c>
      <c r="CX29" s="199"/>
      <c r="CY29" s="205">
        <f t="shared" si="64"/>
        <v>19611</v>
      </c>
      <c r="CZ29" s="144">
        <v>19611</v>
      </c>
      <c r="DA29" s="144">
        <f t="shared" si="11"/>
        <v>0</v>
      </c>
      <c r="DB29" s="144">
        <f t="shared" si="65"/>
        <v>-1</v>
      </c>
      <c r="DC29" s="199"/>
      <c r="DD29" s="205">
        <f t="shared" si="66"/>
        <v>20843</v>
      </c>
      <c r="DE29" s="144">
        <v>20846</v>
      </c>
      <c r="DF29" s="144">
        <f t="shared" si="12"/>
        <v>3</v>
      </c>
      <c r="DG29" s="144">
        <f t="shared" si="67"/>
        <v>1</v>
      </c>
      <c r="DH29" s="199"/>
      <c r="DI29" s="205">
        <f t="shared" si="68"/>
        <v>9770</v>
      </c>
      <c r="DJ29" s="144">
        <v>9770</v>
      </c>
      <c r="DK29" s="144">
        <f t="shared" si="13"/>
        <v>0</v>
      </c>
      <c r="DL29" s="144">
        <f t="shared" si="69"/>
        <v>-2</v>
      </c>
      <c r="DM29" s="199"/>
      <c r="DN29" s="205">
        <f t="shared" si="70"/>
        <v>25739</v>
      </c>
      <c r="DO29" s="144">
        <v>25757</v>
      </c>
      <c r="DP29" s="144">
        <f t="shared" si="14"/>
        <v>18</v>
      </c>
      <c r="DQ29" s="144">
        <f t="shared" si="71"/>
        <v>-6</v>
      </c>
      <c r="DR29" s="199"/>
      <c r="DS29" s="205">
        <f t="shared" si="72"/>
        <v>2686</v>
      </c>
      <c r="DT29" s="144">
        <v>2688</v>
      </c>
      <c r="DU29" s="144">
        <f t="shared" si="15"/>
        <v>2</v>
      </c>
      <c r="DV29" s="144">
        <f t="shared" si="73"/>
        <v>-1</v>
      </c>
      <c r="DW29" s="199"/>
      <c r="DX29" s="205">
        <f t="shared" si="74"/>
        <v>10547</v>
      </c>
      <c r="DY29" s="144">
        <v>10547</v>
      </c>
      <c r="DZ29" s="144">
        <f t="shared" si="75"/>
        <v>0</v>
      </c>
      <c r="EA29" s="144">
        <f t="shared" si="76"/>
        <v>0</v>
      </c>
      <c r="EB29" s="199"/>
      <c r="EC29" s="205">
        <f t="shared" si="104"/>
        <v>0</v>
      </c>
      <c r="ED29" s="144"/>
      <c r="EE29" s="199">
        <f t="shared" si="26"/>
        <v>0</v>
      </c>
      <c r="EF29" s="205">
        <f t="shared" si="101"/>
        <v>0</v>
      </c>
      <c r="EG29" s="144"/>
      <c r="EH29" s="199">
        <f t="shared" si="27"/>
        <v>0</v>
      </c>
      <c r="EI29" s="205">
        <f t="shared" si="102"/>
        <v>0</v>
      </c>
      <c r="EJ29" s="144"/>
      <c r="EK29" s="199">
        <f t="shared" si="28"/>
        <v>0</v>
      </c>
      <c r="EL29" s="205">
        <f t="shared" si="103"/>
        <v>0</v>
      </c>
      <c r="EM29" s="144"/>
      <c r="EN29" s="199">
        <f t="shared" si="29"/>
        <v>0</v>
      </c>
      <c r="EO29" s="205">
        <f t="shared" si="81"/>
        <v>0</v>
      </c>
      <c r="EP29" s="144"/>
      <c r="EQ29" s="199">
        <f t="shared" si="30"/>
        <v>0</v>
      </c>
      <c r="ER29" s="205">
        <f t="shared" si="82"/>
        <v>0</v>
      </c>
      <c r="ES29" s="144"/>
      <c r="ET29" s="199">
        <f t="shared" si="83"/>
        <v>0</v>
      </c>
      <c r="EU29" s="205">
        <f t="shared" si="84"/>
        <v>0</v>
      </c>
      <c r="EV29" s="144"/>
      <c r="EW29" s="199">
        <f t="shared" si="85"/>
        <v>0</v>
      </c>
      <c r="EX29" s="205">
        <f t="shared" si="86"/>
        <v>0</v>
      </c>
      <c r="EY29" s="144"/>
      <c r="EZ29" s="199">
        <f t="shared" si="87"/>
        <v>0</v>
      </c>
      <c r="FA29" s="205">
        <f t="shared" si="88"/>
        <v>0</v>
      </c>
      <c r="FB29" s="144"/>
      <c r="FC29" s="199">
        <f t="shared" si="89"/>
        <v>0</v>
      </c>
      <c r="FD29" s="205">
        <f t="shared" si="90"/>
        <v>0</v>
      </c>
      <c r="FE29" s="144"/>
      <c r="FF29" s="199">
        <f t="shared" si="91"/>
        <v>0</v>
      </c>
      <c r="FG29" s="205">
        <f t="shared" si="92"/>
        <v>0</v>
      </c>
      <c r="FH29" s="144"/>
      <c r="FI29" s="199">
        <f t="shared" si="93"/>
        <v>0</v>
      </c>
      <c r="FJ29" s="205">
        <f t="shared" si="94"/>
        <v>0</v>
      </c>
      <c r="FK29" s="144"/>
      <c r="FL29" s="199">
        <f t="shared" si="95"/>
        <v>0</v>
      </c>
      <c r="FM29" s="205">
        <f t="shared" si="96"/>
        <v>0</v>
      </c>
      <c r="FN29" s="144"/>
      <c r="FO29" s="199">
        <f t="shared" si="97"/>
        <v>0</v>
      </c>
      <c r="FP29" s="205">
        <f t="shared" si="98"/>
        <v>0</v>
      </c>
      <c r="FQ29" s="144"/>
      <c r="FR29" s="199">
        <f t="shared" si="31"/>
        <v>0</v>
      </c>
    </row>
    <row r="30" spans="1:174" ht="15" customHeight="1" x14ac:dyDescent="0.2">
      <c r="A30" s="142">
        <v>25</v>
      </c>
      <c r="B30" s="142">
        <f t="shared" si="32"/>
        <v>23188</v>
      </c>
      <c r="C30" s="145">
        <v>23257</v>
      </c>
      <c r="D30" s="137">
        <f t="shared" si="16"/>
        <v>69</v>
      </c>
      <c r="E30" s="192"/>
      <c r="F30" s="142">
        <v>25</v>
      </c>
      <c r="G30" s="142">
        <f t="shared" si="33"/>
        <v>39028</v>
      </c>
      <c r="H30" s="145">
        <v>39028</v>
      </c>
      <c r="I30" s="137">
        <f t="shared" si="17"/>
        <v>0</v>
      </c>
      <c r="J30" s="192"/>
      <c r="K30" s="142">
        <v>25</v>
      </c>
      <c r="L30" s="142">
        <f t="shared" si="34"/>
        <v>842674</v>
      </c>
      <c r="M30" s="145">
        <v>842861</v>
      </c>
      <c r="N30" s="137">
        <f t="shared" si="18"/>
        <v>187</v>
      </c>
      <c r="O30" s="139"/>
      <c r="P30" s="142">
        <v>25</v>
      </c>
      <c r="Q30" s="142">
        <f t="shared" si="35"/>
        <v>239805</v>
      </c>
      <c r="R30" s="145">
        <v>239877</v>
      </c>
      <c r="S30" s="137">
        <f t="shared" si="19"/>
        <v>72</v>
      </c>
      <c r="T30" s="138"/>
      <c r="U30" s="140">
        <v>25</v>
      </c>
      <c r="V30" s="207">
        <f t="shared" si="20"/>
        <v>328</v>
      </c>
      <c r="W30" s="141">
        <f>'Maldives at LG Daily'!I29</f>
        <v>23.8</v>
      </c>
      <c r="X30" s="160"/>
      <c r="Y30" s="323" t="e">
        <f t="shared" si="21"/>
        <v>#DIV/0!</v>
      </c>
      <c r="AA30" s="201">
        <v>25</v>
      </c>
      <c r="AB30" s="144">
        <f t="shared" si="36"/>
        <v>46369</v>
      </c>
      <c r="AC30" s="144">
        <v>46385</v>
      </c>
      <c r="AD30" s="144">
        <f t="shared" si="22"/>
        <v>16</v>
      </c>
      <c r="AE30" s="144">
        <f t="shared" si="99"/>
        <v>2</v>
      </c>
      <c r="AF30" s="297"/>
      <c r="AG30" s="201">
        <f t="shared" si="37"/>
        <v>10320</v>
      </c>
      <c r="AH30" s="144">
        <v>10326</v>
      </c>
      <c r="AI30" s="144">
        <f t="shared" si="23"/>
        <v>6</v>
      </c>
      <c r="AJ30" s="144">
        <f t="shared" si="100"/>
        <v>2</v>
      </c>
      <c r="AK30" s="144"/>
      <c r="AL30" s="201">
        <f t="shared" si="38"/>
        <v>9479</v>
      </c>
      <c r="AM30" s="144">
        <v>9488</v>
      </c>
      <c r="AN30" s="144">
        <f t="shared" si="24"/>
        <v>9</v>
      </c>
      <c r="AO30" s="144">
        <f t="shared" si="39"/>
        <v>1</v>
      </c>
      <c r="AP30" s="144"/>
      <c r="AQ30" s="201">
        <f t="shared" si="40"/>
        <v>18784</v>
      </c>
      <c r="AR30" s="144">
        <v>18794</v>
      </c>
      <c r="AS30" s="144">
        <f t="shared" si="25"/>
        <v>10</v>
      </c>
      <c r="AT30" s="144">
        <f t="shared" si="41"/>
        <v>1</v>
      </c>
      <c r="AU30" s="144"/>
      <c r="AV30" s="201">
        <f t="shared" si="42"/>
        <v>35149</v>
      </c>
      <c r="AW30" s="144">
        <v>35156</v>
      </c>
      <c r="AX30" s="144">
        <f t="shared" si="0"/>
        <v>7</v>
      </c>
      <c r="AY30" s="144">
        <f t="shared" si="43"/>
        <v>-2</v>
      </c>
      <c r="AZ30" s="144"/>
      <c r="BA30" s="201">
        <f t="shared" si="44"/>
        <v>8982</v>
      </c>
      <c r="BB30" s="144">
        <v>8988</v>
      </c>
      <c r="BC30" s="144">
        <f t="shared" si="1"/>
        <v>6</v>
      </c>
      <c r="BD30" s="144">
        <f t="shared" si="45"/>
        <v>-1</v>
      </c>
      <c r="BE30" s="144"/>
      <c r="BF30" s="201">
        <f t="shared" si="46"/>
        <v>25729</v>
      </c>
      <c r="BG30" s="144">
        <v>25736</v>
      </c>
      <c r="BH30" s="144">
        <f t="shared" si="2"/>
        <v>7</v>
      </c>
      <c r="BI30" s="144">
        <f t="shared" si="47"/>
        <v>-2</v>
      </c>
      <c r="BJ30" s="144"/>
      <c r="BK30" s="201">
        <f t="shared" si="48"/>
        <v>9729</v>
      </c>
      <c r="BL30" s="144">
        <v>9737</v>
      </c>
      <c r="BM30" s="144">
        <f t="shared" si="3"/>
        <v>8</v>
      </c>
      <c r="BN30" s="144">
        <f t="shared" si="49"/>
        <v>0</v>
      </c>
      <c r="BO30" s="144"/>
      <c r="BP30" s="201">
        <f t="shared" si="50"/>
        <v>4097</v>
      </c>
      <c r="BQ30" s="144">
        <v>4098</v>
      </c>
      <c r="BR30" s="330">
        <f t="shared" si="4"/>
        <v>1</v>
      </c>
      <c r="BS30" s="144">
        <f t="shared" si="51"/>
        <v>0</v>
      </c>
      <c r="BT30" s="144"/>
      <c r="BU30" s="201">
        <f t="shared" si="52"/>
        <v>1854</v>
      </c>
      <c r="BV30" s="144">
        <v>1854</v>
      </c>
      <c r="BW30" s="144">
        <f t="shared" si="5"/>
        <v>0</v>
      </c>
      <c r="BX30" s="144">
        <f t="shared" si="53"/>
        <v>0</v>
      </c>
      <c r="BY30" s="144"/>
      <c r="BZ30" s="205">
        <f t="shared" si="54"/>
        <v>28997</v>
      </c>
      <c r="CA30" s="144">
        <v>29002</v>
      </c>
      <c r="CB30" s="330">
        <f t="shared" si="6"/>
        <v>5</v>
      </c>
      <c r="CC30" s="144">
        <f t="shared" si="55"/>
        <v>0</v>
      </c>
      <c r="CD30" s="199"/>
      <c r="CE30" s="205">
        <f t="shared" si="56"/>
        <v>3409</v>
      </c>
      <c r="CF30" s="144">
        <v>3409</v>
      </c>
      <c r="CG30" s="144">
        <f t="shared" si="7"/>
        <v>0</v>
      </c>
      <c r="CH30" s="144">
        <f t="shared" si="57"/>
        <v>-2</v>
      </c>
      <c r="CI30" s="199"/>
      <c r="CJ30" s="205">
        <f t="shared" si="58"/>
        <v>84023</v>
      </c>
      <c r="CK30" s="144">
        <v>84053</v>
      </c>
      <c r="CL30" s="144">
        <f t="shared" si="8"/>
        <v>30</v>
      </c>
      <c r="CM30" s="144">
        <f t="shared" si="59"/>
        <v>5</v>
      </c>
      <c r="CN30" s="199"/>
      <c r="CO30" s="205">
        <f t="shared" si="60"/>
        <v>25690</v>
      </c>
      <c r="CP30" s="144">
        <v>25699</v>
      </c>
      <c r="CQ30" s="144">
        <f t="shared" si="9"/>
        <v>9</v>
      </c>
      <c r="CR30" s="144">
        <f t="shared" si="61"/>
        <v>3</v>
      </c>
      <c r="CS30" s="199"/>
      <c r="CT30" s="205">
        <f t="shared" si="62"/>
        <v>12790</v>
      </c>
      <c r="CU30" s="144">
        <v>12791</v>
      </c>
      <c r="CV30" s="144">
        <f t="shared" si="10"/>
        <v>1</v>
      </c>
      <c r="CW30" s="144">
        <f t="shared" si="63"/>
        <v>0</v>
      </c>
      <c r="CX30" s="199"/>
      <c r="CY30" s="205">
        <f t="shared" si="64"/>
        <v>19611</v>
      </c>
      <c r="CZ30" s="144">
        <v>19612</v>
      </c>
      <c r="DA30" s="144">
        <f t="shared" si="11"/>
        <v>1</v>
      </c>
      <c r="DB30" s="144">
        <f t="shared" si="65"/>
        <v>1</v>
      </c>
      <c r="DC30" s="199"/>
      <c r="DD30" s="205">
        <f t="shared" si="66"/>
        <v>20846</v>
      </c>
      <c r="DE30" s="144">
        <v>20849</v>
      </c>
      <c r="DF30" s="144">
        <f t="shared" si="12"/>
        <v>3</v>
      </c>
      <c r="DG30" s="144">
        <f t="shared" si="67"/>
        <v>0</v>
      </c>
      <c r="DH30" s="199"/>
      <c r="DI30" s="205">
        <f t="shared" si="68"/>
        <v>9770</v>
      </c>
      <c r="DJ30" s="144">
        <v>9772</v>
      </c>
      <c r="DK30" s="144">
        <f t="shared" si="13"/>
        <v>2</v>
      </c>
      <c r="DL30" s="144">
        <f t="shared" si="69"/>
        <v>2</v>
      </c>
      <c r="DM30" s="199"/>
      <c r="DN30" s="205">
        <f t="shared" si="70"/>
        <v>25757</v>
      </c>
      <c r="DO30" s="144">
        <v>25780</v>
      </c>
      <c r="DP30" s="144">
        <f>DO30-DN30</f>
        <v>23</v>
      </c>
      <c r="DQ30" s="144">
        <f t="shared" si="71"/>
        <v>5</v>
      </c>
      <c r="DR30" s="199"/>
      <c r="DS30" s="205">
        <f t="shared" si="72"/>
        <v>2688</v>
      </c>
      <c r="DT30" s="144">
        <v>2689</v>
      </c>
      <c r="DU30" s="144">
        <f t="shared" si="15"/>
        <v>1</v>
      </c>
      <c r="DV30" s="144">
        <f t="shared" si="73"/>
        <v>-1</v>
      </c>
      <c r="DW30" s="199"/>
      <c r="DX30" s="205">
        <f t="shared" si="74"/>
        <v>10547</v>
      </c>
      <c r="DY30" s="144">
        <v>10547</v>
      </c>
      <c r="DZ30" s="144">
        <f t="shared" si="75"/>
        <v>0</v>
      </c>
      <c r="EA30" s="144">
        <f t="shared" si="76"/>
        <v>0</v>
      </c>
      <c r="EB30" s="199"/>
      <c r="EC30" s="205">
        <f t="shared" si="104"/>
        <v>0</v>
      </c>
      <c r="ED30" s="144"/>
      <c r="EE30" s="199">
        <f t="shared" si="26"/>
        <v>0</v>
      </c>
      <c r="EF30" s="205">
        <f t="shared" si="101"/>
        <v>0</v>
      </c>
      <c r="EG30" s="144"/>
      <c r="EH30" s="199">
        <f t="shared" si="27"/>
        <v>0</v>
      </c>
      <c r="EI30" s="205">
        <f t="shared" si="102"/>
        <v>0</v>
      </c>
      <c r="EJ30" s="144"/>
      <c r="EK30" s="199">
        <f t="shared" si="28"/>
        <v>0</v>
      </c>
      <c r="EL30" s="205">
        <f t="shared" si="103"/>
        <v>0</v>
      </c>
      <c r="EM30" s="144"/>
      <c r="EN30" s="199">
        <f t="shared" si="29"/>
        <v>0</v>
      </c>
      <c r="EO30" s="205">
        <f t="shared" si="81"/>
        <v>0</v>
      </c>
      <c r="EP30" s="144"/>
      <c r="EQ30" s="199">
        <f t="shared" si="30"/>
        <v>0</v>
      </c>
      <c r="ER30" s="205">
        <f t="shared" si="82"/>
        <v>0</v>
      </c>
      <c r="ES30" s="144"/>
      <c r="ET30" s="199">
        <f t="shared" si="83"/>
        <v>0</v>
      </c>
      <c r="EU30" s="205">
        <f t="shared" si="84"/>
        <v>0</v>
      </c>
      <c r="EV30" s="144"/>
      <c r="EW30" s="199">
        <f t="shared" si="85"/>
        <v>0</v>
      </c>
      <c r="EX30" s="205">
        <f t="shared" si="86"/>
        <v>0</v>
      </c>
      <c r="EY30" s="144"/>
      <c r="EZ30" s="199">
        <f t="shared" si="87"/>
        <v>0</v>
      </c>
      <c r="FA30" s="205">
        <f t="shared" si="88"/>
        <v>0</v>
      </c>
      <c r="FB30" s="144"/>
      <c r="FC30" s="199">
        <f t="shared" si="89"/>
        <v>0</v>
      </c>
      <c r="FD30" s="205">
        <f t="shared" si="90"/>
        <v>0</v>
      </c>
      <c r="FE30" s="144"/>
      <c r="FF30" s="199">
        <f t="shared" si="91"/>
        <v>0</v>
      </c>
      <c r="FG30" s="205">
        <f t="shared" si="92"/>
        <v>0</v>
      </c>
      <c r="FH30" s="144"/>
      <c r="FI30" s="199">
        <f t="shared" si="93"/>
        <v>0</v>
      </c>
      <c r="FJ30" s="205">
        <f t="shared" si="94"/>
        <v>0</v>
      </c>
      <c r="FK30" s="144"/>
      <c r="FL30" s="199">
        <f t="shared" si="95"/>
        <v>0</v>
      </c>
      <c r="FM30" s="205">
        <f t="shared" si="96"/>
        <v>0</v>
      </c>
      <c r="FN30" s="144"/>
      <c r="FO30" s="199">
        <f t="shared" si="97"/>
        <v>0</v>
      </c>
      <c r="FP30" s="205">
        <f t="shared" si="98"/>
        <v>0</v>
      </c>
      <c r="FQ30" s="144"/>
      <c r="FR30" s="199">
        <f t="shared" si="31"/>
        <v>0</v>
      </c>
    </row>
    <row r="31" spans="1:174" ht="15" customHeight="1" x14ac:dyDescent="0.2">
      <c r="A31" s="142">
        <v>26</v>
      </c>
      <c r="B31" s="142">
        <f t="shared" si="32"/>
        <v>23257</v>
      </c>
      <c r="C31" s="143">
        <v>23315</v>
      </c>
      <c r="D31" s="137">
        <f t="shared" si="16"/>
        <v>58</v>
      </c>
      <c r="E31" s="192"/>
      <c r="F31" s="142">
        <v>26</v>
      </c>
      <c r="G31" s="142">
        <f t="shared" si="33"/>
        <v>39028</v>
      </c>
      <c r="H31" s="143">
        <v>39028</v>
      </c>
      <c r="I31" s="137">
        <f t="shared" si="17"/>
        <v>0</v>
      </c>
      <c r="J31" s="192"/>
      <c r="K31" s="142">
        <v>26</v>
      </c>
      <c r="L31" s="142">
        <f t="shared" si="34"/>
        <v>842861</v>
      </c>
      <c r="M31" s="143">
        <v>843062</v>
      </c>
      <c r="N31" s="137">
        <f t="shared" si="18"/>
        <v>201</v>
      </c>
      <c r="O31" s="139"/>
      <c r="P31" s="142">
        <v>26</v>
      </c>
      <c r="Q31" s="142">
        <f t="shared" si="35"/>
        <v>239877</v>
      </c>
      <c r="R31" s="143">
        <v>239968</v>
      </c>
      <c r="S31" s="137">
        <f t="shared" si="19"/>
        <v>91</v>
      </c>
      <c r="T31" s="138"/>
      <c r="U31" s="142">
        <v>26</v>
      </c>
      <c r="V31" s="208">
        <f t="shared" si="20"/>
        <v>350</v>
      </c>
      <c r="W31" s="141">
        <f>'Maldives at LG Daily'!I30</f>
        <v>11.7</v>
      </c>
      <c r="X31" s="160"/>
      <c r="Y31" s="323" t="e">
        <f t="shared" si="21"/>
        <v>#DIV/0!</v>
      </c>
      <c r="AA31" s="201">
        <v>26</v>
      </c>
      <c r="AB31" s="144">
        <f t="shared" si="36"/>
        <v>46385</v>
      </c>
      <c r="AC31" s="144">
        <v>46400</v>
      </c>
      <c r="AD31" s="144">
        <f t="shared" si="22"/>
        <v>15</v>
      </c>
      <c r="AE31" s="144">
        <f t="shared" si="99"/>
        <v>-1</v>
      </c>
      <c r="AF31" s="297"/>
      <c r="AG31" s="201">
        <f t="shared" si="37"/>
        <v>10326</v>
      </c>
      <c r="AH31" s="144">
        <v>10330</v>
      </c>
      <c r="AI31" s="144">
        <f t="shared" si="23"/>
        <v>4</v>
      </c>
      <c r="AJ31" s="144">
        <f t="shared" si="100"/>
        <v>-2</v>
      </c>
      <c r="AK31" s="144"/>
      <c r="AL31" s="201">
        <f t="shared" si="38"/>
        <v>9488</v>
      </c>
      <c r="AM31" s="144">
        <v>9497</v>
      </c>
      <c r="AN31" s="144">
        <f t="shared" si="24"/>
        <v>9</v>
      </c>
      <c r="AO31" s="144">
        <f t="shared" si="39"/>
        <v>0</v>
      </c>
      <c r="AP31" s="144"/>
      <c r="AQ31" s="201">
        <f t="shared" si="40"/>
        <v>18794</v>
      </c>
      <c r="AR31" s="144">
        <v>18802</v>
      </c>
      <c r="AS31" s="144">
        <f t="shared" si="25"/>
        <v>8</v>
      </c>
      <c r="AT31" s="144">
        <f t="shared" si="41"/>
        <v>-2</v>
      </c>
      <c r="AU31" s="144"/>
      <c r="AV31" s="201">
        <f t="shared" si="42"/>
        <v>35156</v>
      </c>
      <c r="AW31" s="144">
        <v>35163</v>
      </c>
      <c r="AX31" s="144">
        <f t="shared" si="0"/>
        <v>7</v>
      </c>
      <c r="AY31" s="144">
        <f t="shared" si="43"/>
        <v>0</v>
      </c>
      <c r="AZ31" s="144"/>
      <c r="BA31" s="201">
        <f t="shared" si="44"/>
        <v>8988</v>
      </c>
      <c r="BB31" s="144">
        <v>8995</v>
      </c>
      <c r="BC31" s="144">
        <f t="shared" si="1"/>
        <v>7</v>
      </c>
      <c r="BD31" s="144">
        <f t="shared" si="45"/>
        <v>1</v>
      </c>
      <c r="BE31" s="144"/>
      <c r="BF31" s="201">
        <f t="shared" si="46"/>
        <v>25736</v>
      </c>
      <c r="BG31" s="144">
        <v>25743</v>
      </c>
      <c r="BH31" s="144">
        <f t="shared" si="2"/>
        <v>7</v>
      </c>
      <c r="BI31" s="144">
        <f t="shared" si="47"/>
        <v>0</v>
      </c>
      <c r="BJ31" s="144"/>
      <c r="BK31" s="201">
        <f t="shared" si="48"/>
        <v>9737</v>
      </c>
      <c r="BL31" s="144">
        <v>9744</v>
      </c>
      <c r="BM31" s="144">
        <f t="shared" si="3"/>
        <v>7</v>
      </c>
      <c r="BN31" s="144">
        <f t="shared" si="49"/>
        <v>-1</v>
      </c>
      <c r="BO31" s="144"/>
      <c r="BP31" s="201">
        <f t="shared" si="50"/>
        <v>4098</v>
      </c>
      <c r="BQ31" s="144">
        <v>4099</v>
      </c>
      <c r="BR31" s="330">
        <f t="shared" si="4"/>
        <v>1</v>
      </c>
      <c r="BS31" s="144">
        <f t="shared" si="51"/>
        <v>0</v>
      </c>
      <c r="BT31" s="144"/>
      <c r="BU31" s="201">
        <f t="shared" si="52"/>
        <v>1854</v>
      </c>
      <c r="BV31" s="144">
        <v>1854</v>
      </c>
      <c r="BW31" s="144">
        <f t="shared" si="5"/>
        <v>0</v>
      </c>
      <c r="BX31" s="144">
        <f t="shared" si="53"/>
        <v>0</v>
      </c>
      <c r="BY31" s="144"/>
      <c r="BZ31" s="205">
        <f t="shared" si="54"/>
        <v>29002</v>
      </c>
      <c r="CA31" s="144">
        <v>29006</v>
      </c>
      <c r="CB31" s="330">
        <f t="shared" si="6"/>
        <v>4</v>
      </c>
      <c r="CC31" s="144">
        <f t="shared" si="55"/>
        <v>-1</v>
      </c>
      <c r="CD31" s="199"/>
      <c r="CE31" s="205">
        <f t="shared" si="56"/>
        <v>3409</v>
      </c>
      <c r="CF31" s="144">
        <v>3410</v>
      </c>
      <c r="CG31" s="144">
        <f t="shared" si="7"/>
        <v>1</v>
      </c>
      <c r="CH31" s="144">
        <f t="shared" si="57"/>
        <v>1</v>
      </c>
      <c r="CI31" s="199"/>
      <c r="CJ31" s="205">
        <f t="shared" si="58"/>
        <v>84053</v>
      </c>
      <c r="CK31" s="144">
        <v>84080</v>
      </c>
      <c r="CL31" s="144">
        <f t="shared" si="8"/>
        <v>27</v>
      </c>
      <c r="CM31" s="144">
        <f t="shared" si="59"/>
        <v>-3</v>
      </c>
      <c r="CN31" s="199"/>
      <c r="CO31" s="205">
        <f t="shared" si="60"/>
        <v>25699</v>
      </c>
      <c r="CP31" s="144">
        <v>25706</v>
      </c>
      <c r="CQ31" s="144">
        <f t="shared" si="9"/>
        <v>7</v>
      </c>
      <c r="CR31" s="144">
        <f t="shared" si="61"/>
        <v>-2</v>
      </c>
      <c r="CS31" s="199"/>
      <c r="CT31" s="205">
        <f t="shared" si="62"/>
        <v>12791</v>
      </c>
      <c r="CU31" s="144">
        <v>12792</v>
      </c>
      <c r="CV31" s="144">
        <f t="shared" si="10"/>
        <v>1</v>
      </c>
      <c r="CW31" s="144">
        <f t="shared" si="63"/>
        <v>0</v>
      </c>
      <c r="CX31" s="199"/>
      <c r="CY31" s="205">
        <f t="shared" si="64"/>
        <v>19612</v>
      </c>
      <c r="CZ31" s="144">
        <v>19620</v>
      </c>
      <c r="DA31" s="144">
        <f t="shared" si="11"/>
        <v>8</v>
      </c>
      <c r="DB31" s="144">
        <f t="shared" si="65"/>
        <v>7</v>
      </c>
      <c r="DC31" s="199"/>
      <c r="DD31" s="205">
        <f t="shared" si="66"/>
        <v>20849</v>
      </c>
      <c r="DE31" s="144">
        <v>20851</v>
      </c>
      <c r="DF31" s="144">
        <f t="shared" si="12"/>
        <v>2</v>
      </c>
      <c r="DG31" s="144">
        <f t="shared" si="67"/>
        <v>-1</v>
      </c>
      <c r="DH31" s="199"/>
      <c r="DI31" s="205">
        <f t="shared" si="68"/>
        <v>9772</v>
      </c>
      <c r="DJ31" s="144">
        <v>9777</v>
      </c>
      <c r="DK31" s="144">
        <f t="shared" si="13"/>
        <v>5</v>
      </c>
      <c r="DL31" s="144">
        <f t="shared" si="69"/>
        <v>3</v>
      </c>
      <c r="DM31" s="199"/>
      <c r="DN31" s="205">
        <f t="shared" si="70"/>
        <v>25780</v>
      </c>
      <c r="DO31" s="144">
        <v>25792</v>
      </c>
      <c r="DP31" s="144">
        <f>DO31-DN31</f>
        <v>12</v>
      </c>
      <c r="DQ31" s="144">
        <f t="shared" si="71"/>
        <v>-11</v>
      </c>
      <c r="DR31" s="199"/>
      <c r="DS31" s="205">
        <f t="shared" si="72"/>
        <v>2689</v>
      </c>
      <c r="DT31" s="144">
        <v>2691</v>
      </c>
      <c r="DU31" s="144">
        <f t="shared" si="15"/>
        <v>2</v>
      </c>
      <c r="DV31" s="144">
        <f t="shared" si="73"/>
        <v>1</v>
      </c>
      <c r="DW31" s="199"/>
      <c r="DX31" s="205">
        <f t="shared" si="74"/>
        <v>10547</v>
      </c>
      <c r="DY31" s="144">
        <v>10548</v>
      </c>
      <c r="DZ31" s="144">
        <f t="shared" si="75"/>
        <v>1</v>
      </c>
      <c r="EA31" s="144">
        <f t="shared" si="76"/>
        <v>1</v>
      </c>
      <c r="EB31" s="199"/>
      <c r="EC31" s="205">
        <f t="shared" si="104"/>
        <v>0</v>
      </c>
      <c r="ED31" s="144"/>
      <c r="EE31" s="199">
        <f t="shared" si="26"/>
        <v>0</v>
      </c>
      <c r="EF31" s="205">
        <f t="shared" si="101"/>
        <v>0</v>
      </c>
      <c r="EG31" s="144"/>
      <c r="EH31" s="199">
        <f t="shared" si="27"/>
        <v>0</v>
      </c>
      <c r="EI31" s="205">
        <f t="shared" si="102"/>
        <v>0</v>
      </c>
      <c r="EJ31" s="144"/>
      <c r="EK31" s="199">
        <f t="shared" si="28"/>
        <v>0</v>
      </c>
      <c r="EL31" s="205">
        <f t="shared" si="103"/>
        <v>0</v>
      </c>
      <c r="EM31" s="144"/>
      <c r="EN31" s="199">
        <f t="shared" si="29"/>
        <v>0</v>
      </c>
      <c r="EO31" s="205">
        <f t="shared" si="81"/>
        <v>0</v>
      </c>
      <c r="EP31" s="144"/>
      <c r="EQ31" s="199">
        <f t="shared" si="30"/>
        <v>0</v>
      </c>
      <c r="ER31" s="205">
        <f t="shared" si="82"/>
        <v>0</v>
      </c>
      <c r="ES31" s="144"/>
      <c r="ET31" s="199">
        <f t="shared" si="83"/>
        <v>0</v>
      </c>
      <c r="EU31" s="205">
        <f t="shared" si="84"/>
        <v>0</v>
      </c>
      <c r="EV31" s="144"/>
      <c r="EW31" s="199">
        <f t="shared" si="85"/>
        <v>0</v>
      </c>
      <c r="EX31" s="205">
        <f t="shared" si="86"/>
        <v>0</v>
      </c>
      <c r="EY31" s="144"/>
      <c r="EZ31" s="199">
        <f t="shared" si="87"/>
        <v>0</v>
      </c>
      <c r="FA31" s="205">
        <f t="shared" si="88"/>
        <v>0</v>
      </c>
      <c r="FB31" s="144"/>
      <c r="FC31" s="199">
        <f t="shared" si="89"/>
        <v>0</v>
      </c>
      <c r="FD31" s="205">
        <f t="shared" si="90"/>
        <v>0</v>
      </c>
      <c r="FE31" s="144"/>
      <c r="FF31" s="199">
        <f t="shared" si="91"/>
        <v>0</v>
      </c>
      <c r="FG31" s="205">
        <f t="shared" si="92"/>
        <v>0</v>
      </c>
      <c r="FH31" s="144"/>
      <c r="FI31" s="199">
        <f t="shared" si="93"/>
        <v>0</v>
      </c>
      <c r="FJ31" s="205">
        <f t="shared" si="94"/>
        <v>0</v>
      </c>
      <c r="FK31" s="144"/>
      <c r="FL31" s="199">
        <f t="shared" si="95"/>
        <v>0</v>
      </c>
      <c r="FM31" s="205">
        <f t="shared" si="96"/>
        <v>0</v>
      </c>
      <c r="FN31" s="144"/>
      <c r="FO31" s="199">
        <f t="shared" si="97"/>
        <v>0</v>
      </c>
      <c r="FP31" s="205">
        <f t="shared" si="98"/>
        <v>0</v>
      </c>
      <c r="FQ31" s="144"/>
      <c r="FR31" s="199">
        <f t="shared" si="31"/>
        <v>0</v>
      </c>
    </row>
    <row r="32" spans="1:174" ht="15" customHeight="1" x14ac:dyDescent="0.2">
      <c r="A32" s="142">
        <v>27</v>
      </c>
      <c r="B32" s="142">
        <f t="shared" si="32"/>
        <v>23315</v>
      </c>
      <c r="C32" s="143">
        <v>23405</v>
      </c>
      <c r="D32" s="137">
        <f t="shared" si="16"/>
        <v>90</v>
      </c>
      <c r="E32" s="192"/>
      <c r="F32" s="142">
        <v>27</v>
      </c>
      <c r="G32" s="142">
        <f t="shared" si="33"/>
        <v>39028</v>
      </c>
      <c r="H32" s="143">
        <v>39028</v>
      </c>
      <c r="I32" s="137">
        <f t="shared" si="17"/>
        <v>0</v>
      </c>
      <c r="J32" s="192"/>
      <c r="K32" s="142">
        <v>27</v>
      </c>
      <c r="L32" s="142">
        <f t="shared" si="34"/>
        <v>843062</v>
      </c>
      <c r="M32" s="143">
        <v>843218</v>
      </c>
      <c r="N32" s="137">
        <f t="shared" si="18"/>
        <v>156</v>
      </c>
      <c r="O32" s="139"/>
      <c r="P32" s="142">
        <v>27</v>
      </c>
      <c r="Q32" s="142">
        <f t="shared" si="35"/>
        <v>239968</v>
      </c>
      <c r="R32" s="143">
        <v>240019</v>
      </c>
      <c r="S32" s="137">
        <f t="shared" si="19"/>
        <v>51</v>
      </c>
      <c r="T32" s="138"/>
      <c r="U32" s="140">
        <v>27</v>
      </c>
      <c r="V32" s="207">
        <f t="shared" si="20"/>
        <v>297</v>
      </c>
      <c r="W32" s="141">
        <f>'Maldives at LG Daily'!I31</f>
        <v>14.6</v>
      </c>
      <c r="X32" s="160"/>
      <c r="Y32" s="323" t="e">
        <f t="shared" si="21"/>
        <v>#DIV/0!</v>
      </c>
      <c r="AA32" s="201">
        <v>27</v>
      </c>
      <c r="AB32" s="144">
        <f t="shared" si="36"/>
        <v>46400</v>
      </c>
      <c r="AC32" s="144">
        <v>46417</v>
      </c>
      <c r="AD32" s="144">
        <f t="shared" si="22"/>
        <v>17</v>
      </c>
      <c r="AE32" s="144">
        <f t="shared" si="99"/>
        <v>2</v>
      </c>
      <c r="AF32" s="297"/>
      <c r="AG32" s="201">
        <f t="shared" si="37"/>
        <v>10330</v>
      </c>
      <c r="AH32" s="144">
        <v>10335</v>
      </c>
      <c r="AI32" s="144">
        <f t="shared" si="23"/>
        <v>5</v>
      </c>
      <c r="AJ32" s="144">
        <f t="shared" si="100"/>
        <v>1</v>
      </c>
      <c r="AK32" s="144"/>
      <c r="AL32" s="201">
        <f t="shared" si="38"/>
        <v>9497</v>
      </c>
      <c r="AM32" s="144">
        <v>9506</v>
      </c>
      <c r="AN32" s="144">
        <f t="shared" si="24"/>
        <v>9</v>
      </c>
      <c r="AO32" s="144">
        <f t="shared" si="39"/>
        <v>0</v>
      </c>
      <c r="AP32" s="144"/>
      <c r="AQ32" s="201">
        <f t="shared" si="40"/>
        <v>18802</v>
      </c>
      <c r="AR32" s="144">
        <v>18813</v>
      </c>
      <c r="AS32" s="144">
        <f t="shared" si="25"/>
        <v>11</v>
      </c>
      <c r="AT32" s="144">
        <f t="shared" si="41"/>
        <v>3</v>
      </c>
      <c r="AU32" s="144"/>
      <c r="AV32" s="201">
        <f t="shared" si="42"/>
        <v>35163</v>
      </c>
      <c r="AW32" s="144">
        <v>35170</v>
      </c>
      <c r="AX32" s="144">
        <f t="shared" si="0"/>
        <v>7</v>
      </c>
      <c r="AY32" s="144">
        <f t="shared" si="43"/>
        <v>0</v>
      </c>
      <c r="AZ32" s="144"/>
      <c r="BA32" s="201">
        <f t="shared" si="44"/>
        <v>8995</v>
      </c>
      <c r="BB32" s="144">
        <v>9002</v>
      </c>
      <c r="BC32" s="144">
        <f t="shared" si="1"/>
        <v>7</v>
      </c>
      <c r="BD32" s="144">
        <f t="shared" si="45"/>
        <v>0</v>
      </c>
      <c r="BE32" s="144"/>
      <c r="BF32" s="201">
        <f t="shared" si="46"/>
        <v>25743</v>
      </c>
      <c r="BG32" s="144">
        <v>25750</v>
      </c>
      <c r="BH32" s="144">
        <f t="shared" si="2"/>
        <v>7</v>
      </c>
      <c r="BI32" s="144">
        <f t="shared" si="47"/>
        <v>0</v>
      </c>
      <c r="BJ32" s="144"/>
      <c r="BK32" s="201">
        <f t="shared" si="48"/>
        <v>9744</v>
      </c>
      <c r="BL32" s="144">
        <v>9752</v>
      </c>
      <c r="BM32" s="144">
        <f t="shared" si="3"/>
        <v>8</v>
      </c>
      <c r="BN32" s="144">
        <f t="shared" si="49"/>
        <v>1</v>
      </c>
      <c r="BO32" s="144"/>
      <c r="BP32" s="201">
        <f t="shared" si="50"/>
        <v>4099</v>
      </c>
      <c r="BQ32" s="144">
        <v>4099</v>
      </c>
      <c r="BR32" s="330">
        <f t="shared" si="4"/>
        <v>0</v>
      </c>
      <c r="BS32" s="144">
        <f t="shared" si="51"/>
        <v>-1</v>
      </c>
      <c r="BT32" s="144"/>
      <c r="BU32" s="201">
        <f t="shared" si="52"/>
        <v>1854</v>
      </c>
      <c r="BV32" s="144">
        <v>1854</v>
      </c>
      <c r="BW32" s="144">
        <f t="shared" si="5"/>
        <v>0</v>
      </c>
      <c r="BX32" s="144">
        <f t="shared" si="53"/>
        <v>0</v>
      </c>
      <c r="BY32" s="144"/>
      <c r="BZ32" s="205">
        <f t="shared" si="54"/>
        <v>29006</v>
      </c>
      <c r="CA32" s="144">
        <v>29012</v>
      </c>
      <c r="CB32" s="330">
        <f t="shared" si="6"/>
        <v>6</v>
      </c>
      <c r="CC32" s="144">
        <f t="shared" si="55"/>
        <v>2</v>
      </c>
      <c r="CD32" s="199"/>
      <c r="CE32" s="205">
        <f t="shared" si="56"/>
        <v>3410</v>
      </c>
      <c r="CF32" s="144">
        <v>3415</v>
      </c>
      <c r="CG32" s="144">
        <f t="shared" si="7"/>
        <v>5</v>
      </c>
      <c r="CH32" s="144">
        <f t="shared" si="57"/>
        <v>4</v>
      </c>
      <c r="CI32" s="199"/>
      <c r="CJ32" s="205">
        <f t="shared" si="58"/>
        <v>84080</v>
      </c>
      <c r="CK32" s="144">
        <v>84106</v>
      </c>
      <c r="CL32" s="144">
        <f t="shared" si="8"/>
        <v>26</v>
      </c>
      <c r="CM32" s="144">
        <f t="shared" si="59"/>
        <v>-1</v>
      </c>
      <c r="CN32" s="199"/>
      <c r="CO32" s="205">
        <f t="shared" si="60"/>
        <v>25706</v>
      </c>
      <c r="CP32" s="144">
        <v>25713</v>
      </c>
      <c r="CQ32" s="144">
        <f t="shared" si="9"/>
        <v>7</v>
      </c>
      <c r="CR32" s="144">
        <f t="shared" si="61"/>
        <v>0</v>
      </c>
      <c r="CS32" s="199"/>
      <c r="CT32" s="205">
        <f t="shared" si="62"/>
        <v>12792</v>
      </c>
      <c r="CU32" s="144">
        <v>12793</v>
      </c>
      <c r="CV32" s="144">
        <f t="shared" si="10"/>
        <v>1</v>
      </c>
      <c r="CW32" s="144">
        <f t="shared" si="63"/>
        <v>0</v>
      </c>
      <c r="CX32" s="199"/>
      <c r="CY32" s="205">
        <f t="shared" si="64"/>
        <v>19620</v>
      </c>
      <c r="CZ32" s="144">
        <v>19629</v>
      </c>
      <c r="DA32" s="144">
        <f t="shared" si="11"/>
        <v>9</v>
      </c>
      <c r="DB32" s="144">
        <f t="shared" si="65"/>
        <v>1</v>
      </c>
      <c r="DC32" s="199"/>
      <c r="DD32" s="205">
        <f t="shared" si="66"/>
        <v>20851</v>
      </c>
      <c r="DE32" s="144">
        <v>20854</v>
      </c>
      <c r="DF32" s="144">
        <f t="shared" si="12"/>
        <v>3</v>
      </c>
      <c r="DG32" s="144">
        <f t="shared" si="67"/>
        <v>1</v>
      </c>
      <c r="DH32" s="199"/>
      <c r="DI32" s="205">
        <f t="shared" si="68"/>
        <v>9777</v>
      </c>
      <c r="DJ32" s="144">
        <v>9778</v>
      </c>
      <c r="DK32" s="144">
        <f t="shared" si="13"/>
        <v>1</v>
      </c>
      <c r="DL32" s="144">
        <f t="shared" si="69"/>
        <v>-4</v>
      </c>
      <c r="DM32" s="199"/>
      <c r="DN32" s="205">
        <f t="shared" si="70"/>
        <v>25792</v>
      </c>
      <c r="DO32" s="144">
        <v>25808</v>
      </c>
      <c r="DP32" s="144">
        <f t="shared" si="14"/>
        <v>16</v>
      </c>
      <c r="DQ32" s="144">
        <f t="shared" si="71"/>
        <v>4</v>
      </c>
      <c r="DR32" s="199"/>
      <c r="DS32" s="205">
        <f t="shared" si="72"/>
        <v>2691</v>
      </c>
      <c r="DT32" s="144">
        <v>2698</v>
      </c>
      <c r="DU32" s="144">
        <f t="shared" si="15"/>
        <v>7</v>
      </c>
      <c r="DV32" s="144">
        <f t="shared" si="73"/>
        <v>5</v>
      </c>
      <c r="DW32" s="199"/>
      <c r="DX32" s="205">
        <f t="shared" si="74"/>
        <v>10548</v>
      </c>
      <c r="DY32" s="144">
        <v>10</v>
      </c>
      <c r="DZ32" s="144">
        <f t="shared" si="75"/>
        <v>-10538</v>
      </c>
      <c r="EA32" s="144">
        <f t="shared" si="76"/>
        <v>-10539</v>
      </c>
      <c r="EB32" s="199"/>
      <c r="EC32" s="205">
        <f t="shared" si="104"/>
        <v>0</v>
      </c>
      <c r="ED32" s="144"/>
      <c r="EE32" s="199">
        <f t="shared" si="26"/>
        <v>0</v>
      </c>
      <c r="EF32" s="205">
        <f t="shared" si="101"/>
        <v>0</v>
      </c>
      <c r="EG32" s="144"/>
      <c r="EH32" s="199">
        <f t="shared" si="27"/>
        <v>0</v>
      </c>
      <c r="EI32" s="205">
        <f t="shared" si="102"/>
        <v>0</v>
      </c>
      <c r="EJ32" s="144"/>
      <c r="EK32" s="199">
        <f t="shared" si="28"/>
        <v>0</v>
      </c>
      <c r="EL32" s="205">
        <f t="shared" si="103"/>
        <v>0</v>
      </c>
      <c r="EM32" s="144"/>
      <c r="EN32" s="199">
        <f t="shared" si="29"/>
        <v>0</v>
      </c>
      <c r="EO32" s="205">
        <f t="shared" si="81"/>
        <v>0</v>
      </c>
      <c r="EP32" s="144"/>
      <c r="EQ32" s="199">
        <f t="shared" si="30"/>
        <v>0</v>
      </c>
      <c r="ER32" s="205">
        <f t="shared" si="82"/>
        <v>0</v>
      </c>
      <c r="ES32" s="144"/>
      <c r="ET32" s="199">
        <f t="shared" si="83"/>
        <v>0</v>
      </c>
      <c r="EU32" s="205">
        <f t="shared" si="84"/>
        <v>0</v>
      </c>
      <c r="EV32" s="144"/>
      <c r="EW32" s="199">
        <f t="shared" si="85"/>
        <v>0</v>
      </c>
      <c r="EX32" s="205">
        <f t="shared" si="86"/>
        <v>0</v>
      </c>
      <c r="EY32" s="144"/>
      <c r="EZ32" s="199">
        <f t="shared" si="87"/>
        <v>0</v>
      </c>
      <c r="FA32" s="205">
        <f t="shared" si="88"/>
        <v>0</v>
      </c>
      <c r="FB32" s="144"/>
      <c r="FC32" s="199">
        <f t="shared" si="89"/>
        <v>0</v>
      </c>
      <c r="FD32" s="205">
        <f t="shared" si="90"/>
        <v>0</v>
      </c>
      <c r="FE32" s="144"/>
      <c r="FF32" s="199">
        <f t="shared" si="91"/>
        <v>0</v>
      </c>
      <c r="FG32" s="205">
        <f t="shared" si="92"/>
        <v>0</v>
      </c>
      <c r="FH32" s="144"/>
      <c r="FI32" s="199">
        <f t="shared" si="93"/>
        <v>0</v>
      </c>
      <c r="FJ32" s="205">
        <f t="shared" si="94"/>
        <v>0</v>
      </c>
      <c r="FK32" s="144"/>
      <c r="FL32" s="199">
        <f t="shared" si="95"/>
        <v>0</v>
      </c>
      <c r="FM32" s="205">
        <f t="shared" si="96"/>
        <v>0</v>
      </c>
      <c r="FN32" s="144"/>
      <c r="FO32" s="199">
        <f t="shared" si="97"/>
        <v>0</v>
      </c>
      <c r="FP32" s="205">
        <f t="shared" si="98"/>
        <v>0</v>
      </c>
      <c r="FQ32" s="144"/>
      <c r="FR32" s="199">
        <f t="shared" si="31"/>
        <v>0</v>
      </c>
    </row>
    <row r="33" spans="1:174" ht="15" customHeight="1" x14ac:dyDescent="0.2">
      <c r="A33" s="142">
        <v>28</v>
      </c>
      <c r="B33" s="142">
        <f t="shared" si="32"/>
        <v>23405</v>
      </c>
      <c r="C33" s="143">
        <v>23433</v>
      </c>
      <c r="D33" s="137">
        <f t="shared" si="16"/>
        <v>28</v>
      </c>
      <c r="E33" s="192"/>
      <c r="F33" s="142">
        <v>28</v>
      </c>
      <c r="G33" s="142">
        <f t="shared" si="33"/>
        <v>39028</v>
      </c>
      <c r="H33" s="143">
        <v>39028</v>
      </c>
      <c r="I33" s="137">
        <f t="shared" si="17"/>
        <v>0</v>
      </c>
      <c r="J33" s="192"/>
      <c r="K33" s="142">
        <v>28</v>
      </c>
      <c r="L33" s="142">
        <f t="shared" si="34"/>
        <v>843218</v>
      </c>
      <c r="M33" s="143">
        <v>843372</v>
      </c>
      <c r="N33" s="137">
        <f t="shared" si="18"/>
        <v>154</v>
      </c>
      <c r="O33" s="139"/>
      <c r="P33" s="142">
        <v>28</v>
      </c>
      <c r="Q33" s="142">
        <f t="shared" si="35"/>
        <v>240019</v>
      </c>
      <c r="R33" s="143">
        <v>240127</v>
      </c>
      <c r="S33" s="137">
        <f t="shared" si="19"/>
        <v>108</v>
      </c>
      <c r="T33" s="138"/>
      <c r="U33" s="140">
        <v>28</v>
      </c>
      <c r="V33" s="207">
        <f t="shared" si="20"/>
        <v>290</v>
      </c>
      <c r="W33" s="141">
        <f>'Maldives at LG Daily'!I32</f>
        <v>16.5</v>
      </c>
      <c r="X33" s="160"/>
      <c r="Y33" s="323" t="e">
        <f t="shared" si="21"/>
        <v>#DIV/0!</v>
      </c>
      <c r="AA33" s="201">
        <v>28</v>
      </c>
      <c r="AB33" s="144">
        <f t="shared" si="36"/>
        <v>46417</v>
      </c>
      <c r="AC33" s="144">
        <v>46437</v>
      </c>
      <c r="AD33" s="144">
        <f t="shared" si="22"/>
        <v>20</v>
      </c>
      <c r="AE33" s="144">
        <f t="shared" si="99"/>
        <v>3</v>
      </c>
      <c r="AF33" s="297"/>
      <c r="AG33" s="201">
        <f t="shared" si="37"/>
        <v>10335</v>
      </c>
      <c r="AH33" s="144">
        <v>10340</v>
      </c>
      <c r="AI33" s="144">
        <f t="shared" si="23"/>
        <v>5</v>
      </c>
      <c r="AJ33" s="144">
        <f t="shared" si="100"/>
        <v>0</v>
      </c>
      <c r="AK33" s="144"/>
      <c r="AL33" s="201">
        <f t="shared" si="38"/>
        <v>9506</v>
      </c>
      <c r="AM33" s="144">
        <v>9515</v>
      </c>
      <c r="AN33" s="144">
        <f t="shared" si="24"/>
        <v>9</v>
      </c>
      <c r="AO33" s="144">
        <f t="shared" si="39"/>
        <v>0</v>
      </c>
      <c r="AP33" s="144"/>
      <c r="AQ33" s="201">
        <f t="shared" si="40"/>
        <v>18813</v>
      </c>
      <c r="AR33" s="144">
        <v>18823</v>
      </c>
      <c r="AS33" s="144">
        <f t="shared" si="25"/>
        <v>10</v>
      </c>
      <c r="AT33" s="144">
        <f t="shared" si="41"/>
        <v>-1</v>
      </c>
      <c r="AU33" s="144"/>
      <c r="AV33" s="201">
        <f t="shared" si="42"/>
        <v>35170</v>
      </c>
      <c r="AW33" s="144">
        <v>35176</v>
      </c>
      <c r="AX33" s="144">
        <f t="shared" si="0"/>
        <v>6</v>
      </c>
      <c r="AY33" s="144">
        <f t="shared" si="43"/>
        <v>-1</v>
      </c>
      <c r="AZ33" s="144"/>
      <c r="BA33" s="201">
        <f t="shared" si="44"/>
        <v>9002</v>
      </c>
      <c r="BB33" s="144">
        <v>9010</v>
      </c>
      <c r="BC33" s="144">
        <f t="shared" si="1"/>
        <v>8</v>
      </c>
      <c r="BD33" s="144">
        <f t="shared" si="45"/>
        <v>1</v>
      </c>
      <c r="BE33" s="144"/>
      <c r="BF33" s="201">
        <f t="shared" si="46"/>
        <v>25750</v>
      </c>
      <c r="BG33" s="144">
        <v>25756</v>
      </c>
      <c r="BH33" s="144">
        <f t="shared" si="2"/>
        <v>6</v>
      </c>
      <c r="BI33" s="144">
        <f t="shared" si="47"/>
        <v>-1</v>
      </c>
      <c r="BJ33" s="144"/>
      <c r="BK33" s="201">
        <f t="shared" si="48"/>
        <v>9752</v>
      </c>
      <c r="BL33" s="144">
        <v>9759</v>
      </c>
      <c r="BM33" s="144">
        <f t="shared" si="3"/>
        <v>7</v>
      </c>
      <c r="BN33" s="144">
        <f t="shared" si="49"/>
        <v>-1</v>
      </c>
      <c r="BO33" s="144"/>
      <c r="BP33" s="201">
        <f t="shared" si="50"/>
        <v>4099</v>
      </c>
      <c r="BQ33" s="144">
        <v>4099</v>
      </c>
      <c r="BR33" s="330">
        <f t="shared" si="4"/>
        <v>0</v>
      </c>
      <c r="BS33" s="144">
        <f t="shared" si="51"/>
        <v>0</v>
      </c>
      <c r="BT33" s="144"/>
      <c r="BU33" s="201">
        <f t="shared" si="52"/>
        <v>1854</v>
      </c>
      <c r="BV33" s="144">
        <v>1854</v>
      </c>
      <c r="BW33" s="144">
        <f t="shared" si="5"/>
        <v>0</v>
      </c>
      <c r="BX33" s="144">
        <f t="shared" si="53"/>
        <v>0</v>
      </c>
      <c r="BY33" s="144"/>
      <c r="BZ33" s="205">
        <f t="shared" si="54"/>
        <v>29012</v>
      </c>
      <c r="CA33" s="144">
        <v>29017</v>
      </c>
      <c r="CB33" s="330">
        <f t="shared" si="6"/>
        <v>5</v>
      </c>
      <c r="CC33" s="144">
        <f t="shared" si="55"/>
        <v>-1</v>
      </c>
      <c r="CD33" s="199"/>
      <c r="CE33" s="205">
        <f t="shared" si="56"/>
        <v>3415</v>
      </c>
      <c r="CF33" s="144">
        <v>3416</v>
      </c>
      <c r="CG33" s="144">
        <f t="shared" si="7"/>
        <v>1</v>
      </c>
      <c r="CH33" s="144">
        <f t="shared" si="57"/>
        <v>-4</v>
      </c>
      <c r="CI33" s="199"/>
      <c r="CJ33" s="205">
        <f t="shared" si="58"/>
        <v>84106</v>
      </c>
      <c r="CK33" s="144">
        <v>84130</v>
      </c>
      <c r="CL33" s="144">
        <f t="shared" si="8"/>
        <v>24</v>
      </c>
      <c r="CM33" s="144">
        <f t="shared" si="59"/>
        <v>-2</v>
      </c>
      <c r="CN33" s="199"/>
      <c r="CO33" s="205">
        <f t="shared" si="60"/>
        <v>25713</v>
      </c>
      <c r="CP33" s="144">
        <v>25719</v>
      </c>
      <c r="CQ33" s="144">
        <f t="shared" si="9"/>
        <v>6</v>
      </c>
      <c r="CR33" s="144">
        <f t="shared" si="61"/>
        <v>-1</v>
      </c>
      <c r="CS33" s="199"/>
      <c r="CT33" s="205">
        <f t="shared" si="62"/>
        <v>12793</v>
      </c>
      <c r="CU33" s="144">
        <v>12794</v>
      </c>
      <c r="CV33" s="144">
        <f t="shared" si="10"/>
        <v>1</v>
      </c>
      <c r="CW33" s="144">
        <f t="shared" si="63"/>
        <v>0</v>
      </c>
      <c r="CX33" s="199"/>
      <c r="CY33" s="205">
        <f t="shared" si="64"/>
        <v>19629</v>
      </c>
      <c r="CZ33" s="144">
        <v>19637</v>
      </c>
      <c r="DA33" s="144">
        <f t="shared" si="11"/>
        <v>8</v>
      </c>
      <c r="DB33" s="144">
        <f t="shared" si="65"/>
        <v>-1</v>
      </c>
      <c r="DC33" s="199"/>
      <c r="DD33" s="205">
        <f t="shared" si="66"/>
        <v>20854</v>
      </c>
      <c r="DE33" s="144">
        <v>20856</v>
      </c>
      <c r="DF33" s="144">
        <f t="shared" si="12"/>
        <v>2</v>
      </c>
      <c r="DG33" s="144">
        <f t="shared" si="67"/>
        <v>-1</v>
      </c>
      <c r="DH33" s="199"/>
      <c r="DI33" s="205">
        <f t="shared" si="68"/>
        <v>9778</v>
      </c>
      <c r="DJ33" s="144">
        <v>9779</v>
      </c>
      <c r="DK33" s="144">
        <f t="shared" si="13"/>
        <v>1</v>
      </c>
      <c r="DL33" s="144">
        <f t="shared" si="69"/>
        <v>0</v>
      </c>
      <c r="DM33" s="199"/>
      <c r="DN33" s="205">
        <f t="shared" si="70"/>
        <v>25808</v>
      </c>
      <c r="DO33" s="144">
        <v>25820</v>
      </c>
      <c r="DP33" s="144">
        <f t="shared" si="14"/>
        <v>12</v>
      </c>
      <c r="DQ33" s="144">
        <f t="shared" si="71"/>
        <v>-4</v>
      </c>
      <c r="DR33" s="199"/>
      <c r="DS33" s="205">
        <f t="shared" si="72"/>
        <v>2698</v>
      </c>
      <c r="DT33" s="144">
        <v>2699</v>
      </c>
      <c r="DU33" s="144">
        <f t="shared" si="15"/>
        <v>1</v>
      </c>
      <c r="DV33" s="144">
        <f t="shared" si="73"/>
        <v>-6</v>
      </c>
      <c r="DW33" s="199"/>
      <c r="DX33" s="205">
        <f t="shared" si="74"/>
        <v>10</v>
      </c>
      <c r="DY33" s="144">
        <v>12</v>
      </c>
      <c r="DZ33" s="144">
        <f t="shared" si="75"/>
        <v>2</v>
      </c>
      <c r="EA33" s="144">
        <f t="shared" si="76"/>
        <v>10540</v>
      </c>
      <c r="EB33" s="199"/>
      <c r="EC33" s="205">
        <f t="shared" si="104"/>
        <v>0</v>
      </c>
      <c r="ED33" s="144"/>
      <c r="EE33" s="199">
        <f t="shared" si="26"/>
        <v>0</v>
      </c>
      <c r="EF33" s="205">
        <f t="shared" si="101"/>
        <v>0</v>
      </c>
      <c r="EG33" s="144"/>
      <c r="EH33" s="199">
        <f t="shared" si="27"/>
        <v>0</v>
      </c>
      <c r="EI33" s="205">
        <f t="shared" si="102"/>
        <v>0</v>
      </c>
      <c r="EJ33" s="144"/>
      <c r="EK33" s="199">
        <f t="shared" si="28"/>
        <v>0</v>
      </c>
      <c r="EL33" s="205">
        <f t="shared" si="103"/>
        <v>0</v>
      </c>
      <c r="EM33" s="144"/>
      <c r="EN33" s="199">
        <f t="shared" si="29"/>
        <v>0</v>
      </c>
      <c r="EO33" s="205">
        <f t="shared" si="81"/>
        <v>0</v>
      </c>
      <c r="EP33" s="144"/>
      <c r="EQ33" s="199">
        <f t="shared" si="30"/>
        <v>0</v>
      </c>
      <c r="ER33" s="205">
        <f t="shared" si="82"/>
        <v>0</v>
      </c>
      <c r="ES33" s="144"/>
      <c r="ET33" s="199">
        <f t="shared" si="83"/>
        <v>0</v>
      </c>
      <c r="EU33" s="205">
        <f t="shared" si="84"/>
        <v>0</v>
      </c>
      <c r="EV33" s="144"/>
      <c r="EW33" s="199">
        <f t="shared" si="85"/>
        <v>0</v>
      </c>
      <c r="EX33" s="205">
        <f t="shared" si="86"/>
        <v>0</v>
      </c>
      <c r="EY33" s="144"/>
      <c r="EZ33" s="199">
        <f t="shared" si="87"/>
        <v>0</v>
      </c>
      <c r="FA33" s="205">
        <f t="shared" si="88"/>
        <v>0</v>
      </c>
      <c r="FB33" s="144"/>
      <c r="FC33" s="199">
        <f t="shared" si="89"/>
        <v>0</v>
      </c>
      <c r="FD33" s="205">
        <f t="shared" si="90"/>
        <v>0</v>
      </c>
      <c r="FE33" s="144"/>
      <c r="FF33" s="199">
        <f t="shared" si="91"/>
        <v>0</v>
      </c>
      <c r="FG33" s="205">
        <f t="shared" si="92"/>
        <v>0</v>
      </c>
      <c r="FH33" s="144"/>
      <c r="FI33" s="199">
        <f t="shared" si="93"/>
        <v>0</v>
      </c>
      <c r="FJ33" s="205">
        <f t="shared" si="94"/>
        <v>0</v>
      </c>
      <c r="FK33" s="144"/>
      <c r="FL33" s="199">
        <f t="shared" si="95"/>
        <v>0</v>
      </c>
      <c r="FM33" s="205">
        <f t="shared" si="96"/>
        <v>0</v>
      </c>
      <c r="FN33" s="144"/>
      <c r="FO33" s="199">
        <f t="shared" si="97"/>
        <v>0</v>
      </c>
      <c r="FP33" s="205">
        <f t="shared" si="98"/>
        <v>0</v>
      </c>
      <c r="FQ33" s="144"/>
      <c r="FR33" s="199">
        <f t="shared" si="31"/>
        <v>0</v>
      </c>
    </row>
    <row r="34" spans="1:174" x14ac:dyDescent="0.2">
      <c r="A34" s="142">
        <v>29</v>
      </c>
      <c r="B34" s="142">
        <f t="shared" si="32"/>
        <v>23433</v>
      </c>
      <c r="C34" s="143">
        <v>23523</v>
      </c>
      <c r="D34" s="137">
        <f t="shared" si="16"/>
        <v>90</v>
      </c>
      <c r="E34" s="139"/>
      <c r="F34" s="142">
        <v>29</v>
      </c>
      <c r="G34" s="142">
        <f t="shared" si="33"/>
        <v>39028</v>
      </c>
      <c r="H34" s="143">
        <v>39028</v>
      </c>
      <c r="I34" s="137">
        <f t="shared" si="17"/>
        <v>0</v>
      </c>
      <c r="J34" s="139"/>
      <c r="K34" s="142">
        <v>29</v>
      </c>
      <c r="L34" s="142">
        <f t="shared" si="34"/>
        <v>843372</v>
      </c>
      <c r="M34" s="143">
        <v>843583</v>
      </c>
      <c r="N34" s="137">
        <f t="shared" si="18"/>
        <v>211</v>
      </c>
      <c r="O34" s="139"/>
      <c r="P34" s="142">
        <v>29</v>
      </c>
      <c r="Q34" s="142">
        <f t="shared" si="35"/>
        <v>240127</v>
      </c>
      <c r="R34" s="143">
        <v>240199</v>
      </c>
      <c r="S34" s="137">
        <f t="shared" si="19"/>
        <v>72</v>
      </c>
      <c r="T34" s="138"/>
      <c r="U34" s="142">
        <v>29</v>
      </c>
      <c r="V34" s="207">
        <f t="shared" si="20"/>
        <v>373</v>
      </c>
      <c r="W34" s="141">
        <f>'Maldives at LG Daily'!I33</f>
        <v>17.5</v>
      </c>
      <c r="X34" s="160"/>
      <c r="Y34" s="323" t="e">
        <f t="shared" si="21"/>
        <v>#DIV/0!</v>
      </c>
      <c r="AA34" s="201">
        <v>29</v>
      </c>
      <c r="AB34" s="144">
        <f t="shared" si="36"/>
        <v>46437</v>
      </c>
      <c r="AC34" s="144">
        <v>46454</v>
      </c>
      <c r="AD34" s="144">
        <f t="shared" si="22"/>
        <v>17</v>
      </c>
      <c r="AE34" s="144">
        <f t="shared" si="99"/>
        <v>-3</v>
      </c>
      <c r="AF34" s="297"/>
      <c r="AG34" s="201">
        <f t="shared" si="37"/>
        <v>10340</v>
      </c>
      <c r="AH34" s="144">
        <v>10345</v>
      </c>
      <c r="AI34" s="144">
        <f t="shared" si="23"/>
        <v>5</v>
      </c>
      <c r="AJ34" s="144">
        <f t="shared" si="100"/>
        <v>0</v>
      </c>
      <c r="AK34" s="144"/>
      <c r="AL34" s="201">
        <f t="shared" si="38"/>
        <v>9515</v>
      </c>
      <c r="AM34" s="144">
        <v>9525</v>
      </c>
      <c r="AN34" s="144">
        <f t="shared" si="24"/>
        <v>10</v>
      </c>
      <c r="AO34" s="144">
        <f t="shared" si="39"/>
        <v>1</v>
      </c>
      <c r="AP34" s="144"/>
      <c r="AQ34" s="201">
        <f t="shared" si="40"/>
        <v>18823</v>
      </c>
      <c r="AR34" s="144">
        <v>18832</v>
      </c>
      <c r="AS34" s="144">
        <f t="shared" si="25"/>
        <v>9</v>
      </c>
      <c r="AT34" s="144">
        <f t="shared" si="41"/>
        <v>-1</v>
      </c>
      <c r="AU34" s="144"/>
      <c r="AV34" s="201">
        <f t="shared" si="42"/>
        <v>35176</v>
      </c>
      <c r="AW34" s="144">
        <v>35185</v>
      </c>
      <c r="AX34" s="144">
        <f t="shared" si="0"/>
        <v>9</v>
      </c>
      <c r="AY34" s="144">
        <f t="shared" si="43"/>
        <v>3</v>
      </c>
      <c r="AZ34" s="144"/>
      <c r="BA34" s="201">
        <f t="shared" si="44"/>
        <v>9010</v>
      </c>
      <c r="BB34" s="144">
        <v>9016</v>
      </c>
      <c r="BC34" s="144">
        <f t="shared" si="1"/>
        <v>6</v>
      </c>
      <c r="BD34" s="144">
        <f t="shared" si="45"/>
        <v>-2</v>
      </c>
      <c r="BE34" s="144"/>
      <c r="BF34" s="201">
        <f t="shared" si="46"/>
        <v>25756</v>
      </c>
      <c r="BG34" s="144">
        <v>25765</v>
      </c>
      <c r="BH34" s="144">
        <f t="shared" si="2"/>
        <v>9</v>
      </c>
      <c r="BI34" s="144">
        <f t="shared" si="47"/>
        <v>3</v>
      </c>
      <c r="BJ34" s="144"/>
      <c r="BK34" s="201">
        <f t="shared" si="48"/>
        <v>9759</v>
      </c>
      <c r="BL34" s="144">
        <v>9757</v>
      </c>
      <c r="BM34" s="144">
        <f t="shared" si="3"/>
        <v>-2</v>
      </c>
      <c r="BN34" s="144">
        <f t="shared" si="49"/>
        <v>-9</v>
      </c>
      <c r="BO34" s="144"/>
      <c r="BP34" s="201">
        <f t="shared" si="50"/>
        <v>4099</v>
      </c>
      <c r="BQ34" s="144">
        <v>4104</v>
      </c>
      <c r="BR34" s="330">
        <f t="shared" si="4"/>
        <v>5</v>
      </c>
      <c r="BS34" s="144">
        <f t="shared" si="51"/>
        <v>5</v>
      </c>
      <c r="BT34" s="144"/>
      <c r="BU34" s="201">
        <f t="shared" si="52"/>
        <v>1854</v>
      </c>
      <c r="BV34" s="144">
        <v>1855</v>
      </c>
      <c r="BW34" s="144">
        <f t="shared" si="5"/>
        <v>1</v>
      </c>
      <c r="BX34" s="144">
        <f t="shared" si="53"/>
        <v>1</v>
      </c>
      <c r="BY34" s="144"/>
      <c r="BZ34" s="205">
        <f t="shared" si="54"/>
        <v>29017</v>
      </c>
      <c r="CA34" s="144">
        <v>29022</v>
      </c>
      <c r="CB34" s="330">
        <f t="shared" si="6"/>
        <v>5</v>
      </c>
      <c r="CC34" s="144">
        <f t="shared" si="55"/>
        <v>0</v>
      </c>
      <c r="CD34" s="199"/>
      <c r="CE34" s="205">
        <f t="shared" si="56"/>
        <v>3416</v>
      </c>
      <c r="CF34" s="144">
        <v>3416</v>
      </c>
      <c r="CG34" s="144">
        <f t="shared" si="7"/>
        <v>0</v>
      </c>
      <c r="CH34" s="144">
        <f t="shared" si="57"/>
        <v>-1</v>
      </c>
      <c r="CI34" s="199"/>
      <c r="CJ34" s="205">
        <f t="shared" si="58"/>
        <v>84130</v>
      </c>
      <c r="CK34" s="144">
        <v>84155</v>
      </c>
      <c r="CL34" s="144">
        <f t="shared" si="8"/>
        <v>25</v>
      </c>
      <c r="CM34" s="144">
        <f t="shared" si="59"/>
        <v>1</v>
      </c>
      <c r="CN34" s="199"/>
      <c r="CO34" s="205">
        <f t="shared" si="60"/>
        <v>25719</v>
      </c>
      <c r="CP34" s="144">
        <v>25727</v>
      </c>
      <c r="CQ34" s="144">
        <f t="shared" si="9"/>
        <v>8</v>
      </c>
      <c r="CR34" s="144">
        <f t="shared" si="61"/>
        <v>2</v>
      </c>
      <c r="CS34" s="199"/>
      <c r="CT34" s="205">
        <f t="shared" si="62"/>
        <v>12794</v>
      </c>
      <c r="CU34" s="144">
        <v>12797</v>
      </c>
      <c r="CV34" s="144">
        <f t="shared" si="10"/>
        <v>3</v>
      </c>
      <c r="CW34" s="144">
        <f t="shared" si="63"/>
        <v>2</v>
      </c>
      <c r="CX34" s="199"/>
      <c r="CY34" s="205">
        <f t="shared" si="64"/>
        <v>19637</v>
      </c>
      <c r="CZ34" s="144">
        <v>19642</v>
      </c>
      <c r="DA34" s="144">
        <f t="shared" si="11"/>
        <v>5</v>
      </c>
      <c r="DB34" s="144">
        <f t="shared" si="65"/>
        <v>-3</v>
      </c>
      <c r="DC34" s="199"/>
      <c r="DD34" s="205">
        <f t="shared" si="66"/>
        <v>20856</v>
      </c>
      <c r="DE34" s="144">
        <v>20860</v>
      </c>
      <c r="DF34" s="144">
        <f t="shared" si="12"/>
        <v>4</v>
      </c>
      <c r="DG34" s="144">
        <f t="shared" si="67"/>
        <v>2</v>
      </c>
      <c r="DH34" s="199"/>
      <c r="DI34" s="205">
        <f t="shared" si="68"/>
        <v>9779</v>
      </c>
      <c r="DJ34" s="144">
        <v>9786</v>
      </c>
      <c r="DK34" s="144">
        <f t="shared" si="13"/>
        <v>7</v>
      </c>
      <c r="DL34" s="144">
        <f t="shared" si="69"/>
        <v>6</v>
      </c>
      <c r="DM34" s="199"/>
      <c r="DN34" s="205">
        <f t="shared" si="70"/>
        <v>25820</v>
      </c>
      <c r="DO34" s="144">
        <v>25828</v>
      </c>
      <c r="DP34" s="144">
        <f t="shared" si="14"/>
        <v>8</v>
      </c>
      <c r="DQ34" s="144">
        <f t="shared" si="71"/>
        <v>-4</v>
      </c>
      <c r="DR34" s="199"/>
      <c r="DS34" s="205">
        <f t="shared" si="72"/>
        <v>2699</v>
      </c>
      <c r="DT34" s="144">
        <v>2706</v>
      </c>
      <c r="DU34" s="144">
        <f t="shared" si="15"/>
        <v>7</v>
      </c>
      <c r="DV34" s="144">
        <f t="shared" si="73"/>
        <v>6</v>
      </c>
      <c r="DW34" s="199"/>
      <c r="DX34" s="205">
        <f t="shared" si="74"/>
        <v>12</v>
      </c>
      <c r="DY34" s="144">
        <v>14</v>
      </c>
      <c r="DZ34" s="144">
        <f t="shared" si="75"/>
        <v>2</v>
      </c>
      <c r="EA34" s="144">
        <f t="shared" si="76"/>
        <v>0</v>
      </c>
      <c r="EB34" s="199"/>
      <c r="EC34" s="205">
        <f t="shared" si="104"/>
        <v>0</v>
      </c>
      <c r="ED34" s="144"/>
      <c r="EE34" s="199">
        <f t="shared" si="26"/>
        <v>0</v>
      </c>
      <c r="EF34" s="205">
        <f t="shared" si="101"/>
        <v>0</v>
      </c>
      <c r="EG34" s="144"/>
      <c r="EH34" s="199">
        <f t="shared" si="27"/>
        <v>0</v>
      </c>
      <c r="EI34" s="205">
        <f t="shared" si="102"/>
        <v>0</v>
      </c>
      <c r="EJ34" s="144"/>
      <c r="EK34" s="199">
        <f t="shared" si="28"/>
        <v>0</v>
      </c>
      <c r="EL34" s="205">
        <f t="shared" si="103"/>
        <v>0</v>
      </c>
      <c r="EM34" s="144"/>
      <c r="EN34" s="199">
        <f t="shared" si="29"/>
        <v>0</v>
      </c>
      <c r="EO34" s="205">
        <f t="shared" si="81"/>
        <v>0</v>
      </c>
      <c r="EP34" s="144"/>
      <c r="EQ34" s="199">
        <f t="shared" si="30"/>
        <v>0</v>
      </c>
      <c r="ER34" s="205">
        <f t="shared" si="82"/>
        <v>0</v>
      </c>
      <c r="ES34" s="144"/>
      <c r="ET34" s="199">
        <f t="shared" si="83"/>
        <v>0</v>
      </c>
      <c r="EU34" s="205">
        <f t="shared" si="84"/>
        <v>0</v>
      </c>
      <c r="EV34" s="144"/>
      <c r="EW34" s="199">
        <f t="shared" si="85"/>
        <v>0</v>
      </c>
      <c r="EX34" s="205">
        <f t="shared" si="86"/>
        <v>0</v>
      </c>
      <c r="EY34" s="144"/>
      <c r="EZ34" s="199">
        <f t="shared" si="87"/>
        <v>0</v>
      </c>
      <c r="FA34" s="205">
        <f t="shared" si="88"/>
        <v>0</v>
      </c>
      <c r="FB34" s="144"/>
      <c r="FC34" s="199">
        <f t="shared" si="89"/>
        <v>0</v>
      </c>
      <c r="FD34" s="205">
        <f t="shared" si="90"/>
        <v>0</v>
      </c>
      <c r="FE34" s="144"/>
      <c r="FF34" s="199">
        <f t="shared" si="91"/>
        <v>0</v>
      </c>
      <c r="FG34" s="205">
        <f t="shared" si="92"/>
        <v>0</v>
      </c>
      <c r="FH34" s="144"/>
      <c r="FI34" s="199">
        <f t="shared" si="93"/>
        <v>0</v>
      </c>
      <c r="FJ34" s="205">
        <f t="shared" si="94"/>
        <v>0</v>
      </c>
      <c r="FK34" s="144"/>
      <c r="FL34" s="199">
        <f t="shared" si="95"/>
        <v>0</v>
      </c>
      <c r="FM34" s="205">
        <f t="shared" si="96"/>
        <v>0</v>
      </c>
      <c r="FN34" s="144"/>
      <c r="FO34" s="199">
        <f t="shared" si="97"/>
        <v>0</v>
      </c>
      <c r="FP34" s="205">
        <f t="shared" si="98"/>
        <v>0</v>
      </c>
      <c r="FQ34" s="144"/>
      <c r="FR34" s="199">
        <f t="shared" si="31"/>
        <v>0</v>
      </c>
    </row>
    <row r="35" spans="1:174" x14ac:dyDescent="0.2">
      <c r="A35" s="142">
        <v>30</v>
      </c>
      <c r="B35" s="142">
        <f t="shared" si="32"/>
        <v>23523</v>
      </c>
      <c r="C35" s="143">
        <v>23575</v>
      </c>
      <c r="D35" s="137">
        <f t="shared" si="16"/>
        <v>52</v>
      </c>
      <c r="E35" s="139"/>
      <c r="F35" s="142">
        <v>30</v>
      </c>
      <c r="G35" s="142">
        <f t="shared" si="33"/>
        <v>39028</v>
      </c>
      <c r="H35" s="143">
        <v>39028</v>
      </c>
      <c r="I35" s="137">
        <f t="shared" si="17"/>
        <v>0</v>
      </c>
      <c r="J35" s="139"/>
      <c r="K35" s="142">
        <v>30</v>
      </c>
      <c r="L35" s="142">
        <f t="shared" si="34"/>
        <v>843583</v>
      </c>
      <c r="M35" s="143">
        <v>843696</v>
      </c>
      <c r="N35" s="137">
        <f t="shared" si="18"/>
        <v>113</v>
      </c>
      <c r="O35" s="139"/>
      <c r="P35" s="142">
        <v>30</v>
      </c>
      <c r="Q35" s="142">
        <f t="shared" si="35"/>
        <v>240199</v>
      </c>
      <c r="R35" s="143">
        <v>240303</v>
      </c>
      <c r="S35" s="137">
        <f t="shared" si="19"/>
        <v>104</v>
      </c>
      <c r="T35" s="138"/>
      <c r="U35" s="140">
        <v>30</v>
      </c>
      <c r="V35" s="207">
        <f t="shared" si="20"/>
        <v>269</v>
      </c>
      <c r="W35" s="141">
        <f>'Maldives at LG Daily'!I34</f>
        <v>0</v>
      </c>
      <c r="X35" s="160"/>
      <c r="Y35" s="323" t="e">
        <f t="shared" si="21"/>
        <v>#DIV/0!</v>
      </c>
      <c r="AA35" s="201">
        <v>30</v>
      </c>
      <c r="AB35" s="144">
        <f t="shared" si="36"/>
        <v>46454</v>
      </c>
      <c r="AC35" s="144">
        <v>46473</v>
      </c>
      <c r="AD35" s="144">
        <f t="shared" si="22"/>
        <v>19</v>
      </c>
      <c r="AE35" s="144">
        <f t="shared" si="99"/>
        <v>2</v>
      </c>
      <c r="AF35" s="297"/>
      <c r="AG35" s="201">
        <f t="shared" si="37"/>
        <v>10345</v>
      </c>
      <c r="AH35" s="144">
        <v>10350</v>
      </c>
      <c r="AI35" s="144">
        <f t="shared" si="23"/>
        <v>5</v>
      </c>
      <c r="AJ35" s="144">
        <f t="shared" si="100"/>
        <v>0</v>
      </c>
      <c r="AK35" s="144"/>
      <c r="AL35" s="201">
        <f t="shared" si="38"/>
        <v>9525</v>
      </c>
      <c r="AM35" s="144">
        <v>9533</v>
      </c>
      <c r="AN35" s="144">
        <f t="shared" si="24"/>
        <v>8</v>
      </c>
      <c r="AO35" s="144">
        <f t="shared" si="39"/>
        <v>-2</v>
      </c>
      <c r="AP35" s="144"/>
      <c r="AQ35" s="201">
        <f t="shared" si="40"/>
        <v>18832</v>
      </c>
      <c r="AR35" s="144">
        <v>18844</v>
      </c>
      <c r="AS35" s="144">
        <f t="shared" si="25"/>
        <v>12</v>
      </c>
      <c r="AT35" s="144">
        <f t="shared" si="41"/>
        <v>3</v>
      </c>
      <c r="AU35" s="144"/>
      <c r="AV35" s="201">
        <f t="shared" si="42"/>
        <v>35185</v>
      </c>
      <c r="AW35" s="144">
        <v>35192</v>
      </c>
      <c r="AX35" s="144">
        <f t="shared" si="0"/>
        <v>7</v>
      </c>
      <c r="AY35" s="144">
        <f t="shared" si="43"/>
        <v>-2</v>
      </c>
      <c r="AZ35" s="144"/>
      <c r="BA35" s="201">
        <f t="shared" si="44"/>
        <v>9016</v>
      </c>
      <c r="BB35" s="144">
        <v>9023</v>
      </c>
      <c r="BC35" s="144">
        <f t="shared" si="1"/>
        <v>7</v>
      </c>
      <c r="BD35" s="144">
        <f t="shared" si="45"/>
        <v>1</v>
      </c>
      <c r="BE35" s="144"/>
      <c r="BF35" s="201">
        <f t="shared" si="46"/>
        <v>25765</v>
      </c>
      <c r="BG35" s="144">
        <v>25770</v>
      </c>
      <c r="BH35" s="144">
        <f t="shared" si="2"/>
        <v>5</v>
      </c>
      <c r="BI35" s="144">
        <f t="shared" si="47"/>
        <v>-4</v>
      </c>
      <c r="BJ35" s="144"/>
      <c r="BK35" s="201">
        <f t="shared" si="48"/>
        <v>9757</v>
      </c>
      <c r="BL35" s="144">
        <v>9775</v>
      </c>
      <c r="BM35" s="144">
        <f t="shared" si="3"/>
        <v>18</v>
      </c>
      <c r="BN35" s="144">
        <f t="shared" si="49"/>
        <v>20</v>
      </c>
      <c r="BO35" s="144"/>
      <c r="BP35" s="201">
        <f t="shared" si="50"/>
        <v>4104</v>
      </c>
      <c r="BQ35" s="144">
        <v>4105</v>
      </c>
      <c r="BR35" s="330">
        <f t="shared" si="4"/>
        <v>1</v>
      </c>
      <c r="BS35" s="144">
        <f t="shared" si="51"/>
        <v>-4</v>
      </c>
      <c r="BT35" s="144"/>
      <c r="BU35" s="201">
        <f t="shared" si="52"/>
        <v>1855</v>
      </c>
      <c r="BV35" s="144">
        <v>1855</v>
      </c>
      <c r="BW35" s="144">
        <f t="shared" si="5"/>
        <v>0</v>
      </c>
      <c r="BX35" s="144">
        <f t="shared" si="53"/>
        <v>-1</v>
      </c>
      <c r="BY35" s="144"/>
      <c r="BZ35" s="205">
        <f t="shared" si="54"/>
        <v>29022</v>
      </c>
      <c r="CA35" s="144">
        <v>29029</v>
      </c>
      <c r="CB35" s="330">
        <f t="shared" si="6"/>
        <v>7</v>
      </c>
      <c r="CC35" s="144">
        <f t="shared" si="55"/>
        <v>2</v>
      </c>
      <c r="CD35" s="199"/>
      <c r="CE35" s="205">
        <f t="shared" si="56"/>
        <v>3416</v>
      </c>
      <c r="CF35" s="144">
        <v>3421</v>
      </c>
      <c r="CG35" s="144">
        <f t="shared" si="7"/>
        <v>5</v>
      </c>
      <c r="CH35" s="144">
        <f t="shared" si="57"/>
        <v>5</v>
      </c>
      <c r="CI35" s="199"/>
      <c r="CJ35" s="205">
        <f t="shared" si="58"/>
        <v>84155</v>
      </c>
      <c r="CK35" s="144">
        <v>84181</v>
      </c>
      <c r="CL35" s="144">
        <f t="shared" si="8"/>
        <v>26</v>
      </c>
      <c r="CM35" s="144">
        <f t="shared" si="59"/>
        <v>1</v>
      </c>
      <c r="CN35" s="199"/>
      <c r="CO35" s="205">
        <f t="shared" si="60"/>
        <v>25727</v>
      </c>
      <c r="CP35" s="144">
        <v>25735</v>
      </c>
      <c r="CQ35" s="144">
        <f t="shared" si="9"/>
        <v>8</v>
      </c>
      <c r="CR35" s="144">
        <f t="shared" si="61"/>
        <v>0</v>
      </c>
      <c r="CS35" s="199"/>
      <c r="CT35" s="205">
        <f t="shared" si="62"/>
        <v>12797</v>
      </c>
      <c r="CU35" s="144">
        <v>12795</v>
      </c>
      <c r="CV35" s="144">
        <f t="shared" si="10"/>
        <v>-2</v>
      </c>
      <c r="CW35" s="144">
        <f t="shared" si="63"/>
        <v>-5</v>
      </c>
      <c r="CX35" s="199"/>
      <c r="CY35" s="205">
        <f t="shared" si="64"/>
        <v>19642</v>
      </c>
      <c r="CZ35" s="144">
        <v>19645</v>
      </c>
      <c r="DA35" s="144">
        <f t="shared" si="11"/>
        <v>3</v>
      </c>
      <c r="DB35" s="144">
        <f t="shared" si="65"/>
        <v>-2</v>
      </c>
      <c r="DC35" s="199"/>
      <c r="DD35" s="205">
        <f t="shared" si="66"/>
        <v>20860</v>
      </c>
      <c r="DE35" s="144">
        <v>20864</v>
      </c>
      <c r="DF35" s="144">
        <f t="shared" si="12"/>
        <v>4</v>
      </c>
      <c r="DG35" s="144">
        <f t="shared" si="67"/>
        <v>0</v>
      </c>
      <c r="DH35" s="199"/>
      <c r="DI35" s="205">
        <f t="shared" si="68"/>
        <v>9786</v>
      </c>
      <c r="DJ35" s="144">
        <v>9791</v>
      </c>
      <c r="DK35" s="144">
        <f t="shared" si="13"/>
        <v>5</v>
      </c>
      <c r="DL35" s="144">
        <f t="shared" si="69"/>
        <v>-2</v>
      </c>
      <c r="DM35" s="199"/>
      <c r="DN35" s="205">
        <f t="shared" si="70"/>
        <v>25828</v>
      </c>
      <c r="DO35" s="144">
        <v>25840</v>
      </c>
      <c r="DP35" s="144">
        <f t="shared" si="14"/>
        <v>12</v>
      </c>
      <c r="DQ35" s="144">
        <f t="shared" si="71"/>
        <v>4</v>
      </c>
      <c r="DR35" s="199"/>
      <c r="DS35" s="205">
        <f t="shared" si="72"/>
        <v>2706</v>
      </c>
      <c r="DT35" s="144">
        <v>2707</v>
      </c>
      <c r="DU35" s="144">
        <f t="shared" si="15"/>
        <v>1</v>
      </c>
      <c r="DV35" s="144">
        <f t="shared" si="73"/>
        <v>-6</v>
      </c>
      <c r="DW35" s="199"/>
      <c r="DX35" s="205">
        <f t="shared" si="74"/>
        <v>14</v>
      </c>
      <c r="DY35" s="144">
        <v>16</v>
      </c>
      <c r="DZ35" s="144">
        <f t="shared" si="75"/>
        <v>2</v>
      </c>
      <c r="EA35" s="144">
        <f t="shared" si="76"/>
        <v>0</v>
      </c>
      <c r="EB35" s="199"/>
      <c r="EC35" s="205">
        <f t="shared" si="104"/>
        <v>0</v>
      </c>
      <c r="ED35" s="144"/>
      <c r="EE35" s="199">
        <f t="shared" si="26"/>
        <v>0</v>
      </c>
      <c r="EF35" s="205">
        <f t="shared" si="101"/>
        <v>0</v>
      </c>
      <c r="EG35" s="144"/>
      <c r="EH35" s="199">
        <f t="shared" si="27"/>
        <v>0</v>
      </c>
      <c r="EI35" s="205">
        <f t="shared" si="102"/>
        <v>0</v>
      </c>
      <c r="EJ35" s="144"/>
      <c r="EK35" s="199">
        <f t="shared" si="28"/>
        <v>0</v>
      </c>
      <c r="EL35" s="205">
        <f t="shared" si="103"/>
        <v>0</v>
      </c>
      <c r="EM35" s="144"/>
      <c r="EN35" s="199">
        <f t="shared" si="29"/>
        <v>0</v>
      </c>
      <c r="EO35" s="205">
        <f t="shared" si="81"/>
        <v>0</v>
      </c>
      <c r="EP35" s="144"/>
      <c r="EQ35" s="199">
        <f t="shared" si="30"/>
        <v>0</v>
      </c>
      <c r="ER35" s="205">
        <f t="shared" si="82"/>
        <v>0</v>
      </c>
      <c r="ES35" s="144"/>
      <c r="ET35" s="199">
        <f t="shared" si="83"/>
        <v>0</v>
      </c>
      <c r="EU35" s="205">
        <f t="shared" si="84"/>
        <v>0</v>
      </c>
      <c r="EV35" s="144"/>
      <c r="EW35" s="199">
        <f t="shared" si="85"/>
        <v>0</v>
      </c>
      <c r="EX35" s="205">
        <f t="shared" si="86"/>
        <v>0</v>
      </c>
      <c r="EY35" s="144"/>
      <c r="EZ35" s="199">
        <f t="shared" si="87"/>
        <v>0</v>
      </c>
      <c r="FA35" s="205">
        <f t="shared" si="88"/>
        <v>0</v>
      </c>
      <c r="FB35" s="144"/>
      <c r="FC35" s="199">
        <f t="shared" si="89"/>
        <v>0</v>
      </c>
      <c r="FD35" s="205">
        <f t="shared" si="90"/>
        <v>0</v>
      </c>
      <c r="FE35" s="144"/>
      <c r="FF35" s="199">
        <f t="shared" si="91"/>
        <v>0</v>
      </c>
      <c r="FG35" s="205">
        <f t="shared" si="92"/>
        <v>0</v>
      </c>
      <c r="FH35" s="144"/>
      <c r="FI35" s="199">
        <f t="shared" si="93"/>
        <v>0</v>
      </c>
      <c r="FJ35" s="205">
        <f t="shared" si="94"/>
        <v>0</v>
      </c>
      <c r="FK35" s="144"/>
      <c r="FL35" s="199">
        <f t="shared" si="95"/>
        <v>0</v>
      </c>
      <c r="FM35" s="205">
        <f t="shared" si="96"/>
        <v>0</v>
      </c>
      <c r="FN35" s="144"/>
      <c r="FO35" s="199">
        <f t="shared" si="97"/>
        <v>0</v>
      </c>
      <c r="FP35" s="205">
        <f t="shared" si="98"/>
        <v>0</v>
      </c>
      <c r="FQ35" s="144"/>
      <c r="FR35" s="199">
        <f t="shared" si="31"/>
        <v>0</v>
      </c>
    </row>
    <row r="36" spans="1:174" ht="13.5" thickBot="1" x14ac:dyDescent="0.25">
      <c r="A36" s="142">
        <v>31</v>
      </c>
      <c r="B36" s="142">
        <f t="shared" si="32"/>
        <v>23575</v>
      </c>
      <c r="C36" s="343"/>
      <c r="D36" s="137">
        <f t="shared" si="16"/>
        <v>0</v>
      </c>
      <c r="E36" s="139"/>
      <c r="F36" s="142">
        <v>31</v>
      </c>
      <c r="G36" s="142">
        <f t="shared" si="33"/>
        <v>39028</v>
      </c>
      <c r="H36" s="343"/>
      <c r="I36" s="137">
        <f t="shared" si="17"/>
        <v>0</v>
      </c>
      <c r="J36" s="139"/>
      <c r="K36" s="142">
        <v>31</v>
      </c>
      <c r="L36" s="142">
        <f t="shared" si="34"/>
        <v>843696</v>
      </c>
      <c r="M36" s="343"/>
      <c r="N36" s="137">
        <f t="shared" si="18"/>
        <v>0</v>
      </c>
      <c r="O36" s="139"/>
      <c r="P36" s="142">
        <v>31</v>
      </c>
      <c r="Q36" s="142">
        <f t="shared" si="35"/>
        <v>240303</v>
      </c>
      <c r="R36" s="343"/>
      <c r="S36" s="137">
        <f t="shared" si="19"/>
        <v>0</v>
      </c>
      <c r="T36" s="146"/>
      <c r="U36" s="140">
        <v>31</v>
      </c>
      <c r="V36" s="207">
        <f t="shared" si="20"/>
        <v>0</v>
      </c>
      <c r="W36" s="141">
        <f>'Maldives at LG Daily'!I35</f>
        <v>0</v>
      </c>
      <c r="X36" s="160"/>
      <c r="Y36" s="323" t="e">
        <f t="shared" si="21"/>
        <v>#DIV/0!</v>
      </c>
      <c r="AA36" s="202">
        <v>31</v>
      </c>
      <c r="AB36" s="204">
        <f t="shared" si="36"/>
        <v>46473</v>
      </c>
      <c r="AC36" s="204"/>
      <c r="AD36" s="204">
        <f t="shared" si="22"/>
        <v>-46473</v>
      </c>
      <c r="AE36" s="144">
        <f t="shared" si="99"/>
        <v>-46492</v>
      </c>
      <c r="AF36" s="298"/>
      <c r="AG36" s="202">
        <f t="shared" si="37"/>
        <v>10350</v>
      </c>
      <c r="AH36" s="204"/>
      <c r="AI36" s="204">
        <f t="shared" si="23"/>
        <v>-10350</v>
      </c>
      <c r="AJ36" s="144">
        <f t="shared" si="100"/>
        <v>-10355</v>
      </c>
      <c r="AK36" s="204"/>
      <c r="AL36" s="202">
        <f t="shared" si="38"/>
        <v>9533</v>
      </c>
      <c r="AM36" s="204"/>
      <c r="AN36" s="204">
        <f t="shared" si="24"/>
        <v>-9533</v>
      </c>
      <c r="AO36" s="144">
        <f t="shared" si="39"/>
        <v>-9541</v>
      </c>
      <c r="AP36" s="204"/>
      <c r="AQ36" s="202">
        <f t="shared" si="40"/>
        <v>18844</v>
      </c>
      <c r="AR36" s="204"/>
      <c r="AS36" s="204">
        <f t="shared" si="25"/>
        <v>-18844</v>
      </c>
      <c r="AT36" s="144">
        <f t="shared" si="41"/>
        <v>-18856</v>
      </c>
      <c r="AU36" s="204"/>
      <c r="AV36" s="202">
        <f t="shared" si="42"/>
        <v>35192</v>
      </c>
      <c r="AW36" s="204"/>
      <c r="AX36" s="204">
        <f t="shared" si="0"/>
        <v>-35192</v>
      </c>
      <c r="AY36" s="144">
        <f t="shared" si="43"/>
        <v>-35199</v>
      </c>
      <c r="AZ36" s="204"/>
      <c r="BA36" s="202">
        <f t="shared" si="44"/>
        <v>9023</v>
      </c>
      <c r="BB36" s="204"/>
      <c r="BC36" s="204">
        <f t="shared" si="1"/>
        <v>-9023</v>
      </c>
      <c r="BD36" s="144">
        <f t="shared" si="45"/>
        <v>-9030</v>
      </c>
      <c r="BE36" s="204"/>
      <c r="BF36" s="202">
        <f t="shared" si="46"/>
        <v>25770</v>
      </c>
      <c r="BG36" s="204"/>
      <c r="BH36" s="204">
        <f t="shared" si="2"/>
        <v>-25770</v>
      </c>
      <c r="BI36" s="144">
        <f t="shared" si="47"/>
        <v>-25775</v>
      </c>
      <c r="BJ36" s="204"/>
      <c r="BK36" s="202">
        <f t="shared" si="48"/>
        <v>9775</v>
      </c>
      <c r="BL36" s="204"/>
      <c r="BM36" s="204">
        <f t="shared" si="3"/>
        <v>-9775</v>
      </c>
      <c r="BN36" s="144">
        <f t="shared" si="49"/>
        <v>-9793</v>
      </c>
      <c r="BO36" s="204"/>
      <c r="BP36" s="202">
        <f t="shared" si="50"/>
        <v>4105</v>
      </c>
      <c r="BQ36" s="204"/>
      <c r="BR36" s="331">
        <f t="shared" si="4"/>
        <v>-4105</v>
      </c>
      <c r="BS36" s="144">
        <f t="shared" si="51"/>
        <v>-4106</v>
      </c>
      <c r="BT36" s="204"/>
      <c r="BU36" s="202">
        <f t="shared" si="52"/>
        <v>1855</v>
      </c>
      <c r="BV36" s="204"/>
      <c r="BW36" s="204">
        <f t="shared" si="5"/>
        <v>-1855</v>
      </c>
      <c r="BX36" s="144">
        <f t="shared" si="53"/>
        <v>-1855</v>
      </c>
      <c r="BY36" s="204"/>
      <c r="BZ36" s="300">
        <f t="shared" si="54"/>
        <v>29029</v>
      </c>
      <c r="CA36" s="204"/>
      <c r="CB36" s="331">
        <f t="shared" si="6"/>
        <v>-29029</v>
      </c>
      <c r="CC36" s="144">
        <f t="shared" si="55"/>
        <v>-29036</v>
      </c>
      <c r="CD36" s="200"/>
      <c r="CE36" s="300">
        <f t="shared" si="56"/>
        <v>3421</v>
      </c>
      <c r="CF36" s="204"/>
      <c r="CG36" s="204">
        <f t="shared" si="7"/>
        <v>-3421</v>
      </c>
      <c r="CH36" s="144">
        <f t="shared" si="57"/>
        <v>-3426</v>
      </c>
      <c r="CI36" s="200"/>
      <c r="CJ36" s="300">
        <f t="shared" si="58"/>
        <v>84181</v>
      </c>
      <c r="CK36" s="204"/>
      <c r="CL36" s="204">
        <f t="shared" si="8"/>
        <v>-84181</v>
      </c>
      <c r="CM36" s="144">
        <f t="shared" si="59"/>
        <v>-84207</v>
      </c>
      <c r="CN36" s="200"/>
      <c r="CO36" s="300">
        <f t="shared" si="60"/>
        <v>25735</v>
      </c>
      <c r="CP36" s="204"/>
      <c r="CQ36" s="144">
        <f t="shared" si="9"/>
        <v>-25735</v>
      </c>
      <c r="CR36" s="144">
        <f t="shared" si="61"/>
        <v>-25743</v>
      </c>
      <c r="CS36" s="200"/>
      <c r="CT36" s="300">
        <f t="shared" si="62"/>
        <v>12795</v>
      </c>
      <c r="CU36" s="204"/>
      <c r="CV36" s="204">
        <f t="shared" si="10"/>
        <v>-12795</v>
      </c>
      <c r="CW36" s="144">
        <f t="shared" si="63"/>
        <v>-12793</v>
      </c>
      <c r="CX36" s="200"/>
      <c r="CY36" s="300">
        <f t="shared" si="64"/>
        <v>19645</v>
      </c>
      <c r="CZ36" s="204"/>
      <c r="DA36" s="204">
        <f t="shared" si="11"/>
        <v>-19645</v>
      </c>
      <c r="DB36" s="144">
        <f t="shared" si="65"/>
        <v>-19648</v>
      </c>
      <c r="DC36" s="200"/>
      <c r="DD36" s="300">
        <f t="shared" si="66"/>
        <v>20864</v>
      </c>
      <c r="DE36" s="204"/>
      <c r="DF36" s="204">
        <f t="shared" si="12"/>
        <v>-20864</v>
      </c>
      <c r="DG36" s="144">
        <f t="shared" si="67"/>
        <v>-20868</v>
      </c>
      <c r="DH36" s="200"/>
      <c r="DI36" s="300">
        <f t="shared" si="68"/>
        <v>9791</v>
      </c>
      <c r="DJ36" s="204"/>
      <c r="DK36" s="204">
        <f t="shared" si="13"/>
        <v>-9791</v>
      </c>
      <c r="DL36" s="144">
        <f t="shared" si="69"/>
        <v>-9796</v>
      </c>
      <c r="DM36" s="200"/>
      <c r="DN36" s="300">
        <f t="shared" si="70"/>
        <v>25840</v>
      </c>
      <c r="DO36" s="204"/>
      <c r="DP36" s="204">
        <f t="shared" si="14"/>
        <v>-25840</v>
      </c>
      <c r="DQ36" s="144">
        <f t="shared" si="71"/>
        <v>-25852</v>
      </c>
      <c r="DR36" s="200"/>
      <c r="DS36" s="300">
        <f t="shared" si="72"/>
        <v>2707</v>
      </c>
      <c r="DT36" s="204"/>
      <c r="DU36" s="204">
        <f t="shared" si="15"/>
        <v>-2707</v>
      </c>
      <c r="DV36" s="144">
        <f t="shared" si="73"/>
        <v>-2708</v>
      </c>
      <c r="DW36" s="200"/>
      <c r="DX36" s="300">
        <f t="shared" si="74"/>
        <v>16</v>
      </c>
      <c r="DY36" s="204"/>
      <c r="DZ36" s="204">
        <f t="shared" si="75"/>
        <v>-16</v>
      </c>
      <c r="EA36" s="144">
        <f t="shared" si="76"/>
        <v>-18</v>
      </c>
      <c r="EB36" s="200"/>
      <c r="EC36" s="205">
        <f t="shared" si="104"/>
        <v>0</v>
      </c>
      <c r="ED36" s="204"/>
      <c r="EE36" s="199">
        <f t="shared" si="26"/>
        <v>0</v>
      </c>
      <c r="EF36" s="205">
        <f t="shared" si="101"/>
        <v>0</v>
      </c>
      <c r="EG36" s="204"/>
      <c r="EH36" s="199">
        <f t="shared" si="27"/>
        <v>0</v>
      </c>
      <c r="EI36" s="205">
        <f t="shared" si="102"/>
        <v>0</v>
      </c>
      <c r="EJ36" s="204"/>
      <c r="EK36" s="199">
        <f t="shared" si="28"/>
        <v>0</v>
      </c>
      <c r="EL36" s="205">
        <f t="shared" si="103"/>
        <v>0</v>
      </c>
      <c r="EM36" s="204"/>
      <c r="EN36" s="199">
        <f t="shared" si="29"/>
        <v>0</v>
      </c>
      <c r="EO36" s="205">
        <f t="shared" si="81"/>
        <v>0</v>
      </c>
      <c r="EP36" s="144"/>
      <c r="EQ36" s="199">
        <f t="shared" si="30"/>
        <v>0</v>
      </c>
      <c r="ER36" s="205">
        <f t="shared" si="82"/>
        <v>0</v>
      </c>
      <c r="ES36" s="204"/>
      <c r="ET36" s="199">
        <f t="shared" si="83"/>
        <v>0</v>
      </c>
      <c r="EU36" s="205">
        <f t="shared" si="84"/>
        <v>0</v>
      </c>
      <c r="EV36" s="204"/>
      <c r="EW36" s="199">
        <f t="shared" si="85"/>
        <v>0</v>
      </c>
      <c r="EX36" s="205">
        <f t="shared" si="86"/>
        <v>0</v>
      </c>
      <c r="EY36" s="204"/>
      <c r="EZ36" s="199">
        <f t="shared" si="87"/>
        <v>0</v>
      </c>
      <c r="FA36" s="205">
        <f t="shared" si="88"/>
        <v>0</v>
      </c>
      <c r="FB36" s="204"/>
      <c r="FC36" s="199">
        <f t="shared" si="89"/>
        <v>0</v>
      </c>
      <c r="FD36" s="205">
        <f t="shared" si="90"/>
        <v>0</v>
      </c>
      <c r="FE36" s="204"/>
      <c r="FF36" s="199">
        <f t="shared" si="91"/>
        <v>0</v>
      </c>
      <c r="FG36" s="205">
        <f t="shared" si="92"/>
        <v>0</v>
      </c>
      <c r="FH36" s="204"/>
      <c r="FI36" s="199">
        <f t="shared" si="93"/>
        <v>0</v>
      </c>
      <c r="FJ36" s="205">
        <f t="shared" si="94"/>
        <v>0</v>
      </c>
      <c r="FK36" s="204"/>
      <c r="FL36" s="199">
        <f t="shared" si="95"/>
        <v>0</v>
      </c>
      <c r="FM36" s="205">
        <f t="shared" si="96"/>
        <v>0</v>
      </c>
      <c r="FN36" s="204"/>
      <c r="FO36" s="199">
        <f t="shared" si="97"/>
        <v>0</v>
      </c>
      <c r="FP36" s="205">
        <f t="shared" si="98"/>
        <v>0</v>
      </c>
      <c r="FQ36" s="204"/>
      <c r="FR36" s="199">
        <f t="shared" si="31"/>
        <v>0</v>
      </c>
    </row>
    <row r="37" spans="1:174" ht="13.5" thickBot="1" x14ac:dyDescent="0.25">
      <c r="A37" s="147" t="s">
        <v>7</v>
      </c>
      <c r="D37" s="148">
        <f>SUM(D6:D36)</f>
        <v>912</v>
      </c>
      <c r="E37" s="149"/>
      <c r="F37" s="147" t="s">
        <v>7</v>
      </c>
      <c r="I37" s="148">
        <f>SUM(I6:I36)</f>
        <v>0</v>
      </c>
      <c r="J37" s="149"/>
      <c r="K37" s="147" t="s">
        <v>7</v>
      </c>
      <c r="N37" s="148">
        <f>SUM(N6:N36)</f>
        <v>5494</v>
      </c>
      <c r="O37" s="149"/>
      <c r="P37" s="147" t="s">
        <v>7</v>
      </c>
      <c r="S37" s="148">
        <f>SUM(S6:S36)</f>
        <v>2887</v>
      </c>
      <c r="T37" s="149"/>
      <c r="W37" s="193">
        <f>SUM(W6:W36)</f>
        <v>452.59999999999997</v>
      </c>
    </row>
    <row r="38" spans="1:174" ht="13.5" thickTop="1" x14ac:dyDescent="0.2">
      <c r="W38" s="127">
        <f>W37/31</f>
        <v>14.6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25" zoomScale="90" zoomScaleNormal="90" workbookViewId="0">
      <selection activeCell="E36" sqref="E36"/>
    </sheetView>
  </sheetViews>
  <sheetFormatPr defaultColWidth="9.140625" defaultRowHeight="12.75" x14ac:dyDescent="0.2"/>
  <cols>
    <col min="1" max="1" width="7" style="166" customWidth="1"/>
    <col min="2" max="2" width="17.7109375" style="147" customWidth="1"/>
    <col min="3" max="3" width="15.7109375" style="147" customWidth="1"/>
    <col min="4" max="6" width="16.140625" style="147" customWidth="1"/>
    <col min="7" max="7" width="14.5703125" style="147" customWidth="1"/>
    <col min="8" max="8" width="13" style="127" customWidth="1"/>
    <col min="9" max="16384" width="9.140625" style="127"/>
  </cols>
  <sheetData>
    <row r="1" spans="1:20" s="128" customFormat="1" x14ac:dyDescent="0.2">
      <c r="A1" s="417"/>
      <c r="B1" s="417"/>
      <c r="C1" s="151"/>
      <c r="D1" s="151"/>
      <c r="E1" s="151"/>
      <c r="F1" s="151"/>
      <c r="G1" s="151"/>
    </row>
    <row r="2" spans="1:20" ht="24.75" customHeight="1" x14ac:dyDescent="0.2">
      <c r="A2" s="418" t="s">
        <v>36</v>
      </c>
      <c r="B2" s="418"/>
      <c r="C2" s="418"/>
      <c r="D2" s="418"/>
      <c r="E2" s="418"/>
      <c r="F2" s="418"/>
      <c r="G2" s="418"/>
      <c r="H2" s="418"/>
    </row>
    <row r="3" spans="1:20" ht="26.25" customHeight="1" x14ac:dyDescent="0.2">
      <c r="A3" s="152" t="s">
        <v>114</v>
      </c>
      <c r="B3" s="153">
        <v>44806</v>
      </c>
      <c r="C3" s="154"/>
      <c r="D3" s="152"/>
      <c r="E3" s="152"/>
      <c r="F3" s="152"/>
      <c r="G3" s="155"/>
      <c r="H3" s="156"/>
    </row>
    <row r="4" spans="1:20" ht="42" customHeight="1" x14ac:dyDescent="0.2">
      <c r="A4" s="157" t="s">
        <v>5</v>
      </c>
      <c r="B4" s="158" t="s">
        <v>115</v>
      </c>
      <c r="C4" s="158" t="s">
        <v>116</v>
      </c>
      <c r="D4" s="158" t="s">
        <v>117</v>
      </c>
      <c r="E4" s="158" t="s">
        <v>118</v>
      </c>
      <c r="F4" s="158" t="s">
        <v>7</v>
      </c>
      <c r="G4" s="158" t="s">
        <v>37</v>
      </c>
      <c r="H4" s="158" t="s">
        <v>119</v>
      </c>
    </row>
    <row r="5" spans="1:20" ht="24" customHeight="1" x14ac:dyDescent="0.2">
      <c r="A5" s="419"/>
      <c r="B5" s="420"/>
      <c r="C5" s="420"/>
      <c r="D5" s="420"/>
      <c r="E5" s="420"/>
      <c r="F5" s="421"/>
      <c r="G5" s="159"/>
      <c r="H5" s="159"/>
    </row>
    <row r="6" spans="1:20" ht="21.75" customHeight="1" x14ac:dyDescent="0.2">
      <c r="A6" s="160">
        <v>1</v>
      </c>
      <c r="B6" s="142">
        <v>2</v>
      </c>
      <c r="C6" s="142">
        <v>1</v>
      </c>
      <c r="D6" s="142">
        <v>1</v>
      </c>
      <c r="E6" s="103">
        <v>2</v>
      </c>
      <c r="F6" s="161">
        <f>SUM(B6:E6)</f>
        <v>6</v>
      </c>
      <c r="G6" s="162">
        <f>F6*45</f>
        <v>270</v>
      </c>
      <c r="H6" s="163">
        <f>WATER!W6</f>
        <v>13.6</v>
      </c>
    </row>
    <row r="7" spans="1:20" ht="21.75" customHeight="1" x14ac:dyDescent="0.2">
      <c r="A7" s="160">
        <v>2</v>
      </c>
      <c r="B7" s="142">
        <v>2</v>
      </c>
      <c r="C7" s="142">
        <v>0</v>
      </c>
      <c r="D7" s="142">
        <v>2</v>
      </c>
      <c r="E7" s="103">
        <v>2</v>
      </c>
      <c r="F7" s="161">
        <f t="shared" ref="F7:F36" si="0">SUM(B7:E7)</f>
        <v>6</v>
      </c>
      <c r="G7" s="162">
        <f t="shared" ref="G7:G36" si="1">F7*45</f>
        <v>270</v>
      </c>
      <c r="H7" s="163">
        <f>WATER!W7</f>
        <v>14.6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</row>
    <row r="8" spans="1:20" ht="21.75" customHeight="1" x14ac:dyDescent="0.2">
      <c r="A8" s="160">
        <v>3</v>
      </c>
      <c r="B8" s="142">
        <v>2</v>
      </c>
      <c r="C8" s="142">
        <v>0</v>
      </c>
      <c r="D8" s="142">
        <v>1</v>
      </c>
      <c r="E8" s="103">
        <v>2</v>
      </c>
      <c r="F8" s="161">
        <f t="shared" si="0"/>
        <v>5</v>
      </c>
      <c r="G8" s="162">
        <f t="shared" si="1"/>
        <v>225</v>
      </c>
      <c r="H8" s="163">
        <f>WATER!W8</f>
        <v>14.6</v>
      </c>
    </row>
    <row r="9" spans="1:20" ht="21.75" customHeight="1" x14ac:dyDescent="0.2">
      <c r="A9" s="160">
        <v>4</v>
      </c>
      <c r="B9" s="142">
        <v>2</v>
      </c>
      <c r="C9" s="142">
        <v>1</v>
      </c>
      <c r="D9" s="142">
        <v>1</v>
      </c>
      <c r="E9" s="103">
        <v>2</v>
      </c>
      <c r="F9" s="161">
        <f t="shared" si="0"/>
        <v>6</v>
      </c>
      <c r="G9" s="162">
        <f t="shared" si="1"/>
        <v>270</v>
      </c>
      <c r="H9" s="163">
        <f>WATER!W9</f>
        <v>10.7</v>
      </c>
    </row>
    <row r="10" spans="1:20" ht="21.75" customHeight="1" x14ac:dyDescent="0.2">
      <c r="A10" s="160">
        <v>5</v>
      </c>
      <c r="B10" s="142">
        <v>1</v>
      </c>
      <c r="C10" s="142">
        <v>0</v>
      </c>
      <c r="D10" s="142">
        <v>2</v>
      </c>
      <c r="E10" s="103">
        <v>2</v>
      </c>
      <c r="F10" s="161">
        <f t="shared" si="0"/>
        <v>5</v>
      </c>
      <c r="G10" s="162">
        <f t="shared" si="1"/>
        <v>225</v>
      </c>
      <c r="H10" s="163">
        <f>WATER!W10</f>
        <v>10.7</v>
      </c>
    </row>
    <row r="11" spans="1:20" ht="21.75" customHeight="1" x14ac:dyDescent="0.2">
      <c r="A11" s="160">
        <v>6</v>
      </c>
      <c r="B11" s="142">
        <v>1</v>
      </c>
      <c r="C11" s="142">
        <v>0</v>
      </c>
      <c r="D11" s="142">
        <v>1</v>
      </c>
      <c r="E11" s="103">
        <v>2</v>
      </c>
      <c r="F11" s="161">
        <f t="shared" si="0"/>
        <v>4</v>
      </c>
      <c r="G11" s="162">
        <f t="shared" si="1"/>
        <v>180</v>
      </c>
      <c r="H11" s="163">
        <f>WATER!W11</f>
        <v>13.6</v>
      </c>
    </row>
    <row r="12" spans="1:20" ht="21.75" customHeight="1" x14ac:dyDescent="0.2">
      <c r="A12" s="160">
        <v>7</v>
      </c>
      <c r="B12" s="142">
        <v>2</v>
      </c>
      <c r="C12" s="142">
        <v>1</v>
      </c>
      <c r="D12" s="142">
        <v>2</v>
      </c>
      <c r="E12" s="103">
        <v>2</v>
      </c>
      <c r="F12" s="161">
        <f t="shared" si="0"/>
        <v>7</v>
      </c>
      <c r="G12" s="162">
        <f t="shared" si="1"/>
        <v>315</v>
      </c>
      <c r="H12" s="163">
        <f>WATER!W12</f>
        <v>13.6</v>
      </c>
    </row>
    <row r="13" spans="1:20" ht="21.75" customHeight="1" x14ac:dyDescent="0.2">
      <c r="A13" s="160">
        <v>8</v>
      </c>
      <c r="B13" s="142">
        <v>2</v>
      </c>
      <c r="C13" s="142">
        <v>0</v>
      </c>
      <c r="D13" s="142">
        <v>1</v>
      </c>
      <c r="E13" s="103">
        <v>2</v>
      </c>
      <c r="F13" s="161">
        <f t="shared" si="0"/>
        <v>5</v>
      </c>
      <c r="G13" s="162">
        <f t="shared" si="1"/>
        <v>225</v>
      </c>
      <c r="H13" s="163">
        <f>WATER!W13</f>
        <v>15</v>
      </c>
    </row>
    <row r="14" spans="1:20" ht="21.75" customHeight="1" x14ac:dyDescent="0.2">
      <c r="A14" s="160">
        <v>9</v>
      </c>
      <c r="B14" s="142">
        <v>1</v>
      </c>
      <c r="C14" s="142">
        <v>1</v>
      </c>
      <c r="D14" s="142">
        <v>1</v>
      </c>
      <c r="E14" s="103">
        <v>2</v>
      </c>
      <c r="F14" s="161">
        <f t="shared" si="0"/>
        <v>5</v>
      </c>
      <c r="G14" s="162">
        <f t="shared" si="1"/>
        <v>225</v>
      </c>
      <c r="H14" s="163">
        <f>WATER!W14</f>
        <v>12</v>
      </c>
    </row>
    <row r="15" spans="1:20" ht="21.75" customHeight="1" x14ac:dyDescent="0.2">
      <c r="A15" s="160">
        <v>10</v>
      </c>
      <c r="B15" s="142">
        <v>2</v>
      </c>
      <c r="C15" s="142">
        <v>0</v>
      </c>
      <c r="D15" s="142">
        <v>2</v>
      </c>
      <c r="E15" s="103">
        <v>2</v>
      </c>
      <c r="F15" s="161">
        <f t="shared" si="0"/>
        <v>6</v>
      </c>
      <c r="G15" s="162">
        <f t="shared" si="1"/>
        <v>270</v>
      </c>
      <c r="H15" s="163">
        <f>WATER!W15</f>
        <v>12</v>
      </c>
    </row>
    <row r="16" spans="1:20" ht="21.75" customHeight="1" x14ac:dyDescent="0.2">
      <c r="A16" s="160">
        <v>11</v>
      </c>
      <c r="B16" s="142">
        <v>1</v>
      </c>
      <c r="C16" s="142">
        <v>1</v>
      </c>
      <c r="D16" s="142">
        <v>1</v>
      </c>
      <c r="E16" s="103">
        <v>2</v>
      </c>
      <c r="F16" s="161">
        <f t="shared" si="0"/>
        <v>5</v>
      </c>
      <c r="G16" s="162">
        <f t="shared" si="1"/>
        <v>225</v>
      </c>
      <c r="H16" s="163">
        <f>WATER!W16</f>
        <v>11</v>
      </c>
    </row>
    <row r="17" spans="1:8" ht="21.75" customHeight="1" x14ac:dyDescent="0.2">
      <c r="A17" s="160">
        <v>12</v>
      </c>
      <c r="B17" s="142">
        <v>2</v>
      </c>
      <c r="C17" s="142">
        <v>0</v>
      </c>
      <c r="D17" s="142">
        <v>1</v>
      </c>
      <c r="E17" s="103">
        <v>2</v>
      </c>
      <c r="F17" s="161">
        <f t="shared" si="0"/>
        <v>5</v>
      </c>
      <c r="G17" s="162">
        <f t="shared" si="1"/>
        <v>225</v>
      </c>
      <c r="H17" s="163">
        <f>WATER!W17</f>
        <v>14</v>
      </c>
    </row>
    <row r="18" spans="1:8" ht="21.75" customHeight="1" x14ac:dyDescent="0.2">
      <c r="A18" s="160">
        <v>13</v>
      </c>
      <c r="B18" s="142">
        <v>2</v>
      </c>
      <c r="C18" s="142">
        <v>1</v>
      </c>
      <c r="D18" s="142">
        <v>1</v>
      </c>
      <c r="E18" s="103">
        <v>2</v>
      </c>
      <c r="F18" s="161">
        <f t="shared" si="0"/>
        <v>6</v>
      </c>
      <c r="G18" s="162">
        <f t="shared" si="1"/>
        <v>270</v>
      </c>
      <c r="H18" s="163">
        <f>WATER!W18</f>
        <v>12</v>
      </c>
    </row>
    <row r="19" spans="1:8" ht="21.75" customHeight="1" x14ac:dyDescent="0.2">
      <c r="A19" s="160">
        <v>14</v>
      </c>
      <c r="B19" s="142">
        <v>1</v>
      </c>
      <c r="C19" s="142">
        <v>1</v>
      </c>
      <c r="D19" s="142">
        <v>1</v>
      </c>
      <c r="E19" s="103">
        <v>2</v>
      </c>
      <c r="F19" s="161">
        <f t="shared" si="0"/>
        <v>5</v>
      </c>
      <c r="G19" s="162">
        <f t="shared" si="1"/>
        <v>225</v>
      </c>
      <c r="H19" s="163">
        <f>WATER!W19</f>
        <v>13</v>
      </c>
    </row>
    <row r="20" spans="1:8" ht="21.75" customHeight="1" x14ac:dyDescent="0.2">
      <c r="A20" s="160">
        <v>15</v>
      </c>
      <c r="B20" s="142">
        <v>2</v>
      </c>
      <c r="C20" s="142">
        <v>0</v>
      </c>
      <c r="D20" s="142">
        <v>1</v>
      </c>
      <c r="E20" s="103">
        <v>2</v>
      </c>
      <c r="F20" s="161">
        <f t="shared" si="0"/>
        <v>5</v>
      </c>
      <c r="G20" s="162">
        <f t="shared" si="1"/>
        <v>225</v>
      </c>
      <c r="H20" s="163">
        <v>16</v>
      </c>
    </row>
    <row r="21" spans="1:8" ht="21.75" customHeight="1" x14ac:dyDescent="0.2">
      <c r="A21" s="160">
        <v>16</v>
      </c>
      <c r="B21" s="142">
        <v>1</v>
      </c>
      <c r="C21" s="142">
        <v>0</v>
      </c>
      <c r="D21" s="142">
        <v>1</v>
      </c>
      <c r="E21" s="103">
        <v>2</v>
      </c>
      <c r="F21" s="161">
        <f t="shared" si="0"/>
        <v>4</v>
      </c>
      <c r="G21" s="162">
        <f t="shared" si="1"/>
        <v>180</v>
      </c>
      <c r="H21" s="163">
        <f>WATER!W21</f>
        <v>15</v>
      </c>
    </row>
    <row r="22" spans="1:8" ht="21.75" customHeight="1" x14ac:dyDescent="0.2">
      <c r="A22" s="160">
        <v>17</v>
      </c>
      <c r="B22" s="142">
        <v>2</v>
      </c>
      <c r="C22" s="142">
        <v>1</v>
      </c>
      <c r="D22" s="142">
        <v>1</v>
      </c>
      <c r="E22" s="103">
        <v>2</v>
      </c>
      <c r="F22" s="161">
        <f t="shared" si="0"/>
        <v>6</v>
      </c>
      <c r="G22" s="162">
        <f t="shared" si="1"/>
        <v>270</v>
      </c>
      <c r="H22" s="163">
        <f>WATER!W22</f>
        <v>16</v>
      </c>
    </row>
    <row r="23" spans="1:8" ht="21.75" customHeight="1" x14ac:dyDescent="0.2">
      <c r="A23" s="160">
        <v>18</v>
      </c>
      <c r="B23" s="142">
        <v>2</v>
      </c>
      <c r="C23" s="142">
        <v>1</v>
      </c>
      <c r="D23" s="142">
        <v>1</v>
      </c>
      <c r="E23" s="103">
        <v>2</v>
      </c>
      <c r="F23" s="161">
        <f t="shared" si="0"/>
        <v>6</v>
      </c>
      <c r="G23" s="162">
        <f t="shared" si="1"/>
        <v>270</v>
      </c>
      <c r="H23" s="163">
        <f>WATER!W23</f>
        <v>17</v>
      </c>
    </row>
    <row r="24" spans="1:8" ht="21.75" customHeight="1" x14ac:dyDescent="0.2">
      <c r="A24" s="160">
        <v>19</v>
      </c>
      <c r="B24" s="142">
        <v>2</v>
      </c>
      <c r="C24" s="142">
        <v>0</v>
      </c>
      <c r="D24" s="142">
        <v>2</v>
      </c>
      <c r="E24" s="103">
        <v>2</v>
      </c>
      <c r="F24" s="161">
        <f t="shared" si="0"/>
        <v>6</v>
      </c>
      <c r="G24" s="162">
        <f t="shared" si="1"/>
        <v>270</v>
      </c>
      <c r="H24" s="163">
        <f>WATER!W24</f>
        <v>15.5</v>
      </c>
    </row>
    <row r="25" spans="1:8" ht="21.75" customHeight="1" x14ac:dyDescent="0.2">
      <c r="A25" s="160">
        <v>20</v>
      </c>
      <c r="B25" s="142">
        <v>2</v>
      </c>
      <c r="C25" s="142">
        <v>1</v>
      </c>
      <c r="D25" s="142">
        <v>2</v>
      </c>
      <c r="E25" s="103">
        <v>2</v>
      </c>
      <c r="F25" s="161">
        <f t="shared" si="0"/>
        <v>7</v>
      </c>
      <c r="G25" s="162">
        <f t="shared" si="1"/>
        <v>315</v>
      </c>
      <c r="H25" s="163">
        <f>WATER!W25</f>
        <v>12.6</v>
      </c>
    </row>
    <row r="26" spans="1:8" ht="21.75" customHeight="1" x14ac:dyDescent="0.2">
      <c r="A26" s="160">
        <v>21</v>
      </c>
      <c r="B26" s="142">
        <v>2</v>
      </c>
      <c r="C26" s="142">
        <v>1</v>
      </c>
      <c r="D26" s="142">
        <v>1</v>
      </c>
      <c r="E26" s="103">
        <v>2</v>
      </c>
      <c r="F26" s="161">
        <f t="shared" si="0"/>
        <v>6</v>
      </c>
      <c r="G26" s="162">
        <f t="shared" si="1"/>
        <v>270</v>
      </c>
      <c r="H26" s="163">
        <f>WATER!W26</f>
        <v>21.4</v>
      </c>
    </row>
    <row r="27" spans="1:8" ht="21.75" customHeight="1" x14ac:dyDescent="0.2">
      <c r="A27" s="160">
        <v>22</v>
      </c>
      <c r="B27" s="142">
        <v>2</v>
      </c>
      <c r="C27" s="142">
        <v>0</v>
      </c>
      <c r="D27" s="142">
        <v>1</v>
      </c>
      <c r="E27" s="103">
        <v>2</v>
      </c>
      <c r="F27" s="161">
        <f t="shared" si="0"/>
        <v>5</v>
      </c>
      <c r="G27" s="162">
        <f t="shared" si="1"/>
        <v>225</v>
      </c>
      <c r="H27" s="163">
        <f>WATER!W27</f>
        <v>26.2</v>
      </c>
    </row>
    <row r="28" spans="1:8" ht="21.75" customHeight="1" x14ac:dyDescent="0.2">
      <c r="A28" s="160">
        <v>23</v>
      </c>
      <c r="B28" s="142">
        <v>2</v>
      </c>
      <c r="C28" s="142">
        <v>0</v>
      </c>
      <c r="D28" s="142">
        <v>1</v>
      </c>
      <c r="E28" s="103">
        <v>2</v>
      </c>
      <c r="F28" s="161">
        <f t="shared" si="0"/>
        <v>5</v>
      </c>
      <c r="G28" s="162">
        <f t="shared" si="1"/>
        <v>225</v>
      </c>
      <c r="H28" s="163">
        <f>WATER!W28</f>
        <v>26.2</v>
      </c>
    </row>
    <row r="29" spans="1:8" ht="21.75" customHeight="1" x14ac:dyDescent="0.2">
      <c r="A29" s="160">
        <v>24</v>
      </c>
      <c r="B29" s="142">
        <v>2</v>
      </c>
      <c r="C29" s="142">
        <v>1</v>
      </c>
      <c r="D29" s="142">
        <v>1</v>
      </c>
      <c r="E29" s="103">
        <v>2</v>
      </c>
      <c r="F29" s="161">
        <f t="shared" si="0"/>
        <v>6</v>
      </c>
      <c r="G29" s="162">
        <f t="shared" si="1"/>
        <v>270</v>
      </c>
      <c r="H29" s="163">
        <f>WATER!W29</f>
        <v>26.2</v>
      </c>
    </row>
    <row r="30" spans="1:8" ht="21.75" customHeight="1" x14ac:dyDescent="0.2">
      <c r="A30" s="160">
        <v>25</v>
      </c>
      <c r="B30" s="142">
        <v>1</v>
      </c>
      <c r="C30" s="142">
        <v>0</v>
      </c>
      <c r="D30" s="142">
        <v>1</v>
      </c>
      <c r="E30" s="103">
        <v>2</v>
      </c>
      <c r="F30" s="161">
        <f t="shared" si="0"/>
        <v>4</v>
      </c>
      <c r="G30" s="162">
        <f t="shared" si="1"/>
        <v>180</v>
      </c>
      <c r="H30" s="163">
        <f>WATER!W30</f>
        <v>23.8</v>
      </c>
    </row>
    <row r="31" spans="1:8" ht="21.75" customHeight="1" x14ac:dyDescent="0.2">
      <c r="A31" s="160">
        <v>26</v>
      </c>
      <c r="B31" s="142">
        <v>1</v>
      </c>
      <c r="C31" s="142">
        <v>1</v>
      </c>
      <c r="D31" s="142">
        <v>1</v>
      </c>
      <c r="E31" s="103">
        <v>2</v>
      </c>
      <c r="F31" s="161">
        <f t="shared" si="0"/>
        <v>5</v>
      </c>
      <c r="G31" s="162">
        <f t="shared" si="1"/>
        <v>225</v>
      </c>
      <c r="H31" s="163">
        <f>WATER!W31</f>
        <v>11.7</v>
      </c>
    </row>
    <row r="32" spans="1:8" ht="21.75" customHeight="1" x14ac:dyDescent="0.2">
      <c r="A32" s="160">
        <v>27</v>
      </c>
      <c r="B32" s="142">
        <v>2</v>
      </c>
      <c r="C32" s="142">
        <v>1</v>
      </c>
      <c r="D32" s="142">
        <v>1</v>
      </c>
      <c r="E32" s="103">
        <v>2</v>
      </c>
      <c r="F32" s="161">
        <f t="shared" si="0"/>
        <v>6</v>
      </c>
      <c r="G32" s="162">
        <f t="shared" si="1"/>
        <v>270</v>
      </c>
      <c r="H32" s="163">
        <f>WATER!W32</f>
        <v>14.6</v>
      </c>
    </row>
    <row r="33" spans="1:8" ht="21.75" customHeight="1" x14ac:dyDescent="0.2">
      <c r="A33" s="160">
        <v>28</v>
      </c>
      <c r="B33" s="142">
        <v>0</v>
      </c>
      <c r="C33" s="142">
        <v>0</v>
      </c>
      <c r="D33" s="142">
        <v>2</v>
      </c>
      <c r="E33" s="103">
        <v>2</v>
      </c>
      <c r="F33" s="161">
        <f t="shared" si="0"/>
        <v>4</v>
      </c>
      <c r="G33" s="162">
        <f t="shared" si="1"/>
        <v>180</v>
      </c>
      <c r="H33" s="163">
        <f>WATER!W33</f>
        <v>16.5</v>
      </c>
    </row>
    <row r="34" spans="1:8" ht="21.75" customHeight="1" x14ac:dyDescent="0.2">
      <c r="A34" s="160">
        <v>29</v>
      </c>
      <c r="B34" s="142">
        <v>2</v>
      </c>
      <c r="C34" s="142">
        <v>1</v>
      </c>
      <c r="D34" s="142">
        <v>1</v>
      </c>
      <c r="E34" s="103">
        <v>2</v>
      </c>
      <c r="F34" s="161">
        <f t="shared" si="0"/>
        <v>6</v>
      </c>
      <c r="G34" s="162">
        <f t="shared" si="1"/>
        <v>270</v>
      </c>
      <c r="H34" s="163">
        <f>WATER!W34</f>
        <v>17.5</v>
      </c>
    </row>
    <row r="35" spans="1:8" ht="21.75" customHeight="1" x14ac:dyDescent="0.2">
      <c r="A35" s="160">
        <v>30</v>
      </c>
      <c r="B35" s="142">
        <v>2</v>
      </c>
      <c r="C35" s="142">
        <v>0</v>
      </c>
      <c r="D35" s="142">
        <v>1</v>
      </c>
      <c r="E35" s="103">
        <v>2</v>
      </c>
      <c r="F35" s="161">
        <f t="shared" si="0"/>
        <v>5</v>
      </c>
      <c r="G35" s="162">
        <f t="shared" si="1"/>
        <v>225</v>
      </c>
      <c r="H35" s="163">
        <f>WATER!W35</f>
        <v>0</v>
      </c>
    </row>
    <row r="36" spans="1:8" ht="21.75" customHeight="1" x14ac:dyDescent="0.2">
      <c r="A36" s="160">
        <v>31</v>
      </c>
      <c r="B36" s="142"/>
      <c r="C36" s="142"/>
      <c r="D36" s="142"/>
      <c r="E36" s="103"/>
      <c r="F36" s="161">
        <f t="shared" si="0"/>
        <v>0</v>
      </c>
      <c r="G36" s="162">
        <f t="shared" si="1"/>
        <v>0</v>
      </c>
      <c r="H36" s="163">
        <f>WATER!W36</f>
        <v>0</v>
      </c>
    </row>
    <row r="37" spans="1:8" ht="21" customHeight="1" x14ac:dyDescent="0.2">
      <c r="A37" s="162" t="s">
        <v>7</v>
      </c>
      <c r="B37" s="162"/>
      <c r="C37" s="162"/>
      <c r="D37" s="164"/>
      <c r="E37" s="164"/>
      <c r="F37" s="165">
        <f>SUM(F6:F36)</f>
        <v>162</v>
      </c>
      <c r="G37" s="162">
        <f>SUM(G6:G36)</f>
        <v>7290</v>
      </c>
      <c r="H37" s="163">
        <f>SUM(H6:H36)/30</f>
        <v>15.219999999999999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3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22" t="s">
        <v>172</v>
      </c>
      <c r="B1" s="422"/>
      <c r="C1" s="422"/>
      <c r="D1" s="422"/>
      <c r="E1" s="422"/>
      <c r="F1" s="423"/>
    </row>
    <row r="2" spans="1:6" ht="30.75" customHeight="1" thickBot="1" x14ac:dyDescent="0.25">
      <c r="A2" s="315" t="s">
        <v>171</v>
      </c>
      <c r="B2" s="315" t="s">
        <v>49</v>
      </c>
      <c r="C2" s="315" t="s">
        <v>50</v>
      </c>
      <c r="D2" s="316" t="s">
        <v>51</v>
      </c>
      <c r="E2" s="316" t="s">
        <v>127</v>
      </c>
      <c r="F2" s="316" t="s">
        <v>125</v>
      </c>
    </row>
    <row r="3" spans="1:6" ht="30.75" customHeight="1" x14ac:dyDescent="0.2">
      <c r="A3" s="313">
        <v>44652</v>
      </c>
      <c r="B3" s="219"/>
      <c r="C3" s="306"/>
      <c r="D3" s="307"/>
      <c r="E3" s="308"/>
      <c r="F3" s="309"/>
    </row>
    <row r="4" spans="1:6" ht="30.75" customHeight="1" x14ac:dyDescent="0.2">
      <c r="A4" s="314">
        <v>44653</v>
      </c>
      <c r="B4" s="219"/>
      <c r="C4" s="219"/>
      <c r="D4" s="310"/>
      <c r="E4" s="311"/>
      <c r="F4" s="312"/>
    </row>
    <row r="5" spans="1:6" ht="30.75" customHeight="1" x14ac:dyDescent="0.2">
      <c r="A5" s="314">
        <v>44654</v>
      </c>
      <c r="B5" s="219"/>
      <c r="C5" s="219"/>
      <c r="D5" s="310"/>
      <c r="E5" s="311"/>
      <c r="F5" s="312"/>
    </row>
    <row r="6" spans="1:6" ht="30.75" customHeight="1" x14ac:dyDescent="0.2">
      <c r="A6" s="314">
        <v>44655</v>
      </c>
      <c r="B6" s="219"/>
      <c r="C6" s="219"/>
      <c r="D6" s="310"/>
      <c r="E6" s="311"/>
      <c r="F6" s="312"/>
    </row>
    <row r="7" spans="1:6" ht="30.75" customHeight="1" x14ac:dyDescent="0.2">
      <c r="A7" s="314">
        <v>44656</v>
      </c>
      <c r="B7" s="219"/>
      <c r="C7" s="219"/>
      <c r="D7" s="310"/>
      <c r="E7" s="311"/>
      <c r="F7" s="312"/>
    </row>
    <row r="8" spans="1:6" ht="30.75" customHeight="1" x14ac:dyDescent="0.2">
      <c r="A8" s="314">
        <v>44657</v>
      </c>
      <c r="B8" s="219"/>
      <c r="C8" s="219"/>
      <c r="D8" s="310"/>
      <c r="E8" s="311"/>
      <c r="F8" s="312"/>
    </row>
    <row r="9" spans="1:6" ht="30.75" customHeight="1" x14ac:dyDescent="0.2">
      <c r="A9" s="314">
        <v>44658</v>
      </c>
      <c r="B9" s="219"/>
      <c r="C9" s="219"/>
      <c r="D9" s="310"/>
      <c r="E9" s="311"/>
      <c r="F9" s="312"/>
    </row>
    <row r="10" spans="1:6" ht="30.75" customHeight="1" x14ac:dyDescent="0.2">
      <c r="A10" s="314">
        <v>44659</v>
      </c>
      <c r="B10" s="219"/>
      <c r="C10" s="219"/>
      <c r="D10" s="310"/>
      <c r="E10" s="311"/>
      <c r="F10" s="312"/>
    </row>
    <row r="11" spans="1:6" ht="30.75" customHeight="1" x14ac:dyDescent="0.2">
      <c r="A11" s="314">
        <v>44660</v>
      </c>
      <c r="B11" s="219"/>
      <c r="C11" s="219"/>
      <c r="D11" s="310"/>
      <c r="E11" s="311"/>
      <c r="F11" s="312"/>
    </row>
    <row r="12" spans="1:6" ht="30.75" customHeight="1" x14ac:dyDescent="0.2">
      <c r="A12" s="314">
        <v>44661</v>
      </c>
      <c r="B12" s="219"/>
      <c r="C12" s="219"/>
      <c r="D12" s="310"/>
      <c r="E12" s="311"/>
      <c r="F12" s="312"/>
    </row>
    <row r="13" spans="1:6" ht="30.75" customHeight="1" x14ac:dyDescent="0.2">
      <c r="A13" s="314">
        <v>44662</v>
      </c>
      <c r="B13" s="219"/>
      <c r="C13" s="219"/>
      <c r="D13" s="310"/>
      <c r="E13" s="311"/>
      <c r="F13" s="312"/>
    </row>
    <row r="14" spans="1:6" ht="30.75" customHeight="1" x14ac:dyDescent="0.2">
      <c r="A14" s="314">
        <v>44663</v>
      </c>
      <c r="B14" s="219"/>
      <c r="C14" s="219"/>
      <c r="D14" s="310"/>
      <c r="E14" s="311"/>
      <c r="F14" s="312"/>
    </row>
    <row r="15" spans="1:6" ht="30.75" customHeight="1" x14ac:dyDescent="0.2">
      <c r="A15" s="314">
        <v>44664</v>
      </c>
      <c r="B15" s="219"/>
      <c r="C15" s="219"/>
      <c r="D15" s="310"/>
      <c r="E15" s="311"/>
      <c r="F15" s="312"/>
    </row>
    <row r="16" spans="1:6" ht="30.75" customHeight="1" x14ac:dyDescent="0.2">
      <c r="A16" s="314">
        <v>44665</v>
      </c>
      <c r="B16" s="219"/>
      <c r="C16" s="219"/>
      <c r="D16" s="310"/>
      <c r="E16" s="311"/>
      <c r="F16" s="312"/>
    </row>
    <row r="17" spans="1:6" ht="30.75" customHeight="1" x14ac:dyDescent="0.2">
      <c r="A17" s="314">
        <v>44666</v>
      </c>
      <c r="B17" s="219"/>
      <c r="C17" s="219"/>
      <c r="D17" s="310"/>
      <c r="E17" s="311"/>
      <c r="F17" s="312"/>
    </row>
    <row r="18" spans="1:6" ht="30.75" customHeight="1" x14ac:dyDescent="0.2">
      <c r="A18" s="314">
        <v>44667</v>
      </c>
      <c r="B18" s="219"/>
      <c r="C18" s="219"/>
      <c r="D18" s="310"/>
      <c r="E18" s="311"/>
      <c r="F18" s="312"/>
    </row>
    <row r="19" spans="1:6" ht="30.75" customHeight="1" x14ac:dyDescent="0.2">
      <c r="A19" s="314">
        <v>44668</v>
      </c>
      <c r="B19" s="219"/>
      <c r="C19" s="219"/>
      <c r="D19" s="310"/>
      <c r="E19" s="311"/>
      <c r="F19" s="312"/>
    </row>
    <row r="20" spans="1:6" ht="30.75" customHeight="1" x14ac:dyDescent="0.2">
      <c r="A20" s="314">
        <v>44669</v>
      </c>
      <c r="B20" s="219"/>
      <c r="C20" s="219"/>
      <c r="D20" s="310"/>
      <c r="E20" s="311"/>
      <c r="F20" s="312"/>
    </row>
    <row r="21" spans="1:6" ht="30.75" customHeight="1" x14ac:dyDescent="0.2">
      <c r="A21" s="314">
        <v>44670</v>
      </c>
      <c r="B21" s="219"/>
      <c r="C21" s="219"/>
      <c r="D21" s="310"/>
      <c r="E21" s="311"/>
      <c r="F21" s="312"/>
    </row>
    <row r="22" spans="1:6" ht="30.75" customHeight="1" x14ac:dyDescent="0.2">
      <c r="A22" s="314">
        <v>44671</v>
      </c>
      <c r="B22" s="219"/>
      <c r="C22" s="219"/>
      <c r="D22" s="310"/>
      <c r="E22" s="311"/>
      <c r="F22" s="312"/>
    </row>
    <row r="23" spans="1:6" ht="30.75" customHeight="1" x14ac:dyDescent="0.2">
      <c r="A23" s="314">
        <v>44672</v>
      </c>
      <c r="B23" s="219"/>
      <c r="C23" s="219"/>
      <c r="D23" s="310"/>
      <c r="E23" s="311"/>
      <c r="F23" s="312"/>
    </row>
    <row r="24" spans="1:6" ht="30.75" customHeight="1" x14ac:dyDescent="0.2">
      <c r="A24" s="314">
        <v>44673</v>
      </c>
      <c r="B24" s="219"/>
      <c r="C24" s="219"/>
      <c r="D24" s="310"/>
      <c r="E24" s="311"/>
      <c r="F24" s="312"/>
    </row>
    <row r="25" spans="1:6" ht="30.75" customHeight="1" x14ac:dyDescent="0.2">
      <c r="A25" s="314">
        <v>44674</v>
      </c>
      <c r="B25" s="219"/>
      <c r="C25" s="219"/>
      <c r="D25" s="310"/>
      <c r="E25" s="311"/>
      <c r="F25" s="312"/>
    </row>
    <row r="26" spans="1:6" ht="30.75" customHeight="1" x14ac:dyDescent="0.2">
      <c r="A26" s="314">
        <v>44675</v>
      </c>
      <c r="B26" s="219"/>
      <c r="C26" s="219"/>
      <c r="D26" s="310"/>
      <c r="E26" s="311"/>
      <c r="F26" s="312"/>
    </row>
    <row r="27" spans="1:6" ht="30.75" customHeight="1" x14ac:dyDescent="0.2">
      <c r="A27" s="314">
        <v>44676</v>
      </c>
      <c r="B27" s="219"/>
      <c r="C27" s="219"/>
      <c r="D27" s="310"/>
      <c r="E27" s="311"/>
      <c r="F27" s="312"/>
    </row>
    <row r="28" spans="1:6" ht="30.75" customHeight="1" x14ac:dyDescent="0.2">
      <c r="A28" s="314">
        <v>44677</v>
      </c>
      <c r="B28" s="219"/>
      <c r="C28" s="219"/>
      <c r="D28" s="310"/>
      <c r="E28" s="311"/>
      <c r="F28" s="312"/>
    </row>
    <row r="29" spans="1:6" ht="30.75" customHeight="1" x14ac:dyDescent="0.2">
      <c r="A29" s="314">
        <v>44678</v>
      </c>
      <c r="B29" s="219"/>
      <c r="C29" s="219"/>
      <c r="D29" s="310"/>
      <c r="E29" s="311"/>
      <c r="F29" s="312"/>
    </row>
    <row r="30" spans="1:6" ht="30.75" customHeight="1" x14ac:dyDescent="0.2">
      <c r="A30" s="314">
        <v>44679</v>
      </c>
      <c r="B30" s="219"/>
      <c r="C30" s="219"/>
      <c r="D30" s="310"/>
      <c r="E30" s="311"/>
      <c r="F30" s="312"/>
    </row>
    <row r="31" spans="1:6" ht="30.75" customHeight="1" x14ac:dyDescent="0.2">
      <c r="A31" s="314">
        <v>44680</v>
      </c>
      <c r="B31" s="219"/>
      <c r="C31" s="219"/>
      <c r="D31" s="310"/>
      <c r="E31" s="311"/>
      <c r="F31" s="312"/>
    </row>
    <row r="32" spans="1:6" ht="30.75" customHeight="1" x14ac:dyDescent="0.2">
      <c r="A32" s="314">
        <v>44681</v>
      </c>
      <c r="B32" s="219"/>
      <c r="C32" s="219"/>
      <c r="D32" s="310"/>
      <c r="E32" s="311"/>
      <c r="F32" s="312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25">
        <v>44256</v>
      </c>
      <c r="C1" s="425"/>
      <c r="D1" s="425"/>
      <c r="E1" s="425"/>
      <c r="F1" s="425"/>
      <c r="G1" s="425"/>
      <c r="H1" s="425"/>
    </row>
    <row r="2" spans="2:8" ht="15.75" customHeight="1" x14ac:dyDescent="0.2">
      <c r="B2" s="425"/>
      <c r="C2" s="425"/>
      <c r="D2" s="425"/>
      <c r="E2" s="425"/>
      <c r="F2" s="425"/>
      <c r="G2" s="425"/>
      <c r="H2" s="425"/>
    </row>
    <row r="3" spans="2:8" ht="28.5" customHeight="1" x14ac:dyDescent="0.2">
      <c r="B3" s="426" t="s">
        <v>74</v>
      </c>
      <c r="C3" s="426"/>
      <c r="D3" s="426"/>
      <c r="E3" s="426"/>
      <c r="F3" s="426"/>
      <c r="G3" s="426"/>
      <c r="H3" s="426"/>
    </row>
    <row r="4" spans="2:8" x14ac:dyDescent="0.2">
      <c r="B4" s="100" t="s">
        <v>42</v>
      </c>
      <c r="C4" s="100" t="s">
        <v>69</v>
      </c>
      <c r="D4" s="100" t="s">
        <v>70</v>
      </c>
      <c r="E4" s="100" t="s">
        <v>71</v>
      </c>
      <c r="F4" s="100" t="s">
        <v>72</v>
      </c>
      <c r="G4" s="100" t="s">
        <v>73</v>
      </c>
      <c r="H4" s="100" t="s">
        <v>7</v>
      </c>
    </row>
    <row r="5" spans="2:8" x14ac:dyDescent="0.2">
      <c r="B5" s="98">
        <v>1</v>
      </c>
      <c r="C5" s="99">
        <f>'GENSET #1'!D10</f>
        <v>7889</v>
      </c>
      <c r="D5" s="99">
        <f>'GENSET #2'!D10</f>
        <v>5167</v>
      </c>
      <c r="E5" s="99">
        <f>'GENSET #3'!D10</f>
        <v>7052</v>
      </c>
      <c r="F5" s="99">
        <f>'GENSET #4'!D10</f>
        <v>0</v>
      </c>
      <c r="G5" s="99">
        <f>'GENSET #5'!D10</f>
        <v>0</v>
      </c>
      <c r="H5" s="102">
        <f>SUM(C5:G5)</f>
        <v>20108</v>
      </c>
    </row>
    <row r="6" spans="2:8" x14ac:dyDescent="0.2">
      <c r="B6" s="93">
        <v>2</v>
      </c>
      <c r="C6" s="17">
        <f>'GENSET #1'!D11</f>
        <v>2987</v>
      </c>
      <c r="D6" s="17">
        <f>'GENSET #2'!D11</f>
        <v>5176</v>
      </c>
      <c r="E6" s="17">
        <f>'GENSET #3'!D11</f>
        <v>4513</v>
      </c>
      <c r="F6" s="17">
        <f>'GENSET #4'!D11</f>
        <v>184</v>
      </c>
      <c r="G6" s="17">
        <f>'GENSET #5'!D11</f>
        <v>7776</v>
      </c>
      <c r="H6" s="102">
        <f>SUM(C6:G6)</f>
        <v>20636</v>
      </c>
    </row>
    <row r="7" spans="2:8" x14ac:dyDescent="0.2">
      <c r="B7" s="98">
        <v>3</v>
      </c>
      <c r="C7" s="99">
        <f>'GENSET #1'!D12</f>
        <v>7702</v>
      </c>
      <c r="D7" s="99">
        <f>'GENSET #2'!D12</f>
        <v>5588</v>
      </c>
      <c r="E7" s="99">
        <f>'GENSET #3'!D12</f>
        <v>3976</v>
      </c>
      <c r="F7" s="99">
        <f>'GENSET #4'!D12</f>
        <v>49</v>
      </c>
      <c r="G7" s="99">
        <f>'GENSET #5'!D12</f>
        <v>3281</v>
      </c>
      <c r="H7" s="102">
        <f t="shared" ref="H7:H35" si="0">SUM(C7:G7)</f>
        <v>20596</v>
      </c>
    </row>
    <row r="8" spans="2:8" x14ac:dyDescent="0.2">
      <c r="B8" s="93">
        <v>4</v>
      </c>
      <c r="C8" s="17">
        <f>'GENSET #1'!D13</f>
        <v>3303</v>
      </c>
      <c r="D8" s="17">
        <f>'GENSET #2'!D13</f>
        <v>6594</v>
      </c>
      <c r="E8" s="17">
        <f>'GENSET #3'!D13</f>
        <v>3680</v>
      </c>
      <c r="F8" s="17">
        <f>'GENSET #4'!D13</f>
        <v>508</v>
      </c>
      <c r="G8" s="17">
        <f>'GENSET #5'!D13</f>
        <v>7397</v>
      </c>
      <c r="H8" s="102">
        <f t="shared" si="0"/>
        <v>21482</v>
      </c>
    </row>
    <row r="9" spans="2:8" x14ac:dyDescent="0.2">
      <c r="B9" s="98">
        <v>5</v>
      </c>
      <c r="C9" s="99">
        <f>'GENSET #1'!D14</f>
        <v>7356</v>
      </c>
      <c r="D9" s="99">
        <f>'GENSET #2'!D14</f>
        <v>5974</v>
      </c>
      <c r="E9" s="99">
        <f>'GENSET #3'!D14</f>
        <v>0</v>
      </c>
      <c r="F9" s="99">
        <f>'GENSET #4'!D14</f>
        <v>0</v>
      </c>
      <c r="G9" s="99">
        <f>'GENSET #5'!D14</f>
        <v>7431</v>
      </c>
      <c r="H9" s="102">
        <f t="shared" si="0"/>
        <v>20761</v>
      </c>
    </row>
    <row r="10" spans="2:8" x14ac:dyDescent="0.2">
      <c r="B10" s="93">
        <v>6</v>
      </c>
      <c r="C10" s="17">
        <f>'GENSET #1'!D15</f>
        <v>5547</v>
      </c>
      <c r="D10" s="17">
        <f>'GENSET #2'!D15</f>
        <v>6107</v>
      </c>
      <c r="E10" s="17">
        <f>'GENSET #3'!D15</f>
        <v>3931</v>
      </c>
      <c r="F10" s="17">
        <f>'GENSET #4'!D15</f>
        <v>337</v>
      </c>
      <c r="G10" s="17">
        <f>'GENSET #5'!D15</f>
        <v>3013</v>
      </c>
      <c r="H10" s="102">
        <f t="shared" si="0"/>
        <v>18935</v>
      </c>
    </row>
    <row r="11" spans="2:8" x14ac:dyDescent="0.2">
      <c r="B11" s="98">
        <v>7</v>
      </c>
      <c r="C11" s="99">
        <f>'GENSET #1'!D16</f>
        <v>1891</v>
      </c>
      <c r="D11" s="99">
        <f>'GENSET #2'!D16</f>
        <v>6005</v>
      </c>
      <c r="E11" s="99">
        <f>'GENSET #3'!D16</f>
        <v>6369</v>
      </c>
      <c r="F11" s="99">
        <f>'GENSET #4'!D16</f>
        <v>0</v>
      </c>
      <c r="G11" s="99">
        <f>'GENSET #5'!D16</f>
        <v>7121</v>
      </c>
      <c r="H11" s="102">
        <f t="shared" si="0"/>
        <v>21386</v>
      </c>
    </row>
    <row r="12" spans="2:8" x14ac:dyDescent="0.2">
      <c r="B12" s="93">
        <v>8</v>
      </c>
      <c r="C12" s="17">
        <f>'GENSET #1'!D17</f>
        <v>3302</v>
      </c>
      <c r="D12" s="17">
        <f>'GENSET #2'!D17</f>
        <v>6365</v>
      </c>
      <c r="E12" s="17">
        <f>'GENSET #3'!D17</f>
        <v>4188</v>
      </c>
      <c r="F12" s="17">
        <f>'GENSET #4'!D17</f>
        <v>0</v>
      </c>
      <c r="G12" s="17">
        <f>'GENSET #5'!D17</f>
        <v>7829</v>
      </c>
      <c r="H12" s="102">
        <f t="shared" si="0"/>
        <v>21684</v>
      </c>
    </row>
    <row r="13" spans="2:8" x14ac:dyDescent="0.2">
      <c r="B13" s="98">
        <v>9</v>
      </c>
      <c r="C13" s="99">
        <f>'GENSET #1'!D18</f>
        <v>2934</v>
      </c>
      <c r="D13" s="99">
        <f>'GENSET #2'!D18</f>
        <v>6421</v>
      </c>
      <c r="E13" s="99">
        <f>'GENSET #3'!D18</f>
        <v>4280</v>
      </c>
      <c r="F13" s="99">
        <f>'GENSET #4'!D18</f>
        <v>0</v>
      </c>
      <c r="G13" s="99">
        <f>'GENSET #5'!D18</f>
        <v>7596</v>
      </c>
      <c r="H13" s="102">
        <f t="shared" si="0"/>
        <v>21231</v>
      </c>
    </row>
    <row r="14" spans="2:8" x14ac:dyDescent="0.2">
      <c r="B14" s="93">
        <v>10</v>
      </c>
      <c r="C14" s="17">
        <f>'GENSET #1'!D19</f>
        <v>4217</v>
      </c>
      <c r="D14" s="17">
        <f>'GENSET #2'!D19</f>
        <v>6504</v>
      </c>
      <c r="E14" s="17">
        <f>'GENSET #3'!D19</f>
        <v>3319</v>
      </c>
      <c r="F14" s="17">
        <f>'GENSET #4'!D19</f>
        <v>275</v>
      </c>
      <c r="G14" s="17">
        <f>'GENSET #5'!D19</f>
        <v>7868</v>
      </c>
      <c r="H14" s="102">
        <f t="shared" si="0"/>
        <v>22183</v>
      </c>
    </row>
    <row r="15" spans="2:8" x14ac:dyDescent="0.2">
      <c r="B15" s="98">
        <v>11</v>
      </c>
      <c r="C15" s="99">
        <f>'GENSET #1'!D20</f>
        <v>8306</v>
      </c>
      <c r="D15" s="99">
        <f>'GENSET #2'!D20</f>
        <v>4858</v>
      </c>
      <c r="E15" s="99">
        <f>'GENSET #3'!D20</f>
        <v>6660</v>
      </c>
      <c r="F15" s="99">
        <f>'GENSET #4'!D20</f>
        <v>1558</v>
      </c>
      <c r="G15" s="99">
        <f>'GENSET #5'!D20</f>
        <v>860</v>
      </c>
      <c r="H15" s="102">
        <f t="shared" si="0"/>
        <v>22242</v>
      </c>
    </row>
    <row r="16" spans="2:8" x14ac:dyDescent="0.2">
      <c r="B16" s="93">
        <v>12</v>
      </c>
      <c r="C16" s="17">
        <f>'GENSET #1'!D21</f>
        <v>402</v>
      </c>
      <c r="D16" s="17">
        <f>'GENSET #2'!D21</f>
        <v>4656</v>
      </c>
      <c r="E16" s="17">
        <f>'GENSET #3'!D21</f>
        <v>7514</v>
      </c>
      <c r="F16" s="17">
        <f>'GENSET #4'!D21</f>
        <v>1953</v>
      </c>
      <c r="G16" s="17">
        <f>'GENSET #5'!D21</f>
        <v>7911</v>
      </c>
      <c r="H16" s="102">
        <f t="shared" si="0"/>
        <v>22436</v>
      </c>
    </row>
    <row r="17" spans="2:8" x14ac:dyDescent="0.2">
      <c r="B17" s="98">
        <v>13</v>
      </c>
      <c r="C17" s="99">
        <f>'GENSET #1'!D22</f>
        <v>8166</v>
      </c>
      <c r="D17" s="99">
        <f>'GENSET #2'!D22</f>
        <v>5425</v>
      </c>
      <c r="E17" s="99">
        <f>'GENSET #3'!D22</f>
        <v>57</v>
      </c>
      <c r="F17" s="99">
        <f>'GENSET #4'!D22</f>
        <v>218</v>
      </c>
      <c r="G17" s="99">
        <f>'GENSET #5'!D22</f>
        <v>8219</v>
      </c>
      <c r="H17" s="102">
        <f t="shared" si="0"/>
        <v>22085</v>
      </c>
    </row>
    <row r="18" spans="2:8" x14ac:dyDescent="0.2">
      <c r="B18" s="93">
        <v>14</v>
      </c>
      <c r="C18" s="17">
        <f>'GENSET #1'!D23</f>
        <v>3847</v>
      </c>
      <c r="D18" s="17">
        <f>'GENSET #2'!D23</f>
        <v>11484</v>
      </c>
      <c r="E18" s="17">
        <f>'GENSET #3'!D23</f>
        <v>0</v>
      </c>
      <c r="F18" s="17">
        <f>'GENSET #4'!D23</f>
        <v>2128</v>
      </c>
      <c r="G18" s="17">
        <f>'GENSET #5'!D23</f>
        <v>3805</v>
      </c>
      <c r="H18" s="102">
        <f t="shared" si="0"/>
        <v>21264</v>
      </c>
    </row>
    <row r="19" spans="2:8" x14ac:dyDescent="0.2">
      <c r="B19" s="98">
        <v>15</v>
      </c>
      <c r="C19" s="99">
        <f>'GENSET #1'!D24</f>
        <v>9146</v>
      </c>
      <c r="D19" s="99">
        <f>'GENSET #2'!D24</f>
        <v>4224</v>
      </c>
      <c r="E19" s="99">
        <f>'GENSET #3'!D24</f>
        <v>0</v>
      </c>
      <c r="F19" s="99">
        <f>'GENSET #4'!D24</f>
        <v>351</v>
      </c>
      <c r="G19" s="99">
        <f>'GENSET #5'!D24</f>
        <v>9079</v>
      </c>
      <c r="H19" s="102">
        <f t="shared" si="0"/>
        <v>22800</v>
      </c>
    </row>
    <row r="20" spans="2:8" x14ac:dyDescent="0.2">
      <c r="B20" s="93">
        <v>16</v>
      </c>
      <c r="C20" s="17">
        <f>'GENSET #1'!D25</f>
        <v>6446</v>
      </c>
      <c r="D20" s="17">
        <f>'GENSET #2'!D25</f>
        <v>7302</v>
      </c>
      <c r="E20" s="17">
        <f>'GENSET #3'!D25</f>
        <v>0</v>
      </c>
      <c r="F20" s="17">
        <f>'GENSET #4'!D25</f>
        <v>1681</v>
      </c>
      <c r="G20" s="17">
        <f>'GENSET #5'!D25</f>
        <v>6436</v>
      </c>
      <c r="H20" s="102">
        <f t="shared" si="0"/>
        <v>21865</v>
      </c>
    </row>
    <row r="21" spans="2:8" x14ac:dyDescent="0.2">
      <c r="B21" s="98">
        <v>17</v>
      </c>
      <c r="C21" s="99">
        <f>'GENSET #1'!D26</f>
        <v>7819</v>
      </c>
      <c r="D21" s="99">
        <f>'GENSET #2'!D26</f>
        <v>6474</v>
      </c>
      <c r="E21" s="99">
        <f>'GENSET #3'!D26</f>
        <v>0</v>
      </c>
      <c r="F21" s="99">
        <f>'GENSET #4'!D26</f>
        <v>557</v>
      </c>
      <c r="G21" s="99">
        <f>'GENSET #5'!D26</f>
        <v>7818</v>
      </c>
      <c r="H21" s="102">
        <f t="shared" si="0"/>
        <v>22668</v>
      </c>
    </row>
    <row r="22" spans="2:8" x14ac:dyDescent="0.2">
      <c r="B22" s="93">
        <v>18</v>
      </c>
      <c r="C22" s="17">
        <f>'GENSET #1'!D27</f>
        <v>7597</v>
      </c>
      <c r="D22" s="17">
        <f>'GENSET #2'!D27</f>
        <v>6201</v>
      </c>
      <c r="E22" s="17">
        <f>'GENSET #3'!D27</f>
        <v>0</v>
      </c>
      <c r="F22" s="17">
        <f>'GENSET #4'!D27</f>
        <v>963</v>
      </c>
      <c r="G22" s="17">
        <f>'GENSET #5'!D27</f>
        <v>7668</v>
      </c>
      <c r="H22" s="102">
        <f t="shared" si="0"/>
        <v>22429</v>
      </c>
    </row>
    <row r="23" spans="2:8" x14ac:dyDescent="0.2">
      <c r="B23" s="98">
        <v>19</v>
      </c>
      <c r="C23" s="99">
        <f>'GENSET #1'!D28</f>
        <v>5997</v>
      </c>
      <c r="D23" s="99">
        <f>'GENSET #2'!D28</f>
        <v>9548</v>
      </c>
      <c r="E23" s="99">
        <f>'GENSET #3'!D28</f>
        <v>0</v>
      </c>
      <c r="F23" s="99">
        <f>'GENSET #4'!D28</f>
        <v>307</v>
      </c>
      <c r="G23" s="99">
        <f>'GENSET #5'!D28</f>
        <v>7609</v>
      </c>
      <c r="H23" s="102">
        <f t="shared" si="0"/>
        <v>23461</v>
      </c>
    </row>
    <row r="24" spans="2:8" x14ac:dyDescent="0.2">
      <c r="B24" s="93">
        <v>20</v>
      </c>
      <c r="C24" s="17">
        <f>'GENSET #1'!D29</f>
        <v>6801</v>
      </c>
      <c r="D24" s="17">
        <f>'GENSET #2'!D29</f>
        <v>7607</v>
      </c>
      <c r="E24" s="17">
        <f>'GENSET #3'!D29</f>
        <v>0</v>
      </c>
      <c r="F24" s="17">
        <f>'GENSET #4'!D29</f>
        <v>902</v>
      </c>
      <c r="G24" s="17">
        <f>'GENSET #5'!D29</f>
        <v>6786</v>
      </c>
      <c r="H24" s="102">
        <f t="shared" si="0"/>
        <v>22096</v>
      </c>
    </row>
    <row r="25" spans="2:8" x14ac:dyDescent="0.2">
      <c r="B25" s="98">
        <v>21</v>
      </c>
      <c r="C25" s="99">
        <f>'GENSET #1'!D30</f>
        <v>7528</v>
      </c>
      <c r="D25" s="99">
        <f>'GENSET #2'!D30</f>
        <v>5391</v>
      </c>
      <c r="E25" s="99">
        <f>'GENSET #3'!D30</f>
        <v>0</v>
      </c>
      <c r="F25" s="99">
        <f>'GENSET #4'!D30</f>
        <v>280</v>
      </c>
      <c r="G25" s="99">
        <f>'GENSET #5'!D30</f>
        <v>7494</v>
      </c>
      <c r="H25" s="102">
        <f t="shared" si="0"/>
        <v>20693</v>
      </c>
    </row>
    <row r="26" spans="2:8" x14ac:dyDescent="0.2">
      <c r="B26" s="93">
        <v>22</v>
      </c>
      <c r="C26" s="17">
        <f>'GENSET #1'!D31</f>
        <v>7898</v>
      </c>
      <c r="D26" s="17">
        <f>'GENSET #2'!D31</f>
        <v>5481</v>
      </c>
      <c r="E26" s="17">
        <f>'GENSET #3'!D31</f>
        <v>0</v>
      </c>
      <c r="F26" s="17">
        <f>'GENSET #4'!D31</f>
        <v>43</v>
      </c>
      <c r="G26" s="17">
        <f>'GENSET #5'!D31</f>
        <v>7864</v>
      </c>
      <c r="H26" s="102">
        <f t="shared" si="0"/>
        <v>21286</v>
      </c>
    </row>
    <row r="27" spans="2:8" x14ac:dyDescent="0.2">
      <c r="B27" s="98">
        <v>23</v>
      </c>
      <c r="C27" s="99">
        <f>'GENSET #1'!D32</f>
        <v>8190</v>
      </c>
      <c r="D27" s="99">
        <f>'GENSET #2'!D32</f>
        <v>5733</v>
      </c>
      <c r="E27" s="99">
        <f>'GENSET #3'!D32</f>
        <v>0</v>
      </c>
      <c r="F27" s="99">
        <f>'GENSET #4'!D32</f>
        <v>755</v>
      </c>
      <c r="G27" s="99">
        <f>'GENSET #5'!D32</f>
        <v>8188</v>
      </c>
      <c r="H27" s="102">
        <f t="shared" si="0"/>
        <v>22866</v>
      </c>
    </row>
    <row r="28" spans="2:8" x14ac:dyDescent="0.2">
      <c r="B28" s="93">
        <v>24</v>
      </c>
      <c r="C28" s="17">
        <f>'GENSET #1'!D33</f>
        <v>8085</v>
      </c>
      <c r="D28" s="17">
        <f>'GENSET #2'!D33</f>
        <v>5916</v>
      </c>
      <c r="E28" s="17">
        <f>'GENSET #3'!D33</f>
        <v>0</v>
      </c>
      <c r="F28" s="17">
        <f>'GENSET #4'!D33</f>
        <v>2074</v>
      </c>
      <c r="G28" s="17">
        <f>'GENSET #5'!D33</f>
        <v>8084</v>
      </c>
      <c r="H28" s="102">
        <f t="shared" si="0"/>
        <v>24159</v>
      </c>
    </row>
    <row r="29" spans="2:8" x14ac:dyDescent="0.2">
      <c r="B29" s="98">
        <v>25</v>
      </c>
      <c r="C29" s="99">
        <f>'GENSET #1'!D34</f>
        <v>8815</v>
      </c>
      <c r="D29" s="99">
        <f>'GENSET #2'!D34</f>
        <v>6189</v>
      </c>
      <c r="E29" s="99">
        <f>'GENSET #3'!D34</f>
        <v>0</v>
      </c>
      <c r="F29" s="99">
        <f>'GENSET #4'!D34</f>
        <v>1438</v>
      </c>
      <c r="G29" s="99">
        <f>'GENSET #5'!D34</f>
        <v>8673</v>
      </c>
      <c r="H29" s="102">
        <f t="shared" si="0"/>
        <v>25115</v>
      </c>
    </row>
    <row r="30" spans="2:8" x14ac:dyDescent="0.2">
      <c r="B30" s="93">
        <v>26</v>
      </c>
      <c r="C30" s="17">
        <f>'GENSET #1'!D35</f>
        <v>6479</v>
      </c>
      <c r="D30" s="17">
        <f>'GENSET #2'!D35</f>
        <v>8187</v>
      </c>
      <c r="E30" s="17">
        <f>'GENSET #3'!D35</f>
        <v>0</v>
      </c>
      <c r="F30" s="17">
        <f>'GENSET #4'!D35</f>
        <v>2200</v>
      </c>
      <c r="G30" s="17">
        <f>'GENSET #5'!D35</f>
        <v>6429</v>
      </c>
      <c r="H30" s="102">
        <f t="shared" si="0"/>
        <v>23295</v>
      </c>
    </row>
    <row r="31" spans="2:8" x14ac:dyDescent="0.2">
      <c r="B31" s="98">
        <v>27</v>
      </c>
      <c r="C31" s="99">
        <f>'GENSET #1'!D36</f>
        <v>7306</v>
      </c>
      <c r="D31" s="99">
        <f>'GENSET #2'!D36</f>
        <v>6988</v>
      </c>
      <c r="E31" s="99">
        <f>'GENSET #3'!D36</f>
        <v>0</v>
      </c>
      <c r="F31" s="99">
        <f>'GENSET #4'!D36</f>
        <v>2388</v>
      </c>
      <c r="G31" s="99">
        <f>'GENSET #5'!D36</f>
        <v>7268</v>
      </c>
      <c r="H31" s="102">
        <f t="shared" si="0"/>
        <v>23950</v>
      </c>
    </row>
    <row r="32" spans="2:8" x14ac:dyDescent="0.2">
      <c r="B32" s="93">
        <v>28</v>
      </c>
      <c r="C32" s="17">
        <f>'GENSET #1'!D37</f>
        <v>8674</v>
      </c>
      <c r="D32" s="17">
        <f>'GENSET #2'!D37</f>
        <v>8463</v>
      </c>
      <c r="E32" s="17">
        <f>'GENSET #3'!D37</f>
        <v>0</v>
      </c>
      <c r="F32" s="17">
        <f>'GENSET #4'!D37</f>
        <v>0</v>
      </c>
      <c r="G32" s="17">
        <f>'GENSET #5'!D37</f>
        <v>5955</v>
      </c>
      <c r="H32" s="102">
        <f t="shared" si="0"/>
        <v>23092</v>
      </c>
    </row>
    <row r="33" spans="1:8" x14ac:dyDescent="0.2">
      <c r="B33" s="98">
        <v>29</v>
      </c>
      <c r="C33" s="99">
        <f>'GENSET #1'!D38</f>
        <v>6167</v>
      </c>
      <c r="D33" s="99">
        <f>'GENSET #2'!D38</f>
        <v>8727</v>
      </c>
      <c r="E33" s="99">
        <f>'GENSET #3'!D38</f>
        <v>0</v>
      </c>
      <c r="F33" s="99">
        <f>'GENSET #4'!D38</f>
        <v>3166</v>
      </c>
      <c r="G33" s="99">
        <f>'GENSET #5'!D38</f>
        <v>6092</v>
      </c>
      <c r="H33" s="102">
        <f t="shared" si="0"/>
        <v>24152</v>
      </c>
    </row>
    <row r="34" spans="1:8" x14ac:dyDescent="0.2">
      <c r="B34" s="93">
        <v>30</v>
      </c>
      <c r="C34" s="17">
        <f>'GENSET #1'!D39</f>
        <v>6994</v>
      </c>
      <c r="D34" s="17">
        <f>'GENSET #2'!D39</f>
        <v>6959</v>
      </c>
      <c r="E34" s="17">
        <f>'GENSET #3'!D39</f>
        <v>0</v>
      </c>
      <c r="F34" s="17">
        <f>'GENSET #4'!D39</f>
        <v>326</v>
      </c>
      <c r="G34" s="17">
        <f>'GENSET #5'!D39</f>
        <v>6980</v>
      </c>
      <c r="H34" s="102">
        <f t="shared" si="0"/>
        <v>21259</v>
      </c>
    </row>
    <row r="35" spans="1:8" x14ac:dyDescent="0.2">
      <c r="B35" s="98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2" t="e">
        <f t="shared" si="0"/>
        <v>#REF!</v>
      </c>
    </row>
    <row r="36" spans="1:8" x14ac:dyDescent="0.2">
      <c r="A36" s="424" t="s">
        <v>75</v>
      </c>
      <c r="B36" s="424"/>
      <c r="C36" s="101" t="e">
        <f>SUM(C5:C35)</f>
        <v>#REF!</v>
      </c>
      <c r="D36" s="101" t="e">
        <f>SUM(D5:D35)</f>
        <v>#REF!</v>
      </c>
      <c r="E36" s="101" t="e">
        <f>SUM(E5:E35)</f>
        <v>#REF!</v>
      </c>
      <c r="F36" s="101" t="e">
        <f>SUM(F5:F35)</f>
        <v>#REF!</v>
      </c>
      <c r="G36" s="101" t="e">
        <f>SUM(G5:G35)</f>
        <v>#REF!</v>
      </c>
      <c r="H36" s="101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385">
        <v>44256</v>
      </c>
      <c r="C4" s="385"/>
      <c r="D4" s="9"/>
      <c r="E4" s="9"/>
      <c r="F4" s="94"/>
    </row>
    <row r="5" spans="1:10" ht="14.25" customHeight="1" x14ac:dyDescent="0.2">
      <c r="A5" s="6"/>
      <c r="B5" s="10"/>
      <c r="C5" s="10"/>
      <c r="D5" s="11"/>
      <c r="E5" s="9"/>
      <c r="F5" s="94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2" t="s">
        <v>52</v>
      </c>
    </row>
    <row r="9" spans="1:10" x14ac:dyDescent="0.2">
      <c r="A9" s="6">
        <v>1</v>
      </c>
      <c r="B9" s="7">
        <f>SUM('GENSET #1:GENSET #5'!D10)</f>
        <v>20108</v>
      </c>
      <c r="C9" s="7">
        <f>'Diesel consumption'!D5</f>
        <v>5680</v>
      </c>
      <c r="D9" s="2">
        <f>'SOLAR METER READING'!D9</f>
        <v>1894</v>
      </c>
      <c r="E9" s="7">
        <f>'Gas-2'!G6</f>
        <v>270</v>
      </c>
      <c r="F9" s="95">
        <f>WATER!V6</f>
        <v>303</v>
      </c>
      <c r="G9" s="97">
        <f>WATER!W6</f>
        <v>13.6</v>
      </c>
      <c r="H9" s="14">
        <f>B9/C9</f>
        <v>3.5401408450704226</v>
      </c>
      <c r="I9" s="14">
        <f>SUM(B9,D9)</f>
        <v>22002</v>
      </c>
      <c r="J9" s="3"/>
    </row>
    <row r="10" spans="1:10" x14ac:dyDescent="0.2">
      <c r="A10" s="6">
        <v>2</v>
      </c>
      <c r="B10" s="7">
        <f>SUM('GENSET #1:GENSET #5'!D11)</f>
        <v>20636</v>
      </c>
      <c r="C10" s="7">
        <f>'Diesel consumption'!D6</f>
        <v>5720</v>
      </c>
      <c r="D10" s="2">
        <f>'SOLAR METER READING'!D10</f>
        <v>2774</v>
      </c>
      <c r="E10" s="7">
        <f>'Gas-2'!G7</f>
        <v>270</v>
      </c>
      <c r="F10" s="95">
        <f>WATER!V7</f>
        <v>320</v>
      </c>
      <c r="G10" s="97">
        <f>WATER!W7</f>
        <v>14.6</v>
      </c>
      <c r="H10" s="14">
        <f t="shared" ref="H10:H38" si="0">B10/C10</f>
        <v>3.6076923076923078</v>
      </c>
      <c r="I10" s="14">
        <f t="shared" ref="I10:I40" si="1">SUM(B10,D10)</f>
        <v>23410</v>
      </c>
    </row>
    <row r="11" spans="1:10" x14ac:dyDescent="0.2">
      <c r="A11" s="6">
        <v>3</v>
      </c>
      <c r="B11" s="7">
        <f>SUM('GENSET #1:GENSET #5'!D12)</f>
        <v>20596</v>
      </c>
      <c r="C11" s="7">
        <f>'Diesel consumption'!D7</f>
        <v>5750</v>
      </c>
      <c r="D11" s="2">
        <f>'SOLAR METER READING'!D11</f>
        <v>2811</v>
      </c>
      <c r="E11" s="7">
        <f>'Gas-2'!G8</f>
        <v>225</v>
      </c>
      <c r="F11" s="95">
        <f>WATER!V8</f>
        <v>324</v>
      </c>
      <c r="G11" s="97">
        <f>WATER!W8</f>
        <v>14.6</v>
      </c>
      <c r="H11" s="14">
        <f t="shared" si="0"/>
        <v>3.5819130434782607</v>
      </c>
      <c r="I11" s="14">
        <f t="shared" si="1"/>
        <v>23407</v>
      </c>
    </row>
    <row r="12" spans="1:10" x14ac:dyDescent="0.2">
      <c r="A12" s="6">
        <v>4</v>
      </c>
      <c r="B12" s="7">
        <f>SUM('GENSET #1:GENSET #5'!D13)</f>
        <v>21482</v>
      </c>
      <c r="C12" s="7">
        <f>'Diesel consumption'!D8</f>
        <v>6090</v>
      </c>
      <c r="D12" s="2">
        <f>'SOLAR METER READING'!D12</f>
        <v>2109</v>
      </c>
      <c r="E12" s="7">
        <f>'Gas-2'!G9</f>
        <v>270</v>
      </c>
      <c r="F12" s="95">
        <f>WATER!V9</f>
        <v>299</v>
      </c>
      <c r="G12" s="97">
        <f>WATER!W9</f>
        <v>10.7</v>
      </c>
      <c r="H12" s="14">
        <f t="shared" si="0"/>
        <v>3.5274220032840722</v>
      </c>
      <c r="I12" s="14">
        <f t="shared" si="1"/>
        <v>23591</v>
      </c>
    </row>
    <row r="13" spans="1:10" x14ac:dyDescent="0.2">
      <c r="A13" s="6">
        <v>5</v>
      </c>
      <c r="B13" s="7">
        <f>SUM('GENSET #1:GENSET #5'!D14)</f>
        <v>20761</v>
      </c>
      <c r="C13" s="7">
        <f>'Diesel consumption'!D9</f>
        <v>5720</v>
      </c>
      <c r="D13" s="2">
        <f>'SOLAR METER READING'!D13</f>
        <v>879</v>
      </c>
      <c r="E13" s="7">
        <f>'Gas-2'!G10</f>
        <v>225</v>
      </c>
      <c r="F13" s="95">
        <f>WATER!V10</f>
        <v>265</v>
      </c>
      <c r="G13" s="97">
        <f>WATER!W10</f>
        <v>10.7</v>
      </c>
      <c r="H13" s="14">
        <f t="shared" si="0"/>
        <v>3.6295454545454544</v>
      </c>
      <c r="I13" s="14">
        <f t="shared" si="1"/>
        <v>21640</v>
      </c>
    </row>
    <row r="14" spans="1:10" x14ac:dyDescent="0.2">
      <c r="A14" s="6">
        <v>6</v>
      </c>
      <c r="B14" s="7">
        <f>SUM('GENSET #1:GENSET #5'!D15)</f>
        <v>18935</v>
      </c>
      <c r="C14" s="7">
        <f>'Diesel consumption'!D10</f>
        <v>5840</v>
      </c>
      <c r="D14" s="2">
        <f>'SOLAR METER READING'!D14</f>
        <v>1771</v>
      </c>
      <c r="E14" s="7">
        <f>'Gas-2'!G11</f>
        <v>180</v>
      </c>
      <c r="F14" s="95">
        <f>WATER!V11</f>
        <v>303</v>
      </c>
      <c r="G14" s="97">
        <f>WATER!W11</f>
        <v>13.6</v>
      </c>
      <c r="H14" s="14">
        <f t="shared" si="0"/>
        <v>3.2422945205479454</v>
      </c>
      <c r="I14" s="14">
        <f t="shared" si="1"/>
        <v>20706</v>
      </c>
    </row>
    <row r="15" spans="1:10" x14ac:dyDescent="0.2">
      <c r="A15" s="6">
        <v>7</v>
      </c>
      <c r="B15" s="7">
        <f>SUM('GENSET #1:GENSET #5'!D16)</f>
        <v>21386</v>
      </c>
      <c r="C15" s="7">
        <f>'Diesel consumption'!D11</f>
        <v>5120</v>
      </c>
      <c r="D15" s="2">
        <f>'SOLAR METER READING'!D15</f>
        <v>2577</v>
      </c>
      <c r="E15" s="7">
        <f>'Gas-2'!G12</f>
        <v>315</v>
      </c>
      <c r="F15" s="95">
        <f>WATER!V12</f>
        <v>283</v>
      </c>
      <c r="G15" s="97">
        <f>WATER!W12</f>
        <v>13.6</v>
      </c>
      <c r="H15" s="14">
        <f t="shared" si="0"/>
        <v>4.1769531249999998</v>
      </c>
      <c r="I15" s="14">
        <f t="shared" si="1"/>
        <v>23963</v>
      </c>
    </row>
    <row r="16" spans="1:10" x14ac:dyDescent="0.2">
      <c r="A16" s="6">
        <v>8</v>
      </c>
      <c r="B16" s="7">
        <f>SUM('GENSET #1:GENSET #5'!D17)</f>
        <v>21684</v>
      </c>
      <c r="C16" s="7">
        <f>'Diesel consumption'!D12</f>
        <v>6130</v>
      </c>
      <c r="D16" s="2">
        <f>'SOLAR METER READING'!D16</f>
        <v>2807</v>
      </c>
      <c r="E16" s="7">
        <f>'Gas-2'!G13</f>
        <v>225</v>
      </c>
      <c r="F16" s="95">
        <f>WATER!V13</f>
        <v>288</v>
      </c>
      <c r="G16" s="97">
        <f>WATER!W13</f>
        <v>15</v>
      </c>
      <c r="H16" s="14">
        <f t="shared" si="0"/>
        <v>3.5373572593800979</v>
      </c>
      <c r="I16" s="14">
        <f t="shared" si="1"/>
        <v>24491</v>
      </c>
    </row>
    <row r="17" spans="1:9" x14ac:dyDescent="0.2">
      <c r="A17" s="6">
        <v>9</v>
      </c>
      <c r="B17" s="7">
        <f>SUM('GENSET #1:GENSET #5'!D18)</f>
        <v>21231</v>
      </c>
      <c r="C17" s="7">
        <f>'Diesel consumption'!D13</f>
        <v>5750</v>
      </c>
      <c r="D17" s="2">
        <f>'SOLAR METER READING'!D17</f>
        <v>3178</v>
      </c>
      <c r="E17" s="7">
        <f>'Gas-2'!G14</f>
        <v>225</v>
      </c>
      <c r="F17" s="95">
        <f>WATER!V14</f>
        <v>429</v>
      </c>
      <c r="G17" s="97">
        <f>WATER!W14</f>
        <v>12</v>
      </c>
      <c r="H17" s="14">
        <f t="shared" si="0"/>
        <v>3.6923478260869564</v>
      </c>
      <c r="I17" s="14">
        <f t="shared" si="1"/>
        <v>24409</v>
      </c>
    </row>
    <row r="18" spans="1:9" x14ac:dyDescent="0.2">
      <c r="A18" s="6">
        <v>10</v>
      </c>
      <c r="B18" s="7">
        <f>SUM('GENSET #1:GENSET #5'!D19)</f>
        <v>22183</v>
      </c>
      <c r="C18" s="7">
        <f>'Diesel consumption'!D14</f>
        <v>6080</v>
      </c>
      <c r="D18" s="2">
        <f>'SOLAR METER READING'!D18</f>
        <v>3226</v>
      </c>
      <c r="E18" s="7">
        <f>'Gas-2'!G15</f>
        <v>270</v>
      </c>
      <c r="F18" s="95">
        <f>WATER!V15</f>
        <v>199</v>
      </c>
      <c r="G18" s="97">
        <f>WATER!W15</f>
        <v>12</v>
      </c>
      <c r="H18" s="14">
        <f t="shared" si="0"/>
        <v>3.6485197368421054</v>
      </c>
      <c r="I18" s="14">
        <f t="shared" si="1"/>
        <v>25409</v>
      </c>
    </row>
    <row r="19" spans="1:9" x14ac:dyDescent="0.2">
      <c r="A19" s="6">
        <v>11</v>
      </c>
      <c r="B19" s="7">
        <f>SUM('GENSET #1:GENSET #5'!D20)</f>
        <v>22242</v>
      </c>
      <c r="C19" s="7">
        <f>'Diesel consumption'!D15</f>
        <v>6250</v>
      </c>
      <c r="D19" s="2">
        <f>'SOLAR METER READING'!D19</f>
        <v>3172</v>
      </c>
      <c r="E19" s="7">
        <f>'Gas-2'!G16</f>
        <v>225</v>
      </c>
      <c r="F19" s="95">
        <f>WATER!V16</f>
        <v>319</v>
      </c>
      <c r="G19" s="97">
        <f>WATER!W16</f>
        <v>11</v>
      </c>
      <c r="H19" s="14">
        <f t="shared" si="0"/>
        <v>3.5587200000000001</v>
      </c>
      <c r="I19" s="14">
        <f t="shared" si="1"/>
        <v>25414</v>
      </c>
    </row>
    <row r="20" spans="1:9" x14ac:dyDescent="0.2">
      <c r="A20" s="6">
        <v>12</v>
      </c>
      <c r="B20" s="7">
        <f>SUM('GENSET #1:GENSET #5'!D21)</f>
        <v>22436</v>
      </c>
      <c r="C20" s="7">
        <f>'Diesel consumption'!D16</f>
        <v>5990</v>
      </c>
      <c r="D20" s="2">
        <f>'SOLAR METER READING'!D20</f>
        <v>3237</v>
      </c>
      <c r="E20" s="7">
        <f>'Gas-2'!G17</f>
        <v>225</v>
      </c>
      <c r="F20" s="95">
        <f>WATER!V17</f>
        <v>302</v>
      </c>
      <c r="G20" s="97">
        <f>WATER!W17</f>
        <v>14</v>
      </c>
      <c r="H20" s="14">
        <f t="shared" si="0"/>
        <v>3.7455759599332219</v>
      </c>
      <c r="I20" s="14">
        <f t="shared" si="1"/>
        <v>25673</v>
      </c>
    </row>
    <row r="21" spans="1:9" x14ac:dyDescent="0.2">
      <c r="A21" s="6">
        <v>13</v>
      </c>
      <c r="B21" s="7">
        <f>SUM('GENSET #1:GENSET #5'!D22)</f>
        <v>22085</v>
      </c>
      <c r="C21" s="7">
        <f>'Diesel consumption'!D17</f>
        <v>6140</v>
      </c>
      <c r="D21" s="2">
        <f>'SOLAR METER READING'!D21</f>
        <v>3356</v>
      </c>
      <c r="E21" s="7">
        <f>'Gas-2'!G18</f>
        <v>270</v>
      </c>
      <c r="F21" s="95">
        <f>WATER!V18</f>
        <v>342</v>
      </c>
      <c r="G21" s="97">
        <f>WATER!W18</f>
        <v>12</v>
      </c>
      <c r="H21" s="14">
        <f t="shared" si="0"/>
        <v>3.5969055374592833</v>
      </c>
      <c r="I21" s="14">
        <f t="shared" si="1"/>
        <v>25441</v>
      </c>
    </row>
    <row r="22" spans="1:9" x14ac:dyDescent="0.2">
      <c r="A22" s="6">
        <v>14</v>
      </c>
      <c r="B22" s="7">
        <f>SUM('GENSET #1:GENSET #5'!D23)</f>
        <v>21264</v>
      </c>
      <c r="C22" s="7">
        <f>'Diesel consumption'!D18</f>
        <v>6090</v>
      </c>
      <c r="D22" s="2">
        <f>'SOLAR METER READING'!D22</f>
        <v>3023</v>
      </c>
      <c r="E22" s="7">
        <f>'Gas-2'!G19</f>
        <v>225</v>
      </c>
      <c r="F22" s="95">
        <f>WATER!V19</f>
        <v>296</v>
      </c>
      <c r="G22" s="97">
        <f>WATER!W19</f>
        <v>13</v>
      </c>
      <c r="H22" s="14">
        <f t="shared" si="0"/>
        <v>3.4916256157635468</v>
      </c>
      <c r="I22" s="14">
        <f t="shared" si="1"/>
        <v>24287</v>
      </c>
    </row>
    <row r="23" spans="1:9" x14ac:dyDescent="0.2">
      <c r="A23" s="6">
        <v>15</v>
      </c>
      <c r="B23" s="7">
        <f>SUM('GENSET #1:GENSET #5'!D24)</f>
        <v>22800</v>
      </c>
      <c r="C23" s="7">
        <f>'Diesel consumption'!D19</f>
        <v>6450</v>
      </c>
      <c r="D23" s="2">
        <f>'SOLAR METER READING'!D23</f>
        <v>2910</v>
      </c>
      <c r="E23" s="7">
        <f>'Gas-2'!G20</f>
        <v>225</v>
      </c>
      <c r="F23" s="95">
        <f>WATER!V20</f>
        <v>361</v>
      </c>
      <c r="G23" s="97">
        <f>WATER!W20</f>
        <v>12</v>
      </c>
      <c r="H23" s="14">
        <f t="shared" si="0"/>
        <v>3.5348837209302326</v>
      </c>
      <c r="I23" s="14">
        <f t="shared" si="1"/>
        <v>25710</v>
      </c>
    </row>
    <row r="24" spans="1:9" x14ac:dyDescent="0.2">
      <c r="A24" s="6">
        <v>16</v>
      </c>
      <c r="B24" s="7">
        <f>SUM('GENSET #1:GENSET #5'!D25)</f>
        <v>21865</v>
      </c>
      <c r="C24" s="7">
        <f>'Diesel consumption'!D20</f>
        <v>6200</v>
      </c>
      <c r="D24" s="2">
        <f>'SOLAR METER READING'!D24</f>
        <v>3105</v>
      </c>
      <c r="E24" s="7">
        <f>'Gas-2'!G21</f>
        <v>180</v>
      </c>
      <c r="F24" s="95">
        <f>WATER!V21</f>
        <v>370</v>
      </c>
      <c r="G24" s="97">
        <f>WATER!W21</f>
        <v>15</v>
      </c>
      <c r="H24" s="14">
        <f t="shared" si="0"/>
        <v>3.5266129032258067</v>
      </c>
      <c r="I24" s="14">
        <f t="shared" si="1"/>
        <v>24970</v>
      </c>
    </row>
    <row r="25" spans="1:9" x14ac:dyDescent="0.2">
      <c r="A25" s="6">
        <v>17</v>
      </c>
      <c r="B25" s="7">
        <f>SUM('GENSET #1:GENSET #5'!D26)</f>
        <v>22668</v>
      </c>
      <c r="C25" s="7">
        <f>'Diesel consumption'!D21</f>
        <v>6300</v>
      </c>
      <c r="D25" s="2">
        <f>'SOLAR METER READING'!D25</f>
        <v>3385</v>
      </c>
      <c r="E25" s="7">
        <f>'Gas-2'!G22</f>
        <v>270</v>
      </c>
      <c r="F25" s="95">
        <f>WATER!V22</f>
        <v>345</v>
      </c>
      <c r="G25" s="97">
        <f>WATER!W22</f>
        <v>16</v>
      </c>
      <c r="H25" s="14">
        <f t="shared" si="0"/>
        <v>3.598095238095238</v>
      </c>
      <c r="I25" s="14">
        <f t="shared" si="1"/>
        <v>26053</v>
      </c>
    </row>
    <row r="26" spans="1:9" x14ac:dyDescent="0.2">
      <c r="A26" s="6">
        <v>18</v>
      </c>
      <c r="B26" s="7">
        <f>SUM('GENSET #1:GENSET #5'!D27)</f>
        <v>22429</v>
      </c>
      <c r="C26" s="7">
        <f>'Diesel consumption'!D22</f>
        <v>6380</v>
      </c>
      <c r="D26" s="2">
        <f>'SOLAR METER READING'!D26</f>
        <v>3070</v>
      </c>
      <c r="E26" s="7">
        <f>'Gas-2'!G23</f>
        <v>270</v>
      </c>
      <c r="F26" s="95">
        <f>WATER!V23</f>
        <v>350</v>
      </c>
      <c r="G26" s="97">
        <f>WATER!W23</f>
        <v>17</v>
      </c>
      <c r="H26" s="14">
        <f t="shared" si="0"/>
        <v>3.5155172413793103</v>
      </c>
      <c r="I26" s="14">
        <f t="shared" si="1"/>
        <v>25499</v>
      </c>
    </row>
    <row r="27" spans="1:9" x14ac:dyDescent="0.2">
      <c r="A27" s="6">
        <v>19</v>
      </c>
      <c r="B27" s="7">
        <f>SUM('GENSET #1:GENSET #5'!D28)</f>
        <v>23461</v>
      </c>
      <c r="C27" s="7">
        <f>'Diesel consumption'!D23</f>
        <v>6600</v>
      </c>
      <c r="D27" s="2">
        <f>'SOLAR METER READING'!D27</f>
        <v>3158</v>
      </c>
      <c r="E27" s="7">
        <f>'Gas-2'!G24</f>
        <v>270</v>
      </c>
      <c r="F27" s="95">
        <f>WATER!V24</f>
        <v>339</v>
      </c>
      <c r="G27" s="97">
        <f>WATER!W24</f>
        <v>15.5</v>
      </c>
      <c r="H27" s="14">
        <f t="shared" si="0"/>
        <v>3.5546969696969697</v>
      </c>
      <c r="I27" s="14">
        <f t="shared" si="1"/>
        <v>26619</v>
      </c>
    </row>
    <row r="28" spans="1:9" x14ac:dyDescent="0.2">
      <c r="A28" s="6">
        <v>20</v>
      </c>
      <c r="B28" s="7">
        <f>SUM('GENSET #1:GENSET #5'!D29)</f>
        <v>22096</v>
      </c>
      <c r="C28" s="7">
        <f>'Diesel consumption'!D24</f>
        <v>6320</v>
      </c>
      <c r="D28" s="2">
        <f>'SOLAR METER READING'!D28</f>
        <v>1431</v>
      </c>
      <c r="E28" s="7">
        <f>'Gas-2'!G25</f>
        <v>315</v>
      </c>
      <c r="F28" s="95">
        <f>WATER!V25</f>
        <v>327</v>
      </c>
      <c r="G28" s="97">
        <f>WATER!W25</f>
        <v>12.6</v>
      </c>
      <c r="H28" s="14">
        <f t="shared" si="0"/>
        <v>3.4962025316455696</v>
      </c>
      <c r="I28" s="14">
        <f t="shared" si="1"/>
        <v>23527</v>
      </c>
    </row>
    <row r="29" spans="1:9" x14ac:dyDescent="0.2">
      <c r="A29" s="6">
        <v>21</v>
      </c>
      <c r="B29" s="7">
        <f>SUM('GENSET #1:GENSET #5'!D30)</f>
        <v>20693</v>
      </c>
      <c r="C29" s="7">
        <f>'Diesel consumption'!D25</f>
        <v>5990</v>
      </c>
      <c r="D29" s="2">
        <f>'SOLAR METER READING'!D29</f>
        <v>3265</v>
      </c>
      <c r="E29" s="7">
        <f>'Gas-2'!G26</f>
        <v>270</v>
      </c>
      <c r="F29" s="95">
        <f>WATER!V26</f>
        <v>239</v>
      </c>
      <c r="G29" s="97">
        <f>WATER!W26</f>
        <v>21.4</v>
      </c>
      <c r="H29" s="14">
        <f t="shared" si="0"/>
        <v>3.4545909849749581</v>
      </c>
      <c r="I29" s="14">
        <f t="shared" si="1"/>
        <v>23958</v>
      </c>
    </row>
    <row r="30" spans="1:9" x14ac:dyDescent="0.2">
      <c r="A30" s="6">
        <v>22</v>
      </c>
      <c r="B30" s="7">
        <f>SUM('GENSET #1:GENSET #5'!D31)</f>
        <v>21286</v>
      </c>
      <c r="C30" s="7">
        <f>'Diesel consumption'!D26</f>
        <v>6050</v>
      </c>
      <c r="D30" s="2">
        <f>'SOLAR METER READING'!D30</f>
        <v>3371</v>
      </c>
      <c r="E30" s="7">
        <f>'Gas-2'!G27</f>
        <v>225</v>
      </c>
      <c r="F30" s="95">
        <f>WATER!V27</f>
        <v>185</v>
      </c>
      <c r="G30" s="97">
        <f>WATER!W27</f>
        <v>26.2</v>
      </c>
      <c r="H30" s="14">
        <f t="shared" si="0"/>
        <v>3.5183471074380166</v>
      </c>
      <c r="I30" s="14">
        <f t="shared" si="1"/>
        <v>24657</v>
      </c>
    </row>
    <row r="31" spans="1:9" x14ac:dyDescent="0.2">
      <c r="A31" s="6">
        <v>23</v>
      </c>
      <c r="B31" s="7">
        <f>SUM('GENSET #1:GENSET #5'!D32)</f>
        <v>22866</v>
      </c>
      <c r="C31" s="7">
        <f>'Diesel consumption'!D27</f>
        <v>6610</v>
      </c>
      <c r="D31" s="2">
        <f>'SOLAR METER READING'!D31</f>
        <v>3315</v>
      </c>
      <c r="E31" s="7">
        <f>'Gas-2'!G28</f>
        <v>225</v>
      </c>
      <c r="F31" s="95">
        <f>WATER!V28</f>
        <v>288</v>
      </c>
      <c r="G31" s="97">
        <f>WATER!W28</f>
        <v>26.2</v>
      </c>
      <c r="H31" s="14">
        <f t="shared" si="0"/>
        <v>3.4593040847201211</v>
      </c>
      <c r="I31" s="14">
        <f t="shared" si="1"/>
        <v>26181</v>
      </c>
    </row>
    <row r="32" spans="1:9" x14ac:dyDescent="0.2">
      <c r="A32" s="6">
        <v>24</v>
      </c>
      <c r="B32" s="7">
        <f>SUM('GENSET #1:GENSET #5'!D33)</f>
        <v>24159</v>
      </c>
      <c r="C32" s="7">
        <f>'Diesel consumption'!D28</f>
        <v>6840</v>
      </c>
      <c r="D32" s="2">
        <f>'SOLAR METER READING'!D32</f>
        <v>3113</v>
      </c>
      <c r="E32" s="7">
        <f>'Gas-2'!G29</f>
        <v>270</v>
      </c>
      <c r="F32" s="95">
        <f>WATER!V29</f>
        <v>310</v>
      </c>
      <c r="G32" s="97">
        <f>WATER!W29</f>
        <v>26.2</v>
      </c>
      <c r="H32" s="14">
        <f t="shared" si="0"/>
        <v>3.5320175438596491</v>
      </c>
      <c r="I32" s="14">
        <f t="shared" si="1"/>
        <v>27272</v>
      </c>
    </row>
    <row r="33" spans="1:9" x14ac:dyDescent="0.2">
      <c r="A33" s="6">
        <v>25</v>
      </c>
      <c r="B33" s="7">
        <f>SUM('GENSET #1:GENSET #5'!D34)</f>
        <v>25115</v>
      </c>
      <c r="C33" s="7">
        <f>'Diesel consumption'!D29</f>
        <v>7150</v>
      </c>
      <c r="D33" s="2">
        <f>'SOLAR METER READING'!D33</f>
        <v>2944</v>
      </c>
      <c r="E33" s="7">
        <f>'Gas-2'!G30</f>
        <v>180</v>
      </c>
      <c r="F33" s="95">
        <f>WATER!V30</f>
        <v>328</v>
      </c>
      <c r="G33" s="97">
        <f>WATER!W30</f>
        <v>23.8</v>
      </c>
      <c r="H33" s="14">
        <f t="shared" si="0"/>
        <v>3.5125874125874126</v>
      </c>
      <c r="I33" s="14">
        <f t="shared" si="1"/>
        <v>28059</v>
      </c>
    </row>
    <row r="34" spans="1:9" x14ac:dyDescent="0.2">
      <c r="A34" s="6">
        <v>26</v>
      </c>
      <c r="B34" s="7">
        <f>SUM('GENSET #1:GENSET #5'!D35)</f>
        <v>23295</v>
      </c>
      <c r="C34" s="7">
        <f>'Diesel consumption'!D30</f>
        <v>6720</v>
      </c>
      <c r="D34" s="2">
        <f>'SOLAR METER READING'!D34</f>
        <v>3103</v>
      </c>
      <c r="E34" s="7">
        <f>'Gas-2'!G31</f>
        <v>225</v>
      </c>
      <c r="F34" s="95">
        <f>WATER!V31</f>
        <v>350</v>
      </c>
      <c r="G34" s="97">
        <f>WATER!W31</f>
        <v>11.7</v>
      </c>
      <c r="H34" s="14">
        <f t="shared" si="0"/>
        <v>3.4665178571428572</v>
      </c>
      <c r="I34" s="14">
        <f t="shared" si="1"/>
        <v>26398</v>
      </c>
    </row>
    <row r="35" spans="1:9" x14ac:dyDescent="0.2">
      <c r="A35" s="6">
        <v>27</v>
      </c>
      <c r="B35" s="7">
        <f>SUM('GENSET #1:GENSET #5'!D36)</f>
        <v>23950</v>
      </c>
      <c r="C35" s="7">
        <f>'Diesel consumption'!D31</f>
        <v>6720</v>
      </c>
      <c r="D35" s="2">
        <f>'SOLAR METER READING'!D35</f>
        <v>3181</v>
      </c>
      <c r="E35" s="7">
        <f>'Gas-2'!G32</f>
        <v>270</v>
      </c>
      <c r="F35" s="95">
        <f>WATER!V32</f>
        <v>297</v>
      </c>
      <c r="G35" s="97">
        <f>WATER!W32</f>
        <v>14.6</v>
      </c>
      <c r="H35" s="14">
        <f t="shared" si="0"/>
        <v>3.5639880952380953</v>
      </c>
      <c r="I35" s="14">
        <f t="shared" si="1"/>
        <v>27131</v>
      </c>
    </row>
    <row r="36" spans="1:9" x14ac:dyDescent="0.2">
      <c r="A36" s="6">
        <v>28</v>
      </c>
      <c r="B36" s="7">
        <f>SUM('GENSET #1:GENSET #5'!D37)</f>
        <v>23092</v>
      </c>
      <c r="C36" s="7">
        <f>'Diesel consumption'!D32</f>
        <v>6690</v>
      </c>
      <c r="D36" s="2">
        <f>'SOLAR METER READING'!D36</f>
        <v>3182</v>
      </c>
      <c r="E36" s="7">
        <f>'Gas-2'!G33</f>
        <v>180</v>
      </c>
      <c r="F36" s="95">
        <f>WATER!V33</f>
        <v>290</v>
      </c>
      <c r="G36" s="97">
        <f>WATER!W33</f>
        <v>16.5</v>
      </c>
      <c r="H36" s="14">
        <f t="shared" si="0"/>
        <v>3.4517189835575484</v>
      </c>
      <c r="I36" s="14">
        <f t="shared" si="1"/>
        <v>26274</v>
      </c>
    </row>
    <row r="37" spans="1:9" x14ac:dyDescent="0.2">
      <c r="A37" s="6">
        <v>29</v>
      </c>
      <c r="B37" s="7">
        <f>SUM('GENSET #1:GENSET #5'!D38)</f>
        <v>24152</v>
      </c>
      <c r="C37" s="7">
        <f>'Diesel consumption'!D33</f>
        <v>6850</v>
      </c>
      <c r="D37" s="2">
        <f>'SOLAR METER READING'!D37</f>
        <v>3173</v>
      </c>
      <c r="E37" s="7">
        <f>'Gas-2'!G34</f>
        <v>270</v>
      </c>
      <c r="F37" s="95">
        <f>WATER!V34</f>
        <v>373</v>
      </c>
      <c r="G37" s="97">
        <f>WATER!W34</f>
        <v>17.5</v>
      </c>
      <c r="H37" s="14">
        <f t="shared" si="0"/>
        <v>3.5258394160583943</v>
      </c>
      <c r="I37" s="14">
        <f t="shared" si="1"/>
        <v>27325</v>
      </c>
    </row>
    <row r="38" spans="1:9" x14ac:dyDescent="0.2">
      <c r="A38" s="6">
        <v>30</v>
      </c>
      <c r="B38" s="7">
        <f>SUM('GENSET #1:GENSET #5'!D39)</f>
        <v>21259</v>
      </c>
      <c r="C38" s="7">
        <f>'Diesel consumption'!D34</f>
        <v>5960</v>
      </c>
      <c r="D38" s="2">
        <f>'SOLAR METER READING'!D38</f>
        <v>1749</v>
      </c>
      <c r="E38" s="7">
        <f>'Gas-2'!G35</f>
        <v>225</v>
      </c>
      <c r="F38" s="95">
        <f>WATER!V35</f>
        <v>269</v>
      </c>
      <c r="G38" s="97">
        <f>WATER!W35</f>
        <v>0</v>
      </c>
      <c r="H38" s="14">
        <f t="shared" si="0"/>
        <v>3.5669463087248321</v>
      </c>
      <c r="I38" s="14">
        <f t="shared" si="1"/>
        <v>23008</v>
      </c>
    </row>
    <row r="39" spans="1:9" x14ac:dyDescent="0.2">
      <c r="A39" s="15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95">
        <f>WATER!V36</f>
        <v>0</v>
      </c>
      <c r="G39" s="97">
        <f>WATER!W36</f>
        <v>0</v>
      </c>
      <c r="H39" s="14"/>
      <c r="I39" s="14"/>
    </row>
    <row r="40" spans="1:9" ht="13.5" thickBot="1" x14ac:dyDescent="0.25">
      <c r="A40" s="1" t="s">
        <v>7</v>
      </c>
      <c r="B40" s="16">
        <f>SUM(B9:B39)</f>
        <v>662215</v>
      </c>
      <c r="C40" s="16" t="e">
        <f>SUM(C9:C39)</f>
        <v>#REF!</v>
      </c>
      <c r="D40" s="16" t="e">
        <f>SUM(D9:D39)</f>
        <v>#REF!</v>
      </c>
      <c r="E40" s="16">
        <f>SUM(E9:E39)</f>
        <v>7290</v>
      </c>
      <c r="F40" s="96">
        <f>SUM(F9:F39)</f>
        <v>9293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2022-09-03T04:04:49Z</cp:lastPrinted>
  <dcterms:created xsi:type="dcterms:W3CDTF">2018-12-01T06:13:40Z</dcterms:created>
  <dcterms:modified xsi:type="dcterms:W3CDTF">2023-02-22T04:20:46Z</dcterms:modified>
</cp:coreProperties>
</file>