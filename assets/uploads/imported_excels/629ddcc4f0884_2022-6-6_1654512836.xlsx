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bookViews>
    <workbookView xWindow="0" yWindow="0" windowWidth="28800" windowHeight="121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02" l="1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8" i="102"/>
  <c r="H20" i="106" l="1"/>
  <c r="F39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4" i="117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" i="117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G23" i="102"/>
  <c r="G25" i="102"/>
  <c r="G28" i="102"/>
  <c r="G30" i="102"/>
  <c r="G34" i="102"/>
  <c r="G37" i="102"/>
  <c r="D39" i="116"/>
  <c r="C39" i="116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J19" i="109" s="1"/>
  <c r="I39" i="106"/>
  <c r="G39" i="106"/>
  <c r="E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39" i="109"/>
  <c r="C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39" i="106"/>
  <c r="D39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8" i="102"/>
  <c r="D38" i="102"/>
  <c r="G10" i="109"/>
  <c r="O39" i="109"/>
  <c r="Q39" i="109" s="1"/>
  <c r="E26" i="117" l="1"/>
  <c r="K30" i="106"/>
  <c r="L30" i="106" s="1"/>
  <c r="K18" i="106"/>
  <c r="L18" i="106" s="1"/>
  <c r="I40" i="106"/>
  <c r="K10" i="106"/>
  <c r="L10" i="106" s="1"/>
  <c r="E16" i="117"/>
  <c r="E30" i="117"/>
  <c r="K15" i="106"/>
  <c r="L15" i="106" s="1"/>
  <c r="K27" i="106"/>
  <c r="L27" i="106" s="1"/>
  <c r="K38" i="106"/>
  <c r="L38" i="106" s="1"/>
  <c r="E12" i="117"/>
  <c r="E15" i="117"/>
  <c r="E25" i="117"/>
  <c r="E23" i="117"/>
  <c r="E13" i="117"/>
  <c r="K31" i="106"/>
  <c r="L31" i="106" s="1"/>
  <c r="K32" i="106"/>
  <c r="L32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J39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K37" i="102"/>
  <c r="L37" i="102" s="1"/>
  <c r="E9" i="117"/>
  <c r="G22" i="102"/>
  <c r="K22" i="102" s="1"/>
  <c r="L22" i="102" s="1"/>
  <c r="E5" i="117"/>
  <c r="E21" i="117"/>
  <c r="K10" i="102"/>
  <c r="L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K34" i="102"/>
  <c r="L34" i="102" s="1"/>
  <c r="E18" i="117"/>
  <c r="E27" i="117"/>
  <c r="G26" i="102"/>
  <c r="K26" i="102" s="1"/>
  <c r="L26" i="102" s="1"/>
  <c r="G20" i="102"/>
  <c r="K20" i="102" s="1"/>
  <c r="L20" i="102" s="1"/>
  <c r="K9" i="102"/>
  <c r="L9" i="102" s="1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G33" i="102"/>
  <c r="K33" i="102" s="1"/>
  <c r="L33" i="102" s="1"/>
  <c r="E17" i="117"/>
  <c r="K30" i="102"/>
  <c r="L30" i="102" s="1"/>
  <c r="K34" i="106"/>
  <c r="L34" i="106" s="1"/>
  <c r="K26" i="106"/>
  <c r="L26" i="106" s="1"/>
  <c r="K23" i="102"/>
  <c r="L23" i="102" s="1"/>
  <c r="J20" i="109"/>
  <c r="F39" i="116"/>
  <c r="J24" i="109"/>
  <c r="K13" i="102"/>
  <c r="L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L19" i="106" s="1"/>
  <c r="K24" i="106"/>
  <c r="L24" i="106" s="1"/>
  <c r="G33" i="116"/>
  <c r="H33" i="116" s="1"/>
  <c r="G37" i="116"/>
  <c r="H37" i="116" s="1"/>
  <c r="E22" i="117"/>
  <c r="G24" i="102"/>
  <c r="K24" i="102" s="1"/>
  <c r="L24" i="102" s="1"/>
  <c r="K17" i="102"/>
  <c r="L17" i="102" s="1"/>
  <c r="P8" i="109"/>
  <c r="J18" i="109"/>
  <c r="J25" i="109"/>
  <c r="J21" i="109"/>
  <c r="G8" i="102"/>
  <c r="K8" i="102" s="1"/>
  <c r="L8" i="102" s="1"/>
  <c r="J29" i="109"/>
  <c r="J36" i="109"/>
  <c r="J22" i="109"/>
  <c r="J35" i="109"/>
  <c r="J15" i="109"/>
  <c r="J34" i="109"/>
  <c r="J23" i="109"/>
  <c r="G15" i="102"/>
  <c r="K15" i="102" s="1"/>
  <c r="L15" i="102" s="1"/>
  <c r="G11" i="102"/>
  <c r="K11" i="102" s="1"/>
  <c r="L11" i="102" s="1"/>
  <c r="E4" i="117"/>
  <c r="E3" i="117"/>
  <c r="K14" i="106"/>
  <c r="L14" i="106" s="1"/>
  <c r="K20" i="106"/>
  <c r="L20" i="106" s="1"/>
  <c r="G34" i="116"/>
  <c r="H34" i="116" s="1"/>
  <c r="G29" i="102"/>
  <c r="K29" i="102" s="1"/>
  <c r="L29" i="102" s="1"/>
  <c r="G27" i="102"/>
  <c r="K27" i="102" s="1"/>
  <c r="L27" i="102" s="1"/>
  <c r="G19" i="102"/>
  <c r="K19" i="102" s="1"/>
  <c r="L19" i="102" s="1"/>
  <c r="E10" i="117"/>
  <c r="K28" i="102"/>
  <c r="L28" i="102" s="1"/>
  <c r="F38" i="102"/>
  <c r="E24" i="117"/>
  <c r="E19" i="117"/>
  <c r="G18" i="102"/>
  <c r="K18" i="102" s="1"/>
  <c r="L18" i="102" s="1"/>
  <c r="G14" i="102"/>
  <c r="K14" i="102" s="1"/>
  <c r="L14" i="102" s="1"/>
  <c r="G12" i="102"/>
  <c r="K12" i="102" s="1"/>
  <c r="L12" i="102" s="1"/>
  <c r="G36" i="102"/>
  <c r="K36" i="102" s="1"/>
  <c r="L36" i="102" s="1"/>
  <c r="G32" i="102"/>
  <c r="K32" i="102" s="1"/>
  <c r="L32" i="102" s="1"/>
  <c r="E11" i="117"/>
  <c r="I38" i="102"/>
  <c r="E28" i="117"/>
  <c r="G31" i="102"/>
  <c r="K31" i="102" s="1"/>
  <c r="L31" i="102" s="1"/>
  <c r="G21" i="102"/>
  <c r="K21" i="102" s="1"/>
  <c r="L21" i="102" s="1"/>
  <c r="G16" i="102"/>
  <c r="K16" i="102" s="1"/>
  <c r="L16" i="102" s="1"/>
  <c r="H39" i="116" l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39" i="106"/>
  <c r="O39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P32" i="109"/>
  <c r="P10" i="109"/>
  <c r="P11" i="109"/>
  <c r="P24" i="109"/>
  <c r="Q24" i="109" s="1"/>
  <c r="R24" i="109" s="1"/>
  <c r="P14" i="109"/>
  <c r="P13" i="109"/>
  <c r="Q13" i="109" s="1"/>
  <c r="R13" i="109" s="1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F21" i="117"/>
  <c r="J29" i="117"/>
  <c r="J26" i="117"/>
  <c r="F11" i="117"/>
  <c r="P35" i="109"/>
  <c r="P20" i="109"/>
  <c r="P34" i="109"/>
  <c r="J30" i="117"/>
  <c r="J25" i="117"/>
  <c r="F12" i="117"/>
  <c r="F2" i="117"/>
  <c r="L38" i="102"/>
  <c r="F26" i="117"/>
  <c r="F30" i="117"/>
  <c r="F6" i="117"/>
  <c r="K39" i="102"/>
  <c r="F10" i="117"/>
  <c r="F15" i="117"/>
  <c r="F25" i="117"/>
  <c r="F8" i="117"/>
  <c r="F22" i="117"/>
  <c r="Q32" i="109" l="1"/>
  <c r="R32" i="109" s="1"/>
  <c r="Q29" i="109"/>
  <c r="R29" i="109" s="1"/>
  <c r="Q21" i="109"/>
  <c r="R21" i="109" s="1"/>
  <c r="Q28" i="109"/>
  <c r="R28" i="109" s="1"/>
  <c r="Q9" i="109"/>
  <c r="R9" i="109" s="1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21" i="117"/>
  <c r="H6" i="117"/>
  <c r="H14" i="117"/>
  <c r="H17" i="117"/>
  <c r="M38" i="102"/>
  <c r="P38" i="102" s="1"/>
  <c r="H26" i="117" l="1"/>
  <c r="H10" i="117"/>
  <c r="H25" i="117"/>
  <c r="H22" i="117"/>
  <c r="H13" i="117"/>
  <c r="H24" i="117"/>
  <c r="H2" i="117"/>
  <c r="H7" i="117"/>
  <c r="H9" i="117"/>
  <c r="H31" i="117"/>
  <c r="H28" i="117"/>
  <c r="H27" i="117"/>
  <c r="H12" i="117"/>
  <c r="H19" i="117"/>
  <c r="H5" i="117"/>
  <c r="H15" i="117"/>
  <c r="H29" i="117"/>
  <c r="H11" i="117"/>
  <c r="H4" i="117"/>
  <c r="H16" i="117"/>
  <c r="H8" i="117"/>
  <c r="H18" i="117"/>
  <c r="H20" i="117"/>
  <c r="H23" i="117"/>
  <c r="R39" i="109"/>
  <c r="H30" i="117"/>
  <c r="H3" i="117"/>
</calcChain>
</file>

<file path=xl/sharedStrings.xml><?xml version="1.0" encoding="utf-8"?>
<sst xmlns="http://schemas.openxmlformats.org/spreadsheetml/2006/main" count="117" uniqueCount="58">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</sst>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Q21" sqref="Q2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4</v>
      </c>
      <c r="D2" s="64">
        <v>2021</v>
      </c>
      <c r="E2" s="66">
        <f>Electricity!F8+Electricity!I8</f>
        <v>6259.9999999999909</v>
      </c>
      <c r="F2" s="67">
        <f>Electricity!L8/TOTAL!E2</f>
        <v>1230.0284345047926</v>
      </c>
      <c r="G2" s="66">
        <f>Gas!F9+Gas!I9+Gas!L9+Gas!O9</f>
        <v>42.183599999999267</v>
      </c>
      <c r="H2" s="67">
        <f>Gas!Q9/TOTAL!G2</f>
        <v>14119.999999999998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182</v>
      </c>
      <c r="L2" s="67">
        <f>Water!K9/TOTAL!K2</f>
        <v>4000</v>
      </c>
      <c r="M2" s="66">
        <f>Electricity!C8</f>
        <v>3</v>
      </c>
      <c r="N2" s="66">
        <f>Electricity!D8</f>
        <v>16</v>
      </c>
    </row>
    <row r="3" spans="1:14" ht="15" x14ac:dyDescent="0.25">
      <c r="A3" s="63" t="s">
        <v>56</v>
      </c>
      <c r="B3" s="64">
        <f>B2+1</f>
        <v>2</v>
      </c>
      <c r="C3" s="65">
        <v>4</v>
      </c>
      <c r="D3" s="64">
        <v>2021</v>
      </c>
      <c r="E3" s="66">
        <f>Electricity!F9+Electricity!I9</f>
        <v>6480.0000000001037</v>
      </c>
      <c r="F3" s="67">
        <f>Electricity!L9/TOTAL!E3</f>
        <v>1233.9708333333331</v>
      </c>
      <c r="G3" s="66">
        <f>Gas!F10+Gas!I10+Gas!L10+Gas!O10</f>
        <v>42.183600000002926</v>
      </c>
      <c r="H3" s="67">
        <f>Gas!Q10/TOTAL!G3</f>
        <v>14119.999999999998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176</v>
      </c>
      <c r="L3" s="67">
        <f>Water!K10/TOTAL!K3</f>
        <v>4000</v>
      </c>
      <c r="M3" s="66">
        <f>Electricity!C9</f>
        <v>5</v>
      </c>
      <c r="N3" s="66">
        <f>Electricity!D9</f>
        <v>20</v>
      </c>
    </row>
    <row r="4" spans="1:14" ht="15" x14ac:dyDescent="0.25">
      <c r="A4" s="63" t="s">
        <v>56</v>
      </c>
      <c r="B4" s="64">
        <f t="shared" ref="B4:B31" si="0">B3+1</f>
        <v>3</v>
      </c>
      <c r="C4" s="65">
        <v>4</v>
      </c>
      <c r="D4" s="64">
        <v>2021</v>
      </c>
      <c r="E4" s="66">
        <f>Electricity!F10+Electricity!I10</f>
        <v>6479.9999999998472</v>
      </c>
      <c r="F4" s="67">
        <f>Electricity!L10/TOTAL!E4</f>
        <v>1233.9708333333344</v>
      </c>
      <c r="G4" s="66">
        <f>Gas!F11+Gas!I11+Gas!L11+Gas!O11</f>
        <v>41.498839999998971</v>
      </c>
      <c r="H4" s="67">
        <f>Gas!Q11/TOTAL!G4</f>
        <v>14120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203</v>
      </c>
      <c r="L4" s="67">
        <f>Water!K11/TOTAL!K4</f>
        <v>4000</v>
      </c>
      <c r="M4" s="66">
        <f>Electricity!C10</f>
        <v>6</v>
      </c>
      <c r="N4" s="66">
        <f>Electricity!D10</f>
        <v>25</v>
      </c>
    </row>
    <row r="5" spans="1:14" ht="15" x14ac:dyDescent="0.25">
      <c r="A5" s="63" t="s">
        <v>56</v>
      </c>
      <c r="B5" s="64">
        <f t="shared" si="0"/>
        <v>4</v>
      </c>
      <c r="C5" s="65">
        <v>4</v>
      </c>
      <c r="D5" s="64">
        <v>2021</v>
      </c>
      <c r="E5" s="66">
        <f>Electricity!F11+Electricity!I11</f>
        <v>6539.9999999999918</v>
      </c>
      <c r="F5" s="67">
        <f>Electricity!L11/TOTAL!E5</f>
        <v>1227.8750000000011</v>
      </c>
      <c r="G5" s="66">
        <f>Gas!F12+Gas!I12+Gas!L12+Gas!O12</f>
        <v>42.304439999998237</v>
      </c>
      <c r="H5" s="67">
        <f>Gas!Q12/TOTAL!G5</f>
        <v>14120.000000000002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191</v>
      </c>
      <c r="L5" s="67">
        <f>Water!K12/TOTAL!K5</f>
        <v>4000</v>
      </c>
      <c r="M5" s="66">
        <f>Electricity!C11</f>
        <v>6</v>
      </c>
      <c r="N5" s="66">
        <f>Electricity!D11</f>
        <v>28</v>
      </c>
    </row>
    <row r="6" spans="1:14" ht="15" x14ac:dyDescent="0.25">
      <c r="A6" s="63" t="s">
        <v>56</v>
      </c>
      <c r="B6" s="64">
        <f t="shared" si="0"/>
        <v>5</v>
      </c>
      <c r="C6" s="65">
        <v>4</v>
      </c>
      <c r="D6" s="64">
        <v>2021</v>
      </c>
      <c r="E6" s="66">
        <f>Electricity!F12+Electricity!I12</f>
        <v>6260.0000000000191</v>
      </c>
      <c r="F6" s="67">
        <f>Electricity!L12/TOTAL!E6</f>
        <v>1233.6675718849831</v>
      </c>
      <c r="G6" s="66">
        <f>Gas!F13+Gas!I13+Gas!L13+Gas!O13</f>
        <v>42.425280000000875</v>
      </c>
      <c r="H6" s="67">
        <f>Gas!Q13/TOTAL!G6</f>
        <v>14120</v>
      </c>
      <c r="I6" s="66">
        <f>'Fuel Diesel'!F13</f>
        <v>51</v>
      </c>
      <c r="J6" s="68">
        <f>'Fuel Diesel'!G13/'Fuel Diesel'!F13</f>
        <v>10700</v>
      </c>
      <c r="K6" s="66">
        <f>Water!E13+Water!G13+Water!I13</f>
        <v>181</v>
      </c>
      <c r="L6" s="67">
        <f>Water!K13/TOTAL!K6</f>
        <v>4000</v>
      </c>
      <c r="M6" s="66">
        <f>Electricity!C12</f>
        <v>3</v>
      </c>
      <c r="N6" s="66">
        <f>Electricity!D12</f>
        <v>25</v>
      </c>
    </row>
    <row r="7" spans="1:14" ht="15" x14ac:dyDescent="0.25">
      <c r="A7" s="63" t="s">
        <v>56</v>
      </c>
      <c r="B7" s="64">
        <f t="shared" si="0"/>
        <v>6</v>
      </c>
      <c r="C7" s="65">
        <v>4</v>
      </c>
      <c r="D7" s="64">
        <v>2021</v>
      </c>
      <c r="E7" s="66">
        <f>Electricity!F13+Electricity!I13</f>
        <v>6299.9999999999827</v>
      </c>
      <c r="F7" s="67">
        <f>Electricity!L13/TOTAL!E7</f>
        <v>1233.0668253968252</v>
      </c>
      <c r="G7" s="66">
        <f>Gas!F14+Gas!I14+Gas!L14+Gas!O14</f>
        <v>52.898079999998679</v>
      </c>
      <c r="H7" s="67">
        <f>Gas!Q14/TOTAL!G7</f>
        <v>14119.999999999998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186</v>
      </c>
      <c r="L7" s="67">
        <f>Water!K14/TOTAL!K7</f>
        <v>4000</v>
      </c>
      <c r="M7" s="66">
        <f>Electricity!C13</f>
        <v>3</v>
      </c>
      <c r="N7" s="66">
        <f>Electricity!D13</f>
        <v>17</v>
      </c>
    </row>
    <row r="8" spans="1:14" ht="15" x14ac:dyDescent="0.25">
      <c r="A8" s="63" t="s">
        <v>56</v>
      </c>
      <c r="B8" s="64">
        <f t="shared" si="0"/>
        <v>7</v>
      </c>
      <c r="C8" s="65">
        <v>4</v>
      </c>
      <c r="D8" s="64">
        <v>2021</v>
      </c>
      <c r="E8" s="66">
        <f>Electricity!F14+Electricity!I14</f>
        <v>6280.0000000000291</v>
      </c>
      <c r="F8" s="67">
        <f>Electricity!L14/TOTAL!E8</f>
        <v>1231.5524681528693</v>
      </c>
      <c r="G8" s="66">
        <f>Gas!F15+Gas!I15+Gas!L15+Gas!O15</f>
        <v>43.150320000002047</v>
      </c>
      <c r="H8" s="67">
        <f>Gas!Q15/TOTAL!G8</f>
        <v>14119.999999999998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201</v>
      </c>
      <c r="L8" s="67">
        <f>Water!K15/TOTAL!K8</f>
        <v>4000</v>
      </c>
      <c r="M8" s="66">
        <f>Electricity!C14</f>
        <v>2</v>
      </c>
      <c r="N8" s="66">
        <f>Electricity!D14</f>
        <v>16</v>
      </c>
    </row>
    <row r="9" spans="1:14" ht="15" x14ac:dyDescent="0.25">
      <c r="A9" s="63" t="s">
        <v>56</v>
      </c>
      <c r="B9" s="64">
        <f t="shared" si="0"/>
        <v>8</v>
      </c>
      <c r="C9" s="65">
        <v>4</v>
      </c>
      <c r="D9" s="64">
        <v>2021</v>
      </c>
      <c r="E9" s="66">
        <f>Electricity!F15+Electricity!I15</f>
        <v>6420.0000000000728</v>
      </c>
      <c r="F9" s="67">
        <f>Electricity!L15/TOTAL!E9</f>
        <v>1229.5352803738292</v>
      </c>
      <c r="G9" s="66">
        <f>Gas!F16+Gas!I16+Gas!L16+Gas!O16</f>
        <v>42.546119999999853</v>
      </c>
      <c r="H9" s="67">
        <f>Gas!Q16/TOTAL!G9</f>
        <v>14119.999999999998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181</v>
      </c>
      <c r="L9" s="67">
        <f>Water!K16/TOTAL!K9</f>
        <v>4000</v>
      </c>
      <c r="M9" s="66">
        <f>Electricity!C15</f>
        <v>4</v>
      </c>
      <c r="N9" s="66">
        <f>Electricity!D15</f>
        <v>13</v>
      </c>
    </row>
    <row r="10" spans="1:14" ht="15" x14ac:dyDescent="0.25">
      <c r="A10" s="63" t="s">
        <v>56</v>
      </c>
      <c r="B10" s="64">
        <f t="shared" si="0"/>
        <v>9</v>
      </c>
      <c r="C10" s="65">
        <v>4</v>
      </c>
      <c r="D10" s="64">
        <v>2021</v>
      </c>
      <c r="E10" s="66">
        <f>Electricity!F16+Electricity!I16</f>
        <v>6539.9999999999636</v>
      </c>
      <c r="F10" s="67">
        <f>Electricity!L16/TOTAL!E10</f>
        <v>1248.7749999999999</v>
      </c>
      <c r="G10" s="66">
        <f>Gas!F17+Gas!I17+Gas!L17+Gas!O17</f>
        <v>46.654680000001605</v>
      </c>
      <c r="H10" s="67">
        <f>Gas!Q17/TOTAL!G10</f>
        <v>14120.000000000002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211</v>
      </c>
      <c r="L10" s="67">
        <f>Water!K17/TOTAL!K10</f>
        <v>4000</v>
      </c>
      <c r="M10" s="66">
        <f>Electricity!C16</f>
        <v>8</v>
      </c>
      <c r="N10" s="66">
        <f>Electricity!D16</f>
        <v>20</v>
      </c>
    </row>
    <row r="11" spans="1:14" ht="15" x14ac:dyDescent="0.25">
      <c r="A11" s="63" t="s">
        <v>56</v>
      </c>
      <c r="B11" s="64">
        <f t="shared" si="0"/>
        <v>10</v>
      </c>
      <c r="C11" s="65">
        <v>4</v>
      </c>
      <c r="D11" s="64">
        <v>2021</v>
      </c>
      <c r="E11" s="66">
        <f>Electricity!F17+Electricity!I17</f>
        <v>6439.9999999999409</v>
      </c>
      <c r="F11" s="67">
        <f>Electricity!L17/TOTAL!E11</f>
        <v>1218.6420031055889</v>
      </c>
      <c r="G11" s="66">
        <f>Gas!F18+Gas!I18+Gas!L18+Gas!O18</f>
        <v>49.957639999996772</v>
      </c>
      <c r="H11" s="67">
        <f>Gas!Q18/TOTAL!G11</f>
        <v>14119.999999999998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186</v>
      </c>
      <c r="L11" s="67">
        <f>Water!K18/TOTAL!K11</f>
        <v>4000</v>
      </c>
      <c r="M11" s="66">
        <f>Electricity!C17</f>
        <v>6</v>
      </c>
      <c r="N11" s="66">
        <f>Electricity!D17</f>
        <v>39</v>
      </c>
    </row>
    <row r="12" spans="1:14" ht="15" x14ac:dyDescent="0.25">
      <c r="A12" s="63" t="s">
        <v>56</v>
      </c>
      <c r="B12" s="64">
        <f t="shared" si="0"/>
        <v>11</v>
      </c>
      <c r="C12" s="65">
        <v>4</v>
      </c>
      <c r="D12" s="64">
        <v>2021</v>
      </c>
      <c r="E12" s="66">
        <f>Electricity!F18+Electricity!I18</f>
        <v>6540.0000000000773</v>
      </c>
      <c r="F12" s="67">
        <f>Electricity!L18/TOTAL!E12</f>
        <v>1234.8416666666678</v>
      </c>
      <c r="G12" s="66">
        <f>Gas!F19+Gas!I19+Gas!L19+Gas!O19</f>
        <v>44.439280000000878</v>
      </c>
      <c r="H12" s="67">
        <f>Gas!Q19/TOTAL!G12</f>
        <v>14120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192</v>
      </c>
      <c r="L12" s="67">
        <f>Water!K19/TOTAL!K12</f>
        <v>4000</v>
      </c>
      <c r="M12" s="66">
        <f>Electricity!C18</f>
        <v>9</v>
      </c>
      <c r="N12" s="66">
        <f>Electricity!D18</f>
        <v>26</v>
      </c>
    </row>
    <row r="13" spans="1:14" ht="15" x14ac:dyDescent="0.25">
      <c r="A13" s="63" t="s">
        <v>56</v>
      </c>
      <c r="B13" s="64">
        <f t="shared" si="0"/>
        <v>12</v>
      </c>
      <c r="C13" s="65">
        <v>4</v>
      </c>
      <c r="D13" s="64">
        <v>2021</v>
      </c>
      <c r="E13" s="66">
        <f>Electricity!F19+Electricity!I19</f>
        <v>6520.0000000000955</v>
      </c>
      <c r="F13" s="67">
        <f>Electricity!L19/TOTAL!E13</f>
        <v>1235.13550613497</v>
      </c>
      <c r="G13" s="66">
        <f>Gas!F20+Gas!I20+Gas!L20+Gas!O20</f>
        <v>45.285160000001021</v>
      </c>
      <c r="H13" s="67">
        <f>Gas!Q20/TOTAL!G13</f>
        <v>14119.999999999998</v>
      </c>
      <c r="I13" s="66">
        <f>'Fuel Diesel'!F20</f>
        <v>10</v>
      </c>
      <c r="J13" s="68">
        <f>'Fuel Diesel'!G20/'Fuel Diesel'!F20</f>
        <v>10700</v>
      </c>
      <c r="K13" s="66">
        <f>Water!E20+Water!G20+Water!I20</f>
        <v>292</v>
      </c>
      <c r="L13" s="67">
        <f>Water!K20/TOTAL!K13</f>
        <v>4000</v>
      </c>
      <c r="M13" s="66">
        <f>Electricity!C19</f>
        <v>4</v>
      </c>
      <c r="N13" s="66">
        <f>Electricity!D19</f>
        <v>25</v>
      </c>
    </row>
    <row r="14" spans="1:14" ht="15" x14ac:dyDescent="0.25">
      <c r="A14" s="63" t="s">
        <v>56</v>
      </c>
      <c r="B14" s="64">
        <f t="shared" si="0"/>
        <v>13</v>
      </c>
      <c r="C14" s="65">
        <v>4</v>
      </c>
      <c r="D14" s="64">
        <v>2021</v>
      </c>
      <c r="E14" s="66">
        <f>Electricity!F20+Electricity!I20</f>
        <v>6539.9999999998499</v>
      </c>
      <c r="F14" s="67">
        <f>Electricity!L20/TOTAL!E14</f>
        <v>1238.3250000000012</v>
      </c>
      <c r="G14" s="66">
        <f>Gas!F21+Gas!I21+Gas!L21+Gas!O21</f>
        <v>53.341160000001018</v>
      </c>
      <c r="H14" s="67">
        <f>Gas!Q21/TOTAL!G14</f>
        <v>14120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313</v>
      </c>
      <c r="L14" s="67">
        <f>Water!K21/TOTAL!K14</f>
        <v>4000</v>
      </c>
      <c r="M14" s="66">
        <f>Electricity!C20</f>
        <v>6</v>
      </c>
      <c r="N14" s="66">
        <f>Electricity!D20</f>
        <v>37</v>
      </c>
    </row>
    <row r="15" spans="1:14" ht="15" x14ac:dyDescent="0.25">
      <c r="A15" s="63" t="s">
        <v>56</v>
      </c>
      <c r="B15" s="64">
        <f t="shared" si="0"/>
        <v>14</v>
      </c>
      <c r="C15" s="65">
        <v>4</v>
      </c>
      <c r="D15" s="64">
        <v>2021</v>
      </c>
      <c r="E15" s="66">
        <f>Electricity!F21+Electricity!I21</f>
        <v>6699.9999999999318</v>
      </c>
      <c r="F15" s="67">
        <f>Electricity!L21/TOTAL!E15</f>
        <v>1235.954253731343</v>
      </c>
      <c r="G15" s="66">
        <f>Gas!F22+Gas!I22+Gas!L22+Gas!O22</f>
        <v>49.635399999997063</v>
      </c>
      <c r="H15" s="67">
        <f>Gas!Q22/TOTAL!G15</f>
        <v>14120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270</v>
      </c>
      <c r="L15" s="67">
        <f>Water!K22/TOTAL!K15</f>
        <v>4000</v>
      </c>
      <c r="M15" s="66">
        <f>Electricity!C21</f>
        <v>7</v>
      </c>
      <c r="N15" s="66">
        <f>Electricity!D21</f>
        <v>35</v>
      </c>
    </row>
    <row r="16" spans="1:14" ht="15" x14ac:dyDescent="0.25">
      <c r="A16" s="63" t="s">
        <v>56</v>
      </c>
      <c r="B16" s="64">
        <f t="shared" si="0"/>
        <v>15</v>
      </c>
      <c r="C16" s="65">
        <v>4</v>
      </c>
      <c r="D16" s="64">
        <v>2021</v>
      </c>
      <c r="E16" s="66">
        <f>Electricity!F22+Electricity!I22</f>
        <v>6720.000000000141</v>
      </c>
      <c r="F16" s="67">
        <f>Electricity!L22/TOTAL!E16</f>
        <v>1232.2758184523809</v>
      </c>
      <c r="G16" s="66">
        <f>Gas!F23+Gas!I23+Gas!L23+Gas!O23</f>
        <v>49.232600000002925</v>
      </c>
      <c r="H16" s="67">
        <f>Gas!Q23/TOTAL!G16</f>
        <v>14120.000000000002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316</v>
      </c>
      <c r="L16" s="67">
        <f>Water!K23/TOTAL!K16</f>
        <v>4000</v>
      </c>
      <c r="M16" s="66">
        <f>Electricity!C22</f>
        <v>4</v>
      </c>
      <c r="N16" s="66">
        <f>Electricity!D22</f>
        <v>30</v>
      </c>
    </row>
    <row r="17" spans="1:14" ht="15" x14ac:dyDescent="0.25">
      <c r="A17" s="63" t="s">
        <v>56</v>
      </c>
      <c r="B17" s="64">
        <f t="shared" si="0"/>
        <v>16</v>
      </c>
      <c r="C17" s="65">
        <v>4</v>
      </c>
      <c r="D17" s="64">
        <v>2021</v>
      </c>
      <c r="E17" s="66">
        <f>Electricity!F23+Electricity!I23</f>
        <v>6860.0000000000136</v>
      </c>
      <c r="F17" s="67">
        <f>Electricity!L23/TOTAL!E17</f>
        <v>1235.3545189504346</v>
      </c>
      <c r="G17" s="66">
        <f>Gas!F24+Gas!I24+Gas!L24+Gas!O24</f>
        <v>55.757959999998825</v>
      </c>
      <c r="H17" s="67">
        <f>Gas!Q24/TOTAL!G17</f>
        <v>14120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307</v>
      </c>
      <c r="L17" s="67">
        <f>Water!K24/TOTAL!K17</f>
        <v>4000</v>
      </c>
      <c r="M17" s="66">
        <f>Electricity!C23</f>
        <v>6</v>
      </c>
      <c r="N17" s="66">
        <f>Electricity!D23</f>
        <v>32</v>
      </c>
    </row>
    <row r="18" spans="1:14" ht="15" x14ac:dyDescent="0.25">
      <c r="A18" s="63" t="s">
        <v>56</v>
      </c>
      <c r="B18" s="64">
        <f t="shared" si="0"/>
        <v>17</v>
      </c>
      <c r="C18" s="65">
        <v>4</v>
      </c>
      <c r="D18" s="64">
        <v>2021</v>
      </c>
      <c r="E18" s="66">
        <f>Electricity!F24+Electricity!I24</f>
        <v>6680.0000000000073</v>
      </c>
      <c r="F18" s="67">
        <f>Electricity!L24/TOTAL!E18</f>
        <v>1239.6547155688629</v>
      </c>
      <c r="G18" s="66">
        <f>Gas!F25+Gas!I25+Gas!L25+Gas!O25</f>
        <v>47.943640000000435</v>
      </c>
      <c r="H18" s="67">
        <f>Gas!Q25/TOTAL!G18</f>
        <v>14119.999999999998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277</v>
      </c>
      <c r="L18" s="67">
        <f>Water!K25/TOTAL!K18</f>
        <v>4000</v>
      </c>
      <c r="M18" s="66">
        <f>Electricity!C24</f>
        <v>4</v>
      </c>
      <c r="N18" s="66">
        <f>Electricity!D24</f>
        <v>44</v>
      </c>
    </row>
    <row r="19" spans="1:14" ht="15" x14ac:dyDescent="0.25">
      <c r="A19" s="63" t="s">
        <v>56</v>
      </c>
      <c r="B19" s="64">
        <f t="shared" si="0"/>
        <v>18</v>
      </c>
      <c r="C19" s="65">
        <v>4</v>
      </c>
      <c r="D19" s="64">
        <v>2021</v>
      </c>
      <c r="E19" s="66">
        <f>Electricity!F25+Electricity!I25</f>
        <v>6699.9999999998745</v>
      </c>
      <c r="F19" s="67">
        <f>Electricity!L25/TOTAL!E19</f>
        <v>1229.1539552238826</v>
      </c>
      <c r="G19" s="66">
        <f>Gas!F26+Gas!I26+Gas!L26+Gas!O26</f>
        <v>45.204599999999267</v>
      </c>
      <c r="H19" s="67">
        <f>Gas!Q26/TOTAL!G19</f>
        <v>14119.999999999998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324</v>
      </c>
      <c r="L19" s="67">
        <f>Water!K26/TOTAL!K19</f>
        <v>4000</v>
      </c>
      <c r="M19" s="66">
        <f>Electricity!C25</f>
        <v>4</v>
      </c>
      <c r="N19" s="66">
        <f>Electricity!D25</f>
        <v>28</v>
      </c>
    </row>
    <row r="20" spans="1:14" ht="15" x14ac:dyDescent="0.25">
      <c r="A20" s="63" t="s">
        <v>56</v>
      </c>
      <c r="B20" s="64">
        <f t="shared" si="0"/>
        <v>19</v>
      </c>
      <c r="C20" s="65">
        <v>4</v>
      </c>
      <c r="D20" s="64">
        <v>2021</v>
      </c>
      <c r="E20" s="66">
        <f>Electricity!F26+Electricity!I26</f>
        <v>6720.0000000000837</v>
      </c>
      <c r="F20" s="67">
        <f>Electricity!L26/TOTAL!E20</f>
        <v>1228.8857886904755</v>
      </c>
      <c r="G20" s="66">
        <f>Gas!F27+Gas!I27+Gas!L27+Gas!O27</f>
        <v>40.53211999999985</v>
      </c>
      <c r="H20" s="67">
        <f>Gas!Q27/TOTAL!G20</f>
        <v>14120</v>
      </c>
      <c r="I20" s="66">
        <f>'Fuel Diesel'!F27</f>
        <v>11</v>
      </c>
      <c r="J20" s="68">
        <f>'Fuel Diesel'!G27/'Fuel Diesel'!F27</f>
        <v>10700</v>
      </c>
      <c r="K20" s="66">
        <f>Water!E27+Water!G27+Water!I27</f>
        <v>319</v>
      </c>
      <c r="L20" s="67">
        <f>Water!K27/TOTAL!K20</f>
        <v>4000</v>
      </c>
      <c r="M20" s="66">
        <f>Electricity!C26</f>
        <v>3</v>
      </c>
      <c r="N20" s="66">
        <f>Electricity!D26</f>
        <v>6</v>
      </c>
    </row>
    <row r="21" spans="1:14" ht="15" x14ac:dyDescent="0.25">
      <c r="A21" s="63" t="s">
        <v>56</v>
      </c>
      <c r="B21" s="64">
        <f t="shared" si="0"/>
        <v>20</v>
      </c>
      <c r="C21" s="65">
        <v>4</v>
      </c>
      <c r="D21" s="64">
        <v>2021</v>
      </c>
      <c r="E21" s="66">
        <f>Electricity!F27+Electricity!I27</f>
        <v>5619.9999999999472</v>
      </c>
      <c r="F21" s="67">
        <f>Electricity!L27/TOTAL!E21</f>
        <v>1248.4960854092524</v>
      </c>
      <c r="G21" s="66">
        <f>Gas!F28+Gas!I28+Gas!L28+Gas!O28</f>
        <v>41.82107999999868</v>
      </c>
      <c r="H21" s="67">
        <f>Gas!Q28/TOTAL!G21</f>
        <v>14119.999999999998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308</v>
      </c>
      <c r="L21" s="67">
        <f>Water!K28/TOTAL!K21</f>
        <v>4000</v>
      </c>
      <c r="M21" s="66">
        <f>Electricity!C27</f>
        <v>5</v>
      </c>
      <c r="N21" s="66">
        <f>Electricity!D27</f>
        <v>18</v>
      </c>
    </row>
    <row r="22" spans="1:14" ht="15" x14ac:dyDescent="0.25">
      <c r="A22" s="63" t="s">
        <v>56</v>
      </c>
      <c r="B22" s="64">
        <f t="shared" si="0"/>
        <v>21</v>
      </c>
      <c r="C22" s="65">
        <v>4</v>
      </c>
      <c r="D22" s="64">
        <v>2021</v>
      </c>
      <c r="E22" s="66">
        <f>Electricity!F28+Electricity!I28</f>
        <v>6379.9999999999382</v>
      </c>
      <c r="F22" s="67">
        <f>Electricity!L28/TOTAL!E22</f>
        <v>1231.8879310344857</v>
      </c>
      <c r="G22" s="66">
        <f>Gas!F29+Gas!I29+Gas!L29+Gas!O29</f>
        <v>60.752680000001604</v>
      </c>
      <c r="H22" s="67">
        <f>Gas!Q29/TOTAL!G22</f>
        <v>14119.999999999998</v>
      </c>
      <c r="I22" s="66">
        <f>'Fuel Diesel'!F29</f>
        <v>558</v>
      </c>
      <c r="J22" s="68">
        <f>'Fuel Diesel'!G29/'Fuel Diesel'!F29</f>
        <v>10700</v>
      </c>
      <c r="K22" s="66">
        <f>Water!E29+Water!G29+Water!I29</f>
        <v>324</v>
      </c>
      <c r="L22" s="67">
        <f>Water!K29/TOTAL!K22</f>
        <v>4000</v>
      </c>
      <c r="M22" s="66">
        <f>Electricity!C28</f>
        <v>6</v>
      </c>
      <c r="N22" s="66">
        <f>Electricity!D28</f>
        <v>20</v>
      </c>
    </row>
    <row r="23" spans="1:14" ht="15" x14ac:dyDescent="0.25">
      <c r="A23" s="63" t="s">
        <v>56</v>
      </c>
      <c r="B23" s="64">
        <f t="shared" si="0"/>
        <v>22</v>
      </c>
      <c r="C23" s="65">
        <v>4</v>
      </c>
      <c r="D23" s="64">
        <v>2021</v>
      </c>
      <c r="E23" s="66">
        <f>Electricity!F29+Electricity!I29</f>
        <v>6319.9999999999927</v>
      </c>
      <c r="F23" s="67">
        <f>Electricity!L29/TOTAL!E23</f>
        <v>1234.5715981012663</v>
      </c>
      <c r="G23" s="66">
        <f>Gas!F30+Gas!I30+Gas!L30+Gas!O30</f>
        <v>55.959359999999556</v>
      </c>
      <c r="H23" s="67">
        <f>Gas!Q30/TOTAL!G23</f>
        <v>14120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310</v>
      </c>
      <c r="L23" s="67">
        <f>Water!K30/TOTAL!K23</f>
        <v>4000</v>
      </c>
      <c r="M23" s="66">
        <f>Electricity!C29</f>
        <v>8</v>
      </c>
      <c r="N23" s="66">
        <f>Electricity!D29</f>
        <v>22</v>
      </c>
    </row>
    <row r="24" spans="1:14" ht="15" x14ac:dyDescent="0.25">
      <c r="A24" s="63" t="s">
        <v>56</v>
      </c>
      <c r="B24" s="64">
        <f t="shared" si="0"/>
        <v>23</v>
      </c>
      <c r="C24" s="65">
        <v>4</v>
      </c>
      <c r="D24" s="64">
        <v>2021</v>
      </c>
      <c r="E24" s="66">
        <f>Electricity!F30+Electricity!I30</f>
        <v>6460.0000000001501</v>
      </c>
      <c r="F24" s="67">
        <f>Electricity!L30/TOTAL!E24</f>
        <v>1237.7911764705866</v>
      </c>
      <c r="G24" s="66">
        <f>Gas!F31+Gas!I31+Gas!L31+Gas!O31</f>
        <v>51.407719999999117</v>
      </c>
      <c r="H24" s="67">
        <f>Gas!Q31/TOTAL!G24</f>
        <v>14120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325</v>
      </c>
      <c r="L24" s="67">
        <f>Water!K31/TOTAL!K24</f>
        <v>4000</v>
      </c>
      <c r="M24" s="66">
        <f>Electricity!C30</f>
        <v>6</v>
      </c>
      <c r="N24" s="66">
        <f>Electricity!D30</f>
        <v>26</v>
      </c>
    </row>
    <row r="25" spans="1:14" ht="15" x14ac:dyDescent="0.25">
      <c r="A25" s="63" t="s">
        <v>56</v>
      </c>
      <c r="B25" s="64">
        <f t="shared" si="0"/>
        <v>24</v>
      </c>
      <c r="C25" s="65">
        <v>4</v>
      </c>
      <c r="D25" s="64">
        <v>2021</v>
      </c>
      <c r="E25" s="66">
        <f>Electricity!F31+Electricity!I31</f>
        <v>6519.9999999998681</v>
      </c>
      <c r="F25" s="67">
        <f>Electricity!L31/TOTAL!E25</f>
        <v>1238.6295245398783</v>
      </c>
      <c r="G25" s="66">
        <f>Gas!F32+Gas!I32+Gas!L32+Gas!O32</f>
        <v>45.446280000000876</v>
      </c>
      <c r="H25" s="67">
        <f>Gas!Q32/TOTAL!G25</f>
        <v>14119.999999999998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312</v>
      </c>
      <c r="L25" s="67">
        <f>Water!K32/TOTAL!K25</f>
        <v>4000</v>
      </c>
      <c r="M25" s="66">
        <f>Electricity!C31</f>
        <v>8</v>
      </c>
      <c r="N25" s="66">
        <f>Electricity!D31</f>
        <v>30</v>
      </c>
    </row>
    <row r="26" spans="1:14" ht="15" x14ac:dyDescent="0.25">
      <c r="A26" s="63" t="s">
        <v>56</v>
      </c>
      <c r="B26" s="64">
        <f>B25+1</f>
        <v>25</v>
      </c>
      <c r="C26" s="65">
        <v>4</v>
      </c>
      <c r="D26" s="64">
        <v>2021</v>
      </c>
      <c r="E26" s="66">
        <f>Electricity!F32+Electricity!I32</f>
        <v>6640.0000000000437</v>
      </c>
      <c r="F26" s="67">
        <f>Electricity!L32/TOTAL!E26</f>
        <v>1238.5453313253026</v>
      </c>
      <c r="G26" s="66">
        <f>Gas!F33+Gas!I33+Gas!L33+Gas!O33</f>
        <v>54.710680000001609</v>
      </c>
      <c r="H26" s="67">
        <f>Gas!Q33/TOTAL!G26</f>
        <v>14120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331</v>
      </c>
      <c r="L26" s="67">
        <f>Water!K33/TOTAL!K26</f>
        <v>4000</v>
      </c>
      <c r="M26" s="66">
        <f>Electricity!C32</f>
        <v>6</v>
      </c>
      <c r="N26" s="66">
        <f>Electricity!D32</f>
        <v>43</v>
      </c>
    </row>
    <row r="27" spans="1:14" ht="15" x14ac:dyDescent="0.25">
      <c r="A27" s="63" t="s">
        <v>56</v>
      </c>
      <c r="B27" s="64">
        <f t="shared" si="0"/>
        <v>26</v>
      </c>
      <c r="C27" s="65">
        <v>4</v>
      </c>
      <c r="D27" s="64">
        <v>2021</v>
      </c>
      <c r="E27" s="66">
        <f>Electricity!F33+Electricity!I33</f>
        <v>6540.00000000002</v>
      </c>
      <c r="F27" s="67">
        <f>Electricity!L33/TOTAL!E27</f>
        <v>1234.8416666666635</v>
      </c>
      <c r="G27" s="66">
        <f>Gas!F34+Gas!I34+Gas!L34+Gas!O34</f>
        <v>40.894640000000436</v>
      </c>
      <c r="H27" s="67">
        <f>Gas!Q34/TOTAL!G27</f>
        <v>14120.000000000002</v>
      </c>
      <c r="I27" s="66">
        <f>'Fuel Diesel'!F34</f>
        <v>8</v>
      </c>
      <c r="J27" s="68">
        <f>'Fuel Diesel'!G34/'Fuel Diesel'!F34</f>
        <v>10700</v>
      </c>
      <c r="K27" s="66">
        <f>Water!E34+Water!G34+Water!I34</f>
        <v>333</v>
      </c>
      <c r="L27" s="67">
        <f>Water!K34/TOTAL!K27</f>
        <v>4000</v>
      </c>
      <c r="M27" s="66">
        <f>Electricity!C33</f>
        <v>8</v>
      </c>
      <c r="N27" s="66">
        <f>Electricity!D33</f>
        <v>30</v>
      </c>
    </row>
    <row r="28" spans="1:14" ht="15" x14ac:dyDescent="0.25">
      <c r="A28" s="63" t="s">
        <v>56</v>
      </c>
      <c r="B28" s="64">
        <f t="shared" si="0"/>
        <v>27</v>
      </c>
      <c r="C28" s="65">
        <v>4</v>
      </c>
      <c r="D28" s="64">
        <v>2021</v>
      </c>
      <c r="E28" s="66">
        <f>Electricity!F34+Electricity!I34</f>
        <v>7640.0000000001</v>
      </c>
      <c r="F28" s="67">
        <f>Electricity!L34/TOTAL!E28</f>
        <v>1303.0493455497394</v>
      </c>
      <c r="G28" s="66">
        <f>Gas!F35+Gas!I35+Gas!L35+Gas!O35</f>
        <v>54.30787999999648</v>
      </c>
      <c r="H28" s="67">
        <f>Gas!Q35/TOTAL!G28</f>
        <v>14119.999999999998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346</v>
      </c>
      <c r="L28" s="67">
        <f>Water!K35/TOTAL!K28</f>
        <v>4000</v>
      </c>
      <c r="M28" s="66">
        <f>Electricity!C34</f>
        <v>5</v>
      </c>
      <c r="N28" s="66">
        <f>Electricity!D34</f>
        <v>39</v>
      </c>
    </row>
    <row r="29" spans="1:14" ht="15" x14ac:dyDescent="0.25">
      <c r="A29" s="63" t="s">
        <v>56</v>
      </c>
      <c r="B29" s="64">
        <f t="shared" si="0"/>
        <v>28</v>
      </c>
      <c r="C29" s="65">
        <v>4</v>
      </c>
      <c r="D29" s="64">
        <v>2021</v>
      </c>
      <c r="E29" s="66">
        <f>Electricity!F35+Electricity!I35</f>
        <v>6939.9999999998836</v>
      </c>
      <c r="F29" s="67">
        <f>Electricity!L35/TOTAL!E29</f>
        <v>1227.6792507204614</v>
      </c>
      <c r="G29" s="66">
        <f>Gas!F36+Gas!I36+Gas!L36+Gas!O36</f>
        <v>44.560120000003515</v>
      </c>
      <c r="H29" s="67">
        <f>Gas!Q36/TOTAL!G29</f>
        <v>14120.000000000002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381</v>
      </c>
      <c r="L29" s="67">
        <f>Water!K36/TOTAL!K29</f>
        <v>4000</v>
      </c>
      <c r="M29" s="66">
        <f>Electricity!C35</f>
        <v>4</v>
      </c>
      <c r="N29" s="66">
        <f>Electricity!D35</f>
        <v>33</v>
      </c>
    </row>
    <row r="30" spans="1:14" ht="15" x14ac:dyDescent="0.25">
      <c r="A30" s="63" t="s">
        <v>56</v>
      </c>
      <c r="B30" s="64">
        <f t="shared" si="0"/>
        <v>29</v>
      </c>
      <c r="C30" s="65">
        <v>4</v>
      </c>
      <c r="D30" s="64">
        <v>2021</v>
      </c>
      <c r="E30" s="66">
        <f>Electricity!F36+Electricity!I36</f>
        <v>6939.9999999999982</v>
      </c>
      <c r="F30" s="67">
        <f>Electricity!L36/TOTAL!E30</f>
        <v>1235.8856628242081</v>
      </c>
      <c r="G30" s="66">
        <f>Gas!F37+Gas!I37+Gas!L37+Gas!O37</f>
        <v>58.134479999999407</v>
      </c>
      <c r="H30" s="67">
        <f>Gas!Q37/TOTAL!G30</f>
        <v>14120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403</v>
      </c>
      <c r="L30" s="67">
        <f>Water!K37/TOTAL!K30</f>
        <v>4000</v>
      </c>
      <c r="M30" s="66">
        <f>Electricity!C36</f>
        <v>2</v>
      </c>
      <c r="N30" s="66">
        <f>Electricity!D36</f>
        <v>18</v>
      </c>
    </row>
    <row r="31" spans="1:14" ht="15" x14ac:dyDescent="0.25">
      <c r="A31" s="63" t="s">
        <v>56</v>
      </c>
      <c r="B31" s="64">
        <f t="shared" si="0"/>
        <v>30</v>
      </c>
      <c r="C31" s="65">
        <v>4</v>
      </c>
      <c r="D31" s="64">
        <v>2021</v>
      </c>
      <c r="E31" s="66">
        <f>Electricity!F37+Electricity!I37</f>
        <v>7020.0000000000955</v>
      </c>
      <c r="F31" s="67">
        <f>Electricity!L37/TOTAL!E31</f>
        <v>1233.1595441595405</v>
      </c>
      <c r="G31" s="66">
        <f>Gas!F38+Gas!I38+Gas!L38+Gas!O38</f>
        <v>58.17476000000029</v>
      </c>
      <c r="H31" s="67">
        <f>Gas!Q38/TOTAL!G31</f>
        <v>14120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390</v>
      </c>
      <c r="L31" s="67">
        <f>Water!K38/TOTAL!K31</f>
        <v>4000</v>
      </c>
      <c r="M31" s="66">
        <f>Electricity!C37</f>
        <v>10</v>
      </c>
      <c r="N31" s="66">
        <f>Electricity!D37</f>
        <v>19</v>
      </c>
    </row>
    <row r="32" spans="1:14" ht="15" x14ac:dyDescent="0.25">
      <c r="A32" s="63"/>
      <c r="B32" s="64"/>
      <c r="C32" s="65"/>
      <c r="D32" s="64"/>
      <c r="E32" s="66"/>
      <c r="F32" s="67"/>
      <c r="G32" s="66"/>
      <c r="H32" s="67"/>
      <c r="I32" s="66"/>
      <c r="J32" s="68"/>
      <c r="K32" s="66"/>
      <c r="L32" s="67"/>
      <c r="M32" s="66"/>
      <c r="N32" s="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zoomScale="87" zoomScaleNormal="87" workbookViewId="0">
      <pane xSplit="2" ySplit="7" topLeftCell="C17" activePane="bottomRight" state="frozen"/>
      <selection pane="topRight" activeCell="C1" sqref="C1"/>
      <selection pane="bottomLeft" activeCell="A9" sqref="A9"/>
      <selection pane="bottomRight" activeCell="P26" sqref="P26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7" t="s">
        <v>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56"/>
      <c r="N1" s="57"/>
    </row>
    <row r="2" spans="1:14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44287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90" t="s">
        <v>34</v>
      </c>
      <c r="F5" s="90"/>
      <c r="G5" s="90"/>
      <c r="H5" s="88" t="s">
        <v>35</v>
      </c>
      <c r="I5" s="88"/>
      <c r="J5" s="88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3</v>
      </c>
      <c r="D8" s="37">
        <v>16</v>
      </c>
      <c r="E8" s="11">
        <v>2.6299999999999955</v>
      </c>
      <c r="F8" s="12">
        <f t="shared" ref="F8:F37" si="0">E8*2000</f>
        <v>5259.9999999999909</v>
      </c>
      <c r="G8" s="4">
        <f t="shared" ref="G8:G37" si="1">F8*1035.5</f>
        <v>5446729.9999999907</v>
      </c>
      <c r="H8" s="11">
        <v>0.5</v>
      </c>
      <c r="I8" s="12">
        <f t="shared" ref="I8:I15" si="2">H8*2000</f>
        <v>1000</v>
      </c>
      <c r="J8" s="4">
        <f t="shared" ref="J8:J15" si="3">I8*1553.25</f>
        <v>1553250</v>
      </c>
      <c r="K8" s="11">
        <f t="shared" ref="K8:K15" si="4">G8+J8</f>
        <v>6999979.9999999907</v>
      </c>
      <c r="L8" s="13">
        <f t="shared" ref="L8:L15" si="5">K8*1.1</f>
        <v>7699977.9999999907</v>
      </c>
      <c r="M8" s="85">
        <f>L8/14453</f>
        <v>532.7598422472837</v>
      </c>
      <c r="N8" s="84"/>
    </row>
    <row r="9" spans="1:14" ht="17.100000000000001" customHeight="1" x14ac:dyDescent="0.25">
      <c r="A9" s="80"/>
      <c r="B9" s="77">
        <v>2</v>
      </c>
      <c r="C9" s="37">
        <v>5</v>
      </c>
      <c r="D9" s="37">
        <v>20</v>
      </c>
      <c r="E9" s="11">
        <v>2.7000000000000455</v>
      </c>
      <c r="F9" s="12">
        <f t="shared" si="0"/>
        <v>5400.0000000000909</v>
      </c>
      <c r="G9" s="4">
        <f t="shared" si="1"/>
        <v>5591700.0000000941</v>
      </c>
      <c r="H9" s="11">
        <v>0.54000000000000625</v>
      </c>
      <c r="I9" s="12">
        <f t="shared" si="2"/>
        <v>1080.0000000000125</v>
      </c>
      <c r="J9" s="4">
        <f t="shared" si="3"/>
        <v>1677510.0000000193</v>
      </c>
      <c r="K9" s="11">
        <f t="shared" si="4"/>
        <v>7269210.0000001136</v>
      </c>
      <c r="L9" s="13">
        <f t="shared" si="5"/>
        <v>7996131.0000001257</v>
      </c>
      <c r="M9" s="85">
        <f t="shared" ref="M9:M37" si="6">L9/14453</f>
        <v>553.25060541065011</v>
      </c>
      <c r="N9" s="84"/>
    </row>
    <row r="10" spans="1:14" ht="17.100000000000001" customHeight="1" x14ac:dyDescent="0.25">
      <c r="A10" s="80"/>
      <c r="B10" s="77">
        <v>3</v>
      </c>
      <c r="C10" s="37">
        <v>6</v>
      </c>
      <c r="D10" s="37">
        <v>25</v>
      </c>
      <c r="E10" s="11">
        <v>2.6999999999999318</v>
      </c>
      <c r="F10" s="12">
        <f t="shared" si="0"/>
        <v>5399.9999999998636</v>
      </c>
      <c r="G10" s="4">
        <f t="shared" si="1"/>
        <v>5591699.9999998584</v>
      </c>
      <c r="H10" s="11">
        <v>0.53999999999999204</v>
      </c>
      <c r="I10" s="12">
        <f t="shared" si="2"/>
        <v>1079.9999999999841</v>
      </c>
      <c r="J10" s="4">
        <f t="shared" si="3"/>
        <v>1677509.9999999753</v>
      </c>
      <c r="K10" s="11">
        <f t="shared" si="4"/>
        <v>7269209.9999998342</v>
      </c>
      <c r="L10" s="13">
        <f t="shared" si="5"/>
        <v>7996130.9999998184</v>
      </c>
      <c r="M10" s="85">
        <f t="shared" si="6"/>
        <v>553.25060541062885</v>
      </c>
      <c r="N10" s="84"/>
    </row>
    <row r="11" spans="1:14" ht="17.100000000000001" customHeight="1" x14ac:dyDescent="0.25">
      <c r="A11" s="80"/>
      <c r="B11" s="77">
        <v>4</v>
      </c>
      <c r="C11" s="37">
        <v>6</v>
      </c>
      <c r="D11" s="37">
        <v>28</v>
      </c>
      <c r="E11" s="11">
        <v>2.7599999999999909</v>
      </c>
      <c r="F11" s="12">
        <f t="shared" si="0"/>
        <v>5519.9999999999818</v>
      </c>
      <c r="G11" s="4">
        <f t="shared" si="1"/>
        <v>5715959.9999999814</v>
      </c>
      <c r="H11" s="11">
        <v>0.51000000000000512</v>
      </c>
      <c r="I11" s="12">
        <f t="shared" si="2"/>
        <v>1020.0000000000102</v>
      </c>
      <c r="J11" s="4">
        <f t="shared" si="3"/>
        <v>1584315.0000000158</v>
      </c>
      <c r="K11" s="11">
        <f t="shared" si="4"/>
        <v>7300274.9999999972</v>
      </c>
      <c r="L11" s="13">
        <f t="shared" si="5"/>
        <v>8030302.4999999972</v>
      </c>
      <c r="M11" s="85">
        <f t="shared" si="6"/>
        <v>555.61492423718244</v>
      </c>
      <c r="N11" s="84"/>
    </row>
    <row r="12" spans="1:14" ht="17.100000000000001" customHeight="1" x14ac:dyDescent="0.25">
      <c r="A12" s="80"/>
      <c r="B12" s="77">
        <v>5</v>
      </c>
      <c r="C12" s="37">
        <v>3</v>
      </c>
      <c r="D12" s="37">
        <v>25</v>
      </c>
      <c r="E12" s="11">
        <v>2.6100000000000136</v>
      </c>
      <c r="F12" s="12">
        <f t="shared" si="0"/>
        <v>5220.0000000000273</v>
      </c>
      <c r="G12" s="4">
        <f t="shared" si="1"/>
        <v>5405310.0000000279</v>
      </c>
      <c r="H12" s="11">
        <v>0.51999999999999602</v>
      </c>
      <c r="I12" s="12">
        <f t="shared" si="2"/>
        <v>1039.999999999992</v>
      </c>
      <c r="J12" s="4">
        <f t="shared" si="3"/>
        <v>1615379.9999999877</v>
      </c>
      <c r="K12" s="11">
        <f t="shared" si="4"/>
        <v>7020690.0000000158</v>
      </c>
      <c r="L12" s="13">
        <f t="shared" si="5"/>
        <v>7722759.0000000177</v>
      </c>
      <c r="M12" s="85">
        <f t="shared" si="6"/>
        <v>534.33605479831294</v>
      </c>
      <c r="N12" s="84"/>
    </row>
    <row r="13" spans="1:14" ht="17.100000000000001" customHeight="1" x14ac:dyDescent="0.25">
      <c r="A13" s="80"/>
      <c r="B13" s="77">
        <v>6</v>
      </c>
      <c r="C13" s="37">
        <v>3</v>
      </c>
      <c r="D13" s="37">
        <v>17</v>
      </c>
      <c r="E13" s="11">
        <v>2.6299999999999955</v>
      </c>
      <c r="F13" s="12">
        <f t="shared" si="0"/>
        <v>5259.9999999999909</v>
      </c>
      <c r="G13" s="4">
        <f t="shared" si="1"/>
        <v>5446729.9999999907</v>
      </c>
      <c r="H13" s="11">
        <v>0.51999999999999602</v>
      </c>
      <c r="I13" s="12">
        <f t="shared" si="2"/>
        <v>1039.999999999992</v>
      </c>
      <c r="J13" s="4">
        <f t="shared" si="3"/>
        <v>1615379.9999999877</v>
      </c>
      <c r="K13" s="11">
        <f t="shared" si="4"/>
        <v>7062109.9999999786</v>
      </c>
      <c r="L13" s="13">
        <f t="shared" si="5"/>
        <v>7768320.9999999767</v>
      </c>
      <c r="M13" s="85">
        <f t="shared" si="6"/>
        <v>537.48847990036506</v>
      </c>
      <c r="N13" s="84"/>
    </row>
    <row r="14" spans="1:14" ht="17.100000000000001" customHeight="1" x14ac:dyDescent="0.25">
      <c r="A14" s="80"/>
      <c r="B14" s="77">
        <v>7</v>
      </c>
      <c r="C14" s="37">
        <v>2</v>
      </c>
      <c r="D14" s="37">
        <v>16</v>
      </c>
      <c r="E14" s="11">
        <v>2.6299999999999955</v>
      </c>
      <c r="F14" s="12">
        <f t="shared" si="0"/>
        <v>5259.9999999999909</v>
      </c>
      <c r="G14" s="4">
        <f t="shared" si="1"/>
        <v>5446729.9999999907</v>
      </c>
      <c r="H14" s="11">
        <v>0.51000000000001933</v>
      </c>
      <c r="I14" s="12">
        <f t="shared" si="2"/>
        <v>1020.0000000000387</v>
      </c>
      <c r="J14" s="4">
        <f t="shared" si="3"/>
        <v>1584315.0000000601</v>
      </c>
      <c r="K14" s="11">
        <f t="shared" si="4"/>
        <v>7031045.0000000503</v>
      </c>
      <c r="L14" s="13">
        <f t="shared" si="5"/>
        <v>7734149.5000000559</v>
      </c>
      <c r="M14" s="85">
        <f t="shared" si="6"/>
        <v>535.12416107382933</v>
      </c>
      <c r="N14" s="84"/>
    </row>
    <row r="15" spans="1:14" ht="17.100000000000001" customHeight="1" x14ac:dyDescent="0.25">
      <c r="A15" s="80"/>
      <c r="B15" s="77">
        <v>8</v>
      </c>
      <c r="C15" s="37">
        <v>4</v>
      </c>
      <c r="D15" s="37">
        <v>13</v>
      </c>
      <c r="E15" s="11">
        <v>2.7000000000000455</v>
      </c>
      <c r="F15" s="12">
        <f t="shared" si="0"/>
        <v>5400.0000000000909</v>
      </c>
      <c r="G15" s="4">
        <f t="shared" si="1"/>
        <v>5591700.0000000941</v>
      </c>
      <c r="H15" s="11">
        <v>0.50999999999999091</v>
      </c>
      <c r="I15" s="12">
        <f t="shared" si="2"/>
        <v>1019.9999999999818</v>
      </c>
      <c r="J15" s="4">
        <f t="shared" si="3"/>
        <v>1584314.9999999718</v>
      </c>
      <c r="K15" s="11">
        <f t="shared" si="4"/>
        <v>7176015.0000000661</v>
      </c>
      <c r="L15" s="13">
        <f t="shared" si="5"/>
        <v>7893616.5000000736</v>
      </c>
      <c r="M15" s="85">
        <f t="shared" si="6"/>
        <v>546.15764893102289</v>
      </c>
      <c r="N15" s="84"/>
    </row>
    <row r="16" spans="1:14" ht="17.100000000000001" customHeight="1" x14ac:dyDescent="0.25">
      <c r="A16" s="80"/>
      <c r="B16" s="77">
        <v>9</v>
      </c>
      <c r="C16" s="37">
        <v>8</v>
      </c>
      <c r="D16" s="37">
        <v>20</v>
      </c>
      <c r="E16" s="11">
        <v>2.6399999999999864</v>
      </c>
      <c r="F16" s="12">
        <f t="shared" si="0"/>
        <v>5279.9999999999727</v>
      </c>
      <c r="G16" s="4">
        <f t="shared" si="1"/>
        <v>5467439.9999999721</v>
      </c>
      <c r="H16" s="11">
        <v>0.62999999999999545</v>
      </c>
      <c r="I16" s="12">
        <f t="shared" ref="I16:I37" si="7">H16*2000</f>
        <v>1259.9999999999909</v>
      </c>
      <c r="J16" s="4">
        <f t="shared" ref="J16:J37" si="8">I16*1553.25</f>
        <v>1957094.9999999858</v>
      </c>
      <c r="K16" s="11">
        <f t="shared" ref="K16:K37" si="9">G16+J16</f>
        <v>7424534.9999999581</v>
      </c>
      <c r="L16" s="13">
        <f t="shared" ref="L16:L37" si="10">K16*1.1</f>
        <v>8166988.4999999544</v>
      </c>
      <c r="M16" s="85">
        <f t="shared" si="6"/>
        <v>565.07219954334425</v>
      </c>
      <c r="N16" s="84"/>
    </row>
    <row r="17" spans="1:14" ht="17.100000000000001" customHeight="1" x14ac:dyDescent="0.25">
      <c r="A17" s="80"/>
      <c r="B17" s="77">
        <v>10</v>
      </c>
      <c r="C17" s="37">
        <v>6</v>
      </c>
      <c r="D17" s="37">
        <v>39</v>
      </c>
      <c r="E17" s="11">
        <v>2.7699999999999818</v>
      </c>
      <c r="F17" s="12">
        <f t="shared" si="0"/>
        <v>5539.9999999999636</v>
      </c>
      <c r="G17" s="4">
        <f t="shared" si="1"/>
        <v>5736669.9999999627</v>
      </c>
      <c r="H17" s="11">
        <v>0.44999999999998863</v>
      </c>
      <c r="I17" s="12">
        <f t="shared" si="7"/>
        <v>899.99999999997726</v>
      </c>
      <c r="J17" s="4">
        <f t="shared" si="8"/>
        <v>1397924.9999999646</v>
      </c>
      <c r="K17" s="11">
        <f t="shared" si="9"/>
        <v>7134594.9999999274</v>
      </c>
      <c r="L17" s="13">
        <f t="shared" si="10"/>
        <v>7848054.4999999208</v>
      </c>
      <c r="M17" s="85">
        <f t="shared" si="6"/>
        <v>543.00522382895736</v>
      </c>
      <c r="N17" s="84"/>
    </row>
    <row r="18" spans="1:14" ht="17.100000000000001" customHeight="1" x14ac:dyDescent="0.25">
      <c r="A18" s="80"/>
      <c r="B18" s="77">
        <v>11</v>
      </c>
      <c r="C18" s="37">
        <v>9</v>
      </c>
      <c r="D18" s="37">
        <v>26</v>
      </c>
      <c r="E18" s="11">
        <v>2.7200000000000273</v>
      </c>
      <c r="F18" s="12">
        <f t="shared" si="0"/>
        <v>5440.0000000000546</v>
      </c>
      <c r="G18" s="4">
        <f t="shared" si="1"/>
        <v>5633120.0000000568</v>
      </c>
      <c r="H18" s="11">
        <v>0.55000000000001137</v>
      </c>
      <c r="I18" s="12">
        <f t="shared" si="7"/>
        <v>1100.0000000000227</v>
      </c>
      <c r="J18" s="4">
        <f t="shared" si="8"/>
        <v>1708575.0000000354</v>
      </c>
      <c r="K18" s="11">
        <f t="shared" si="9"/>
        <v>7341695.0000000922</v>
      </c>
      <c r="L18" s="13">
        <f t="shared" si="10"/>
        <v>8075864.5000001024</v>
      </c>
      <c r="M18" s="85">
        <f t="shared" si="6"/>
        <v>558.76734933924456</v>
      </c>
      <c r="N18" s="84"/>
    </row>
    <row r="19" spans="1:14" ht="17.100000000000001" customHeight="1" x14ac:dyDescent="0.25">
      <c r="A19" s="80"/>
      <c r="B19" s="77">
        <v>12</v>
      </c>
      <c r="C19" s="37">
        <v>4</v>
      </c>
      <c r="D19" s="37">
        <v>25</v>
      </c>
      <c r="E19" s="11">
        <v>2.7100000000000364</v>
      </c>
      <c r="F19" s="12">
        <f t="shared" si="0"/>
        <v>5420.0000000000728</v>
      </c>
      <c r="G19" s="4">
        <f t="shared" si="1"/>
        <v>5612410.0000000754</v>
      </c>
      <c r="H19" s="11">
        <v>0.55000000000001137</v>
      </c>
      <c r="I19" s="12">
        <f t="shared" si="7"/>
        <v>1100.0000000000227</v>
      </c>
      <c r="J19" s="4">
        <f t="shared" si="8"/>
        <v>1708575.0000000354</v>
      </c>
      <c r="K19" s="11">
        <f t="shared" si="9"/>
        <v>7320985.0000001108</v>
      </c>
      <c r="L19" s="13">
        <f t="shared" si="10"/>
        <v>8053083.5000001229</v>
      </c>
      <c r="M19" s="85">
        <f t="shared" si="6"/>
        <v>557.19113678821861</v>
      </c>
      <c r="N19" s="84"/>
    </row>
    <row r="20" spans="1:14" ht="17.100000000000001" customHeight="1" x14ac:dyDescent="0.25">
      <c r="A20" s="80"/>
      <c r="B20" s="77">
        <v>13</v>
      </c>
      <c r="C20" s="37">
        <v>6</v>
      </c>
      <c r="D20" s="37">
        <v>37</v>
      </c>
      <c r="E20" s="11">
        <v>2.6999999999999318</v>
      </c>
      <c r="F20" s="12">
        <f t="shared" si="0"/>
        <v>5399.9999999998636</v>
      </c>
      <c r="G20" s="4">
        <f t="shared" si="1"/>
        <v>5591699.9999998584</v>
      </c>
      <c r="H20" s="11">
        <v>0.56999999999999318</v>
      </c>
      <c r="I20" s="12">
        <f t="shared" si="7"/>
        <v>1139.9999999999864</v>
      </c>
      <c r="J20" s="4">
        <f t="shared" si="8"/>
        <v>1770704.9999999788</v>
      </c>
      <c r="K20" s="11">
        <f t="shared" si="9"/>
        <v>7362404.999999837</v>
      </c>
      <c r="L20" s="13">
        <f t="shared" si="10"/>
        <v>8098645.4999998212</v>
      </c>
      <c r="M20" s="85">
        <f t="shared" si="6"/>
        <v>560.34356189025266</v>
      </c>
      <c r="N20" s="84"/>
    </row>
    <row r="21" spans="1:14" ht="17.100000000000001" customHeight="1" x14ac:dyDescent="0.25">
      <c r="A21" s="80"/>
      <c r="B21" s="77">
        <v>14</v>
      </c>
      <c r="C21" s="37">
        <v>7</v>
      </c>
      <c r="D21" s="37">
        <v>35</v>
      </c>
      <c r="E21" s="11">
        <v>2.7799999999999727</v>
      </c>
      <c r="F21" s="12">
        <f t="shared" si="0"/>
        <v>5559.9999999999454</v>
      </c>
      <c r="G21" s="4">
        <f t="shared" si="1"/>
        <v>5757379.9999999432</v>
      </c>
      <c r="H21" s="11">
        <v>0.56999999999999318</v>
      </c>
      <c r="I21" s="12">
        <f t="shared" si="7"/>
        <v>1139.9999999999864</v>
      </c>
      <c r="J21" s="4">
        <f t="shared" si="8"/>
        <v>1770704.9999999788</v>
      </c>
      <c r="K21" s="11">
        <f t="shared" si="9"/>
        <v>7528084.9999999218</v>
      </c>
      <c r="L21" s="13">
        <f t="shared" si="10"/>
        <v>8280893.4999999143</v>
      </c>
      <c r="M21" s="85">
        <f t="shared" si="6"/>
        <v>572.95326229847876</v>
      </c>
      <c r="N21" s="84"/>
    </row>
    <row r="22" spans="1:14" ht="17.100000000000001" customHeight="1" x14ac:dyDescent="0.25">
      <c r="A22" s="80"/>
      <c r="B22" s="77">
        <v>15</v>
      </c>
      <c r="C22" s="37">
        <v>4</v>
      </c>
      <c r="D22" s="37">
        <v>30</v>
      </c>
      <c r="E22" s="11">
        <v>2.8100000000000591</v>
      </c>
      <c r="F22" s="12">
        <f t="shared" si="0"/>
        <v>5620.0000000001182</v>
      </c>
      <c r="G22" s="4">
        <f t="shared" si="1"/>
        <v>5819510.000000122</v>
      </c>
      <c r="H22" s="11">
        <v>0.55000000000001137</v>
      </c>
      <c r="I22" s="12">
        <f t="shared" si="7"/>
        <v>1100.0000000000227</v>
      </c>
      <c r="J22" s="4">
        <f t="shared" si="8"/>
        <v>1708575.0000000354</v>
      </c>
      <c r="K22" s="11">
        <f t="shared" si="9"/>
        <v>7528085.0000001574</v>
      </c>
      <c r="L22" s="13">
        <f t="shared" si="10"/>
        <v>8280893.5000001742</v>
      </c>
      <c r="M22" s="85">
        <f t="shared" si="6"/>
        <v>572.95326229849684</v>
      </c>
      <c r="N22" s="84"/>
    </row>
    <row r="23" spans="1:14" ht="17.100000000000001" customHeight="1" x14ac:dyDescent="0.25">
      <c r="A23" s="80"/>
      <c r="B23" s="77">
        <v>16</v>
      </c>
      <c r="C23" s="37">
        <v>6</v>
      </c>
      <c r="D23" s="37">
        <v>32</v>
      </c>
      <c r="E23" s="11">
        <v>2.8500000000000227</v>
      </c>
      <c r="F23" s="12">
        <f t="shared" si="0"/>
        <v>5700.0000000000455</v>
      </c>
      <c r="G23" s="4">
        <f t="shared" si="1"/>
        <v>5902350.0000000475</v>
      </c>
      <c r="H23" s="11">
        <v>0.57999999999998408</v>
      </c>
      <c r="I23" s="12">
        <f t="shared" si="7"/>
        <v>1159.9999999999682</v>
      </c>
      <c r="J23" s="4">
        <f t="shared" si="8"/>
        <v>1801769.9999999506</v>
      </c>
      <c r="K23" s="11">
        <f t="shared" si="9"/>
        <v>7704119.9999999981</v>
      </c>
      <c r="L23" s="13">
        <f t="shared" si="10"/>
        <v>8474531.9999999981</v>
      </c>
      <c r="M23" s="85">
        <f t="shared" si="6"/>
        <v>586.35106898221807</v>
      </c>
      <c r="N23" s="84"/>
    </row>
    <row r="24" spans="1:14" ht="17.100000000000001" customHeight="1" x14ac:dyDescent="0.25">
      <c r="A24" s="80"/>
      <c r="B24" s="77">
        <v>17</v>
      </c>
      <c r="C24" s="37">
        <v>4</v>
      </c>
      <c r="D24" s="37">
        <v>44</v>
      </c>
      <c r="E24" s="11">
        <v>2.75</v>
      </c>
      <c r="F24" s="12">
        <f t="shared" si="0"/>
        <v>5500</v>
      </c>
      <c r="G24" s="4">
        <f t="shared" si="1"/>
        <v>5695250</v>
      </c>
      <c r="H24" s="11">
        <v>0.59000000000000341</v>
      </c>
      <c r="I24" s="12">
        <f t="shared" si="7"/>
        <v>1180.0000000000068</v>
      </c>
      <c r="J24" s="4">
        <f t="shared" si="8"/>
        <v>1832835.0000000107</v>
      </c>
      <c r="K24" s="11">
        <f t="shared" si="9"/>
        <v>7528085.0000000112</v>
      </c>
      <c r="L24" s="13">
        <f t="shared" si="10"/>
        <v>8280893.500000013</v>
      </c>
      <c r="M24" s="85">
        <f t="shared" si="6"/>
        <v>572.9532622984857</v>
      </c>
      <c r="N24" s="84"/>
    </row>
    <row r="25" spans="1:14" ht="17.100000000000001" customHeight="1" x14ac:dyDescent="0.25">
      <c r="A25" s="80"/>
      <c r="B25" s="77">
        <v>18</v>
      </c>
      <c r="C25" s="37">
        <v>4</v>
      </c>
      <c r="D25" s="37">
        <v>28</v>
      </c>
      <c r="E25" s="11">
        <v>2.8199999999999363</v>
      </c>
      <c r="F25" s="12">
        <f t="shared" si="0"/>
        <v>5639.9999999998727</v>
      </c>
      <c r="G25" s="4">
        <f t="shared" si="1"/>
        <v>5840219.9999998678</v>
      </c>
      <c r="H25" s="11">
        <v>0.53000000000000114</v>
      </c>
      <c r="I25" s="12">
        <f t="shared" si="7"/>
        <v>1060.0000000000023</v>
      </c>
      <c r="J25" s="4">
        <f t="shared" si="8"/>
        <v>1646445.0000000035</v>
      </c>
      <c r="K25" s="11">
        <f t="shared" si="9"/>
        <v>7486664.9999998715</v>
      </c>
      <c r="L25" s="13">
        <f t="shared" si="10"/>
        <v>8235331.4999998594</v>
      </c>
      <c r="M25" s="85">
        <f t="shared" si="6"/>
        <v>569.80083719642005</v>
      </c>
      <c r="N25" s="84"/>
    </row>
    <row r="26" spans="1:14" ht="17.100000000000001" customHeight="1" x14ac:dyDescent="0.25">
      <c r="A26" s="80"/>
      <c r="B26" s="77">
        <v>19</v>
      </c>
      <c r="C26" s="37">
        <v>3</v>
      </c>
      <c r="D26" s="37">
        <v>6</v>
      </c>
      <c r="E26" s="11">
        <v>2.8300000000000409</v>
      </c>
      <c r="F26" s="12">
        <f t="shared" si="0"/>
        <v>5660.0000000000819</v>
      </c>
      <c r="G26" s="4">
        <f t="shared" si="1"/>
        <v>5860930.0000000848</v>
      </c>
      <c r="H26" s="11">
        <v>0.53000000000000114</v>
      </c>
      <c r="I26" s="12">
        <f t="shared" si="7"/>
        <v>1060.0000000000023</v>
      </c>
      <c r="J26" s="4">
        <f t="shared" si="8"/>
        <v>1646445.0000000035</v>
      </c>
      <c r="K26" s="11">
        <f t="shared" si="9"/>
        <v>7507375.0000000885</v>
      </c>
      <c r="L26" s="13">
        <f t="shared" si="10"/>
        <v>8258112.5000000978</v>
      </c>
      <c r="M26" s="85">
        <f t="shared" si="6"/>
        <v>571.37704974746407</v>
      </c>
      <c r="N26" s="84"/>
    </row>
    <row r="27" spans="1:14" ht="17.100000000000001" customHeight="1" x14ac:dyDescent="0.25">
      <c r="A27" s="80"/>
      <c r="B27" s="77">
        <v>20</v>
      </c>
      <c r="C27" s="37">
        <v>5</v>
      </c>
      <c r="D27" s="37">
        <v>18</v>
      </c>
      <c r="E27" s="11">
        <v>2.2699999999999818</v>
      </c>
      <c r="F27" s="12">
        <f t="shared" si="0"/>
        <v>4539.9999999999636</v>
      </c>
      <c r="G27" s="4">
        <f t="shared" si="1"/>
        <v>4701169.9999999627</v>
      </c>
      <c r="H27" s="11">
        <v>0.53999999999999204</v>
      </c>
      <c r="I27" s="12">
        <f t="shared" si="7"/>
        <v>1079.9999999999841</v>
      </c>
      <c r="J27" s="4">
        <f t="shared" si="8"/>
        <v>1677509.9999999753</v>
      </c>
      <c r="K27" s="11">
        <f t="shared" si="9"/>
        <v>6378679.9999999385</v>
      </c>
      <c r="L27" s="13">
        <f t="shared" si="10"/>
        <v>7016547.9999999329</v>
      </c>
      <c r="M27" s="85">
        <f t="shared" si="6"/>
        <v>485.47346571645562</v>
      </c>
      <c r="N27" s="84"/>
    </row>
    <row r="28" spans="1:14" ht="17.100000000000001" customHeight="1" x14ac:dyDescent="0.25">
      <c r="A28" s="80"/>
      <c r="B28" s="77">
        <v>21</v>
      </c>
      <c r="C28" s="37">
        <v>6</v>
      </c>
      <c r="D28" s="37">
        <v>20</v>
      </c>
      <c r="E28" s="11">
        <v>2.6699999999999591</v>
      </c>
      <c r="F28" s="12">
        <f t="shared" si="0"/>
        <v>5339.9999999999181</v>
      </c>
      <c r="G28" s="4">
        <f t="shared" si="1"/>
        <v>5529569.9999999152</v>
      </c>
      <c r="H28" s="11">
        <v>0.52000000000001023</v>
      </c>
      <c r="I28" s="12">
        <f t="shared" si="7"/>
        <v>1040.0000000000205</v>
      </c>
      <c r="J28" s="4">
        <f t="shared" si="8"/>
        <v>1615380.0000000319</v>
      </c>
      <c r="K28" s="11">
        <f t="shared" si="9"/>
        <v>7144949.9999999469</v>
      </c>
      <c r="L28" s="13">
        <f t="shared" si="10"/>
        <v>7859444.9999999423</v>
      </c>
      <c r="M28" s="85">
        <f t="shared" si="6"/>
        <v>543.7933301044726</v>
      </c>
      <c r="N28" s="84"/>
    </row>
    <row r="29" spans="1:14" ht="17.100000000000001" customHeight="1" x14ac:dyDescent="0.25">
      <c r="A29" s="80"/>
      <c r="B29" s="77">
        <v>22</v>
      </c>
      <c r="C29" s="37">
        <v>8</v>
      </c>
      <c r="D29" s="37">
        <v>22</v>
      </c>
      <c r="E29" s="11">
        <v>2.6299999999999955</v>
      </c>
      <c r="F29" s="12">
        <f t="shared" si="0"/>
        <v>5259.9999999999909</v>
      </c>
      <c r="G29" s="4">
        <f t="shared" si="1"/>
        <v>5446729.9999999907</v>
      </c>
      <c r="H29" s="11">
        <v>0.53000000000000114</v>
      </c>
      <c r="I29" s="12">
        <f t="shared" si="7"/>
        <v>1060.0000000000023</v>
      </c>
      <c r="J29" s="4">
        <f t="shared" si="8"/>
        <v>1646445.0000000035</v>
      </c>
      <c r="K29" s="11">
        <f t="shared" si="9"/>
        <v>7093174.9999999944</v>
      </c>
      <c r="L29" s="13">
        <f t="shared" si="10"/>
        <v>7802492.4999999944</v>
      </c>
      <c r="M29" s="85">
        <f t="shared" si="6"/>
        <v>539.85279872690751</v>
      </c>
      <c r="N29" s="84"/>
    </row>
    <row r="30" spans="1:14" ht="17.100000000000001" customHeight="1" x14ac:dyDescent="0.25">
      <c r="A30" s="80"/>
      <c r="B30" s="77">
        <v>23</v>
      </c>
      <c r="C30" s="37">
        <v>6</v>
      </c>
      <c r="D30" s="37">
        <v>26</v>
      </c>
      <c r="E30" s="11">
        <v>2.6700000000000728</v>
      </c>
      <c r="F30" s="12">
        <f t="shared" si="0"/>
        <v>5340.0000000001455</v>
      </c>
      <c r="G30" s="4">
        <f t="shared" si="1"/>
        <v>5529570.0000001509</v>
      </c>
      <c r="H30" s="11">
        <v>0.56000000000000227</v>
      </c>
      <c r="I30" s="12">
        <f t="shared" si="7"/>
        <v>1120.0000000000045</v>
      </c>
      <c r="J30" s="4">
        <f t="shared" si="8"/>
        <v>1739640.000000007</v>
      </c>
      <c r="K30" s="11">
        <f t="shared" si="9"/>
        <v>7269210.0000001583</v>
      </c>
      <c r="L30" s="13">
        <f t="shared" si="10"/>
        <v>7996131.0000001751</v>
      </c>
      <c r="M30" s="85">
        <f t="shared" si="6"/>
        <v>553.25060541065352</v>
      </c>
      <c r="N30" s="84"/>
    </row>
    <row r="31" spans="1:14" ht="17.100000000000001" customHeight="1" x14ac:dyDescent="0.25">
      <c r="A31" s="80"/>
      <c r="B31" s="77">
        <v>24</v>
      </c>
      <c r="C31" s="37">
        <v>8</v>
      </c>
      <c r="D31" s="37">
        <v>30</v>
      </c>
      <c r="E31" s="11">
        <v>2.6899999999999409</v>
      </c>
      <c r="F31" s="12">
        <f t="shared" si="0"/>
        <v>5379.9999999998818</v>
      </c>
      <c r="G31" s="4">
        <f t="shared" si="1"/>
        <v>5570989.999999878</v>
      </c>
      <c r="H31" s="11">
        <v>0.56999999999999318</v>
      </c>
      <c r="I31" s="12">
        <f t="shared" si="7"/>
        <v>1139.9999999999864</v>
      </c>
      <c r="J31" s="4">
        <f t="shared" si="8"/>
        <v>1770704.9999999788</v>
      </c>
      <c r="K31" s="11">
        <f t="shared" si="9"/>
        <v>7341694.9999998566</v>
      </c>
      <c r="L31" s="13">
        <f t="shared" si="10"/>
        <v>8075864.4999998426</v>
      </c>
      <c r="M31" s="85">
        <f t="shared" si="6"/>
        <v>558.7673493392266</v>
      </c>
      <c r="N31" s="84"/>
    </row>
    <row r="32" spans="1:14" ht="17.100000000000001" customHeight="1" x14ac:dyDescent="0.25">
      <c r="A32" s="80"/>
      <c r="B32" s="77">
        <v>25</v>
      </c>
      <c r="C32" s="37">
        <v>6</v>
      </c>
      <c r="D32" s="37">
        <v>43</v>
      </c>
      <c r="E32" s="11">
        <v>2.7400000000000091</v>
      </c>
      <c r="F32" s="12">
        <f t="shared" si="0"/>
        <v>5480.0000000000182</v>
      </c>
      <c r="G32" s="4">
        <f t="shared" si="1"/>
        <v>5674540.0000000186</v>
      </c>
      <c r="H32" s="11">
        <v>0.58000000000001251</v>
      </c>
      <c r="I32" s="12">
        <f t="shared" si="7"/>
        <v>1160.000000000025</v>
      </c>
      <c r="J32" s="4">
        <f t="shared" si="8"/>
        <v>1801770.0000000389</v>
      </c>
      <c r="K32" s="11">
        <f t="shared" si="9"/>
        <v>7476310.0000000577</v>
      </c>
      <c r="L32" s="13">
        <f t="shared" si="10"/>
        <v>8223941.0000000643</v>
      </c>
      <c r="M32" s="85">
        <f t="shared" si="6"/>
        <v>569.01273092092049</v>
      </c>
      <c r="N32" s="84"/>
    </row>
    <row r="33" spans="1:16" ht="17.100000000000001" customHeight="1" x14ac:dyDescent="0.25">
      <c r="A33" s="80"/>
      <c r="B33" s="77">
        <v>26</v>
      </c>
      <c r="C33" s="37">
        <v>8</v>
      </c>
      <c r="D33" s="37">
        <v>30</v>
      </c>
      <c r="E33" s="11">
        <v>2.7200000000000273</v>
      </c>
      <c r="F33" s="12">
        <f t="shared" si="0"/>
        <v>5440.0000000000546</v>
      </c>
      <c r="G33" s="4">
        <f t="shared" si="1"/>
        <v>5633120.0000000568</v>
      </c>
      <c r="H33" s="11">
        <v>0.54999999999998295</v>
      </c>
      <c r="I33" s="12">
        <f t="shared" si="7"/>
        <v>1099.9999999999659</v>
      </c>
      <c r="J33" s="4">
        <f t="shared" si="8"/>
        <v>1708574.9999999469</v>
      </c>
      <c r="K33" s="11">
        <f t="shared" si="9"/>
        <v>7341695.0000000037</v>
      </c>
      <c r="L33" s="13">
        <f t="shared" si="10"/>
        <v>8075864.5000000047</v>
      </c>
      <c r="M33" s="85">
        <f t="shared" si="6"/>
        <v>558.76734933923785</v>
      </c>
      <c r="N33" s="84"/>
    </row>
    <row r="34" spans="1:16" ht="17.100000000000001" customHeight="1" x14ac:dyDescent="0.25">
      <c r="A34" s="80"/>
      <c r="B34" s="77">
        <v>27</v>
      </c>
      <c r="C34" s="37">
        <v>5</v>
      </c>
      <c r="D34" s="37">
        <v>39</v>
      </c>
      <c r="E34" s="11">
        <v>2.7200000000000273</v>
      </c>
      <c r="F34" s="12">
        <f t="shared" si="0"/>
        <v>5440.0000000000546</v>
      </c>
      <c r="G34" s="4">
        <f t="shared" si="1"/>
        <v>5633120.0000000568</v>
      </c>
      <c r="H34" s="11">
        <v>1.1000000000000227</v>
      </c>
      <c r="I34" s="12">
        <f t="shared" si="7"/>
        <v>2200.0000000000455</v>
      </c>
      <c r="J34" s="4">
        <f t="shared" si="8"/>
        <v>3417150.0000000708</v>
      </c>
      <c r="K34" s="11">
        <f t="shared" si="9"/>
        <v>9050270.0000001267</v>
      </c>
      <c r="L34" s="13">
        <f t="shared" si="10"/>
        <v>9955297.0000001397</v>
      </c>
      <c r="M34" s="85">
        <f t="shared" si="6"/>
        <v>688.80488479901328</v>
      </c>
      <c r="N34" s="84"/>
    </row>
    <row r="35" spans="1:16" ht="17.100000000000001" customHeight="1" x14ac:dyDescent="0.25">
      <c r="A35" s="80"/>
      <c r="B35" s="77">
        <v>28</v>
      </c>
      <c r="C35" s="37">
        <v>4</v>
      </c>
      <c r="D35" s="37">
        <v>33</v>
      </c>
      <c r="E35" s="11">
        <v>2.92999999999995</v>
      </c>
      <c r="F35" s="12">
        <f t="shared" si="0"/>
        <v>5859.9999999999</v>
      </c>
      <c r="G35" s="4">
        <f t="shared" si="1"/>
        <v>6068029.9999998966</v>
      </c>
      <c r="H35" s="11">
        <v>0.53999999999999204</v>
      </c>
      <c r="I35" s="12">
        <f t="shared" si="7"/>
        <v>1079.9999999999841</v>
      </c>
      <c r="J35" s="4">
        <f t="shared" si="8"/>
        <v>1677509.9999999753</v>
      </c>
      <c r="K35" s="11">
        <f t="shared" si="9"/>
        <v>7745539.9999998715</v>
      </c>
      <c r="L35" s="13">
        <f t="shared" si="10"/>
        <v>8520093.9999998584</v>
      </c>
      <c r="M35" s="85">
        <f t="shared" si="6"/>
        <v>589.50349408426337</v>
      </c>
      <c r="N35" s="84"/>
    </row>
    <row r="36" spans="1:16" ht="17.100000000000001" customHeight="1" x14ac:dyDescent="0.25">
      <c r="A36" s="80"/>
      <c r="B36" s="77">
        <v>29</v>
      </c>
      <c r="C36" s="37">
        <v>2</v>
      </c>
      <c r="D36" s="37">
        <v>18</v>
      </c>
      <c r="E36" s="11">
        <v>2.8799999999999955</v>
      </c>
      <c r="F36" s="12">
        <f t="shared" si="0"/>
        <v>5759.9999999999909</v>
      </c>
      <c r="G36" s="4">
        <f t="shared" si="1"/>
        <v>5964479.9999999907</v>
      </c>
      <c r="H36" s="11">
        <v>0.59000000000000341</v>
      </c>
      <c r="I36" s="12">
        <f t="shared" si="7"/>
        <v>1180.0000000000068</v>
      </c>
      <c r="J36" s="4">
        <f t="shared" si="8"/>
        <v>1832835.0000000107</v>
      </c>
      <c r="K36" s="11">
        <f t="shared" si="9"/>
        <v>7797315.0000000019</v>
      </c>
      <c r="L36" s="13">
        <f t="shared" si="10"/>
        <v>8577046.5000000019</v>
      </c>
      <c r="M36" s="85">
        <f t="shared" si="6"/>
        <v>593.44402546184199</v>
      </c>
      <c r="N36" s="84"/>
    </row>
    <row r="37" spans="1:16" ht="17.100000000000001" customHeight="1" x14ac:dyDescent="0.25">
      <c r="A37" s="80"/>
      <c r="B37" s="77">
        <v>30</v>
      </c>
      <c r="C37" s="37">
        <v>10</v>
      </c>
      <c r="D37" s="37">
        <v>19</v>
      </c>
      <c r="E37" s="11">
        <v>2.9300000000000637</v>
      </c>
      <c r="F37" s="12">
        <f t="shared" si="0"/>
        <v>5860.0000000001273</v>
      </c>
      <c r="G37" s="4">
        <f t="shared" si="1"/>
        <v>6068030.0000001322</v>
      </c>
      <c r="H37" s="11">
        <v>0.57999999999998408</v>
      </c>
      <c r="I37" s="12">
        <f t="shared" si="7"/>
        <v>1159.9999999999682</v>
      </c>
      <c r="J37" s="4">
        <f t="shared" si="8"/>
        <v>1801769.9999999506</v>
      </c>
      <c r="K37" s="11">
        <f t="shared" si="9"/>
        <v>7869800.0000000829</v>
      </c>
      <c r="L37" s="13">
        <f t="shared" si="10"/>
        <v>8656780.0000000913</v>
      </c>
      <c r="M37" s="85">
        <f t="shared" si="6"/>
        <v>598.96076939044428</v>
      </c>
      <c r="N37" s="84"/>
    </row>
    <row r="38" spans="1:16" ht="15" x14ac:dyDescent="0.25">
      <c r="C38" s="19">
        <f>SUM(C8:C37)</f>
        <v>161</v>
      </c>
      <c r="D38" s="19">
        <f>SUM(D8:D37)</f>
        <v>780</v>
      </c>
      <c r="F38" s="19">
        <f>SUM(F8:F37)</f>
        <v>163180.00000000006</v>
      </c>
      <c r="I38" s="19">
        <f>SUM(I8:I37)</f>
        <v>33820</v>
      </c>
      <c r="K38" s="2" t="s">
        <v>42</v>
      </c>
      <c r="L38" s="54">
        <f>SUM(L8:L37)</f>
        <v>243654185.50000009</v>
      </c>
      <c r="M38" s="55">
        <f>SUM(M8:M37)</f>
        <v>16858.381339514297</v>
      </c>
      <c r="N38" s="47"/>
      <c r="P38" s="40" t="e">
        <f>#REF!+#REF!+#REF!+#REF!+#REF!+#REF!+#REF!+#REF!+#REF!+#REF!+M38+#REF!</f>
        <v>#REF!</v>
      </c>
    </row>
    <row r="39" spans="1:16" x14ac:dyDescent="0.2">
      <c r="K39" s="53">
        <f>F38+I38</f>
        <v>197000.00000000006</v>
      </c>
    </row>
    <row r="40" spans="1:16" x14ac:dyDescent="0.2">
      <c r="C40" t="s">
        <v>41</v>
      </c>
      <c r="M40" s="42"/>
      <c r="P40" s="38"/>
    </row>
    <row r="41" spans="1:16" x14ac:dyDescent="0.2">
      <c r="M41" s="45"/>
    </row>
  </sheetData>
  <mergeCells count="17"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opLeftCell="A3" workbookViewId="0">
      <pane xSplit="2" ySplit="6" topLeftCell="C9" activePane="bottomRight" state="frozen"/>
      <selection activeCell="A3" sqref="A3"/>
      <selection pane="topRight" activeCell="C3" sqref="C3"/>
      <selection pane="bottomLeft" activeCell="A9" sqref="A9"/>
      <selection pane="bottomRight" activeCell="J31" sqref="J31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7" t="s">
        <v>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9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1">
        <v>44287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19" ht="23.25" customHeight="1" x14ac:dyDescent="0.2">
      <c r="A5" s="79"/>
      <c r="B5" s="86" t="s">
        <v>1</v>
      </c>
      <c r="C5" s="86" t="s">
        <v>38</v>
      </c>
      <c r="D5" s="86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19" s="7" customFormat="1" ht="48" customHeight="1" x14ac:dyDescent="0.2">
      <c r="A6" s="79"/>
      <c r="B6" s="86"/>
      <c r="C6" s="86"/>
      <c r="D6" s="86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19" ht="36" customHeight="1" x14ac:dyDescent="0.2">
      <c r="A7" s="80"/>
      <c r="B7" s="86"/>
      <c r="C7" s="86"/>
      <c r="D7" s="86"/>
      <c r="E7" s="86" t="s">
        <v>10</v>
      </c>
      <c r="F7" s="95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2"/>
      <c r="R7" s="92"/>
      <c r="S7" s="70"/>
    </row>
    <row r="8" spans="1:19" ht="15.75" customHeight="1" x14ac:dyDescent="0.2">
      <c r="A8" s="80"/>
      <c r="B8" s="86"/>
      <c r="C8" s="86"/>
      <c r="D8" s="86"/>
      <c r="E8" s="86"/>
      <c r="F8" s="96"/>
      <c r="G8" s="82">
        <v>14120</v>
      </c>
      <c r="H8" s="86"/>
      <c r="I8" s="86"/>
      <c r="J8" s="82">
        <f>G8</f>
        <v>14120</v>
      </c>
      <c r="K8" s="86"/>
      <c r="L8" s="86"/>
      <c r="M8" s="82">
        <f>J8</f>
        <v>14120</v>
      </c>
      <c r="N8" s="86"/>
      <c r="O8" s="86"/>
      <c r="P8" s="82">
        <f>J8</f>
        <v>14120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3</v>
      </c>
      <c r="D9" s="16">
        <f>Electricity!D8</f>
        <v>16</v>
      </c>
      <c r="E9" s="3">
        <v>8</v>
      </c>
      <c r="F9" s="11">
        <v>35.043599999999266</v>
      </c>
      <c r="G9" s="25">
        <f>F9*$G$8</f>
        <v>494815.63199998962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100816.79999999999</v>
      </c>
      <c r="Q9" s="17">
        <f>P9+G9+J9+M9</f>
        <v>595632.43199998955</v>
      </c>
      <c r="R9" s="78">
        <f>Q9/14572</f>
        <v>40.875132583035246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5</v>
      </c>
      <c r="D10" s="16">
        <f>Electricity!D9</f>
        <v>20</v>
      </c>
      <c r="E10" s="3">
        <v>8</v>
      </c>
      <c r="F10" s="11">
        <v>35.043600000002925</v>
      </c>
      <c r="G10" s="25">
        <f>F10*$G$8</f>
        <v>494815.63200004131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100816.79999999999</v>
      </c>
      <c r="Q10" s="17">
        <f>J10+M10+G10+P10</f>
        <v>595632.43200004124</v>
      </c>
      <c r="R10" s="78">
        <f t="shared" ref="R10:R38" si="1">Q10/14572</f>
        <v>40.875132583038791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6</v>
      </c>
      <c r="D11" s="16">
        <f>Electricity!D10</f>
        <v>25</v>
      </c>
      <c r="E11" s="3">
        <v>8</v>
      </c>
      <c r="F11" s="11">
        <v>34.35883999999897</v>
      </c>
      <c r="G11" s="25">
        <f t="shared" ref="G11:G38" si="2">F11*$G$8</f>
        <v>485146.82079998543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4">O11*$P$8</f>
        <v>100816.79999999999</v>
      </c>
      <c r="Q11" s="17">
        <f t="shared" ref="Q11:Q38" si="5">J11+M11+G11+P11</f>
        <v>585963.62079998548</v>
      </c>
      <c r="R11" s="78">
        <f t="shared" si="1"/>
        <v>40.211612736754425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6</v>
      </c>
      <c r="D12" s="16">
        <f>Electricity!D11</f>
        <v>28</v>
      </c>
      <c r="E12" s="3">
        <v>8</v>
      </c>
      <c r="F12" s="11">
        <v>35.164439999998237</v>
      </c>
      <c r="G12" s="25">
        <f t="shared" si="2"/>
        <v>496521.89279997512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100816.79999999999</v>
      </c>
      <c r="Q12" s="17">
        <f t="shared" si="5"/>
        <v>597338.69279997516</v>
      </c>
      <c r="R12" s="78">
        <f t="shared" si="1"/>
        <v>40.992224320613175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3</v>
      </c>
      <c r="D13" s="16">
        <f>Electricity!D12</f>
        <v>25</v>
      </c>
      <c r="E13" s="3">
        <v>8</v>
      </c>
      <c r="F13" s="11">
        <v>35.285280000000874</v>
      </c>
      <c r="G13" s="25">
        <f t="shared" si="2"/>
        <v>498228.15360001236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100816.79999999999</v>
      </c>
      <c r="Q13" s="17">
        <f t="shared" si="5"/>
        <v>599044.95360001235</v>
      </c>
      <c r="R13" s="78">
        <f t="shared" si="1"/>
        <v>41.109316058194644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3</v>
      </c>
      <c r="D14" s="16">
        <f>Electricity!D13</f>
        <v>17</v>
      </c>
      <c r="E14" s="3">
        <v>8</v>
      </c>
      <c r="F14" s="11">
        <v>45.758079999998678</v>
      </c>
      <c r="G14" s="25">
        <f t="shared" si="2"/>
        <v>646104.08959998132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100816.79999999999</v>
      </c>
      <c r="Q14" s="17">
        <f t="shared" si="5"/>
        <v>746920.88959998125</v>
      </c>
      <c r="R14" s="78">
        <f t="shared" si="1"/>
        <v>51.257266648365444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2</v>
      </c>
      <c r="D15" s="16">
        <f>Electricity!D14</f>
        <v>16</v>
      </c>
      <c r="E15" s="3">
        <v>8</v>
      </c>
      <c r="F15" s="11">
        <v>36.010320000002046</v>
      </c>
      <c r="G15" s="25">
        <f t="shared" si="2"/>
        <v>508465.71840002888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100816.79999999999</v>
      </c>
      <c r="Q15" s="17">
        <f t="shared" si="5"/>
        <v>609282.51840002881</v>
      </c>
      <c r="R15" s="78">
        <f t="shared" si="1"/>
        <v>41.811866483669284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4</v>
      </c>
      <c r="D16" s="16">
        <f>Electricity!D15</f>
        <v>13</v>
      </c>
      <c r="E16" s="3">
        <v>8</v>
      </c>
      <c r="F16" s="11">
        <v>35.406119999999852</v>
      </c>
      <c r="G16" s="25">
        <f t="shared" si="2"/>
        <v>499934.41439999791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100816.79999999999</v>
      </c>
      <c r="Q16" s="17">
        <f t="shared" si="5"/>
        <v>600751.21439999784</v>
      </c>
      <c r="R16" s="78">
        <f t="shared" si="1"/>
        <v>41.226407795772566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8</v>
      </c>
      <c r="D17" s="16">
        <f>Electricity!D16</f>
        <v>20</v>
      </c>
      <c r="E17" s="3">
        <v>8</v>
      </c>
      <c r="F17" s="11">
        <v>39.514680000001604</v>
      </c>
      <c r="G17" s="25">
        <f t="shared" si="2"/>
        <v>557947.28160002269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100816.79999999999</v>
      </c>
      <c r="Q17" s="17">
        <f t="shared" si="5"/>
        <v>658764.08160002274</v>
      </c>
      <c r="R17" s="78">
        <f t="shared" si="1"/>
        <v>45.207526873457503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6</v>
      </c>
      <c r="D18" s="16">
        <f>Electricity!D17</f>
        <v>39</v>
      </c>
      <c r="E18" s="3">
        <v>8</v>
      </c>
      <c r="F18" s="11">
        <v>42.817639999996771</v>
      </c>
      <c r="G18" s="25">
        <f t="shared" si="2"/>
        <v>604585.0767999544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100816.79999999999</v>
      </c>
      <c r="Q18" s="17">
        <f t="shared" si="5"/>
        <v>705401.87679995433</v>
      </c>
      <c r="R18" s="78">
        <f t="shared" si="1"/>
        <v>48.408034367276578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9</v>
      </c>
      <c r="D19" s="16">
        <f>Electricity!D18</f>
        <v>26</v>
      </c>
      <c r="E19" s="3">
        <v>8</v>
      </c>
      <c r="F19" s="11">
        <v>37.299280000000877</v>
      </c>
      <c r="G19" s="25">
        <f t="shared" si="2"/>
        <v>526665.83360001235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100816.79999999999</v>
      </c>
      <c r="Q19" s="17">
        <f t="shared" si="5"/>
        <v>627482.6336000124</v>
      </c>
      <c r="R19" s="78">
        <f t="shared" si="1"/>
        <v>43.060845017843292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4</v>
      </c>
      <c r="D20" s="16">
        <f>Electricity!D19</f>
        <v>25</v>
      </c>
      <c r="E20" s="3">
        <v>8</v>
      </c>
      <c r="F20" s="11">
        <v>38.14516000000102</v>
      </c>
      <c r="G20" s="25">
        <f t="shared" si="2"/>
        <v>538609.65920001443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100816.79999999999</v>
      </c>
      <c r="Q20" s="17">
        <f t="shared" si="5"/>
        <v>639426.45920001436</v>
      </c>
      <c r="R20" s="78">
        <f t="shared" si="1"/>
        <v>43.880487180895855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6</v>
      </c>
      <c r="D21" s="16">
        <f>Electricity!D20</f>
        <v>37</v>
      </c>
      <c r="E21" s="3">
        <v>8</v>
      </c>
      <c r="F21" s="11">
        <v>46.201160000001018</v>
      </c>
      <c r="G21" s="25">
        <f t="shared" si="2"/>
        <v>652360.3792000144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100816.79999999999</v>
      </c>
      <c r="Q21" s="17">
        <f t="shared" si="5"/>
        <v>753177.17920001433</v>
      </c>
      <c r="R21" s="78">
        <f t="shared" si="1"/>
        <v>51.686603019490413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7</v>
      </c>
      <c r="D22" s="16">
        <f>Electricity!D21</f>
        <v>35</v>
      </c>
      <c r="E22" s="3">
        <v>8</v>
      </c>
      <c r="F22" s="11">
        <v>42.495399999997062</v>
      </c>
      <c r="G22" s="25">
        <f t="shared" si="2"/>
        <v>600035.04799995851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100816.79999999999</v>
      </c>
      <c r="Q22" s="17">
        <f t="shared" si="5"/>
        <v>700851.84799995855</v>
      </c>
      <c r="R22" s="78">
        <f t="shared" si="1"/>
        <v>48.095789733733085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4</v>
      </c>
      <c r="D23" s="16">
        <f>Electricity!D22</f>
        <v>30</v>
      </c>
      <c r="E23" s="3">
        <v>8</v>
      </c>
      <c r="F23" s="11">
        <v>42.092600000002925</v>
      </c>
      <c r="G23" s="25">
        <f t="shared" si="2"/>
        <v>594347.51200004132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100816.79999999999</v>
      </c>
      <c r="Q23" s="17">
        <f t="shared" si="5"/>
        <v>695164.31200004136</v>
      </c>
      <c r="R23" s="78">
        <f t="shared" si="1"/>
        <v>47.705483941809042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6</v>
      </c>
      <c r="D24" s="16">
        <f>Electricity!D23</f>
        <v>32</v>
      </c>
      <c r="E24" s="3">
        <v>8</v>
      </c>
      <c r="F24" s="11">
        <v>48.617959999998824</v>
      </c>
      <c r="G24" s="25">
        <f t="shared" si="2"/>
        <v>686485.59519998345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100816.79999999999</v>
      </c>
      <c r="Q24" s="17">
        <f t="shared" si="5"/>
        <v>787302.39519998338</v>
      </c>
      <c r="R24" s="78">
        <f t="shared" si="1"/>
        <v>54.028437771066663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4</v>
      </c>
      <c r="D25" s="16">
        <f>Electricity!D24</f>
        <v>44</v>
      </c>
      <c r="E25" s="3">
        <v>8</v>
      </c>
      <c r="F25" s="11">
        <v>40.803640000000435</v>
      </c>
      <c r="G25" s="25">
        <f t="shared" si="2"/>
        <v>576147.39680000616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100816.79999999999</v>
      </c>
      <c r="Q25" s="17">
        <f t="shared" si="5"/>
        <v>676964.19680000609</v>
      </c>
      <c r="R25" s="78">
        <f t="shared" si="1"/>
        <v>46.456505407631489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4</v>
      </c>
      <c r="D26" s="16">
        <f>Electricity!D25</f>
        <v>28</v>
      </c>
      <c r="E26" s="3">
        <v>8</v>
      </c>
      <c r="F26" s="11">
        <v>38.064599999999267</v>
      </c>
      <c r="G26" s="25">
        <f t="shared" si="2"/>
        <v>537472.15199998964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100816.79999999999</v>
      </c>
      <c r="Q26" s="17">
        <f t="shared" si="5"/>
        <v>638288.95199998957</v>
      </c>
      <c r="R26" s="78">
        <f t="shared" si="1"/>
        <v>43.802426022508207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3</v>
      </c>
      <c r="D27" s="16">
        <f>Electricity!D26</f>
        <v>6</v>
      </c>
      <c r="E27" s="3">
        <v>8</v>
      </c>
      <c r="F27" s="11">
        <v>33.392119999999849</v>
      </c>
      <c r="G27" s="25">
        <f t="shared" si="2"/>
        <v>471496.73439999786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100816.79999999999</v>
      </c>
      <c r="Q27" s="17">
        <f t="shared" si="5"/>
        <v>572313.53439999791</v>
      </c>
      <c r="R27" s="78">
        <f t="shared" si="1"/>
        <v>39.274878836123932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5</v>
      </c>
      <c r="D28" s="16">
        <f>Electricity!D27</f>
        <v>18</v>
      </c>
      <c r="E28" s="3">
        <v>8</v>
      </c>
      <c r="F28" s="11">
        <v>34.68107999999868</v>
      </c>
      <c r="G28" s="25">
        <f t="shared" si="2"/>
        <v>489696.84959998133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100816.79999999999</v>
      </c>
      <c r="Q28" s="17">
        <f t="shared" si="5"/>
        <v>590513.64959998126</v>
      </c>
      <c r="R28" s="78">
        <f t="shared" si="1"/>
        <v>40.523857370297918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6</v>
      </c>
      <c r="D29" s="16">
        <f>Electricity!D28</f>
        <v>20</v>
      </c>
      <c r="E29" s="3">
        <v>8</v>
      </c>
      <c r="F29" s="11">
        <v>53.612680000001603</v>
      </c>
      <c r="G29" s="25">
        <f t="shared" si="2"/>
        <v>757011.04160002258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100816.79999999999</v>
      </c>
      <c r="Q29" s="17">
        <f t="shared" si="5"/>
        <v>857827.84160002251</v>
      </c>
      <c r="R29" s="78">
        <f t="shared" si="1"/>
        <v>58.868229590997977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8</v>
      </c>
      <c r="D30" s="16">
        <f>Electricity!D29</f>
        <v>22</v>
      </c>
      <c r="E30" s="3">
        <v>8</v>
      </c>
      <c r="F30" s="11">
        <v>48.819359999999556</v>
      </c>
      <c r="G30" s="25">
        <f t="shared" si="2"/>
        <v>689329.36319999374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100816.79999999999</v>
      </c>
      <c r="Q30" s="17">
        <f t="shared" si="5"/>
        <v>790146.16319999378</v>
      </c>
      <c r="R30" s="78">
        <f t="shared" si="1"/>
        <v>54.223590667032241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6</v>
      </c>
      <c r="D31" s="16">
        <f>Electricity!D30</f>
        <v>26</v>
      </c>
      <c r="E31" s="3">
        <v>8</v>
      </c>
      <c r="F31" s="11">
        <v>44.267719999999116</v>
      </c>
      <c r="G31" s="25">
        <f t="shared" si="2"/>
        <v>625060.20639998757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100816.79999999999</v>
      </c>
      <c r="Q31" s="17">
        <f t="shared" si="5"/>
        <v>725877.0063999875</v>
      </c>
      <c r="R31" s="78">
        <f t="shared" si="1"/>
        <v>49.813135218225881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8</v>
      </c>
      <c r="D32" s="16">
        <f>Electricity!D31</f>
        <v>30</v>
      </c>
      <c r="E32" s="3">
        <v>8</v>
      </c>
      <c r="F32" s="11">
        <v>38.306280000000875</v>
      </c>
      <c r="G32" s="25">
        <f t="shared" si="2"/>
        <v>540884.67360001232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100816.79999999999</v>
      </c>
      <c r="Q32" s="17">
        <f t="shared" si="5"/>
        <v>641701.47360001225</v>
      </c>
      <c r="R32" s="78">
        <f t="shared" si="1"/>
        <v>44.036609497667598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6</v>
      </c>
      <c r="D33" s="16">
        <f>Electricity!D32</f>
        <v>43</v>
      </c>
      <c r="E33" s="3">
        <v>8</v>
      </c>
      <c r="F33" s="11">
        <v>47.570680000001609</v>
      </c>
      <c r="G33" s="25">
        <f t="shared" si="2"/>
        <v>671698.00160002266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100816.79999999999</v>
      </c>
      <c r="Q33" s="17">
        <f t="shared" si="5"/>
        <v>772514.80160002271</v>
      </c>
      <c r="R33" s="78">
        <f t="shared" si="1"/>
        <v>53.013642712052068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8</v>
      </c>
      <c r="D34" s="16">
        <f>Electricity!D33</f>
        <v>30</v>
      </c>
      <c r="E34" s="3">
        <v>8</v>
      </c>
      <c r="F34" s="11">
        <v>33.754640000000435</v>
      </c>
      <c r="G34" s="25">
        <f t="shared" si="2"/>
        <v>476615.51680000615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100816.79999999999</v>
      </c>
      <c r="Q34" s="17">
        <f t="shared" si="5"/>
        <v>577432.3168000062</v>
      </c>
      <c r="R34" s="78">
        <f t="shared" si="1"/>
        <v>39.626154048861252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5</v>
      </c>
      <c r="D35" s="16">
        <f>Electricity!D34</f>
        <v>39</v>
      </c>
      <c r="E35" s="3">
        <v>8</v>
      </c>
      <c r="F35" s="11">
        <v>47.16787999999648</v>
      </c>
      <c r="G35" s="25">
        <f t="shared" si="2"/>
        <v>666010.46559995029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100816.79999999999</v>
      </c>
      <c r="Q35" s="17">
        <f t="shared" si="5"/>
        <v>766827.26559995022</v>
      </c>
      <c r="R35" s="78">
        <f t="shared" si="1"/>
        <v>52.62333692011736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4</v>
      </c>
      <c r="D36" s="16">
        <f>Electricity!D35</f>
        <v>33</v>
      </c>
      <c r="E36" s="3">
        <v>8</v>
      </c>
      <c r="F36" s="11">
        <v>37.420120000003514</v>
      </c>
      <c r="G36" s="25">
        <f t="shared" si="2"/>
        <v>528372.09440004965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100816.79999999999</v>
      </c>
      <c r="Q36" s="17">
        <f t="shared" si="5"/>
        <v>629188.8944000497</v>
      </c>
      <c r="R36" s="78">
        <f t="shared" si="1"/>
        <v>43.177936755424767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2</v>
      </c>
      <c r="D37" s="16">
        <f>Electricity!D36</f>
        <v>18</v>
      </c>
      <c r="E37" s="3">
        <v>8</v>
      </c>
      <c r="F37" s="11">
        <v>50.994479999999406</v>
      </c>
      <c r="G37" s="25">
        <f t="shared" si="2"/>
        <v>720042.05759999156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100816.79999999999</v>
      </c>
      <c r="Q37" s="17">
        <f t="shared" si="5"/>
        <v>820858.85759999161</v>
      </c>
      <c r="R37" s="78">
        <f t="shared" si="1"/>
        <v>56.331241943452625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10</v>
      </c>
      <c r="D38" s="16">
        <f>Electricity!D37</f>
        <v>19</v>
      </c>
      <c r="E38" s="3">
        <v>8</v>
      </c>
      <c r="F38" s="11">
        <v>51.03476000000029</v>
      </c>
      <c r="G38" s="25">
        <f t="shared" si="2"/>
        <v>720610.81120000407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100816.79999999999</v>
      </c>
      <c r="Q38" s="17">
        <f t="shared" si="5"/>
        <v>821427.61120000412</v>
      </c>
      <c r="R38" s="78">
        <f t="shared" si="1"/>
        <v>56.370272522646452</v>
      </c>
      <c r="S38" s="70"/>
    </row>
    <row r="39" spans="1:21" s="1" customFormat="1" ht="15.75" x14ac:dyDescent="0.25">
      <c r="C39" s="49">
        <f>SUM(C9:C38)</f>
        <v>161</v>
      </c>
      <c r="D39" s="49">
        <f>SUM(D9:D38)</f>
        <v>780</v>
      </c>
      <c r="E39" s="19"/>
      <c r="F39" s="19">
        <f>SUM(F9:F38)</f>
        <v>1229.1442000000018</v>
      </c>
      <c r="G39" s="10"/>
      <c r="H39" s="10"/>
      <c r="I39" s="19" t="s">
        <v>40</v>
      </c>
      <c r="J39" s="10"/>
      <c r="K39" s="10"/>
      <c r="L39" s="19" t="s">
        <v>40</v>
      </c>
      <c r="M39" s="10"/>
      <c r="N39" s="9"/>
      <c r="O39" s="19">
        <f>SUM(O9:O38)</f>
        <v>214.19999999999982</v>
      </c>
      <c r="P39" s="10"/>
      <c r="Q39" s="41">
        <f>F39+O39</f>
        <v>1443.3442000000016</v>
      </c>
      <c r="R39" s="52">
        <f>SUM(R9:R38)</f>
        <v>1398.573984628056</v>
      </c>
      <c r="U39" s="40"/>
    </row>
    <row r="40" spans="1:21" x14ac:dyDescent="0.2">
      <c r="E40" s="30"/>
      <c r="F40" s="31"/>
      <c r="G40" s="27"/>
      <c r="H40" s="27"/>
      <c r="I40" s="27"/>
      <c r="J40" s="27"/>
      <c r="K40" s="27"/>
      <c r="L40" s="27"/>
      <c r="M40" s="27"/>
      <c r="N40" s="9"/>
      <c r="O40" s="31"/>
      <c r="P40" s="32"/>
      <c r="Q40" s="19"/>
      <c r="R40" s="27"/>
      <c r="U40" s="38"/>
    </row>
    <row r="41" spans="1:21" x14ac:dyDescent="0.2">
      <c r="B41" s="50" t="s">
        <v>41</v>
      </c>
      <c r="E41" s="9"/>
      <c r="F41" s="10"/>
      <c r="G41" s="10"/>
      <c r="H41" s="10"/>
      <c r="I41" s="10"/>
      <c r="J41" s="10"/>
      <c r="K41" s="10"/>
      <c r="L41" s="10"/>
      <c r="M41" s="27"/>
      <c r="N41" s="9"/>
      <c r="O41" s="10"/>
      <c r="P41" s="10"/>
      <c r="Q41" s="18"/>
      <c r="R41" s="43"/>
    </row>
    <row r="42" spans="1:21" x14ac:dyDescent="0.2">
      <c r="E42" s="33"/>
      <c r="F42" s="33"/>
      <c r="G42" s="33"/>
      <c r="H42" s="33"/>
      <c r="I42" s="33"/>
      <c r="J42" s="33"/>
      <c r="K42" s="33"/>
      <c r="L42" s="33"/>
      <c r="M42" s="35"/>
      <c r="N42" s="33"/>
      <c r="O42" s="33"/>
      <c r="P42" s="33"/>
      <c r="R42" s="44"/>
    </row>
    <row r="43" spans="1:21" x14ac:dyDescent="0.2">
      <c r="R43" s="44"/>
    </row>
  </sheetData>
  <mergeCells count="20"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  <mergeCell ref="N7:N8"/>
    <mergeCell ref="O7:O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F30" sqref="F30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7" t="s">
        <v>36</v>
      </c>
      <c r="C1" s="87"/>
      <c r="D1" s="87"/>
      <c r="E1" s="87"/>
      <c r="F1" s="87"/>
      <c r="G1" s="87"/>
      <c r="H1" s="87"/>
    </row>
    <row r="2" spans="1:9" ht="15.75" x14ac:dyDescent="0.25">
      <c r="B2" s="87" t="s">
        <v>2</v>
      </c>
      <c r="C2" s="87"/>
      <c r="D2" s="87"/>
      <c r="E2" s="87"/>
      <c r="F2" s="87"/>
      <c r="G2" s="87"/>
      <c r="H2" s="87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>
        <v>44287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7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/>
      <c r="F8" s="97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3</v>
      </c>
      <c r="D9" s="37">
        <f>Electricity!D8</f>
        <v>16</v>
      </c>
      <c r="E9" s="15"/>
      <c r="F9" s="28"/>
      <c r="G9" s="28">
        <f t="shared" ref="G9:G38" si="0">F9*$G$8</f>
        <v>0</v>
      </c>
      <c r="H9" s="78">
        <f>G9/14572</f>
        <v>0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5</v>
      </c>
      <c r="D10" s="37">
        <f>Electricity!D9</f>
        <v>20</v>
      </c>
      <c r="E10" s="15"/>
      <c r="F10" s="28"/>
      <c r="G10" s="28">
        <f>F10*$G$8</f>
        <v>0</v>
      </c>
      <c r="H10" s="78">
        <f t="shared" ref="H10:H38" si="1">G10/14572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6</v>
      </c>
      <c r="D11" s="37">
        <f>Electricity!D10</f>
        <v>25</v>
      </c>
      <c r="E11" s="15"/>
      <c r="F11" s="28"/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6</v>
      </c>
      <c r="D12" s="37">
        <f>Electricity!D11</f>
        <v>28</v>
      </c>
      <c r="E12" s="15"/>
      <c r="F12" s="28"/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3</v>
      </c>
      <c r="D13" s="37">
        <f>Electricity!D12</f>
        <v>25</v>
      </c>
      <c r="E13" s="15"/>
      <c r="F13" s="28">
        <v>51</v>
      </c>
      <c r="G13" s="28">
        <f t="shared" si="0"/>
        <v>545700</v>
      </c>
      <c r="H13" s="78">
        <f t="shared" si="1"/>
        <v>37.448531430139994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3</v>
      </c>
      <c r="D14" s="37">
        <f>Electricity!D13</f>
        <v>17</v>
      </c>
      <c r="E14" s="15"/>
      <c r="F14" s="28"/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2</v>
      </c>
      <c r="D15" s="37">
        <f>Electricity!D14</f>
        <v>16</v>
      </c>
      <c r="E15" s="15"/>
      <c r="F15" s="28"/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4</v>
      </c>
      <c r="D16" s="37">
        <f>Electricity!D15</f>
        <v>13</v>
      </c>
      <c r="E16" s="15"/>
      <c r="F16" s="28"/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8</v>
      </c>
      <c r="D17" s="37">
        <f>Electricity!D16</f>
        <v>20</v>
      </c>
      <c r="E17" s="15"/>
      <c r="F17" s="28"/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6</v>
      </c>
      <c r="D18" s="37">
        <f>Electricity!D17</f>
        <v>39</v>
      </c>
      <c r="E18" s="15"/>
      <c r="F18" s="28"/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9</v>
      </c>
      <c r="D19" s="37">
        <f>Electricity!D18</f>
        <v>26</v>
      </c>
      <c r="E19" s="15"/>
      <c r="F19" s="28"/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4</v>
      </c>
      <c r="D20" s="37">
        <f>Electricity!D19</f>
        <v>25</v>
      </c>
      <c r="E20" s="15"/>
      <c r="F20" s="28">
        <v>10</v>
      </c>
      <c r="G20" s="28">
        <f t="shared" si="0"/>
        <v>107000</v>
      </c>
      <c r="H20" s="78">
        <f t="shared" si="1"/>
        <v>7.3428493000274502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6</v>
      </c>
      <c r="D21" s="37">
        <f>Electricity!D20</f>
        <v>37</v>
      </c>
      <c r="E21" s="15"/>
      <c r="F21" s="28"/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7</v>
      </c>
      <c r="D22" s="37">
        <f>Electricity!D21</f>
        <v>35</v>
      </c>
      <c r="E22" s="15"/>
      <c r="F22" s="28"/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4</v>
      </c>
      <c r="D23" s="37">
        <f>Electricity!D22</f>
        <v>30</v>
      </c>
      <c r="E23" s="15"/>
      <c r="F23" s="28"/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6</v>
      </c>
      <c r="D24" s="37">
        <f>Electricity!D23</f>
        <v>32</v>
      </c>
      <c r="E24" s="15"/>
      <c r="F24" s="28"/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4</v>
      </c>
      <c r="D25" s="37">
        <f>Electricity!D24</f>
        <v>44</v>
      </c>
      <c r="E25" s="15"/>
      <c r="F25" s="28"/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4</v>
      </c>
      <c r="D26" s="37">
        <f>Electricity!D25</f>
        <v>28</v>
      </c>
      <c r="E26" s="15"/>
      <c r="F26" s="28"/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3</v>
      </c>
      <c r="D27" s="37">
        <f>Electricity!D26</f>
        <v>6</v>
      </c>
      <c r="E27" s="15"/>
      <c r="F27" s="28">
        <v>11</v>
      </c>
      <c r="G27" s="28">
        <f t="shared" si="0"/>
        <v>117700</v>
      </c>
      <c r="H27" s="78">
        <f t="shared" si="1"/>
        <v>8.0771342300301949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5</v>
      </c>
      <c r="D28" s="37">
        <f>Electricity!D27</f>
        <v>18</v>
      </c>
      <c r="E28" s="15"/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6</v>
      </c>
      <c r="D29" s="37">
        <f>Electricity!D28</f>
        <v>20</v>
      </c>
      <c r="E29" s="15"/>
      <c r="F29" s="28">
        <v>558</v>
      </c>
      <c r="G29" s="28">
        <f t="shared" si="0"/>
        <v>5970600</v>
      </c>
      <c r="H29" s="78">
        <f t="shared" si="1"/>
        <v>409.73099094153173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8</v>
      </c>
      <c r="D30" s="37">
        <f>Electricity!D29</f>
        <v>22</v>
      </c>
      <c r="E30" s="15"/>
      <c r="F30" s="28"/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6</v>
      </c>
      <c r="D31" s="37">
        <f>Electricity!D30</f>
        <v>26</v>
      </c>
      <c r="E31" s="15"/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8</v>
      </c>
      <c r="D32" s="37">
        <f>Electricity!D31</f>
        <v>30</v>
      </c>
      <c r="E32" s="15"/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6</v>
      </c>
      <c r="D33" s="37">
        <f>Electricity!D32</f>
        <v>43</v>
      </c>
      <c r="E33" s="15"/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8</v>
      </c>
      <c r="D34" s="37">
        <f>Electricity!D33</f>
        <v>30</v>
      </c>
      <c r="E34" s="15"/>
      <c r="F34" s="28">
        <v>8</v>
      </c>
      <c r="G34" s="28">
        <f t="shared" si="0"/>
        <v>85600</v>
      </c>
      <c r="H34" s="78">
        <f t="shared" si="1"/>
        <v>5.8742794400219598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5</v>
      </c>
      <c r="D35" s="37">
        <f>Electricity!D34</f>
        <v>39</v>
      </c>
      <c r="E35" s="15"/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4</v>
      </c>
      <c r="D36" s="37">
        <f>Electricity!D35</f>
        <v>33</v>
      </c>
      <c r="E36" s="15"/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2</v>
      </c>
      <c r="D37" s="37">
        <f>Electricity!D36</f>
        <v>18</v>
      </c>
      <c r="E37" s="15"/>
      <c r="F37" s="28"/>
      <c r="G37" s="28">
        <f t="shared" si="0"/>
        <v>0</v>
      </c>
      <c r="H37" s="78">
        <f>G37/14572</f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10</v>
      </c>
      <c r="D38" s="37">
        <f>Electricity!D37</f>
        <v>19</v>
      </c>
      <c r="E38" s="15"/>
      <c r="F38" s="28"/>
      <c r="G38" s="28">
        <f t="shared" si="0"/>
        <v>0</v>
      </c>
      <c r="H38" s="78">
        <f t="shared" si="1"/>
        <v>0</v>
      </c>
      <c r="I38" s="70"/>
    </row>
    <row r="39" spans="1:11" s="1" customFormat="1" ht="21.6" customHeight="1" x14ac:dyDescent="0.2">
      <c r="C39" s="19">
        <f>SUM(C9:C38)</f>
        <v>161</v>
      </c>
      <c r="D39" s="19">
        <f>SUM(D9:D38)</f>
        <v>780</v>
      </c>
      <c r="E39" s="19"/>
      <c r="F39" s="19">
        <f>SUM(F9:F38)</f>
        <v>638</v>
      </c>
      <c r="G39" s="19"/>
      <c r="H39" s="48">
        <f>SUM(H9:H38)</f>
        <v>468.4737853417513</v>
      </c>
      <c r="K39" s="40"/>
    </row>
    <row r="40" spans="1:11" x14ac:dyDescent="0.2">
      <c r="E40" s="19"/>
      <c r="F40" s="26"/>
      <c r="G40" s="26"/>
      <c r="H40" s="27"/>
    </row>
    <row r="41" spans="1:11" x14ac:dyDescent="0.2">
      <c r="C41" t="s">
        <v>41</v>
      </c>
      <c r="E41" s="33"/>
      <c r="F41" s="34"/>
      <c r="G41" s="34"/>
    </row>
    <row r="42" spans="1:11" x14ac:dyDescent="0.2">
      <c r="E42" s="33"/>
      <c r="F42" s="34"/>
      <c r="G42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2"/>
  <sheetViews>
    <sheetView topLeftCell="A10" zoomScaleNormal="100" workbookViewId="0">
      <selection activeCell="Q29" sqref="Q29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7" t="s">
        <v>16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x14ac:dyDescent="0.25">
      <c r="B3" s="87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44287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3" t="s">
        <v>32</v>
      </c>
      <c r="F6" s="93"/>
      <c r="G6" s="94" t="s">
        <v>33</v>
      </c>
      <c r="H6" s="94"/>
      <c r="I6" s="94"/>
      <c r="J6" s="94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3</v>
      </c>
      <c r="D9" s="37">
        <f>Electricity!D8</f>
        <v>16</v>
      </c>
      <c r="E9" s="11">
        <v>0</v>
      </c>
      <c r="F9" s="4">
        <f>E9*13582</f>
        <v>0</v>
      </c>
      <c r="G9" s="11">
        <v>0</v>
      </c>
      <c r="H9" s="4">
        <f>G9*4000</f>
        <v>0</v>
      </c>
      <c r="I9" s="11">
        <v>182</v>
      </c>
      <c r="J9" s="4">
        <f>I9*4000</f>
        <v>728000</v>
      </c>
      <c r="K9" s="11">
        <f t="shared" ref="K9:K38" si="0">F9+H9+J9</f>
        <v>728000</v>
      </c>
      <c r="L9" s="81">
        <f>K9/14572</f>
        <v>49.958825144111998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5</v>
      </c>
      <c r="D10" s="37">
        <f>Electricity!D9</f>
        <v>20</v>
      </c>
      <c r="E10" s="11">
        <v>0</v>
      </c>
      <c r="F10" s="4">
        <f>E10*13582</f>
        <v>0</v>
      </c>
      <c r="G10" s="11">
        <v>0</v>
      </c>
      <c r="H10" s="4">
        <f>G10*4000</f>
        <v>0</v>
      </c>
      <c r="I10" s="11">
        <v>176</v>
      </c>
      <c r="J10" s="4">
        <f>I10*4000</f>
        <v>704000</v>
      </c>
      <c r="K10" s="11">
        <f t="shared" si="0"/>
        <v>704000</v>
      </c>
      <c r="L10" s="81">
        <f t="shared" ref="L10:L38" si="1">K10/14572</f>
        <v>48.311830908591823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6</v>
      </c>
      <c r="D11" s="37">
        <f>Electricity!D10</f>
        <v>25</v>
      </c>
      <c r="E11" s="11">
        <v>0</v>
      </c>
      <c r="F11" s="4">
        <f t="shared" ref="F11:F38" si="2">E11*13582</f>
        <v>0</v>
      </c>
      <c r="G11" s="11">
        <v>0</v>
      </c>
      <c r="H11" s="4">
        <f t="shared" ref="H11:H38" si="3">G11*4000</f>
        <v>0</v>
      </c>
      <c r="I11" s="11">
        <v>203</v>
      </c>
      <c r="J11" s="4">
        <f t="shared" ref="J11:J38" si="4">I11*4000</f>
        <v>812000</v>
      </c>
      <c r="K11" s="11">
        <f t="shared" si="0"/>
        <v>812000</v>
      </c>
      <c r="L11" s="81">
        <f t="shared" si="1"/>
        <v>55.723304968432608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6</v>
      </c>
      <c r="D12" s="37">
        <f>Electricity!D11</f>
        <v>28</v>
      </c>
      <c r="E12" s="11">
        <v>0</v>
      </c>
      <c r="F12" s="4">
        <f t="shared" si="2"/>
        <v>0</v>
      </c>
      <c r="G12" s="11">
        <v>0</v>
      </c>
      <c r="H12" s="4">
        <f t="shared" si="3"/>
        <v>0</v>
      </c>
      <c r="I12" s="11">
        <v>191</v>
      </c>
      <c r="J12" s="4">
        <f t="shared" si="4"/>
        <v>764000</v>
      </c>
      <c r="K12" s="11">
        <f t="shared" si="0"/>
        <v>764000</v>
      </c>
      <c r="L12" s="81">
        <f t="shared" si="1"/>
        <v>52.429316497392257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3</v>
      </c>
      <c r="D13" s="37">
        <f>Electricity!D12</f>
        <v>25</v>
      </c>
      <c r="E13" s="11">
        <v>0</v>
      </c>
      <c r="F13" s="4">
        <f t="shared" si="2"/>
        <v>0</v>
      </c>
      <c r="G13" s="11">
        <v>0</v>
      </c>
      <c r="H13" s="4">
        <f t="shared" si="3"/>
        <v>0</v>
      </c>
      <c r="I13" s="11">
        <v>181</v>
      </c>
      <c r="J13" s="4">
        <f t="shared" si="4"/>
        <v>724000</v>
      </c>
      <c r="K13" s="11">
        <f t="shared" si="0"/>
        <v>724000</v>
      </c>
      <c r="L13" s="81">
        <f t="shared" si="1"/>
        <v>49.684326104858634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3</v>
      </c>
      <c r="D14" s="37">
        <f>Electricity!D13</f>
        <v>17</v>
      </c>
      <c r="E14" s="11">
        <v>0</v>
      </c>
      <c r="F14" s="4">
        <f t="shared" si="2"/>
        <v>0</v>
      </c>
      <c r="G14" s="11">
        <v>0</v>
      </c>
      <c r="H14" s="4">
        <f t="shared" si="3"/>
        <v>0</v>
      </c>
      <c r="I14" s="11">
        <v>186</v>
      </c>
      <c r="J14" s="4">
        <f t="shared" si="4"/>
        <v>744000</v>
      </c>
      <c r="K14" s="11">
        <f t="shared" si="0"/>
        <v>744000</v>
      </c>
      <c r="L14" s="81">
        <f t="shared" si="1"/>
        <v>51.056821301125446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2</v>
      </c>
      <c r="D15" s="37">
        <f>Electricity!D14</f>
        <v>16</v>
      </c>
      <c r="E15" s="11">
        <v>0</v>
      </c>
      <c r="F15" s="4">
        <f t="shared" si="2"/>
        <v>0</v>
      </c>
      <c r="G15" s="11">
        <v>0</v>
      </c>
      <c r="H15" s="4">
        <f t="shared" si="3"/>
        <v>0</v>
      </c>
      <c r="I15" s="11">
        <v>201</v>
      </c>
      <c r="J15" s="4">
        <f t="shared" si="4"/>
        <v>804000</v>
      </c>
      <c r="K15" s="11">
        <f t="shared" si="0"/>
        <v>804000</v>
      </c>
      <c r="L15" s="81">
        <f t="shared" si="1"/>
        <v>55.174306889925887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4</v>
      </c>
      <c r="D16" s="37">
        <f>Electricity!D15</f>
        <v>13</v>
      </c>
      <c r="E16" s="11">
        <v>0</v>
      </c>
      <c r="F16" s="4">
        <f t="shared" si="2"/>
        <v>0</v>
      </c>
      <c r="G16" s="11">
        <v>0</v>
      </c>
      <c r="H16" s="4">
        <f t="shared" si="3"/>
        <v>0</v>
      </c>
      <c r="I16" s="11">
        <v>181</v>
      </c>
      <c r="J16" s="4">
        <f t="shared" si="4"/>
        <v>724000</v>
      </c>
      <c r="K16" s="11">
        <f t="shared" si="0"/>
        <v>724000</v>
      </c>
      <c r="L16" s="81">
        <f t="shared" si="1"/>
        <v>49.684326104858634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8</v>
      </c>
      <c r="D17" s="37">
        <f>Electricity!D16</f>
        <v>20</v>
      </c>
      <c r="E17" s="11">
        <v>0</v>
      </c>
      <c r="F17" s="4">
        <f t="shared" si="2"/>
        <v>0</v>
      </c>
      <c r="G17" s="11">
        <v>0</v>
      </c>
      <c r="H17" s="4">
        <f t="shared" si="3"/>
        <v>0</v>
      </c>
      <c r="I17" s="11">
        <v>211</v>
      </c>
      <c r="J17" s="4">
        <f t="shared" si="4"/>
        <v>844000</v>
      </c>
      <c r="K17" s="11">
        <f t="shared" si="0"/>
        <v>844000</v>
      </c>
      <c r="L17" s="81">
        <f t="shared" si="1"/>
        <v>57.91929728245951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6</v>
      </c>
      <c r="D18" s="37">
        <f>Electricity!D17</f>
        <v>39</v>
      </c>
      <c r="E18" s="11">
        <v>0</v>
      </c>
      <c r="F18" s="4">
        <f t="shared" si="2"/>
        <v>0</v>
      </c>
      <c r="G18" s="11">
        <v>0</v>
      </c>
      <c r="H18" s="4">
        <f t="shared" si="3"/>
        <v>0</v>
      </c>
      <c r="I18" s="11">
        <v>186</v>
      </c>
      <c r="J18" s="4">
        <f t="shared" si="4"/>
        <v>744000</v>
      </c>
      <c r="K18" s="11">
        <f t="shared" si="0"/>
        <v>744000</v>
      </c>
      <c r="L18" s="81">
        <f t="shared" si="1"/>
        <v>51.056821301125446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9</v>
      </c>
      <c r="D19" s="37">
        <f>Electricity!D18</f>
        <v>26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>
        <v>192</v>
      </c>
      <c r="J19" s="4">
        <f t="shared" si="4"/>
        <v>768000</v>
      </c>
      <c r="K19" s="11">
        <f t="shared" si="0"/>
        <v>768000</v>
      </c>
      <c r="L19" s="81">
        <f t="shared" si="1"/>
        <v>52.703815536645621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4</v>
      </c>
      <c r="D20" s="37">
        <f>Electricity!D19</f>
        <v>25</v>
      </c>
      <c r="E20" s="11">
        <v>0</v>
      </c>
      <c r="F20" s="4">
        <f t="shared" si="2"/>
        <v>0</v>
      </c>
      <c r="G20" s="11">
        <v>48</v>
      </c>
      <c r="H20" s="4">
        <f>G20*4000</f>
        <v>192000</v>
      </c>
      <c r="I20" s="11">
        <v>244</v>
      </c>
      <c r="J20" s="4">
        <f t="shared" si="4"/>
        <v>976000</v>
      </c>
      <c r="K20" s="11">
        <f t="shared" si="0"/>
        <v>1168000</v>
      </c>
      <c r="L20" s="81">
        <f t="shared" si="1"/>
        <v>80.153719461981879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6</v>
      </c>
      <c r="D21" s="37">
        <f>Electricity!D20</f>
        <v>37</v>
      </c>
      <c r="E21" s="11">
        <v>0</v>
      </c>
      <c r="F21" s="4">
        <f t="shared" si="2"/>
        <v>0</v>
      </c>
      <c r="G21" s="11">
        <v>96</v>
      </c>
      <c r="H21" s="4">
        <f t="shared" si="3"/>
        <v>384000</v>
      </c>
      <c r="I21" s="11">
        <v>217</v>
      </c>
      <c r="J21" s="4">
        <f t="shared" si="4"/>
        <v>868000</v>
      </c>
      <c r="K21" s="11">
        <f t="shared" si="0"/>
        <v>1252000</v>
      </c>
      <c r="L21" s="81">
        <f t="shared" si="1"/>
        <v>85.918199286302496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7</v>
      </c>
      <c r="D22" s="37">
        <f>Electricity!D21</f>
        <v>35</v>
      </c>
      <c r="E22" s="11">
        <v>0</v>
      </c>
      <c r="F22" s="4">
        <f t="shared" si="2"/>
        <v>0</v>
      </c>
      <c r="G22" s="11">
        <v>109</v>
      </c>
      <c r="H22" s="4">
        <f t="shared" si="3"/>
        <v>436000</v>
      </c>
      <c r="I22" s="11">
        <v>161</v>
      </c>
      <c r="J22" s="4">
        <f t="shared" si="4"/>
        <v>644000</v>
      </c>
      <c r="K22" s="11">
        <f t="shared" si="0"/>
        <v>1080000</v>
      </c>
      <c r="L22" s="81">
        <f t="shared" si="1"/>
        <v>74.114740598407906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4</v>
      </c>
      <c r="D23" s="37">
        <f>Electricity!D22</f>
        <v>30</v>
      </c>
      <c r="E23" s="11">
        <v>0</v>
      </c>
      <c r="F23" s="4">
        <f t="shared" si="2"/>
        <v>0</v>
      </c>
      <c r="G23" s="11">
        <v>127</v>
      </c>
      <c r="H23" s="4">
        <f t="shared" si="3"/>
        <v>508000</v>
      </c>
      <c r="I23" s="11">
        <v>189</v>
      </c>
      <c r="J23" s="4">
        <f t="shared" si="4"/>
        <v>756000</v>
      </c>
      <c r="K23" s="11">
        <f t="shared" si="0"/>
        <v>1264000</v>
      </c>
      <c r="L23" s="81">
        <f t="shared" si="1"/>
        <v>86.74169640406258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6</v>
      </c>
      <c r="D24" s="37">
        <f>Electricity!D23</f>
        <v>32</v>
      </c>
      <c r="E24" s="11">
        <v>0</v>
      </c>
      <c r="F24" s="4">
        <f t="shared" si="2"/>
        <v>0</v>
      </c>
      <c r="G24" s="11">
        <v>52</v>
      </c>
      <c r="H24" s="4">
        <f t="shared" si="3"/>
        <v>208000</v>
      </c>
      <c r="I24" s="11">
        <v>255</v>
      </c>
      <c r="J24" s="4">
        <f t="shared" si="4"/>
        <v>1020000</v>
      </c>
      <c r="K24" s="11">
        <f t="shared" si="0"/>
        <v>1228000</v>
      </c>
      <c r="L24" s="81">
        <f t="shared" si="1"/>
        <v>84.271205050782328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4</v>
      </c>
      <c r="D25" s="37">
        <f>Electricity!D24</f>
        <v>44</v>
      </c>
      <c r="E25" s="11">
        <v>0</v>
      </c>
      <c r="F25" s="4">
        <f t="shared" si="2"/>
        <v>0</v>
      </c>
      <c r="G25" s="11">
        <v>40</v>
      </c>
      <c r="H25" s="4">
        <f t="shared" si="3"/>
        <v>160000</v>
      </c>
      <c r="I25" s="11">
        <v>237</v>
      </c>
      <c r="J25" s="4">
        <f t="shared" si="4"/>
        <v>948000</v>
      </c>
      <c r="K25" s="11">
        <f t="shared" si="0"/>
        <v>1108000</v>
      </c>
      <c r="L25" s="81">
        <f t="shared" si="1"/>
        <v>76.036233873181445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4</v>
      </c>
      <c r="D26" s="37">
        <f>Electricity!D25</f>
        <v>28</v>
      </c>
      <c r="E26" s="11">
        <v>0</v>
      </c>
      <c r="F26" s="4">
        <f t="shared" si="2"/>
        <v>0</v>
      </c>
      <c r="G26" s="11">
        <v>113</v>
      </c>
      <c r="H26" s="4">
        <f t="shared" si="3"/>
        <v>452000</v>
      </c>
      <c r="I26" s="11">
        <v>211</v>
      </c>
      <c r="J26" s="4">
        <f t="shared" si="4"/>
        <v>844000</v>
      </c>
      <c r="K26" s="11">
        <f t="shared" si="0"/>
        <v>1296000</v>
      </c>
      <c r="L26" s="81">
        <f t="shared" si="1"/>
        <v>88.93768871808949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3</v>
      </c>
      <c r="D27" s="37">
        <f>Electricity!D26</f>
        <v>6</v>
      </c>
      <c r="E27" s="11">
        <v>0</v>
      </c>
      <c r="F27" s="4">
        <f t="shared" si="2"/>
        <v>0</v>
      </c>
      <c r="G27" s="11">
        <v>130</v>
      </c>
      <c r="H27" s="4">
        <f t="shared" si="3"/>
        <v>520000</v>
      </c>
      <c r="I27" s="11">
        <v>189</v>
      </c>
      <c r="J27" s="4">
        <f t="shared" si="4"/>
        <v>756000</v>
      </c>
      <c r="K27" s="11">
        <f t="shared" si="0"/>
        <v>1276000</v>
      </c>
      <c r="L27" s="81">
        <f t="shared" si="1"/>
        <v>87.565193521822678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5</v>
      </c>
      <c r="D28" s="37">
        <f>Electricity!D27</f>
        <v>18</v>
      </c>
      <c r="E28" s="11">
        <v>0</v>
      </c>
      <c r="F28" s="4">
        <f t="shared" si="2"/>
        <v>0</v>
      </c>
      <c r="G28" s="11">
        <v>125</v>
      </c>
      <c r="H28" s="4">
        <f t="shared" si="3"/>
        <v>500000</v>
      </c>
      <c r="I28" s="11">
        <v>183</v>
      </c>
      <c r="J28" s="4">
        <f t="shared" si="4"/>
        <v>732000</v>
      </c>
      <c r="K28" s="11">
        <f t="shared" si="0"/>
        <v>1232000</v>
      </c>
      <c r="L28" s="81">
        <f t="shared" si="1"/>
        <v>84.545704090035684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6</v>
      </c>
      <c r="D29" s="37">
        <f>Electricity!D28</f>
        <v>20</v>
      </c>
      <c r="E29" s="11">
        <v>0</v>
      </c>
      <c r="F29" s="4">
        <f t="shared" si="2"/>
        <v>0</v>
      </c>
      <c r="G29" s="11">
        <v>130</v>
      </c>
      <c r="H29" s="4">
        <f t="shared" si="3"/>
        <v>520000</v>
      </c>
      <c r="I29" s="11">
        <v>194</v>
      </c>
      <c r="J29" s="4">
        <f t="shared" si="4"/>
        <v>776000</v>
      </c>
      <c r="K29" s="11">
        <f t="shared" si="0"/>
        <v>1296000</v>
      </c>
      <c r="L29" s="81">
        <f t="shared" si="1"/>
        <v>88.93768871808949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8</v>
      </c>
      <c r="D30" s="37">
        <f>Electricity!D29</f>
        <v>22</v>
      </c>
      <c r="E30" s="11">
        <v>0</v>
      </c>
      <c r="F30" s="4">
        <f t="shared" si="2"/>
        <v>0</v>
      </c>
      <c r="G30" s="11">
        <v>69</v>
      </c>
      <c r="H30" s="4">
        <f t="shared" si="3"/>
        <v>276000</v>
      </c>
      <c r="I30" s="11">
        <v>241</v>
      </c>
      <c r="J30" s="4">
        <f t="shared" si="4"/>
        <v>964000</v>
      </c>
      <c r="K30" s="11">
        <f t="shared" si="0"/>
        <v>1240000</v>
      </c>
      <c r="L30" s="81">
        <f t="shared" si="1"/>
        <v>85.094702168542412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6</v>
      </c>
      <c r="D31" s="37">
        <f>Electricity!D30</f>
        <v>26</v>
      </c>
      <c r="E31" s="11">
        <v>0</v>
      </c>
      <c r="F31" s="4">
        <f t="shared" si="2"/>
        <v>0</v>
      </c>
      <c r="G31" s="11">
        <v>79</v>
      </c>
      <c r="H31" s="4">
        <f t="shared" si="3"/>
        <v>316000</v>
      </c>
      <c r="I31" s="11">
        <v>246</v>
      </c>
      <c r="J31" s="4">
        <f t="shared" si="4"/>
        <v>984000</v>
      </c>
      <c r="K31" s="11">
        <f t="shared" si="0"/>
        <v>1300000</v>
      </c>
      <c r="L31" s="81">
        <f t="shared" si="1"/>
        <v>89.212187757342846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8</v>
      </c>
      <c r="D32" s="37">
        <f>Electricity!D31</f>
        <v>30</v>
      </c>
      <c r="E32" s="11">
        <v>0</v>
      </c>
      <c r="F32" s="4">
        <f t="shared" si="2"/>
        <v>0</v>
      </c>
      <c r="G32" s="11">
        <v>81</v>
      </c>
      <c r="H32" s="4">
        <f t="shared" si="3"/>
        <v>324000</v>
      </c>
      <c r="I32" s="11">
        <v>231</v>
      </c>
      <c r="J32" s="4">
        <f t="shared" si="4"/>
        <v>924000</v>
      </c>
      <c r="K32" s="11">
        <f t="shared" si="0"/>
        <v>1248000</v>
      </c>
      <c r="L32" s="81">
        <f t="shared" si="1"/>
        <v>85.643700247049139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6</v>
      </c>
      <c r="D33" s="37">
        <f>Electricity!D32</f>
        <v>43</v>
      </c>
      <c r="E33" s="11">
        <v>0</v>
      </c>
      <c r="F33" s="4">
        <f t="shared" si="2"/>
        <v>0</v>
      </c>
      <c r="G33" s="11">
        <v>131</v>
      </c>
      <c r="H33" s="4">
        <f t="shared" si="3"/>
        <v>524000</v>
      </c>
      <c r="I33" s="11">
        <v>200</v>
      </c>
      <c r="J33" s="4">
        <f t="shared" si="4"/>
        <v>800000</v>
      </c>
      <c r="K33" s="11">
        <f t="shared" si="0"/>
        <v>1324000</v>
      </c>
      <c r="L33" s="81">
        <f t="shared" si="1"/>
        <v>90.859181992863029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8</v>
      </c>
      <c r="D34" s="37">
        <f>Electricity!D33</f>
        <v>30</v>
      </c>
      <c r="E34" s="11">
        <v>0</v>
      </c>
      <c r="F34" s="4">
        <f t="shared" si="2"/>
        <v>0</v>
      </c>
      <c r="G34" s="11">
        <v>137</v>
      </c>
      <c r="H34" s="4">
        <f t="shared" si="3"/>
        <v>548000</v>
      </c>
      <c r="I34" s="11">
        <v>196</v>
      </c>
      <c r="J34" s="4">
        <f t="shared" si="4"/>
        <v>784000</v>
      </c>
      <c r="K34" s="11">
        <f t="shared" si="0"/>
        <v>1332000</v>
      </c>
      <c r="L34" s="81">
        <f t="shared" si="1"/>
        <v>91.408180071369756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5</v>
      </c>
      <c r="D35" s="37">
        <f>Electricity!D34</f>
        <v>39</v>
      </c>
      <c r="E35" s="11">
        <v>0</v>
      </c>
      <c r="F35" s="4">
        <f t="shared" si="2"/>
        <v>0</v>
      </c>
      <c r="G35" s="11">
        <v>141</v>
      </c>
      <c r="H35" s="4">
        <f t="shared" si="3"/>
        <v>564000</v>
      </c>
      <c r="I35" s="11">
        <v>205</v>
      </c>
      <c r="J35" s="4">
        <f t="shared" si="4"/>
        <v>820000</v>
      </c>
      <c r="K35" s="11">
        <f t="shared" si="0"/>
        <v>1384000</v>
      </c>
      <c r="L35" s="81">
        <f t="shared" si="1"/>
        <v>94.976667581663463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4</v>
      </c>
      <c r="D36" s="37">
        <f>Electricity!D35</f>
        <v>33</v>
      </c>
      <c r="E36" s="11">
        <v>0</v>
      </c>
      <c r="F36" s="4">
        <f t="shared" si="2"/>
        <v>0</v>
      </c>
      <c r="G36" s="11">
        <v>150</v>
      </c>
      <c r="H36" s="4">
        <f t="shared" si="3"/>
        <v>600000</v>
      </c>
      <c r="I36" s="11">
        <v>231</v>
      </c>
      <c r="J36" s="4">
        <f t="shared" si="4"/>
        <v>924000</v>
      </c>
      <c r="K36" s="11">
        <f t="shared" si="0"/>
        <v>1524000</v>
      </c>
      <c r="L36" s="81">
        <f t="shared" si="1"/>
        <v>104.58413395553116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2</v>
      </c>
      <c r="D37" s="37">
        <f>Electricity!D36</f>
        <v>18</v>
      </c>
      <c r="E37" s="11">
        <v>0</v>
      </c>
      <c r="F37" s="4">
        <f t="shared" si="2"/>
        <v>0</v>
      </c>
      <c r="G37" s="11">
        <v>154</v>
      </c>
      <c r="H37" s="4">
        <f t="shared" si="3"/>
        <v>616000</v>
      </c>
      <c r="I37" s="11">
        <v>249</v>
      </c>
      <c r="J37" s="4">
        <f t="shared" si="4"/>
        <v>996000</v>
      </c>
      <c r="K37" s="11">
        <f t="shared" si="0"/>
        <v>1612000</v>
      </c>
      <c r="L37" s="81">
        <f t="shared" si="1"/>
        <v>110.62311281910513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10</v>
      </c>
      <c r="D38" s="37">
        <f>Electricity!D37</f>
        <v>19</v>
      </c>
      <c r="E38" s="11">
        <v>0</v>
      </c>
      <c r="F38" s="4">
        <f t="shared" si="2"/>
        <v>0</v>
      </c>
      <c r="G38" s="11">
        <v>138</v>
      </c>
      <c r="H38" s="4">
        <f t="shared" si="3"/>
        <v>552000</v>
      </c>
      <c r="I38" s="11">
        <v>252</v>
      </c>
      <c r="J38" s="4">
        <f t="shared" si="4"/>
        <v>1008000</v>
      </c>
      <c r="K38" s="11">
        <f t="shared" si="0"/>
        <v>1560000</v>
      </c>
      <c r="L38" s="81">
        <f t="shared" si="1"/>
        <v>107.05462530881142</v>
      </c>
      <c r="M38" s="70"/>
    </row>
    <row r="39" spans="1:15" ht="15.75" x14ac:dyDescent="0.25">
      <c r="C39" s="19">
        <f>SUM(C9:C38)</f>
        <v>161</v>
      </c>
      <c r="D39" s="19">
        <f>SUM(D9:D38)</f>
        <v>780</v>
      </c>
      <c r="E39" s="19">
        <f>SUM(E9:E38)</f>
        <v>0</v>
      </c>
      <c r="G39" s="19">
        <f>SUM(G9:G38)</f>
        <v>2050</v>
      </c>
      <c r="I39" s="19">
        <f>SUM(I9:I38)</f>
        <v>6221</v>
      </c>
      <c r="J39" s="39">
        <f>G39+I39</f>
        <v>8271</v>
      </c>
      <c r="K39" s="46"/>
      <c r="L39" s="51">
        <f>SUM(L9:L38)</f>
        <v>2270.3815536645625</v>
      </c>
      <c r="O39" s="40" t="e">
        <f>#REF!+#REF!+#REF!+#REF!+#REF!+#REF!+#REF!+#REF!+#REF!+#REF!+L39+#REF!</f>
        <v>#REF!</v>
      </c>
    </row>
    <row r="40" spans="1:15" x14ac:dyDescent="0.2">
      <c r="I40" s="43">
        <f>G39+I39</f>
        <v>8271</v>
      </c>
      <c r="L40" s="42"/>
    </row>
    <row r="41" spans="1:15" x14ac:dyDescent="0.2">
      <c r="C41" t="s">
        <v>41</v>
      </c>
      <c r="E41" s="7"/>
      <c r="F41" s="7"/>
      <c r="G41" s="7"/>
      <c r="H41" s="7"/>
      <c r="I41" s="20"/>
      <c r="J41" s="20"/>
      <c r="L41" s="45"/>
    </row>
    <row r="42" spans="1:15" x14ac:dyDescent="0.2">
      <c r="E42" s="7"/>
      <c r="F42" s="7"/>
      <c r="G42" s="7"/>
      <c r="H42" s="7"/>
      <c r="I42" s="20"/>
      <c r="J42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2021-05-03T09:51:29Z</dcterms:modified>
</cp:coreProperties>
</file>