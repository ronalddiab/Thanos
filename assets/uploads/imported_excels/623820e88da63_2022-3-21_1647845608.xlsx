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<sst xmlns="http://schemas.openxmlformats.org/spreadsheetml/2006/main" count="128" uniqueCount="49">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</sst>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59910</v>
      </c>
      <c r="F16" s="11">
        <v>5.0000000000000001E-3</v>
      </c>
      <c r="G16" s="12">
        <f>Submetering!R16</f>
        <v>909.63402299999996</v>
      </c>
      <c r="H16" s="11">
        <v>0.52800000000000002</v>
      </c>
      <c r="I16" s="12">
        <f>Hotel!B21</f>
        <v>199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60610</v>
      </c>
      <c r="F17" s="11">
        <v>5.0000000000000001E-3</v>
      </c>
      <c r="G17" s="12">
        <f>Submetering!R17</f>
        <v>681.37379999999996</v>
      </c>
      <c r="H17" s="11">
        <v>0.52800000000000002</v>
      </c>
      <c r="I17" s="12">
        <f>Hotel!B22</f>
        <v>195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67430</v>
      </c>
      <c r="F18" s="11">
        <v>5.0000000000000001E-3</v>
      </c>
      <c r="G18" s="12">
        <f>Submetering!R18</f>
        <v>676.45276699999999</v>
      </c>
      <c r="H18" s="11">
        <v>0.52800000000000002</v>
      </c>
      <c r="I18" s="12">
        <f>Hotel!B23</f>
        <v>231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60660</v>
      </c>
      <c r="F19" s="11">
        <v>5.0000000000000001E-3</v>
      </c>
      <c r="G19" s="12">
        <f>Submetering!R19</f>
        <v>573.48961499999996</v>
      </c>
      <c r="H19" s="11">
        <v>0.52800000000000002</v>
      </c>
      <c r="I19" s="12">
        <f>Hotel!B24</f>
        <v>215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57720</v>
      </c>
      <c r="F20" s="11">
        <v>5.0000000000000001E-3</v>
      </c>
      <c r="G20" s="12">
        <f>Submetering!R20</f>
        <v>659.41842199999996</v>
      </c>
      <c r="H20" s="11">
        <v>0.52800000000000002</v>
      </c>
      <c r="I20" s="12">
        <f>Hotel!B25</f>
        <v>126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61810</v>
      </c>
      <c r="F21" s="11">
        <v>5.0000000000000001E-3</v>
      </c>
      <c r="G21" s="12">
        <f>Submetering!R21</f>
        <v>731.34121199999993</v>
      </c>
      <c r="H21" s="11">
        <v>0.52800000000000002</v>
      </c>
      <c r="I21" s="12">
        <f>Hotel!B26</f>
        <v>88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9040</v>
      </c>
      <c r="F16" s="4">
        <f>Hotel!R21</f>
        <v>1870</v>
      </c>
      <c r="G16" s="4">
        <f>Hotel!S21</f>
        <v>0</v>
      </c>
      <c r="H16" s="4">
        <f>Hotel!T21</f>
        <v>1490</v>
      </c>
      <c r="I16" s="4">
        <f>Hotel!U21</f>
        <v>5420</v>
      </c>
      <c r="J16" s="4">
        <f>Hotel!V21</f>
        <v>4550</v>
      </c>
      <c r="K16" s="4">
        <f>Hotel!W21</f>
        <v>2900</v>
      </c>
      <c r="L16" s="4">
        <f>Hotel!X21</f>
        <v>4520</v>
      </c>
      <c r="M16" s="4">
        <f>Hotel!Y21</f>
        <v>5420</v>
      </c>
      <c r="N16" s="4">
        <f>Hotel!Z21</f>
        <v>2740</v>
      </c>
      <c r="O16" s="4">
        <f>Hotel!AA21</f>
        <v>3370</v>
      </c>
      <c r="P16" s="4">
        <f>Hotel!AB21</f>
        <v>7060</v>
      </c>
      <c r="Q16" s="4">
        <f>Hotel!AC21</f>
        <v>11530</v>
      </c>
      <c r="R16" s="4">
        <f>Hotel!AV21*0.00378541*100</f>
        <v>909.63402299999996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8110</v>
      </c>
      <c r="F17" s="4">
        <f>Hotel!R22</f>
        <v>1880</v>
      </c>
      <c r="G17" s="4">
        <f>Hotel!S22</f>
        <v>0</v>
      </c>
      <c r="H17" s="4">
        <f>Hotel!T22</f>
        <v>1460</v>
      </c>
      <c r="I17" s="4">
        <f>Hotel!U22</f>
        <v>5450</v>
      </c>
      <c r="J17" s="4">
        <f>Hotel!V22</f>
        <v>4560</v>
      </c>
      <c r="K17" s="4">
        <f>Hotel!W22</f>
        <v>3050</v>
      </c>
      <c r="L17" s="4">
        <f>Hotel!X22</f>
        <v>4880</v>
      </c>
      <c r="M17" s="4">
        <f>Hotel!Y22</f>
        <v>5580</v>
      </c>
      <c r="N17" s="4">
        <f>Hotel!Z22</f>
        <v>2650</v>
      </c>
      <c r="O17" s="4">
        <f>Hotel!AA22</f>
        <v>3500</v>
      </c>
      <c r="P17" s="4">
        <f>Hotel!AB22</f>
        <v>7020</v>
      </c>
      <c r="Q17" s="4">
        <f>Hotel!AC22</f>
        <v>12470</v>
      </c>
      <c r="R17" s="4">
        <f>Hotel!AV22*0.00378541*100</f>
        <v>681.37379999999996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7370</v>
      </c>
      <c r="F18" s="4">
        <f>Hotel!R23</f>
        <v>2150</v>
      </c>
      <c r="G18" s="4">
        <f>Hotel!S23</f>
        <v>0</v>
      </c>
      <c r="H18" s="4">
        <f>Hotel!T23</f>
        <v>1660</v>
      </c>
      <c r="I18" s="4">
        <f>Hotel!U23</f>
        <v>6390</v>
      </c>
      <c r="J18" s="4">
        <f>Hotel!V23</f>
        <v>5090</v>
      </c>
      <c r="K18" s="4">
        <f>Hotel!W23</f>
        <v>3240</v>
      </c>
      <c r="L18" s="4">
        <f>Hotel!X23</f>
        <v>5700</v>
      </c>
      <c r="M18" s="4">
        <f>Hotel!Y23</f>
        <v>6200</v>
      </c>
      <c r="N18" s="4">
        <f>Hotel!Z23</f>
        <v>3090</v>
      </c>
      <c r="O18" s="4">
        <f>Hotel!AA23</f>
        <v>4000</v>
      </c>
      <c r="P18" s="4">
        <f>Hotel!AB23</f>
        <v>8050</v>
      </c>
      <c r="Q18" s="4">
        <f>Hotel!AC23</f>
        <v>14490</v>
      </c>
      <c r="R18" s="4">
        <f>Hotel!AV23*0.00378541*100</f>
        <v>676.45276699999999</v>
      </c>
      <c r="S18" s="4">
        <f>Hotel!B23</f>
        <v>231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8850</v>
      </c>
      <c r="F19" s="4">
        <f>Hotel!R24</f>
        <v>1780</v>
      </c>
      <c r="G19" s="4">
        <f>Hotel!S24</f>
        <v>0</v>
      </c>
      <c r="H19" s="4">
        <f>Hotel!T24</f>
        <v>1400</v>
      </c>
      <c r="I19" s="4">
        <f>Hotel!U24</f>
        <v>5510</v>
      </c>
      <c r="J19" s="4">
        <f>Hotel!V24</f>
        <v>4340</v>
      </c>
      <c r="K19" s="4">
        <f>Hotel!W24</f>
        <v>3010</v>
      </c>
      <c r="L19" s="4">
        <f>Hotel!X24</f>
        <v>5190</v>
      </c>
      <c r="M19" s="4">
        <f>Hotel!Y24</f>
        <v>5440</v>
      </c>
      <c r="N19" s="4">
        <f>Hotel!Z24</f>
        <v>2690</v>
      </c>
      <c r="O19" s="4">
        <f>Hotel!AA24</f>
        <v>3600</v>
      </c>
      <c r="P19" s="4">
        <f>Hotel!AB24</f>
        <v>6990</v>
      </c>
      <c r="Q19" s="4">
        <f>Hotel!AC24</f>
        <v>11860</v>
      </c>
      <c r="R19" s="4">
        <f>Hotel!AV24*0.00378541*100</f>
        <v>573.48961499999996</v>
      </c>
      <c r="S19" s="4">
        <f>Hotel!B24</f>
        <v>215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8280</v>
      </c>
      <c r="F20" s="4">
        <f>Hotel!R25</f>
        <v>1760</v>
      </c>
      <c r="G20" s="4">
        <f>Hotel!S25</f>
        <v>0</v>
      </c>
      <c r="H20" s="4">
        <f>Hotel!T25</f>
        <v>1380</v>
      </c>
      <c r="I20" s="4">
        <f>Hotel!U25</f>
        <v>5230</v>
      </c>
      <c r="J20" s="4">
        <f>Hotel!V25</f>
        <v>4250</v>
      </c>
      <c r="K20" s="4">
        <f>Hotel!W25</f>
        <v>2850</v>
      </c>
      <c r="L20" s="4">
        <f>Hotel!X25</f>
        <v>4300</v>
      </c>
      <c r="M20" s="4">
        <f>Hotel!Y25</f>
        <v>5510</v>
      </c>
      <c r="N20" s="4">
        <f>Hotel!Z25</f>
        <v>2470</v>
      </c>
      <c r="O20" s="4">
        <f>Hotel!AA25</f>
        <v>3440</v>
      </c>
      <c r="P20" s="4">
        <f>Hotel!AB25</f>
        <v>6870</v>
      </c>
      <c r="Q20" s="4">
        <f>Hotel!AC25</f>
        <v>11380</v>
      </c>
      <c r="R20" s="4">
        <f>Hotel!AV25*0.00378541*100</f>
        <v>659.41842199999996</v>
      </c>
      <c r="S20" s="4">
        <f>Hotel!B25</f>
        <v>126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9660</v>
      </c>
      <c r="F21" s="4">
        <f>Hotel!R26</f>
        <v>2030</v>
      </c>
      <c r="G21" s="4">
        <f>Hotel!S26</f>
        <v>0</v>
      </c>
      <c r="H21" s="4">
        <f>Hotel!T26</f>
        <v>1610</v>
      </c>
      <c r="I21" s="4">
        <f>Hotel!U26</f>
        <v>5520</v>
      </c>
      <c r="J21" s="4">
        <f>Hotel!V26</f>
        <v>4190</v>
      </c>
      <c r="K21" s="4">
        <f>Hotel!W26</f>
        <v>3300</v>
      </c>
      <c r="L21" s="4">
        <f>Hotel!X26</f>
        <v>4370</v>
      </c>
      <c r="M21" s="4">
        <f>Hotel!Y26</f>
        <v>6060</v>
      </c>
      <c r="N21" s="4">
        <f>Hotel!Z26</f>
        <v>2600</v>
      </c>
      <c r="O21" s="4">
        <f>Hotel!AA26</f>
        <v>3460</v>
      </c>
      <c r="P21" s="4">
        <f>Hotel!AB26</f>
        <v>7780</v>
      </c>
      <c r="Q21" s="4">
        <f>Hotel!AC26</f>
        <v>11230</v>
      </c>
      <c r="R21" s="4">
        <f>Hotel!AV26*0.00378541*100</f>
        <v>731.34121199999993</v>
      </c>
      <c r="S21" s="4">
        <f>Hotel!B26</f>
        <v>88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6" sqref="AU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>
        <v>199</v>
      </c>
      <c r="C21" s="24">
        <v>7774300</v>
      </c>
      <c r="D21" s="24">
        <v>18159910</v>
      </c>
      <c r="E21" s="24">
        <v>3200810</v>
      </c>
      <c r="F21" s="24">
        <v>3937350</v>
      </c>
      <c r="G21" s="24">
        <v>11689750</v>
      </c>
      <c r="H21" s="24">
        <v>6604330</v>
      </c>
      <c r="I21" s="24">
        <v>5769100</v>
      </c>
      <c r="J21" s="24">
        <v>7150310</v>
      </c>
      <c r="K21" s="24">
        <v>10685060</v>
      </c>
      <c r="L21" s="24">
        <v>4559810</v>
      </c>
      <c r="M21" s="24">
        <v>8777500</v>
      </c>
      <c r="N21" s="24">
        <v>14046600</v>
      </c>
      <c r="O21" s="24">
        <v>19583960</v>
      </c>
      <c r="Q21" s="37">
        <f t="shared" si="17"/>
        <v>9040</v>
      </c>
      <c r="R21" s="37">
        <f t="shared" si="18"/>
        <v>1870</v>
      </c>
      <c r="S21" s="37">
        <f t="shared" si="16"/>
        <v>0</v>
      </c>
      <c r="T21" s="37">
        <f t="shared" si="19"/>
        <v>1490</v>
      </c>
      <c r="U21" s="37">
        <f t="shared" si="20"/>
        <v>5420</v>
      </c>
      <c r="V21" s="37">
        <f t="shared" si="21"/>
        <v>4550</v>
      </c>
      <c r="W21" s="37">
        <f t="shared" si="22"/>
        <v>2900</v>
      </c>
      <c r="X21" s="37">
        <f t="shared" si="23"/>
        <v>4520</v>
      </c>
      <c r="Y21" s="37">
        <f t="shared" si="24"/>
        <v>5420</v>
      </c>
      <c r="Z21" s="37">
        <f t="shared" si="25"/>
        <v>2740</v>
      </c>
      <c r="AA21" s="37">
        <f t="shared" si="26"/>
        <v>3370</v>
      </c>
      <c r="AB21" s="37">
        <f t="shared" si="27"/>
        <v>7060</v>
      </c>
      <c r="AC21" s="37">
        <f t="shared" si="28"/>
        <v>11530</v>
      </c>
      <c r="AD21" s="35">
        <f t="shared" si="29"/>
        <v>59910</v>
      </c>
      <c r="AF21" s="20">
        <f t="shared" si="1"/>
        <v>45.2</v>
      </c>
      <c r="AG21" s="20">
        <f t="shared" si="2"/>
        <v>9.35</v>
      </c>
      <c r="AH21" s="20">
        <f t="shared" si="3"/>
        <v>0</v>
      </c>
      <c r="AI21" s="20">
        <f t="shared" si="4"/>
        <v>7.45</v>
      </c>
      <c r="AJ21" s="20">
        <f t="shared" si="5"/>
        <v>27.1</v>
      </c>
      <c r="AK21" s="20">
        <f t="shared" si="6"/>
        <v>22.75</v>
      </c>
      <c r="AL21" s="20">
        <f t="shared" si="7"/>
        <v>14.5</v>
      </c>
      <c r="AM21" s="20">
        <f t="shared" si="8"/>
        <v>22.6</v>
      </c>
      <c r="AN21" s="20">
        <f t="shared" si="9"/>
        <v>27.1</v>
      </c>
      <c r="AO21" s="20">
        <f t="shared" si="10"/>
        <v>13.700000000000001</v>
      </c>
      <c r="AP21" s="20">
        <f t="shared" si="11"/>
        <v>16.850000000000001</v>
      </c>
      <c r="AQ21" s="20">
        <f t="shared" si="12"/>
        <v>35.300000000000004</v>
      </c>
      <c r="AR21" s="20">
        <f t="shared" si="13"/>
        <v>57.65</v>
      </c>
      <c r="AS21" s="35">
        <f t="shared" si="30"/>
        <v>299.55</v>
      </c>
      <c r="AU21" s="47">
        <v>589201</v>
      </c>
      <c r="AV21" s="37">
        <f t="shared" si="31"/>
        <v>2403</v>
      </c>
      <c r="AW21" s="35">
        <f t="shared" si="14"/>
        <v>4.806</v>
      </c>
    </row>
    <row r="22" spans="1:49" x14ac:dyDescent="0.25">
      <c r="A22" s="23">
        <v>44636</v>
      </c>
      <c r="B22" s="40">
        <v>195</v>
      </c>
      <c r="C22" s="24">
        <v>7782410</v>
      </c>
      <c r="D22" s="24">
        <v>18161790</v>
      </c>
      <c r="E22" s="24">
        <v>3200810</v>
      </c>
      <c r="F22" s="24">
        <v>3938810</v>
      </c>
      <c r="G22" s="24">
        <v>11695200</v>
      </c>
      <c r="H22" s="24">
        <v>6608890</v>
      </c>
      <c r="I22" s="24">
        <v>5772150</v>
      </c>
      <c r="J22" s="44">
        <v>7155190</v>
      </c>
      <c r="K22" s="24">
        <v>10690640</v>
      </c>
      <c r="L22" s="24">
        <v>4562460</v>
      </c>
      <c r="M22" s="24">
        <v>8781000</v>
      </c>
      <c r="N22" s="24">
        <v>14053620</v>
      </c>
      <c r="O22" s="44">
        <v>19596430</v>
      </c>
      <c r="Q22" s="37">
        <f t="shared" si="17"/>
        <v>8110</v>
      </c>
      <c r="R22" s="37">
        <f t="shared" si="18"/>
        <v>1880</v>
      </c>
      <c r="S22" s="37">
        <f t="shared" si="16"/>
        <v>0</v>
      </c>
      <c r="T22" s="37">
        <f t="shared" si="19"/>
        <v>1460</v>
      </c>
      <c r="U22" s="37">
        <f t="shared" si="20"/>
        <v>5450</v>
      </c>
      <c r="V22" s="37">
        <f t="shared" si="21"/>
        <v>4560</v>
      </c>
      <c r="W22" s="37">
        <f t="shared" si="22"/>
        <v>3050</v>
      </c>
      <c r="X22" s="37">
        <f t="shared" si="23"/>
        <v>4880</v>
      </c>
      <c r="Y22" s="37">
        <f t="shared" si="24"/>
        <v>5580</v>
      </c>
      <c r="Z22" s="37">
        <f t="shared" si="25"/>
        <v>2650</v>
      </c>
      <c r="AA22" s="37">
        <f t="shared" si="26"/>
        <v>3500</v>
      </c>
      <c r="AB22" s="37">
        <f t="shared" si="27"/>
        <v>7020</v>
      </c>
      <c r="AC22" s="37">
        <f t="shared" si="28"/>
        <v>12470</v>
      </c>
      <c r="AD22" s="35">
        <f t="shared" si="29"/>
        <v>60610</v>
      </c>
      <c r="AF22" s="20">
        <f t="shared" si="1"/>
        <v>40.550000000000004</v>
      </c>
      <c r="AG22" s="20">
        <f t="shared" si="2"/>
        <v>9.4</v>
      </c>
      <c r="AH22" s="20">
        <f t="shared" si="3"/>
        <v>0</v>
      </c>
      <c r="AI22" s="20">
        <f t="shared" si="4"/>
        <v>7.3</v>
      </c>
      <c r="AJ22" s="20">
        <f t="shared" si="5"/>
        <v>27.25</v>
      </c>
      <c r="AK22" s="20">
        <f t="shared" si="6"/>
        <v>22.8</v>
      </c>
      <c r="AL22" s="20">
        <f t="shared" si="7"/>
        <v>15.25</v>
      </c>
      <c r="AM22" s="20">
        <f t="shared" si="8"/>
        <v>24.400000000000002</v>
      </c>
      <c r="AN22" s="20">
        <f t="shared" si="9"/>
        <v>27.900000000000002</v>
      </c>
      <c r="AO22" s="20">
        <f t="shared" si="10"/>
        <v>13.25</v>
      </c>
      <c r="AP22" s="20">
        <f t="shared" si="11"/>
        <v>17.5</v>
      </c>
      <c r="AQ22" s="20">
        <f t="shared" si="12"/>
        <v>35.1</v>
      </c>
      <c r="AR22" s="20">
        <f t="shared" si="13"/>
        <v>62.35</v>
      </c>
      <c r="AS22" s="35">
        <f t="shared" si="30"/>
        <v>303.05</v>
      </c>
      <c r="AU22" s="47">
        <v>591001</v>
      </c>
      <c r="AV22" s="37">
        <f t="shared" si="31"/>
        <v>1800</v>
      </c>
      <c r="AW22" s="35">
        <f t="shared" si="14"/>
        <v>3.6</v>
      </c>
    </row>
    <row r="23" spans="1:49" x14ac:dyDescent="0.25">
      <c r="A23" s="23">
        <v>44637</v>
      </c>
      <c r="B23" s="40">
        <v>231</v>
      </c>
      <c r="C23" s="24">
        <v>7789780</v>
      </c>
      <c r="D23" s="24">
        <v>18163940</v>
      </c>
      <c r="E23" s="24">
        <v>3200810</v>
      </c>
      <c r="F23" s="24">
        <v>3940470</v>
      </c>
      <c r="G23" s="24">
        <v>11701590</v>
      </c>
      <c r="H23" s="24">
        <v>6613980</v>
      </c>
      <c r="I23" s="24">
        <v>5775390</v>
      </c>
      <c r="J23" s="24">
        <v>7160890</v>
      </c>
      <c r="K23" s="24">
        <v>10696840</v>
      </c>
      <c r="L23" s="24">
        <v>4565550</v>
      </c>
      <c r="M23" s="24">
        <v>8785000</v>
      </c>
      <c r="N23" s="24">
        <v>14061670</v>
      </c>
      <c r="O23" s="24">
        <v>19610920</v>
      </c>
      <c r="Q23" s="37">
        <f t="shared" si="17"/>
        <v>7370</v>
      </c>
      <c r="R23" s="37">
        <f t="shared" si="18"/>
        <v>2150</v>
      </c>
      <c r="S23" s="37">
        <f t="shared" si="16"/>
        <v>0</v>
      </c>
      <c r="T23" s="37">
        <f t="shared" si="19"/>
        <v>1660</v>
      </c>
      <c r="U23" s="37">
        <f t="shared" si="20"/>
        <v>6390</v>
      </c>
      <c r="V23" s="37">
        <f t="shared" si="21"/>
        <v>5090</v>
      </c>
      <c r="W23" s="37">
        <f t="shared" si="22"/>
        <v>3240</v>
      </c>
      <c r="X23" s="37">
        <f t="shared" si="23"/>
        <v>5700</v>
      </c>
      <c r="Y23" s="37">
        <f t="shared" si="24"/>
        <v>6200</v>
      </c>
      <c r="Z23" s="37">
        <f t="shared" si="25"/>
        <v>3090</v>
      </c>
      <c r="AA23" s="37">
        <f t="shared" si="26"/>
        <v>4000</v>
      </c>
      <c r="AB23" s="37">
        <f t="shared" si="27"/>
        <v>8050</v>
      </c>
      <c r="AC23" s="37">
        <f t="shared" si="28"/>
        <v>14490</v>
      </c>
      <c r="AD23" s="35">
        <f t="shared" si="29"/>
        <v>67430</v>
      </c>
      <c r="AF23" s="20">
        <f t="shared" si="1"/>
        <v>36.85</v>
      </c>
      <c r="AG23" s="20">
        <f t="shared" si="2"/>
        <v>10.75</v>
      </c>
      <c r="AH23" s="20">
        <f t="shared" si="3"/>
        <v>0</v>
      </c>
      <c r="AI23" s="20">
        <f t="shared" si="4"/>
        <v>8.3000000000000007</v>
      </c>
      <c r="AJ23" s="20">
        <f t="shared" si="5"/>
        <v>31.95</v>
      </c>
      <c r="AK23" s="20">
        <f t="shared" si="6"/>
        <v>25.45</v>
      </c>
      <c r="AL23" s="20">
        <f t="shared" si="7"/>
        <v>16.2</v>
      </c>
      <c r="AM23" s="20">
        <f t="shared" si="8"/>
        <v>28.5</v>
      </c>
      <c r="AN23" s="20">
        <f t="shared" si="9"/>
        <v>31</v>
      </c>
      <c r="AO23" s="20">
        <f t="shared" si="10"/>
        <v>15.450000000000001</v>
      </c>
      <c r="AP23" s="20">
        <f t="shared" si="11"/>
        <v>20</v>
      </c>
      <c r="AQ23" s="20">
        <f t="shared" si="12"/>
        <v>40.25</v>
      </c>
      <c r="AR23" s="20">
        <f t="shared" si="13"/>
        <v>72.45</v>
      </c>
      <c r="AS23" s="35">
        <f t="shared" si="30"/>
        <v>337.15</v>
      </c>
      <c r="AU23" s="47">
        <v>592788</v>
      </c>
      <c r="AV23" s="37">
        <f t="shared" si="31"/>
        <v>1787</v>
      </c>
      <c r="AW23" s="35">
        <f t="shared" si="14"/>
        <v>3.5740000000000003</v>
      </c>
    </row>
    <row r="24" spans="1:49" x14ac:dyDescent="0.25">
      <c r="A24" s="23">
        <v>44638</v>
      </c>
      <c r="B24" s="40">
        <v>215</v>
      </c>
      <c r="C24" s="24">
        <v>7798630</v>
      </c>
      <c r="D24" s="24">
        <v>18165720</v>
      </c>
      <c r="E24" s="24">
        <v>3200810</v>
      </c>
      <c r="F24" s="24">
        <v>3941870</v>
      </c>
      <c r="G24" s="24">
        <v>11707100</v>
      </c>
      <c r="H24" s="24">
        <v>6618320</v>
      </c>
      <c r="I24" s="24">
        <v>5778400</v>
      </c>
      <c r="J24" s="24">
        <v>7166080</v>
      </c>
      <c r="K24" s="24">
        <v>10702280</v>
      </c>
      <c r="L24" s="24">
        <v>4568240</v>
      </c>
      <c r="M24" s="24">
        <v>8788600</v>
      </c>
      <c r="N24" s="24">
        <v>14068660</v>
      </c>
      <c r="O24" s="24">
        <v>19622780</v>
      </c>
      <c r="Q24" s="37">
        <f t="shared" si="17"/>
        <v>8850</v>
      </c>
      <c r="R24" s="37">
        <f t="shared" si="18"/>
        <v>1780</v>
      </c>
      <c r="S24" s="37">
        <f t="shared" si="16"/>
        <v>0</v>
      </c>
      <c r="T24" s="37">
        <f t="shared" si="19"/>
        <v>1400</v>
      </c>
      <c r="U24" s="37">
        <f t="shared" si="20"/>
        <v>5510</v>
      </c>
      <c r="V24" s="37">
        <f t="shared" si="21"/>
        <v>4340</v>
      </c>
      <c r="W24" s="37">
        <f t="shared" si="22"/>
        <v>3010</v>
      </c>
      <c r="X24" s="37">
        <f t="shared" si="23"/>
        <v>5190</v>
      </c>
      <c r="Y24" s="37">
        <f t="shared" si="24"/>
        <v>5440</v>
      </c>
      <c r="Z24" s="37">
        <f t="shared" si="25"/>
        <v>2690</v>
      </c>
      <c r="AA24" s="37">
        <f t="shared" si="26"/>
        <v>3600</v>
      </c>
      <c r="AB24" s="37">
        <f t="shared" si="27"/>
        <v>6990</v>
      </c>
      <c r="AC24" s="37">
        <f t="shared" si="28"/>
        <v>11860</v>
      </c>
      <c r="AD24" s="35">
        <f t="shared" si="29"/>
        <v>60660</v>
      </c>
      <c r="AF24" s="20">
        <f t="shared" si="1"/>
        <v>44.25</v>
      </c>
      <c r="AG24" s="20">
        <f t="shared" si="2"/>
        <v>8.9</v>
      </c>
      <c r="AH24" s="20">
        <f t="shared" si="3"/>
        <v>0</v>
      </c>
      <c r="AI24" s="20">
        <f t="shared" si="4"/>
        <v>7</v>
      </c>
      <c r="AJ24" s="20">
        <f t="shared" si="5"/>
        <v>27.55</v>
      </c>
      <c r="AK24" s="20">
        <f t="shared" si="6"/>
        <v>21.7</v>
      </c>
      <c r="AL24" s="20">
        <f t="shared" si="7"/>
        <v>15.05</v>
      </c>
      <c r="AM24" s="20">
        <f t="shared" si="8"/>
        <v>25.95</v>
      </c>
      <c r="AN24" s="20">
        <f t="shared" si="9"/>
        <v>27.2</v>
      </c>
      <c r="AO24" s="20">
        <f t="shared" si="10"/>
        <v>13.450000000000001</v>
      </c>
      <c r="AP24" s="20">
        <f t="shared" si="11"/>
        <v>18</v>
      </c>
      <c r="AQ24" s="20">
        <f t="shared" si="12"/>
        <v>34.950000000000003</v>
      </c>
      <c r="AR24" s="20">
        <f t="shared" si="13"/>
        <v>59.300000000000004</v>
      </c>
      <c r="AS24" s="35">
        <f t="shared" si="30"/>
        <v>303.3</v>
      </c>
      <c r="AU24" s="47">
        <v>594303</v>
      </c>
      <c r="AV24" s="37">
        <f t="shared" si="31"/>
        <v>1515</v>
      </c>
      <c r="AW24" s="35">
        <f t="shared" si="14"/>
        <v>3.0300000000000002</v>
      </c>
    </row>
    <row r="25" spans="1:49" x14ac:dyDescent="0.25">
      <c r="A25" s="23">
        <v>44639</v>
      </c>
      <c r="B25" s="40">
        <v>126</v>
      </c>
      <c r="C25" s="24">
        <v>7806910</v>
      </c>
      <c r="D25" s="24">
        <v>18167480</v>
      </c>
      <c r="E25" s="24">
        <v>3200810</v>
      </c>
      <c r="F25" s="24">
        <v>3943250</v>
      </c>
      <c r="G25" s="24">
        <v>11712330</v>
      </c>
      <c r="H25" s="24">
        <v>6622570</v>
      </c>
      <c r="I25" s="24">
        <v>5781250</v>
      </c>
      <c r="J25" s="24">
        <v>7170380</v>
      </c>
      <c r="K25" s="24">
        <v>10707790</v>
      </c>
      <c r="L25" s="24">
        <v>4570710</v>
      </c>
      <c r="M25" s="24">
        <v>8792040</v>
      </c>
      <c r="N25" s="24">
        <v>14075530</v>
      </c>
      <c r="O25" s="24">
        <v>19634160</v>
      </c>
      <c r="Q25" s="37">
        <f t="shared" ref="Q25:AC27" si="33">IF((C25-C24&lt;0), "0",C25-C24)</f>
        <v>8280</v>
      </c>
      <c r="R25" s="37">
        <f t="shared" si="33"/>
        <v>1760</v>
      </c>
      <c r="S25" s="37">
        <f t="shared" si="33"/>
        <v>0</v>
      </c>
      <c r="T25" s="37">
        <f t="shared" si="33"/>
        <v>1380</v>
      </c>
      <c r="U25" s="37">
        <f t="shared" si="33"/>
        <v>5230</v>
      </c>
      <c r="V25" s="37">
        <f t="shared" si="33"/>
        <v>4250</v>
      </c>
      <c r="W25" s="37">
        <f t="shared" si="33"/>
        <v>2850</v>
      </c>
      <c r="X25" s="37">
        <f t="shared" si="33"/>
        <v>4300</v>
      </c>
      <c r="Y25" s="37">
        <f t="shared" si="33"/>
        <v>5510</v>
      </c>
      <c r="Z25" s="37">
        <f t="shared" si="33"/>
        <v>2470</v>
      </c>
      <c r="AA25" s="37">
        <f t="shared" si="33"/>
        <v>3440</v>
      </c>
      <c r="AB25" s="37">
        <f t="shared" si="33"/>
        <v>6870</v>
      </c>
      <c r="AC25" s="37">
        <f t="shared" si="33"/>
        <v>11380</v>
      </c>
      <c r="AD25" s="35">
        <f t="shared" si="29"/>
        <v>57720</v>
      </c>
      <c r="AF25" s="20">
        <f t="shared" si="1"/>
        <v>41.4</v>
      </c>
      <c r="AG25" s="20">
        <f t="shared" si="2"/>
        <v>8.8000000000000007</v>
      </c>
      <c r="AH25" s="20">
        <f t="shared" si="3"/>
        <v>0</v>
      </c>
      <c r="AI25" s="20">
        <f t="shared" si="4"/>
        <v>6.9</v>
      </c>
      <c r="AJ25" s="20">
        <f t="shared" si="5"/>
        <v>26.150000000000002</v>
      </c>
      <c r="AK25" s="20">
        <f t="shared" si="6"/>
        <v>21.25</v>
      </c>
      <c r="AL25" s="20">
        <f t="shared" si="7"/>
        <v>14.25</v>
      </c>
      <c r="AM25" s="20">
        <f t="shared" si="8"/>
        <v>21.5</v>
      </c>
      <c r="AN25" s="20">
        <f t="shared" si="9"/>
        <v>27.55</v>
      </c>
      <c r="AO25" s="20">
        <f t="shared" si="10"/>
        <v>12.35</v>
      </c>
      <c r="AP25" s="20">
        <f t="shared" si="11"/>
        <v>17.2</v>
      </c>
      <c r="AQ25" s="20">
        <f t="shared" si="12"/>
        <v>34.35</v>
      </c>
      <c r="AR25" s="20">
        <f t="shared" si="13"/>
        <v>56.9</v>
      </c>
      <c r="AS25" s="35">
        <f t="shared" si="30"/>
        <v>288.59999999999997</v>
      </c>
      <c r="AU25" s="47">
        <v>596045</v>
      </c>
      <c r="AV25" s="37">
        <f t="shared" si="31"/>
        <v>1742</v>
      </c>
      <c r="AW25" s="35">
        <f t="shared" si="14"/>
        <v>3.484</v>
      </c>
    </row>
    <row r="26" spans="1:49" x14ac:dyDescent="0.25">
      <c r="A26" s="23">
        <v>44640</v>
      </c>
      <c r="B26" s="40">
        <v>88</v>
      </c>
      <c r="C26" s="24">
        <v>7816570</v>
      </c>
      <c r="D26" s="24">
        <v>18169510</v>
      </c>
      <c r="E26" s="24">
        <v>3200810</v>
      </c>
      <c r="F26" s="24">
        <v>3944860</v>
      </c>
      <c r="G26" s="24">
        <v>11717850</v>
      </c>
      <c r="H26" s="24">
        <v>6626760</v>
      </c>
      <c r="I26" s="24">
        <v>5784550</v>
      </c>
      <c r="J26" s="24">
        <v>7174750</v>
      </c>
      <c r="K26" s="24">
        <v>10713850</v>
      </c>
      <c r="L26" s="24">
        <v>4573310</v>
      </c>
      <c r="M26" s="24">
        <v>8795500</v>
      </c>
      <c r="N26" s="24">
        <v>14083310</v>
      </c>
      <c r="O26" s="24">
        <v>19645390</v>
      </c>
      <c r="Q26" s="37">
        <f t="shared" si="33"/>
        <v>9660</v>
      </c>
      <c r="R26" s="37">
        <f t="shared" si="33"/>
        <v>2030</v>
      </c>
      <c r="S26" s="37">
        <f t="shared" si="33"/>
        <v>0</v>
      </c>
      <c r="T26" s="37">
        <f t="shared" si="33"/>
        <v>1610</v>
      </c>
      <c r="U26" s="37">
        <f t="shared" si="33"/>
        <v>5520</v>
      </c>
      <c r="V26" s="37">
        <f t="shared" si="33"/>
        <v>4190</v>
      </c>
      <c r="W26" s="37">
        <f t="shared" si="33"/>
        <v>3300</v>
      </c>
      <c r="X26" s="37">
        <f t="shared" si="33"/>
        <v>4370</v>
      </c>
      <c r="Y26" s="37">
        <f t="shared" si="33"/>
        <v>6060</v>
      </c>
      <c r="Z26" s="37">
        <f t="shared" si="33"/>
        <v>2600</v>
      </c>
      <c r="AA26" s="37">
        <f t="shared" si="33"/>
        <v>3460</v>
      </c>
      <c r="AB26" s="37">
        <f t="shared" si="33"/>
        <v>7780</v>
      </c>
      <c r="AC26" s="37">
        <f t="shared" si="33"/>
        <v>11230</v>
      </c>
      <c r="AD26" s="35">
        <f t="shared" si="29"/>
        <v>61810</v>
      </c>
      <c r="AF26" s="20">
        <f t="shared" si="1"/>
        <v>48.300000000000004</v>
      </c>
      <c r="AG26" s="20">
        <f t="shared" si="2"/>
        <v>10.15</v>
      </c>
      <c r="AH26" s="20">
        <f t="shared" si="3"/>
        <v>0</v>
      </c>
      <c r="AI26" s="20">
        <f t="shared" si="4"/>
        <v>8.0500000000000007</v>
      </c>
      <c r="AJ26" s="20">
        <f t="shared" si="5"/>
        <v>27.6</v>
      </c>
      <c r="AK26" s="20">
        <f t="shared" si="6"/>
        <v>20.95</v>
      </c>
      <c r="AL26" s="20">
        <f t="shared" si="7"/>
        <v>16.5</v>
      </c>
      <c r="AM26" s="20">
        <f t="shared" si="8"/>
        <v>21.85</v>
      </c>
      <c r="AN26" s="20">
        <f t="shared" si="9"/>
        <v>30.3</v>
      </c>
      <c r="AO26" s="20">
        <f t="shared" si="10"/>
        <v>13</v>
      </c>
      <c r="AP26" s="20">
        <f t="shared" si="11"/>
        <v>17.3</v>
      </c>
      <c r="AQ26" s="20">
        <f t="shared" si="12"/>
        <v>38.9</v>
      </c>
      <c r="AR26" s="20">
        <f t="shared" si="13"/>
        <v>56.15</v>
      </c>
      <c r="AS26" s="35">
        <f t="shared" si="30"/>
        <v>309.05</v>
      </c>
      <c r="AU26" s="47">
        <v>597977</v>
      </c>
      <c r="AV26" s="37">
        <f t="shared" si="31"/>
        <v>1932</v>
      </c>
      <c r="AW26" s="35">
        <f t="shared" si="14"/>
        <v>3.8639999999999999</v>
      </c>
    </row>
    <row r="27" spans="1:49" x14ac:dyDescent="0.25">
      <c r="A27" s="23">
        <v>44641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 t="str">
        <f>IF((AU27-AU26&lt;0),"0",AU27-AU26)</f>
        <v>0</v>
      </c>
      <c r="AW27" s="35">
        <f t="shared" si="14"/>
        <v>0</v>
      </c>
    </row>
    <row r="28" spans="1:49" x14ac:dyDescent="0.25">
      <c r="A28" s="23">
        <v>44642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44643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44644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44645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44646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44647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44648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44649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182650</v>
      </c>
      <c r="R38" s="38">
        <f t="shared" ref="R38:AD38" si="61">SUM(R7:R37)</f>
        <v>37620</v>
      </c>
      <c r="S38" s="38">
        <f t="shared" si="61"/>
        <v>0</v>
      </c>
      <c r="T38" s="38">
        <f t="shared" si="61"/>
        <v>29640</v>
      </c>
      <c r="U38" s="38">
        <f t="shared" si="61"/>
        <v>108380</v>
      </c>
      <c r="V38" s="38">
        <f t="shared" si="61"/>
        <v>90520</v>
      </c>
      <c r="W38" s="38">
        <f t="shared" si="61"/>
        <v>60160</v>
      </c>
      <c r="X38" s="38">
        <f t="shared" si="61"/>
        <v>84350</v>
      </c>
      <c r="Y38" s="38">
        <f t="shared" si="61"/>
        <v>110610</v>
      </c>
      <c r="Z38" s="38">
        <f t="shared" si="61"/>
        <v>54340</v>
      </c>
      <c r="AA38" s="38">
        <f t="shared" si="61"/>
        <v>67210</v>
      </c>
      <c r="AB38" s="38">
        <f t="shared" si="61"/>
        <v>144180</v>
      </c>
      <c r="AC38" s="38">
        <f t="shared" si="61"/>
        <v>224130</v>
      </c>
      <c r="AD38" s="38">
        <f t="shared" si="61"/>
        <v>1193790</v>
      </c>
      <c r="AF38" s="35">
        <f>SUM(AF7:AF37)</f>
        <v>913.25</v>
      </c>
      <c r="AG38" s="35">
        <f t="shared" ref="AG38:AS38" si="62">SUM(AG7:AG37)</f>
        <v>188.10000000000002</v>
      </c>
      <c r="AH38" s="35">
        <f t="shared" si="62"/>
        <v>0</v>
      </c>
      <c r="AI38" s="35">
        <f t="shared" si="62"/>
        <v>148.20000000000002</v>
      </c>
      <c r="AJ38" s="35">
        <f t="shared" si="62"/>
        <v>541.90000000000009</v>
      </c>
      <c r="AK38" s="35">
        <f t="shared" si="62"/>
        <v>452.59999999999997</v>
      </c>
      <c r="AL38" s="35">
        <f t="shared" si="62"/>
        <v>300.8</v>
      </c>
      <c r="AM38" s="35">
        <f t="shared" si="62"/>
        <v>421.74999999999994</v>
      </c>
      <c r="AN38" s="35">
        <f t="shared" si="62"/>
        <v>553.04999999999995</v>
      </c>
      <c r="AO38" s="35">
        <f t="shared" si="62"/>
        <v>271.7</v>
      </c>
      <c r="AP38" s="35">
        <f t="shared" si="62"/>
        <v>336.04999999999995</v>
      </c>
      <c r="AQ38" s="35">
        <f t="shared" si="62"/>
        <v>720.9</v>
      </c>
      <c r="AR38" s="35">
        <f t="shared" si="62"/>
        <v>1120.6500000000001</v>
      </c>
      <c r="AS38" s="35">
        <f t="shared" si="62"/>
        <v>5968.9500000000007</v>
      </c>
      <c r="AU38" s="48"/>
      <c r="AV38" s="35">
        <f>SUM(AV7:AV34)</f>
        <v>37330</v>
      </c>
      <c r="AW38" s="35">
        <f>SUM(AW7:AW34)</f>
        <v>74.66</v>
      </c>
    </row>
    <row r="39" spans="1:49" x14ac:dyDescent="0.25">
      <c r="D39">
        <v>5.0000000000000001E-3</v>
      </c>
      <c r="AV39" s="36">
        <f>AV38*0.00378541*1000</f>
        <v>141309.3553</v>
      </c>
    </row>
    <row r="40" spans="1:49" x14ac:dyDescent="0.25">
      <c r="D40">
        <v>2E-3</v>
      </c>
      <c r="AV40">
        <f>AV39/31</f>
        <v>4558.3662999999997</v>
      </c>
    </row>
    <row r="41" spans="1:49" x14ac:dyDescent="0.25">
      <c r="AV41">
        <f>AV38*0.00378541</f>
        <v>141.30935529999999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2022-03-21T06:52:59Z</dcterms:modified>
</cp:coreProperties>
</file>