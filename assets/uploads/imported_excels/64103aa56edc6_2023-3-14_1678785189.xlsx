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3\"/>
    </mc:Choice>
  </mc:AlternateContent>
  <xr:revisionPtr revIDLastSave="0" documentId="13_ncr:1_{FF81FAF0-1262-4A95-BEEF-6CBE281C890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Electricity!$B$1:$R$51</definedName>
    <definedName name="_xlnm.Print_Area" localSheetId="2">Water!$A$1:$H$33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2" i="4"/>
  <c r="L3" i="4"/>
  <c r="L4" i="4"/>
  <c r="L5" i="4"/>
  <c r="N5" i="4" s="1"/>
  <c r="L6" i="4"/>
  <c r="N6" i="4" s="1"/>
  <c r="L7" i="4"/>
  <c r="L8" i="4"/>
  <c r="N8" i="4" s="1"/>
  <c r="L9" i="4"/>
  <c r="L10" i="4"/>
  <c r="L11" i="4"/>
  <c r="N11" i="4" s="1"/>
  <c r="L12" i="4"/>
  <c r="N12" i="4" s="1"/>
  <c r="L13" i="4"/>
  <c r="L14" i="4"/>
  <c r="N14" i="4" s="1"/>
  <c r="L15" i="4"/>
  <c r="L16" i="4"/>
  <c r="L17" i="4"/>
  <c r="N17" i="4" s="1"/>
  <c r="L18" i="4"/>
  <c r="N18" i="4" s="1"/>
  <c r="L19" i="4"/>
  <c r="L20" i="4"/>
  <c r="N20" i="4" s="1"/>
  <c r="L21" i="4"/>
  <c r="L22" i="4"/>
  <c r="L23" i="4"/>
  <c r="N23" i="4" s="1"/>
  <c r="L24" i="4"/>
  <c r="N24" i="4" s="1"/>
  <c r="L25" i="4"/>
  <c r="L26" i="4"/>
  <c r="N26" i="4" s="1"/>
  <c r="L27" i="4"/>
  <c r="L28" i="4"/>
  <c r="L29" i="4"/>
  <c r="N29" i="4" s="1"/>
  <c r="L2" i="4"/>
  <c r="N2" i="4"/>
  <c r="N3" i="4"/>
  <c r="N4" i="4"/>
  <c r="N7" i="4"/>
  <c r="N9" i="4"/>
  <c r="N10" i="4"/>
  <c r="N13" i="4"/>
  <c r="N15" i="4"/>
  <c r="N16" i="4"/>
  <c r="N19" i="4"/>
  <c r="N21" i="4"/>
  <c r="N22" i="4"/>
  <c r="N25" i="4"/>
  <c r="N27" i="4"/>
  <c r="N28" i="4"/>
  <c r="F34" i="1" l="1"/>
  <c r="G34" i="1"/>
  <c r="H34" i="1"/>
  <c r="I34" i="1"/>
  <c r="J34" i="1"/>
  <c r="K34" i="1"/>
  <c r="L34" i="1"/>
  <c r="E34" i="1"/>
  <c r="G33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33" i="2" l="1"/>
  <c r="E33" i="2"/>
  <c r="I6" i="1" l="1"/>
  <c r="C34" i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5" i="2"/>
  <c r="G33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H6" i="1"/>
  <c r="G37" i="2" l="1"/>
  <c r="E2" i="4" l="1"/>
  <c r="G43" i="2"/>
  <c r="H31" i="1" l="1"/>
  <c r="I31" i="1"/>
  <c r="H32" i="1"/>
  <c r="I32" i="1"/>
  <c r="H33" i="1"/>
  <c r="I33" i="1"/>
  <c r="E27" i="4"/>
  <c r="E28" i="4"/>
  <c r="E29" i="4"/>
  <c r="J32" i="1" l="1"/>
  <c r="J33" i="1"/>
  <c r="J31" i="1"/>
  <c r="K32" i="1" l="1"/>
  <c r="L32" i="1"/>
  <c r="K33" i="1"/>
  <c r="L33" i="1"/>
  <c r="J29" i="4" s="1"/>
  <c r="K31" i="1"/>
  <c r="L31" i="1" s="1"/>
  <c r="J27" i="4" s="1"/>
  <c r="J28" i="4"/>
  <c r="E23" i="4" l="1"/>
  <c r="E24" i="4"/>
  <c r="E25" i="4"/>
  <c r="E26" i="4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I30" i="1" l="1"/>
  <c r="I29" i="1"/>
  <c r="I28" i="1"/>
  <c r="I27" i="1"/>
  <c r="E22" i="4"/>
  <c r="I26" i="1"/>
  <c r="E21" i="4"/>
  <c r="I25" i="1"/>
  <c r="E20" i="4"/>
  <c r="I24" i="1"/>
  <c r="E19" i="4"/>
  <c r="I23" i="1"/>
  <c r="E18" i="4"/>
  <c r="I22" i="1"/>
  <c r="E17" i="4"/>
  <c r="I21" i="1"/>
  <c r="E16" i="4"/>
  <c r="I20" i="1"/>
  <c r="E15" i="4"/>
  <c r="I19" i="1"/>
  <c r="E14" i="4"/>
  <c r="I18" i="1"/>
  <c r="E13" i="4"/>
  <c r="I17" i="1"/>
  <c r="E12" i="4"/>
  <c r="I16" i="1"/>
  <c r="E11" i="4"/>
  <c r="I15" i="1"/>
  <c r="E10" i="4"/>
  <c r="I14" i="1"/>
  <c r="E9" i="4"/>
  <c r="I13" i="1"/>
  <c r="E8" i="4"/>
  <c r="I12" i="1"/>
  <c r="E7" i="4"/>
  <c r="I11" i="1"/>
  <c r="E6" i="4"/>
  <c r="I10" i="1"/>
  <c r="E5" i="4"/>
  <c r="I9" i="1"/>
  <c r="E4" i="4"/>
  <c r="I8" i="1"/>
  <c r="I7" i="1"/>
  <c r="E3" i="4" l="1"/>
  <c r="J29" i="1"/>
  <c r="J19" i="1"/>
  <c r="J27" i="1"/>
  <c r="J25" i="1"/>
  <c r="J7" i="1"/>
  <c r="J22" i="1"/>
  <c r="J8" i="1"/>
  <c r="J16" i="1"/>
  <c r="J9" i="1"/>
  <c r="J30" i="1"/>
  <c r="J28" i="1"/>
  <c r="J26" i="1"/>
  <c r="J24" i="1"/>
  <c r="J23" i="1"/>
  <c r="J21" i="1"/>
  <c r="J20" i="1"/>
  <c r="J18" i="1"/>
  <c r="J17" i="1"/>
  <c r="J15" i="1"/>
  <c r="J14" i="1"/>
  <c r="J13" i="1"/>
  <c r="J12" i="1"/>
  <c r="J11" i="1"/>
  <c r="J10" i="1"/>
  <c r="J6" i="1"/>
  <c r="K14" i="1" l="1"/>
  <c r="L14" i="1"/>
  <c r="K23" i="1"/>
  <c r="L23" i="1"/>
  <c r="J19" i="4" s="1"/>
  <c r="K16" i="1"/>
  <c r="L16" i="1" s="1"/>
  <c r="J12" i="4" s="1"/>
  <c r="K19" i="1"/>
  <c r="L19" i="1" s="1"/>
  <c r="J15" i="4" s="1"/>
  <c r="K15" i="1"/>
  <c r="L15" i="1" s="1"/>
  <c r="J11" i="4" s="1"/>
  <c r="K24" i="1"/>
  <c r="L24" i="1" s="1"/>
  <c r="J20" i="4" s="1"/>
  <c r="K8" i="1"/>
  <c r="L8" i="1" s="1"/>
  <c r="J4" i="4" s="1"/>
  <c r="K29" i="1"/>
  <c r="L29" i="1"/>
  <c r="J25" i="4" s="1"/>
  <c r="K10" i="1"/>
  <c r="L10" i="1" s="1"/>
  <c r="J6" i="4" s="1"/>
  <c r="K17" i="1"/>
  <c r="L17" i="1"/>
  <c r="J13" i="4" s="1"/>
  <c r="K26" i="1"/>
  <c r="L26" i="1" s="1"/>
  <c r="J22" i="4" s="1"/>
  <c r="K22" i="1"/>
  <c r="L22" i="1" s="1"/>
  <c r="J18" i="4" s="1"/>
  <c r="K11" i="1"/>
  <c r="L11" i="1"/>
  <c r="J7" i="4" s="1"/>
  <c r="K18" i="1"/>
  <c r="L18" i="1" s="1"/>
  <c r="J14" i="4" s="1"/>
  <c r="K28" i="1"/>
  <c r="L28" i="1" s="1"/>
  <c r="J24" i="4" s="1"/>
  <c r="K7" i="1"/>
  <c r="L7" i="1" s="1"/>
  <c r="J3" i="4" s="1"/>
  <c r="K12" i="1"/>
  <c r="L12" i="1"/>
  <c r="J8" i="4" s="1"/>
  <c r="K20" i="1"/>
  <c r="L20" i="1" s="1"/>
  <c r="J16" i="4" s="1"/>
  <c r="K30" i="1"/>
  <c r="L30" i="1"/>
  <c r="J26" i="4" s="1"/>
  <c r="K25" i="1"/>
  <c r="L25" i="1"/>
  <c r="K13" i="1"/>
  <c r="L13" i="1" s="1"/>
  <c r="J9" i="4" s="1"/>
  <c r="K21" i="1"/>
  <c r="L21" i="1" s="1"/>
  <c r="J17" i="4" s="1"/>
  <c r="K9" i="1"/>
  <c r="L9" i="1" s="1"/>
  <c r="J5" i="4" s="1"/>
  <c r="K27" i="1"/>
  <c r="L27" i="1" s="1"/>
  <c r="J23" i="4" s="1"/>
  <c r="K6" i="1"/>
  <c r="J21" i="4"/>
  <c r="J10" i="4"/>
  <c r="L6" i="1" l="1"/>
  <c r="J2" i="4" s="1"/>
</calcChain>
</file>

<file path=xl/sharedStrings.xml><?xml version="1.0" encoding="utf-8"?>
<sst xmlns="http://schemas.openxmlformats.org/spreadsheetml/2006/main" count="111" uniqueCount="45">
  <si>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</si>
  <si>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</si>
  <si>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</si>
  <si>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</si>
  <si>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</si>
  <si>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</si>
  <si>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</si>
  <si>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</si>
  <si>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</si>
  <si>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</si>
  <si>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</si>
  <si>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</si>
  <si>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</si>
  <si>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</si>
  <si>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</si>
  <si>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</si>
  <si>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</si>
  <si>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</si>
  <si>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</si>
  <si>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</si>
  <si>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</si>
  <si>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</si>
  <si>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</si>
  <si>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</si>
  <si>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</si>
  <si>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</si>
  <si>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</si>
  <si>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</si>
  <si>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</si>
  <si>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</si>
  <si>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</si>
  <si>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</si>
  <si>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</si>
  <si>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</si>
  <si>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</si>
  <si>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</si>
  <si>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</si>
  <si>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2023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</si>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</sst>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9" fontId="0" fillId="0" borderId="4" xfId="1" applyNumberFormat="1" applyFont="1" applyBorder="1"/>
    <xf numFmtId="39" fontId="0" fillId="0" borderId="4" xfId="1" applyNumberFormat="1" applyFont="1" applyFill="1" applyBorder="1"/>
    <xf numFmtId="164" fontId="0" fillId="0" borderId="5" xfId="1" applyFont="1" applyBorder="1" applyAlignment="1">
      <alignment vertical="center"/>
    </xf>
    <xf numFmtId="3" fontId="0" fillId="0" borderId="5" xfId="1" applyNumberFormat="1" applyFont="1" applyBorder="1" applyAlignment="1">
      <alignment vertical="center"/>
    </xf>
    <xf numFmtId="39" fontId="1" fillId="0" borderId="4" xfId="11" applyNumberFormat="1" applyFont="1" applyBorder="1"/>
    <xf numFmtId="39" fontId="1" fillId="0" borderId="4" xfId="11" applyNumberFormat="1" applyFont="1" applyFill="1" applyBorder="1"/>
    <xf numFmtId="39" fontId="1" fillId="2" borderId="4" xfId="11" applyNumberFormat="1" applyFont="1" applyFill="1" applyBorder="1"/>
    <xf numFmtId="164" fontId="0" fillId="0" borderId="5" xfId="1" applyNumberFormat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C1" workbookViewId="0">
      <selection activeCell="K2" sqref="K2:K29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3" t="s">
        <v>43</v>
      </c>
    </row>
    <row r="2" spans="1:15" x14ac:dyDescent="0.25">
      <c r="A2" s="48" t="s">
        <v>44</v>
      </c>
      <c r="B2" s="45">
        <v>1</v>
      </c>
      <c r="C2" s="45">
        <v>2</v>
      </c>
      <c r="D2" s="45">
        <v>2023</v>
      </c>
      <c r="E2" s="43">
        <f>Electricity!G6</f>
        <v>20520.000000004075</v>
      </c>
      <c r="F2" s="43">
        <f>Electricity!E6</f>
        <v>2279.9999999988358</v>
      </c>
      <c r="G2" s="43">
        <f>Electricity!F6</f>
        <v>18240.000000005239</v>
      </c>
      <c r="H2" s="47">
        <v>1553.67</v>
      </c>
      <c r="I2" s="57" t="s">
        <v>28</v>
      </c>
      <c r="J2" s="106">
        <f>Electricity!L6</f>
        <v>22973434.675203703</v>
      </c>
      <c r="K2" s="43">
        <f>J2/E2</f>
        <v>1119.5630933332916</v>
      </c>
      <c r="L2" s="58">
        <f>Water!G5</f>
        <v>372</v>
      </c>
      <c r="M2" s="58">
        <v>12550</v>
      </c>
      <c r="N2" s="106">
        <f>M2*L2</f>
        <v>4668600</v>
      </c>
      <c r="O2" s="43">
        <f>Electricity!C6</f>
        <v>161</v>
      </c>
    </row>
    <row r="3" spans="1:15" x14ac:dyDescent="0.25">
      <c r="A3" s="48" t="s">
        <v>44</v>
      </c>
      <c r="B3" s="45">
        <v>2</v>
      </c>
      <c r="C3" s="45">
        <v>2</v>
      </c>
      <c r="D3" s="45">
        <v>2023</v>
      </c>
      <c r="E3" s="43">
        <f>Electricity!G7</f>
        <v>25239.999999997963</v>
      </c>
      <c r="F3" s="43">
        <f>Electricity!E7</f>
        <v>4000</v>
      </c>
      <c r="G3" s="43">
        <f>Electricity!F7</f>
        <v>21239.999999997963</v>
      </c>
      <c r="H3" s="47">
        <v>1553.67</v>
      </c>
      <c r="I3" s="57" t="s">
        <v>28</v>
      </c>
      <c r="J3" s="106">
        <f>Electricity!L7</f>
        <v>28891798.732797839</v>
      </c>
      <c r="K3" s="43">
        <f t="shared" ref="K3:K29" si="0">J3/E3</f>
        <v>1144.682992583208</v>
      </c>
      <c r="L3" s="58">
        <f>Water!G6</f>
        <v>316</v>
      </c>
      <c r="M3" s="58">
        <v>12550</v>
      </c>
      <c r="N3" s="106">
        <f t="shared" ref="N3:N29" si="1">M3*L3</f>
        <v>3965800</v>
      </c>
      <c r="O3" s="43">
        <f>Electricity!C7</f>
        <v>161</v>
      </c>
    </row>
    <row r="4" spans="1:15" x14ac:dyDescent="0.25">
      <c r="A4" s="48" t="s">
        <v>44</v>
      </c>
      <c r="B4" s="45">
        <v>3</v>
      </c>
      <c r="C4" s="45">
        <v>2</v>
      </c>
      <c r="D4" s="45">
        <v>2023</v>
      </c>
      <c r="E4" s="43">
        <f>Electricity!G8</f>
        <v>25720.000000002983</v>
      </c>
      <c r="F4" s="43">
        <f>Electricity!E8</f>
        <v>5239.9999999997817</v>
      </c>
      <c r="G4" s="43">
        <f>Electricity!F8</f>
        <v>20480.000000003201</v>
      </c>
      <c r="H4" s="47">
        <v>1553.67</v>
      </c>
      <c r="I4" s="57" t="s">
        <v>28</v>
      </c>
      <c r="J4" s="106">
        <f>Electricity!L8</f>
        <v>30058501.324803047</v>
      </c>
      <c r="K4" s="43">
        <f t="shared" si="0"/>
        <v>1168.6820110730778</v>
      </c>
      <c r="L4" s="58">
        <f>Water!G7</f>
        <v>292</v>
      </c>
      <c r="M4" s="58">
        <v>12550</v>
      </c>
      <c r="N4" s="106">
        <f t="shared" si="1"/>
        <v>3664600</v>
      </c>
      <c r="O4" s="43">
        <f>Electricity!C8</f>
        <v>161</v>
      </c>
    </row>
    <row r="5" spans="1:15" x14ac:dyDescent="0.25">
      <c r="A5" s="48" t="s">
        <v>44</v>
      </c>
      <c r="B5" s="45">
        <v>4</v>
      </c>
      <c r="C5" s="45">
        <v>2</v>
      </c>
      <c r="D5" s="45">
        <v>2023</v>
      </c>
      <c r="E5" s="43">
        <f>Electricity!G9</f>
        <v>23960.000000000946</v>
      </c>
      <c r="F5" s="43">
        <f>Electricity!E9</f>
        <v>4320.000000001528</v>
      </c>
      <c r="G5" s="43">
        <f>Electricity!F9</f>
        <v>19639.999999999418</v>
      </c>
      <c r="H5" s="47">
        <v>1553.67</v>
      </c>
      <c r="I5" s="57" t="s">
        <v>28</v>
      </c>
      <c r="J5" s="106">
        <f>Electricity!L9</f>
        <v>27703883.36640181</v>
      </c>
      <c r="K5" s="43">
        <f t="shared" si="0"/>
        <v>1156.2555662103805</v>
      </c>
      <c r="L5" s="58">
        <f>Water!G8</f>
        <v>462</v>
      </c>
      <c r="M5" s="58">
        <v>12550</v>
      </c>
      <c r="N5" s="106">
        <f t="shared" si="1"/>
        <v>5798100</v>
      </c>
      <c r="O5" s="43">
        <f>Electricity!C9</f>
        <v>161</v>
      </c>
    </row>
    <row r="6" spans="1:15" x14ac:dyDescent="0.25">
      <c r="A6" s="48" t="s">
        <v>44</v>
      </c>
      <c r="B6" s="45">
        <v>5</v>
      </c>
      <c r="C6" s="45">
        <v>2</v>
      </c>
      <c r="D6" s="45">
        <v>2023</v>
      </c>
      <c r="E6" s="43">
        <f>Electricity!G10</f>
        <v>23799.999999997453</v>
      </c>
      <c r="F6" s="43">
        <f>Electricity!E10</f>
        <v>4239.9999999997817</v>
      </c>
      <c r="G6" s="43">
        <f>Electricity!F10</f>
        <v>19559.999999997672</v>
      </c>
      <c r="H6" s="47">
        <v>1553.67</v>
      </c>
      <c r="I6" s="57" t="s">
        <v>28</v>
      </c>
      <c r="J6" s="106">
        <f>Electricity!L10</f>
        <v>27491755.622397184</v>
      </c>
      <c r="K6" s="43">
        <f t="shared" si="0"/>
        <v>1155.1157824537868</v>
      </c>
      <c r="L6" s="58">
        <f>Water!G9</f>
        <v>260</v>
      </c>
      <c r="M6" s="58">
        <v>12550</v>
      </c>
      <c r="N6" s="106">
        <f t="shared" si="1"/>
        <v>3263000</v>
      </c>
      <c r="O6" s="43">
        <f>Electricity!C10</f>
        <v>161</v>
      </c>
    </row>
    <row r="7" spans="1:15" x14ac:dyDescent="0.25">
      <c r="A7" s="48" t="s">
        <v>44</v>
      </c>
      <c r="B7" s="45">
        <v>6</v>
      </c>
      <c r="C7" s="45">
        <v>2</v>
      </c>
      <c r="D7" s="45">
        <v>2023</v>
      </c>
      <c r="E7" s="43">
        <f>Electricity!G11</f>
        <v>24479.999999995925</v>
      </c>
      <c r="F7" s="43">
        <f>Electricity!E11</f>
        <v>4639.9999999994179</v>
      </c>
      <c r="G7" s="43">
        <f>Electricity!F11</f>
        <v>19839.999999996508</v>
      </c>
      <c r="H7" s="47">
        <v>1553.67</v>
      </c>
      <c r="I7" s="57" t="s">
        <v>28</v>
      </c>
      <c r="J7" s="106">
        <f>Electricity!L11</f>
        <v>28425117.695995368</v>
      </c>
      <c r="K7" s="43">
        <f t="shared" si="0"/>
        <v>1161.156768627455</v>
      </c>
      <c r="L7" s="58">
        <f>Water!G10</f>
        <v>277</v>
      </c>
      <c r="M7" s="58">
        <v>12550</v>
      </c>
      <c r="N7" s="106">
        <f t="shared" si="1"/>
        <v>3476350</v>
      </c>
      <c r="O7" s="43">
        <f>Electricity!C11</f>
        <v>161</v>
      </c>
    </row>
    <row r="8" spans="1:15" x14ac:dyDescent="0.25">
      <c r="A8" s="48" t="s">
        <v>44</v>
      </c>
      <c r="B8" s="45">
        <v>7</v>
      </c>
      <c r="C8" s="45">
        <v>2</v>
      </c>
      <c r="D8" s="45">
        <v>2023</v>
      </c>
      <c r="E8" s="43">
        <f>Electricity!G12</f>
        <v>26479.999999999563</v>
      </c>
      <c r="F8" s="43">
        <f>Electricity!E12</f>
        <v>4840.0000000001455</v>
      </c>
      <c r="G8" s="43">
        <f>Electricity!F12</f>
        <v>21639.999999999418</v>
      </c>
      <c r="H8" s="47">
        <v>1553.67</v>
      </c>
      <c r="I8" s="57" t="s">
        <v>28</v>
      </c>
      <c r="J8" s="106">
        <f>Electricity!L12</f>
        <v>30652459.00799961</v>
      </c>
      <c r="K8" s="43">
        <f t="shared" si="0"/>
        <v>1157.5702042296116</v>
      </c>
      <c r="L8" s="58">
        <f>Water!G11</f>
        <v>490</v>
      </c>
      <c r="M8" s="58">
        <v>12550</v>
      </c>
      <c r="N8" s="106">
        <f t="shared" si="1"/>
        <v>6149500</v>
      </c>
      <c r="O8" s="43">
        <f>Electricity!C12</f>
        <v>161</v>
      </c>
    </row>
    <row r="9" spans="1:15" x14ac:dyDescent="0.25">
      <c r="A9" s="48" t="s">
        <v>44</v>
      </c>
      <c r="B9" s="45">
        <v>8</v>
      </c>
      <c r="C9" s="45">
        <v>2</v>
      </c>
      <c r="D9" s="45">
        <v>2023</v>
      </c>
      <c r="E9" s="43">
        <f>Electricity!G13</f>
        <v>24120.000000002619</v>
      </c>
      <c r="F9" s="43">
        <f>Electricity!E13</f>
        <v>4639.9999999994179</v>
      </c>
      <c r="G9" s="43">
        <f>Electricity!F13</f>
        <v>19480.000000003201</v>
      </c>
      <c r="H9" s="47">
        <v>1553.67</v>
      </c>
      <c r="I9" s="57" t="s">
        <v>28</v>
      </c>
      <c r="J9" s="106">
        <f>Electricity!L13</f>
        <v>28043287.756802466</v>
      </c>
      <c r="K9" s="43">
        <f t="shared" si="0"/>
        <v>1162.6570380099263</v>
      </c>
      <c r="L9" s="58">
        <f>Water!G12</f>
        <v>270</v>
      </c>
      <c r="M9" s="58">
        <v>12550</v>
      </c>
      <c r="N9" s="106">
        <f t="shared" si="1"/>
        <v>3388500</v>
      </c>
      <c r="O9" s="43">
        <f>Electricity!C13</f>
        <v>161</v>
      </c>
    </row>
    <row r="10" spans="1:15" x14ac:dyDescent="0.25">
      <c r="A10" s="48" t="s">
        <v>44</v>
      </c>
      <c r="B10" s="45">
        <v>9</v>
      </c>
      <c r="C10" s="45">
        <v>2</v>
      </c>
      <c r="D10" s="45">
        <v>2023</v>
      </c>
      <c r="E10" s="43">
        <f>Electricity!G14</f>
        <v>25279.999999998836</v>
      </c>
      <c r="F10" s="43">
        <f>Electricity!E14</f>
        <v>4680.000000000291</v>
      </c>
      <c r="G10" s="43">
        <f>Electricity!F14</f>
        <v>20599.999999998545</v>
      </c>
      <c r="H10" s="47">
        <v>1553.67</v>
      </c>
      <c r="I10" s="57" t="s">
        <v>28</v>
      </c>
      <c r="J10" s="106">
        <f>Electricity!L14</f>
        <v>29294841.446398918</v>
      </c>
      <c r="K10" s="43">
        <f t="shared" si="0"/>
        <v>1158.8149306329219</v>
      </c>
      <c r="L10" s="58">
        <f>Water!G13</f>
        <v>270</v>
      </c>
      <c r="M10" s="58">
        <v>12550</v>
      </c>
      <c r="N10" s="106">
        <f t="shared" si="1"/>
        <v>3388500</v>
      </c>
      <c r="O10" s="43">
        <f>Electricity!C14</f>
        <v>161</v>
      </c>
    </row>
    <row r="11" spans="1:15" x14ac:dyDescent="0.25">
      <c r="A11" s="48" t="s">
        <v>44</v>
      </c>
      <c r="B11" s="45">
        <v>10</v>
      </c>
      <c r="C11" s="45">
        <v>2</v>
      </c>
      <c r="D11" s="45">
        <v>2023</v>
      </c>
      <c r="E11" s="43">
        <f>Electricity!G15</f>
        <v>24680</v>
      </c>
      <c r="F11" s="43">
        <f>Electricity!E15</f>
        <v>4680</v>
      </c>
      <c r="G11" s="43">
        <f>Electricity!F15</f>
        <v>20000</v>
      </c>
      <c r="H11" s="47">
        <v>1553.67</v>
      </c>
      <c r="I11" s="57" t="s">
        <v>28</v>
      </c>
      <c r="J11" s="106">
        <f>Electricity!L15</f>
        <v>28658458.214400001</v>
      </c>
      <c r="K11" s="43">
        <f t="shared" si="0"/>
        <v>1161.2017104700162</v>
      </c>
      <c r="L11" s="58">
        <f>Water!G14</f>
        <v>419</v>
      </c>
      <c r="M11" s="58">
        <v>12550</v>
      </c>
      <c r="N11" s="106">
        <f t="shared" si="1"/>
        <v>5258450</v>
      </c>
      <c r="O11" s="43">
        <f>Electricity!C15</f>
        <v>161</v>
      </c>
    </row>
    <row r="12" spans="1:15" x14ac:dyDescent="0.25">
      <c r="A12" s="48" t="s">
        <v>44</v>
      </c>
      <c r="B12" s="45">
        <v>11</v>
      </c>
      <c r="C12" s="45">
        <v>2</v>
      </c>
      <c r="D12" s="45">
        <v>2023</v>
      </c>
      <c r="E12" s="43">
        <f>Electricity!G16</f>
        <v>25200.000000004075</v>
      </c>
      <c r="F12" s="43">
        <f>Electricity!E16</f>
        <v>4680</v>
      </c>
      <c r="G12" s="43">
        <f>Electricity!F16</f>
        <v>20520.000000004075</v>
      </c>
      <c r="H12" s="47">
        <v>1553.67</v>
      </c>
      <c r="I12" s="57" t="s">
        <v>28</v>
      </c>
      <c r="J12" s="106">
        <f>Electricity!L16</f>
        <v>29209990.348804321</v>
      </c>
      <c r="K12" s="43">
        <f t="shared" si="0"/>
        <v>1159.1266011428413</v>
      </c>
      <c r="L12" s="58">
        <f>Water!G15</f>
        <v>325</v>
      </c>
      <c r="M12" s="58">
        <v>12550</v>
      </c>
      <c r="N12" s="106">
        <f t="shared" si="1"/>
        <v>4078750</v>
      </c>
      <c r="O12" s="43">
        <f>Electricity!C16</f>
        <v>161</v>
      </c>
    </row>
    <row r="13" spans="1:15" x14ac:dyDescent="0.25">
      <c r="A13" s="48" t="s">
        <v>44</v>
      </c>
      <c r="B13" s="45">
        <v>12</v>
      </c>
      <c r="C13" s="45">
        <v>2</v>
      </c>
      <c r="D13" s="45">
        <v>2023</v>
      </c>
      <c r="E13" s="43">
        <f>Electricity!G17</f>
        <v>24519.999999996508</v>
      </c>
      <c r="F13" s="43">
        <f>Electricity!E17</f>
        <v>4680</v>
      </c>
      <c r="G13" s="43">
        <f>Electricity!F17</f>
        <v>19839.999999996508</v>
      </c>
      <c r="H13" s="47">
        <v>1553.67</v>
      </c>
      <c r="I13" s="57" t="s">
        <v>28</v>
      </c>
      <c r="J13" s="106">
        <f>Electricity!L17</f>
        <v>28488756.019196298</v>
      </c>
      <c r="K13" s="43">
        <f t="shared" si="0"/>
        <v>1161.8579126916948</v>
      </c>
      <c r="L13" s="58">
        <f>Water!G16</f>
        <v>266</v>
      </c>
      <c r="M13" s="58">
        <v>12550</v>
      </c>
      <c r="N13" s="106">
        <f t="shared" si="1"/>
        <v>3338300</v>
      </c>
      <c r="O13" s="43">
        <f>Electricity!C17</f>
        <v>161</v>
      </c>
    </row>
    <row r="14" spans="1:15" x14ac:dyDescent="0.25">
      <c r="A14" s="48" t="s">
        <v>44</v>
      </c>
      <c r="B14" s="45">
        <v>13</v>
      </c>
      <c r="C14" s="45">
        <v>2</v>
      </c>
      <c r="D14" s="45">
        <v>2023</v>
      </c>
      <c r="E14" s="43">
        <f>Electricity!G18</f>
        <v>23160.000000003492</v>
      </c>
      <c r="F14" s="43">
        <f>Electricity!E18</f>
        <v>4319.999999999709</v>
      </c>
      <c r="G14" s="43">
        <f>Electricity!F18</f>
        <v>18840.000000003783</v>
      </c>
      <c r="H14" s="47">
        <v>1553.67</v>
      </c>
      <c r="I14" s="57" t="s">
        <v>28</v>
      </c>
      <c r="J14" s="106">
        <f>Electricity!L18</f>
        <v>26855372.39040355</v>
      </c>
      <c r="K14" s="43">
        <f t="shared" si="0"/>
        <v>1159.558393367854</v>
      </c>
      <c r="L14" s="58">
        <f>Water!G17</f>
        <v>336</v>
      </c>
      <c r="M14" s="58">
        <v>12550</v>
      </c>
      <c r="N14" s="106">
        <f t="shared" si="1"/>
        <v>4216800</v>
      </c>
      <c r="O14" s="43">
        <f>Electricity!C18</f>
        <v>161</v>
      </c>
    </row>
    <row r="15" spans="1:15" x14ac:dyDescent="0.25">
      <c r="A15" s="48" t="s">
        <v>44</v>
      </c>
      <c r="B15" s="45">
        <v>14</v>
      </c>
      <c r="C15" s="45">
        <v>2</v>
      </c>
      <c r="D15" s="45">
        <v>2023</v>
      </c>
      <c r="E15" s="43">
        <f>Electricity!G19</f>
        <v>23919.999999996435</v>
      </c>
      <c r="F15" s="43">
        <f>Electricity!E19</f>
        <v>4440.0000000005093</v>
      </c>
      <c r="G15" s="43">
        <f>Electricity!F19</f>
        <v>19479.999999995925</v>
      </c>
      <c r="H15" s="47">
        <v>1553.67</v>
      </c>
      <c r="I15" s="57" t="s">
        <v>28</v>
      </c>
      <c r="J15" s="106">
        <f>Electricity!L19</f>
        <v>27725096.140796486</v>
      </c>
      <c r="K15" s="43">
        <f t="shared" si="0"/>
        <v>1159.075925618755</v>
      </c>
      <c r="L15" s="58">
        <f>Water!G18</f>
        <v>407</v>
      </c>
      <c r="M15" s="58">
        <v>12550</v>
      </c>
      <c r="N15" s="106">
        <f t="shared" si="1"/>
        <v>5107850</v>
      </c>
      <c r="O15" s="43">
        <f>Electricity!C19</f>
        <v>161</v>
      </c>
    </row>
    <row r="16" spans="1:15" x14ac:dyDescent="0.25">
      <c r="A16" s="48" t="s">
        <v>44</v>
      </c>
      <c r="B16" s="45">
        <v>15</v>
      </c>
      <c r="C16" s="45">
        <v>2</v>
      </c>
      <c r="D16" s="45">
        <v>2023</v>
      </c>
      <c r="E16" s="43">
        <f>Electricity!G20</f>
        <v>24919.999999998254</v>
      </c>
      <c r="F16" s="43">
        <f>Electricity!E20</f>
        <v>4959.9999999991269</v>
      </c>
      <c r="G16" s="43">
        <f>Electricity!F20</f>
        <v>19959.999999999127</v>
      </c>
      <c r="H16" s="47">
        <v>1553.67</v>
      </c>
      <c r="I16" s="57" t="s">
        <v>28</v>
      </c>
      <c r="J16" s="106">
        <f>Electricity!L20</f>
        <v>29061500.927997686</v>
      </c>
      <c r="K16" s="43">
        <f t="shared" si="0"/>
        <v>1166.1918510433275</v>
      </c>
      <c r="L16" s="58">
        <f>Water!G19</f>
        <v>267</v>
      </c>
      <c r="M16" s="58">
        <v>12550</v>
      </c>
      <c r="N16" s="106">
        <f t="shared" si="1"/>
        <v>3350850</v>
      </c>
      <c r="O16" s="43">
        <f>Electricity!C20</f>
        <v>161</v>
      </c>
    </row>
    <row r="17" spans="1:15" x14ac:dyDescent="0.25">
      <c r="A17" s="48" t="s">
        <v>44</v>
      </c>
      <c r="B17" s="45">
        <v>16</v>
      </c>
      <c r="C17" s="45">
        <v>2</v>
      </c>
      <c r="D17" s="45">
        <v>2023</v>
      </c>
      <c r="E17" s="43">
        <f>Electricity!G21</f>
        <v>19880.000000001019</v>
      </c>
      <c r="F17" s="43">
        <f>Electricity!E21</f>
        <v>4159.9999999998545</v>
      </c>
      <c r="G17" s="43">
        <f>Electricity!F21</f>
        <v>15720.000000001164</v>
      </c>
      <c r="H17" s="47">
        <v>1553.67</v>
      </c>
      <c r="I17" s="57" t="s">
        <v>28</v>
      </c>
      <c r="J17" s="106">
        <f>Electricity!L21</f>
        <v>23291626.291201003</v>
      </c>
      <c r="K17" s="43">
        <f t="shared" si="0"/>
        <v>1171.6109804426465</v>
      </c>
      <c r="L17" s="58">
        <f>Water!G20</f>
        <v>263</v>
      </c>
      <c r="M17" s="58">
        <v>12550</v>
      </c>
      <c r="N17" s="106">
        <f t="shared" si="1"/>
        <v>3300650</v>
      </c>
      <c r="O17" s="43">
        <f>Electricity!C21</f>
        <v>161</v>
      </c>
    </row>
    <row r="18" spans="1:15" x14ac:dyDescent="0.25">
      <c r="A18" s="48" t="s">
        <v>44</v>
      </c>
      <c r="B18" s="45">
        <v>17</v>
      </c>
      <c r="C18" s="45">
        <v>2</v>
      </c>
      <c r="D18" s="45">
        <v>2023</v>
      </c>
      <c r="E18" s="43">
        <f>Electricity!G22</f>
        <v>26640.000000001237</v>
      </c>
      <c r="F18" s="43">
        <f>Electricity!E22</f>
        <v>4600.0000000003638</v>
      </c>
      <c r="G18" s="43">
        <f>Electricity!F22</f>
        <v>22040.000000000873</v>
      </c>
      <c r="H18" s="47">
        <v>1553.67</v>
      </c>
      <c r="I18" s="57" t="s">
        <v>28</v>
      </c>
      <c r="J18" s="106">
        <f>Electricity!L22</f>
        <v>30694884.556801505</v>
      </c>
      <c r="K18" s="43">
        <f t="shared" si="0"/>
        <v>1152.2103812612643</v>
      </c>
      <c r="L18" s="58">
        <f>Water!G21</f>
        <v>499</v>
      </c>
      <c r="M18" s="58">
        <v>12550</v>
      </c>
      <c r="N18" s="106">
        <f t="shared" si="1"/>
        <v>6262450</v>
      </c>
      <c r="O18" s="43">
        <f>Electricity!C22</f>
        <v>161</v>
      </c>
    </row>
    <row r="19" spans="1:15" x14ac:dyDescent="0.25">
      <c r="A19" s="48" t="s">
        <v>44</v>
      </c>
      <c r="B19" s="45">
        <v>18</v>
      </c>
      <c r="C19" s="45">
        <v>2</v>
      </c>
      <c r="D19" s="45">
        <v>2023</v>
      </c>
      <c r="E19" s="43">
        <f>Electricity!G23</f>
        <v>26880.000000002838</v>
      </c>
      <c r="F19" s="43">
        <f>Electricity!E23</f>
        <v>4440.0000000005093</v>
      </c>
      <c r="G19" s="43">
        <f>Electricity!F23</f>
        <v>22440.000000002328</v>
      </c>
      <c r="H19" s="47">
        <v>1553.67</v>
      </c>
      <c r="I19" s="57" t="s">
        <v>28</v>
      </c>
      <c r="J19" s="106">
        <f>Electricity!L23</f>
        <v>30864586.752003279</v>
      </c>
      <c r="K19" s="43">
        <f t="shared" si="0"/>
        <v>1148.2361142857151</v>
      </c>
      <c r="L19" s="58">
        <f>Water!G22</f>
        <v>308</v>
      </c>
      <c r="M19" s="58">
        <v>12550</v>
      </c>
      <c r="N19" s="106">
        <f t="shared" si="1"/>
        <v>3865400</v>
      </c>
      <c r="O19" s="43">
        <f>Electricity!C23</f>
        <v>161</v>
      </c>
    </row>
    <row r="20" spans="1:15" x14ac:dyDescent="0.25">
      <c r="A20" s="48" t="s">
        <v>44</v>
      </c>
      <c r="B20" s="45">
        <v>19</v>
      </c>
      <c r="C20" s="45">
        <v>2</v>
      </c>
      <c r="D20" s="45">
        <v>2023</v>
      </c>
      <c r="E20" s="43">
        <f>Electricity!G24</f>
        <v>24679.999999998472</v>
      </c>
      <c r="F20" s="43">
        <f>Electricity!E24</f>
        <v>4440.0000000005093</v>
      </c>
      <c r="G20" s="43">
        <f>Electricity!F24</f>
        <v>20239.999999997963</v>
      </c>
      <c r="H20" s="47">
        <v>1553.67</v>
      </c>
      <c r="I20" s="57" t="s">
        <v>28</v>
      </c>
      <c r="J20" s="106">
        <f>Electricity!L24</f>
        <v>28531181.567998651</v>
      </c>
      <c r="K20" s="43">
        <f t="shared" si="0"/>
        <v>1156.0446340356734</v>
      </c>
      <c r="L20" s="58">
        <f>Water!G23</f>
        <v>399</v>
      </c>
      <c r="M20" s="58">
        <v>12550</v>
      </c>
      <c r="N20" s="106">
        <f t="shared" si="1"/>
        <v>5007450</v>
      </c>
      <c r="O20" s="43">
        <f>Electricity!C24</f>
        <v>161</v>
      </c>
    </row>
    <row r="21" spans="1:15" x14ac:dyDescent="0.25">
      <c r="A21" s="48" t="s">
        <v>44</v>
      </c>
      <c r="B21" s="45">
        <v>20</v>
      </c>
      <c r="C21" s="45">
        <v>2</v>
      </c>
      <c r="D21" s="45">
        <v>2023</v>
      </c>
      <c r="E21" s="43">
        <f>Electricity!G25</f>
        <v>24319.999999999709</v>
      </c>
      <c r="F21" s="43">
        <f>Electricity!E25</f>
        <v>4639.9999999994179</v>
      </c>
      <c r="G21" s="43">
        <f>Electricity!F25</f>
        <v>19680.000000000291</v>
      </c>
      <c r="H21" s="47">
        <v>1553.67</v>
      </c>
      <c r="I21" s="57" t="s">
        <v>28</v>
      </c>
      <c r="J21" s="106">
        <f>Electricity!L25</f>
        <v>28255415.50079938</v>
      </c>
      <c r="K21" s="43">
        <f t="shared" si="0"/>
        <v>1161.8180715789358</v>
      </c>
      <c r="L21" s="58">
        <f>Water!G24</f>
        <v>270</v>
      </c>
      <c r="M21" s="58">
        <v>12550</v>
      </c>
      <c r="N21" s="106">
        <f t="shared" si="1"/>
        <v>3388500</v>
      </c>
      <c r="O21" s="43">
        <f>Electricity!C25</f>
        <v>161</v>
      </c>
    </row>
    <row r="22" spans="1:15" x14ac:dyDescent="0.25">
      <c r="A22" s="48" t="s">
        <v>44</v>
      </c>
      <c r="B22" s="45">
        <v>21</v>
      </c>
      <c r="C22" s="45">
        <v>2</v>
      </c>
      <c r="D22" s="45">
        <v>2023</v>
      </c>
      <c r="E22" s="43">
        <f>Electricity!G26</f>
        <v>25359.999999998763</v>
      </c>
      <c r="F22" s="43">
        <f>Electricity!E26</f>
        <v>4760.0000000002183</v>
      </c>
      <c r="G22" s="43">
        <f>Electricity!F26</f>
        <v>20599.999999998545</v>
      </c>
      <c r="H22" s="47">
        <v>1553.67</v>
      </c>
      <c r="I22" s="57" t="s">
        <v>28</v>
      </c>
      <c r="J22" s="106">
        <f>Electricity!L26</f>
        <v>29422118.092798803</v>
      </c>
      <c r="K22" s="43">
        <f t="shared" si="0"/>
        <v>1160.1781582334479</v>
      </c>
      <c r="L22" s="58">
        <f>Water!G25</f>
        <v>438</v>
      </c>
      <c r="M22" s="58">
        <v>12550</v>
      </c>
      <c r="N22" s="106">
        <f t="shared" si="1"/>
        <v>5496900</v>
      </c>
      <c r="O22" s="43">
        <f>Electricity!C26</f>
        <v>161</v>
      </c>
    </row>
    <row r="23" spans="1:15" x14ac:dyDescent="0.25">
      <c r="A23" s="48" t="s">
        <v>44</v>
      </c>
      <c r="B23" s="45">
        <v>22</v>
      </c>
      <c r="C23" s="45">
        <v>2</v>
      </c>
      <c r="D23" s="45">
        <v>2023</v>
      </c>
      <c r="E23" s="43">
        <f>Electricity!G27</f>
        <v>24360.000000000582</v>
      </c>
      <c r="F23" s="43">
        <f>Electricity!E27</f>
        <v>4959.9999999991269</v>
      </c>
      <c r="G23" s="43">
        <f>Electricity!F27</f>
        <v>19400.000000001455</v>
      </c>
      <c r="H23" s="47">
        <v>1553.67</v>
      </c>
      <c r="I23" s="57" t="s">
        <v>28</v>
      </c>
      <c r="J23" s="106">
        <f>Electricity!L27</f>
        <v>28467543.24480015</v>
      </c>
      <c r="K23" s="43">
        <f t="shared" si="0"/>
        <v>1168.6183598029338</v>
      </c>
      <c r="L23" s="58">
        <f>Water!G26</f>
        <v>355</v>
      </c>
      <c r="M23" s="58">
        <v>12550</v>
      </c>
      <c r="N23" s="106">
        <f t="shared" si="1"/>
        <v>4455250</v>
      </c>
      <c r="O23" s="43">
        <f>Electricity!C27</f>
        <v>161</v>
      </c>
    </row>
    <row r="24" spans="1:15" x14ac:dyDescent="0.25">
      <c r="A24" s="48" t="s">
        <v>44</v>
      </c>
      <c r="B24" s="45">
        <v>23</v>
      </c>
      <c r="C24" s="45">
        <v>2</v>
      </c>
      <c r="D24" s="45">
        <v>2023</v>
      </c>
      <c r="E24" s="43">
        <f>Electricity!G28</f>
        <v>22800.00000000291</v>
      </c>
      <c r="F24" s="43">
        <f>Electricity!E28</f>
        <v>4040.0000000008731</v>
      </c>
      <c r="G24" s="43">
        <f>Electricity!F28</f>
        <v>18760.000000002037</v>
      </c>
      <c r="H24" s="47">
        <v>1553.67</v>
      </c>
      <c r="I24" s="57" t="s">
        <v>28</v>
      </c>
      <c r="J24" s="106">
        <f>Electricity!L28</f>
        <v>26325053.030403551</v>
      </c>
      <c r="K24" s="43">
        <f t="shared" si="0"/>
        <v>1154.6075890526399</v>
      </c>
      <c r="L24" s="58">
        <f>Water!G27</f>
        <v>285</v>
      </c>
      <c r="M24" s="58">
        <v>12550</v>
      </c>
      <c r="N24" s="106">
        <f t="shared" si="1"/>
        <v>3576750</v>
      </c>
      <c r="O24" s="43">
        <f>Electricity!C28</f>
        <v>161</v>
      </c>
    </row>
    <row r="25" spans="1:15" x14ac:dyDescent="0.25">
      <c r="A25" s="48" t="s">
        <v>44</v>
      </c>
      <c r="B25" s="45">
        <v>24</v>
      </c>
      <c r="C25" s="45">
        <v>2</v>
      </c>
      <c r="D25" s="45">
        <v>2023</v>
      </c>
      <c r="E25" s="43">
        <f>Electricity!G29</f>
        <v>24840.000000000146</v>
      </c>
      <c r="F25" s="43">
        <f>Electricity!E29</f>
        <v>4840.0000000001455</v>
      </c>
      <c r="G25" s="43">
        <f>Electricity!F29</f>
        <v>20000</v>
      </c>
      <c r="H25" s="47">
        <v>1553.67</v>
      </c>
      <c r="I25" s="57" t="s">
        <v>28</v>
      </c>
      <c r="J25" s="106">
        <f>Electricity!L29</f>
        <v>28913011.507200234</v>
      </c>
      <c r="K25" s="43">
        <f t="shared" si="0"/>
        <v>1163.9698674396161</v>
      </c>
      <c r="L25" s="58">
        <f>Water!G28</f>
        <v>472</v>
      </c>
      <c r="M25" s="58">
        <v>12550</v>
      </c>
      <c r="N25" s="106">
        <f t="shared" si="1"/>
        <v>5923600</v>
      </c>
      <c r="O25" s="43">
        <f>Electricity!C29</f>
        <v>161</v>
      </c>
    </row>
    <row r="26" spans="1:15" x14ac:dyDescent="0.25">
      <c r="A26" s="48" t="s">
        <v>44</v>
      </c>
      <c r="B26" s="45">
        <v>25</v>
      </c>
      <c r="C26" s="45">
        <v>2</v>
      </c>
      <c r="D26" s="45">
        <v>2023</v>
      </c>
      <c r="E26" s="43">
        <f>Electricity!G30</f>
        <v>24160.000000001673</v>
      </c>
      <c r="F26" s="43">
        <f>Electricity!E30</f>
        <v>4440.0000000005093</v>
      </c>
      <c r="G26" s="43">
        <f>Electricity!F30</f>
        <v>19720.000000001164</v>
      </c>
      <c r="H26" s="47">
        <v>1553.67</v>
      </c>
      <c r="I26" s="57" t="s">
        <v>28</v>
      </c>
      <c r="J26" s="106">
        <f>Electricity!L30</f>
        <v>27979649.433602042</v>
      </c>
      <c r="K26" s="43">
        <f t="shared" si="0"/>
        <v>1158.0980725827858</v>
      </c>
      <c r="L26" s="58">
        <f>Water!G29</f>
        <v>297</v>
      </c>
      <c r="M26" s="58">
        <v>12550</v>
      </c>
      <c r="N26" s="106">
        <f t="shared" si="1"/>
        <v>3727350</v>
      </c>
      <c r="O26" s="43">
        <f>Electricity!C30</f>
        <v>161</v>
      </c>
    </row>
    <row r="27" spans="1:15" x14ac:dyDescent="0.25">
      <c r="A27" s="48" t="s">
        <v>44</v>
      </c>
      <c r="B27" s="45">
        <v>26</v>
      </c>
      <c r="C27" s="45">
        <v>2</v>
      </c>
      <c r="D27" s="45">
        <v>2023</v>
      </c>
      <c r="E27" s="43">
        <f>Electricity!G31</f>
        <v>24039.999999991778</v>
      </c>
      <c r="F27" s="43">
        <f>Electricity!E31</f>
        <v>4359.9999999987631</v>
      </c>
      <c r="G27" s="43">
        <f>Electricity!F31</f>
        <v>19679.999999993015</v>
      </c>
      <c r="H27" s="47">
        <v>1553.67</v>
      </c>
      <c r="I27" s="57" t="s">
        <v>28</v>
      </c>
      <c r="J27" s="106">
        <f>Electricity!L31</f>
        <v>27809947.238390621</v>
      </c>
      <c r="K27" s="43">
        <f t="shared" si="0"/>
        <v>1156.8197686522517</v>
      </c>
      <c r="L27" s="58">
        <f>Water!G30</f>
        <v>279</v>
      </c>
      <c r="M27" s="58">
        <v>12550</v>
      </c>
      <c r="N27" s="106">
        <f t="shared" si="1"/>
        <v>3501450</v>
      </c>
      <c r="O27" s="43">
        <f>Electricity!C31</f>
        <v>161</v>
      </c>
    </row>
    <row r="28" spans="1:15" x14ac:dyDescent="0.25">
      <c r="A28" s="48" t="s">
        <v>44</v>
      </c>
      <c r="B28" s="45">
        <v>27</v>
      </c>
      <c r="C28" s="45">
        <v>2</v>
      </c>
      <c r="D28" s="45">
        <v>2023</v>
      </c>
      <c r="E28" s="43">
        <f>Electricity!G32</f>
        <v>23760.000000002037</v>
      </c>
      <c r="F28" s="43">
        <f>Electricity!E32</f>
        <v>4000</v>
      </c>
      <c r="G28" s="43">
        <f>Electricity!F32</f>
        <v>19760.000000002037</v>
      </c>
      <c r="H28" s="47">
        <v>1553.67</v>
      </c>
      <c r="I28" s="57" t="s">
        <v>28</v>
      </c>
      <c r="J28" s="106">
        <f>Electricity!L32</f>
        <v>27322053.427202161</v>
      </c>
      <c r="K28" s="43">
        <f t="shared" si="0"/>
        <v>1149.9180735353459</v>
      </c>
      <c r="L28" s="58">
        <f>Water!G31</f>
        <v>459</v>
      </c>
      <c r="M28" s="58">
        <v>12550</v>
      </c>
      <c r="N28" s="106">
        <f t="shared" si="1"/>
        <v>5760450</v>
      </c>
      <c r="O28" s="43">
        <f>Electricity!C32</f>
        <v>161</v>
      </c>
    </row>
    <row r="29" spans="1:15" x14ac:dyDescent="0.25">
      <c r="A29" s="48" t="s">
        <v>44</v>
      </c>
      <c r="B29" s="45">
        <v>28</v>
      </c>
      <c r="C29" s="45">
        <v>2</v>
      </c>
      <c r="D29" s="45">
        <v>2023</v>
      </c>
      <c r="E29" s="43">
        <f>Electricity!G33</f>
        <v>21320.000000001528</v>
      </c>
      <c r="F29" s="43">
        <f>Electricity!E33</f>
        <v>4239.9999999997817</v>
      </c>
      <c r="G29" s="43">
        <f>Electricity!F33</f>
        <v>17080.000000001746</v>
      </c>
      <c r="H29" s="47">
        <v>1553.67</v>
      </c>
      <c r="I29" s="57" t="s">
        <v>28</v>
      </c>
      <c r="J29" s="106">
        <f>Electricity!L33</f>
        <v>24861371.596801504</v>
      </c>
      <c r="K29" s="43">
        <f t="shared" si="0"/>
        <v>1166.1056096059908</v>
      </c>
      <c r="L29" s="58">
        <f>Water!G32</f>
        <v>279</v>
      </c>
      <c r="M29" s="58">
        <v>12550</v>
      </c>
      <c r="N29" s="106">
        <f t="shared" si="1"/>
        <v>3501450</v>
      </c>
      <c r="O29" s="43">
        <f>Electricity!C33</f>
        <v>161</v>
      </c>
    </row>
    <row r="30" spans="1:15" x14ac:dyDescent="0.25">
      <c r="E30" s="106"/>
      <c r="F30" s="106"/>
      <c r="G30" s="106"/>
      <c r="H30" s="106"/>
      <c r="I30" s="106"/>
      <c r="J30" s="106"/>
      <c r="K30" s="106"/>
      <c r="L30" s="106"/>
      <c r="M30" s="106"/>
      <c r="N30" s="10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5"/>
  <sheetViews>
    <sheetView view="pageBreakPreview" zoomScale="80" zoomScaleNormal="80" zoomScaleSheetLayoutView="80" workbookViewId="0">
      <pane ySplit="4" topLeftCell="A5" activePane="bottomLeft" state="frozen"/>
      <selection pane="bottomLeft" activeCell="H39" sqref="H39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3" t="s">
        <v>37</v>
      </c>
      <c r="C1" s="124"/>
      <c r="D1" s="124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5" t="s">
        <v>0</v>
      </c>
      <c r="C2" s="137" t="s">
        <v>33</v>
      </c>
      <c r="D2" s="128" t="s">
        <v>9</v>
      </c>
      <c r="E2" s="131" t="s">
        <v>38</v>
      </c>
      <c r="F2" s="132"/>
      <c r="G2" s="132"/>
      <c r="H2" s="132"/>
      <c r="I2" s="132"/>
      <c r="J2" s="132"/>
      <c r="K2" s="132"/>
      <c r="L2" s="133"/>
      <c r="M2" s="2"/>
      <c r="N2" s="2"/>
      <c r="O2" s="1"/>
      <c r="P2" s="1"/>
      <c r="Q2" s="1"/>
    </row>
    <row r="3" spans="2:17" s="23" customFormat="1" ht="25.5" customHeight="1" x14ac:dyDescent="0.25">
      <c r="B3" s="126"/>
      <c r="C3" s="138"/>
      <c r="D3" s="129"/>
      <c r="E3" s="20" t="s">
        <v>7</v>
      </c>
      <c r="F3" s="24" t="s">
        <v>13</v>
      </c>
      <c r="G3" s="24" t="s">
        <v>16</v>
      </c>
      <c r="H3" s="134" t="s">
        <v>17</v>
      </c>
      <c r="I3" s="135"/>
      <c r="J3" s="136"/>
      <c r="K3" s="119" t="s">
        <v>35</v>
      </c>
      <c r="L3" s="121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7"/>
      <c r="C4" s="52"/>
      <c r="D4" s="130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20"/>
      <c r="L4" s="122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44958</v>
      </c>
      <c r="C6" s="59">
        <v>161</v>
      </c>
      <c r="D6" s="87">
        <v>1035.78</v>
      </c>
      <c r="E6" s="113">
        <v>2279.9999999988358</v>
      </c>
      <c r="F6" s="114">
        <v>18240.000000005239</v>
      </c>
      <c r="G6" s="80">
        <f>F6+E6</f>
        <v>20520.000000004075</v>
      </c>
      <c r="H6" s="81">
        <f t="shared" ref="H6:H33" si="0">E6*1.5*D6</f>
        <v>3542367.599998191</v>
      </c>
      <c r="I6" s="81">
        <f t="shared" ref="I6:I33" si="1">F6*D6</f>
        <v>18892627.200005427</v>
      </c>
      <c r="J6" s="81">
        <f t="shared" ref="J6:J30" si="2">I6+H6</f>
        <v>22434994.800003618</v>
      </c>
      <c r="K6" s="81">
        <f>J6*0.024</f>
        <v>538439.87520008686</v>
      </c>
      <c r="L6" s="104">
        <f>J6+K6</f>
        <v>22973434.675203703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44959</v>
      </c>
      <c r="C7" s="59">
        <v>161</v>
      </c>
      <c r="D7" s="87">
        <v>1035.78</v>
      </c>
      <c r="E7" s="113">
        <v>4000</v>
      </c>
      <c r="F7" s="114">
        <v>21239.999999997963</v>
      </c>
      <c r="G7" s="80">
        <f t="shared" ref="G7:G32" si="3">F7+E7</f>
        <v>25239.999999997963</v>
      </c>
      <c r="H7" s="81">
        <f t="shared" si="0"/>
        <v>6214680</v>
      </c>
      <c r="I7" s="81">
        <f t="shared" si="1"/>
        <v>21999967.199997891</v>
      </c>
      <c r="J7" s="81">
        <f t="shared" si="2"/>
        <v>28214647.199997891</v>
      </c>
      <c r="K7" s="81">
        <f t="shared" ref="K7:K33" si="4">J7*0.024</f>
        <v>677151.5327999494</v>
      </c>
      <c r="L7" s="104">
        <f t="shared" ref="L7:L33" si="5">J7+K7</f>
        <v>28891798.732797839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44960</v>
      </c>
      <c r="C8" s="59">
        <v>161</v>
      </c>
      <c r="D8" s="87">
        <v>1035.78</v>
      </c>
      <c r="E8" s="113">
        <v>5239.9999999997817</v>
      </c>
      <c r="F8" s="114">
        <v>20480.000000003201</v>
      </c>
      <c r="G8" s="80">
        <f t="shared" si="3"/>
        <v>25720.000000002983</v>
      </c>
      <c r="H8" s="81">
        <f t="shared" si="0"/>
        <v>8141230.7999996608</v>
      </c>
      <c r="I8" s="81">
        <f t="shared" si="1"/>
        <v>21212774.400003314</v>
      </c>
      <c r="J8" s="81">
        <f t="shared" si="2"/>
        <v>29354005.200002976</v>
      </c>
      <c r="K8" s="81">
        <f t="shared" si="4"/>
        <v>704496.12480007147</v>
      </c>
      <c r="L8" s="104">
        <f t="shared" si="5"/>
        <v>30058501.324803047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44961</v>
      </c>
      <c r="C9" s="59">
        <v>161</v>
      </c>
      <c r="D9" s="87">
        <v>1035.78</v>
      </c>
      <c r="E9" s="113">
        <v>4320.000000001528</v>
      </c>
      <c r="F9" s="114">
        <v>19639.999999999418</v>
      </c>
      <c r="G9" s="80">
        <f t="shared" si="3"/>
        <v>23960.000000000946</v>
      </c>
      <c r="H9" s="81">
        <f t="shared" si="0"/>
        <v>6711854.4000023734</v>
      </c>
      <c r="I9" s="81">
        <f t="shared" si="1"/>
        <v>20342719.199999396</v>
      </c>
      <c r="J9" s="81">
        <f t="shared" si="2"/>
        <v>27054573.600001767</v>
      </c>
      <c r="K9" s="81">
        <f t="shared" si="4"/>
        <v>649309.76640004246</v>
      </c>
      <c r="L9" s="104">
        <f t="shared" si="5"/>
        <v>27703883.36640181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44962</v>
      </c>
      <c r="C10" s="59">
        <v>161</v>
      </c>
      <c r="D10" s="87">
        <v>1035.78</v>
      </c>
      <c r="E10" s="113">
        <v>4239.9999999997817</v>
      </c>
      <c r="F10" s="114">
        <v>19559.999999997672</v>
      </c>
      <c r="G10" s="80">
        <f t="shared" si="3"/>
        <v>23799.999999997453</v>
      </c>
      <c r="H10" s="81">
        <f t="shared" si="0"/>
        <v>6587560.7999996608</v>
      </c>
      <c r="I10" s="81">
        <f t="shared" si="1"/>
        <v>20259856.799997587</v>
      </c>
      <c r="J10" s="81">
        <f t="shared" si="2"/>
        <v>26847417.599997249</v>
      </c>
      <c r="K10" s="81">
        <f t="shared" si="4"/>
        <v>644338.02239993401</v>
      </c>
      <c r="L10" s="104">
        <f t="shared" si="5"/>
        <v>27491755.622397184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44963</v>
      </c>
      <c r="C11" s="59">
        <v>161</v>
      </c>
      <c r="D11" s="87">
        <v>1035.78</v>
      </c>
      <c r="E11" s="113">
        <v>4639.9999999994179</v>
      </c>
      <c r="F11" s="114">
        <v>19839.999999996508</v>
      </c>
      <c r="G11" s="80">
        <f t="shared" si="3"/>
        <v>24479.999999995925</v>
      </c>
      <c r="H11" s="81">
        <f t="shared" si="0"/>
        <v>7209028.7999990955</v>
      </c>
      <c r="I11" s="81">
        <f t="shared" si="1"/>
        <v>20549875.199996382</v>
      </c>
      <c r="J11" s="81">
        <f t="shared" si="2"/>
        <v>27758903.999995477</v>
      </c>
      <c r="K11" s="81">
        <f t="shared" si="4"/>
        <v>666213.6959998915</v>
      </c>
      <c r="L11" s="104">
        <f t="shared" si="5"/>
        <v>28425117.695995368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44964</v>
      </c>
      <c r="C12" s="59">
        <v>161</v>
      </c>
      <c r="D12" s="87">
        <v>1035.78</v>
      </c>
      <c r="E12" s="113">
        <v>4840.0000000001455</v>
      </c>
      <c r="F12" s="114">
        <v>21639.999999999418</v>
      </c>
      <c r="G12" s="80">
        <f t="shared" si="3"/>
        <v>26479.999999999563</v>
      </c>
      <c r="H12" s="81">
        <f t="shared" si="0"/>
        <v>7519762.8000002261</v>
      </c>
      <c r="I12" s="81">
        <f t="shared" si="1"/>
        <v>22414279.199999396</v>
      </c>
      <c r="J12" s="81">
        <f t="shared" si="2"/>
        <v>29934041.99999962</v>
      </c>
      <c r="K12" s="81">
        <f t="shared" si="4"/>
        <v>718417.00799999095</v>
      </c>
      <c r="L12" s="104">
        <f t="shared" si="5"/>
        <v>30652459.00799961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44965</v>
      </c>
      <c r="C13" s="59">
        <v>161</v>
      </c>
      <c r="D13" s="87">
        <v>1035.78</v>
      </c>
      <c r="E13" s="113">
        <v>4639.9999999994179</v>
      </c>
      <c r="F13" s="114">
        <v>19480.000000003201</v>
      </c>
      <c r="G13" s="80">
        <f t="shared" si="3"/>
        <v>24120.000000002619</v>
      </c>
      <c r="H13" s="81">
        <f t="shared" si="0"/>
        <v>7209028.7999990955</v>
      </c>
      <c r="I13" s="81">
        <f t="shared" si="1"/>
        <v>20176994.400003314</v>
      </c>
      <c r="J13" s="81">
        <f t="shared" si="2"/>
        <v>27386023.20000241</v>
      </c>
      <c r="K13" s="81">
        <f t="shared" si="4"/>
        <v>657264.55680005788</v>
      </c>
      <c r="L13" s="104">
        <f t="shared" si="5"/>
        <v>28043287.756802466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44966</v>
      </c>
      <c r="C14" s="59">
        <v>161</v>
      </c>
      <c r="D14" s="87">
        <v>1035.78</v>
      </c>
      <c r="E14" s="113">
        <v>4680.000000000291</v>
      </c>
      <c r="F14" s="114">
        <v>20599.999999998545</v>
      </c>
      <c r="G14" s="80">
        <f t="shared" si="3"/>
        <v>25279.999999998836</v>
      </c>
      <c r="H14" s="81">
        <f t="shared" si="0"/>
        <v>7271175.6000004523</v>
      </c>
      <c r="I14" s="81">
        <f t="shared" si="1"/>
        <v>21337067.999998491</v>
      </c>
      <c r="J14" s="81">
        <f t="shared" si="2"/>
        <v>28608243.599998944</v>
      </c>
      <c r="K14" s="81">
        <f t="shared" si="4"/>
        <v>686597.84639997466</v>
      </c>
      <c r="L14" s="104">
        <f t="shared" si="5"/>
        <v>29294841.446398918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44967</v>
      </c>
      <c r="C15" s="59">
        <v>161</v>
      </c>
      <c r="D15" s="87">
        <v>1035.78</v>
      </c>
      <c r="E15" s="113">
        <v>4680</v>
      </c>
      <c r="F15" s="114">
        <v>20000</v>
      </c>
      <c r="G15" s="80">
        <f t="shared" si="3"/>
        <v>24680</v>
      </c>
      <c r="H15" s="81">
        <f t="shared" si="0"/>
        <v>7271175.5999999996</v>
      </c>
      <c r="I15" s="81">
        <f t="shared" si="1"/>
        <v>20715600</v>
      </c>
      <c r="J15" s="81">
        <f t="shared" si="2"/>
        <v>27986775.600000001</v>
      </c>
      <c r="K15" s="81">
        <f t="shared" si="4"/>
        <v>671682.61440000008</v>
      </c>
      <c r="L15" s="104">
        <f t="shared" si="5"/>
        <v>28658458.214400001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44968</v>
      </c>
      <c r="C16" s="59">
        <v>161</v>
      </c>
      <c r="D16" s="87">
        <v>1035.78</v>
      </c>
      <c r="E16" s="118">
        <v>4680</v>
      </c>
      <c r="F16" s="114">
        <v>20520.000000004075</v>
      </c>
      <c r="G16" s="80">
        <f t="shared" si="3"/>
        <v>25200.000000004075</v>
      </c>
      <c r="H16" s="81">
        <f t="shared" si="0"/>
        <v>7271175.5999999996</v>
      </c>
      <c r="I16" s="81">
        <f t="shared" si="1"/>
        <v>21254205.600004219</v>
      </c>
      <c r="J16" s="81">
        <f t="shared" si="2"/>
        <v>28525381.20000422</v>
      </c>
      <c r="K16" s="81">
        <f t="shared" si="4"/>
        <v>684609.14880010125</v>
      </c>
      <c r="L16" s="104">
        <f t="shared" si="5"/>
        <v>29209990.348804321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44969</v>
      </c>
      <c r="C17" s="59">
        <v>161</v>
      </c>
      <c r="D17" s="87">
        <v>1035.78</v>
      </c>
      <c r="E17" s="113">
        <v>4680</v>
      </c>
      <c r="F17" s="114">
        <v>19839.999999996508</v>
      </c>
      <c r="G17" s="80">
        <f t="shared" si="3"/>
        <v>24519.999999996508</v>
      </c>
      <c r="H17" s="81">
        <f t="shared" si="0"/>
        <v>7271175.5999999996</v>
      </c>
      <c r="I17" s="81">
        <f t="shared" si="1"/>
        <v>20549875.199996382</v>
      </c>
      <c r="J17" s="81">
        <f t="shared" si="2"/>
        <v>27821050.799996383</v>
      </c>
      <c r="K17" s="81">
        <f t="shared" si="4"/>
        <v>667705.2191999132</v>
      </c>
      <c r="L17" s="104">
        <f t="shared" si="5"/>
        <v>28488756.019196298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44970</v>
      </c>
      <c r="C18" s="59">
        <v>161</v>
      </c>
      <c r="D18" s="87">
        <v>1035.78</v>
      </c>
      <c r="E18" s="113">
        <v>4319.999999999709</v>
      </c>
      <c r="F18" s="114">
        <v>18840.000000003783</v>
      </c>
      <c r="G18" s="80">
        <f t="shared" si="3"/>
        <v>23160.000000003492</v>
      </c>
      <c r="H18" s="81">
        <f t="shared" si="0"/>
        <v>6711854.3999995477</v>
      </c>
      <c r="I18" s="81">
        <f t="shared" si="1"/>
        <v>19514095.200003918</v>
      </c>
      <c r="J18" s="81">
        <f t="shared" si="2"/>
        <v>26225949.600003466</v>
      </c>
      <c r="K18" s="81">
        <f t="shared" si="4"/>
        <v>629422.79040008318</v>
      </c>
      <c r="L18" s="104">
        <f t="shared" si="5"/>
        <v>26855372.39040355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44971</v>
      </c>
      <c r="C19" s="59">
        <v>161</v>
      </c>
      <c r="D19" s="87">
        <v>1035.78</v>
      </c>
      <c r="E19" s="113">
        <v>4440.0000000005093</v>
      </c>
      <c r="F19" s="114">
        <v>19479.999999995925</v>
      </c>
      <c r="G19" s="80">
        <f t="shared" si="3"/>
        <v>23919.999999996435</v>
      </c>
      <c r="H19" s="81">
        <f t="shared" si="0"/>
        <v>6898294.8000007914</v>
      </c>
      <c r="I19" s="81">
        <f t="shared" si="1"/>
        <v>20176994.399995778</v>
      </c>
      <c r="J19" s="81">
        <f t="shared" si="2"/>
        <v>27075289.199996568</v>
      </c>
      <c r="K19" s="81">
        <f t="shared" si="4"/>
        <v>649806.94079991768</v>
      </c>
      <c r="L19" s="104">
        <f t="shared" si="5"/>
        <v>27725096.140796486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44972</v>
      </c>
      <c r="C20" s="59">
        <v>161</v>
      </c>
      <c r="D20" s="87">
        <v>1035.78</v>
      </c>
      <c r="E20" s="113">
        <v>4959.9999999991269</v>
      </c>
      <c r="F20" s="114">
        <v>19959.999999999127</v>
      </c>
      <c r="G20" s="80">
        <f t="shared" si="3"/>
        <v>24919.999999998254</v>
      </c>
      <c r="H20" s="81">
        <f t="shared" si="0"/>
        <v>7706203.1999986432</v>
      </c>
      <c r="I20" s="81">
        <f t="shared" si="1"/>
        <v>20674168.799999095</v>
      </c>
      <c r="J20" s="81">
        <f t="shared" si="2"/>
        <v>28380371.999997739</v>
      </c>
      <c r="K20" s="81">
        <f t="shared" si="4"/>
        <v>681128.92799994571</v>
      </c>
      <c r="L20" s="104">
        <f t="shared" si="5"/>
        <v>29061500.927997686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44973</v>
      </c>
      <c r="C21" s="59">
        <v>161</v>
      </c>
      <c r="D21" s="87">
        <v>1035.78</v>
      </c>
      <c r="E21" s="113">
        <v>4159.9999999998545</v>
      </c>
      <c r="F21" s="114">
        <v>15720.000000001164</v>
      </c>
      <c r="G21" s="80">
        <f t="shared" si="3"/>
        <v>19880.000000001019</v>
      </c>
      <c r="H21" s="81">
        <f t="shared" si="0"/>
        <v>6463267.1999997739</v>
      </c>
      <c r="I21" s="81">
        <f t="shared" si="1"/>
        <v>16282461.600001205</v>
      </c>
      <c r="J21" s="81">
        <f t="shared" si="2"/>
        <v>22745728.80000098</v>
      </c>
      <c r="K21" s="81">
        <f t="shared" si="4"/>
        <v>545897.49120002356</v>
      </c>
      <c r="L21" s="104">
        <f t="shared" si="5"/>
        <v>23291626.291201003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44974</v>
      </c>
      <c r="C22" s="59">
        <v>161</v>
      </c>
      <c r="D22" s="87">
        <v>1035.78</v>
      </c>
      <c r="E22" s="113">
        <v>4600.0000000003638</v>
      </c>
      <c r="F22" s="114">
        <v>22040.000000000873</v>
      </c>
      <c r="G22" s="80">
        <f t="shared" si="3"/>
        <v>26640.000000001237</v>
      </c>
      <c r="H22" s="81">
        <f t="shared" si="0"/>
        <v>7146882.0000005653</v>
      </c>
      <c r="I22" s="81">
        <f t="shared" si="1"/>
        <v>22828591.200000905</v>
      </c>
      <c r="J22" s="81">
        <f t="shared" si="2"/>
        <v>29975473.200001471</v>
      </c>
      <c r="K22" s="81">
        <f t="shared" si="4"/>
        <v>719411.35680003534</v>
      </c>
      <c r="L22" s="104">
        <f t="shared" si="5"/>
        <v>30694884.556801505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44975</v>
      </c>
      <c r="C23" s="59">
        <v>161</v>
      </c>
      <c r="D23" s="87">
        <v>1035.78</v>
      </c>
      <c r="E23" s="113">
        <v>4440.0000000005093</v>
      </c>
      <c r="F23" s="114">
        <v>22440.000000002328</v>
      </c>
      <c r="G23" s="80">
        <f t="shared" si="3"/>
        <v>26880.000000002838</v>
      </c>
      <c r="H23" s="81">
        <f t="shared" si="0"/>
        <v>6898294.8000007914</v>
      </c>
      <c r="I23" s="81">
        <f t="shared" si="1"/>
        <v>23242903.20000241</v>
      </c>
      <c r="J23" s="81">
        <f t="shared" si="2"/>
        <v>30141198.0000032</v>
      </c>
      <c r="K23" s="81">
        <f t="shared" si="4"/>
        <v>723388.75200007681</v>
      </c>
      <c r="L23" s="104">
        <f t="shared" si="5"/>
        <v>30864586.752003279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44976</v>
      </c>
      <c r="C24" s="59">
        <v>161</v>
      </c>
      <c r="D24" s="87">
        <v>1035.78</v>
      </c>
      <c r="E24" s="113">
        <v>4440.0000000005093</v>
      </c>
      <c r="F24" s="114">
        <v>20239.999999997963</v>
      </c>
      <c r="G24" s="80">
        <f t="shared" si="3"/>
        <v>24679.999999998472</v>
      </c>
      <c r="H24" s="81">
        <f t="shared" si="0"/>
        <v>6898294.8000007914</v>
      </c>
      <c r="I24" s="81">
        <f t="shared" si="1"/>
        <v>20964187.199997891</v>
      </c>
      <c r="J24" s="81">
        <f t="shared" si="2"/>
        <v>27862481.999998681</v>
      </c>
      <c r="K24" s="81">
        <f t="shared" si="4"/>
        <v>668699.56799996842</v>
      </c>
      <c r="L24" s="104">
        <f t="shared" si="5"/>
        <v>28531181.567998651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44977</v>
      </c>
      <c r="C25" s="59">
        <v>161</v>
      </c>
      <c r="D25" s="87">
        <v>1035.78</v>
      </c>
      <c r="E25" s="113">
        <v>4639.9999999994179</v>
      </c>
      <c r="F25" s="114">
        <v>19680.000000000291</v>
      </c>
      <c r="G25" s="80">
        <f t="shared" si="3"/>
        <v>24319.999999999709</v>
      </c>
      <c r="H25" s="81">
        <f t="shared" si="0"/>
        <v>7209028.7999990955</v>
      </c>
      <c r="I25" s="81">
        <f t="shared" si="1"/>
        <v>20384150.4000003</v>
      </c>
      <c r="J25" s="81">
        <f t="shared" si="2"/>
        <v>27593179.199999396</v>
      </c>
      <c r="K25" s="81">
        <f t="shared" si="4"/>
        <v>662236.30079998553</v>
      </c>
      <c r="L25" s="104">
        <f t="shared" si="5"/>
        <v>28255415.50079938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44978</v>
      </c>
      <c r="C26" s="59">
        <v>161</v>
      </c>
      <c r="D26" s="87">
        <v>1035.78</v>
      </c>
      <c r="E26" s="113">
        <v>4760.0000000002183</v>
      </c>
      <c r="F26" s="114">
        <v>20599.999999998545</v>
      </c>
      <c r="G26" s="80">
        <f t="shared" si="3"/>
        <v>25359.999999998763</v>
      </c>
      <c r="H26" s="81">
        <f t="shared" si="0"/>
        <v>7395469.2000003392</v>
      </c>
      <c r="I26" s="81">
        <f t="shared" si="1"/>
        <v>21337067.999998491</v>
      </c>
      <c r="J26" s="81">
        <f t="shared" si="2"/>
        <v>28732537.19999883</v>
      </c>
      <c r="K26" s="81">
        <f t="shared" si="4"/>
        <v>689580.89279997197</v>
      </c>
      <c r="L26" s="104">
        <f t="shared" si="5"/>
        <v>29422118.092798803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44979</v>
      </c>
      <c r="C27" s="59">
        <v>161</v>
      </c>
      <c r="D27" s="87">
        <v>1035.78</v>
      </c>
      <c r="E27" s="113">
        <v>4959.9999999991269</v>
      </c>
      <c r="F27" s="114">
        <v>19400.000000001455</v>
      </c>
      <c r="G27" s="80">
        <f t="shared" si="3"/>
        <v>24360.000000000582</v>
      </c>
      <c r="H27" s="81">
        <f t="shared" si="0"/>
        <v>7706203.1999986432</v>
      </c>
      <c r="I27" s="81">
        <f t="shared" si="1"/>
        <v>20094132.000001505</v>
      </c>
      <c r="J27" s="81">
        <f t="shared" si="2"/>
        <v>27800335.200000148</v>
      </c>
      <c r="K27" s="81">
        <f t="shared" si="4"/>
        <v>667208.04480000352</v>
      </c>
      <c r="L27" s="104">
        <f t="shared" si="5"/>
        <v>28467543.24480015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44980</v>
      </c>
      <c r="C28" s="59">
        <v>161</v>
      </c>
      <c r="D28" s="87">
        <v>1035.78</v>
      </c>
      <c r="E28" s="113">
        <v>4040.0000000008731</v>
      </c>
      <c r="F28" s="114">
        <v>18760.000000002037</v>
      </c>
      <c r="G28" s="80">
        <f t="shared" si="3"/>
        <v>22800.00000000291</v>
      </c>
      <c r="H28" s="81">
        <f t="shared" si="0"/>
        <v>6276826.8000013568</v>
      </c>
      <c r="I28" s="81">
        <f t="shared" si="1"/>
        <v>19431232.800002109</v>
      </c>
      <c r="J28" s="81">
        <f t="shared" si="2"/>
        <v>25708059.600003466</v>
      </c>
      <c r="K28" s="81">
        <f t="shared" si="4"/>
        <v>616993.43040008319</v>
      </c>
      <c r="L28" s="104">
        <f t="shared" si="5"/>
        <v>26325053.030403551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44981</v>
      </c>
      <c r="C29" s="59">
        <v>161</v>
      </c>
      <c r="D29" s="87">
        <v>1035.78</v>
      </c>
      <c r="E29" s="113">
        <v>4840.0000000001455</v>
      </c>
      <c r="F29" s="114">
        <v>20000</v>
      </c>
      <c r="G29" s="80">
        <f t="shared" si="3"/>
        <v>24840.000000000146</v>
      </c>
      <c r="H29" s="81">
        <f t="shared" si="0"/>
        <v>7519762.8000002261</v>
      </c>
      <c r="I29" s="81">
        <f t="shared" si="1"/>
        <v>20715600</v>
      </c>
      <c r="J29" s="81">
        <f t="shared" si="2"/>
        <v>28235362.800000228</v>
      </c>
      <c r="K29" s="81">
        <f t="shared" si="4"/>
        <v>677648.70720000553</v>
      </c>
      <c r="L29" s="104">
        <f t="shared" si="5"/>
        <v>28913011.507200234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44982</v>
      </c>
      <c r="C30" s="59">
        <v>161</v>
      </c>
      <c r="D30" s="87">
        <v>1035.78</v>
      </c>
      <c r="E30" s="113">
        <v>4440.0000000005093</v>
      </c>
      <c r="F30" s="114">
        <v>19720.000000001164</v>
      </c>
      <c r="G30" s="80">
        <f t="shared" si="3"/>
        <v>24160.000000001673</v>
      </c>
      <c r="H30" s="81">
        <f t="shared" si="0"/>
        <v>6898294.8000007914</v>
      </c>
      <c r="I30" s="81">
        <f t="shared" si="1"/>
        <v>20425581.600001205</v>
      </c>
      <c r="J30" s="81">
        <f t="shared" si="2"/>
        <v>27323876.400001995</v>
      </c>
      <c r="K30" s="81">
        <f t="shared" si="4"/>
        <v>655773.03360004793</v>
      </c>
      <c r="L30" s="104">
        <f t="shared" si="5"/>
        <v>27979649.433602042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44983</v>
      </c>
      <c r="C31" s="59">
        <v>161</v>
      </c>
      <c r="D31" s="87">
        <v>1035.78</v>
      </c>
      <c r="E31" s="113">
        <v>4359.9999999987631</v>
      </c>
      <c r="F31" s="114">
        <v>19679.999999993015</v>
      </c>
      <c r="G31" s="80">
        <f t="shared" si="3"/>
        <v>24039.999999991778</v>
      </c>
      <c r="H31" s="81">
        <f t="shared" si="0"/>
        <v>6774001.1999980779</v>
      </c>
      <c r="I31" s="81">
        <f t="shared" si="1"/>
        <v>20384150.399992764</v>
      </c>
      <c r="J31" s="81">
        <f t="shared" ref="J31:J33" si="6">I31+H31</f>
        <v>27158151.599990841</v>
      </c>
      <c r="K31" s="81">
        <f t="shared" si="4"/>
        <v>651795.63839978015</v>
      </c>
      <c r="L31" s="104">
        <f t="shared" si="5"/>
        <v>27809947.238390621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44984</v>
      </c>
      <c r="C32" s="59">
        <v>161</v>
      </c>
      <c r="D32" s="87">
        <v>1035.78</v>
      </c>
      <c r="E32" s="113">
        <v>4000</v>
      </c>
      <c r="F32" s="114">
        <v>19760.000000002037</v>
      </c>
      <c r="G32" s="80">
        <f t="shared" si="3"/>
        <v>23760.000000002037</v>
      </c>
      <c r="H32" s="81">
        <f t="shared" si="0"/>
        <v>6214680</v>
      </c>
      <c r="I32" s="81">
        <f t="shared" si="1"/>
        <v>20467012.800002109</v>
      </c>
      <c r="J32" s="81">
        <f t="shared" si="6"/>
        <v>26681692.800002109</v>
      </c>
      <c r="K32" s="81">
        <f t="shared" si="4"/>
        <v>640360.62720005063</v>
      </c>
      <c r="L32" s="104">
        <f t="shared" si="5"/>
        <v>27322053.427202161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44985</v>
      </c>
      <c r="C33" s="59">
        <v>161</v>
      </c>
      <c r="D33" s="87">
        <v>1035.78</v>
      </c>
      <c r="E33" s="113">
        <v>4239.9999999997817</v>
      </c>
      <c r="F33" s="114">
        <v>17080.000000001746</v>
      </c>
      <c r="G33" s="80">
        <f>F33+E33</f>
        <v>21320.000000001528</v>
      </c>
      <c r="H33" s="81">
        <f t="shared" si="0"/>
        <v>6587560.7999996608</v>
      </c>
      <c r="I33" s="81">
        <f t="shared" si="1"/>
        <v>17691122.400001809</v>
      </c>
      <c r="J33" s="81">
        <f t="shared" si="6"/>
        <v>24278683.200001471</v>
      </c>
      <c r="K33" s="81">
        <f t="shared" si="4"/>
        <v>582688.39680003526</v>
      </c>
      <c r="L33" s="104">
        <f t="shared" si="5"/>
        <v>24861371.596801504</v>
      </c>
      <c r="M33" s="1"/>
      <c r="N33" s="1"/>
      <c r="O33" s="1"/>
      <c r="P33" s="1"/>
      <c r="Q33" s="1"/>
    </row>
    <row r="34" spans="2:17" s="1" customFormat="1" x14ac:dyDescent="0.25">
      <c r="B34" s="7"/>
      <c r="C34" s="9">
        <f>SUM(C6:C33)</f>
        <v>4508</v>
      </c>
      <c r="D34" s="88"/>
      <c r="E34" s="82">
        <f>SUM(E6:E33)</f>
        <v>124559.99999999862</v>
      </c>
      <c r="F34" s="82">
        <f t="shared" ref="F34:L34" si="7">SUM(F6:F33)</f>
        <v>554480.00000000314</v>
      </c>
      <c r="G34" s="82">
        <f t="shared" si="7"/>
        <v>679040.00000000175</v>
      </c>
      <c r="H34" s="82">
        <f t="shared" si="7"/>
        <v>193525135.19999781</v>
      </c>
      <c r="I34" s="82">
        <f t="shared" si="7"/>
        <v>574319294.40000331</v>
      </c>
      <c r="J34" s="82">
        <f t="shared" si="7"/>
        <v>767844429.60000122</v>
      </c>
      <c r="K34" s="82">
        <f t="shared" si="7"/>
        <v>18428266.310400028</v>
      </c>
      <c r="L34" s="82">
        <f t="shared" si="7"/>
        <v>786272695.91040099</v>
      </c>
    </row>
    <row r="35" spans="2:17" s="1" customFormat="1" x14ac:dyDescent="0.25">
      <c r="B35" s="7"/>
      <c r="C35" s="7"/>
      <c r="D35" s="88"/>
      <c r="E35" s="31"/>
      <c r="F35" s="31"/>
      <c r="G35" s="32"/>
      <c r="H35" s="9"/>
      <c r="J35" s="95"/>
      <c r="K35" s="15"/>
      <c r="L35" s="83"/>
    </row>
    <row r="36" spans="2:17" s="1" customFormat="1" x14ac:dyDescent="0.25">
      <c r="B36" s="7"/>
      <c r="C36" s="7"/>
      <c r="D36" s="89"/>
      <c r="E36" s="33"/>
      <c r="F36" s="33"/>
      <c r="G36" s="32"/>
      <c r="H36" s="8"/>
      <c r="I36" s="10"/>
      <c r="J36" s="95"/>
      <c r="K36" s="15"/>
      <c r="L36" s="73"/>
      <c r="N36" s="7"/>
    </row>
    <row r="37" spans="2:17" s="1" customFormat="1" x14ac:dyDescent="0.25">
      <c r="B37" s="7"/>
      <c r="C37" s="7"/>
      <c r="D37" s="90"/>
      <c r="E37" s="33"/>
      <c r="F37" s="33"/>
      <c r="G37" s="32"/>
      <c r="H37" s="9"/>
      <c r="J37" s="96"/>
      <c r="K37" s="83"/>
      <c r="L37" s="73"/>
      <c r="N37" s="7"/>
    </row>
    <row r="38" spans="2:17" s="1" customFormat="1" x14ac:dyDescent="0.25">
      <c r="B38" s="7"/>
      <c r="C38" s="7"/>
      <c r="D38" s="90"/>
      <c r="E38" s="33"/>
      <c r="F38" s="33"/>
      <c r="G38" s="32"/>
      <c r="H38" s="9"/>
      <c r="J38" s="97"/>
      <c r="K38" s="73"/>
      <c r="L38" s="8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8"/>
      <c r="K39" s="73"/>
      <c r="L39" s="83"/>
      <c r="N39" s="7"/>
    </row>
    <row r="40" spans="2:17" s="1" customFormat="1" x14ac:dyDescent="0.25">
      <c r="B40" s="7"/>
      <c r="C40" s="7"/>
      <c r="D40" s="89"/>
      <c r="E40" s="33"/>
      <c r="F40" s="33"/>
      <c r="G40" s="32"/>
      <c r="H40" s="9"/>
      <c r="J40" s="96"/>
      <c r="K40" s="15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J41" s="99"/>
      <c r="K41" s="73"/>
      <c r="L41" s="73"/>
      <c r="N41" s="7"/>
    </row>
    <row r="42" spans="2:17" s="1" customFormat="1" x14ac:dyDescent="0.25">
      <c r="B42" s="7"/>
      <c r="C42" s="7"/>
      <c r="D42" s="89"/>
      <c r="E42" s="33"/>
      <c r="F42" s="33"/>
      <c r="G42" s="34" t="s">
        <v>6</v>
      </c>
      <c r="H42" s="9"/>
      <c r="J42" s="96"/>
      <c r="K42" s="83"/>
      <c r="L42" s="83"/>
      <c r="M42" s="11"/>
      <c r="N42" s="7"/>
    </row>
    <row r="43" spans="2:17" s="1" customFormat="1" ht="21" x14ac:dyDescent="0.25">
      <c r="B43" s="7"/>
      <c r="C43" s="7"/>
      <c r="D43" s="90"/>
      <c r="E43" s="33"/>
      <c r="F43" s="33"/>
      <c r="G43" s="35"/>
      <c r="H43" s="7"/>
      <c r="J43" s="100"/>
      <c r="K43" s="83"/>
      <c r="L43" s="105"/>
      <c r="N43" s="7"/>
    </row>
    <row r="44" spans="2:17" s="1" customFormat="1" x14ac:dyDescent="0.25">
      <c r="D44" s="89"/>
      <c r="E44" s="33"/>
      <c r="F44" s="33"/>
      <c r="G44" s="30"/>
      <c r="J44" s="83"/>
      <c r="K44" s="83"/>
      <c r="L44" s="83"/>
      <c r="M44" s="16"/>
      <c r="N44" s="7"/>
    </row>
    <row r="45" spans="2:17" s="1" customFormat="1" x14ac:dyDescent="0.25">
      <c r="D45" s="90"/>
      <c r="E45" s="33"/>
      <c r="F45" s="33"/>
      <c r="G45" s="30"/>
      <c r="J45" s="83"/>
      <c r="K45" s="83"/>
      <c r="L45" s="83"/>
    </row>
    <row r="46" spans="2:17" s="1" customFormat="1" x14ac:dyDescent="0.25">
      <c r="D46" s="90"/>
      <c r="E46" s="33"/>
      <c r="F46" s="33"/>
      <c r="G46" s="36"/>
      <c r="J46" s="83"/>
      <c r="K46" s="83"/>
      <c r="L46" s="83"/>
    </row>
    <row r="47" spans="2:17" s="1" customFormat="1" x14ac:dyDescent="0.25">
      <c r="B47" s="12"/>
      <c r="C47" s="12"/>
      <c r="D47" s="91"/>
      <c r="E47" s="33"/>
      <c r="F47" s="33"/>
      <c r="G47" s="38"/>
      <c r="H47" s="12"/>
      <c r="I47" s="12"/>
      <c r="J47" s="84"/>
      <c r="K47" s="84"/>
      <c r="L47" s="84"/>
    </row>
    <row r="48" spans="2:17" s="12" customFormat="1" x14ac:dyDescent="0.25">
      <c r="D48" s="91"/>
      <c r="E48" s="33"/>
      <c r="F48" s="33"/>
      <c r="G48" s="39"/>
      <c r="J48" s="84"/>
      <c r="K48" s="84"/>
      <c r="L48" s="84"/>
    </row>
    <row r="49" spans="2:12" s="12" customFormat="1" x14ac:dyDescent="0.25">
      <c r="D49" s="91"/>
      <c r="E49" s="33"/>
      <c r="F49" s="33"/>
      <c r="G49" s="37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B52" s="13"/>
      <c r="C52" s="13"/>
      <c r="D52" s="92"/>
      <c r="E52" s="33"/>
      <c r="F52" s="33"/>
      <c r="G52" s="40"/>
      <c r="H52" s="13"/>
      <c r="I52" s="13"/>
      <c r="J52" s="85"/>
      <c r="K52" s="85"/>
      <c r="L52" s="85"/>
    </row>
    <row r="53" spans="2:12" x14ac:dyDescent="0.25">
      <c r="E53" s="33"/>
      <c r="F53" s="33"/>
    </row>
    <row r="54" spans="2:12" x14ac:dyDescent="0.25">
      <c r="E54" s="33"/>
      <c r="F54" s="33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3">
    <cfRule type="cellIs" dxfId="5" priority="139" operator="greaterThan">
      <formula>$G$44</formula>
    </cfRule>
  </conditionalFormatting>
  <conditionalFormatting sqref="G6:G33">
    <cfRule type="cellIs" dxfId="4" priority="138" operator="greaterThan">
      <formula>$G$44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$D$44</formula>
    </cfRule>
  </conditionalFormatting>
  <conditionalFormatting sqref="E30:E33">
    <cfRule type="cellIs" dxfId="1" priority="7" operator="greaterThan">
      <formula>#REF!</formula>
    </cfRule>
  </conditionalFormatting>
  <conditionalFormatting sqref="F30:F33">
    <cfRule type="cellIs" dxfId="0" priority="6" operator="greaterThan">
      <formula>$D$44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3"/>
  <sheetViews>
    <sheetView zoomScaleNormal="100" workbookViewId="0">
      <selection activeCell="H47" sqref="H47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9" t="s">
        <v>3</v>
      </c>
      <c r="C1" s="139"/>
      <c r="D1" s="139"/>
      <c r="E1" s="139"/>
      <c r="F1" s="139"/>
      <c r="G1" s="139"/>
    </row>
    <row r="2" spans="1:43" ht="15" customHeight="1" x14ac:dyDescent="0.25">
      <c r="B2" s="139"/>
      <c r="C2" s="139"/>
      <c r="D2" s="139"/>
      <c r="E2" s="139"/>
      <c r="F2" s="139"/>
      <c r="G2" s="139"/>
    </row>
    <row r="3" spans="1:43" s="63" customFormat="1" ht="27" customHeight="1" x14ac:dyDescent="0.3">
      <c r="A3" s="61"/>
      <c r="B3" s="140" t="s">
        <v>0</v>
      </c>
      <c r="C3" s="140" t="s">
        <v>22</v>
      </c>
      <c r="D3" s="141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40"/>
      <c r="C4" s="140"/>
      <c r="D4" s="142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2</v>
      </c>
      <c r="D5" s="78">
        <v>2023</v>
      </c>
      <c r="E5" s="117">
        <v>0</v>
      </c>
      <c r="F5" s="111">
        <v>372</v>
      </c>
      <c r="G5" s="56">
        <f>E5+F5</f>
        <v>372</v>
      </c>
    </row>
    <row r="6" spans="1:43" ht="15.75" x14ac:dyDescent="0.25">
      <c r="B6" s="78">
        <v>2</v>
      </c>
      <c r="C6" s="78">
        <v>2</v>
      </c>
      <c r="D6" s="78">
        <v>2023</v>
      </c>
      <c r="E6" s="115">
        <v>0</v>
      </c>
      <c r="F6" s="111">
        <v>316</v>
      </c>
      <c r="G6" s="56">
        <f t="shared" ref="G6:G32" si="0">E6+F6</f>
        <v>316</v>
      </c>
    </row>
    <row r="7" spans="1:43" ht="15.75" x14ac:dyDescent="0.25">
      <c r="B7" s="78">
        <v>3</v>
      </c>
      <c r="C7" s="78">
        <v>2</v>
      </c>
      <c r="D7" s="78">
        <v>2023</v>
      </c>
      <c r="E7" s="115">
        <v>0</v>
      </c>
      <c r="F7" s="111">
        <v>292</v>
      </c>
      <c r="G7" s="56">
        <f t="shared" si="0"/>
        <v>292</v>
      </c>
    </row>
    <row r="8" spans="1:43" ht="15.75" x14ac:dyDescent="0.25">
      <c r="B8" s="78">
        <v>4</v>
      </c>
      <c r="C8" s="78">
        <v>2</v>
      </c>
      <c r="D8" s="78">
        <v>2023</v>
      </c>
      <c r="E8" s="115">
        <v>0</v>
      </c>
      <c r="F8" s="111">
        <v>462</v>
      </c>
      <c r="G8" s="56">
        <f t="shared" si="0"/>
        <v>462</v>
      </c>
    </row>
    <row r="9" spans="1:43" ht="15.75" x14ac:dyDescent="0.25">
      <c r="B9" s="78">
        <v>5</v>
      </c>
      <c r="C9" s="78">
        <v>2</v>
      </c>
      <c r="D9" s="78">
        <v>2023</v>
      </c>
      <c r="E9" s="115">
        <v>0</v>
      </c>
      <c r="F9" s="112">
        <v>260</v>
      </c>
      <c r="G9" s="56">
        <f t="shared" si="0"/>
        <v>260</v>
      </c>
    </row>
    <row r="10" spans="1:43" ht="15.75" x14ac:dyDescent="0.25">
      <c r="B10" s="78">
        <v>6</v>
      </c>
      <c r="C10" s="78">
        <v>2</v>
      </c>
      <c r="D10" s="78">
        <v>2023</v>
      </c>
      <c r="E10" s="116">
        <v>1</v>
      </c>
      <c r="F10" s="112">
        <v>276</v>
      </c>
      <c r="G10" s="56">
        <f t="shared" si="0"/>
        <v>277</v>
      </c>
    </row>
    <row r="11" spans="1:43" ht="15.75" x14ac:dyDescent="0.25">
      <c r="B11" s="78">
        <v>7</v>
      </c>
      <c r="C11" s="78">
        <v>2</v>
      </c>
      <c r="D11" s="78">
        <v>2023</v>
      </c>
      <c r="E11" s="116">
        <v>0</v>
      </c>
      <c r="F11" s="112">
        <v>490</v>
      </c>
      <c r="G11" s="56">
        <f t="shared" si="0"/>
        <v>490</v>
      </c>
    </row>
    <row r="12" spans="1:43" ht="15.75" x14ac:dyDescent="0.25">
      <c r="B12" s="78">
        <v>8</v>
      </c>
      <c r="C12" s="78">
        <v>2</v>
      </c>
      <c r="D12" s="78">
        <v>2023</v>
      </c>
      <c r="E12" s="116">
        <v>0</v>
      </c>
      <c r="F12" s="112">
        <v>270</v>
      </c>
      <c r="G12" s="56">
        <f t="shared" si="0"/>
        <v>270</v>
      </c>
    </row>
    <row r="13" spans="1:43" ht="15.75" x14ac:dyDescent="0.25">
      <c r="B13" s="78">
        <v>9</v>
      </c>
      <c r="C13" s="78">
        <v>2</v>
      </c>
      <c r="D13" s="78">
        <v>2023</v>
      </c>
      <c r="E13" s="116">
        <v>0</v>
      </c>
      <c r="F13" s="112">
        <v>270</v>
      </c>
      <c r="G13" s="56">
        <f t="shared" si="0"/>
        <v>270</v>
      </c>
    </row>
    <row r="14" spans="1:43" ht="15.75" x14ac:dyDescent="0.25">
      <c r="B14" s="78">
        <v>10</v>
      </c>
      <c r="C14" s="78">
        <v>2</v>
      </c>
      <c r="D14" s="78">
        <v>2023</v>
      </c>
      <c r="E14" s="116">
        <v>0</v>
      </c>
      <c r="F14" s="112">
        <v>419</v>
      </c>
      <c r="G14" s="56">
        <f t="shared" si="0"/>
        <v>419</v>
      </c>
    </row>
    <row r="15" spans="1:43" ht="15.75" x14ac:dyDescent="0.25">
      <c r="B15" s="78">
        <v>11</v>
      </c>
      <c r="C15" s="78">
        <v>2</v>
      </c>
      <c r="D15" s="78">
        <v>2023</v>
      </c>
      <c r="E15" s="116">
        <v>0</v>
      </c>
      <c r="F15" s="112">
        <v>325</v>
      </c>
      <c r="G15" s="56">
        <f t="shared" si="0"/>
        <v>325</v>
      </c>
    </row>
    <row r="16" spans="1:43" ht="15.75" x14ac:dyDescent="0.25">
      <c r="B16" s="78">
        <v>12</v>
      </c>
      <c r="C16" s="78">
        <v>2</v>
      </c>
      <c r="D16" s="78">
        <v>2023</v>
      </c>
      <c r="E16" s="116">
        <v>0</v>
      </c>
      <c r="F16" s="112">
        <v>266</v>
      </c>
      <c r="G16" s="56">
        <f t="shared" si="0"/>
        <v>266</v>
      </c>
    </row>
    <row r="17" spans="2:7" ht="15.75" x14ac:dyDescent="0.25">
      <c r="B17" s="78">
        <v>13</v>
      </c>
      <c r="C17" s="78">
        <v>2</v>
      </c>
      <c r="D17" s="78">
        <v>2023</v>
      </c>
      <c r="E17" s="116">
        <v>0</v>
      </c>
      <c r="F17" s="112">
        <v>336</v>
      </c>
      <c r="G17" s="56">
        <f t="shared" si="0"/>
        <v>336</v>
      </c>
    </row>
    <row r="18" spans="2:7" ht="15.75" x14ac:dyDescent="0.25">
      <c r="B18" s="78">
        <v>14</v>
      </c>
      <c r="C18" s="78">
        <v>2</v>
      </c>
      <c r="D18" s="78">
        <v>2023</v>
      </c>
      <c r="E18" s="116">
        <v>0</v>
      </c>
      <c r="F18" s="112">
        <v>407</v>
      </c>
      <c r="G18" s="56">
        <f t="shared" si="0"/>
        <v>407</v>
      </c>
    </row>
    <row r="19" spans="2:7" ht="15.75" x14ac:dyDescent="0.25">
      <c r="B19" s="78">
        <v>15</v>
      </c>
      <c r="C19" s="78">
        <v>2</v>
      </c>
      <c r="D19" s="78">
        <v>2023</v>
      </c>
      <c r="E19" s="116">
        <v>0</v>
      </c>
      <c r="F19" s="112">
        <v>267</v>
      </c>
      <c r="G19" s="56">
        <f t="shared" si="0"/>
        <v>267</v>
      </c>
    </row>
    <row r="20" spans="2:7" ht="15.75" x14ac:dyDescent="0.25">
      <c r="B20" s="78">
        <v>16</v>
      </c>
      <c r="C20" s="78">
        <v>2</v>
      </c>
      <c r="D20" s="78">
        <v>2023</v>
      </c>
      <c r="E20" s="116">
        <v>0</v>
      </c>
      <c r="F20" s="112">
        <v>263</v>
      </c>
      <c r="G20" s="56">
        <f t="shared" si="0"/>
        <v>263</v>
      </c>
    </row>
    <row r="21" spans="2:7" ht="15.75" x14ac:dyDescent="0.25">
      <c r="B21" s="78">
        <v>17</v>
      </c>
      <c r="C21" s="78">
        <v>2</v>
      </c>
      <c r="D21" s="78">
        <v>2023</v>
      </c>
      <c r="E21" s="116">
        <v>1</v>
      </c>
      <c r="F21" s="112">
        <v>498</v>
      </c>
      <c r="G21" s="56">
        <f t="shared" si="0"/>
        <v>499</v>
      </c>
    </row>
    <row r="22" spans="2:7" ht="15.75" x14ac:dyDescent="0.25">
      <c r="B22" s="78">
        <v>18</v>
      </c>
      <c r="C22" s="78">
        <v>2</v>
      </c>
      <c r="D22" s="78">
        <v>2023</v>
      </c>
      <c r="E22" s="116">
        <v>0</v>
      </c>
      <c r="F22" s="112">
        <v>308</v>
      </c>
      <c r="G22" s="56">
        <f t="shared" si="0"/>
        <v>308</v>
      </c>
    </row>
    <row r="23" spans="2:7" ht="15.75" x14ac:dyDescent="0.25">
      <c r="B23" s="78">
        <v>19</v>
      </c>
      <c r="C23" s="78">
        <v>2</v>
      </c>
      <c r="D23" s="78">
        <v>2023</v>
      </c>
      <c r="E23" s="116">
        <v>0</v>
      </c>
      <c r="F23" s="112">
        <v>399</v>
      </c>
      <c r="G23" s="56">
        <f t="shared" si="0"/>
        <v>399</v>
      </c>
    </row>
    <row r="24" spans="2:7" ht="15.75" x14ac:dyDescent="0.25">
      <c r="B24" s="78">
        <v>20</v>
      </c>
      <c r="C24" s="78">
        <v>2</v>
      </c>
      <c r="D24" s="78">
        <v>2023</v>
      </c>
      <c r="E24" s="116">
        <v>0</v>
      </c>
      <c r="F24" s="112">
        <v>270</v>
      </c>
      <c r="G24" s="56">
        <f t="shared" si="0"/>
        <v>270</v>
      </c>
    </row>
    <row r="25" spans="2:7" ht="15.75" x14ac:dyDescent="0.25">
      <c r="B25" s="78">
        <v>21</v>
      </c>
      <c r="C25" s="78">
        <v>2</v>
      </c>
      <c r="D25" s="78">
        <v>2023</v>
      </c>
      <c r="E25" s="116">
        <v>0</v>
      </c>
      <c r="F25" s="112">
        <v>438</v>
      </c>
      <c r="G25" s="56">
        <f t="shared" si="0"/>
        <v>438</v>
      </c>
    </row>
    <row r="26" spans="2:7" ht="15.75" x14ac:dyDescent="0.25">
      <c r="B26" s="78">
        <v>22</v>
      </c>
      <c r="C26" s="78">
        <v>2</v>
      </c>
      <c r="D26" s="78">
        <v>2023</v>
      </c>
      <c r="E26" s="116">
        <v>0</v>
      </c>
      <c r="F26" s="112">
        <v>355</v>
      </c>
      <c r="G26" s="56">
        <f t="shared" si="0"/>
        <v>355</v>
      </c>
    </row>
    <row r="27" spans="2:7" ht="15.75" x14ac:dyDescent="0.25">
      <c r="B27" s="78">
        <v>23</v>
      </c>
      <c r="C27" s="78">
        <v>2</v>
      </c>
      <c r="D27" s="78">
        <v>2023</v>
      </c>
      <c r="E27" s="116">
        <v>0</v>
      </c>
      <c r="F27" s="112">
        <v>285</v>
      </c>
      <c r="G27" s="56">
        <f t="shared" si="0"/>
        <v>285</v>
      </c>
    </row>
    <row r="28" spans="2:7" ht="15.75" x14ac:dyDescent="0.25">
      <c r="B28" s="78">
        <v>24</v>
      </c>
      <c r="C28" s="78">
        <v>2</v>
      </c>
      <c r="D28" s="78">
        <v>2023</v>
      </c>
      <c r="E28" s="116">
        <v>1</v>
      </c>
      <c r="F28" s="112">
        <v>471</v>
      </c>
      <c r="G28" s="56">
        <f t="shared" si="0"/>
        <v>472</v>
      </c>
    </row>
    <row r="29" spans="2:7" ht="15.75" x14ac:dyDescent="0.25">
      <c r="B29" s="78">
        <v>25</v>
      </c>
      <c r="C29" s="78">
        <v>2</v>
      </c>
      <c r="D29" s="78">
        <v>2023</v>
      </c>
      <c r="E29" s="116">
        <v>0</v>
      </c>
      <c r="F29" s="112">
        <v>297</v>
      </c>
      <c r="G29" s="56">
        <f t="shared" si="0"/>
        <v>297</v>
      </c>
    </row>
    <row r="30" spans="2:7" ht="15.75" x14ac:dyDescent="0.25">
      <c r="B30" s="78">
        <v>26</v>
      </c>
      <c r="C30" s="78">
        <v>2</v>
      </c>
      <c r="D30" s="78">
        <v>2023</v>
      </c>
      <c r="E30" s="116">
        <v>0</v>
      </c>
      <c r="F30" s="112">
        <v>279</v>
      </c>
      <c r="G30" s="56">
        <f t="shared" si="0"/>
        <v>279</v>
      </c>
    </row>
    <row r="31" spans="2:7" ht="15.75" x14ac:dyDescent="0.25">
      <c r="B31" s="78">
        <v>27</v>
      </c>
      <c r="C31" s="78">
        <v>2</v>
      </c>
      <c r="D31" s="78">
        <v>2023</v>
      </c>
      <c r="E31" s="116">
        <v>0</v>
      </c>
      <c r="F31" s="112">
        <v>459</v>
      </c>
      <c r="G31" s="56">
        <f t="shared" si="0"/>
        <v>459</v>
      </c>
    </row>
    <row r="32" spans="2:7" ht="15.75" x14ac:dyDescent="0.25">
      <c r="B32" s="78">
        <v>28</v>
      </c>
      <c r="C32" s="78">
        <v>2</v>
      </c>
      <c r="D32" s="78">
        <v>2023</v>
      </c>
      <c r="E32" s="116">
        <v>0</v>
      </c>
      <c r="F32" s="112">
        <v>279</v>
      </c>
      <c r="G32" s="56">
        <f t="shared" si="0"/>
        <v>279</v>
      </c>
    </row>
    <row r="33" spans="2:9" ht="21" x14ac:dyDescent="0.35">
      <c r="B33" s="64"/>
      <c r="C33" s="64"/>
      <c r="D33" s="64"/>
      <c r="E33" s="14">
        <f>SUM(E5:E32)</f>
        <v>3</v>
      </c>
      <c r="F33" s="14">
        <f>SUM(F5:F32)</f>
        <v>9629</v>
      </c>
      <c r="G33" s="14">
        <f>SUM(G5:G32)</f>
        <v>9632</v>
      </c>
    </row>
    <row r="34" spans="2:9" x14ac:dyDescent="0.25">
      <c r="I34" s="66"/>
    </row>
    <row r="35" spans="2:9" x14ac:dyDescent="0.25">
      <c r="I35" s="66"/>
    </row>
    <row r="36" spans="2:9" ht="15.75" thickBot="1" x14ac:dyDescent="0.3"/>
    <row r="37" spans="2:9" ht="21.75" thickBot="1" x14ac:dyDescent="0.4">
      <c r="C37" s="70"/>
      <c r="D37" s="70"/>
      <c r="F37" s="70"/>
      <c r="G37" s="67">
        <f>G33</f>
        <v>9632</v>
      </c>
      <c r="H37" s="68"/>
    </row>
    <row r="38" spans="2:9" ht="15.75" x14ac:dyDescent="0.25">
      <c r="B38" s="70"/>
      <c r="C38" s="70"/>
      <c r="D38" s="70"/>
      <c r="E38" s="70"/>
      <c r="F38" s="70"/>
      <c r="G38" s="69"/>
      <c r="H38" s="68"/>
    </row>
    <row r="39" spans="2:9" ht="15.75" x14ac:dyDescent="0.25">
      <c r="B39" s="70"/>
      <c r="C39" s="70"/>
      <c r="D39" s="70"/>
      <c r="E39" s="70"/>
      <c r="F39" s="70"/>
      <c r="G39" s="69"/>
      <c r="H39" s="68"/>
    </row>
    <row r="40" spans="2:9" ht="15.75" x14ac:dyDescent="0.25">
      <c r="B40" s="70" t="s">
        <v>4</v>
      </c>
      <c r="C40" s="70"/>
      <c r="D40" s="70"/>
      <c r="F40" s="79" t="s">
        <v>19</v>
      </c>
      <c r="G40" s="71">
        <v>12550</v>
      </c>
      <c r="H40" s="72"/>
    </row>
    <row r="41" spans="2:9" x14ac:dyDescent="0.25">
      <c r="G41" s="69"/>
    </row>
    <row r="42" spans="2:9" ht="15.75" thickBot="1" x14ac:dyDescent="0.3">
      <c r="G42" s="69"/>
    </row>
    <row r="43" spans="2:9" ht="27" thickBot="1" x14ac:dyDescent="0.3">
      <c r="F43" s="70" t="s">
        <v>5</v>
      </c>
      <c r="G43" s="74">
        <f>G37*G40</f>
        <v>120881600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2023-03-14T09:11:33Z</dcterms:modified>
</cp:coreProperties>
</file>