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E041E101-1167-42B6-90D2-667F3F267962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énergie'!$A$1:$Y$52</definedName>
    <definedName name="_xlnm.Print_Area" localSheetId="5">'facture électricité'!$A$1:$J$33</definedName>
    <definedName name="_xlnm.Print_Area" localSheetId="3">'Suivi EAU-ELEC'!$A$1:$K$37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7" i="2" l="1"/>
  <c r="N46" i="2"/>
  <c r="L45" i="2"/>
  <c r="N45" i="2" s="1"/>
  <c r="L44" i="2"/>
  <c r="N44" i="2" s="1"/>
  <c r="X26" i="2"/>
  <c r="K36" i="6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G10" i="21"/>
  <c r="F15" i="21"/>
  <c r="E20" i="21"/>
  <c r="F11" i="2"/>
  <c r="F12" i="2"/>
  <c r="F13" i="2"/>
  <c r="F14" i="2"/>
  <c r="F15" i="2"/>
  <c r="I7" i="22" s="1"/>
  <c r="F16" i="2"/>
  <c r="F17" i="2"/>
  <c r="F18" i="2"/>
  <c r="I10" i="22" s="1"/>
  <c r="F19" i="2"/>
  <c r="I11" i="22" s="1"/>
  <c r="F20" i="2"/>
  <c r="F21" i="2"/>
  <c r="F22" i="2"/>
  <c r="F23" i="2"/>
  <c r="I15" i="22" s="1"/>
  <c r="F24" i="2"/>
  <c r="F25" i="2"/>
  <c r="I17" i="22" s="1"/>
  <c r="F26" i="2"/>
  <c r="I18" i="22" s="1"/>
  <c r="F27" i="2"/>
  <c r="H27" i="2" s="1"/>
  <c r="F28" i="2"/>
  <c r="F29" i="2"/>
  <c r="F30" i="2"/>
  <c r="F31" i="2"/>
  <c r="H31" i="2" s="1"/>
  <c r="F32" i="2"/>
  <c r="F33" i="2"/>
  <c r="H33" i="2" s="1"/>
  <c r="F34" i="2"/>
  <c r="I26" i="22" s="1"/>
  <c r="F35" i="2"/>
  <c r="H35" i="2" s="1"/>
  <c r="F36" i="2"/>
  <c r="F37" i="2"/>
  <c r="V11" i="2"/>
  <c r="X11" i="2" s="1"/>
  <c r="V12" i="2"/>
  <c r="X12" i="2" s="1"/>
  <c r="V13" i="2"/>
  <c r="X13" i="2" s="1"/>
  <c r="V14" i="2"/>
  <c r="X14" i="2" s="1"/>
  <c r="V15" i="2"/>
  <c r="X15" i="2" s="1"/>
  <c r="V16" i="2"/>
  <c r="X16" i="2" s="1"/>
  <c r="V17" i="2"/>
  <c r="X17" i="2" s="1"/>
  <c r="V18" i="2"/>
  <c r="X18" i="2" s="1"/>
  <c r="V19" i="2"/>
  <c r="X19" i="2" s="1"/>
  <c r="V20" i="2"/>
  <c r="X20" i="2" s="1"/>
  <c r="V21" i="2"/>
  <c r="X21" i="2" s="1"/>
  <c r="V22" i="2"/>
  <c r="X22" i="2" s="1"/>
  <c r="V23" i="2"/>
  <c r="X23" i="2" s="1"/>
  <c r="V24" i="2"/>
  <c r="X24" i="2" s="1"/>
  <c r="V25" i="2"/>
  <c r="X25" i="2" s="1"/>
  <c r="V26" i="2"/>
  <c r="V27" i="2"/>
  <c r="X27" i="2" s="1"/>
  <c r="V28" i="2"/>
  <c r="X28" i="2" s="1"/>
  <c r="V29" i="2"/>
  <c r="X29" i="2" s="1"/>
  <c r="V30" i="2"/>
  <c r="X30" i="2" s="1"/>
  <c r="V31" i="2"/>
  <c r="X31" i="2" s="1"/>
  <c r="V32" i="2"/>
  <c r="X32" i="2" s="1"/>
  <c r="V33" i="2"/>
  <c r="X33" i="2" s="1"/>
  <c r="V34" i="2"/>
  <c r="X34" i="2" s="1"/>
  <c r="V35" i="2"/>
  <c r="X35" i="2" s="1"/>
  <c r="V36" i="2"/>
  <c r="X36" i="2" s="1"/>
  <c r="V37" i="2"/>
  <c r="X37" i="2" s="1"/>
  <c r="N11" i="2"/>
  <c r="G3" i="21" s="1"/>
  <c r="N12" i="2"/>
  <c r="G4" i="21" s="1"/>
  <c r="N13" i="2"/>
  <c r="G5" i="21" s="1"/>
  <c r="N14" i="2"/>
  <c r="G6" i="21" s="1"/>
  <c r="N15" i="2"/>
  <c r="G7" i="21" s="1"/>
  <c r="N16" i="2"/>
  <c r="G8" i="21" s="1"/>
  <c r="N17" i="2"/>
  <c r="G9" i="21" s="1"/>
  <c r="N18" i="2"/>
  <c r="N19" i="2"/>
  <c r="G11" i="21" s="1"/>
  <c r="N20" i="2"/>
  <c r="G12" i="21" s="1"/>
  <c r="N21" i="2"/>
  <c r="G13" i="21" s="1"/>
  <c r="N22" i="2"/>
  <c r="G14" i="21" s="1"/>
  <c r="N23" i="2"/>
  <c r="G15" i="21" s="1"/>
  <c r="N24" i="2"/>
  <c r="G16" i="21" s="1"/>
  <c r="N25" i="2"/>
  <c r="G17" i="21" s="1"/>
  <c r="N26" i="2"/>
  <c r="G18" i="21" s="1"/>
  <c r="N27" i="2"/>
  <c r="G19" i="21" s="1"/>
  <c r="N28" i="2"/>
  <c r="G20" i="21" s="1"/>
  <c r="N29" i="2"/>
  <c r="G21" i="21" s="1"/>
  <c r="N30" i="2"/>
  <c r="G22" i="21" s="1"/>
  <c r="N31" i="2"/>
  <c r="G23" i="21" s="1"/>
  <c r="N32" i="2"/>
  <c r="G24" i="21" s="1"/>
  <c r="N33" i="2"/>
  <c r="G25" i="21" s="1"/>
  <c r="N34" i="2"/>
  <c r="G26" i="21" s="1"/>
  <c r="N35" i="2"/>
  <c r="G27" i="21" s="1"/>
  <c r="N36" i="2"/>
  <c r="G28" i="21" s="1"/>
  <c r="N37" i="2"/>
  <c r="G29" i="21" s="1"/>
  <c r="M11" i="2"/>
  <c r="F3" i="21" s="1"/>
  <c r="M12" i="2"/>
  <c r="F4" i="21" s="1"/>
  <c r="M13" i="2"/>
  <c r="F5" i="21" s="1"/>
  <c r="M14" i="2"/>
  <c r="F6" i="21" s="1"/>
  <c r="M15" i="2"/>
  <c r="F7" i="21" s="1"/>
  <c r="M16" i="2"/>
  <c r="F8" i="21" s="1"/>
  <c r="M17" i="2"/>
  <c r="F9" i="21" s="1"/>
  <c r="M18" i="2"/>
  <c r="F10" i="21" s="1"/>
  <c r="M19" i="2"/>
  <c r="F11" i="21" s="1"/>
  <c r="M20" i="2"/>
  <c r="F12" i="21" s="1"/>
  <c r="M21" i="2"/>
  <c r="F13" i="21" s="1"/>
  <c r="M22" i="2"/>
  <c r="F14" i="21" s="1"/>
  <c r="M23" i="2"/>
  <c r="M24" i="2"/>
  <c r="F16" i="21" s="1"/>
  <c r="M25" i="2"/>
  <c r="F17" i="21" s="1"/>
  <c r="M26" i="2"/>
  <c r="F18" i="21" s="1"/>
  <c r="M27" i="2"/>
  <c r="F19" i="21" s="1"/>
  <c r="M28" i="2"/>
  <c r="F20" i="21" s="1"/>
  <c r="M29" i="2"/>
  <c r="F21" i="21" s="1"/>
  <c r="M30" i="2"/>
  <c r="F22" i="21" s="1"/>
  <c r="M31" i="2"/>
  <c r="F23" i="21" s="1"/>
  <c r="M32" i="2"/>
  <c r="F24" i="21" s="1"/>
  <c r="M33" i="2"/>
  <c r="F25" i="21" s="1"/>
  <c r="M34" i="2"/>
  <c r="F26" i="21" s="1"/>
  <c r="M35" i="2"/>
  <c r="F27" i="21" s="1"/>
  <c r="M36" i="2"/>
  <c r="F28" i="21" s="1"/>
  <c r="M37" i="2"/>
  <c r="F29" i="21" s="1"/>
  <c r="L11" i="2"/>
  <c r="E3" i="21" s="1"/>
  <c r="L12" i="2"/>
  <c r="E4" i="21" s="1"/>
  <c r="L13" i="2"/>
  <c r="E5" i="21" s="1"/>
  <c r="L14" i="2"/>
  <c r="E6" i="21" s="1"/>
  <c r="L15" i="2"/>
  <c r="E7" i="21" s="1"/>
  <c r="L16" i="2"/>
  <c r="E8" i="21" s="1"/>
  <c r="L17" i="2"/>
  <c r="E9" i="21" s="1"/>
  <c r="L18" i="2"/>
  <c r="E10" i="21" s="1"/>
  <c r="L19" i="2"/>
  <c r="E11" i="21" s="1"/>
  <c r="L20" i="2"/>
  <c r="E12" i="21" s="1"/>
  <c r="L21" i="2"/>
  <c r="E13" i="21" s="1"/>
  <c r="L22" i="2"/>
  <c r="E14" i="21" s="1"/>
  <c r="L23" i="2"/>
  <c r="E15" i="21" s="1"/>
  <c r="L24" i="2"/>
  <c r="E16" i="21" s="1"/>
  <c r="L25" i="2"/>
  <c r="E17" i="21" s="1"/>
  <c r="L26" i="2"/>
  <c r="E18" i="21" s="1"/>
  <c r="L27" i="2"/>
  <c r="E19" i="21" s="1"/>
  <c r="L28" i="2"/>
  <c r="L29" i="2"/>
  <c r="E21" i="21" s="1"/>
  <c r="L30" i="2"/>
  <c r="E22" i="21" s="1"/>
  <c r="L31" i="2"/>
  <c r="E23" i="21" s="1"/>
  <c r="L32" i="2"/>
  <c r="E24" i="21" s="1"/>
  <c r="L33" i="2"/>
  <c r="E25" i="21" s="1"/>
  <c r="L34" i="2"/>
  <c r="E26" i="21" s="1"/>
  <c r="L35" i="2"/>
  <c r="E27" i="21" s="1"/>
  <c r="L36" i="2"/>
  <c r="E28" i="21" s="1"/>
  <c r="L37" i="2"/>
  <c r="E29" i="21" s="1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7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O5" i="4"/>
  <c r="O6" i="4"/>
  <c r="O7" i="4"/>
  <c r="O8" i="4"/>
  <c r="O9" i="4"/>
  <c r="O10" i="4"/>
  <c r="O11" i="4"/>
  <c r="P11" i="4" s="1"/>
  <c r="O12" i="4"/>
  <c r="P12" i="4" s="1"/>
  <c r="O13" i="4"/>
  <c r="P13" i="4" s="1"/>
  <c r="O14" i="4"/>
  <c r="O15" i="4"/>
  <c r="O16" i="4"/>
  <c r="O17" i="4"/>
  <c r="O18" i="4"/>
  <c r="O19" i="4"/>
  <c r="P19" i="4" s="1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O30" i="4"/>
  <c r="O31" i="4"/>
  <c r="P5" i="4"/>
  <c r="P6" i="4"/>
  <c r="P7" i="4"/>
  <c r="P8" i="4"/>
  <c r="P9" i="4"/>
  <c r="P10" i="4"/>
  <c r="P14" i="4"/>
  <c r="P15" i="4"/>
  <c r="P16" i="4"/>
  <c r="P17" i="4"/>
  <c r="P18" i="4"/>
  <c r="P21" i="4"/>
  <c r="P22" i="4"/>
  <c r="P23" i="4"/>
  <c r="P24" i="4"/>
  <c r="P25" i="4"/>
  <c r="P26" i="4"/>
  <c r="P29" i="4"/>
  <c r="P30" i="4"/>
  <c r="P31" i="4"/>
  <c r="M5" i="4"/>
  <c r="M6" i="4"/>
  <c r="M7" i="4"/>
  <c r="M8" i="4"/>
  <c r="M9" i="4"/>
  <c r="M10" i="4"/>
  <c r="M11" i="4"/>
  <c r="N11" i="4" s="1"/>
  <c r="M12" i="4"/>
  <c r="M13" i="4"/>
  <c r="M14" i="4"/>
  <c r="M15" i="4"/>
  <c r="M16" i="4"/>
  <c r="M17" i="4"/>
  <c r="M18" i="4"/>
  <c r="M19" i="4"/>
  <c r="N19" i="4" s="1"/>
  <c r="M20" i="4"/>
  <c r="M21" i="4"/>
  <c r="M22" i="4"/>
  <c r="M23" i="4"/>
  <c r="M24" i="4"/>
  <c r="M25" i="4"/>
  <c r="M26" i="4"/>
  <c r="M27" i="4"/>
  <c r="N27" i="4" s="1"/>
  <c r="M28" i="4"/>
  <c r="M29" i="4"/>
  <c r="M30" i="4"/>
  <c r="M31" i="4"/>
  <c r="M32" i="4"/>
  <c r="M33" i="4"/>
  <c r="M34" i="4"/>
  <c r="M35" i="4"/>
  <c r="N35" i="4" s="1"/>
  <c r="O35" i="4" s="1"/>
  <c r="P35" i="4" s="1"/>
  <c r="M36" i="4"/>
  <c r="M37" i="4"/>
  <c r="I37" i="6"/>
  <c r="G10" i="6"/>
  <c r="G14" i="4"/>
  <c r="G15" i="4"/>
  <c r="E15" i="4"/>
  <c r="C15" i="4"/>
  <c r="N15" i="4"/>
  <c r="L15" i="4"/>
  <c r="M48" i="4"/>
  <c r="P4" i="4"/>
  <c r="C37" i="6"/>
  <c r="C36" i="6"/>
  <c r="C34" i="6"/>
  <c r="C33" i="6"/>
  <c r="G27" i="4"/>
  <c r="E27" i="4"/>
  <c r="C27" i="4"/>
  <c r="I24" i="22"/>
  <c r="C32" i="6"/>
  <c r="C31" i="6"/>
  <c r="C30" i="6"/>
  <c r="C29" i="6"/>
  <c r="C28" i="6"/>
  <c r="G19" i="22"/>
  <c r="C27" i="6"/>
  <c r="C26" i="6"/>
  <c r="C25" i="6"/>
  <c r="G16" i="22"/>
  <c r="H25" i="2"/>
  <c r="C24" i="6"/>
  <c r="H21" i="2"/>
  <c r="C20" i="6"/>
  <c r="C19" i="6"/>
  <c r="C17" i="6"/>
  <c r="I9" i="22"/>
  <c r="C16" i="6"/>
  <c r="C13" i="6"/>
  <c r="C12" i="6"/>
  <c r="C11" i="6"/>
  <c r="V10" i="2"/>
  <c r="X10" i="2" s="1"/>
  <c r="K10" i="6"/>
  <c r="I10" i="6"/>
  <c r="E10" i="6"/>
  <c r="C10" i="6"/>
  <c r="N10" i="2"/>
  <c r="M10" i="2"/>
  <c r="L10" i="2"/>
  <c r="F10" i="2"/>
  <c r="C35" i="6"/>
  <c r="G21" i="4"/>
  <c r="E21" i="4"/>
  <c r="C21" i="4"/>
  <c r="C23" i="6"/>
  <c r="C22" i="6"/>
  <c r="C21" i="6"/>
  <c r="C18" i="6"/>
  <c r="C15" i="6"/>
  <c r="C14" i="6"/>
  <c r="G4" i="4"/>
  <c r="E4" i="4"/>
  <c r="C4" i="4"/>
  <c r="G22" i="4"/>
  <c r="E22" i="4"/>
  <c r="C22" i="4"/>
  <c r="M4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I27" i="22"/>
  <c r="I23" i="22"/>
  <c r="I19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I23" i="21"/>
  <c r="I24" i="21"/>
  <c r="I25" i="21"/>
  <c r="I26" i="21"/>
  <c r="I27" i="21"/>
  <c r="I28" i="21"/>
  <c r="I29" i="21"/>
  <c r="M38" i="4"/>
  <c r="M39" i="4"/>
  <c r="M40" i="4"/>
  <c r="M41" i="4"/>
  <c r="M42" i="4"/>
  <c r="G2" i="21"/>
  <c r="I2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AC36" i="4"/>
  <c r="G36" i="4"/>
  <c r="AD36" i="4"/>
  <c r="AE36" i="4"/>
  <c r="J37" i="4"/>
  <c r="K37" i="4"/>
  <c r="L36" i="4"/>
  <c r="N36" i="4"/>
  <c r="O36" i="4" s="1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32" i="2"/>
  <c r="I19" i="10"/>
  <c r="E20" i="10"/>
  <c r="D25" i="10"/>
  <c r="F25" i="10"/>
  <c r="F32" i="10"/>
  <c r="H25" i="10"/>
  <c r="I25" i="10"/>
  <c r="I32" i="10"/>
  <c r="F18" i="10"/>
  <c r="I13" i="2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L34" i="4"/>
  <c r="N34" i="4"/>
  <c r="O34" i="4" s="1"/>
  <c r="P34" i="4" s="1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L32" i="4"/>
  <c r="N32" i="4"/>
  <c r="O32" i="4" s="1"/>
  <c r="P32" i="4" s="1"/>
  <c r="L26" i="4"/>
  <c r="N26" i="4"/>
  <c r="L25" i="4"/>
  <c r="N25" i="4"/>
  <c r="L19" i="4"/>
  <c r="L20" i="4"/>
  <c r="N20" i="4"/>
  <c r="L33" i="4"/>
  <c r="N33" i="4"/>
  <c r="O33" i="4"/>
  <c r="P33" i="4" s="1"/>
  <c r="Q10" i="2"/>
  <c r="E2" i="21"/>
  <c r="H10" i="2"/>
  <c r="Q44" i="4"/>
  <c r="AC44" i="4"/>
  <c r="K48" i="4" s="1"/>
  <c r="L48" i="4" s="1"/>
  <c r="L9" i="4"/>
  <c r="N9" i="4"/>
  <c r="AC43" i="4"/>
  <c r="I9" i="4"/>
  <c r="O10" i="2" l="1"/>
  <c r="H15" i="2"/>
  <c r="J2" i="21"/>
  <c r="I25" i="22"/>
  <c r="J3" i="21"/>
  <c r="H30" i="2"/>
  <c r="I22" i="22"/>
  <c r="I21" i="22"/>
  <c r="H29" i="2"/>
  <c r="O11" i="2"/>
  <c r="Q11" i="2"/>
  <c r="H37" i="2"/>
  <c r="I29" i="22"/>
  <c r="H22" i="2"/>
  <c r="I14" i="22"/>
  <c r="H24" i="2"/>
  <c r="I16" i="22"/>
  <c r="J13" i="21"/>
  <c r="Q21" i="2"/>
  <c r="O21" i="2"/>
  <c r="H18" i="2"/>
  <c r="H26" i="2"/>
  <c r="E2" i="22"/>
  <c r="Q37" i="2"/>
  <c r="Q23" i="2"/>
  <c r="O16" i="2"/>
  <c r="Q22" i="2"/>
  <c r="J8" i="21"/>
  <c r="J15" i="21"/>
  <c r="O23" i="2"/>
  <c r="O37" i="2"/>
  <c r="E23" i="22"/>
  <c r="I28" i="22"/>
  <c r="H36" i="2"/>
  <c r="I20" i="22"/>
  <c r="H28" i="2"/>
  <c r="H20" i="2"/>
  <c r="I12" i="22"/>
  <c r="F38" i="2"/>
  <c r="H34" i="2"/>
  <c r="H17" i="2"/>
  <c r="G10" i="22"/>
  <c r="G11" i="22"/>
  <c r="G20" i="22"/>
  <c r="G5" i="22"/>
  <c r="G22" i="22"/>
  <c r="G29" i="22"/>
  <c r="G28" i="22"/>
  <c r="G14" i="22"/>
  <c r="N38" i="2"/>
  <c r="I43" i="2" s="1"/>
  <c r="L43" i="2" s="1"/>
  <c r="Q29" i="2"/>
  <c r="O29" i="2"/>
  <c r="M38" i="2"/>
  <c r="I42" i="2" s="1"/>
  <c r="L42" i="2" s="1"/>
  <c r="J24" i="21"/>
  <c r="O32" i="2"/>
  <c r="Q32" i="2"/>
  <c r="Q24" i="2"/>
  <c r="J16" i="21"/>
  <c r="O24" i="2"/>
  <c r="Q25" i="2"/>
  <c r="Q33" i="2"/>
  <c r="E20" i="22"/>
  <c r="E19" i="22"/>
  <c r="Q16" i="2"/>
  <c r="J21" i="21"/>
  <c r="E9" i="22"/>
  <c r="O19" i="2"/>
  <c r="O35" i="2"/>
  <c r="Q35" i="2"/>
  <c r="E27" i="22"/>
  <c r="O27" i="2"/>
  <c r="O25" i="2"/>
  <c r="Q27" i="2"/>
  <c r="E21" i="22"/>
  <c r="O33" i="2"/>
  <c r="E26" i="22"/>
  <c r="O34" i="2"/>
  <c r="O26" i="2"/>
  <c r="Q26" i="2"/>
  <c r="E18" i="22"/>
  <c r="O18" i="2"/>
  <c r="Q18" i="2"/>
  <c r="E10" i="22"/>
  <c r="J23" i="21"/>
  <c r="E22" i="22"/>
  <c r="O30" i="2"/>
  <c r="Q30" i="2"/>
  <c r="Q36" i="2"/>
  <c r="O36" i="2"/>
  <c r="E28" i="22"/>
  <c r="Q20" i="2"/>
  <c r="E12" i="22"/>
  <c r="O20" i="2"/>
  <c r="E14" i="22"/>
  <c r="O31" i="2"/>
  <c r="Q31" i="2"/>
  <c r="O22" i="2"/>
  <c r="J19" i="21"/>
  <c r="J9" i="21"/>
  <c r="J20" i="21"/>
  <c r="Q17" i="2"/>
  <c r="O28" i="2"/>
  <c r="O17" i="2"/>
  <c r="Q34" i="2"/>
  <c r="Q19" i="2"/>
  <c r="Q28" i="2"/>
  <c r="E29" i="22"/>
  <c r="G29" i="4"/>
  <c r="E29" i="4"/>
  <c r="C29" i="4"/>
  <c r="G24" i="4"/>
  <c r="E24" i="4"/>
  <c r="C24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38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Q14" i="2"/>
  <c r="O14" i="2"/>
  <c r="L8" i="4"/>
  <c r="N8" i="4" s="1"/>
  <c r="I4" i="4"/>
  <c r="L4" i="4"/>
  <c r="N4" i="4" s="1"/>
  <c r="E13" i="22" l="1"/>
  <c r="E3" i="22"/>
  <c r="E8" i="22"/>
  <c r="E15" i="22"/>
  <c r="E16" i="22"/>
  <c r="M16" i="22" s="1"/>
  <c r="E11" i="22"/>
  <c r="M11" i="22" s="1"/>
  <c r="E24" i="22"/>
  <c r="G17" i="22"/>
  <c r="G9" i="22"/>
  <c r="M9" i="22" s="1"/>
  <c r="G7" i="22"/>
  <c r="G18" i="22"/>
  <c r="M18" i="22" s="1"/>
  <c r="G24" i="22"/>
  <c r="G25" i="22"/>
  <c r="G23" i="22"/>
  <c r="M23" i="22" s="1"/>
  <c r="G27" i="22"/>
  <c r="G8" i="22"/>
  <c r="G26" i="22"/>
  <c r="M26" i="22" s="1"/>
  <c r="G12" i="22"/>
  <c r="M12" i="22" s="1"/>
  <c r="G21" i="22"/>
  <c r="G15" i="22"/>
  <c r="J17" i="21"/>
  <c r="E17" i="22"/>
  <c r="E25" i="22"/>
  <c r="J25" i="21"/>
  <c r="J12" i="21"/>
  <c r="J14" i="21"/>
  <c r="J26" i="21"/>
  <c r="J10" i="21"/>
  <c r="J18" i="21"/>
  <c r="M22" i="22"/>
  <c r="J22" i="21"/>
  <c r="J11" i="21"/>
  <c r="G13" i="22"/>
  <c r="M19" i="22"/>
  <c r="M20" i="22"/>
  <c r="M14" i="22"/>
  <c r="M10" i="22"/>
  <c r="M21" i="22"/>
  <c r="E7" i="22"/>
  <c r="O15" i="2"/>
  <c r="Q15" i="2"/>
  <c r="E6" i="22"/>
  <c r="O13" i="2"/>
  <c r="Q13" i="2"/>
  <c r="E5" i="22"/>
  <c r="E4" i="22"/>
  <c r="Q12" i="2"/>
  <c r="O12" i="2"/>
  <c r="I8" i="22"/>
  <c r="H16" i="2"/>
  <c r="H14" i="2"/>
  <c r="I6" i="22"/>
  <c r="I5" i="22"/>
  <c r="H13" i="2"/>
  <c r="I4" i="22"/>
  <c r="H12" i="2"/>
  <c r="I3" i="22"/>
  <c r="H11" i="2"/>
  <c r="O4" i="4"/>
  <c r="N43" i="4"/>
  <c r="M24" i="22" l="1"/>
  <c r="M13" i="22"/>
  <c r="M15" i="22"/>
  <c r="M25" i="22"/>
  <c r="M17" i="22"/>
  <c r="H38" i="2"/>
  <c r="M8" i="22"/>
  <c r="G3" i="22"/>
  <c r="M3" i="22" s="1"/>
  <c r="G4" i="22"/>
  <c r="M4" i="22" s="1"/>
  <c r="G6" i="22"/>
  <c r="M6" i="22" s="1"/>
  <c r="O38" i="2"/>
  <c r="Q38" i="2"/>
  <c r="I50" i="2"/>
  <c r="L50" i="2" s="1"/>
  <c r="N50" i="2" s="1"/>
  <c r="I41" i="2"/>
  <c r="L41" i="2" s="1"/>
  <c r="N41" i="2" s="1"/>
  <c r="J4" i="21"/>
  <c r="J5" i="21"/>
  <c r="M5" i="22"/>
  <c r="J6" i="21"/>
  <c r="M7" i="22"/>
  <c r="J7" i="21"/>
  <c r="O43" i="4"/>
  <c r="P43" i="4" s="1"/>
  <c r="K47" i="4"/>
  <c r="N48" i="2" l="1"/>
  <c r="N49" i="2" s="1"/>
  <c r="X38" i="2"/>
  <c r="G2" i="22"/>
  <c r="M2" i="22" s="1"/>
  <c r="V38" i="2"/>
  <c r="L47" i="4"/>
  <c r="M47" i="4"/>
  <c r="I51" i="2" l="1"/>
  <c r="L51" i="2" s="1"/>
  <c r="N51" i="2" s="1"/>
</calcChain>
</file>

<file path=xl/sharedStrings.xml><?xml version="1.0" encoding="utf-8"?>
<sst xmlns="http://schemas.openxmlformats.org/spreadsheetml/2006/main" count="484" uniqueCount="189">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</sst>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40" fillId="6" borderId="30" xfId="0" applyNumberFormat="1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0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7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EAU-ELEC'!$E$9:$E$37</c:f>
              <c:numCache>
                <c:formatCode>General</c:formatCode>
                <c:ptCount val="29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0">
                  <c:v>60</c:v>
                </c:pt>
                <c:pt idx="11">
                  <c:v>54</c:v>
                </c:pt>
                <c:pt idx="12">
                  <c:v>63</c:v>
                </c:pt>
                <c:pt idx="13">
                  <c:v>75</c:v>
                </c:pt>
                <c:pt idx="14">
                  <c:v>104</c:v>
                </c:pt>
                <c:pt idx="15">
                  <c:v>82</c:v>
                </c:pt>
                <c:pt idx="16">
                  <c:v>94.399999999994179</c:v>
                </c:pt>
                <c:pt idx="17">
                  <c:v>97</c:v>
                </c:pt>
                <c:pt idx="18">
                  <c:v>109.60000000000582</c:v>
                </c:pt>
                <c:pt idx="19">
                  <c:v>92</c:v>
                </c:pt>
                <c:pt idx="20">
                  <c:v>91</c:v>
                </c:pt>
                <c:pt idx="21">
                  <c:v>81</c:v>
                </c:pt>
                <c:pt idx="22">
                  <c:v>79.5</c:v>
                </c:pt>
                <c:pt idx="23">
                  <c:v>89.5</c:v>
                </c:pt>
                <c:pt idx="24">
                  <c:v>95</c:v>
                </c:pt>
                <c:pt idx="25">
                  <c:v>104</c:v>
                </c:pt>
                <c:pt idx="26">
                  <c:v>103</c:v>
                </c:pt>
                <c:pt idx="27">
                  <c:v>110</c:v>
                </c:pt>
                <c:pt idx="28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0">
                  <c:v>2528</c:v>
                </c:pt>
                <c:pt idx="11">
                  <c:v>2512</c:v>
                </c:pt>
                <c:pt idx="12">
                  <c:v>2597</c:v>
                </c:pt>
                <c:pt idx="13">
                  <c:v>2617</c:v>
                </c:pt>
                <c:pt idx="14">
                  <c:v>2779</c:v>
                </c:pt>
                <c:pt idx="15">
                  <c:v>3179</c:v>
                </c:pt>
                <c:pt idx="16">
                  <c:v>2496</c:v>
                </c:pt>
                <c:pt idx="17">
                  <c:v>3144</c:v>
                </c:pt>
                <c:pt idx="18">
                  <c:v>3395</c:v>
                </c:pt>
                <c:pt idx="19">
                  <c:v>2938</c:v>
                </c:pt>
                <c:pt idx="20">
                  <c:v>3011</c:v>
                </c:pt>
                <c:pt idx="21">
                  <c:v>2858</c:v>
                </c:pt>
                <c:pt idx="22">
                  <c:v>2917</c:v>
                </c:pt>
                <c:pt idx="23">
                  <c:v>3246</c:v>
                </c:pt>
                <c:pt idx="24">
                  <c:v>2883</c:v>
                </c:pt>
                <c:pt idx="25">
                  <c:v>3513</c:v>
                </c:pt>
                <c:pt idx="26">
                  <c:v>3134</c:v>
                </c:pt>
                <c:pt idx="27">
                  <c:v>3733</c:v>
                </c:pt>
                <c:pt idx="28">
                  <c:v>3191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0">
                  <c:v>3074</c:v>
                </c:pt>
                <c:pt idx="11">
                  <c:v>3155</c:v>
                </c:pt>
                <c:pt idx="12">
                  <c:v>3261</c:v>
                </c:pt>
                <c:pt idx="13">
                  <c:v>3461</c:v>
                </c:pt>
                <c:pt idx="14">
                  <c:v>3882</c:v>
                </c:pt>
                <c:pt idx="15">
                  <c:v>3741</c:v>
                </c:pt>
                <c:pt idx="16">
                  <c:v>4321</c:v>
                </c:pt>
                <c:pt idx="17">
                  <c:v>4184</c:v>
                </c:pt>
                <c:pt idx="18">
                  <c:v>4118</c:v>
                </c:pt>
                <c:pt idx="19">
                  <c:v>4005</c:v>
                </c:pt>
                <c:pt idx="20">
                  <c:v>3960</c:v>
                </c:pt>
                <c:pt idx="21">
                  <c:v>3772</c:v>
                </c:pt>
                <c:pt idx="22">
                  <c:v>4233</c:v>
                </c:pt>
                <c:pt idx="23">
                  <c:v>4582</c:v>
                </c:pt>
                <c:pt idx="24">
                  <c:v>4803</c:v>
                </c:pt>
                <c:pt idx="25">
                  <c:v>4224</c:v>
                </c:pt>
                <c:pt idx="26">
                  <c:v>4358</c:v>
                </c:pt>
                <c:pt idx="27">
                  <c:v>5743</c:v>
                </c:pt>
                <c:pt idx="28">
                  <c:v>5249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EAU-ELEC'!$A$9:$A$37</c:f>
              <c:numCache>
                <c:formatCode>m/d/yyyy</c:formatCode>
                <c:ptCount val="29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0">
                  <c:v>1441</c:v>
                </c:pt>
                <c:pt idx="11">
                  <c:v>1494</c:v>
                </c:pt>
                <c:pt idx="12">
                  <c:v>1624</c:v>
                </c:pt>
                <c:pt idx="13">
                  <c:v>1703</c:v>
                </c:pt>
                <c:pt idx="14">
                  <c:v>1764</c:v>
                </c:pt>
                <c:pt idx="15">
                  <c:v>2181</c:v>
                </c:pt>
                <c:pt idx="16">
                  <c:v>1958</c:v>
                </c:pt>
                <c:pt idx="17">
                  <c:v>2150</c:v>
                </c:pt>
                <c:pt idx="18">
                  <c:v>2000</c:v>
                </c:pt>
                <c:pt idx="19">
                  <c:v>1974</c:v>
                </c:pt>
                <c:pt idx="20">
                  <c:v>1980</c:v>
                </c:pt>
                <c:pt idx="21">
                  <c:v>1806</c:v>
                </c:pt>
                <c:pt idx="22">
                  <c:v>2059</c:v>
                </c:pt>
                <c:pt idx="23">
                  <c:v>2104</c:v>
                </c:pt>
                <c:pt idx="24">
                  <c:v>2210</c:v>
                </c:pt>
                <c:pt idx="25">
                  <c:v>2051</c:v>
                </c:pt>
                <c:pt idx="26">
                  <c:v>2282</c:v>
                </c:pt>
                <c:pt idx="27">
                  <c:v>2917</c:v>
                </c:pt>
                <c:pt idx="28">
                  <c:v>2431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159.99605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575.98577999999998</c:v>
                </c:pt>
                <c:pt idx="10">
                  <c:v>415.98973000000001</c:v>
                </c:pt>
                <c:pt idx="11">
                  <c:v>0</c:v>
                </c:pt>
                <c:pt idx="12">
                  <c:v>159.99605</c:v>
                </c:pt>
                <c:pt idx="13">
                  <c:v>671.98341000000005</c:v>
                </c:pt>
                <c:pt idx="14">
                  <c:v>351.99131</c:v>
                </c:pt>
                <c:pt idx="15">
                  <c:v>831.97946000000002</c:v>
                </c:pt>
                <c:pt idx="16">
                  <c:v>575.98577999999998</c:v>
                </c:pt>
                <c:pt idx="17">
                  <c:v>575.98577999999998</c:v>
                </c:pt>
                <c:pt idx="18">
                  <c:v>575.98577999999998</c:v>
                </c:pt>
                <c:pt idx="19">
                  <c:v>575.98577999999998</c:v>
                </c:pt>
                <c:pt idx="20">
                  <c:v>63.998420000000003</c:v>
                </c:pt>
                <c:pt idx="21">
                  <c:v>575.98577999999998</c:v>
                </c:pt>
                <c:pt idx="22">
                  <c:v>607.98499000000004</c:v>
                </c:pt>
                <c:pt idx="23">
                  <c:v>383.99052</c:v>
                </c:pt>
                <c:pt idx="24">
                  <c:v>863.97867000000008</c:v>
                </c:pt>
                <c:pt idx="25">
                  <c:v>127.99684000000001</c:v>
                </c:pt>
                <c:pt idx="26">
                  <c:v>575.98577999999998</c:v>
                </c:pt>
                <c:pt idx="27">
                  <c:v>383.99052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43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R23" sqref="R2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1.1499999999999999</v>
      </c>
      <c r="G2" s="134">
        <f>'Consommation mensuel énergie'!V10</f>
        <v>223.99447000000001</v>
      </c>
      <c r="H2" s="134">
        <v>11.79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6139</v>
      </c>
      <c r="F3" s="134">
        <v>1.1499999999999999</v>
      </c>
      <c r="G3" s="134">
        <f>'Consommation mensuel énergie'!V11</f>
        <v>223.99447000000001</v>
      </c>
      <c r="H3" s="134">
        <v>11.79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1.1499999999999999</v>
      </c>
      <c r="G4" s="134">
        <f>'Consommation mensuel énergie'!V12</f>
        <v>127.99684000000001</v>
      </c>
      <c r="H4" s="134">
        <v>11.79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1.1499999999999999</v>
      </c>
      <c r="G5" s="134">
        <f>'Consommation mensuel énergie'!V13</f>
        <v>159.99605</v>
      </c>
      <c r="H5" s="134">
        <v>11.79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1.1499999999999999</v>
      </c>
      <c r="G6" s="134">
        <f>'Consommation mensuel énergie'!V14</f>
        <v>383.99052</v>
      </c>
      <c r="H6" s="134">
        <v>11.79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1.1499999999999999</v>
      </c>
      <c r="G7" s="134">
        <f>'Consommation mensuel énergie'!V15</f>
        <v>255.99368000000001</v>
      </c>
      <c r="H7" s="134">
        <v>11.79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1.1499999999999999</v>
      </c>
      <c r="G8" s="134">
        <f>'Consommation mensuel énergie'!V16</f>
        <v>319.99209999999999</v>
      </c>
      <c r="H8" s="134">
        <v>11.79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1.1499999999999999</v>
      </c>
      <c r="G9" s="134">
        <f>'Consommation mensuel énergie'!V17</f>
        <v>191.99526</v>
      </c>
      <c r="H9" s="134">
        <v>11.79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1.1499999999999999</v>
      </c>
      <c r="G10" s="134">
        <f>'Consommation mensuel énergie'!V18</f>
        <v>223.99447000000001</v>
      </c>
      <c r="H10" s="134">
        <v>11.79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1.1499999999999999</v>
      </c>
      <c r="G11" s="134">
        <f>'Consommation mensuel énergie'!V19</f>
        <v>575.98577999999998</v>
      </c>
      <c r="H11" s="134">
        <v>11.79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54</v>
      </c>
      <c r="L11" s="137">
        <f>'Consommation mensuel énergie'!E19</f>
        <v>79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7043</v>
      </c>
      <c r="F12" s="134">
        <v>1.1499999999999999</v>
      </c>
      <c r="G12" s="134">
        <f>'Consommation mensuel énergie'!V20</f>
        <v>415.98973000000001</v>
      </c>
      <c r="H12" s="134">
        <v>11.79</v>
      </c>
      <c r="I12" s="134">
        <f>'Consommation mensuel énergie'!F20</f>
        <v>60</v>
      </c>
      <c r="J12" s="134">
        <v>11.4</v>
      </c>
      <c r="K12" s="137">
        <f>'Consommation mensuel énergie'!D20</f>
        <v>50</v>
      </c>
      <c r="L12" s="137">
        <f>'Consommation mensuel énergie'!E20</f>
        <v>81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7161</v>
      </c>
      <c r="F13" s="134">
        <v>1.1499999999999999</v>
      </c>
      <c r="G13" s="134">
        <f>'Consommation mensuel énergie'!V21</f>
        <v>0</v>
      </c>
      <c r="H13" s="134">
        <v>11.79</v>
      </c>
      <c r="I13" s="134">
        <f>'Consommation mensuel énergie'!F21</f>
        <v>54</v>
      </c>
      <c r="J13" s="134">
        <v>11.4</v>
      </c>
      <c r="K13" s="137">
        <f>'Consommation mensuel énergie'!D21</f>
        <v>58</v>
      </c>
      <c r="L13" s="137">
        <f>'Consommation mensuel énergie'!E21</f>
        <v>96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7482</v>
      </c>
      <c r="F14" s="134">
        <v>1.1499999999999999</v>
      </c>
      <c r="G14" s="134">
        <f>'Consommation mensuel énergie'!V22</f>
        <v>159.99605</v>
      </c>
      <c r="H14" s="134">
        <v>11.79</v>
      </c>
      <c r="I14" s="134">
        <f>'Consommation mensuel énergie'!F22</f>
        <v>63</v>
      </c>
      <c r="J14" s="134">
        <v>11.4</v>
      </c>
      <c r="K14" s="137">
        <f>'Consommation mensuel énergie'!D22</f>
        <v>72</v>
      </c>
      <c r="L14" s="137">
        <f>'Consommation mensuel énergie'!E22</f>
        <v>96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7781</v>
      </c>
      <c r="F15" s="134">
        <v>1.1499999999999999</v>
      </c>
      <c r="G15" s="134">
        <f>'Consommation mensuel énergie'!V23</f>
        <v>671.98341000000005</v>
      </c>
      <c r="H15" s="134">
        <v>11.79</v>
      </c>
      <c r="I15" s="134">
        <f>'Consommation mensuel énergie'!F23</f>
        <v>75</v>
      </c>
      <c r="J15" s="134">
        <v>11.4</v>
      </c>
      <c r="K15" s="137">
        <f>'Consommation mensuel énergie'!D23</f>
        <v>88</v>
      </c>
      <c r="L15" s="137">
        <f>'Consommation mensuel énergie'!E23</f>
        <v>125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8425</v>
      </c>
      <c r="F16" s="134">
        <v>1.1499999999999999</v>
      </c>
      <c r="G16" s="134">
        <f>'Consommation mensuel énergie'!V24</f>
        <v>351.99131</v>
      </c>
      <c r="H16" s="134">
        <v>11.79</v>
      </c>
      <c r="I16" s="134">
        <f>'Consommation mensuel énergie'!F24</f>
        <v>104</v>
      </c>
      <c r="J16" s="134">
        <v>11.4</v>
      </c>
      <c r="K16" s="137">
        <f>'Consommation mensuel énergie'!D24</f>
        <v>79</v>
      </c>
      <c r="L16" s="137">
        <f>'Consommation mensuel énergie'!E24</f>
        <v>108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9101</v>
      </c>
      <c r="F17" s="134">
        <v>1.1499999999999999</v>
      </c>
      <c r="G17" s="134">
        <f>'Consommation mensuel énergie'!V25</f>
        <v>831.97946000000002</v>
      </c>
      <c r="H17" s="134">
        <v>11.79</v>
      </c>
      <c r="I17" s="134">
        <f>'Consommation mensuel énergie'!F25</f>
        <v>82</v>
      </c>
      <c r="J17" s="134">
        <v>11.4</v>
      </c>
      <c r="K17" s="137">
        <f>'Consommation mensuel énergie'!D25</f>
        <v>106</v>
      </c>
      <c r="L17" s="137">
        <f>'Consommation mensuel énergie'!E25</f>
        <v>142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8775</v>
      </c>
      <c r="F18" s="134">
        <v>1.1499999999999999</v>
      </c>
      <c r="G18" s="134">
        <f>'Consommation mensuel énergie'!V26</f>
        <v>575.98577999999998</v>
      </c>
      <c r="H18" s="134">
        <v>11.79</v>
      </c>
      <c r="I18" s="134">
        <f>'Consommation mensuel énergie'!F26</f>
        <v>94.399999999994179</v>
      </c>
      <c r="J18" s="134">
        <v>11.4</v>
      </c>
      <c r="K18" s="137">
        <f>'Consommation mensuel énergie'!D26</f>
        <v>94</v>
      </c>
      <c r="L18" s="137">
        <f>'Consommation mensuel énergie'!E26</f>
        <v>133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9478</v>
      </c>
      <c r="F19" s="134">
        <v>1.1499999999999999</v>
      </c>
      <c r="G19" s="134">
        <f>'Consommation mensuel énergie'!V27</f>
        <v>575.98577999999998</v>
      </c>
      <c r="H19" s="134">
        <v>11.79</v>
      </c>
      <c r="I19" s="134">
        <f>'Consommation mensuel énergie'!F27</f>
        <v>97</v>
      </c>
      <c r="J19" s="134">
        <v>11.4</v>
      </c>
      <c r="K19" s="137">
        <f>'Consommation mensuel énergie'!D27</f>
        <v>114</v>
      </c>
      <c r="L19" s="137">
        <f>'Consommation mensuel énergie'!E27</f>
        <v>183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9513</v>
      </c>
      <c r="F20" s="134">
        <v>1.1499999999999999</v>
      </c>
      <c r="G20" s="134">
        <f>'Consommation mensuel énergie'!V28</f>
        <v>575.98577999999998</v>
      </c>
      <c r="H20" s="134">
        <v>11.79</v>
      </c>
      <c r="I20" s="134">
        <f>'Consommation mensuel énergie'!F28</f>
        <v>109.60000000000582</v>
      </c>
      <c r="J20" s="134">
        <v>11.4</v>
      </c>
      <c r="K20" s="137">
        <f>'Consommation mensuel énergie'!D28</f>
        <v>84</v>
      </c>
      <c r="L20" s="137">
        <f>'Consommation mensuel énergie'!E28</f>
        <v>144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8917</v>
      </c>
      <c r="F21" s="134">
        <v>1.1499999999999999</v>
      </c>
      <c r="G21" s="134">
        <f>'Consommation mensuel énergie'!V29</f>
        <v>575.98577999999998</v>
      </c>
      <c r="H21" s="134">
        <v>11.79</v>
      </c>
      <c r="I21" s="134">
        <f>'Consommation mensuel énergie'!F29</f>
        <v>92</v>
      </c>
      <c r="J21" s="134">
        <v>11.4</v>
      </c>
      <c r="K21" s="137">
        <f>'Consommation mensuel énergie'!D29</f>
        <v>74</v>
      </c>
      <c r="L21" s="137">
        <f>'Consommation mensuel énergie'!E29</f>
        <v>108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8951</v>
      </c>
      <c r="F22" s="134">
        <v>1.1499999999999999</v>
      </c>
      <c r="G22" s="134">
        <f>'Consommation mensuel énergie'!V30</f>
        <v>63.998420000000003</v>
      </c>
      <c r="H22" s="134">
        <v>11.79</v>
      </c>
      <c r="I22" s="134">
        <f>'Consommation mensuel énergie'!F30</f>
        <v>91</v>
      </c>
      <c r="J22" s="134">
        <v>11.4</v>
      </c>
      <c r="K22" s="137">
        <f>'Consommation mensuel énergie'!D30</f>
        <v>75</v>
      </c>
      <c r="L22" s="137">
        <f>'Consommation mensuel énergie'!E30</f>
        <v>103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8436</v>
      </c>
      <c r="F23" s="134">
        <v>1.1499999999999999</v>
      </c>
      <c r="G23" s="134">
        <f>'Consommation mensuel énergie'!V31</f>
        <v>575.98577999999998</v>
      </c>
      <c r="H23" s="134">
        <v>11.79</v>
      </c>
      <c r="I23" s="134">
        <f>'Consommation mensuel énergie'!F31</f>
        <v>81</v>
      </c>
      <c r="J23" s="134">
        <v>11.4</v>
      </c>
      <c r="K23" s="137">
        <f>'Consommation mensuel énergie'!D31</f>
        <v>107</v>
      </c>
      <c r="L23" s="137">
        <f>'Consommation mensuel énergie'!E31</f>
        <v>142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9209</v>
      </c>
      <c r="F24" s="134">
        <v>1.1499999999999999</v>
      </c>
      <c r="G24" s="134">
        <f>'Consommation mensuel énergie'!V32</f>
        <v>607.98499000000004</v>
      </c>
      <c r="H24" s="134">
        <v>11.79</v>
      </c>
      <c r="I24" s="134">
        <f>'Consommation mensuel énergie'!F32</f>
        <v>79.5</v>
      </c>
      <c r="J24" s="134">
        <v>11.4</v>
      </c>
      <c r="K24" s="137">
        <f>'Consommation mensuel énergie'!D32</f>
        <v>107</v>
      </c>
      <c r="L24" s="137">
        <f>'Consommation mensuel énergie'!E32</f>
        <v>150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9932</v>
      </c>
      <c r="F25" s="134">
        <v>1.1499999999999999</v>
      </c>
      <c r="G25" s="134">
        <f>'Consommation mensuel énergie'!V33</f>
        <v>383.99052</v>
      </c>
      <c r="H25" s="134">
        <v>11.79</v>
      </c>
      <c r="I25" s="134">
        <f>'Consommation mensuel énergie'!F33</f>
        <v>89.5</v>
      </c>
      <c r="J25" s="134">
        <v>11.4</v>
      </c>
      <c r="K25" s="137">
        <f>'Consommation mensuel énergie'!D33</f>
        <v>102</v>
      </c>
      <c r="L25" s="137">
        <f>'Consommation mensuel énergie'!E33</f>
        <v>151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9896</v>
      </c>
      <c r="F26" s="134">
        <v>1.1499999999999999</v>
      </c>
      <c r="G26" s="134">
        <f>'Consommation mensuel énergie'!V34</f>
        <v>863.97867000000008</v>
      </c>
      <c r="H26" s="134">
        <v>11.79</v>
      </c>
      <c r="I26" s="134">
        <f>'Consommation mensuel énergie'!F34</f>
        <v>95</v>
      </c>
      <c r="J26" s="134">
        <v>11.4</v>
      </c>
      <c r="K26" s="137">
        <f>'Consommation mensuel énergie'!D34</f>
        <v>100</v>
      </c>
      <c r="L26" s="137">
        <f>'Consommation mensuel énergie'!E34</f>
        <v>164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9788</v>
      </c>
      <c r="F27" s="134">
        <v>1.1499999999999999</v>
      </c>
      <c r="G27" s="134">
        <f>'Consommation mensuel énergie'!V35</f>
        <v>127.99684000000001</v>
      </c>
      <c r="H27" s="134">
        <v>11.79</v>
      </c>
      <c r="I27" s="134">
        <f>'Consommation mensuel énergie'!F35</f>
        <v>104</v>
      </c>
      <c r="J27" s="134">
        <v>11.4</v>
      </c>
      <c r="K27" s="137">
        <f>'Consommation mensuel énergie'!D35</f>
        <v>103</v>
      </c>
      <c r="L27" s="137">
        <f>'Consommation mensuel énergie'!E35</f>
        <v>180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9774</v>
      </c>
      <c r="F28" s="134">
        <v>1.1499999999999999</v>
      </c>
      <c r="G28" s="134">
        <f>'Consommation mensuel énergie'!V36</f>
        <v>575.98577999999998</v>
      </c>
      <c r="H28" s="134">
        <v>11.79</v>
      </c>
      <c r="I28" s="134">
        <f>'Consommation mensuel énergie'!F36</f>
        <v>103</v>
      </c>
      <c r="J28" s="134">
        <v>11.4</v>
      </c>
      <c r="K28" s="137">
        <f>'Consommation mensuel énergie'!D36</f>
        <v>138</v>
      </c>
      <c r="L28" s="137">
        <f>'Consommation mensuel énergie'!E36</f>
        <v>207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12393</v>
      </c>
      <c r="F29" s="134">
        <v>1.1499999999999999</v>
      </c>
      <c r="G29" s="134">
        <f>'Consommation mensuel énergie'!V37</f>
        <v>383.99052</v>
      </c>
      <c r="H29" s="134">
        <v>11.79</v>
      </c>
      <c r="I29" s="134">
        <f>'Consommation mensuel énergie'!F37</f>
        <v>110</v>
      </c>
      <c r="J29" s="134">
        <v>11.4</v>
      </c>
      <c r="K29" s="137">
        <f>'Consommation mensuel énergie'!D37</f>
        <v>123</v>
      </c>
      <c r="L29" s="137">
        <f>'Consommation mensuel énergie'!E37</f>
        <v>172</v>
      </c>
      <c r="M29" s="133"/>
    </row>
    <row r="30" spans="1:13" x14ac:dyDescent="0.2">
      <c r="A30" s="136"/>
      <c r="F30" s="134"/>
      <c r="G30" s="134"/>
      <c r="H30" s="134"/>
      <c r="I30" s="134"/>
      <c r="J30" s="134"/>
      <c r="M30" s="133"/>
    </row>
    <row r="31" spans="1:13" x14ac:dyDescent="0.2">
      <c r="A31" s="136"/>
      <c r="F31" s="134"/>
      <c r="G31" s="134"/>
      <c r="H31" s="134"/>
      <c r="I31" s="134"/>
      <c r="J31" s="134"/>
      <c r="M31" s="133"/>
    </row>
    <row r="32" spans="1:13" x14ac:dyDescent="0.2">
      <c r="F32" s="134"/>
      <c r="G32" s="134"/>
      <c r="H32" s="134"/>
      <c r="I32" s="134"/>
      <c r="J32" s="134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H2" sqref="H2:H2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énergie'!N11</f>
        <v>1284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54</v>
      </c>
      <c r="I11" s="137">
        <f>'Consommation mensuel énergie'!E19</f>
        <v>79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2528</v>
      </c>
      <c r="F12" s="137">
        <f>'Consommation mensuel énergie'!M20</f>
        <v>3074</v>
      </c>
      <c r="G12" s="137">
        <f>'Consommation mensuel énergie'!N20</f>
        <v>1441</v>
      </c>
      <c r="H12" s="137">
        <f>'Consommation mensuel énergie'!D20</f>
        <v>50</v>
      </c>
      <c r="I12" s="137">
        <f>'Consommation mensuel énergie'!E20</f>
        <v>81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2512</v>
      </c>
      <c r="F13" s="137">
        <f>'Consommation mensuel énergie'!M21</f>
        <v>3155</v>
      </c>
      <c r="G13" s="137">
        <f>'Consommation mensuel énergie'!N21</f>
        <v>1494</v>
      </c>
      <c r="H13" s="137">
        <f>'Consommation mensuel énergie'!D21</f>
        <v>58</v>
      </c>
      <c r="I13" s="137">
        <f>'Consommation mensuel énergie'!E21</f>
        <v>96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2597</v>
      </c>
      <c r="F14" s="137">
        <f>'Consommation mensuel énergie'!M22</f>
        <v>3261</v>
      </c>
      <c r="G14" s="137">
        <f>'Consommation mensuel énergie'!N22</f>
        <v>1624</v>
      </c>
      <c r="H14" s="137">
        <f>'Consommation mensuel énergie'!D22</f>
        <v>72</v>
      </c>
      <c r="I14" s="137">
        <f>'Consommation mensuel énergie'!E22</f>
        <v>96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2617</v>
      </c>
      <c r="F15" s="137">
        <f>'Consommation mensuel énergie'!M23</f>
        <v>3461</v>
      </c>
      <c r="G15" s="137">
        <f>'Consommation mensuel énergie'!N23</f>
        <v>1703</v>
      </c>
      <c r="H15" s="137">
        <f>'Consommation mensuel énergie'!D23</f>
        <v>88</v>
      </c>
      <c r="I15" s="137">
        <f>'Consommation mensuel énergie'!E23</f>
        <v>125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2779</v>
      </c>
      <c r="F16" s="137">
        <f>'Consommation mensuel énergie'!M24</f>
        <v>3882</v>
      </c>
      <c r="G16" s="137">
        <f>'Consommation mensuel énergie'!N24</f>
        <v>1764</v>
      </c>
      <c r="H16" s="137">
        <f>'Consommation mensuel énergie'!D24</f>
        <v>79</v>
      </c>
      <c r="I16" s="137">
        <f>'Consommation mensuel énergie'!E24</f>
        <v>108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3179</v>
      </c>
      <c r="F17" s="137">
        <f>'Consommation mensuel énergie'!M25</f>
        <v>3741</v>
      </c>
      <c r="G17" s="137">
        <f>'Consommation mensuel énergie'!N25</f>
        <v>2181</v>
      </c>
      <c r="H17" s="137">
        <f>'Consommation mensuel énergie'!D25</f>
        <v>106</v>
      </c>
      <c r="I17" s="137">
        <f>'Consommation mensuel énergie'!E25</f>
        <v>142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2496</v>
      </c>
      <c r="F18" s="137">
        <f>'Consommation mensuel énergie'!M26</f>
        <v>4321</v>
      </c>
      <c r="G18" s="137">
        <f>'Consommation mensuel énergie'!N26</f>
        <v>1958</v>
      </c>
      <c r="H18" s="137">
        <f>'Consommation mensuel énergie'!D26</f>
        <v>94</v>
      </c>
      <c r="I18" s="137">
        <f>'Consommation mensuel énergie'!E26</f>
        <v>133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3144</v>
      </c>
      <c r="F19" s="137">
        <f>'Consommation mensuel énergie'!M27</f>
        <v>4184</v>
      </c>
      <c r="G19" s="137">
        <f>'Consommation mensuel énergie'!N27</f>
        <v>2150</v>
      </c>
      <c r="H19" s="137">
        <f>'Consommation mensuel énergie'!D27</f>
        <v>114</v>
      </c>
      <c r="I19" s="137">
        <f>'Consommation mensuel énergie'!E27</f>
        <v>183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3395</v>
      </c>
      <c r="F20" s="137">
        <f>'Consommation mensuel énergie'!M28</f>
        <v>4118</v>
      </c>
      <c r="G20" s="137">
        <f>'Consommation mensuel énergie'!N28</f>
        <v>2000</v>
      </c>
      <c r="H20" s="137">
        <f>'Consommation mensuel énergie'!D28</f>
        <v>84</v>
      </c>
      <c r="I20" s="137">
        <f>'Consommation mensuel énergie'!E28</f>
        <v>144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2938</v>
      </c>
      <c r="F21" s="137">
        <f>'Consommation mensuel énergie'!M29</f>
        <v>4005</v>
      </c>
      <c r="G21" s="137">
        <f>'Consommation mensuel énergie'!N29</f>
        <v>1974</v>
      </c>
      <c r="H21" s="137">
        <f>'Consommation mensuel énergie'!D29</f>
        <v>74</v>
      </c>
      <c r="I21" s="137">
        <f>'Consommation mensuel énergie'!E29</f>
        <v>108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3011</v>
      </c>
      <c r="F22" s="137">
        <f>'Consommation mensuel énergie'!M30</f>
        <v>3960</v>
      </c>
      <c r="G22" s="137">
        <f>'Consommation mensuel énergie'!N30</f>
        <v>1980</v>
      </c>
      <c r="H22" s="137">
        <f>'Consommation mensuel énergie'!D30</f>
        <v>75</v>
      </c>
      <c r="I22" s="137">
        <f>'Consommation mensuel énergie'!E30</f>
        <v>103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2858</v>
      </c>
      <c r="F23" s="137">
        <f>'Consommation mensuel énergie'!M31</f>
        <v>3772</v>
      </c>
      <c r="G23" s="137">
        <f>'Consommation mensuel énergie'!N31</f>
        <v>1806</v>
      </c>
      <c r="H23" s="137">
        <f>'Consommation mensuel énergie'!D31</f>
        <v>107</v>
      </c>
      <c r="I23" s="137">
        <f>'Consommation mensuel énergie'!E31</f>
        <v>142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2917</v>
      </c>
      <c r="F24" s="137">
        <f>'Consommation mensuel énergie'!M32</f>
        <v>4233</v>
      </c>
      <c r="G24" s="137">
        <f>'Consommation mensuel énergie'!N32</f>
        <v>2059</v>
      </c>
      <c r="H24" s="137">
        <f>'Consommation mensuel énergie'!D32</f>
        <v>107</v>
      </c>
      <c r="I24" s="137">
        <f>'Consommation mensuel énergie'!E32</f>
        <v>150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3246</v>
      </c>
      <c r="F25" s="137">
        <f>'Consommation mensuel énergie'!M33</f>
        <v>4582</v>
      </c>
      <c r="G25" s="137">
        <f>'Consommation mensuel énergie'!N33</f>
        <v>2104</v>
      </c>
      <c r="H25" s="137">
        <f>'Consommation mensuel énergie'!D33</f>
        <v>102</v>
      </c>
      <c r="I25" s="137">
        <f>'Consommation mensuel énergie'!E33</f>
        <v>151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2883</v>
      </c>
      <c r="F26" s="137">
        <f>'Consommation mensuel énergie'!M34</f>
        <v>4803</v>
      </c>
      <c r="G26" s="137">
        <f>'Consommation mensuel énergie'!N34</f>
        <v>2210</v>
      </c>
      <c r="H26" s="137">
        <f>'Consommation mensuel énergie'!D34</f>
        <v>100</v>
      </c>
      <c r="I26" s="137">
        <f>'Consommation mensuel énergie'!E34</f>
        <v>164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3513</v>
      </c>
      <c r="F27" s="137">
        <f>'Consommation mensuel énergie'!M35</f>
        <v>4224</v>
      </c>
      <c r="G27" s="137">
        <f>'Consommation mensuel énergie'!N35</f>
        <v>2051</v>
      </c>
      <c r="H27" s="137">
        <f>'Consommation mensuel énergie'!D35</f>
        <v>103</v>
      </c>
      <c r="I27" s="137">
        <f>'Consommation mensuel énergie'!E35</f>
        <v>180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3134</v>
      </c>
      <c r="F28" s="137">
        <f>'Consommation mensuel énergie'!M36</f>
        <v>4358</v>
      </c>
      <c r="G28" s="137">
        <f>'Consommation mensuel énergie'!N36</f>
        <v>2282</v>
      </c>
      <c r="H28" s="137">
        <f>'Consommation mensuel énergie'!D36</f>
        <v>138</v>
      </c>
      <c r="I28" s="137">
        <f>'Consommation mensuel énergie'!E36</f>
        <v>207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3733</v>
      </c>
      <c r="F29" s="137">
        <f>'Consommation mensuel énergie'!M37</f>
        <v>5743</v>
      </c>
      <c r="G29" s="137">
        <f>'Consommation mensuel énergie'!N37</f>
        <v>2917</v>
      </c>
      <c r="H29" s="137">
        <f>'Consommation mensuel énergie'!D37</f>
        <v>123</v>
      </c>
      <c r="I29" s="137">
        <f>'Consommation mensuel énergie'!E37</f>
        <v>172</v>
      </c>
      <c r="J29" s="133"/>
    </row>
    <row r="30" spans="1:10" x14ac:dyDescent="0.2">
      <c r="E30" s="134"/>
      <c r="F30" s="134"/>
      <c r="G30" s="134"/>
      <c r="H30" s="133"/>
      <c r="I30" s="133"/>
    </row>
    <row r="31" spans="1:10" x14ac:dyDescent="0.2">
      <c r="E31" s="134"/>
      <c r="F31" s="134"/>
      <c r="G31" s="134"/>
      <c r="H31" s="133"/>
      <c r="I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7"/>
  <sheetViews>
    <sheetView showGridLines="0" tabSelected="1" zoomScale="55" zoomScaleNormal="55" workbookViewId="0">
      <pane xSplit="3" ySplit="9" topLeftCell="D28" activePane="bottomRight" state="frozen"/>
      <selection pane="topRight" activeCell="B21" sqref="A21:IV21"/>
      <selection pane="bottomLeft" activeCell="B21" sqref="A21:IV21"/>
      <selection pane="bottomRight" activeCell="AC46" sqref="AC4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5.2851562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4"/>
      <c r="B2" s="175"/>
      <c r="C2" s="175"/>
      <c r="D2" s="175"/>
      <c r="E2" s="175"/>
      <c r="F2" s="175"/>
      <c r="G2" s="175"/>
      <c r="H2" s="176"/>
      <c r="I2" s="185" t="s">
        <v>17</v>
      </c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</row>
    <row r="3" spans="1:24" ht="15" hidden="1" customHeight="1" thickBot="1" x14ac:dyDescent="0.25"/>
    <row r="4" spans="1:24" ht="39" hidden="1" customHeight="1" thickBot="1" x14ac:dyDescent="0.25">
      <c r="A4" s="177"/>
      <c r="B4" s="177"/>
      <c r="C4" s="17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77"/>
      <c r="B5" s="177"/>
      <c r="C5" s="177"/>
      <c r="D5" s="5"/>
      <c r="E5" s="5"/>
      <c r="F5" s="5"/>
      <c r="G5" s="5"/>
      <c r="H5" s="5"/>
      <c r="I5" s="5"/>
      <c r="J5" s="5"/>
      <c r="K5" s="5"/>
      <c r="L5" s="5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</row>
    <row r="6" spans="1:24" s="5" customFormat="1" ht="44.25" hidden="1" customHeight="1" thickBot="1" x14ac:dyDescent="0.25">
      <c r="A6" s="3"/>
      <c r="B6" s="3"/>
      <c r="C6" s="3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</row>
    <row r="7" spans="1:24" s="5" customFormat="1" ht="18.75" hidden="1" customHeight="1" thickBot="1" x14ac:dyDescent="0.25">
      <c r="F7" s="178"/>
      <c r="G7" s="178"/>
      <c r="H7" s="178"/>
      <c r="I7" s="178"/>
      <c r="J7" s="178"/>
      <c r="K7" s="178"/>
      <c r="L7" s="178"/>
      <c r="M7" s="178"/>
      <c r="N7" s="187"/>
      <c r="O7" s="187"/>
      <c r="P7" s="178"/>
      <c r="Q7" s="178"/>
      <c r="R7" s="178"/>
      <c r="S7" s="178"/>
      <c r="T7" s="178"/>
      <c r="U7" s="178"/>
      <c r="V7" s="178"/>
      <c r="W7" s="178"/>
      <c r="X7" s="178"/>
    </row>
    <row r="8" spans="1:24" ht="18.75" customHeight="1" thickBot="1" x14ac:dyDescent="0.25">
      <c r="A8" s="178"/>
      <c r="B8" s="189" t="s">
        <v>19</v>
      </c>
      <c r="C8" s="4"/>
      <c r="D8" s="190" t="s">
        <v>20</v>
      </c>
      <c r="E8" s="190" t="s">
        <v>21</v>
      </c>
      <c r="F8" s="172" t="s">
        <v>22</v>
      </c>
      <c r="G8" s="2"/>
      <c r="H8" s="179" t="s">
        <v>23</v>
      </c>
      <c r="I8" s="180"/>
      <c r="J8" s="181"/>
      <c r="K8" s="167" t="s">
        <v>24</v>
      </c>
      <c r="L8" s="171" t="s">
        <v>25</v>
      </c>
      <c r="M8" s="171"/>
      <c r="N8" s="171"/>
      <c r="O8" s="171" t="s">
        <v>26</v>
      </c>
      <c r="P8" s="2"/>
      <c r="Q8" s="169" t="s">
        <v>23</v>
      </c>
      <c r="R8" s="2"/>
      <c r="S8" s="169" t="s">
        <v>27</v>
      </c>
      <c r="T8" s="2"/>
      <c r="U8" s="169" t="s">
        <v>28</v>
      </c>
      <c r="V8" s="192" t="s">
        <v>29</v>
      </c>
      <c r="W8" s="2"/>
      <c r="X8" s="169" t="s">
        <v>23</v>
      </c>
    </row>
    <row r="9" spans="1:24" ht="59.25" customHeight="1" thickBot="1" x14ac:dyDescent="0.25">
      <c r="A9" s="178"/>
      <c r="B9" s="189"/>
      <c r="C9" s="4"/>
      <c r="D9" s="191"/>
      <c r="E9" s="191"/>
      <c r="F9" s="173"/>
      <c r="G9" s="2"/>
      <c r="H9" s="182"/>
      <c r="I9" s="183"/>
      <c r="J9" s="184"/>
      <c r="K9" s="168"/>
      <c r="L9" s="152" t="s">
        <v>30</v>
      </c>
      <c r="M9" s="152" t="s">
        <v>31</v>
      </c>
      <c r="N9" s="152" t="s">
        <v>32</v>
      </c>
      <c r="O9" s="188"/>
      <c r="P9" s="2"/>
      <c r="Q9" s="170"/>
      <c r="R9" s="2"/>
      <c r="S9" s="170"/>
      <c r="T9" s="2"/>
      <c r="U9" s="170"/>
      <c r="V9" s="193"/>
      <c r="W9" s="2"/>
      <c r="X9" s="170"/>
    </row>
    <row r="10" spans="1:24" ht="32.25" customHeight="1" x14ac:dyDescent="0.2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3">
        <f>F10*8.79</f>
        <v>493.11900000005113</v>
      </c>
      <c r="I10" s="164"/>
      <c r="J10" s="164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V10*11.79</f>
        <v>2640.8948012999999</v>
      </c>
    </row>
    <row r="11" spans="1:24" ht="32.25" customHeight="1" x14ac:dyDescent="0.2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3">
        <f t="shared" ref="H11:H21" si="0">F11*8.79</f>
        <v>449.16900000005114</v>
      </c>
      <c r="I11" s="164"/>
      <c r="J11" s="164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V11*11.79</f>
        <v>2640.8948012999999</v>
      </c>
    </row>
    <row r="12" spans="1:24" ht="32.25" customHeight="1" x14ac:dyDescent="0.2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3">
        <f t="shared" si="0"/>
        <v>469.38599999994881</v>
      </c>
      <c r="I12" s="164"/>
      <c r="J12" s="164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1509.0827436</v>
      </c>
    </row>
    <row r="13" spans="1:24" ht="32.25" customHeight="1" x14ac:dyDescent="0.2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3">
        <f t="shared" si="0"/>
        <v>645.18599999994876</v>
      </c>
      <c r="I13" s="164"/>
      <c r="J13" s="164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159.99605</v>
      </c>
      <c r="W13" s="11"/>
      <c r="X13" s="34">
        <f t="shared" si="1"/>
        <v>1886.3534294999997</v>
      </c>
    </row>
    <row r="14" spans="1:24" ht="32.25" customHeight="1" x14ac:dyDescent="0.2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3">
        <f t="shared" si="0"/>
        <v>711.9899999999999</v>
      </c>
      <c r="I14" s="164"/>
      <c r="J14" s="164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4527.2482307999999</v>
      </c>
    </row>
    <row r="15" spans="1:24" ht="32.25" customHeight="1" x14ac:dyDescent="0.2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3">
        <f t="shared" si="0"/>
        <v>448.28999999999996</v>
      </c>
      <c r="I15" s="164"/>
      <c r="J15" s="164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3018.1654871999999</v>
      </c>
    </row>
    <row r="16" spans="1:24" ht="32.25" customHeight="1" x14ac:dyDescent="0.2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3">
        <f t="shared" si="0"/>
        <v>351.59999999999997</v>
      </c>
      <c r="I16" s="164"/>
      <c r="J16" s="164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3772.7068589999994</v>
      </c>
    </row>
    <row r="17" spans="1:24" s="5" customFormat="1" ht="32.25" customHeight="1" x14ac:dyDescent="0.2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3">
        <f t="shared" si="0"/>
        <v>509.81999999999994</v>
      </c>
      <c r="I17" s="164"/>
      <c r="J17" s="164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2263.6241153999999</v>
      </c>
    </row>
    <row r="18" spans="1:24" ht="32.25" customHeight="1" x14ac:dyDescent="0.2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3">
        <f t="shared" si="0"/>
        <v>565.19699999989757</v>
      </c>
      <c r="I18" s="164"/>
      <c r="J18" s="164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2640.8948012999999</v>
      </c>
    </row>
    <row r="19" spans="1:24" ht="32.25" customHeight="1" x14ac:dyDescent="0.2">
      <c r="A19" s="2"/>
      <c r="B19" s="6">
        <v>44602</v>
      </c>
      <c r="C19" s="7"/>
      <c r="D19" s="143">
        <v>54</v>
      </c>
      <c r="E19" s="143">
        <v>79</v>
      </c>
      <c r="F19" s="13">
        <f>'Suivi EAU-ELEC'!E18</f>
        <v>55.700000000011642</v>
      </c>
      <c r="G19" s="12"/>
      <c r="H19" s="163">
        <f t="shared" si="0"/>
        <v>489.60300000010227</v>
      </c>
      <c r="I19" s="164"/>
      <c r="J19" s="164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>
        <f>'Suvi Gaz'!O13</f>
        <v>575.98577999999998</v>
      </c>
      <c r="W19" s="11"/>
      <c r="X19" s="34">
        <f t="shared" si="1"/>
        <v>6790.8723461999989</v>
      </c>
    </row>
    <row r="20" spans="1:24" ht="32.25" customHeight="1" x14ac:dyDescent="0.2">
      <c r="A20" s="2"/>
      <c r="B20" s="6">
        <v>44603</v>
      </c>
      <c r="C20" s="7"/>
      <c r="D20" s="143">
        <v>50</v>
      </c>
      <c r="E20" s="143">
        <v>81</v>
      </c>
      <c r="F20" s="13">
        <f>'Suivi EAU-ELEC'!E19</f>
        <v>60</v>
      </c>
      <c r="G20" s="12"/>
      <c r="H20" s="163">
        <f t="shared" si="0"/>
        <v>527.4</v>
      </c>
      <c r="I20" s="164"/>
      <c r="J20" s="164"/>
      <c r="K20" s="60">
        <v>42288</v>
      </c>
      <c r="L20" s="90">
        <f>'Suivi EAU-ELEC'!G19</f>
        <v>2528</v>
      </c>
      <c r="M20" s="91">
        <f>'Suivi EAU-ELEC'!I19</f>
        <v>3074</v>
      </c>
      <c r="N20" s="91">
        <f>'Suivi EAU-ELEC'!K19</f>
        <v>1441</v>
      </c>
      <c r="O20" s="91">
        <f t="shared" si="2"/>
        <v>7043</v>
      </c>
      <c r="P20" s="12"/>
      <c r="Q20" s="34">
        <f t="shared" si="3"/>
        <v>6607.518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4904.5189166999999</v>
      </c>
    </row>
    <row r="21" spans="1:24" ht="32.25" customHeight="1" x14ac:dyDescent="0.2">
      <c r="A21" s="2"/>
      <c r="B21" s="6">
        <v>44604</v>
      </c>
      <c r="C21" s="7"/>
      <c r="D21" s="143">
        <v>58</v>
      </c>
      <c r="E21" s="143">
        <v>96</v>
      </c>
      <c r="F21" s="13">
        <f>'Suivi EAU-ELEC'!E20</f>
        <v>54</v>
      </c>
      <c r="G21" s="12"/>
      <c r="H21" s="163">
        <f t="shared" si="0"/>
        <v>474.65999999999997</v>
      </c>
      <c r="I21" s="164"/>
      <c r="J21" s="164"/>
      <c r="K21" s="60">
        <v>42289</v>
      </c>
      <c r="L21" s="90">
        <f>'Suivi EAU-ELEC'!G20</f>
        <v>2512</v>
      </c>
      <c r="M21" s="91">
        <f>'Suivi EAU-ELEC'!I20</f>
        <v>3155</v>
      </c>
      <c r="N21" s="91">
        <f>'Suivi EAU-ELEC'!K20</f>
        <v>1494</v>
      </c>
      <c r="O21" s="91">
        <f>L21+M21+N21</f>
        <v>7161</v>
      </c>
      <c r="P21" s="12"/>
      <c r="Q21" s="34">
        <f t="shared" si="3"/>
        <v>6743.9166000000005</v>
      </c>
      <c r="R21" s="12"/>
      <c r="S21" s="28"/>
      <c r="T21" s="12"/>
      <c r="U21" s="28"/>
      <c r="V21" s="146">
        <f>'Suvi Gaz'!O15</f>
        <v>0</v>
      </c>
      <c r="W21" s="11"/>
      <c r="X21" s="34">
        <f t="shared" si="1"/>
        <v>0</v>
      </c>
    </row>
    <row r="22" spans="1:24" ht="32.25" customHeight="1" x14ac:dyDescent="0.2">
      <c r="A22" s="2"/>
      <c r="B22" s="6">
        <v>44605</v>
      </c>
      <c r="C22" s="7"/>
      <c r="D22" s="143">
        <v>72</v>
      </c>
      <c r="E22" s="143">
        <v>96</v>
      </c>
      <c r="F22" s="13">
        <f>'Suivi EAU-ELEC'!E21</f>
        <v>63</v>
      </c>
      <c r="G22" s="12"/>
      <c r="H22" s="163">
        <f t="shared" ref="H22:H35" si="4">F22*8.79</f>
        <v>553.77</v>
      </c>
      <c r="I22" s="164"/>
      <c r="J22" s="164"/>
      <c r="K22" s="60">
        <v>42290</v>
      </c>
      <c r="L22" s="90">
        <f>'Suivi EAU-ELEC'!G21</f>
        <v>2597</v>
      </c>
      <c r="M22" s="91">
        <f>'Suivi EAU-ELEC'!I21</f>
        <v>3261</v>
      </c>
      <c r="N22" s="91">
        <f>'Suivi EAU-ELEC'!K21</f>
        <v>1624</v>
      </c>
      <c r="O22" s="91">
        <f t="shared" si="2"/>
        <v>7482</v>
      </c>
      <c r="P22" s="12"/>
      <c r="Q22" s="34">
        <f t="shared" si="3"/>
        <v>7077.0895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1886.3534294999997</v>
      </c>
    </row>
    <row r="23" spans="1:24" ht="32.25" customHeight="1" x14ac:dyDescent="0.2">
      <c r="A23" s="2"/>
      <c r="B23" s="6">
        <v>44606</v>
      </c>
      <c r="C23" s="7"/>
      <c r="D23" s="143">
        <v>88</v>
      </c>
      <c r="E23" s="143">
        <v>125</v>
      </c>
      <c r="F23" s="13">
        <f>'Suivi EAU-ELEC'!E22</f>
        <v>75</v>
      </c>
      <c r="G23" s="14"/>
      <c r="H23" s="163">
        <f t="shared" si="4"/>
        <v>659.24999999999989</v>
      </c>
      <c r="I23" s="164"/>
      <c r="J23" s="164"/>
      <c r="K23" s="60">
        <v>42291</v>
      </c>
      <c r="L23" s="90">
        <f>'Suivi EAU-ELEC'!G22</f>
        <v>2617</v>
      </c>
      <c r="M23" s="91">
        <f>'Suivi EAU-ELEC'!I22</f>
        <v>3461</v>
      </c>
      <c r="N23" s="91">
        <f>'Suivi EAU-ELEC'!K22</f>
        <v>1703</v>
      </c>
      <c r="O23" s="91">
        <f>L23+M23+N23</f>
        <v>7781</v>
      </c>
      <c r="P23" s="12"/>
      <c r="Q23" s="34">
        <f>L23*0.6985+M23*0.9514+N23*1.3304</f>
        <v>7386.4411</v>
      </c>
      <c r="R23" s="12"/>
      <c r="S23" s="28"/>
      <c r="T23" s="14"/>
      <c r="U23" s="28"/>
      <c r="V23" s="146">
        <f>'Suvi Gaz'!O17</f>
        <v>671.98341000000005</v>
      </c>
      <c r="W23" s="11"/>
      <c r="X23" s="34">
        <f t="shared" si="1"/>
        <v>7922.6844038999998</v>
      </c>
    </row>
    <row r="24" spans="1:24" ht="32.25" customHeight="1" x14ac:dyDescent="0.2">
      <c r="A24" s="2"/>
      <c r="B24" s="6">
        <v>44607</v>
      </c>
      <c r="C24" s="7"/>
      <c r="D24" s="143">
        <v>79</v>
      </c>
      <c r="E24" s="143">
        <v>108</v>
      </c>
      <c r="F24" s="13">
        <f>'Suivi EAU-ELEC'!E23</f>
        <v>104</v>
      </c>
      <c r="G24" s="14"/>
      <c r="H24" s="163">
        <f t="shared" si="4"/>
        <v>914.15999999999985</v>
      </c>
      <c r="I24" s="164"/>
      <c r="J24" s="164"/>
      <c r="K24" s="60">
        <v>42292</v>
      </c>
      <c r="L24" s="90">
        <f>'Suivi EAU-ELEC'!G23</f>
        <v>2779</v>
      </c>
      <c r="M24" s="91">
        <f>'Suivi EAU-ELEC'!I23</f>
        <v>3882</v>
      </c>
      <c r="N24" s="91">
        <f>'Suivi EAU-ELEC'!K23</f>
        <v>1764</v>
      </c>
      <c r="O24" s="91">
        <f>L24+M24+N24</f>
        <v>8425</v>
      </c>
      <c r="P24" s="12"/>
      <c r="Q24" s="34">
        <f>L24*0.6985+M24*0.9514+N24*1.3304</f>
        <v>7981.2919000000002</v>
      </c>
      <c r="R24" s="12"/>
      <c r="S24" s="28"/>
      <c r="T24" s="14"/>
      <c r="U24" s="28"/>
      <c r="V24" s="146">
        <f>'Suvi Gaz'!O18</f>
        <v>351.99131</v>
      </c>
      <c r="W24" s="11"/>
      <c r="X24" s="34">
        <f t="shared" si="1"/>
        <v>4149.9775448999999</v>
      </c>
    </row>
    <row r="25" spans="1:24" ht="32.25" customHeight="1" x14ac:dyDescent="0.2">
      <c r="A25" s="2"/>
      <c r="B25" s="6">
        <v>44608</v>
      </c>
      <c r="C25" s="7"/>
      <c r="D25" s="143">
        <v>106</v>
      </c>
      <c r="E25" s="143">
        <v>142</v>
      </c>
      <c r="F25" s="13">
        <f>'Suivi EAU-ELEC'!E24</f>
        <v>82</v>
      </c>
      <c r="G25" s="14"/>
      <c r="H25" s="163">
        <f t="shared" si="4"/>
        <v>720.78</v>
      </c>
      <c r="I25" s="164"/>
      <c r="J25" s="164"/>
      <c r="K25" s="60">
        <v>42293</v>
      </c>
      <c r="L25" s="90">
        <f>'Suivi EAU-ELEC'!G24</f>
        <v>3179</v>
      </c>
      <c r="M25" s="91">
        <f>'Suivi EAU-ELEC'!I24</f>
        <v>3741</v>
      </c>
      <c r="N25" s="91">
        <f>'Suivi EAU-ELEC'!K24</f>
        <v>2181</v>
      </c>
      <c r="O25" s="91">
        <f>L25+M25+N25</f>
        <v>9101</v>
      </c>
      <c r="P25" s="12"/>
      <c r="Q25" s="34">
        <f>L25*0.6985+M25*0.9514+N25*1.3304</f>
        <v>8681.3212999999996</v>
      </c>
      <c r="R25" s="12"/>
      <c r="S25" s="28"/>
      <c r="T25" s="14"/>
      <c r="U25" s="28"/>
      <c r="V25" s="146">
        <f>'Suvi Gaz'!O19</f>
        <v>831.97946000000002</v>
      </c>
      <c r="W25" s="11"/>
      <c r="X25" s="34">
        <f t="shared" si="1"/>
        <v>9809.0378333999997</v>
      </c>
    </row>
    <row r="26" spans="1:24" ht="32.25" customHeight="1" x14ac:dyDescent="0.2">
      <c r="A26" s="2"/>
      <c r="B26" s="6">
        <v>44609</v>
      </c>
      <c r="C26" s="7"/>
      <c r="D26" s="143">
        <v>94</v>
      </c>
      <c r="E26" s="143">
        <v>133</v>
      </c>
      <c r="F26" s="13">
        <f>'Suivi EAU-ELEC'!E25</f>
        <v>94.399999999994179</v>
      </c>
      <c r="G26" s="14"/>
      <c r="H26" s="163">
        <f t="shared" si="4"/>
        <v>829.77599999994879</v>
      </c>
      <c r="I26" s="164"/>
      <c r="J26" s="164"/>
      <c r="K26" s="60">
        <v>42294</v>
      </c>
      <c r="L26" s="90">
        <f>'Suivi EAU-ELEC'!G25</f>
        <v>2496</v>
      </c>
      <c r="M26" s="91">
        <f>'Suivi EAU-ELEC'!I25</f>
        <v>4321</v>
      </c>
      <c r="N26" s="91">
        <f>'Suivi EAU-ELEC'!K25</f>
        <v>1958</v>
      </c>
      <c r="O26" s="91">
        <f>L26+M26+N26</f>
        <v>8775</v>
      </c>
      <c r="P26" s="14"/>
      <c r="Q26" s="34">
        <f>L26*0.6985+M26*0.9514+N26*1.3304</f>
        <v>8459.3786</v>
      </c>
      <c r="R26" s="14"/>
      <c r="S26" s="28"/>
      <c r="T26" s="14"/>
      <c r="U26" s="28"/>
      <c r="V26" s="146">
        <f>'Suvi Gaz'!O20</f>
        <v>575.98577999999998</v>
      </c>
      <c r="W26" s="11"/>
      <c r="X26" s="34">
        <f t="shared" si="1"/>
        <v>6790.8723461999989</v>
      </c>
    </row>
    <row r="27" spans="1:24" ht="32.25" customHeight="1" x14ac:dyDescent="0.2">
      <c r="A27" s="2"/>
      <c r="B27" s="6">
        <v>44610</v>
      </c>
      <c r="C27" s="7"/>
      <c r="D27" s="143">
        <v>114</v>
      </c>
      <c r="E27" s="143">
        <v>183</v>
      </c>
      <c r="F27" s="13">
        <f>'Suivi EAU-ELEC'!E26</f>
        <v>97</v>
      </c>
      <c r="G27" s="14"/>
      <c r="H27" s="163">
        <f t="shared" si="4"/>
        <v>852.62999999999988</v>
      </c>
      <c r="I27" s="164"/>
      <c r="J27" s="164"/>
      <c r="K27" s="60">
        <v>42295</v>
      </c>
      <c r="L27" s="90">
        <f>'Suivi EAU-ELEC'!G26</f>
        <v>3144</v>
      </c>
      <c r="M27" s="91">
        <f>'Suivi EAU-ELEC'!I26</f>
        <v>4184</v>
      </c>
      <c r="N27" s="91">
        <f>'Suivi EAU-ELEC'!K26</f>
        <v>2150</v>
      </c>
      <c r="O27" s="91">
        <f t="shared" si="2"/>
        <v>9478</v>
      </c>
      <c r="P27" s="14"/>
      <c r="Q27" s="34">
        <f t="shared" si="3"/>
        <v>9037.1016</v>
      </c>
      <c r="R27" s="14"/>
      <c r="S27" s="28"/>
      <c r="T27" s="14"/>
      <c r="U27" s="28"/>
      <c r="V27" s="146">
        <f>'Suvi Gaz'!O21</f>
        <v>575.98577999999998</v>
      </c>
      <c r="W27" s="11"/>
      <c r="X27" s="34">
        <f t="shared" si="1"/>
        <v>6790.8723461999989</v>
      </c>
    </row>
    <row r="28" spans="1:24" ht="32.25" customHeight="1" x14ac:dyDescent="0.2">
      <c r="A28" s="2"/>
      <c r="B28" s="6">
        <v>44611</v>
      </c>
      <c r="C28" s="7"/>
      <c r="D28" s="143">
        <v>84</v>
      </c>
      <c r="E28" s="143">
        <v>144</v>
      </c>
      <c r="F28" s="13">
        <f>'Suivi EAU-ELEC'!E27</f>
        <v>109.60000000000582</v>
      </c>
      <c r="G28" s="11"/>
      <c r="H28" s="163">
        <f t="shared" si="4"/>
        <v>963.38400000005106</v>
      </c>
      <c r="I28" s="164"/>
      <c r="J28" s="164"/>
      <c r="K28" s="60">
        <v>42296</v>
      </c>
      <c r="L28" s="90">
        <f>'Suivi EAU-ELEC'!G27</f>
        <v>3395</v>
      </c>
      <c r="M28" s="91">
        <f>'Suivi EAU-ELEC'!I27</f>
        <v>4118</v>
      </c>
      <c r="N28" s="91">
        <f>'Suivi EAU-ELEC'!K27</f>
        <v>2000</v>
      </c>
      <c r="O28" s="91">
        <f t="shared" si="2"/>
        <v>9513</v>
      </c>
      <c r="P28" s="11"/>
      <c r="Q28" s="34">
        <f>L28*0.6985+M28*0.9514+N28*1.3304</f>
        <v>8950.0727000000006</v>
      </c>
      <c r="R28" s="11"/>
      <c r="S28" s="28"/>
      <c r="T28" s="11"/>
      <c r="U28" s="28"/>
      <c r="V28" s="146">
        <f>'Suvi Gaz'!O22</f>
        <v>575.98577999999998</v>
      </c>
      <c r="W28" s="11"/>
      <c r="X28" s="34">
        <f t="shared" si="1"/>
        <v>6790.8723461999989</v>
      </c>
    </row>
    <row r="29" spans="1:24" ht="32.25" customHeight="1" x14ac:dyDescent="0.2">
      <c r="A29" s="2"/>
      <c r="B29" s="6">
        <v>44612</v>
      </c>
      <c r="C29" s="7"/>
      <c r="D29" s="143">
        <v>74</v>
      </c>
      <c r="E29" s="143">
        <v>108</v>
      </c>
      <c r="F29" s="13">
        <f>'Suivi EAU-ELEC'!E28</f>
        <v>92</v>
      </c>
      <c r="G29" s="11"/>
      <c r="H29" s="163">
        <f t="shared" si="4"/>
        <v>808.68</v>
      </c>
      <c r="I29" s="164"/>
      <c r="J29" s="164"/>
      <c r="K29" s="60">
        <v>42297</v>
      </c>
      <c r="L29" s="90">
        <f>'Suivi EAU-ELEC'!G28</f>
        <v>2938</v>
      </c>
      <c r="M29" s="91">
        <f>'Suivi EAU-ELEC'!I28</f>
        <v>4005</v>
      </c>
      <c r="N29" s="91">
        <f>'Suivi EAU-ELEC'!K28</f>
        <v>1974</v>
      </c>
      <c r="O29" s="91">
        <f>L29+M29+N29</f>
        <v>8917</v>
      </c>
      <c r="P29" s="11"/>
      <c r="Q29" s="34">
        <f t="shared" si="3"/>
        <v>8488.7596000000012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6790.8723461999989</v>
      </c>
    </row>
    <row r="30" spans="1:24" ht="32.25" customHeight="1" x14ac:dyDescent="0.2">
      <c r="A30" s="2"/>
      <c r="B30" s="6">
        <v>44613</v>
      </c>
      <c r="C30" s="7"/>
      <c r="D30" s="143">
        <v>75</v>
      </c>
      <c r="E30" s="143">
        <v>103</v>
      </c>
      <c r="F30" s="13">
        <f>'Suivi EAU-ELEC'!E29</f>
        <v>91</v>
      </c>
      <c r="G30" s="11"/>
      <c r="H30" s="163">
        <f t="shared" si="4"/>
        <v>799.88999999999987</v>
      </c>
      <c r="I30" s="164"/>
      <c r="J30" s="164"/>
      <c r="K30" s="60">
        <v>42298</v>
      </c>
      <c r="L30" s="90">
        <f>'Suivi EAU-ELEC'!G29</f>
        <v>3011</v>
      </c>
      <c r="M30" s="91">
        <f>'Suivi EAU-ELEC'!I29</f>
        <v>3960</v>
      </c>
      <c r="N30" s="91">
        <f>'Suivi EAU-ELEC'!K29</f>
        <v>1980</v>
      </c>
      <c r="O30" s="91">
        <f>L30+M30+N30</f>
        <v>8951</v>
      </c>
      <c r="P30" s="11"/>
      <c r="Q30" s="34">
        <f>L30*0.6985+M30*0.9514+N30*1.3304</f>
        <v>8504.9195</v>
      </c>
      <c r="R30" s="11"/>
      <c r="S30" s="28"/>
      <c r="T30" s="11"/>
      <c r="U30" s="28"/>
      <c r="V30" s="146">
        <f>'Suvi Gaz'!O24</f>
        <v>63.998420000000003</v>
      </c>
      <c r="W30" s="11"/>
      <c r="X30" s="34">
        <f t="shared" si="1"/>
        <v>754.54137179999998</v>
      </c>
    </row>
    <row r="31" spans="1:24" ht="27.75" customHeight="1" x14ac:dyDescent="0.2">
      <c r="A31" s="2"/>
      <c r="B31" s="6">
        <v>44614</v>
      </c>
      <c r="C31" s="7"/>
      <c r="D31" s="143">
        <v>107</v>
      </c>
      <c r="E31" s="143">
        <v>142</v>
      </c>
      <c r="F31" s="13">
        <f>'Suivi EAU-ELEC'!E30</f>
        <v>81</v>
      </c>
      <c r="G31" s="11"/>
      <c r="H31" s="163">
        <f t="shared" si="4"/>
        <v>711.9899999999999</v>
      </c>
      <c r="I31" s="164"/>
      <c r="J31" s="164"/>
      <c r="K31" s="60">
        <v>42299</v>
      </c>
      <c r="L31" s="90">
        <f>'Suivi EAU-ELEC'!G30</f>
        <v>2858</v>
      </c>
      <c r="M31" s="91">
        <f>'Suivi EAU-ELEC'!I30</f>
        <v>3772</v>
      </c>
      <c r="N31" s="91">
        <f>'Suivi EAU-ELEC'!K30</f>
        <v>1806</v>
      </c>
      <c r="O31" s="91">
        <f>L31+M31+N31</f>
        <v>8436</v>
      </c>
      <c r="P31" s="11"/>
      <c r="Q31" s="34">
        <f>L31*0.6985+M31*0.9514+N31*1.3304</f>
        <v>7987.6962000000003</v>
      </c>
      <c r="R31" s="11"/>
      <c r="S31" s="28"/>
      <c r="T31" s="11"/>
      <c r="U31" s="28"/>
      <c r="V31" s="146">
        <f>'Suvi Gaz'!O25</f>
        <v>575.98577999999998</v>
      </c>
      <c r="W31" s="11"/>
      <c r="X31" s="34">
        <f t="shared" si="1"/>
        <v>6790.8723461999989</v>
      </c>
    </row>
    <row r="32" spans="1:24" ht="37.5" customHeight="1" x14ac:dyDescent="0.2">
      <c r="A32" s="2"/>
      <c r="B32" s="6">
        <v>44615</v>
      </c>
      <c r="C32" s="7"/>
      <c r="D32" s="143">
        <v>107</v>
      </c>
      <c r="E32" s="143">
        <v>150</v>
      </c>
      <c r="F32" s="13">
        <f>'Suivi EAU-ELEC'!E31</f>
        <v>79.5</v>
      </c>
      <c r="G32" s="11"/>
      <c r="H32" s="163">
        <f t="shared" si="4"/>
        <v>698.80499999999995</v>
      </c>
      <c r="I32" s="164"/>
      <c r="J32" s="164"/>
      <c r="K32" s="60">
        <v>42300</v>
      </c>
      <c r="L32" s="90">
        <f>'Suivi EAU-ELEC'!G31</f>
        <v>2917</v>
      </c>
      <c r="M32" s="91">
        <f>'Suivi EAU-ELEC'!I31</f>
        <v>4233</v>
      </c>
      <c r="N32" s="91">
        <f>'Suivi EAU-ELEC'!K31</f>
        <v>2059</v>
      </c>
      <c r="O32" s="91">
        <f t="shared" si="2"/>
        <v>9209</v>
      </c>
      <c r="P32" s="11"/>
      <c r="Q32" s="34">
        <f t="shared" si="3"/>
        <v>8804.0943000000007</v>
      </c>
      <c r="R32" s="11"/>
      <c r="S32" s="28"/>
      <c r="T32" s="11"/>
      <c r="U32" s="28"/>
      <c r="V32" s="146">
        <f>'Suvi Gaz'!O26</f>
        <v>607.98499000000004</v>
      </c>
      <c r="W32" s="11"/>
      <c r="X32" s="34">
        <f t="shared" si="1"/>
        <v>7168.1430320999998</v>
      </c>
    </row>
    <row r="33" spans="1:24" ht="37.5" customHeight="1" x14ac:dyDescent="0.2">
      <c r="A33" s="2"/>
      <c r="B33" s="6">
        <v>44616</v>
      </c>
      <c r="C33" s="7"/>
      <c r="D33" s="143">
        <v>102</v>
      </c>
      <c r="E33" s="143">
        <v>151</v>
      </c>
      <c r="F33" s="13">
        <f>'Suivi EAU-ELEC'!E32</f>
        <v>89.5</v>
      </c>
      <c r="G33" s="11"/>
      <c r="H33" s="163">
        <f t="shared" si="4"/>
        <v>786.70499999999993</v>
      </c>
      <c r="I33" s="164"/>
      <c r="J33" s="164"/>
      <c r="K33" s="60">
        <v>42301</v>
      </c>
      <c r="L33" s="90">
        <f>'Suivi EAU-ELEC'!G32</f>
        <v>3246</v>
      </c>
      <c r="M33" s="91">
        <f>'Suivi EAU-ELEC'!I32</f>
        <v>4582</v>
      </c>
      <c r="N33" s="91">
        <f>'Suivi EAU-ELEC'!K32</f>
        <v>2104</v>
      </c>
      <c r="O33" s="91">
        <f t="shared" si="2"/>
        <v>9932</v>
      </c>
      <c r="P33" s="11"/>
      <c r="Q33" s="34">
        <f t="shared" si="3"/>
        <v>9425.8073999999997</v>
      </c>
      <c r="R33" s="11"/>
      <c r="S33" s="28"/>
      <c r="T33" s="11"/>
      <c r="U33" s="28"/>
      <c r="V33" s="146">
        <f>'Suvi Gaz'!O27</f>
        <v>383.99052</v>
      </c>
      <c r="W33" s="11"/>
      <c r="X33" s="34">
        <f t="shared" si="1"/>
        <v>4527.2482307999999</v>
      </c>
    </row>
    <row r="34" spans="1:24" ht="37.5" customHeight="1" x14ac:dyDescent="0.2">
      <c r="A34" s="2"/>
      <c r="B34" s="6">
        <v>44617</v>
      </c>
      <c r="C34" s="7"/>
      <c r="D34" s="143">
        <v>100</v>
      </c>
      <c r="E34" s="143">
        <v>164</v>
      </c>
      <c r="F34" s="13">
        <f>'Suivi EAU-ELEC'!E33</f>
        <v>95</v>
      </c>
      <c r="G34" s="11"/>
      <c r="H34" s="163">
        <f t="shared" si="4"/>
        <v>835.05</v>
      </c>
      <c r="I34" s="164"/>
      <c r="J34" s="164"/>
      <c r="K34" s="60">
        <v>42302</v>
      </c>
      <c r="L34" s="90">
        <f>'Suivi EAU-ELEC'!G33</f>
        <v>2883</v>
      </c>
      <c r="M34" s="91">
        <f>'Suivi EAU-ELEC'!I33</f>
        <v>4803</v>
      </c>
      <c r="N34" s="91">
        <f>'Suivi EAU-ELEC'!K33</f>
        <v>2210</v>
      </c>
      <c r="O34" s="91">
        <f t="shared" si="2"/>
        <v>9896</v>
      </c>
      <c r="P34" s="11"/>
      <c r="Q34" s="34">
        <f t="shared" si="3"/>
        <v>9523.5337</v>
      </c>
      <c r="R34" s="11"/>
      <c r="S34" s="28"/>
      <c r="T34" s="11"/>
      <c r="U34" s="28"/>
      <c r="V34" s="146">
        <f>'Suvi Gaz'!O28</f>
        <v>863.97867000000008</v>
      </c>
      <c r="W34" s="11"/>
      <c r="X34" s="34">
        <f t="shared" si="1"/>
        <v>10186.308519300001</v>
      </c>
    </row>
    <row r="35" spans="1:24" ht="33.75" customHeight="1" x14ac:dyDescent="0.2">
      <c r="A35" s="2"/>
      <c r="B35" s="6">
        <v>44618</v>
      </c>
      <c r="C35" s="7"/>
      <c r="D35" s="143">
        <v>103</v>
      </c>
      <c r="E35" s="143">
        <v>180</v>
      </c>
      <c r="F35" s="13">
        <f>'Suivi EAU-ELEC'!E34</f>
        <v>104</v>
      </c>
      <c r="G35" s="11"/>
      <c r="H35" s="163">
        <f t="shared" si="4"/>
        <v>914.15999999999985</v>
      </c>
      <c r="I35" s="164"/>
      <c r="J35" s="164"/>
      <c r="K35" s="60">
        <v>42303</v>
      </c>
      <c r="L35" s="90">
        <f>'Suivi EAU-ELEC'!G34</f>
        <v>3513</v>
      </c>
      <c r="M35" s="91">
        <f>'Suivi EAU-ELEC'!I34</f>
        <v>4224</v>
      </c>
      <c r="N35" s="91">
        <f>'Suivi EAU-ELEC'!K34</f>
        <v>2051</v>
      </c>
      <c r="O35" s="91">
        <f t="shared" si="2"/>
        <v>9788</v>
      </c>
      <c r="P35" s="11"/>
      <c r="Q35" s="34">
        <f t="shared" si="3"/>
        <v>9201.1944999999996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1509.0827436</v>
      </c>
    </row>
    <row r="36" spans="1:24" ht="33.75" customHeight="1" x14ac:dyDescent="0.2">
      <c r="A36" s="2"/>
      <c r="B36" s="6">
        <v>44619</v>
      </c>
      <c r="C36" s="7"/>
      <c r="D36" s="143">
        <v>138</v>
      </c>
      <c r="E36" s="143">
        <v>207</v>
      </c>
      <c r="F36" s="13">
        <f>'Suivi EAU-ELEC'!E35</f>
        <v>103</v>
      </c>
      <c r="G36" s="11"/>
      <c r="H36" s="163">
        <f>F36*8.79</f>
        <v>905.36999999999989</v>
      </c>
      <c r="I36" s="164"/>
      <c r="J36" s="164"/>
      <c r="K36" s="60">
        <v>42304</v>
      </c>
      <c r="L36" s="90">
        <f>'Suivi EAU-ELEC'!G35</f>
        <v>3134</v>
      </c>
      <c r="M36" s="91">
        <f>'Suivi EAU-ELEC'!I35</f>
        <v>4358</v>
      </c>
      <c r="N36" s="91">
        <f>'Suivi EAU-ELEC'!K35</f>
        <v>2282</v>
      </c>
      <c r="O36" s="91">
        <f t="shared" si="2"/>
        <v>9774</v>
      </c>
      <c r="P36" s="11"/>
      <c r="Q36" s="34">
        <f t="shared" si="3"/>
        <v>9371.273000000001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1"/>
        <v>6790.8723461999989</v>
      </c>
    </row>
    <row r="37" spans="1:24" ht="33.75" customHeight="1" x14ac:dyDescent="0.2">
      <c r="A37" s="2"/>
      <c r="B37" s="6">
        <v>44620</v>
      </c>
      <c r="C37" s="7"/>
      <c r="D37" s="143">
        <v>123</v>
      </c>
      <c r="E37" s="143">
        <v>172</v>
      </c>
      <c r="F37" s="13">
        <f>'Suivi EAU-ELEC'!E36</f>
        <v>110</v>
      </c>
      <c r="G37" s="11"/>
      <c r="H37" s="163">
        <f t="shared" ref="H37" si="5">F37*8.79</f>
        <v>966.89999999999986</v>
      </c>
      <c r="I37" s="164"/>
      <c r="J37" s="164"/>
      <c r="K37" s="60"/>
      <c r="L37" s="90">
        <f>'Suivi EAU-ELEC'!G36</f>
        <v>3733</v>
      </c>
      <c r="M37" s="91">
        <f>'Suivi EAU-ELEC'!I36</f>
        <v>5743</v>
      </c>
      <c r="N37" s="91">
        <f>'Suivi EAU-ELEC'!K36</f>
        <v>2917</v>
      </c>
      <c r="O37" s="91">
        <f t="shared" si="2"/>
        <v>12393</v>
      </c>
      <c r="P37" s="11"/>
      <c r="Q37" s="34">
        <f t="shared" si="3"/>
        <v>11952.1675</v>
      </c>
      <c r="R37" s="11"/>
      <c r="S37" s="28"/>
      <c r="T37" s="11"/>
      <c r="U37" s="28"/>
      <c r="V37" s="146">
        <f>'Suvi Gaz'!O31</f>
        <v>383.99052</v>
      </c>
      <c r="W37" s="11"/>
      <c r="X37" s="34">
        <f t="shared" si="1"/>
        <v>4527.2482307999999</v>
      </c>
    </row>
    <row r="38" spans="1:24" ht="42.75" customHeight="1" x14ac:dyDescent="0.2">
      <c r="A38" s="2"/>
      <c r="B38" s="10"/>
      <c r="C38" s="10"/>
      <c r="D38" s="8">
        <f>SUM(D10:D37)</f>
        <v>1925</v>
      </c>
      <c r="E38" s="8">
        <f>SUM(E10:E37)</f>
        <v>2858</v>
      </c>
      <c r="F38" s="151">
        <f>SUM(F10:F37)</f>
        <v>2168</v>
      </c>
      <c r="G38" s="1"/>
      <c r="H38" s="244">
        <f>SUM(H10:H37)</f>
        <v>19056.719999999998</v>
      </c>
      <c r="I38" s="245"/>
      <c r="J38" s="246"/>
      <c r="K38" s="1"/>
      <c r="L38" s="53">
        <f>SUM(L10:L37)</f>
        <v>76570</v>
      </c>
      <c r="M38" s="53">
        <f>SUM(M10:M37)</f>
        <v>101929</v>
      </c>
      <c r="N38" s="54">
        <f>SUM(N10:N37)</f>
        <v>49557</v>
      </c>
      <c r="O38" s="55">
        <f>SUM(O10:O37)</f>
        <v>228056</v>
      </c>
      <c r="P38" s="31"/>
      <c r="Q38" s="32">
        <f>SUM(Q10:Q37)</f>
        <v>216561.65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11007.72824</v>
      </c>
      <c r="W38" s="31"/>
      <c r="X38" s="32">
        <f>SUM(X10:X37)</f>
        <v>129781.11594960003</v>
      </c>
    </row>
    <row r="39" spans="1:24" s="5" customFormat="1" ht="12.75" customHeight="1" x14ac:dyDescent="0.2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 x14ac:dyDescent="0.25">
      <c r="A40" s="199" t="s">
        <v>33</v>
      </c>
      <c r="B40" s="200"/>
      <c r="C40" s="200"/>
      <c r="D40" s="200"/>
      <c r="E40" s="200"/>
      <c r="F40" s="201"/>
      <c r="G40" s="26"/>
      <c r="H40" s="27" t="s">
        <v>34</v>
      </c>
      <c r="I40" s="238" t="s">
        <v>35</v>
      </c>
      <c r="J40" s="239"/>
      <c r="K40" s="240"/>
      <c r="L40" s="213" t="s">
        <v>36</v>
      </c>
      <c r="M40" s="214"/>
      <c r="N40" s="199" t="s">
        <v>37</v>
      </c>
      <c r="O40" s="200"/>
      <c r="P40" s="200"/>
      <c r="Q40" s="200"/>
      <c r="R40" s="200"/>
      <c r="S40" s="200"/>
      <c r="T40" s="200"/>
      <c r="U40" s="200"/>
      <c r="V40" s="200"/>
      <c r="W40" s="200"/>
      <c r="X40" s="201"/>
    </row>
    <row r="41" spans="1:24" s="18" customFormat="1" ht="29.25" customHeight="1" thickBot="1" x14ac:dyDescent="0.25">
      <c r="A41" s="207" t="s">
        <v>38</v>
      </c>
      <c r="B41" s="208"/>
      <c r="C41" s="209"/>
      <c r="D41" s="154" t="s">
        <v>30</v>
      </c>
      <c r="E41" s="154" t="s">
        <v>30</v>
      </c>
      <c r="F41" s="154" t="s">
        <v>30</v>
      </c>
      <c r="G41" s="16"/>
      <c r="H41" s="17">
        <v>0.69850000000000001</v>
      </c>
      <c r="I41" s="204">
        <f>L38</f>
        <v>76570</v>
      </c>
      <c r="J41" s="205"/>
      <c r="K41" s="206"/>
      <c r="L41" s="165">
        <f>I41*H41</f>
        <v>53484.145000000004</v>
      </c>
      <c r="M41" s="166"/>
      <c r="N41" s="222">
        <f>L41+L42+L43</f>
        <v>216390.02840000001</v>
      </c>
      <c r="O41" s="223"/>
      <c r="P41" s="223"/>
      <c r="Q41" s="223"/>
      <c r="R41" s="223"/>
      <c r="S41" s="223"/>
      <c r="T41" s="223"/>
      <c r="U41" s="223"/>
      <c r="V41" s="223"/>
      <c r="W41" s="223"/>
      <c r="X41" s="224"/>
    </row>
    <row r="42" spans="1:24" s="18" customFormat="1" ht="29.25" customHeight="1" thickBot="1" x14ac:dyDescent="0.25">
      <c r="A42" s="210"/>
      <c r="B42" s="211"/>
      <c r="C42" s="212"/>
      <c r="D42" s="153" t="s">
        <v>31</v>
      </c>
      <c r="E42" s="153" t="s">
        <v>31</v>
      </c>
      <c r="F42" s="153" t="s">
        <v>31</v>
      </c>
      <c r="G42" s="16"/>
      <c r="H42" s="19">
        <v>0.95140000000000002</v>
      </c>
      <c r="I42" s="204">
        <f>M38</f>
        <v>101929</v>
      </c>
      <c r="J42" s="205"/>
      <c r="K42" s="206"/>
      <c r="L42" s="165">
        <f>I42*H42</f>
        <v>96975.250599999999</v>
      </c>
      <c r="M42" s="166"/>
      <c r="N42" s="225"/>
      <c r="O42" s="226"/>
      <c r="P42" s="226"/>
      <c r="Q42" s="226"/>
      <c r="R42" s="226"/>
      <c r="S42" s="226"/>
      <c r="T42" s="226"/>
      <c r="U42" s="226"/>
      <c r="V42" s="226"/>
      <c r="W42" s="226"/>
      <c r="X42" s="227"/>
    </row>
    <row r="43" spans="1:24" s="18" customFormat="1" ht="24.75" customHeight="1" thickBot="1" x14ac:dyDescent="0.25">
      <c r="A43" s="210"/>
      <c r="B43" s="211"/>
      <c r="C43" s="212"/>
      <c r="D43" s="155" t="s">
        <v>32</v>
      </c>
      <c r="E43" s="155" t="s">
        <v>32</v>
      </c>
      <c r="F43" s="155" t="s">
        <v>32</v>
      </c>
      <c r="G43" s="20"/>
      <c r="H43" s="20">
        <v>1.3304</v>
      </c>
      <c r="I43" s="235">
        <f>N38</f>
        <v>49557</v>
      </c>
      <c r="J43" s="236"/>
      <c r="K43" s="237"/>
      <c r="L43" s="165">
        <f>I43*H43</f>
        <v>65930.632800000007</v>
      </c>
      <c r="M43" s="166"/>
      <c r="N43" s="228"/>
      <c r="O43" s="229"/>
      <c r="P43" s="229"/>
      <c r="Q43" s="229"/>
      <c r="R43" s="229"/>
      <c r="S43" s="229"/>
      <c r="T43" s="229"/>
      <c r="U43" s="229"/>
      <c r="V43" s="229"/>
      <c r="W43" s="229"/>
      <c r="X43" s="230"/>
    </row>
    <row r="44" spans="1:24" s="18" customFormat="1" ht="43.5" customHeight="1" thickBot="1" x14ac:dyDescent="0.25">
      <c r="A44" s="161"/>
      <c r="B44" s="162"/>
      <c r="C44" s="162"/>
      <c r="D44" s="204" t="s">
        <v>126</v>
      </c>
      <c r="E44" s="432"/>
      <c r="F44" s="433"/>
      <c r="G44" s="16"/>
      <c r="H44" s="19">
        <v>1000</v>
      </c>
      <c r="I44" s="204">
        <v>43.88167</v>
      </c>
      <c r="J44" s="432"/>
      <c r="K44" s="160"/>
      <c r="L44" s="434">
        <f>H44*I44</f>
        <v>43881.67</v>
      </c>
      <c r="M44" s="435"/>
      <c r="N44" s="241">
        <f>L44</f>
        <v>43881.67</v>
      </c>
      <c r="O44" s="242"/>
      <c r="P44" s="242"/>
      <c r="Q44" s="242"/>
      <c r="R44" s="242"/>
      <c r="S44" s="242"/>
      <c r="T44" s="242"/>
      <c r="U44" s="242"/>
      <c r="V44" s="242"/>
      <c r="W44" s="242"/>
      <c r="X44" s="243"/>
    </row>
    <row r="45" spans="1:24" s="18" customFormat="1" ht="43.5" customHeight="1" thickBot="1" x14ac:dyDescent="0.25">
      <c r="A45" s="161"/>
      <c r="B45" s="162"/>
      <c r="C45" s="162"/>
      <c r="D45" s="204" t="s">
        <v>127</v>
      </c>
      <c r="E45" s="432"/>
      <c r="F45" s="433"/>
      <c r="G45" s="16"/>
      <c r="H45" s="436"/>
      <c r="I45" s="204">
        <v>65.822505000000007</v>
      </c>
      <c r="J45" s="432"/>
      <c r="K45" s="433"/>
      <c r="L45" s="165">
        <f>I45*H45</f>
        <v>0</v>
      </c>
      <c r="M45" s="433"/>
      <c r="N45" s="241">
        <f t="shared" ref="N45:N47" si="6">L45</f>
        <v>0</v>
      </c>
      <c r="O45" s="242"/>
      <c r="P45" s="242"/>
      <c r="Q45" s="242"/>
      <c r="R45" s="242"/>
      <c r="S45" s="242"/>
      <c r="T45" s="242"/>
      <c r="U45" s="242"/>
      <c r="V45" s="242"/>
      <c r="W45" s="242"/>
      <c r="X45" s="243"/>
    </row>
    <row r="46" spans="1:24" s="18" customFormat="1" ht="43.5" customHeight="1" thickBot="1" x14ac:dyDescent="0.25">
      <c r="A46" s="161"/>
      <c r="B46" s="162"/>
      <c r="C46" s="162"/>
      <c r="D46" s="204" t="s">
        <v>128</v>
      </c>
      <c r="E46" s="432"/>
      <c r="F46" s="433"/>
      <c r="G46" s="16"/>
      <c r="H46" s="19"/>
      <c r="I46" s="204">
        <v>841</v>
      </c>
      <c r="J46" s="432"/>
      <c r="K46" s="433"/>
      <c r="L46" s="165">
        <v>841</v>
      </c>
      <c r="M46" s="433"/>
      <c r="N46" s="241">
        <f t="shared" si="6"/>
        <v>841</v>
      </c>
      <c r="O46" s="242"/>
      <c r="P46" s="242"/>
      <c r="Q46" s="242"/>
      <c r="R46" s="242"/>
      <c r="S46" s="242"/>
      <c r="T46" s="242"/>
      <c r="U46" s="242"/>
      <c r="V46" s="242"/>
      <c r="W46" s="242"/>
      <c r="X46" s="243"/>
    </row>
    <row r="47" spans="1:24" s="18" customFormat="1" ht="43.5" customHeight="1" thickBot="1" x14ac:dyDescent="0.25">
      <c r="A47" s="161"/>
      <c r="B47" s="162"/>
      <c r="C47" s="162"/>
      <c r="D47" s="204" t="s">
        <v>129</v>
      </c>
      <c r="E47" s="432"/>
      <c r="F47" s="433"/>
      <c r="G47" s="16"/>
      <c r="H47" s="19"/>
      <c r="I47" s="204">
        <v>1492</v>
      </c>
      <c r="J47" s="432"/>
      <c r="K47" s="433"/>
      <c r="L47" s="165">
        <v>1492</v>
      </c>
      <c r="M47" s="433"/>
      <c r="N47" s="241">
        <f t="shared" si="6"/>
        <v>1492</v>
      </c>
      <c r="O47" s="242"/>
      <c r="P47" s="242"/>
      <c r="Q47" s="242"/>
      <c r="R47" s="242"/>
      <c r="S47" s="242"/>
      <c r="T47" s="242"/>
      <c r="U47" s="242"/>
      <c r="V47" s="242"/>
      <c r="W47" s="242"/>
      <c r="X47" s="243"/>
    </row>
    <row r="48" spans="1:24" s="18" customFormat="1" ht="43.5" customHeight="1" thickBot="1" x14ac:dyDescent="0.25">
      <c r="A48" s="161"/>
      <c r="B48" s="162"/>
      <c r="C48" s="162"/>
      <c r="D48" s="210" t="s">
        <v>187</v>
      </c>
      <c r="E48" s="437"/>
      <c r="F48" s="437"/>
      <c r="G48" s="437"/>
      <c r="H48" s="437"/>
      <c r="I48" s="437"/>
      <c r="J48" s="437"/>
      <c r="K48" s="437"/>
      <c r="L48" s="437"/>
      <c r="M48" s="438"/>
      <c r="N48" s="241">
        <f>N41+N44+N45+N46+N47</f>
        <v>262604.69839999999</v>
      </c>
      <c r="O48" s="242"/>
      <c r="P48" s="242"/>
      <c r="Q48" s="242"/>
      <c r="R48" s="242"/>
      <c r="S48" s="242"/>
      <c r="T48" s="242"/>
      <c r="U48" s="242"/>
      <c r="V48" s="242"/>
      <c r="W48" s="242"/>
      <c r="X48" s="243"/>
    </row>
    <row r="49" spans="1:24" s="18" customFormat="1" ht="43.5" customHeight="1" thickBot="1" x14ac:dyDescent="0.25">
      <c r="A49" s="161"/>
      <c r="B49" s="162"/>
      <c r="C49" s="162"/>
      <c r="D49" s="204" t="s">
        <v>188</v>
      </c>
      <c r="E49" s="432"/>
      <c r="F49" s="432"/>
      <c r="G49" s="432"/>
      <c r="H49" s="432"/>
      <c r="I49" s="432"/>
      <c r="J49" s="432"/>
      <c r="K49" s="432"/>
      <c r="L49" s="432"/>
      <c r="M49" s="433"/>
      <c r="N49" s="439">
        <f>N48/O38</f>
        <v>1.1514921703441259</v>
      </c>
      <c r="O49" s="440"/>
      <c r="P49" s="440"/>
      <c r="Q49" s="440"/>
      <c r="R49" s="440"/>
      <c r="S49" s="440"/>
      <c r="T49" s="440"/>
      <c r="U49" s="440"/>
      <c r="V49" s="440"/>
      <c r="W49" s="440"/>
      <c r="X49" s="441"/>
    </row>
    <row r="50" spans="1:24" s="23" customFormat="1" ht="32.25" customHeight="1" thickBot="1" x14ac:dyDescent="0.25">
      <c r="A50" s="196" t="s">
        <v>39</v>
      </c>
      <c r="B50" s="197"/>
      <c r="C50" s="197"/>
      <c r="D50" s="197"/>
      <c r="E50" s="197"/>
      <c r="F50" s="198"/>
      <c r="G50" s="21"/>
      <c r="H50" s="22">
        <v>11.4</v>
      </c>
      <c r="I50" s="196">
        <f>F38</f>
        <v>2168</v>
      </c>
      <c r="J50" s="197"/>
      <c r="K50" s="198"/>
      <c r="L50" s="202">
        <f>I50*H50</f>
        <v>24715.200000000001</v>
      </c>
      <c r="M50" s="203"/>
      <c r="N50" s="219">
        <f>L50</f>
        <v>24715.200000000001</v>
      </c>
      <c r="O50" s="220"/>
      <c r="P50" s="220"/>
      <c r="Q50" s="220"/>
      <c r="R50" s="220"/>
      <c r="S50" s="220"/>
      <c r="T50" s="220"/>
      <c r="U50" s="220"/>
      <c r="V50" s="220"/>
      <c r="W50" s="220"/>
      <c r="X50" s="221"/>
    </row>
    <row r="51" spans="1:24" s="23" customFormat="1" ht="36.75" customHeight="1" x14ac:dyDescent="0.2">
      <c r="A51" s="231" t="s">
        <v>40</v>
      </c>
      <c r="B51" s="232"/>
      <c r="C51" s="232"/>
      <c r="D51" s="232"/>
      <c r="E51" s="232"/>
      <c r="F51" s="233"/>
      <c r="G51" s="24"/>
      <c r="H51" s="25">
        <v>11.79</v>
      </c>
      <c r="I51" s="194">
        <f>V38</f>
        <v>11007.72824</v>
      </c>
      <c r="J51" s="234"/>
      <c r="K51" s="195"/>
      <c r="L51" s="194">
        <f>I51*H51</f>
        <v>129781.11594959999</v>
      </c>
      <c r="M51" s="195"/>
      <c r="N51" s="216">
        <f>L51</f>
        <v>129781.11594959999</v>
      </c>
      <c r="O51" s="217"/>
      <c r="P51" s="217"/>
      <c r="Q51" s="217"/>
      <c r="R51" s="217"/>
      <c r="S51" s="217"/>
      <c r="T51" s="217"/>
      <c r="U51" s="217"/>
      <c r="V51" s="217"/>
      <c r="W51" s="217"/>
      <c r="X51" s="218"/>
    </row>
    <row r="52" spans="1:24" ht="27" customHeight="1" x14ac:dyDescent="0.2">
      <c r="A52" s="2"/>
      <c r="B52" s="2"/>
      <c r="C52" s="2"/>
      <c r="D52" s="2"/>
      <c r="E52" s="2"/>
      <c r="F52" s="2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33"/>
      <c r="U52" s="33"/>
      <c r="V52" s="33"/>
      <c r="W52" s="33"/>
      <c r="X52" s="33"/>
    </row>
    <row r="53" spans="1:24" ht="18.75" customHeight="1" x14ac:dyDescent="0.2"/>
    <row r="57" spans="1:24" ht="39" customHeight="1" x14ac:dyDescent="0.2"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</row>
  </sheetData>
  <mergeCells count="89">
    <mergeCell ref="D48:M48"/>
    <mergeCell ref="N48:X48"/>
    <mergeCell ref="D49:M49"/>
    <mergeCell ref="N49:X49"/>
    <mergeCell ref="D46:F46"/>
    <mergeCell ref="I46:K46"/>
    <mergeCell ref="L46:M46"/>
    <mergeCell ref="N46:X46"/>
    <mergeCell ref="D47:F47"/>
    <mergeCell ref="I47:K47"/>
    <mergeCell ref="L47:M47"/>
    <mergeCell ref="N47:X47"/>
    <mergeCell ref="D44:F44"/>
    <mergeCell ref="I44:J44"/>
    <mergeCell ref="L44:M44"/>
    <mergeCell ref="N44:X44"/>
    <mergeCell ref="D45:F45"/>
    <mergeCell ref="I45:K45"/>
    <mergeCell ref="L45:M45"/>
    <mergeCell ref="N45:X45"/>
    <mergeCell ref="H28:J28"/>
    <mergeCell ref="H32:J32"/>
    <mergeCell ref="H29:J29"/>
    <mergeCell ref="B57:X57"/>
    <mergeCell ref="N51:X51"/>
    <mergeCell ref="N50:X50"/>
    <mergeCell ref="N41:X43"/>
    <mergeCell ref="N40:X40"/>
    <mergeCell ref="A51:F51"/>
    <mergeCell ref="I51:K51"/>
    <mergeCell ref="I43:K43"/>
    <mergeCell ref="I40:K40"/>
    <mergeCell ref="L43:M43"/>
    <mergeCell ref="H38:J38"/>
    <mergeCell ref="H30:J30"/>
    <mergeCell ref="D8:D9"/>
    <mergeCell ref="X8:X9"/>
    <mergeCell ref="V8:V9"/>
    <mergeCell ref="H26:J26"/>
    <mergeCell ref="L51:M51"/>
    <mergeCell ref="A50:F50"/>
    <mergeCell ref="A40:F40"/>
    <mergeCell ref="I50:K50"/>
    <mergeCell ref="L50:M50"/>
    <mergeCell ref="L42:M42"/>
    <mergeCell ref="H34:J34"/>
    <mergeCell ref="I41:K41"/>
    <mergeCell ref="A41:C43"/>
    <mergeCell ref="L40:M40"/>
    <mergeCell ref="H27:J27"/>
    <mergeCell ref="I42:K42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1:M41"/>
    <mergeCell ref="H33:J33"/>
    <mergeCell ref="H31:J31"/>
    <mergeCell ref="H35:J35"/>
    <mergeCell ref="H37:J3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0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36" sqref="A36:XFD36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6"/>
      <c r="B1" s="267"/>
      <c r="C1" s="267"/>
      <c r="D1" s="268"/>
      <c r="E1" s="249" t="s">
        <v>41</v>
      </c>
      <c r="F1" s="250"/>
      <c r="G1" s="250"/>
      <c r="H1" s="250"/>
      <c r="I1" s="251"/>
      <c r="J1" s="258" t="s">
        <v>42</v>
      </c>
      <c r="K1" s="259"/>
      <c r="L1" s="49"/>
    </row>
    <row r="2" spans="1:12" ht="16.5" customHeight="1" x14ac:dyDescent="0.2">
      <c r="A2" s="269"/>
      <c r="B2" s="270"/>
      <c r="C2" s="270"/>
      <c r="D2" s="271"/>
      <c r="E2" s="252"/>
      <c r="F2" s="253"/>
      <c r="G2" s="253"/>
      <c r="H2" s="253"/>
      <c r="I2" s="254"/>
      <c r="J2" s="260"/>
      <c r="K2" s="261"/>
      <c r="L2" s="49"/>
    </row>
    <row r="3" spans="1:12" ht="48" customHeight="1" x14ac:dyDescent="0.2">
      <c r="A3" s="272"/>
      <c r="B3" s="273"/>
      <c r="C3" s="273"/>
      <c r="D3" s="274"/>
      <c r="E3" s="255"/>
      <c r="F3" s="256"/>
      <c r="G3" s="256"/>
      <c r="H3" s="256"/>
      <c r="I3" s="257"/>
      <c r="J3" s="262"/>
      <c r="K3" s="263"/>
      <c r="L3" s="49"/>
    </row>
    <row r="6" spans="1:12" ht="10.5" customHeight="1" x14ac:dyDescent="0.25"/>
    <row r="7" spans="1:12" ht="16.5" customHeight="1" x14ac:dyDescent="0.2">
      <c r="A7" s="247" t="s">
        <v>43</v>
      </c>
      <c r="B7" s="275" t="s">
        <v>44</v>
      </c>
      <c r="C7" s="276"/>
      <c r="D7" s="264" t="s">
        <v>45</v>
      </c>
      <c r="E7" s="264"/>
      <c r="F7" s="265" t="s">
        <v>46</v>
      </c>
      <c r="G7" s="265"/>
      <c r="H7" s="265"/>
      <c r="I7" s="265"/>
      <c r="J7" s="265"/>
      <c r="K7" s="265"/>
    </row>
    <row r="8" spans="1:12" s="29" customFormat="1" ht="28.5" customHeight="1" x14ac:dyDescent="0.2">
      <c r="A8" s="24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 x14ac:dyDescent="0.3">
      <c r="A10" s="59">
        <v>44594</v>
      </c>
      <c r="B10" s="116">
        <v>2560</v>
      </c>
      <c r="C10" s="115">
        <f t="shared" ref="C10:C34" si="0">B10-B9</f>
        <v>0</v>
      </c>
      <c r="D10" s="57">
        <v>134345.20000000001</v>
      </c>
      <c r="E10" s="50">
        <f t="shared" ref="E10:E37" si="1">D10-D9</f>
        <v>51.100000000005821</v>
      </c>
      <c r="F10" s="51">
        <v>11435850</v>
      </c>
      <c r="G10" s="50">
        <f t="shared" ref="G10:G37" si="2">F10-F9</f>
        <v>2191</v>
      </c>
      <c r="H10" s="51">
        <v>19411845</v>
      </c>
      <c r="I10" s="50">
        <f t="shared" ref="I10:I37" si="3">H10-H9</f>
        <v>2664</v>
      </c>
      <c r="J10" s="51">
        <v>8524100</v>
      </c>
      <c r="K10" s="50">
        <f t="shared" ref="K10:K37" si="4">J10-J9</f>
        <v>1284</v>
      </c>
    </row>
    <row r="11" spans="1:12" ht="19.5" x14ac:dyDescent="0.3">
      <c r="A11" s="59">
        <v>44595</v>
      </c>
      <c r="B11" s="116">
        <v>2560</v>
      </c>
      <c r="C11" s="115">
        <f t="shared" si="0"/>
        <v>0</v>
      </c>
      <c r="D11" s="57">
        <v>134398.6</v>
      </c>
      <c r="E11" s="50">
        <f t="shared" si="1"/>
        <v>53.399999999994179</v>
      </c>
      <c r="F11" s="51">
        <v>11438088</v>
      </c>
      <c r="G11" s="50">
        <f t="shared" si="2"/>
        <v>2238</v>
      </c>
      <c r="H11" s="51">
        <v>19414569</v>
      </c>
      <c r="I11" s="50">
        <f t="shared" si="3"/>
        <v>2724</v>
      </c>
      <c r="J11" s="51">
        <v>8525416</v>
      </c>
      <c r="K11" s="50">
        <f t="shared" si="4"/>
        <v>1316</v>
      </c>
    </row>
    <row r="12" spans="1:12" ht="19.5" x14ac:dyDescent="0.3">
      <c r="A12" s="59">
        <v>44596</v>
      </c>
      <c r="B12" s="116">
        <v>2560</v>
      </c>
      <c r="C12" s="115">
        <f t="shared" si="0"/>
        <v>0</v>
      </c>
      <c r="D12" s="57">
        <v>134472</v>
      </c>
      <c r="E12" s="50">
        <f t="shared" si="1"/>
        <v>73.399999999994179</v>
      </c>
      <c r="F12" s="51">
        <v>11440408</v>
      </c>
      <c r="G12" s="50">
        <f t="shared" si="2"/>
        <v>2320</v>
      </c>
      <c r="H12" s="51">
        <v>19417386</v>
      </c>
      <c r="I12" s="50">
        <f t="shared" si="3"/>
        <v>2817</v>
      </c>
      <c r="J12" s="51">
        <v>8526832</v>
      </c>
      <c r="K12" s="50">
        <f t="shared" si="4"/>
        <v>1416</v>
      </c>
    </row>
    <row r="13" spans="1:12" ht="19.5" x14ac:dyDescent="0.3">
      <c r="A13" s="59">
        <v>44597</v>
      </c>
      <c r="B13" s="116">
        <v>2560</v>
      </c>
      <c r="C13" s="115">
        <f t="shared" si="0"/>
        <v>0</v>
      </c>
      <c r="D13" s="57">
        <v>134553</v>
      </c>
      <c r="E13" s="50">
        <f t="shared" si="1"/>
        <v>81</v>
      </c>
      <c r="F13" s="51">
        <v>11442833</v>
      </c>
      <c r="G13" s="50">
        <f t="shared" si="2"/>
        <v>2425</v>
      </c>
      <c r="H13" s="51">
        <v>19420288</v>
      </c>
      <c r="I13" s="50">
        <f t="shared" si="3"/>
        <v>2902</v>
      </c>
      <c r="J13" s="51">
        <v>8528245</v>
      </c>
      <c r="K13" s="50">
        <f t="shared" si="4"/>
        <v>1413</v>
      </c>
    </row>
    <row r="14" spans="1:12" ht="19.5" x14ac:dyDescent="0.3">
      <c r="A14" s="59">
        <v>44598</v>
      </c>
      <c r="B14" s="116">
        <v>2560</v>
      </c>
      <c r="C14" s="115">
        <f t="shared" si="0"/>
        <v>0</v>
      </c>
      <c r="D14" s="57">
        <v>134604</v>
      </c>
      <c r="E14" s="50">
        <f t="shared" si="1"/>
        <v>51</v>
      </c>
      <c r="F14" s="51">
        <v>11445098</v>
      </c>
      <c r="G14" s="50">
        <f t="shared" si="2"/>
        <v>2265</v>
      </c>
      <c r="H14" s="51">
        <v>19423448</v>
      </c>
      <c r="I14" s="50">
        <f t="shared" si="3"/>
        <v>3160</v>
      </c>
      <c r="J14" s="51">
        <v>8529716</v>
      </c>
      <c r="K14" s="50">
        <f t="shared" si="4"/>
        <v>1471</v>
      </c>
    </row>
    <row r="15" spans="1:12" ht="19.5" x14ac:dyDescent="0.3">
      <c r="A15" s="59">
        <v>44599</v>
      </c>
      <c r="B15" s="116">
        <v>2560</v>
      </c>
      <c r="C15" s="115">
        <f t="shared" si="0"/>
        <v>0</v>
      </c>
      <c r="D15" s="57">
        <v>134644</v>
      </c>
      <c r="E15" s="50">
        <f t="shared" si="1"/>
        <v>40</v>
      </c>
      <c r="F15" s="51">
        <v>11447372</v>
      </c>
      <c r="G15" s="50">
        <f t="shared" si="2"/>
        <v>2274</v>
      </c>
      <c r="H15" s="51">
        <v>19426279</v>
      </c>
      <c r="I15" s="50">
        <f t="shared" si="3"/>
        <v>2831</v>
      </c>
      <c r="J15" s="51">
        <v>8531035</v>
      </c>
      <c r="K15" s="50">
        <f t="shared" si="4"/>
        <v>1319</v>
      </c>
    </row>
    <row r="16" spans="1:12" ht="19.5" x14ac:dyDescent="0.3">
      <c r="A16" s="59">
        <v>44600</v>
      </c>
      <c r="B16" s="116">
        <v>2560</v>
      </c>
      <c r="C16" s="115">
        <f t="shared" si="0"/>
        <v>0</v>
      </c>
      <c r="D16" s="57">
        <v>134702</v>
      </c>
      <c r="E16" s="50">
        <f t="shared" si="1"/>
        <v>58</v>
      </c>
      <c r="F16" s="51">
        <v>11449713</v>
      </c>
      <c r="G16" s="50">
        <f t="shared" si="2"/>
        <v>2341</v>
      </c>
      <c r="H16" s="51">
        <v>19429138</v>
      </c>
      <c r="I16" s="50">
        <f t="shared" si="3"/>
        <v>2859</v>
      </c>
      <c r="J16" s="51">
        <v>8532435</v>
      </c>
      <c r="K16" s="50">
        <f t="shared" si="4"/>
        <v>1400</v>
      </c>
    </row>
    <row r="17" spans="1:29" ht="19.5" x14ac:dyDescent="0.3">
      <c r="A17" s="59">
        <v>44601</v>
      </c>
      <c r="B17" s="116">
        <v>2560</v>
      </c>
      <c r="C17" s="115">
        <f t="shared" si="0"/>
        <v>0</v>
      </c>
      <c r="D17" s="57">
        <v>134766.29999999999</v>
      </c>
      <c r="E17" s="50">
        <f t="shared" si="1"/>
        <v>64.299999999988358</v>
      </c>
      <c r="F17" s="51">
        <v>11452086</v>
      </c>
      <c r="G17" s="50">
        <f t="shared" si="2"/>
        <v>2373</v>
      </c>
      <c r="H17" s="51">
        <v>19432234</v>
      </c>
      <c r="I17" s="50">
        <f t="shared" si="3"/>
        <v>3096</v>
      </c>
      <c r="J17" s="51">
        <v>8533877</v>
      </c>
      <c r="K17" s="50">
        <f t="shared" si="4"/>
        <v>1442</v>
      </c>
    </row>
    <row r="18" spans="1:29" ht="19.5" x14ac:dyDescent="0.3">
      <c r="A18" s="59">
        <v>44602</v>
      </c>
      <c r="B18" s="116">
        <v>2560</v>
      </c>
      <c r="C18" s="115">
        <f t="shared" si="0"/>
        <v>0</v>
      </c>
      <c r="D18" s="57">
        <v>134822</v>
      </c>
      <c r="E18" s="50">
        <f t="shared" si="1"/>
        <v>55.700000000011642</v>
      </c>
      <c r="F18" s="51">
        <v>11454649</v>
      </c>
      <c r="G18" s="50">
        <f t="shared" si="2"/>
        <v>2563</v>
      </c>
      <c r="H18" s="51">
        <v>19435499</v>
      </c>
      <c r="I18" s="50">
        <f t="shared" si="3"/>
        <v>3265</v>
      </c>
      <c r="J18" s="51">
        <v>8535406</v>
      </c>
      <c r="K18" s="50">
        <f t="shared" si="4"/>
        <v>1529</v>
      </c>
    </row>
    <row r="19" spans="1:29" ht="19.5" x14ac:dyDescent="0.3">
      <c r="A19" s="59">
        <v>44603</v>
      </c>
      <c r="B19" s="116">
        <v>2560</v>
      </c>
      <c r="C19" s="115">
        <f t="shared" si="0"/>
        <v>0</v>
      </c>
      <c r="D19" s="57">
        <v>134882</v>
      </c>
      <c r="E19" s="50">
        <f t="shared" si="1"/>
        <v>60</v>
      </c>
      <c r="F19" s="51">
        <v>11457177</v>
      </c>
      <c r="G19" s="50">
        <f t="shared" si="2"/>
        <v>2528</v>
      </c>
      <c r="H19" s="51">
        <v>19438573</v>
      </c>
      <c r="I19" s="50">
        <f t="shared" si="3"/>
        <v>3074</v>
      </c>
      <c r="J19" s="51">
        <v>8536847</v>
      </c>
      <c r="K19" s="50">
        <f t="shared" si="4"/>
        <v>1441</v>
      </c>
    </row>
    <row r="20" spans="1:29" ht="18.75" customHeight="1" x14ac:dyDescent="0.35">
      <c r="A20" s="59">
        <v>44604</v>
      </c>
      <c r="B20" s="116">
        <v>2560</v>
      </c>
      <c r="C20" s="115">
        <f t="shared" si="0"/>
        <v>0</v>
      </c>
      <c r="D20" s="57">
        <v>134936</v>
      </c>
      <c r="E20" s="50">
        <f t="shared" si="1"/>
        <v>54</v>
      </c>
      <c r="F20" s="51">
        <v>11459689</v>
      </c>
      <c r="G20" s="50">
        <f t="shared" si="2"/>
        <v>2512</v>
      </c>
      <c r="H20" s="51">
        <v>19441728</v>
      </c>
      <c r="I20" s="50">
        <f t="shared" si="3"/>
        <v>3155</v>
      </c>
      <c r="J20" s="51">
        <v>8538341</v>
      </c>
      <c r="K20" s="50">
        <f t="shared" si="4"/>
        <v>1494</v>
      </c>
      <c r="L20" s="117" t="s">
        <v>18</v>
      </c>
      <c r="AC20" t="s">
        <v>56</v>
      </c>
    </row>
    <row r="21" spans="1:29" ht="19.5" x14ac:dyDescent="0.3">
      <c r="A21" s="59">
        <v>44605</v>
      </c>
      <c r="B21" s="116">
        <v>2560</v>
      </c>
      <c r="C21" s="115">
        <f t="shared" si="0"/>
        <v>0</v>
      </c>
      <c r="D21" s="57">
        <v>134999</v>
      </c>
      <c r="E21" s="50">
        <f t="shared" si="1"/>
        <v>63</v>
      </c>
      <c r="F21" s="51">
        <v>11462286</v>
      </c>
      <c r="G21" s="50">
        <f t="shared" si="2"/>
        <v>2597</v>
      </c>
      <c r="H21" s="51">
        <v>19444989</v>
      </c>
      <c r="I21" s="50">
        <f t="shared" si="3"/>
        <v>3261</v>
      </c>
      <c r="J21" s="51">
        <v>8539965</v>
      </c>
      <c r="K21" s="50">
        <f t="shared" si="4"/>
        <v>1624</v>
      </c>
    </row>
    <row r="22" spans="1:29" ht="19.5" x14ac:dyDescent="0.3">
      <c r="A22" s="59">
        <v>44606</v>
      </c>
      <c r="B22" s="116">
        <v>2560</v>
      </c>
      <c r="C22" s="115">
        <f t="shared" si="0"/>
        <v>0</v>
      </c>
      <c r="D22" s="57">
        <v>135074</v>
      </c>
      <c r="E22" s="50">
        <f t="shared" si="1"/>
        <v>75</v>
      </c>
      <c r="F22" s="51">
        <v>11464903</v>
      </c>
      <c r="G22" s="50">
        <f t="shared" si="2"/>
        <v>2617</v>
      </c>
      <c r="H22" s="51">
        <v>19448450</v>
      </c>
      <c r="I22" s="50">
        <f t="shared" si="3"/>
        <v>3461</v>
      </c>
      <c r="J22" s="51">
        <v>8541668</v>
      </c>
      <c r="K22" s="50">
        <f t="shared" si="4"/>
        <v>1703</v>
      </c>
    </row>
    <row r="23" spans="1:29" ht="19.5" x14ac:dyDescent="0.3">
      <c r="A23" s="59">
        <v>44607</v>
      </c>
      <c r="B23" s="116">
        <v>2560</v>
      </c>
      <c r="C23" s="115">
        <f t="shared" si="0"/>
        <v>0</v>
      </c>
      <c r="D23" s="57">
        <v>135178</v>
      </c>
      <c r="E23" s="50">
        <f t="shared" si="1"/>
        <v>104</v>
      </c>
      <c r="F23" s="51">
        <v>11467682</v>
      </c>
      <c r="G23" s="50">
        <f t="shared" si="2"/>
        <v>2779</v>
      </c>
      <c r="H23" s="51">
        <v>19452332</v>
      </c>
      <c r="I23" s="50">
        <f t="shared" si="3"/>
        <v>3882</v>
      </c>
      <c r="J23" s="51">
        <v>8543432</v>
      </c>
      <c r="K23" s="50">
        <f t="shared" si="4"/>
        <v>1764</v>
      </c>
    </row>
    <row r="24" spans="1:29" ht="19.5" x14ac:dyDescent="0.3">
      <c r="A24" s="59">
        <v>44608</v>
      </c>
      <c r="B24" s="116">
        <v>2560</v>
      </c>
      <c r="C24" s="115">
        <f t="shared" si="0"/>
        <v>0</v>
      </c>
      <c r="D24" s="57">
        <v>135260</v>
      </c>
      <c r="E24" s="50">
        <f t="shared" si="1"/>
        <v>82</v>
      </c>
      <c r="F24" s="51">
        <v>11470861</v>
      </c>
      <c r="G24" s="50">
        <f t="shared" si="2"/>
        <v>3179</v>
      </c>
      <c r="H24" s="51">
        <v>19456073</v>
      </c>
      <c r="I24" s="50">
        <f t="shared" si="3"/>
        <v>3741</v>
      </c>
      <c r="J24" s="51">
        <v>8545613</v>
      </c>
      <c r="K24" s="50">
        <f t="shared" si="4"/>
        <v>2181</v>
      </c>
    </row>
    <row r="25" spans="1:29" ht="19.5" x14ac:dyDescent="0.3">
      <c r="A25" s="59">
        <v>44609</v>
      </c>
      <c r="B25" s="116">
        <v>2560</v>
      </c>
      <c r="C25" s="115">
        <f t="shared" si="0"/>
        <v>0</v>
      </c>
      <c r="D25" s="57">
        <v>135354.4</v>
      </c>
      <c r="E25" s="50">
        <f t="shared" si="1"/>
        <v>94.399999999994179</v>
      </c>
      <c r="F25" s="51">
        <v>11473357</v>
      </c>
      <c r="G25" s="50">
        <f t="shared" si="2"/>
        <v>2496</v>
      </c>
      <c r="H25" s="51">
        <v>19460394</v>
      </c>
      <c r="I25" s="50">
        <f t="shared" si="3"/>
        <v>4321</v>
      </c>
      <c r="J25" s="51">
        <v>8547571</v>
      </c>
      <c r="K25" s="50">
        <f t="shared" si="4"/>
        <v>1958</v>
      </c>
    </row>
    <row r="26" spans="1:29" ht="19.5" x14ac:dyDescent="0.3">
      <c r="A26" s="59">
        <v>44610</v>
      </c>
      <c r="B26" s="116">
        <v>2560</v>
      </c>
      <c r="C26" s="115">
        <f t="shared" si="0"/>
        <v>0</v>
      </c>
      <c r="D26" s="57">
        <v>135451.4</v>
      </c>
      <c r="E26" s="50">
        <f t="shared" si="1"/>
        <v>97</v>
      </c>
      <c r="F26" s="51">
        <v>11476501</v>
      </c>
      <c r="G26" s="50">
        <f t="shared" si="2"/>
        <v>3144</v>
      </c>
      <c r="H26" s="51">
        <v>19464578</v>
      </c>
      <c r="I26" s="50">
        <f t="shared" si="3"/>
        <v>4184</v>
      </c>
      <c r="J26" s="51">
        <v>8549721</v>
      </c>
      <c r="K26" s="50">
        <f t="shared" si="4"/>
        <v>2150</v>
      </c>
    </row>
    <row r="27" spans="1:29" ht="19.5" x14ac:dyDescent="0.3">
      <c r="A27" s="59">
        <v>44611</v>
      </c>
      <c r="B27" s="116">
        <v>2560</v>
      </c>
      <c r="C27" s="115">
        <f t="shared" si="0"/>
        <v>0</v>
      </c>
      <c r="D27" s="57">
        <v>135561</v>
      </c>
      <c r="E27" s="50">
        <f t="shared" si="1"/>
        <v>109.60000000000582</v>
      </c>
      <c r="F27" s="51">
        <v>11479896</v>
      </c>
      <c r="G27" s="50">
        <f t="shared" si="2"/>
        <v>3395</v>
      </c>
      <c r="H27" s="51">
        <v>19468696</v>
      </c>
      <c r="I27" s="50">
        <f t="shared" si="3"/>
        <v>4118</v>
      </c>
      <c r="J27" s="51">
        <v>8551721</v>
      </c>
      <c r="K27" s="50">
        <f t="shared" si="4"/>
        <v>2000</v>
      </c>
    </row>
    <row r="28" spans="1:29" ht="19.5" x14ac:dyDescent="0.3">
      <c r="A28" s="59">
        <v>44612</v>
      </c>
      <c r="B28" s="116">
        <v>2560</v>
      </c>
      <c r="C28" s="115">
        <f t="shared" si="0"/>
        <v>0</v>
      </c>
      <c r="D28" s="57">
        <v>135653</v>
      </c>
      <c r="E28" s="50">
        <f t="shared" si="1"/>
        <v>92</v>
      </c>
      <c r="F28" s="51">
        <v>11482834</v>
      </c>
      <c r="G28" s="50">
        <f t="shared" si="2"/>
        <v>2938</v>
      </c>
      <c r="H28" s="51">
        <v>19472701</v>
      </c>
      <c r="I28" s="50">
        <f t="shared" si="3"/>
        <v>4005</v>
      </c>
      <c r="J28" s="51">
        <v>8553695</v>
      </c>
      <c r="K28" s="50">
        <f t="shared" si="4"/>
        <v>1974</v>
      </c>
    </row>
    <row r="29" spans="1:29" ht="19.5" x14ac:dyDescent="0.3">
      <c r="A29" s="59">
        <v>44613</v>
      </c>
      <c r="B29" s="116">
        <v>2560</v>
      </c>
      <c r="C29" s="115">
        <f t="shared" si="0"/>
        <v>0</v>
      </c>
      <c r="D29" s="57">
        <v>135744</v>
      </c>
      <c r="E29" s="50">
        <f t="shared" si="1"/>
        <v>91</v>
      </c>
      <c r="F29" s="51">
        <v>11485845</v>
      </c>
      <c r="G29" s="50">
        <f t="shared" si="2"/>
        <v>3011</v>
      </c>
      <c r="H29" s="51">
        <v>19476661</v>
      </c>
      <c r="I29" s="50">
        <f t="shared" si="3"/>
        <v>3960</v>
      </c>
      <c r="J29" s="51">
        <v>8555675</v>
      </c>
      <c r="K29" s="50">
        <f t="shared" si="4"/>
        <v>1980</v>
      </c>
    </row>
    <row r="30" spans="1:29" ht="19.5" x14ac:dyDescent="0.3">
      <c r="A30" s="59">
        <v>44614</v>
      </c>
      <c r="B30" s="116">
        <v>2560</v>
      </c>
      <c r="C30" s="115">
        <f t="shared" si="0"/>
        <v>0</v>
      </c>
      <c r="D30" s="57">
        <v>135825</v>
      </c>
      <c r="E30" s="50">
        <f t="shared" si="1"/>
        <v>81</v>
      </c>
      <c r="F30" s="51">
        <v>11488703</v>
      </c>
      <c r="G30" s="50">
        <f t="shared" si="2"/>
        <v>2858</v>
      </c>
      <c r="H30" s="51">
        <v>19480433</v>
      </c>
      <c r="I30" s="50">
        <f t="shared" si="3"/>
        <v>3772</v>
      </c>
      <c r="J30" s="51">
        <v>8557481</v>
      </c>
      <c r="K30" s="50">
        <f t="shared" si="4"/>
        <v>1806</v>
      </c>
    </row>
    <row r="31" spans="1:29" ht="19.5" x14ac:dyDescent="0.3">
      <c r="A31" s="59">
        <v>44615</v>
      </c>
      <c r="B31" s="116">
        <v>2560</v>
      </c>
      <c r="C31" s="115">
        <f t="shared" si="0"/>
        <v>0</v>
      </c>
      <c r="D31" s="57">
        <v>135904.5</v>
      </c>
      <c r="E31" s="50">
        <f t="shared" si="1"/>
        <v>79.5</v>
      </c>
      <c r="F31" s="51">
        <v>11491620</v>
      </c>
      <c r="G31" s="50">
        <f t="shared" si="2"/>
        <v>2917</v>
      </c>
      <c r="H31" s="51">
        <v>19484666</v>
      </c>
      <c r="I31" s="50">
        <f t="shared" si="3"/>
        <v>4233</v>
      </c>
      <c r="J31" s="51">
        <v>8559540</v>
      </c>
      <c r="K31" s="50">
        <f t="shared" si="4"/>
        <v>2059</v>
      </c>
    </row>
    <row r="32" spans="1:29" ht="19.5" x14ac:dyDescent="0.3">
      <c r="A32" s="59">
        <v>44616</v>
      </c>
      <c r="B32" s="116">
        <v>2560</v>
      </c>
      <c r="C32" s="115">
        <f t="shared" si="0"/>
        <v>0</v>
      </c>
      <c r="D32" s="57">
        <v>135994</v>
      </c>
      <c r="E32" s="50">
        <f t="shared" si="1"/>
        <v>89.5</v>
      </c>
      <c r="F32" s="51">
        <v>11494866</v>
      </c>
      <c r="G32" s="50">
        <f t="shared" si="2"/>
        <v>3246</v>
      </c>
      <c r="H32" s="51">
        <v>19489248</v>
      </c>
      <c r="I32" s="50">
        <f t="shared" si="3"/>
        <v>4582</v>
      </c>
      <c r="J32" s="51">
        <v>8561644</v>
      </c>
      <c r="K32" s="50">
        <f t="shared" si="4"/>
        <v>2104</v>
      </c>
    </row>
    <row r="33" spans="1:11" ht="19.5" x14ac:dyDescent="0.3">
      <c r="A33" s="59">
        <v>44617</v>
      </c>
      <c r="B33" s="116">
        <v>2560</v>
      </c>
      <c r="C33" s="115">
        <f t="shared" si="0"/>
        <v>0</v>
      </c>
      <c r="D33" s="57">
        <v>136089</v>
      </c>
      <c r="E33" s="50">
        <f t="shared" si="1"/>
        <v>95</v>
      </c>
      <c r="F33" s="51">
        <v>11497749</v>
      </c>
      <c r="G33" s="50">
        <f t="shared" si="2"/>
        <v>2883</v>
      </c>
      <c r="H33" s="51">
        <v>19494051</v>
      </c>
      <c r="I33" s="50">
        <f t="shared" si="3"/>
        <v>4803</v>
      </c>
      <c r="J33" s="51">
        <v>8563854</v>
      </c>
      <c r="K33" s="50">
        <f t="shared" si="4"/>
        <v>2210</v>
      </c>
    </row>
    <row r="34" spans="1:11" ht="19.5" x14ac:dyDescent="0.3">
      <c r="A34" s="59">
        <v>44618</v>
      </c>
      <c r="B34" s="116">
        <v>2560</v>
      </c>
      <c r="C34" s="115">
        <f t="shared" si="0"/>
        <v>0</v>
      </c>
      <c r="D34" s="57">
        <v>136193</v>
      </c>
      <c r="E34" s="50">
        <f t="shared" si="1"/>
        <v>104</v>
      </c>
      <c r="F34" s="51">
        <v>11501262</v>
      </c>
      <c r="G34" s="50">
        <f t="shared" si="2"/>
        <v>3513</v>
      </c>
      <c r="H34" s="51">
        <v>19498275</v>
      </c>
      <c r="I34" s="50">
        <f t="shared" si="3"/>
        <v>4224</v>
      </c>
      <c r="J34" s="51">
        <v>8565905</v>
      </c>
      <c r="K34" s="50">
        <f t="shared" si="4"/>
        <v>2051</v>
      </c>
    </row>
    <row r="35" spans="1:11" ht="19.5" x14ac:dyDescent="0.3">
      <c r="A35" s="59">
        <v>44619</v>
      </c>
      <c r="B35" s="116">
        <v>2560</v>
      </c>
      <c r="C35" s="115">
        <f t="shared" ref="C35:C37" si="5">B35-B34</f>
        <v>0</v>
      </c>
      <c r="D35" s="57">
        <v>136296</v>
      </c>
      <c r="E35" s="50">
        <f t="shared" si="1"/>
        <v>103</v>
      </c>
      <c r="F35" s="51">
        <v>11504396</v>
      </c>
      <c r="G35" s="50">
        <f t="shared" si="2"/>
        <v>3134</v>
      </c>
      <c r="H35" s="51">
        <v>19502633</v>
      </c>
      <c r="I35" s="50">
        <f t="shared" si="3"/>
        <v>4358</v>
      </c>
      <c r="J35" s="51">
        <v>8568187</v>
      </c>
      <c r="K35" s="50">
        <f t="shared" si="4"/>
        <v>2282</v>
      </c>
    </row>
    <row r="36" spans="1:11" ht="19.5" x14ac:dyDescent="0.3">
      <c r="A36" s="59">
        <v>44620</v>
      </c>
      <c r="B36" s="116">
        <v>2560</v>
      </c>
      <c r="C36" s="115">
        <f t="shared" si="5"/>
        <v>0</v>
      </c>
      <c r="D36" s="57">
        <v>136406</v>
      </c>
      <c r="E36" s="50">
        <f t="shared" si="1"/>
        <v>110</v>
      </c>
      <c r="F36" s="51">
        <v>11508129</v>
      </c>
      <c r="G36" s="50">
        <f t="shared" si="2"/>
        <v>3733</v>
      </c>
      <c r="H36" s="51">
        <v>19508376</v>
      </c>
      <c r="I36" s="50">
        <f t="shared" si="3"/>
        <v>5743</v>
      </c>
      <c r="J36" s="51">
        <v>8571104</v>
      </c>
      <c r="K36" s="50">
        <f t="shared" si="4"/>
        <v>2917</v>
      </c>
    </row>
    <row r="37" spans="1:11" ht="21" thickTop="1" thickBot="1" x14ac:dyDescent="0.35">
      <c r="A37" s="59">
        <v>44621</v>
      </c>
      <c r="B37" s="116">
        <v>2560</v>
      </c>
      <c r="C37" s="115">
        <f t="shared" si="5"/>
        <v>0</v>
      </c>
      <c r="D37" s="57">
        <v>136510</v>
      </c>
      <c r="E37" s="50">
        <f t="shared" si="1"/>
        <v>104</v>
      </c>
      <c r="F37" s="51">
        <v>11511320</v>
      </c>
      <c r="G37" s="50">
        <f t="shared" si="2"/>
        <v>3191</v>
      </c>
      <c r="H37" s="51">
        <v>19513625</v>
      </c>
      <c r="I37" s="50">
        <f t="shared" si="3"/>
        <v>5249</v>
      </c>
      <c r="J37" s="51">
        <v>8573535</v>
      </c>
      <c r="K37" s="50">
        <f t="shared" si="4"/>
        <v>2431</v>
      </c>
    </row>
    <row r="38" spans="1:11" ht="24" customHeight="1" thickTop="1" x14ac:dyDescent="0.3">
      <c r="A38" s="52"/>
      <c r="B38" s="52"/>
      <c r="C38" s="52"/>
    </row>
    <row r="39" spans="1:11" x14ac:dyDescent="0.25">
      <c r="A39" s="48"/>
      <c r="B39" s="48"/>
      <c r="C39" s="48"/>
    </row>
    <row r="40" spans="1:11" x14ac:dyDescent="0.25">
      <c r="A40" s="48"/>
      <c r="B40" s="48"/>
      <c r="C40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38:E65530">
    <cfRule type="cellIs" dxfId="4" priority="61" stopIfTrue="1" operator="lessThanOrEqual">
      <formula>0</formula>
    </cfRule>
  </conditionalFormatting>
  <conditionalFormatting sqref="E10:E37">
    <cfRule type="cellIs" dxfId="3" priority="8" stopIfTrue="1" operator="lessThanOrEqual">
      <formula>0</formula>
    </cfRule>
  </conditionalFormatting>
  <conditionalFormatting sqref="E10:E37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AI41" sqref="AI41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0" t="s">
        <v>57</v>
      </c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</row>
    <row r="2" spans="1:31" ht="41.25" customHeight="1" thickBot="1" x14ac:dyDescent="0.4">
      <c r="Q2" s="285">
        <v>803</v>
      </c>
      <c r="R2" s="286"/>
      <c r="S2" s="287"/>
      <c r="T2" s="288">
        <v>519</v>
      </c>
      <c r="U2" s="286"/>
      <c r="V2" s="287"/>
      <c r="W2" s="288">
        <v>800</v>
      </c>
      <c r="X2" s="286"/>
      <c r="Y2" s="287"/>
      <c r="Z2" s="288">
        <v>802</v>
      </c>
      <c r="AA2" s="286"/>
      <c r="AB2" s="289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8">
        <f t="shared" ref="M4:M37" si="3">6049*4</f>
        <v>24196</v>
      </c>
      <c r="N4" s="39">
        <f>L4*M4/100</f>
        <v>423.43</v>
      </c>
      <c r="O4" s="39">
        <f>N4*0.529</f>
        <v>223.99447000000001</v>
      </c>
      <c r="P4" s="42">
        <f>O4*11.79</f>
        <v>2640.8948012999999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44594</v>
      </c>
      <c r="B5" s="41">
        <v>72</v>
      </c>
      <c r="C5" s="39">
        <f t="shared" ref="C5:C35" si="7">IF(AC5&gt;0,((B5-R5)+(S5-B6)),IF(B6=0, ,(B5-B6)))</f>
        <v>2</v>
      </c>
      <c r="D5" s="41">
        <v>72</v>
      </c>
      <c r="E5" s="39">
        <f t="shared" ref="E5:E35" si="8">IF(AC5&gt;0,((D5-U5)+(V5-D6)),IF(D6=0, ,(D5-D6)))</f>
        <v>2</v>
      </c>
      <c r="F5" s="41">
        <v>75</v>
      </c>
      <c r="G5" s="39">
        <f t="shared" ref="G5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8">
        <f t="shared" si="3"/>
        <v>24196</v>
      </c>
      <c r="N5" s="39">
        <f>L5*M5/100</f>
        <v>423.43</v>
      </c>
      <c r="O5" s="39">
        <f t="shared" ref="O5:O31" si="10">N5*0.529</f>
        <v>223.99447000000001</v>
      </c>
      <c r="P5" s="42">
        <f t="shared" ref="P5:P31" si="11">O5*11.79</f>
        <v>2640.8948012999999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2">IF(AC6&gt;0,((H6-AA6)+(AB6-H7)),IF(H7=0, ,(H6-H7)))</f>
        <v>0</v>
      </c>
      <c r="J6" s="39">
        <f t="shared" ref="J6:J42" si="13">B6+D6+F6+H6</f>
        <v>286</v>
      </c>
      <c r="K6" s="39">
        <f t="shared" ref="K6:K42" si="14">J6/4</f>
        <v>71.5</v>
      </c>
      <c r="L6" s="39">
        <f t="shared" ref="L6:L19" si="15">IF(AC6&gt;0,((K6-AD6)+(AE6-K7)),IF(K7=0, ,(K6-K7)))</f>
        <v>1</v>
      </c>
      <c r="M6" s="148">
        <f t="shared" si="3"/>
        <v>24196</v>
      </c>
      <c r="N6" s="39">
        <f t="shared" ref="N6:N42" si="16">L6*M6/100</f>
        <v>241.96</v>
      </c>
      <c r="O6" s="39">
        <f t="shared" si="10"/>
        <v>127.99684000000001</v>
      </c>
      <c r="P6" s="42">
        <f t="shared" si="11"/>
        <v>1509.0827436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2"/>
        <v>1</v>
      </c>
      <c r="J7" s="39">
        <f t="shared" si="13"/>
        <v>282</v>
      </c>
      <c r="K7" s="39">
        <f t="shared" si="14"/>
        <v>70.5</v>
      </c>
      <c r="L7" s="39">
        <f t="shared" si="15"/>
        <v>1.25</v>
      </c>
      <c r="M7" s="148">
        <f t="shared" si="3"/>
        <v>24196</v>
      </c>
      <c r="N7" s="39">
        <f t="shared" si="16"/>
        <v>302.45</v>
      </c>
      <c r="O7" s="39">
        <f t="shared" si="10"/>
        <v>159.99605</v>
      </c>
      <c r="P7" s="42">
        <f t="shared" si="11"/>
        <v>1886.3534294999997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2"/>
        <v>3</v>
      </c>
      <c r="J8" s="39">
        <f t="shared" si="13"/>
        <v>277</v>
      </c>
      <c r="K8" s="39">
        <f t="shared" si="14"/>
        <v>69.25</v>
      </c>
      <c r="L8" s="39">
        <f t="shared" si="15"/>
        <v>3</v>
      </c>
      <c r="M8" s="148">
        <f t="shared" si="3"/>
        <v>24196</v>
      </c>
      <c r="N8" s="39">
        <f t="shared" si="16"/>
        <v>725.88</v>
      </c>
      <c r="O8" s="39">
        <f t="shared" si="10"/>
        <v>383.99052</v>
      </c>
      <c r="P8" s="42">
        <f t="shared" si="11"/>
        <v>4527.2482307999999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2"/>
        <v>3</v>
      </c>
      <c r="J9" s="39">
        <f t="shared" si="13"/>
        <v>265</v>
      </c>
      <c r="K9" s="39">
        <f t="shared" si="14"/>
        <v>66.25</v>
      </c>
      <c r="L9" s="39">
        <f t="shared" si="15"/>
        <v>2</v>
      </c>
      <c r="M9" s="148">
        <f t="shared" si="3"/>
        <v>24196</v>
      </c>
      <c r="N9" s="39">
        <f t="shared" si="16"/>
        <v>483.92</v>
      </c>
      <c r="O9" s="39">
        <f t="shared" si="10"/>
        <v>255.99368000000001</v>
      </c>
      <c r="P9" s="42">
        <f t="shared" si="11"/>
        <v>3018.1654871999999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2"/>
        <v>1</v>
      </c>
      <c r="J10" s="39">
        <f t="shared" si="13"/>
        <v>257</v>
      </c>
      <c r="K10" s="39">
        <f t="shared" si="14"/>
        <v>64.25</v>
      </c>
      <c r="L10" s="39">
        <f t="shared" si="15"/>
        <v>2.5</v>
      </c>
      <c r="M10" s="148">
        <f t="shared" si="3"/>
        <v>24196</v>
      </c>
      <c r="N10" s="39">
        <f t="shared" si="16"/>
        <v>604.9</v>
      </c>
      <c r="O10" s="39">
        <f t="shared" si="10"/>
        <v>319.99209999999999</v>
      </c>
      <c r="P10" s="42">
        <f t="shared" si="11"/>
        <v>3772.7068589999994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2"/>
        <v>3</v>
      </c>
      <c r="J11" s="39">
        <f t="shared" si="13"/>
        <v>247</v>
      </c>
      <c r="K11" s="39">
        <f t="shared" si="14"/>
        <v>61.75</v>
      </c>
      <c r="L11" s="39">
        <f t="shared" si="15"/>
        <v>1.5</v>
      </c>
      <c r="M11" s="148">
        <f t="shared" si="3"/>
        <v>24196</v>
      </c>
      <c r="N11" s="39">
        <f t="shared" si="16"/>
        <v>362.94</v>
      </c>
      <c r="O11" s="39">
        <f t="shared" si="10"/>
        <v>191.99526</v>
      </c>
      <c r="P11" s="42">
        <f t="shared" si="11"/>
        <v>2263.6241153999999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2"/>
        <v>1</v>
      </c>
      <c r="J12" s="39">
        <f t="shared" si="13"/>
        <v>241</v>
      </c>
      <c r="K12" s="39">
        <f t="shared" si="14"/>
        <v>60.25</v>
      </c>
      <c r="L12" s="39">
        <f t="shared" si="15"/>
        <v>1.75</v>
      </c>
      <c r="M12" s="148">
        <f t="shared" si="3"/>
        <v>24196</v>
      </c>
      <c r="N12" s="39">
        <f t="shared" si="16"/>
        <v>423.43</v>
      </c>
      <c r="O12" s="39">
        <f t="shared" si="10"/>
        <v>223.99447000000001</v>
      </c>
      <c r="P12" s="42">
        <f t="shared" si="11"/>
        <v>2640.8948012999999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44602</v>
      </c>
      <c r="B13" s="41">
        <v>56</v>
      </c>
      <c r="C13" s="39">
        <f t="shared" si="7"/>
        <v>4</v>
      </c>
      <c r="D13" s="41">
        <v>56</v>
      </c>
      <c r="E13" s="39">
        <f t="shared" si="8"/>
        <v>4</v>
      </c>
      <c r="F13" s="41">
        <v>61</v>
      </c>
      <c r="G13" s="39">
        <f t="shared" si="9"/>
        <v>4</v>
      </c>
      <c r="H13" s="41">
        <v>61</v>
      </c>
      <c r="I13" s="39">
        <f t="shared" si="12"/>
        <v>6</v>
      </c>
      <c r="J13" s="39">
        <f t="shared" si="13"/>
        <v>234</v>
      </c>
      <c r="K13" s="39">
        <f t="shared" si="14"/>
        <v>58.5</v>
      </c>
      <c r="L13" s="39">
        <f t="shared" si="15"/>
        <v>4.5</v>
      </c>
      <c r="M13" s="148">
        <f t="shared" si="3"/>
        <v>24196</v>
      </c>
      <c r="N13" s="39">
        <f t="shared" si="16"/>
        <v>1088.82</v>
      </c>
      <c r="O13" s="39">
        <f t="shared" si="10"/>
        <v>575.98577999999998</v>
      </c>
      <c r="P13" s="42">
        <f t="shared" si="11"/>
        <v>6790.8723461999989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44603</v>
      </c>
      <c r="B14" s="41">
        <v>52</v>
      </c>
      <c r="C14" s="39">
        <f t="shared" si="7"/>
        <v>4</v>
      </c>
      <c r="D14" s="41">
        <v>52</v>
      </c>
      <c r="E14" s="39">
        <f t="shared" si="8"/>
        <v>4</v>
      </c>
      <c r="F14" s="41">
        <v>57</v>
      </c>
      <c r="G14" s="39">
        <f t="shared" si="9"/>
        <v>2</v>
      </c>
      <c r="H14" s="41">
        <v>55</v>
      </c>
      <c r="I14" s="39">
        <f>IF(AC14&gt;0,((H14-AA14)+(AB14-H15)),IF(H15=0, ,(H14-H15)))</f>
        <v>3</v>
      </c>
      <c r="J14" s="39">
        <f t="shared" si="13"/>
        <v>216</v>
      </c>
      <c r="K14" s="39">
        <f t="shared" si="14"/>
        <v>54</v>
      </c>
      <c r="L14" s="39">
        <f t="shared" si="15"/>
        <v>3.25</v>
      </c>
      <c r="M14" s="148">
        <f t="shared" si="3"/>
        <v>24196</v>
      </c>
      <c r="N14" s="39">
        <f t="shared" si="16"/>
        <v>786.37</v>
      </c>
      <c r="O14" s="39">
        <f t="shared" si="10"/>
        <v>415.98973000000001</v>
      </c>
      <c r="P14" s="42">
        <f t="shared" si="11"/>
        <v>4904.5189166999999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44604</v>
      </c>
      <c r="B15" s="41">
        <v>48</v>
      </c>
      <c r="C15" s="39">
        <f t="shared" si="7"/>
        <v>0</v>
      </c>
      <c r="D15" s="41">
        <v>48</v>
      </c>
      <c r="E15" s="39">
        <f t="shared" si="8"/>
        <v>0</v>
      </c>
      <c r="F15" s="41">
        <v>55</v>
      </c>
      <c r="G15" s="39">
        <f t="shared" si="9"/>
        <v>0</v>
      </c>
      <c r="H15" s="41">
        <v>52</v>
      </c>
      <c r="I15" s="39">
        <f>IF(AC15&gt;0,((H15-AA15)+(AB15-H16)),IF(H16=0, ,(H15-H16)))</f>
        <v>0</v>
      </c>
      <c r="J15" s="39">
        <f t="shared" si="13"/>
        <v>203</v>
      </c>
      <c r="K15" s="39">
        <f t="shared" si="14"/>
        <v>50.75</v>
      </c>
      <c r="L15" s="39">
        <f t="shared" si="15"/>
        <v>0</v>
      </c>
      <c r="M15" s="148">
        <f t="shared" si="3"/>
        <v>24196</v>
      </c>
      <c r="N15" s="39">
        <f t="shared" si="16"/>
        <v>0</v>
      </c>
      <c r="O15" s="39">
        <f t="shared" si="10"/>
        <v>0</v>
      </c>
      <c r="P15" s="42">
        <f t="shared" si="11"/>
        <v>0</v>
      </c>
      <c r="Q15" s="39">
        <v>2996</v>
      </c>
      <c r="R15" s="39">
        <v>48</v>
      </c>
      <c r="S15" s="39">
        <v>85</v>
      </c>
      <c r="T15" s="39">
        <v>2993</v>
      </c>
      <c r="U15" s="39">
        <v>48</v>
      </c>
      <c r="V15" s="39">
        <v>85</v>
      </c>
      <c r="W15" s="39">
        <v>2418</v>
      </c>
      <c r="X15" s="39">
        <v>55</v>
      </c>
      <c r="Y15" s="39">
        <v>85</v>
      </c>
      <c r="Z15" s="39">
        <v>2822</v>
      </c>
      <c r="AA15" s="39">
        <v>52</v>
      </c>
      <c r="AB15" s="39">
        <v>85</v>
      </c>
      <c r="AC15" s="39">
        <f>Q15+T15+W15+Z15</f>
        <v>11229</v>
      </c>
      <c r="AD15" s="38">
        <f>(R15+U15+X15+AA15)/4</f>
        <v>50.75</v>
      </c>
      <c r="AE15" s="38">
        <f>(S15+V15+Y15+AB15)/4</f>
        <v>85</v>
      </c>
    </row>
    <row r="16" spans="1:31" ht="32.25" customHeight="1" x14ac:dyDescent="0.3">
      <c r="A16" s="40">
        <v>44605</v>
      </c>
      <c r="B16" s="41">
        <v>85</v>
      </c>
      <c r="C16" s="39">
        <f t="shared" si="7"/>
        <v>2</v>
      </c>
      <c r="D16" s="41">
        <v>85</v>
      </c>
      <c r="E16" s="39">
        <f t="shared" si="8"/>
        <v>1</v>
      </c>
      <c r="F16" s="41">
        <v>85</v>
      </c>
      <c r="G16" s="39">
        <f t="shared" si="9"/>
        <v>1</v>
      </c>
      <c r="H16" s="41">
        <v>85</v>
      </c>
      <c r="I16" s="39">
        <f t="shared" si="12"/>
        <v>1</v>
      </c>
      <c r="J16" s="39">
        <f t="shared" si="13"/>
        <v>340</v>
      </c>
      <c r="K16" s="39">
        <f t="shared" si="14"/>
        <v>85</v>
      </c>
      <c r="L16" s="39">
        <f t="shared" si="15"/>
        <v>1.25</v>
      </c>
      <c r="M16" s="148">
        <f t="shared" si="3"/>
        <v>24196</v>
      </c>
      <c r="N16" s="39">
        <f t="shared" si="16"/>
        <v>302.45</v>
      </c>
      <c r="O16" s="39">
        <f t="shared" si="10"/>
        <v>159.99605</v>
      </c>
      <c r="P16" s="42">
        <f t="shared" si="11"/>
        <v>1886.3534294999997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44606</v>
      </c>
      <c r="B17" s="41">
        <v>83</v>
      </c>
      <c r="C17" s="39">
        <f t="shared" si="7"/>
        <v>6</v>
      </c>
      <c r="D17" s="41">
        <v>84</v>
      </c>
      <c r="E17" s="39">
        <f t="shared" si="8"/>
        <v>7</v>
      </c>
      <c r="F17" s="41">
        <v>84</v>
      </c>
      <c r="G17" s="39">
        <f t="shared" si="9"/>
        <v>4</v>
      </c>
      <c r="H17" s="41">
        <v>84</v>
      </c>
      <c r="I17" s="39">
        <f t="shared" si="12"/>
        <v>4</v>
      </c>
      <c r="J17" s="39">
        <f t="shared" si="13"/>
        <v>335</v>
      </c>
      <c r="K17" s="39">
        <f t="shared" si="14"/>
        <v>83.75</v>
      </c>
      <c r="L17" s="39">
        <f t="shared" si="15"/>
        <v>5.25</v>
      </c>
      <c r="M17" s="148">
        <f t="shared" si="3"/>
        <v>24196</v>
      </c>
      <c r="N17" s="39">
        <f t="shared" si="16"/>
        <v>1270.29</v>
      </c>
      <c r="O17" s="39">
        <f t="shared" si="10"/>
        <v>671.98341000000005</v>
      </c>
      <c r="P17" s="42">
        <f t="shared" si="11"/>
        <v>7922.6844038999998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44607</v>
      </c>
      <c r="B18" s="41">
        <v>77</v>
      </c>
      <c r="C18" s="39">
        <f t="shared" si="7"/>
        <v>4</v>
      </c>
      <c r="D18" s="41">
        <v>77</v>
      </c>
      <c r="E18" s="39">
        <f t="shared" si="8"/>
        <v>3</v>
      </c>
      <c r="F18" s="41">
        <v>80</v>
      </c>
      <c r="G18" s="39">
        <f t="shared" si="9"/>
        <v>2</v>
      </c>
      <c r="H18" s="41">
        <v>80</v>
      </c>
      <c r="I18" s="39">
        <f t="shared" si="12"/>
        <v>2</v>
      </c>
      <c r="J18" s="39">
        <f t="shared" si="13"/>
        <v>314</v>
      </c>
      <c r="K18" s="39">
        <f t="shared" si="14"/>
        <v>78.5</v>
      </c>
      <c r="L18" s="39">
        <f t="shared" si="15"/>
        <v>2.75</v>
      </c>
      <c r="M18" s="148">
        <f t="shared" si="3"/>
        <v>24196</v>
      </c>
      <c r="N18" s="39">
        <f t="shared" si="16"/>
        <v>665.39</v>
      </c>
      <c r="O18" s="39">
        <f t="shared" si="10"/>
        <v>351.99131</v>
      </c>
      <c r="P18" s="42">
        <f t="shared" si="11"/>
        <v>4149.9775448999999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44608</v>
      </c>
      <c r="B19" s="41">
        <v>73</v>
      </c>
      <c r="C19" s="39">
        <f t="shared" si="7"/>
        <v>6</v>
      </c>
      <c r="D19" s="41">
        <v>74</v>
      </c>
      <c r="E19" s="39">
        <f t="shared" si="8"/>
        <v>5</v>
      </c>
      <c r="F19" s="41">
        <v>78</v>
      </c>
      <c r="G19" s="39">
        <f t="shared" si="9"/>
        <v>8</v>
      </c>
      <c r="H19" s="41">
        <v>78</v>
      </c>
      <c r="I19" s="39">
        <f t="shared" si="12"/>
        <v>7</v>
      </c>
      <c r="J19" s="39">
        <f t="shared" si="13"/>
        <v>303</v>
      </c>
      <c r="K19" s="39">
        <f t="shared" si="14"/>
        <v>75.75</v>
      </c>
      <c r="L19" s="39">
        <f t="shared" si="15"/>
        <v>6.5</v>
      </c>
      <c r="M19" s="148">
        <f t="shared" si="3"/>
        <v>24196</v>
      </c>
      <c r="N19" s="39">
        <f t="shared" si="16"/>
        <v>1572.74</v>
      </c>
      <c r="O19" s="39">
        <f t="shared" si="10"/>
        <v>831.97946000000002</v>
      </c>
      <c r="P19" s="42">
        <f t="shared" si="11"/>
        <v>9809.0378333999997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44609</v>
      </c>
      <c r="B20" s="41">
        <v>67</v>
      </c>
      <c r="C20" s="39">
        <f t="shared" si="7"/>
        <v>5</v>
      </c>
      <c r="D20" s="41">
        <v>69</v>
      </c>
      <c r="E20" s="39">
        <f t="shared" si="8"/>
        <v>5</v>
      </c>
      <c r="F20" s="41">
        <v>70</v>
      </c>
      <c r="G20" s="39">
        <f t="shared" si="9"/>
        <v>4</v>
      </c>
      <c r="H20" s="41">
        <v>71</v>
      </c>
      <c r="I20" s="39">
        <f t="shared" si="12"/>
        <v>4</v>
      </c>
      <c r="J20" s="39">
        <f t="shared" si="13"/>
        <v>277</v>
      </c>
      <c r="K20" s="39">
        <f t="shared" si="14"/>
        <v>69.25</v>
      </c>
      <c r="L20" s="39">
        <f t="shared" ref="L20:L42" si="17">IF(AC20&gt;0,((K20-AD20)+(AE20-K21)),IF(K21=0, ,(K20-K21)))</f>
        <v>4.5</v>
      </c>
      <c r="M20" s="148">
        <f t="shared" si="3"/>
        <v>24196</v>
      </c>
      <c r="N20" s="39">
        <f t="shared" si="16"/>
        <v>1088.82</v>
      </c>
      <c r="O20" s="39">
        <f t="shared" si="10"/>
        <v>575.98577999999998</v>
      </c>
      <c r="P20" s="42">
        <f t="shared" si="11"/>
        <v>6790.8723461999989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44610</v>
      </c>
      <c r="B21" s="41">
        <v>62</v>
      </c>
      <c r="C21" s="39">
        <f t="shared" si="7"/>
        <v>5</v>
      </c>
      <c r="D21" s="41">
        <v>64</v>
      </c>
      <c r="E21" s="39">
        <f t="shared" si="8"/>
        <v>5</v>
      </c>
      <c r="F21" s="41">
        <v>66</v>
      </c>
      <c r="G21" s="39">
        <f t="shared" si="9"/>
        <v>4</v>
      </c>
      <c r="H21" s="41">
        <v>67</v>
      </c>
      <c r="I21" s="39">
        <f t="shared" si="12"/>
        <v>4</v>
      </c>
      <c r="J21" s="39">
        <f t="shared" si="13"/>
        <v>259</v>
      </c>
      <c r="K21" s="39">
        <f t="shared" si="14"/>
        <v>64.75</v>
      </c>
      <c r="L21" s="39">
        <f>IF(AC21&gt;0,((K21-AD21)+(AE21-K22)),IF(K22=0, ,(K21-K22)))</f>
        <v>4.5</v>
      </c>
      <c r="M21" s="148">
        <f t="shared" si="3"/>
        <v>24196</v>
      </c>
      <c r="N21" s="39">
        <f t="shared" si="16"/>
        <v>1088.82</v>
      </c>
      <c r="O21" s="39">
        <f t="shared" si="10"/>
        <v>575.98577999999998</v>
      </c>
      <c r="P21" s="42">
        <f t="shared" si="11"/>
        <v>6790.8723461999989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44611</v>
      </c>
      <c r="B22" s="41">
        <v>57</v>
      </c>
      <c r="C22" s="39">
        <f t="shared" si="7"/>
        <v>6</v>
      </c>
      <c r="D22" s="41">
        <v>59</v>
      </c>
      <c r="E22" s="39">
        <f t="shared" si="8"/>
        <v>4</v>
      </c>
      <c r="F22" s="41">
        <v>62</v>
      </c>
      <c r="G22" s="39">
        <f t="shared" si="9"/>
        <v>4</v>
      </c>
      <c r="H22" s="41">
        <v>63</v>
      </c>
      <c r="I22" s="39">
        <f t="shared" si="12"/>
        <v>4</v>
      </c>
      <c r="J22" s="39">
        <f t="shared" si="13"/>
        <v>241</v>
      </c>
      <c r="K22" s="39">
        <f t="shared" si="14"/>
        <v>60.25</v>
      </c>
      <c r="L22" s="39">
        <f>IF(AC22&gt;0,((K22-AD22)+(AE22-K23)),IF(K23=0, ,(K22-K23)))</f>
        <v>4.5</v>
      </c>
      <c r="M22" s="148">
        <f t="shared" si="3"/>
        <v>24196</v>
      </c>
      <c r="N22" s="39">
        <f t="shared" si="16"/>
        <v>1088.82</v>
      </c>
      <c r="O22" s="39">
        <f t="shared" si="10"/>
        <v>575.98577999999998</v>
      </c>
      <c r="P22" s="42">
        <f t="shared" si="11"/>
        <v>6790.8723461999989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44612</v>
      </c>
      <c r="B23" s="41">
        <v>51</v>
      </c>
      <c r="C23" s="39">
        <f t="shared" si="7"/>
        <v>5</v>
      </c>
      <c r="D23" s="41">
        <v>55</v>
      </c>
      <c r="E23" s="39">
        <f t="shared" si="8"/>
        <v>5</v>
      </c>
      <c r="F23" s="41">
        <v>58</v>
      </c>
      <c r="G23" s="39">
        <f t="shared" si="9"/>
        <v>4</v>
      </c>
      <c r="H23" s="41">
        <v>59</v>
      </c>
      <c r="I23" s="39">
        <f t="shared" si="12"/>
        <v>4</v>
      </c>
      <c r="J23" s="39">
        <f t="shared" si="13"/>
        <v>223</v>
      </c>
      <c r="K23" s="39">
        <f t="shared" si="14"/>
        <v>55.75</v>
      </c>
      <c r="L23" s="39">
        <f t="shared" si="17"/>
        <v>4.5</v>
      </c>
      <c r="M23" s="148">
        <f t="shared" si="3"/>
        <v>24196</v>
      </c>
      <c r="N23" s="39">
        <f t="shared" si="16"/>
        <v>1088.82</v>
      </c>
      <c r="O23" s="39">
        <f t="shared" si="10"/>
        <v>575.98577999999998</v>
      </c>
      <c r="P23" s="42">
        <f t="shared" si="11"/>
        <v>6790.8723461999989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44613</v>
      </c>
      <c r="B24" s="41">
        <v>46</v>
      </c>
      <c r="C24" s="39">
        <f t="shared" si="7"/>
        <v>2</v>
      </c>
      <c r="D24" s="41">
        <v>50</v>
      </c>
      <c r="E24" s="39">
        <f t="shared" si="8"/>
        <v>0</v>
      </c>
      <c r="F24" s="41">
        <v>54</v>
      </c>
      <c r="G24" s="39">
        <f t="shared" si="9"/>
        <v>0</v>
      </c>
      <c r="H24" s="41">
        <v>55</v>
      </c>
      <c r="I24" s="39">
        <f t="shared" si="12"/>
        <v>0</v>
      </c>
      <c r="J24" s="39">
        <f t="shared" si="13"/>
        <v>205</v>
      </c>
      <c r="K24" s="39">
        <f t="shared" si="14"/>
        <v>51.25</v>
      </c>
      <c r="L24" s="39">
        <f t="shared" si="17"/>
        <v>0.5</v>
      </c>
      <c r="M24" s="148">
        <f t="shared" si="3"/>
        <v>24196</v>
      </c>
      <c r="N24" s="39">
        <f t="shared" si="16"/>
        <v>120.98</v>
      </c>
      <c r="O24" s="39">
        <f t="shared" si="10"/>
        <v>63.998420000000003</v>
      </c>
      <c r="P24" s="42">
        <f t="shared" si="11"/>
        <v>754.54137179999998</v>
      </c>
      <c r="Q24" s="39">
        <v>1890</v>
      </c>
      <c r="R24" s="39">
        <v>45</v>
      </c>
      <c r="S24" s="39">
        <v>70</v>
      </c>
      <c r="T24" s="39">
        <v>1890</v>
      </c>
      <c r="U24" s="39">
        <v>50</v>
      </c>
      <c r="V24" s="39">
        <v>70</v>
      </c>
      <c r="W24" s="39">
        <v>1890</v>
      </c>
      <c r="X24" s="39">
        <v>50</v>
      </c>
      <c r="Y24" s="39">
        <v>70</v>
      </c>
      <c r="Z24" s="39">
        <v>1890</v>
      </c>
      <c r="AA24" s="39">
        <v>55</v>
      </c>
      <c r="AB24" s="39">
        <v>75</v>
      </c>
      <c r="AC24" s="39">
        <f t="shared" si="4"/>
        <v>7560</v>
      </c>
      <c r="AD24" s="38">
        <f t="shared" si="5"/>
        <v>50</v>
      </c>
      <c r="AE24" s="38">
        <f t="shared" si="6"/>
        <v>71.25</v>
      </c>
    </row>
    <row r="25" spans="1:31" ht="32.25" customHeight="1" x14ac:dyDescent="0.3">
      <c r="A25" s="40">
        <v>44614</v>
      </c>
      <c r="B25" s="41">
        <v>69</v>
      </c>
      <c r="C25" s="39">
        <f t="shared" si="7"/>
        <v>4</v>
      </c>
      <c r="D25" s="41">
        <v>70</v>
      </c>
      <c r="E25" s="39">
        <f t="shared" si="8"/>
        <v>5</v>
      </c>
      <c r="F25" s="41">
        <v>74</v>
      </c>
      <c r="G25" s="39">
        <f t="shared" si="9"/>
        <v>4</v>
      </c>
      <c r="H25" s="41">
        <v>75</v>
      </c>
      <c r="I25" s="39">
        <f t="shared" si="12"/>
        <v>5</v>
      </c>
      <c r="J25" s="39">
        <f t="shared" si="13"/>
        <v>288</v>
      </c>
      <c r="K25" s="39">
        <f t="shared" si="14"/>
        <v>72</v>
      </c>
      <c r="L25" s="39">
        <f t="shared" si="17"/>
        <v>4.5</v>
      </c>
      <c r="M25" s="148">
        <f t="shared" si="3"/>
        <v>24196</v>
      </c>
      <c r="N25" s="39">
        <f t="shared" si="16"/>
        <v>1088.82</v>
      </c>
      <c r="O25" s="39">
        <f t="shared" si="10"/>
        <v>575.98577999999998</v>
      </c>
      <c r="P25" s="42">
        <f t="shared" si="11"/>
        <v>6790.8723461999989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8">(R25+U25+X25+AA25)/4</f>
        <v>0</v>
      </c>
      <c r="AE25" s="38">
        <f>(S25+V25+Y25+AB25)/4</f>
        <v>0</v>
      </c>
    </row>
    <row r="26" spans="1:31" ht="32.25" customHeight="1" x14ac:dyDescent="0.3">
      <c r="A26" s="40">
        <v>44615</v>
      </c>
      <c r="B26" s="41">
        <v>65</v>
      </c>
      <c r="C26" s="39">
        <f t="shared" si="7"/>
        <v>5</v>
      </c>
      <c r="D26" s="41">
        <v>65</v>
      </c>
      <c r="E26" s="39">
        <f t="shared" si="8"/>
        <v>5</v>
      </c>
      <c r="F26" s="41">
        <v>70</v>
      </c>
      <c r="G26" s="39">
        <f t="shared" si="9"/>
        <v>5</v>
      </c>
      <c r="H26" s="41">
        <v>70</v>
      </c>
      <c r="I26" s="39">
        <f t="shared" si="12"/>
        <v>4</v>
      </c>
      <c r="J26" s="39">
        <f t="shared" si="13"/>
        <v>270</v>
      </c>
      <c r="K26" s="39">
        <f t="shared" si="14"/>
        <v>67.5</v>
      </c>
      <c r="L26" s="39">
        <f t="shared" si="17"/>
        <v>4.75</v>
      </c>
      <c r="M26" s="148">
        <f t="shared" si="3"/>
        <v>24196</v>
      </c>
      <c r="N26" s="39">
        <f t="shared" si="16"/>
        <v>1149.31</v>
      </c>
      <c r="O26" s="39">
        <f t="shared" si="10"/>
        <v>607.98499000000004</v>
      </c>
      <c r="P26" s="42">
        <f t="shared" si="11"/>
        <v>7168.1430320999998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9">Q26+T26+W26+Z26</f>
        <v>0</v>
      </c>
      <c r="AD26" s="38">
        <f t="shared" si="18"/>
        <v>0</v>
      </c>
      <c r="AE26" s="38">
        <f>(S26+V26+Y26+AB26)/4</f>
        <v>0</v>
      </c>
    </row>
    <row r="27" spans="1:31" ht="32.25" customHeight="1" x14ac:dyDescent="0.3">
      <c r="A27" s="40">
        <v>44616</v>
      </c>
      <c r="B27" s="41">
        <v>60</v>
      </c>
      <c r="C27" s="39">
        <f t="shared" ref="C27" si="20">IF(AC27&gt;0,((B27-R27)+(S27-B28)),IF(B28=0, ,(B27-B28)))</f>
        <v>5</v>
      </c>
      <c r="D27" s="41">
        <v>60</v>
      </c>
      <c r="E27" s="39">
        <f t="shared" ref="E27" si="21">IF(AC27&gt;0,((D27-U27)+(V27-D28)),IF(D28=0, ,(D27-D28)))</f>
        <v>1</v>
      </c>
      <c r="F27" s="41">
        <v>65</v>
      </c>
      <c r="G27" s="39">
        <f t="shared" ref="G27" si="22">IF(AC27&gt;0,((F27-X27)+(Y27-F28)),IF(F28=0, ,(F27-F28)))</f>
        <v>4</v>
      </c>
      <c r="H27" s="41">
        <v>66</v>
      </c>
      <c r="I27" s="39">
        <f t="shared" si="12"/>
        <v>2</v>
      </c>
      <c r="J27" s="39">
        <f t="shared" si="13"/>
        <v>251</v>
      </c>
      <c r="K27" s="39">
        <f t="shared" si="14"/>
        <v>62.75</v>
      </c>
      <c r="L27" s="39">
        <f t="shared" si="17"/>
        <v>3</v>
      </c>
      <c r="M27" s="148">
        <f t="shared" si="3"/>
        <v>24196</v>
      </c>
      <c r="N27" s="39">
        <f t="shared" si="16"/>
        <v>725.88</v>
      </c>
      <c r="O27" s="39">
        <f t="shared" si="10"/>
        <v>383.99052</v>
      </c>
      <c r="P27" s="42">
        <f t="shared" si="11"/>
        <v>4527.2482307999999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9"/>
        <v>0</v>
      </c>
      <c r="AD27" s="38">
        <f t="shared" si="18"/>
        <v>0</v>
      </c>
      <c r="AE27" s="38">
        <f>(S27+V27+Y27+AB27)/4</f>
        <v>0</v>
      </c>
    </row>
    <row r="28" spans="1:31" ht="32.25" customHeight="1" x14ac:dyDescent="0.3">
      <c r="A28" s="40">
        <v>44617</v>
      </c>
      <c r="B28" s="41">
        <v>55</v>
      </c>
      <c r="C28" s="39">
        <f t="shared" si="7"/>
        <v>4</v>
      </c>
      <c r="D28" s="41">
        <v>59</v>
      </c>
      <c r="E28" s="39">
        <f t="shared" si="8"/>
        <v>5</v>
      </c>
      <c r="F28" s="41">
        <v>61</v>
      </c>
      <c r="G28" s="39">
        <f t="shared" si="9"/>
        <v>4</v>
      </c>
      <c r="H28" s="41">
        <v>64</v>
      </c>
      <c r="I28" s="39">
        <f>IF(AC28&gt;0,((H28-AA28)+(AB28-H29)),IF(H29=0, ,(H28-H29)))</f>
        <v>14</v>
      </c>
      <c r="J28" s="39">
        <f t="shared" si="13"/>
        <v>239</v>
      </c>
      <c r="K28" s="39">
        <f t="shared" si="14"/>
        <v>59.75</v>
      </c>
      <c r="L28" s="39">
        <f t="shared" si="17"/>
        <v>6.75</v>
      </c>
      <c r="M28" s="148">
        <f t="shared" si="3"/>
        <v>24196</v>
      </c>
      <c r="N28" s="39">
        <f t="shared" si="16"/>
        <v>1633.23</v>
      </c>
      <c r="O28" s="39">
        <f t="shared" si="10"/>
        <v>863.97867000000008</v>
      </c>
      <c r="P28" s="42">
        <f t="shared" si="11"/>
        <v>10186.308519300001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9"/>
        <v>0</v>
      </c>
      <c r="AD28" s="38">
        <f t="shared" si="18"/>
        <v>0</v>
      </c>
      <c r="AE28" s="38">
        <f>(S28+V28+Y28+AB28)/4</f>
        <v>0</v>
      </c>
    </row>
    <row r="29" spans="1:31" ht="32.25" customHeight="1" x14ac:dyDescent="0.3">
      <c r="A29" s="40">
        <v>44618</v>
      </c>
      <c r="B29" s="41">
        <v>51</v>
      </c>
      <c r="C29" s="39">
        <f t="shared" si="7"/>
        <v>2</v>
      </c>
      <c r="D29" s="41">
        <v>54</v>
      </c>
      <c r="E29" s="39">
        <f t="shared" si="8"/>
        <v>2</v>
      </c>
      <c r="F29" s="41">
        <v>57</v>
      </c>
      <c r="G29" s="39">
        <f t="shared" si="9"/>
        <v>0</v>
      </c>
      <c r="H29" s="41">
        <v>50</v>
      </c>
      <c r="I29" s="39">
        <f t="shared" si="12"/>
        <v>0</v>
      </c>
      <c r="J29" s="39">
        <f t="shared" si="13"/>
        <v>212</v>
      </c>
      <c r="K29" s="39">
        <f t="shared" si="14"/>
        <v>53</v>
      </c>
      <c r="L29" s="39">
        <f t="shared" si="17"/>
        <v>1</v>
      </c>
      <c r="M29" s="148">
        <f t="shared" si="3"/>
        <v>24196</v>
      </c>
      <c r="N29" s="39">
        <f t="shared" si="16"/>
        <v>241.96</v>
      </c>
      <c r="O29" s="39">
        <f t="shared" si="10"/>
        <v>127.99684000000001</v>
      </c>
      <c r="P29" s="42">
        <f t="shared" si="11"/>
        <v>1509.0827436</v>
      </c>
      <c r="Q29" s="39">
        <v>1890</v>
      </c>
      <c r="R29" s="39">
        <v>51</v>
      </c>
      <c r="S29" s="39">
        <v>76</v>
      </c>
      <c r="T29" s="39">
        <v>1890</v>
      </c>
      <c r="U29" s="39">
        <v>54</v>
      </c>
      <c r="V29" s="39">
        <v>77</v>
      </c>
      <c r="W29" s="39">
        <v>1890</v>
      </c>
      <c r="X29" s="39">
        <v>57</v>
      </c>
      <c r="Y29" s="39">
        <v>80</v>
      </c>
      <c r="Z29" s="39">
        <v>1890</v>
      </c>
      <c r="AA29" s="39">
        <v>50</v>
      </c>
      <c r="AB29" s="39">
        <v>80</v>
      </c>
      <c r="AC29" s="39">
        <f>Q29+T29+W29+Z29</f>
        <v>7560</v>
      </c>
      <c r="AD29" s="38">
        <f t="shared" si="18"/>
        <v>53</v>
      </c>
      <c r="AE29" s="38">
        <f>(S29+V29+Y29+AB29)/4</f>
        <v>78.25</v>
      </c>
    </row>
    <row r="30" spans="1:31" ht="32.25" customHeight="1" x14ac:dyDescent="0.3">
      <c r="A30" s="40">
        <v>44619</v>
      </c>
      <c r="B30" s="41">
        <v>74</v>
      </c>
      <c r="C30" s="39">
        <f t="shared" si="7"/>
        <v>5</v>
      </c>
      <c r="D30" s="41">
        <v>75</v>
      </c>
      <c r="E30" s="39">
        <f t="shared" si="8"/>
        <v>5</v>
      </c>
      <c r="F30" s="41">
        <v>80</v>
      </c>
      <c r="G30" s="39">
        <f t="shared" si="9"/>
        <v>4</v>
      </c>
      <c r="H30" s="41">
        <v>80</v>
      </c>
      <c r="I30" s="39">
        <f t="shared" si="12"/>
        <v>4</v>
      </c>
      <c r="J30" s="39">
        <f t="shared" si="13"/>
        <v>309</v>
      </c>
      <c r="K30" s="39">
        <f t="shared" si="14"/>
        <v>77.25</v>
      </c>
      <c r="L30" s="39">
        <f t="shared" si="17"/>
        <v>4.5</v>
      </c>
      <c r="M30" s="148">
        <f t="shared" si="3"/>
        <v>24196</v>
      </c>
      <c r="N30" s="39">
        <f t="shared" si="16"/>
        <v>1088.82</v>
      </c>
      <c r="O30" s="39">
        <f t="shared" si="10"/>
        <v>575.98577999999998</v>
      </c>
      <c r="P30" s="42">
        <f t="shared" si="11"/>
        <v>6790.8723461999989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9"/>
        <v>0</v>
      </c>
      <c r="AD30" s="38">
        <f t="shared" si="18"/>
        <v>0</v>
      </c>
      <c r="AE30" s="38">
        <f t="shared" ref="AE30:AE42" si="23">(S30+V30+Y30+AB30)/4</f>
        <v>0</v>
      </c>
    </row>
    <row r="31" spans="1:31" ht="32.25" customHeight="1" x14ac:dyDescent="0.3">
      <c r="A31" s="40">
        <v>44620</v>
      </c>
      <c r="B31" s="41">
        <v>69</v>
      </c>
      <c r="C31" s="39">
        <f t="shared" si="7"/>
        <v>3</v>
      </c>
      <c r="D31" s="41">
        <v>70</v>
      </c>
      <c r="E31" s="39">
        <f t="shared" si="8"/>
        <v>2</v>
      </c>
      <c r="F31" s="41">
        <v>76</v>
      </c>
      <c r="G31" s="39">
        <f t="shared" si="9"/>
        <v>4</v>
      </c>
      <c r="H31" s="41">
        <v>76</v>
      </c>
      <c r="I31" s="39">
        <f t="shared" si="12"/>
        <v>3</v>
      </c>
      <c r="J31" s="39">
        <f t="shared" si="13"/>
        <v>291</v>
      </c>
      <c r="K31" s="39">
        <f t="shared" si="14"/>
        <v>72.75</v>
      </c>
      <c r="L31" s="39">
        <f t="shared" si="17"/>
        <v>3</v>
      </c>
      <c r="M31" s="148">
        <f t="shared" si="3"/>
        <v>24196</v>
      </c>
      <c r="N31" s="39">
        <f t="shared" si="16"/>
        <v>725.88</v>
      </c>
      <c r="O31" s="39">
        <f t="shared" si="10"/>
        <v>383.99052</v>
      </c>
      <c r="P31" s="42">
        <f t="shared" si="11"/>
        <v>4527.2482307999999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9"/>
        <v>0</v>
      </c>
      <c r="AD31" s="38">
        <f t="shared" si="18"/>
        <v>0</v>
      </c>
      <c r="AE31" s="38">
        <f t="shared" si="23"/>
        <v>0</v>
      </c>
    </row>
    <row r="32" spans="1:31" ht="32.25" customHeight="1" x14ac:dyDescent="0.3">
      <c r="A32" s="40">
        <v>44621</v>
      </c>
      <c r="B32" s="41">
        <v>66</v>
      </c>
      <c r="C32" s="39">
        <f t="shared" si="7"/>
        <v>0</v>
      </c>
      <c r="D32" s="41">
        <v>68</v>
      </c>
      <c r="E32" s="39">
        <f t="shared" si="8"/>
        <v>0</v>
      </c>
      <c r="F32" s="41">
        <v>72</v>
      </c>
      <c r="G32" s="39">
        <f t="shared" si="9"/>
        <v>0</v>
      </c>
      <c r="H32" s="41">
        <v>73</v>
      </c>
      <c r="I32" s="39">
        <f t="shared" si="12"/>
        <v>0</v>
      </c>
      <c r="J32" s="39">
        <f t="shared" si="13"/>
        <v>279</v>
      </c>
      <c r="K32" s="39">
        <f t="shared" si="14"/>
        <v>69.75</v>
      </c>
      <c r="L32" s="39">
        <f t="shared" si="17"/>
        <v>0</v>
      </c>
      <c r="M32" s="148">
        <f t="shared" si="3"/>
        <v>24196</v>
      </c>
      <c r="N32" s="39">
        <f t="shared" si="16"/>
        <v>0</v>
      </c>
      <c r="O32" s="148">
        <f t="shared" ref="O32:O37" si="24">N32*0.529</f>
        <v>0</v>
      </c>
      <c r="P32" s="42">
        <f t="shared" ref="P32:P36" si="25">O32*11.79</f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8"/>
        <v>0</v>
      </c>
      <c r="AE32" s="38">
        <f t="shared" si="23"/>
        <v>0</v>
      </c>
    </row>
    <row r="33" spans="1:31" ht="32.25" customHeight="1" x14ac:dyDescent="0.3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2"/>
        <v>0</v>
      </c>
      <c r="J33" s="39">
        <f t="shared" si="13"/>
        <v>0</v>
      </c>
      <c r="K33" s="39">
        <f t="shared" si="14"/>
        <v>0</v>
      </c>
      <c r="L33" s="39">
        <f t="shared" si="17"/>
        <v>0</v>
      </c>
      <c r="M33" s="148">
        <f t="shared" si="3"/>
        <v>24196</v>
      </c>
      <c r="N33" s="39">
        <f t="shared" si="16"/>
        <v>0</v>
      </c>
      <c r="O33" s="39">
        <f t="shared" si="24"/>
        <v>0</v>
      </c>
      <c r="P33" s="42">
        <f t="shared" si="25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8"/>
        <v>0</v>
      </c>
      <c r="AE33" s="38">
        <f t="shared" si="23"/>
        <v>0</v>
      </c>
    </row>
    <row r="34" spans="1:31" ht="32.25" customHeight="1" x14ac:dyDescent="0.3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2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8">
        <f t="shared" si="3"/>
        <v>24196</v>
      </c>
      <c r="N34" s="39">
        <f>L34*M34/100</f>
        <v>0</v>
      </c>
      <c r="O34" s="39">
        <f>N34*0.529</f>
        <v>0</v>
      </c>
      <c r="P34" s="42">
        <f t="shared" si="25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9"/>
        <v>0</v>
      </c>
      <c r="AD34" s="38">
        <f t="shared" si="18"/>
        <v>0</v>
      </c>
      <c r="AE34" s="38">
        <f t="shared" si="23"/>
        <v>0</v>
      </c>
    </row>
    <row r="35" spans="1:31" ht="32.25" customHeight="1" x14ac:dyDescent="0.3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2"/>
        <v>0</v>
      </c>
      <c r="J35" s="39">
        <f>B35+D35+F35+H35</f>
        <v>0</v>
      </c>
      <c r="K35" s="39">
        <f>J35/4</f>
        <v>0</v>
      </c>
      <c r="L35" s="39">
        <f t="shared" si="17"/>
        <v>0</v>
      </c>
      <c r="M35" s="148">
        <f t="shared" si="3"/>
        <v>24196</v>
      </c>
      <c r="N35" s="39">
        <f t="shared" si="16"/>
        <v>0</v>
      </c>
      <c r="O35" s="39">
        <f t="shared" si="24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9"/>
        <v>0</v>
      </c>
      <c r="AD35" s="38">
        <f t="shared" si="18"/>
        <v>0</v>
      </c>
      <c r="AE35" s="38">
        <f t="shared" si="23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6">IF(AC36&gt;0,((D36-U36)+(V36-D37)),IF(D37=0, ,(D36-D37)))</f>
        <v>0</v>
      </c>
      <c r="F36" s="41"/>
      <c r="G36" s="39">
        <f t="shared" ref="G36" si="27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7"/>
        <v>0</v>
      </c>
      <c r="M36" s="148">
        <f t="shared" si="3"/>
        <v>24196</v>
      </c>
      <c r="N36" s="39">
        <f t="shared" si="16"/>
        <v>0</v>
      </c>
      <c r="O36" s="39">
        <f t="shared" si="24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9"/>
        <v>0</v>
      </c>
      <c r="AD36" s="38">
        <f t="shared" si="18"/>
        <v>0</v>
      </c>
      <c r="AE36" s="38">
        <f t="shared" si="23"/>
        <v>0</v>
      </c>
    </row>
    <row r="37" spans="1:31" ht="32.25" customHeight="1" x14ac:dyDescent="0.3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7"/>
        <v>0</v>
      </c>
      <c r="M37" s="148">
        <f t="shared" si="3"/>
        <v>24196</v>
      </c>
      <c r="N37" s="39">
        <f t="shared" si="16"/>
        <v>0</v>
      </c>
      <c r="O37" s="39">
        <f t="shared" si="24"/>
        <v>0</v>
      </c>
      <c r="P37" s="42">
        <f t="shared" ref="P37:P38" si="31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9"/>
        <v>0</v>
      </c>
      <c r="AD37" s="38">
        <f t="shared" si="18"/>
        <v>0</v>
      </c>
      <c r="AE37" s="38">
        <f t="shared" si="23"/>
        <v>0</v>
      </c>
    </row>
    <row r="38" spans="1:31" ht="32.25" customHeight="1" x14ac:dyDescent="0.3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3"/>
        <v>0</v>
      </c>
      <c r="K38" s="39">
        <f t="shared" si="14"/>
        <v>0</v>
      </c>
      <c r="L38" s="39">
        <f t="shared" si="17"/>
        <v>0</v>
      </c>
      <c r="M38" s="148">
        <f t="shared" ref="M38:M42" si="32">6049*4</f>
        <v>24196</v>
      </c>
      <c r="N38" s="39">
        <f t="shared" si="16"/>
        <v>0</v>
      </c>
      <c r="O38" s="39">
        <f>N38*0.53</f>
        <v>0</v>
      </c>
      <c r="P38" s="42">
        <f t="shared" si="31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9"/>
        <v>0</v>
      </c>
      <c r="AD38" s="38">
        <f t="shared" si="18"/>
        <v>0</v>
      </c>
      <c r="AE38" s="38">
        <f t="shared" si="23"/>
        <v>0</v>
      </c>
    </row>
    <row r="39" spans="1:31" ht="32.25" customHeight="1" x14ac:dyDescent="0.3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3"/>
        <v>0</v>
      </c>
      <c r="K39" s="39">
        <f t="shared" si="14"/>
        <v>0</v>
      </c>
      <c r="L39" s="39">
        <f t="shared" si="17"/>
        <v>0</v>
      </c>
      <c r="M39" s="148">
        <f t="shared" si="32"/>
        <v>24196</v>
      </c>
      <c r="N39" s="39">
        <f t="shared" si="16"/>
        <v>0</v>
      </c>
      <c r="O39" s="39">
        <f>N39*0.53</f>
        <v>0</v>
      </c>
      <c r="P39" s="42">
        <f t="shared" ref="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9"/>
        <v>0</v>
      </c>
      <c r="AD39" s="38">
        <f t="shared" si="18"/>
        <v>0</v>
      </c>
      <c r="AE39" s="38">
        <f t="shared" si="23"/>
        <v>0</v>
      </c>
    </row>
    <row r="40" spans="1:31" ht="32.25" customHeight="1" x14ac:dyDescent="0.3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3"/>
        <v>0</v>
      </c>
      <c r="K40" s="39">
        <f t="shared" si="14"/>
        <v>0</v>
      </c>
      <c r="L40" s="39">
        <f t="shared" si="17"/>
        <v>0</v>
      </c>
      <c r="M40" s="148">
        <f t="shared" si="32"/>
        <v>24196</v>
      </c>
      <c r="N40" s="39">
        <f t="shared" si="16"/>
        <v>0</v>
      </c>
      <c r="O40" s="39">
        <f>N40*0.53</f>
        <v>0</v>
      </c>
      <c r="P40" s="42">
        <f t="shared" ref="P40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9"/>
        <v>0</v>
      </c>
      <c r="AD40" s="38">
        <f t="shared" si="18"/>
        <v>0</v>
      </c>
      <c r="AE40" s="38">
        <f t="shared" si="23"/>
        <v>0</v>
      </c>
    </row>
    <row r="41" spans="1:31" ht="32.25" customHeight="1" x14ac:dyDescent="0.3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3"/>
        <v>0</v>
      </c>
      <c r="K41" s="39">
        <f t="shared" si="14"/>
        <v>0</v>
      </c>
      <c r="L41" s="39">
        <f t="shared" si="17"/>
        <v>0</v>
      </c>
      <c r="M41" s="148">
        <f t="shared" si="32"/>
        <v>24196</v>
      </c>
      <c r="N41" s="39">
        <f t="shared" si="16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9"/>
        <v>0</v>
      </c>
      <c r="AD41" s="38">
        <f t="shared" si="18"/>
        <v>0</v>
      </c>
      <c r="AE41" s="38">
        <f t="shared" si="23"/>
        <v>0</v>
      </c>
    </row>
    <row r="42" spans="1:31" ht="32.25" customHeight="1" x14ac:dyDescent="0.3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3"/>
        <v>0</v>
      </c>
      <c r="K42" s="39">
        <f t="shared" si="14"/>
        <v>0</v>
      </c>
      <c r="L42" s="39">
        <f t="shared" si="17"/>
        <v>0</v>
      </c>
      <c r="M42" s="148">
        <f t="shared" si="32"/>
        <v>24196</v>
      </c>
      <c r="N42" s="39">
        <f t="shared" si="16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9"/>
        <v>0</v>
      </c>
      <c r="AD42" s="38">
        <f t="shared" si="18"/>
        <v>0</v>
      </c>
      <c r="AE42" s="38">
        <f t="shared" si="23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20808.559999999998</v>
      </c>
      <c r="O43" s="39">
        <f>N43*0.529</f>
        <v>11007.728239999999</v>
      </c>
      <c r="P43" s="42">
        <f>O43*11.79</f>
        <v>129781.11594959997</v>
      </c>
      <c r="Q43" s="281">
        <f>SUM(Q4:Q42)</f>
        <v>6776</v>
      </c>
      <c r="R43" s="282"/>
      <c r="S43" s="283"/>
      <c r="T43" s="284">
        <f>SUM(T4:T42)</f>
        <v>6773</v>
      </c>
      <c r="U43" s="282"/>
      <c r="V43" s="283"/>
      <c r="W43" s="284">
        <f>SUM(W4:W42)</f>
        <v>6198</v>
      </c>
      <c r="X43" s="282"/>
      <c r="Y43" s="283"/>
      <c r="Z43" s="284">
        <f>SUM(Z4:Z42)</f>
        <v>6602</v>
      </c>
      <c r="AA43" s="282"/>
      <c r="AB43" s="283"/>
      <c r="AC43" s="39">
        <f t="shared" si="19"/>
        <v>26349</v>
      </c>
    </row>
    <row r="44" spans="1:31" ht="35.25" customHeight="1" thickBot="1" x14ac:dyDescent="0.35">
      <c r="B44" s="290"/>
      <c r="C44" s="291"/>
      <c r="D44" s="291"/>
      <c r="E44" s="291"/>
      <c r="F44" s="291"/>
      <c r="G44" s="291"/>
      <c r="H44" s="291"/>
      <c r="I44" s="292"/>
      <c r="J44" s="37"/>
      <c r="K44" s="37"/>
      <c r="L44" s="37"/>
      <c r="M44" s="37"/>
      <c r="N44" s="37"/>
      <c r="O44" s="37"/>
      <c r="P44" s="37"/>
      <c r="Q44" s="293">
        <f>Q43+T43+W43+Z43</f>
        <v>26349</v>
      </c>
      <c r="R44" s="294"/>
      <c r="S44" s="294"/>
      <c r="T44" s="294"/>
      <c r="U44" s="294"/>
      <c r="V44" s="294"/>
      <c r="W44" s="294"/>
      <c r="X44" s="294"/>
      <c r="Y44" s="294"/>
      <c r="Z44" s="294"/>
      <c r="AA44" s="294"/>
      <c r="AB44" s="295"/>
      <c r="AC44" s="39">
        <f>Q44+T44+W44+Z44</f>
        <v>26349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77" t="s">
        <v>85</v>
      </c>
      <c r="I47" s="278"/>
      <c r="J47" s="279"/>
      <c r="K47" s="45">
        <f>N43</f>
        <v>20808.559999999998</v>
      </c>
      <c r="L47" s="46">
        <f>O43</f>
        <v>11007.728239999999</v>
      </c>
      <c r="M47" s="46">
        <f>P43</f>
        <v>129781.11594959997</v>
      </c>
    </row>
    <row r="48" spans="1:31" ht="54.75" customHeight="1" thickBot="1" x14ac:dyDescent="0.35">
      <c r="H48" s="277" t="s">
        <v>86</v>
      </c>
      <c r="I48" s="278"/>
      <c r="J48" s="279"/>
      <c r="K48" s="43">
        <f>AC44</f>
        <v>26349</v>
      </c>
      <c r="L48" s="44">
        <f>K48*0.529</f>
        <v>13938.621000000001</v>
      </c>
      <c r="M48" s="44">
        <f>L48*11.79</f>
        <v>164336.34159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0" zoomScaleNormal="100" workbookViewId="0">
      <selection activeCell="E20" sqref="E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6"/>
      <c r="B1" s="268"/>
      <c r="C1" s="296" t="s">
        <v>87</v>
      </c>
      <c r="D1" s="297"/>
      <c r="E1" s="297"/>
      <c r="F1" s="297"/>
      <c r="G1" s="297"/>
      <c r="H1" s="302" t="s">
        <v>88</v>
      </c>
      <c r="I1" s="303"/>
      <c r="J1" s="304"/>
    </row>
    <row r="2" spans="1:10" ht="16.5" customHeight="1" thickBot="1" x14ac:dyDescent="0.25">
      <c r="A2" s="269"/>
      <c r="B2" s="271"/>
      <c r="C2" s="298"/>
      <c r="D2" s="299"/>
      <c r="E2" s="299"/>
      <c r="F2" s="299"/>
      <c r="G2" s="299"/>
      <c r="H2" s="305"/>
      <c r="I2" s="306"/>
      <c r="J2" s="307"/>
    </row>
    <row r="3" spans="1:10" ht="15" customHeight="1" x14ac:dyDescent="0.2">
      <c r="A3" s="269"/>
      <c r="B3" s="271"/>
      <c r="C3" s="298"/>
      <c r="D3" s="299"/>
      <c r="E3" s="299"/>
      <c r="F3" s="299"/>
      <c r="G3" s="299"/>
      <c r="H3" s="308" t="s">
        <v>89</v>
      </c>
      <c r="I3" s="309"/>
      <c r="J3" s="310"/>
    </row>
    <row r="4" spans="1:10" ht="15.75" customHeight="1" thickBot="1" x14ac:dyDescent="0.25">
      <c r="A4" s="272"/>
      <c r="B4" s="274"/>
      <c r="C4" s="300"/>
      <c r="D4" s="301"/>
      <c r="E4" s="301"/>
      <c r="F4" s="301"/>
      <c r="G4" s="301"/>
      <c r="H4" s="311"/>
      <c r="I4" s="312"/>
      <c r="J4" s="313"/>
    </row>
    <row r="6" spans="1:10" ht="33" customHeight="1" thickBot="1" x14ac:dyDescent="0.25"/>
    <row r="7" spans="1:10" ht="36.75" thickTop="1" x14ac:dyDescent="0.2">
      <c r="A7" s="314" t="s">
        <v>90</v>
      </c>
      <c r="B7" s="314"/>
      <c r="C7" s="315" t="s">
        <v>91</v>
      </c>
      <c r="D7" s="316"/>
      <c r="E7" s="61" t="s">
        <v>92</v>
      </c>
      <c r="F7" s="61" t="s">
        <v>93</v>
      </c>
      <c r="G7" s="61" t="s">
        <v>94</v>
      </c>
      <c r="H7" s="61" t="s">
        <v>95</v>
      </c>
      <c r="I7" s="317" t="s">
        <v>96</v>
      </c>
      <c r="J7" s="318"/>
    </row>
    <row r="8" spans="1:10" x14ac:dyDescent="0.2">
      <c r="A8" s="319">
        <v>95670781</v>
      </c>
      <c r="B8" s="319"/>
      <c r="C8" s="320">
        <v>44224</v>
      </c>
      <c r="D8" s="321"/>
      <c r="E8" s="113">
        <v>44620</v>
      </c>
      <c r="F8" s="156" t="s">
        <v>97</v>
      </c>
      <c r="G8" s="62"/>
      <c r="H8" s="62"/>
      <c r="I8" s="322"/>
      <c r="J8" s="323"/>
    </row>
    <row r="10" spans="1:10" ht="23.25" customHeight="1" thickBot="1" x14ac:dyDescent="0.25"/>
    <row r="11" spans="1:10" ht="24.75" customHeight="1" thickTop="1" x14ac:dyDescent="0.2">
      <c r="A11" s="324" t="s">
        <v>98</v>
      </c>
      <c r="B11" s="324"/>
      <c r="C11" s="325" t="s">
        <v>99</v>
      </c>
      <c r="D11" s="326"/>
      <c r="E11" s="324" t="s">
        <v>100</v>
      </c>
      <c r="F11" s="324"/>
      <c r="G11" s="325" t="s">
        <v>101</v>
      </c>
      <c r="H11" s="326"/>
      <c r="I11" s="327" t="s">
        <v>102</v>
      </c>
      <c r="J11" s="327"/>
    </row>
    <row r="12" spans="1:10" x14ac:dyDescent="0.2">
      <c r="A12" s="319" t="s">
        <v>103</v>
      </c>
      <c r="B12" s="319"/>
      <c r="C12" s="319">
        <v>3750</v>
      </c>
      <c r="D12" s="319"/>
      <c r="E12" s="319">
        <v>1000</v>
      </c>
      <c r="F12" s="319"/>
      <c r="G12" s="331">
        <v>815</v>
      </c>
      <c r="H12" s="331"/>
      <c r="I12" s="332"/>
      <c r="J12" s="332"/>
    </row>
    <row r="13" spans="1:10" x14ac:dyDescent="0.2">
      <c r="A13" s="333"/>
      <c r="B13" s="334"/>
      <c r="C13" s="334"/>
      <c r="D13" s="334"/>
      <c r="E13" s="334"/>
      <c r="F13" s="334"/>
      <c r="G13" s="334"/>
      <c r="H13" s="334"/>
      <c r="I13" s="334"/>
      <c r="J13" s="334"/>
    </row>
    <row r="15" spans="1:10" ht="13.5" thickBot="1" x14ac:dyDescent="0.25"/>
    <row r="16" spans="1:10" ht="26.25" thickTop="1" x14ac:dyDescent="0.2">
      <c r="A16" s="324" t="s">
        <v>104</v>
      </c>
      <c r="B16" s="324"/>
      <c r="C16" s="63" t="s">
        <v>105</v>
      </c>
      <c r="D16" s="64" t="s">
        <v>106</v>
      </c>
      <c r="E16" s="64" t="s">
        <v>48</v>
      </c>
      <c r="F16" s="64" t="s">
        <v>107</v>
      </c>
      <c r="G16" s="328" t="s">
        <v>108</v>
      </c>
      <c r="H16" s="328"/>
      <c r="I16" s="329" t="s">
        <v>109</v>
      </c>
      <c r="J16" s="330"/>
    </row>
    <row r="17" spans="1:10" x14ac:dyDescent="0.2">
      <c r="A17" s="335" t="s">
        <v>110</v>
      </c>
      <c r="B17" s="336"/>
      <c r="C17" s="66">
        <v>19508376</v>
      </c>
      <c r="D17" s="66">
        <v>19398677</v>
      </c>
      <c r="E17" s="67">
        <f>MIN(C17-D17)</f>
        <v>109699</v>
      </c>
      <c r="F17" s="67">
        <f>+E17</f>
        <v>109699</v>
      </c>
      <c r="G17" s="337"/>
      <c r="H17" s="338"/>
      <c r="I17" s="337">
        <f>+E17</f>
        <v>109699</v>
      </c>
      <c r="J17" s="338"/>
    </row>
    <row r="18" spans="1:10" x14ac:dyDescent="0.2">
      <c r="A18" s="335" t="s">
        <v>111</v>
      </c>
      <c r="B18" s="336"/>
      <c r="C18" s="66">
        <v>11505965</v>
      </c>
      <c r="D18" s="66">
        <v>11424147</v>
      </c>
      <c r="E18" s="67">
        <f>MIN(C18-D18)</f>
        <v>81818</v>
      </c>
      <c r="F18" s="67">
        <f>+E18</f>
        <v>81818</v>
      </c>
      <c r="G18" s="337"/>
      <c r="H18" s="338"/>
      <c r="I18" s="337">
        <f>+E18</f>
        <v>81818</v>
      </c>
      <c r="J18" s="338"/>
    </row>
    <row r="19" spans="1:10" x14ac:dyDescent="0.2">
      <c r="A19" s="335" t="s">
        <v>112</v>
      </c>
      <c r="B19" s="336"/>
      <c r="C19" s="66">
        <v>8571104</v>
      </c>
      <c r="D19" s="66">
        <v>8517838</v>
      </c>
      <c r="E19" s="67">
        <f>AVERAGE(C19-D19)</f>
        <v>53266</v>
      </c>
      <c r="F19" s="67">
        <f>+E19</f>
        <v>53266</v>
      </c>
      <c r="G19" s="337"/>
      <c r="H19" s="338"/>
      <c r="I19" s="337">
        <f>+E19</f>
        <v>53266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244783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43"/>
      <c r="H21" s="343"/>
    </row>
    <row r="22" spans="1:10" ht="13.5" thickBot="1" x14ac:dyDescent="0.25">
      <c r="G22" s="344"/>
      <c r="H22" s="344"/>
    </row>
    <row r="23" spans="1:10" ht="13.5" thickTop="1" x14ac:dyDescent="0.2">
      <c r="A23" s="345" t="s">
        <v>115</v>
      </c>
      <c r="B23" s="346"/>
      <c r="C23" s="347"/>
      <c r="D23" s="324" t="s">
        <v>116</v>
      </c>
      <c r="E23" s="324" t="s">
        <v>117</v>
      </c>
      <c r="F23" s="352" t="s">
        <v>118</v>
      </c>
      <c r="G23" s="354" t="s">
        <v>119</v>
      </c>
      <c r="H23" s="354"/>
      <c r="I23" s="355" t="s">
        <v>120</v>
      </c>
      <c r="J23" s="355"/>
    </row>
    <row r="24" spans="1:10" x14ac:dyDescent="0.2">
      <c r="A24" s="348"/>
      <c r="B24" s="349"/>
      <c r="C24" s="350"/>
      <c r="D24" s="351"/>
      <c r="E24" s="351"/>
      <c r="F24" s="353"/>
      <c r="G24" s="157" t="s">
        <v>121</v>
      </c>
      <c r="H24" s="71" t="s">
        <v>122</v>
      </c>
      <c r="I24" s="355"/>
      <c r="J24" s="355"/>
    </row>
    <row r="25" spans="1:10" ht="15" x14ac:dyDescent="0.25">
      <c r="A25" s="356" t="s">
        <v>123</v>
      </c>
      <c r="B25" s="357"/>
      <c r="C25" s="358"/>
      <c r="D25" s="67">
        <f>+E17</f>
        <v>109699</v>
      </c>
      <c r="E25" s="72">
        <v>0.95140000000000002</v>
      </c>
      <c r="F25" s="73">
        <f>PRODUCT(D25*E25)</f>
        <v>104367.6286</v>
      </c>
      <c r="G25" s="150">
        <v>14</v>
      </c>
      <c r="H25" s="65">
        <f>PRODUCT(0.14,F25)</f>
        <v>14611.468004</v>
      </c>
      <c r="I25" s="359">
        <f>SUM(H25,F25)</f>
        <v>118979.09660399999</v>
      </c>
      <c r="J25" s="360"/>
    </row>
    <row r="26" spans="1:10" ht="15" x14ac:dyDescent="0.25">
      <c r="A26" s="361" t="s">
        <v>124</v>
      </c>
      <c r="B26" s="362"/>
      <c r="C26" s="363"/>
      <c r="D26" s="67">
        <f>+E18</f>
        <v>81818</v>
      </c>
      <c r="E26" s="74">
        <v>0.69850000000000001</v>
      </c>
      <c r="F26" s="73">
        <f>PRODUCT(D26*E26)</f>
        <v>57149.873</v>
      </c>
      <c r="G26">
        <v>14</v>
      </c>
      <c r="H26" s="67">
        <f>PRODUCT(0.14,F26)</f>
        <v>8000.9822200000008</v>
      </c>
      <c r="I26" s="359">
        <f t="shared" ref="I26:I31" si="0">SUM(H26,F26)</f>
        <v>65150.855219999998</v>
      </c>
      <c r="J26" s="360"/>
    </row>
    <row r="27" spans="1:10" ht="15" x14ac:dyDescent="0.25">
      <c r="A27" s="361" t="s">
        <v>125</v>
      </c>
      <c r="B27" s="362"/>
      <c r="C27" s="363"/>
      <c r="D27" s="67">
        <f>+E19</f>
        <v>53266</v>
      </c>
      <c r="E27" s="74">
        <v>1.3304</v>
      </c>
      <c r="F27" s="73">
        <f>PRODUCT(D27*E27)</f>
        <v>70865.0864</v>
      </c>
      <c r="G27">
        <v>14</v>
      </c>
      <c r="H27" s="67">
        <f>PRODUCT(0.14,F27)</f>
        <v>9921.1120960000007</v>
      </c>
      <c r="I27" s="359">
        <f>SUM(H27,F27)</f>
        <v>80786.198495999997</v>
      </c>
      <c r="J27" s="360"/>
    </row>
    <row r="28" spans="1:10" ht="15" x14ac:dyDescent="0.25">
      <c r="A28" s="361" t="s">
        <v>126</v>
      </c>
      <c r="B28" s="362"/>
      <c r="C28" s="36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9">
        <f t="shared" si="0"/>
        <v>50025.103799999997</v>
      </c>
      <c r="J28" s="360"/>
    </row>
    <row r="29" spans="1:10" ht="15" x14ac:dyDescent="0.25">
      <c r="A29" s="372" t="s">
        <v>127</v>
      </c>
      <c r="B29" s="373"/>
      <c r="C29" s="37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5">
        <f t="shared" si="0"/>
        <v>0</v>
      </c>
      <c r="J29" s="376"/>
    </row>
    <row r="30" spans="1:10" ht="15" x14ac:dyDescent="0.25">
      <c r="A30" s="361" t="s">
        <v>128</v>
      </c>
      <c r="B30" s="362"/>
      <c r="C30" s="36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9">
        <f>SUM(H30,F30)</f>
        <v>1009.2</v>
      </c>
      <c r="J30" s="360"/>
    </row>
    <row r="31" spans="1:10" ht="15.75" thickBot="1" x14ac:dyDescent="0.3">
      <c r="A31" s="364" t="s">
        <v>129</v>
      </c>
      <c r="B31" s="365"/>
      <c r="C31" s="36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9">
        <f t="shared" si="0"/>
        <v>1596.44</v>
      </c>
      <c r="J31" s="360"/>
    </row>
    <row r="32" spans="1:10" ht="21" x14ac:dyDescent="0.2">
      <c r="A32" s="367" t="s">
        <v>130</v>
      </c>
      <c r="B32" s="368"/>
      <c r="C32" s="368"/>
      <c r="D32" s="368"/>
      <c r="E32" s="368"/>
      <c r="F32" s="84">
        <f>SUM(F25:F31)</f>
        <v>278597.25799999997</v>
      </c>
      <c r="G32" s="85"/>
      <c r="H32" s="86"/>
      <c r="I32" s="371">
        <f>SUM(I25:J31)</f>
        <v>317546.89412000001</v>
      </c>
      <c r="J32" s="371"/>
    </row>
    <row r="33" spans="1:10" ht="21.75" thickBot="1" x14ac:dyDescent="0.25">
      <c r="A33" s="369"/>
      <c r="B33" s="370"/>
      <c r="C33" s="370"/>
      <c r="D33" s="370"/>
      <c r="E33" s="370"/>
      <c r="F33" s="87"/>
      <c r="G33" s="88"/>
      <c r="H33" s="89"/>
      <c r="I33" s="371"/>
      <c r="J33" s="37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6"/>
      <c r="B1" s="268"/>
      <c r="C1" s="296" t="s">
        <v>131</v>
      </c>
      <c r="D1" s="297"/>
      <c r="E1" s="297"/>
      <c r="F1" s="297"/>
      <c r="G1" s="297"/>
      <c r="H1" s="302" t="s">
        <v>88</v>
      </c>
      <c r="I1" s="303"/>
      <c r="J1" s="304"/>
    </row>
    <row r="2" spans="1:10" ht="16.5" customHeight="1" thickBot="1" x14ac:dyDescent="0.25">
      <c r="A2" s="269"/>
      <c r="B2" s="271"/>
      <c r="C2" s="298"/>
      <c r="D2" s="299"/>
      <c r="E2" s="299"/>
      <c r="F2" s="299"/>
      <c r="G2" s="299"/>
      <c r="H2" s="305"/>
      <c r="I2" s="306"/>
      <c r="J2" s="307"/>
    </row>
    <row r="3" spans="1:10" ht="15" customHeight="1" x14ac:dyDescent="0.2">
      <c r="A3" s="269"/>
      <c r="B3" s="271"/>
      <c r="C3" s="298"/>
      <c r="D3" s="299"/>
      <c r="E3" s="299"/>
      <c r="F3" s="299"/>
      <c r="G3" s="299"/>
      <c r="H3" s="308" t="s">
        <v>89</v>
      </c>
      <c r="I3" s="309"/>
      <c r="J3" s="310"/>
    </row>
    <row r="4" spans="1:10" ht="15.75" customHeight="1" thickBot="1" x14ac:dyDescent="0.25">
      <c r="A4" s="272"/>
      <c r="B4" s="274"/>
      <c r="C4" s="300"/>
      <c r="D4" s="301"/>
      <c r="E4" s="301"/>
      <c r="F4" s="301"/>
      <c r="G4" s="301"/>
      <c r="H4" s="311"/>
      <c r="I4" s="312"/>
      <c r="J4" s="313"/>
    </row>
    <row r="6" spans="1:10" ht="33" customHeight="1" thickBot="1" x14ac:dyDescent="0.25"/>
    <row r="7" spans="1:10" ht="36.75" thickTop="1" x14ac:dyDescent="0.2">
      <c r="A7" s="314" t="s">
        <v>90</v>
      </c>
      <c r="B7" s="314"/>
      <c r="C7" s="315" t="s">
        <v>91</v>
      </c>
      <c r="D7" s="316"/>
      <c r="E7" s="61" t="s">
        <v>92</v>
      </c>
      <c r="F7" s="61" t="s">
        <v>93</v>
      </c>
      <c r="G7" s="61" t="s">
        <v>94</v>
      </c>
      <c r="H7" s="61" t="s">
        <v>95</v>
      </c>
      <c r="I7" s="317" t="s">
        <v>96</v>
      </c>
      <c r="J7" s="318"/>
    </row>
    <row r="8" spans="1:10" x14ac:dyDescent="0.2">
      <c r="A8" s="319">
        <v>95670781</v>
      </c>
      <c r="B8" s="319"/>
      <c r="C8" s="320">
        <v>44297</v>
      </c>
      <c r="D8" s="321"/>
      <c r="E8" s="113">
        <v>44327</v>
      </c>
      <c r="F8" s="156" t="s">
        <v>132</v>
      </c>
      <c r="G8" s="62"/>
      <c r="H8" s="62"/>
      <c r="I8" s="322"/>
      <c r="J8" s="323"/>
    </row>
    <row r="10" spans="1:10" ht="23.25" customHeight="1" thickBot="1" x14ac:dyDescent="0.25"/>
    <row r="11" spans="1:10" ht="24.75" customHeight="1" thickTop="1" x14ac:dyDescent="0.2">
      <c r="A11" s="324" t="s">
        <v>98</v>
      </c>
      <c r="B11" s="324"/>
      <c r="C11" s="325" t="s">
        <v>99</v>
      </c>
      <c r="D11" s="326"/>
      <c r="E11" s="324" t="s">
        <v>100</v>
      </c>
      <c r="F11" s="324"/>
      <c r="G11" s="325" t="s">
        <v>101</v>
      </c>
      <c r="H11" s="326"/>
      <c r="I11" s="327" t="s">
        <v>102</v>
      </c>
      <c r="J11" s="327"/>
    </row>
    <row r="12" spans="1:10" x14ac:dyDescent="0.2">
      <c r="A12" s="319" t="s">
        <v>103</v>
      </c>
      <c r="B12" s="319"/>
      <c r="C12" s="319">
        <v>3750</v>
      </c>
      <c r="D12" s="319"/>
      <c r="E12" s="319">
        <v>1000</v>
      </c>
      <c r="F12" s="319"/>
      <c r="G12" s="331">
        <v>712</v>
      </c>
      <c r="H12" s="331"/>
      <c r="I12" s="332"/>
      <c r="J12" s="332"/>
    </row>
    <row r="13" spans="1:10" x14ac:dyDescent="0.2">
      <c r="A13" s="333"/>
      <c r="B13" s="334"/>
      <c r="C13" s="334"/>
      <c r="D13" s="334"/>
      <c r="E13" s="334"/>
      <c r="F13" s="334"/>
      <c r="G13" s="334"/>
      <c r="H13" s="334"/>
      <c r="I13" s="334"/>
      <c r="J13" s="334"/>
    </row>
    <row r="15" spans="1:10" ht="13.5" thickBot="1" x14ac:dyDescent="0.25"/>
    <row r="16" spans="1:10" ht="26.25" thickTop="1" x14ac:dyDescent="0.2">
      <c r="A16" s="324" t="s">
        <v>104</v>
      </c>
      <c r="B16" s="324"/>
      <c r="C16" s="63" t="s">
        <v>105</v>
      </c>
      <c r="D16" s="64" t="s">
        <v>106</v>
      </c>
      <c r="E16" s="64" t="s">
        <v>48</v>
      </c>
      <c r="F16" s="64" t="s">
        <v>107</v>
      </c>
      <c r="G16" s="328" t="s">
        <v>108</v>
      </c>
      <c r="H16" s="328"/>
      <c r="I16" s="329" t="s">
        <v>109</v>
      </c>
      <c r="J16" s="330"/>
    </row>
    <row r="17" spans="1:10" x14ac:dyDescent="0.2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 x14ac:dyDescent="0.2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 x14ac:dyDescent="0.2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 x14ac:dyDescent="0.2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 x14ac:dyDescent="0.2">
      <c r="C21" s="110" t="s">
        <v>18</v>
      </c>
      <c r="D21" t="s">
        <v>114</v>
      </c>
      <c r="G21" s="343"/>
      <c r="H21" s="343"/>
    </row>
    <row r="22" spans="1:10" ht="13.5" thickBot="1" x14ac:dyDescent="0.25">
      <c r="G22" s="344"/>
      <c r="H22" s="344"/>
    </row>
    <row r="23" spans="1:10" ht="13.5" thickTop="1" x14ac:dyDescent="0.2">
      <c r="A23" s="345" t="s">
        <v>115</v>
      </c>
      <c r="B23" s="346"/>
      <c r="C23" s="347"/>
      <c r="D23" s="324" t="s">
        <v>116</v>
      </c>
      <c r="E23" s="324" t="s">
        <v>117</v>
      </c>
      <c r="F23" s="352" t="s">
        <v>118</v>
      </c>
      <c r="G23" s="354" t="s">
        <v>119</v>
      </c>
      <c r="H23" s="354"/>
      <c r="I23" s="355" t="s">
        <v>120</v>
      </c>
      <c r="J23" s="355"/>
    </row>
    <row r="24" spans="1:10" x14ac:dyDescent="0.2">
      <c r="A24" s="348"/>
      <c r="B24" s="349"/>
      <c r="C24" s="350"/>
      <c r="D24" s="351"/>
      <c r="E24" s="351"/>
      <c r="F24" s="353"/>
      <c r="G24" s="157" t="s">
        <v>121</v>
      </c>
      <c r="H24" s="71" t="s">
        <v>122</v>
      </c>
      <c r="I24" s="355"/>
      <c r="J24" s="355"/>
    </row>
    <row r="25" spans="1:10" ht="15" x14ac:dyDescent="0.25">
      <c r="A25" s="356" t="s">
        <v>123</v>
      </c>
      <c r="B25" s="357"/>
      <c r="C25" s="358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59">
        <f>SUM(H25,F25)</f>
        <v>7469.6126519999998</v>
      </c>
      <c r="J25" s="360"/>
    </row>
    <row r="26" spans="1:10" ht="15" x14ac:dyDescent="0.25">
      <c r="A26" s="361" t="s">
        <v>124</v>
      </c>
      <c r="B26" s="362"/>
      <c r="C26" s="36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59">
        <f t="shared" ref="I26:I31" si="0">SUM(H26,F26)</f>
        <v>3025.1057100000003</v>
      </c>
      <c r="J26" s="360"/>
    </row>
    <row r="27" spans="1:10" ht="15" x14ac:dyDescent="0.25">
      <c r="A27" s="361" t="s">
        <v>125</v>
      </c>
      <c r="B27" s="362"/>
      <c r="C27" s="36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59">
        <f>SUM(H27,F27)</f>
        <v>4660.6838879999996</v>
      </c>
      <c r="J27" s="360"/>
    </row>
    <row r="28" spans="1:10" ht="15" x14ac:dyDescent="0.25">
      <c r="A28" s="361" t="s">
        <v>126</v>
      </c>
      <c r="B28" s="362"/>
      <c r="C28" s="36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59">
        <f t="shared" si="0"/>
        <v>50025.103799999997</v>
      </c>
      <c r="J28" s="360"/>
    </row>
    <row r="29" spans="1:10" ht="15" x14ac:dyDescent="0.25">
      <c r="A29" s="372" t="s">
        <v>127</v>
      </c>
      <c r="B29" s="373"/>
      <c r="C29" s="37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5">
        <f t="shared" si="0"/>
        <v>0</v>
      </c>
      <c r="J29" s="376"/>
    </row>
    <row r="30" spans="1:10" ht="15" x14ac:dyDescent="0.25">
      <c r="A30" s="361" t="s">
        <v>128</v>
      </c>
      <c r="B30" s="362"/>
      <c r="C30" s="36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59">
        <f>SUM(H30,F30)</f>
        <v>1009.2</v>
      </c>
      <c r="J30" s="360"/>
    </row>
    <row r="31" spans="1:10" ht="15.75" thickBot="1" x14ac:dyDescent="0.3">
      <c r="A31" s="364" t="s">
        <v>129</v>
      </c>
      <c r="B31" s="365"/>
      <c r="C31" s="36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59">
        <f t="shared" si="0"/>
        <v>1596.44</v>
      </c>
      <c r="J31" s="360"/>
    </row>
    <row r="32" spans="1:10" ht="21" x14ac:dyDescent="0.2">
      <c r="A32" s="367" t="s">
        <v>130</v>
      </c>
      <c r="B32" s="368"/>
      <c r="C32" s="368"/>
      <c r="D32" s="368"/>
      <c r="E32" s="368"/>
      <c r="F32" s="84">
        <f>SUM(F25:F31)</f>
        <v>59508.8825</v>
      </c>
      <c r="G32" s="85"/>
      <c r="H32" s="86"/>
      <c r="I32" s="371">
        <f>SUM(I25:J31)</f>
        <v>67786.146049999996</v>
      </c>
      <c r="J32" s="371"/>
    </row>
    <row r="33" spans="1:10" ht="21.75" thickBot="1" x14ac:dyDescent="0.25">
      <c r="A33" s="369"/>
      <c r="B33" s="370"/>
      <c r="C33" s="370"/>
      <c r="D33" s="370"/>
      <c r="E33" s="370"/>
      <c r="F33" s="87"/>
      <c r="G33" s="88"/>
      <c r="H33" s="89"/>
      <c r="I33" s="371"/>
      <c r="J33" s="37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5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77"/>
      <c r="B1" s="296" t="s">
        <v>133</v>
      </c>
      <c r="C1" s="297"/>
      <c r="D1" s="297"/>
      <c r="E1" s="297"/>
      <c r="F1" s="380" t="s">
        <v>88</v>
      </c>
      <c r="G1" s="381"/>
      <c r="H1" s="382"/>
    </row>
    <row r="2" spans="1:8" ht="15.75" customHeight="1" thickBot="1" x14ac:dyDescent="0.25">
      <c r="A2" s="378"/>
      <c r="B2" s="298"/>
      <c r="C2" s="299"/>
      <c r="D2" s="299"/>
      <c r="E2" s="299"/>
      <c r="F2" s="383"/>
      <c r="G2" s="384"/>
      <c r="H2" s="385"/>
    </row>
    <row r="3" spans="1:8" ht="15" customHeight="1" x14ac:dyDescent="0.2">
      <c r="A3" s="378"/>
      <c r="B3" s="298"/>
      <c r="C3" s="299"/>
      <c r="D3" s="299"/>
      <c r="E3" s="299"/>
      <c r="F3" s="380" t="s">
        <v>89</v>
      </c>
      <c r="G3" s="381"/>
      <c r="H3" s="382"/>
    </row>
    <row r="4" spans="1:8" ht="15.75" customHeight="1" thickBot="1" x14ac:dyDescent="0.25">
      <c r="A4" s="379"/>
      <c r="B4" s="300"/>
      <c r="C4" s="301"/>
      <c r="D4" s="301"/>
      <c r="E4" s="301"/>
      <c r="F4" s="386"/>
      <c r="G4" s="387"/>
      <c r="H4" s="388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134294.1</v>
      </c>
      <c r="D8" s="97">
        <v>44593</v>
      </c>
      <c r="E8" s="96">
        <v>136510</v>
      </c>
      <c r="F8" s="97">
        <v>44621</v>
      </c>
      <c r="G8" s="98">
        <f>E8-C8</f>
        <v>2215.8999999999942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89" t="s">
        <v>116</v>
      </c>
      <c r="C10" s="390"/>
      <c r="D10" s="391" t="s">
        <v>139</v>
      </c>
      <c r="E10" s="391"/>
      <c r="F10" s="389" t="s">
        <v>140</v>
      </c>
      <c r="G10" s="392"/>
      <c r="H10" s="390"/>
    </row>
    <row r="11" spans="1:8" ht="15" x14ac:dyDescent="0.25">
      <c r="A11" s="102" t="s">
        <v>141</v>
      </c>
      <c r="B11" s="393"/>
      <c r="C11" s="393"/>
      <c r="D11" s="393"/>
      <c r="E11" s="393"/>
      <c r="F11" s="393">
        <v>23</v>
      </c>
      <c r="G11" s="393"/>
      <c r="H11" s="393"/>
    </row>
    <row r="12" spans="1:8" ht="21" x14ac:dyDescent="0.35">
      <c r="A12" s="394" t="s">
        <v>142</v>
      </c>
      <c r="B12" s="394"/>
      <c r="C12" s="394"/>
      <c r="D12" s="394"/>
      <c r="E12" s="394"/>
      <c r="F12" s="394"/>
      <c r="G12" s="394"/>
      <c r="H12" s="394"/>
    </row>
    <row r="13" spans="1:8" ht="15" x14ac:dyDescent="0.25">
      <c r="A13" s="102" t="s">
        <v>143</v>
      </c>
      <c r="B13" s="393">
        <f>G8</f>
        <v>2215.8999999999942</v>
      </c>
      <c r="C13" s="393"/>
      <c r="D13" s="393">
        <v>8.7899999999999991</v>
      </c>
      <c r="E13" s="393"/>
      <c r="F13" s="395">
        <f>PRODUCT(D13,B13)</f>
        <v>19477.760999999948</v>
      </c>
      <c r="G13" s="395"/>
      <c r="H13" s="395"/>
    </row>
    <row r="14" spans="1:8" ht="45" customHeight="1" x14ac:dyDescent="0.2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 x14ac:dyDescent="0.2">
      <c r="A15" s="397"/>
      <c r="B15" s="397"/>
      <c r="C15" s="397"/>
      <c r="D15" s="397"/>
      <c r="E15" s="397"/>
      <c r="F15" s="397"/>
      <c r="G15" s="397"/>
      <c r="H15" s="397"/>
    </row>
    <row r="16" spans="1:8" ht="15" x14ac:dyDescent="0.25">
      <c r="A16" s="103" t="s">
        <v>145</v>
      </c>
      <c r="B16" s="393">
        <v>0</v>
      </c>
      <c r="C16" s="393"/>
      <c r="D16" s="393">
        <v>0</v>
      </c>
      <c r="E16" s="393"/>
      <c r="F16" s="393">
        <f>PRODUCT(D16,B16)</f>
        <v>0</v>
      </c>
      <c r="G16" s="393"/>
      <c r="H16" s="393"/>
    </row>
    <row r="17" spans="1:8" ht="15" x14ac:dyDescent="0.25">
      <c r="A17" s="103" t="s">
        <v>146</v>
      </c>
      <c r="B17" s="393">
        <v>0</v>
      </c>
      <c r="C17" s="393"/>
      <c r="D17" s="393">
        <v>0</v>
      </c>
      <c r="E17" s="393"/>
      <c r="F17" s="393">
        <f>PRODUCT(D17,B17)</f>
        <v>0</v>
      </c>
      <c r="G17" s="393"/>
      <c r="H17" s="393"/>
    </row>
    <row r="18" spans="1:8" ht="15" x14ac:dyDescent="0.25">
      <c r="A18" s="103" t="s">
        <v>147</v>
      </c>
      <c r="B18" s="393">
        <v>0</v>
      </c>
      <c r="C18" s="393"/>
      <c r="D18" s="393">
        <v>0</v>
      </c>
      <c r="E18" s="393"/>
      <c r="F18" s="393">
        <f>PRODUCT(D18,B18)</f>
        <v>0</v>
      </c>
      <c r="G18" s="393"/>
      <c r="H18" s="393"/>
    </row>
    <row r="19" spans="1:8" ht="15" x14ac:dyDescent="0.25">
      <c r="A19" s="103" t="s">
        <v>148</v>
      </c>
      <c r="B19" s="393">
        <f>G8</f>
        <v>2215.8999999999942</v>
      </c>
      <c r="C19" s="393"/>
      <c r="D19" s="393">
        <v>2.61</v>
      </c>
      <c r="E19" s="393"/>
      <c r="F19" s="393">
        <f>PRODUCT(D19,B19)</f>
        <v>5783.4989999999843</v>
      </c>
      <c r="G19" s="393"/>
      <c r="H19" s="393"/>
    </row>
    <row r="20" spans="1:8" ht="18.75" x14ac:dyDescent="0.3">
      <c r="A20" s="409" t="s">
        <v>149</v>
      </c>
      <c r="B20" s="410"/>
      <c r="C20" s="410"/>
      <c r="D20" s="410"/>
      <c r="E20" s="411"/>
      <c r="F20" s="412">
        <f>SUM(F11+F13+F16+F17+F18+F19)</f>
        <v>25284.259999999933</v>
      </c>
      <c r="G20" s="412"/>
      <c r="H20" s="412"/>
    </row>
    <row r="21" spans="1:8" ht="15" x14ac:dyDescent="0.25">
      <c r="A21" s="398" t="s">
        <v>150</v>
      </c>
      <c r="B21" s="399"/>
      <c r="C21" s="399"/>
      <c r="D21" s="399"/>
      <c r="E21" s="400"/>
      <c r="F21" s="393">
        <f>PRODUCT(F20,0.07)</f>
        <v>1769.8981999999955</v>
      </c>
      <c r="G21" s="393"/>
      <c r="H21" s="393"/>
    </row>
    <row r="22" spans="1:8" ht="15" x14ac:dyDescent="0.25">
      <c r="A22" s="413" t="s">
        <v>151</v>
      </c>
      <c r="B22" s="414"/>
      <c r="C22" s="414"/>
      <c r="D22" s="414"/>
      <c r="E22" s="415"/>
      <c r="F22" s="393">
        <v>208.26</v>
      </c>
      <c r="G22" s="393"/>
      <c r="H22" s="393"/>
    </row>
    <row r="23" spans="1:8" ht="15.75" x14ac:dyDescent="0.25">
      <c r="A23" s="398" t="s">
        <v>152</v>
      </c>
      <c r="B23" s="399"/>
      <c r="C23" s="399"/>
      <c r="D23" s="399"/>
      <c r="E23" s="400"/>
      <c r="F23" s="401">
        <f>SUM(F21:H22)</f>
        <v>1978.1581999999955</v>
      </c>
      <c r="G23" s="401"/>
      <c r="H23" s="401"/>
    </row>
    <row r="24" spans="1:8" x14ac:dyDescent="0.2">
      <c r="A24" s="402" t="s">
        <v>153</v>
      </c>
      <c r="B24" s="403"/>
      <c r="C24" s="403"/>
      <c r="D24" s="403"/>
      <c r="E24" s="404"/>
      <c r="F24" s="408">
        <f>SUM(F20,F23)</f>
        <v>27262.418199999927</v>
      </c>
      <c r="G24" s="408"/>
      <c r="H24" s="408"/>
    </row>
    <row r="25" spans="1:8" x14ac:dyDescent="0.2">
      <c r="A25" s="405"/>
      <c r="B25" s="406"/>
      <c r="C25" s="406"/>
      <c r="D25" s="406"/>
      <c r="E25" s="407"/>
      <c r="F25" s="408"/>
      <c r="G25" s="408"/>
      <c r="H25" s="40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77"/>
      <c r="B1" s="296" t="s">
        <v>133</v>
      </c>
      <c r="C1" s="297"/>
      <c r="D1" s="297"/>
      <c r="E1" s="297"/>
      <c r="F1" s="380" t="s">
        <v>88</v>
      </c>
      <c r="G1" s="381"/>
      <c r="H1" s="382"/>
    </row>
    <row r="2" spans="1:8" ht="15.75" customHeight="1" thickBot="1" x14ac:dyDescent="0.25">
      <c r="A2" s="378"/>
      <c r="B2" s="298"/>
      <c r="C2" s="299"/>
      <c r="D2" s="299"/>
      <c r="E2" s="299"/>
      <c r="F2" s="383"/>
      <c r="G2" s="384"/>
      <c r="H2" s="385"/>
    </row>
    <row r="3" spans="1:8" ht="15" customHeight="1" x14ac:dyDescent="0.2">
      <c r="A3" s="378"/>
      <c r="B3" s="298"/>
      <c r="C3" s="299"/>
      <c r="D3" s="299"/>
      <c r="E3" s="299"/>
      <c r="F3" s="380" t="s">
        <v>89</v>
      </c>
      <c r="G3" s="381"/>
      <c r="H3" s="382"/>
    </row>
    <row r="4" spans="1:8" ht="15.75" customHeight="1" thickBot="1" x14ac:dyDescent="0.25">
      <c r="A4" s="379"/>
      <c r="B4" s="300"/>
      <c r="C4" s="301"/>
      <c r="D4" s="301"/>
      <c r="E4" s="301"/>
      <c r="F4" s="386"/>
      <c r="G4" s="387"/>
      <c r="H4" s="388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89" t="s">
        <v>116</v>
      </c>
      <c r="C10" s="390"/>
      <c r="D10" s="391" t="s">
        <v>139</v>
      </c>
      <c r="E10" s="391"/>
      <c r="F10" s="389" t="s">
        <v>140</v>
      </c>
      <c r="G10" s="392"/>
      <c r="H10" s="390"/>
    </row>
    <row r="11" spans="1:8" ht="15" x14ac:dyDescent="0.25">
      <c r="A11" s="102" t="s">
        <v>141</v>
      </c>
      <c r="B11" s="393"/>
      <c r="C11" s="393"/>
      <c r="D11" s="393"/>
      <c r="E11" s="393"/>
      <c r="F11" s="393">
        <v>23</v>
      </c>
      <c r="G11" s="393"/>
      <c r="H11" s="393"/>
    </row>
    <row r="12" spans="1:8" ht="21" x14ac:dyDescent="0.35">
      <c r="A12" s="394" t="s">
        <v>142</v>
      </c>
      <c r="B12" s="394"/>
      <c r="C12" s="394"/>
      <c r="D12" s="394"/>
      <c r="E12" s="394"/>
      <c r="F12" s="394"/>
      <c r="G12" s="394"/>
      <c r="H12" s="394"/>
    </row>
    <row r="13" spans="1:8" ht="15" x14ac:dyDescent="0.25">
      <c r="A13" s="102" t="s">
        <v>143</v>
      </c>
      <c r="B13" s="393">
        <f>G8</f>
        <v>119.80000000000291</v>
      </c>
      <c r="C13" s="393"/>
      <c r="D13" s="393">
        <v>8.5</v>
      </c>
      <c r="E13" s="393"/>
      <c r="F13" s="395">
        <f>PRODUCT(D13,B13)</f>
        <v>1018.3000000000247</v>
      </c>
      <c r="G13" s="395"/>
      <c r="H13" s="395"/>
    </row>
    <row r="14" spans="1:8" ht="45" customHeight="1" x14ac:dyDescent="0.2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 x14ac:dyDescent="0.2">
      <c r="A15" s="397"/>
      <c r="B15" s="397"/>
      <c r="C15" s="397"/>
      <c r="D15" s="397"/>
      <c r="E15" s="397"/>
      <c r="F15" s="397"/>
      <c r="G15" s="397"/>
      <c r="H15" s="397"/>
    </row>
    <row r="16" spans="1:8" ht="15" x14ac:dyDescent="0.25">
      <c r="A16" s="103" t="s">
        <v>145</v>
      </c>
      <c r="B16" s="393">
        <v>0</v>
      </c>
      <c r="C16" s="393"/>
      <c r="D16" s="393">
        <v>0</v>
      </c>
      <c r="E16" s="393"/>
      <c r="F16" s="393">
        <f>PRODUCT(D16,B16)</f>
        <v>0</v>
      </c>
      <c r="G16" s="393"/>
      <c r="H16" s="393"/>
    </row>
    <row r="17" spans="1:8" ht="15" x14ac:dyDescent="0.25">
      <c r="A17" s="103" t="s">
        <v>146</v>
      </c>
      <c r="B17" s="393">
        <v>0</v>
      </c>
      <c r="C17" s="393"/>
      <c r="D17" s="393">
        <v>0</v>
      </c>
      <c r="E17" s="393"/>
      <c r="F17" s="393">
        <f>PRODUCT(D17,B17)</f>
        <v>0</v>
      </c>
      <c r="G17" s="393"/>
      <c r="H17" s="393"/>
    </row>
    <row r="18" spans="1:8" ht="15" x14ac:dyDescent="0.25">
      <c r="A18" s="103" t="s">
        <v>147</v>
      </c>
      <c r="B18" s="393">
        <v>0</v>
      </c>
      <c r="C18" s="393"/>
      <c r="D18" s="393">
        <v>0</v>
      </c>
      <c r="E18" s="393"/>
      <c r="F18" s="393">
        <f>PRODUCT(D18,B18)</f>
        <v>0</v>
      </c>
      <c r="G18" s="393"/>
      <c r="H18" s="393"/>
    </row>
    <row r="19" spans="1:8" ht="15" x14ac:dyDescent="0.25">
      <c r="A19" s="103" t="s">
        <v>148</v>
      </c>
      <c r="B19" s="393">
        <v>0</v>
      </c>
      <c r="C19" s="393"/>
      <c r="D19" s="416">
        <v>0</v>
      </c>
      <c r="E19" s="417"/>
      <c r="F19" s="416">
        <v>0</v>
      </c>
      <c r="G19" s="417"/>
      <c r="H19" s="158"/>
    </row>
    <row r="20" spans="1:8" ht="15" x14ac:dyDescent="0.25">
      <c r="A20" s="103" t="s">
        <v>154</v>
      </c>
      <c r="B20" s="393">
        <f>G8</f>
        <v>119.80000000000291</v>
      </c>
      <c r="C20" s="393"/>
      <c r="D20" s="393">
        <v>2.54</v>
      </c>
      <c r="E20" s="393"/>
      <c r="F20" s="393">
        <f>PRODUCT(D20,B20)</f>
        <v>304.29200000000742</v>
      </c>
      <c r="G20" s="393"/>
      <c r="H20" s="393"/>
    </row>
    <row r="21" spans="1:8" ht="18.75" x14ac:dyDescent="0.3">
      <c r="A21" s="409" t="s">
        <v>149</v>
      </c>
      <c r="B21" s="410"/>
      <c r="C21" s="410"/>
      <c r="D21" s="410"/>
      <c r="E21" s="411"/>
      <c r="F21" s="412">
        <f>SUM(F11+F13+F16+F17+F18+F20)</f>
        <v>1345.5920000000322</v>
      </c>
      <c r="G21" s="412"/>
      <c r="H21" s="412"/>
    </row>
    <row r="22" spans="1:8" ht="15" x14ac:dyDescent="0.25">
      <c r="A22" s="398" t="s">
        <v>150</v>
      </c>
      <c r="B22" s="399"/>
      <c r="C22" s="399"/>
      <c r="D22" s="399"/>
      <c r="E22" s="400"/>
      <c r="F22" s="393">
        <f>PRODUCT(F21,0.07)</f>
        <v>94.19144000000226</v>
      </c>
      <c r="G22" s="393"/>
      <c r="H22" s="393"/>
    </row>
    <row r="23" spans="1:8" ht="15" x14ac:dyDescent="0.25">
      <c r="A23" s="413" t="s">
        <v>151</v>
      </c>
      <c r="B23" s="414"/>
      <c r="C23" s="414"/>
      <c r="D23" s="414"/>
      <c r="E23" s="415"/>
      <c r="F23" s="393">
        <v>208.26</v>
      </c>
      <c r="G23" s="393"/>
      <c r="H23" s="393"/>
    </row>
    <row r="24" spans="1:8" ht="15.75" x14ac:dyDescent="0.25">
      <c r="A24" s="398" t="s">
        <v>152</v>
      </c>
      <c r="B24" s="399"/>
      <c r="C24" s="399"/>
      <c r="D24" s="399"/>
      <c r="E24" s="400"/>
      <c r="F24" s="401">
        <f>SUM(F22:H23)</f>
        <v>302.45144000000226</v>
      </c>
      <c r="G24" s="401"/>
      <c r="H24" s="401"/>
    </row>
    <row r="25" spans="1:8" x14ac:dyDescent="0.2">
      <c r="A25" s="402" t="s">
        <v>153</v>
      </c>
      <c r="B25" s="403"/>
      <c r="C25" s="403"/>
      <c r="D25" s="403"/>
      <c r="E25" s="404"/>
      <c r="F25" s="408">
        <f>SUM(F21,F24)</f>
        <v>1648.0434400000345</v>
      </c>
      <c r="G25" s="408"/>
      <c r="H25" s="408"/>
    </row>
    <row r="26" spans="1:8" x14ac:dyDescent="0.2">
      <c r="A26" s="405"/>
      <c r="B26" s="406"/>
      <c r="C26" s="406"/>
      <c r="D26" s="406"/>
      <c r="E26" s="407"/>
      <c r="F26" s="408"/>
      <c r="G26" s="408"/>
      <c r="H26" s="40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77"/>
      <c r="B1" s="296" t="s">
        <v>155</v>
      </c>
      <c r="C1" s="297"/>
      <c r="D1" s="297"/>
      <c r="E1" s="297"/>
      <c r="F1" s="380" t="s">
        <v>88</v>
      </c>
      <c r="G1" s="381"/>
      <c r="H1" s="382"/>
    </row>
    <row r="2" spans="1:8" ht="15.75" customHeight="1" thickBot="1" x14ac:dyDescent="0.25">
      <c r="A2" s="378"/>
      <c r="B2" s="298"/>
      <c r="C2" s="299"/>
      <c r="D2" s="299"/>
      <c r="E2" s="299"/>
      <c r="F2" s="383"/>
      <c r="G2" s="384"/>
      <c r="H2" s="385"/>
    </row>
    <row r="3" spans="1:8" ht="15" customHeight="1" x14ac:dyDescent="0.2">
      <c r="A3" s="378"/>
      <c r="B3" s="298"/>
      <c r="C3" s="299"/>
      <c r="D3" s="299"/>
      <c r="E3" s="299"/>
      <c r="F3" s="380" t="s">
        <v>89</v>
      </c>
      <c r="G3" s="381"/>
      <c r="H3" s="382"/>
    </row>
    <row r="4" spans="1:8" ht="15.75" customHeight="1" thickBot="1" x14ac:dyDescent="0.25">
      <c r="A4" s="379"/>
      <c r="B4" s="300"/>
      <c r="C4" s="301"/>
      <c r="D4" s="301"/>
      <c r="E4" s="301"/>
      <c r="F4" s="386"/>
      <c r="G4" s="387"/>
      <c r="H4" s="388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58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89" t="s">
        <v>116</v>
      </c>
      <c r="C10" s="390"/>
      <c r="D10" s="391" t="s">
        <v>139</v>
      </c>
      <c r="E10" s="391"/>
      <c r="F10" s="389" t="s">
        <v>140</v>
      </c>
      <c r="G10" s="392"/>
      <c r="H10" s="390"/>
    </row>
    <row r="11" spans="1:8" ht="15" x14ac:dyDescent="0.25">
      <c r="A11" s="102" t="s">
        <v>141</v>
      </c>
      <c r="B11" s="393"/>
      <c r="C11" s="393"/>
      <c r="D11" s="393"/>
      <c r="E11" s="393"/>
      <c r="F11" s="393">
        <v>15</v>
      </c>
      <c r="G11" s="393"/>
      <c r="H11" s="393"/>
    </row>
    <row r="12" spans="1:8" ht="21" x14ac:dyDescent="0.35">
      <c r="A12" s="394" t="s">
        <v>142</v>
      </c>
      <c r="B12" s="394"/>
      <c r="C12" s="394"/>
      <c r="D12" s="394"/>
      <c r="E12" s="394"/>
      <c r="F12" s="394"/>
      <c r="G12" s="394"/>
      <c r="H12" s="394"/>
    </row>
    <row r="13" spans="1:8" ht="15" x14ac:dyDescent="0.25">
      <c r="A13" s="102" t="s">
        <v>156</v>
      </c>
      <c r="B13" s="393">
        <f>G8</f>
        <v>0</v>
      </c>
      <c r="C13" s="393"/>
      <c r="D13" s="393">
        <v>16.48</v>
      </c>
      <c r="E13" s="393"/>
      <c r="F13" s="395">
        <f>PRODUCT(D13,B13)</f>
        <v>0</v>
      </c>
      <c r="G13" s="395"/>
      <c r="H13" s="395"/>
    </row>
    <row r="14" spans="1:8" ht="15" x14ac:dyDescent="0.2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 x14ac:dyDescent="0.2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 x14ac:dyDescent="0.2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 x14ac:dyDescent="0.2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 x14ac:dyDescent="0.2">
      <c r="A18" s="396" t="s">
        <v>144</v>
      </c>
      <c r="B18" s="396"/>
      <c r="C18" s="396"/>
      <c r="D18" s="396"/>
      <c r="E18" s="396"/>
      <c r="F18" s="396"/>
      <c r="G18" s="396"/>
      <c r="H18" s="396"/>
    </row>
    <row r="19" spans="1:8" x14ac:dyDescent="0.2">
      <c r="A19" s="397"/>
      <c r="B19" s="397"/>
      <c r="C19" s="397"/>
      <c r="D19" s="397"/>
      <c r="E19" s="397"/>
      <c r="F19" s="397"/>
      <c r="G19" s="397"/>
      <c r="H19" s="397"/>
    </row>
    <row r="20" spans="1:8" ht="15" x14ac:dyDescent="0.25">
      <c r="A20" s="103" t="s">
        <v>145</v>
      </c>
      <c r="B20" s="393">
        <v>0</v>
      </c>
      <c r="C20" s="393"/>
      <c r="D20" s="393">
        <v>0</v>
      </c>
      <c r="E20" s="393"/>
      <c r="F20" s="393">
        <f>PRODUCT(D20,B20)</f>
        <v>0</v>
      </c>
      <c r="G20" s="393"/>
      <c r="H20" s="393"/>
    </row>
    <row r="21" spans="1:8" ht="15" x14ac:dyDescent="0.25">
      <c r="A21" s="103" t="s">
        <v>146</v>
      </c>
      <c r="B21" s="393">
        <v>0</v>
      </c>
      <c r="C21" s="393"/>
      <c r="D21" s="393">
        <v>0</v>
      </c>
      <c r="E21" s="393"/>
      <c r="F21" s="393">
        <f>PRODUCT(D21,B21)</f>
        <v>0</v>
      </c>
      <c r="G21" s="393"/>
      <c r="H21" s="393"/>
    </row>
    <row r="22" spans="1:8" ht="15" x14ac:dyDescent="0.25">
      <c r="A22" s="103" t="s">
        <v>147</v>
      </c>
      <c r="B22" s="393">
        <v>0</v>
      </c>
      <c r="C22" s="393"/>
      <c r="D22" s="393">
        <v>0</v>
      </c>
      <c r="E22" s="393"/>
      <c r="F22" s="393">
        <f>PRODUCT(D22,B22)</f>
        <v>0</v>
      </c>
      <c r="G22" s="393"/>
      <c r="H22" s="393"/>
    </row>
    <row r="23" spans="1:8" ht="15" x14ac:dyDescent="0.25">
      <c r="A23" s="103" t="s">
        <v>148</v>
      </c>
      <c r="B23" s="393">
        <f>G8</f>
        <v>0</v>
      </c>
      <c r="C23" s="393"/>
      <c r="D23" s="393">
        <v>0</v>
      </c>
      <c r="E23" s="393"/>
      <c r="F23" s="393">
        <f>PRODUCT(D23,B23)</f>
        <v>0</v>
      </c>
      <c r="G23" s="393"/>
      <c r="H23" s="393"/>
    </row>
    <row r="24" spans="1:8" ht="15" x14ac:dyDescent="0.2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58"/>
    </row>
    <row r="25" spans="1:8" ht="18.75" x14ac:dyDescent="0.3">
      <c r="A25" s="409" t="s">
        <v>149</v>
      </c>
      <c r="B25" s="410"/>
      <c r="C25" s="410"/>
      <c r="D25" s="410"/>
      <c r="E25" s="411"/>
      <c r="F25" s="418">
        <f>SUM(F11+F13+F20+F21+F22+F23)</f>
        <v>15</v>
      </c>
      <c r="G25" s="412"/>
      <c r="H25" s="412"/>
    </row>
    <row r="26" spans="1:8" ht="15" x14ac:dyDescent="0.25">
      <c r="A26" s="398" t="s">
        <v>150</v>
      </c>
      <c r="B26" s="399"/>
      <c r="C26" s="399"/>
      <c r="D26" s="399"/>
      <c r="E26" s="400"/>
      <c r="F26" s="393">
        <v>63.63</v>
      </c>
      <c r="G26" s="393"/>
      <c r="H26" s="393"/>
    </row>
    <row r="27" spans="1:8" ht="15" x14ac:dyDescent="0.25">
      <c r="A27" s="413" t="s">
        <v>151</v>
      </c>
      <c r="B27" s="414"/>
      <c r="C27" s="414"/>
      <c r="D27" s="414"/>
      <c r="E27" s="415"/>
      <c r="F27" s="393">
        <v>2.4300000000000002</v>
      </c>
      <c r="G27" s="393"/>
      <c r="H27" s="393"/>
    </row>
    <row r="28" spans="1:8" ht="15.75" x14ac:dyDescent="0.25">
      <c r="A28" s="398" t="s">
        <v>152</v>
      </c>
      <c r="B28" s="399"/>
      <c r="C28" s="399"/>
      <c r="D28" s="399"/>
      <c r="E28" s="400"/>
      <c r="F28" s="401">
        <f>SUM(F26:H27)</f>
        <v>66.06</v>
      </c>
      <c r="G28" s="401"/>
      <c r="H28" s="401"/>
    </row>
    <row r="29" spans="1:8" x14ac:dyDescent="0.2">
      <c r="A29" s="402" t="s">
        <v>153</v>
      </c>
      <c r="B29" s="403"/>
      <c r="C29" s="403"/>
      <c r="D29" s="403"/>
      <c r="E29" s="404"/>
      <c r="F29" s="408">
        <f>SUM(F25,F28)</f>
        <v>81.06</v>
      </c>
      <c r="G29" s="408"/>
      <c r="H29" s="408"/>
    </row>
    <row r="30" spans="1:8" x14ac:dyDescent="0.2">
      <c r="A30" s="405"/>
      <c r="B30" s="406"/>
      <c r="C30" s="406"/>
      <c r="D30" s="406"/>
      <c r="E30" s="407"/>
      <c r="F30" s="408"/>
      <c r="G30" s="408"/>
      <c r="H30" s="40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7" zoomScaleNormal="100" workbookViewId="0">
      <selection activeCell="D15" sqref="D15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59" t="s">
        <v>181</v>
      </c>
      <c r="C15" s="104">
        <v>206479</v>
      </c>
      <c r="D15" s="104">
        <v>244783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59" t="s">
        <v>181</v>
      </c>
      <c r="C26" s="104">
        <v>240995.18219999998</v>
      </c>
      <c r="D26" s="104">
        <v>278597.25799999997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8" zoomScaleNormal="100" workbookViewId="0">
      <selection activeCell="D26" sqref="D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59" t="s">
        <v>181</v>
      </c>
      <c r="C15" s="104">
        <v>1595.1000000000058</v>
      </c>
      <c r="D15" s="104">
        <v>2215.8999999999942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59" t="s">
        <v>181</v>
      </c>
      <c r="C26" s="104">
        <v>18207.140000000065</v>
      </c>
      <c r="D26" s="104">
        <v>25284.259999999933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59" t="s">
        <v>181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 x14ac:dyDescent="0.35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59" t="s">
        <v>181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2023-02-23T13:50:30Z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