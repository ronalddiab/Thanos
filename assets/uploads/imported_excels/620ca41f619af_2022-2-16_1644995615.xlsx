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HEP Daily report 2022\"/>
    </mc:Choice>
  </mc:AlternateContent>
  <bookViews>
    <workbookView xWindow="0" yWindow="0" windowWidth="28800" windowHeight="12300" tabRatio="620" activeTab="1"/>
  </bookViews>
  <sheets>
    <sheet name="02Feb" sheetId="117" r:id="rId1"/>
    <sheet name="Tianjin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19" l="1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H5" i="119"/>
  <c r="H6" i="119"/>
  <c r="H7" i="119"/>
  <c r="H8" i="119"/>
  <c r="H9" i="119"/>
  <c r="H10" i="119"/>
  <c r="H11" i="119"/>
  <c r="H12" i="119"/>
  <c r="H13" i="119"/>
  <c r="H14" i="119"/>
  <c r="H15" i="119"/>
  <c r="H16" i="119"/>
  <c r="H17" i="119"/>
  <c r="H18" i="119"/>
  <c r="H19" i="119"/>
  <c r="H20" i="119"/>
  <c r="H21" i="119"/>
  <c r="H22" i="119"/>
  <c r="H23" i="119"/>
  <c r="H24" i="119"/>
  <c r="H25" i="119"/>
  <c r="H26" i="119"/>
  <c r="H27" i="119"/>
  <c r="H28" i="119"/>
  <c r="H29" i="119"/>
  <c r="H30" i="119"/>
  <c r="H31" i="119"/>
  <c r="H32" i="119"/>
  <c r="D5" i="119"/>
  <c r="D6" i="119"/>
  <c r="D7" i="119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<sst xmlns="http://schemas.openxmlformats.org/spreadsheetml/2006/main" count="53" uniqueCount="25">
  <si>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</si>
  <si>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</si>
  <si>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</si>
  <si>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</si>
  <si>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</si>
  <si>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</si>
  <si>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</si>
  <si>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</si>
  <si>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</si>
  <si>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</si>
  <si>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</si>
  <si>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</si>
  <si>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Tianjin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</si>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</sst>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0" fontId="6" fillId="6" borderId="2" xfId="11" applyFont="1" applyFill="1" applyBorder="1" applyAlignment="1">
      <alignment horizontal="center" vertical="center"/>
    </xf>
    <xf numFmtId="0" fontId="6" fillId="7" borderId="7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0" fontId="7" fillId="0" borderId="0" xfId="11" applyFont="1"/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7" fillId="0" borderId="9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  <xf numFmtId="1" fontId="8" fillId="0" borderId="1" xfId="11" applyNumberFormat="1" applyFont="1" applyBorder="1" applyAlignment="1">
      <alignment horizontal="center"/>
    </xf>
    <xf numFmtId="0" fontId="7" fillId="0" borderId="1" xfId="11" applyFont="1" applyBorder="1"/>
    <xf numFmtId="1" fontId="1" fillId="0" borderId="11" xfId="11" applyNumberFormat="1" applyBorder="1" applyAlignment="1">
      <alignment horizontal="center"/>
    </xf>
    <xf numFmtId="1" fontId="6" fillId="8" borderId="2" xfId="11" applyNumberFormat="1" applyFont="1" applyFill="1" applyBorder="1" applyAlignment="1">
      <alignment horizontal="center" wrapText="1"/>
    </xf>
    <xf numFmtId="1" fontId="1" fillId="0" borderId="4" xfId="11" applyNumberFormat="1" applyBorder="1"/>
    <xf numFmtId="1" fontId="1" fillId="0" borderId="13" xfId="11" applyNumberFormat="1" applyBorder="1"/>
    <xf numFmtId="0" fontId="9" fillId="2" borderId="1" xfId="11" applyFont="1" applyFill="1" applyBorder="1" applyAlignment="1">
      <alignment horizontal="center"/>
    </xf>
    <xf numFmtId="0" fontId="9" fillId="2" borderId="8" xfId="11" applyFont="1" applyFill="1" applyBorder="1" applyAlignment="1">
      <alignment horizontal="center"/>
    </xf>
    <xf numFmtId="0" fontId="10" fillId="2" borderId="10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3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12" xfId="11" applyFont="1" applyFill="1" applyBorder="1" applyAlignment="1">
      <alignment horizontal="center" vertical="center" wrapText="1"/>
    </xf>
    <xf numFmtId="0" fontId="6" fillId="5" borderId="5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K8" sqref="K8:L1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28">
        <v>23800</v>
      </c>
      <c r="F2" s="26">
        <v>0.82</v>
      </c>
      <c r="G2" s="28">
        <v>5263</v>
      </c>
      <c r="H2" s="26">
        <v>3.72</v>
      </c>
      <c r="I2" s="28">
        <v>133</v>
      </c>
      <c r="J2" s="26">
        <v>8.4700000000000006</v>
      </c>
      <c r="K2" s="28">
        <v>137</v>
      </c>
      <c r="L2" s="33">
        <v>310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28">
        <v>21350</v>
      </c>
      <c r="F3" s="26">
        <v>0.82</v>
      </c>
      <c r="G3" s="28">
        <v>5017</v>
      </c>
      <c r="H3" s="26">
        <v>3.72</v>
      </c>
      <c r="I3" s="28">
        <v>36</v>
      </c>
      <c r="J3" s="26">
        <v>8.4700000000000006</v>
      </c>
      <c r="K3" s="28">
        <v>61</v>
      </c>
      <c r="L3" s="33">
        <v>216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28">
        <v>23310</v>
      </c>
      <c r="F4" s="26">
        <v>0.82</v>
      </c>
      <c r="G4" s="28">
        <v>5264</v>
      </c>
      <c r="H4" s="26">
        <v>3.72</v>
      </c>
      <c r="I4" s="28">
        <v>168</v>
      </c>
      <c r="J4" s="26">
        <v>8.4700000000000006</v>
      </c>
      <c r="K4" s="28">
        <v>65</v>
      </c>
      <c r="L4" s="33">
        <v>209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28">
        <v>22960</v>
      </c>
      <c r="F5" s="26">
        <v>0.82</v>
      </c>
      <c r="G5" s="28">
        <v>5461</v>
      </c>
      <c r="H5" s="26">
        <v>3.72</v>
      </c>
      <c r="I5" s="28">
        <v>64</v>
      </c>
      <c r="J5" s="26">
        <v>8.4700000000000006</v>
      </c>
      <c r="K5" s="28">
        <v>53</v>
      </c>
      <c r="L5" s="33">
        <v>198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28">
        <v>20860</v>
      </c>
      <c r="F6" s="26">
        <v>0.82</v>
      </c>
      <c r="G6" s="28">
        <v>5371</v>
      </c>
      <c r="H6" s="26">
        <v>3.72</v>
      </c>
      <c r="I6" s="28">
        <v>60</v>
      </c>
      <c r="J6" s="26">
        <v>8.4700000000000006</v>
      </c>
      <c r="K6" s="28">
        <v>60</v>
      </c>
      <c r="L6" s="33">
        <v>212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28">
        <v>22960</v>
      </c>
      <c r="F7" s="26">
        <v>0.82</v>
      </c>
      <c r="G7" s="28">
        <v>5408</v>
      </c>
      <c r="H7" s="26">
        <v>3.72</v>
      </c>
      <c r="I7" s="28">
        <v>158</v>
      </c>
      <c r="J7" s="26">
        <v>8.4700000000000006</v>
      </c>
      <c r="K7" s="28">
        <v>47</v>
      </c>
      <c r="L7" s="33">
        <v>218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28">
        <v>23590</v>
      </c>
      <c r="F8" s="26">
        <v>0.82</v>
      </c>
      <c r="G8" s="28">
        <v>4964</v>
      </c>
      <c r="H8" s="26">
        <v>3.72</v>
      </c>
      <c r="I8" s="28">
        <v>1</v>
      </c>
      <c r="J8" s="26">
        <v>8.4700000000000006</v>
      </c>
      <c r="K8" s="28">
        <v>45</v>
      </c>
      <c r="L8" s="33">
        <v>40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28">
        <v>20160</v>
      </c>
      <c r="F9" s="26">
        <v>0.82</v>
      </c>
      <c r="G9" s="28">
        <v>4972</v>
      </c>
      <c r="H9" s="26">
        <v>3.72</v>
      </c>
      <c r="I9" s="28">
        <v>93</v>
      </c>
      <c r="J9" s="26">
        <v>8.4700000000000006</v>
      </c>
      <c r="K9" s="28">
        <v>46</v>
      </c>
      <c r="L9" s="33">
        <v>32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28">
        <v>22610</v>
      </c>
      <c r="F10" s="26">
        <v>0.82</v>
      </c>
      <c r="G10" s="28">
        <v>4728</v>
      </c>
      <c r="H10" s="26">
        <v>3.72</v>
      </c>
      <c r="I10" s="28">
        <v>0</v>
      </c>
      <c r="J10" s="26">
        <v>8.4700000000000006</v>
      </c>
      <c r="K10" s="28">
        <v>49</v>
      </c>
      <c r="L10" s="33">
        <v>48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28">
        <v>23590</v>
      </c>
      <c r="F11" s="26">
        <v>0.82</v>
      </c>
      <c r="G11" s="28">
        <v>4748</v>
      </c>
      <c r="H11" s="26">
        <v>3.72</v>
      </c>
      <c r="I11" s="28">
        <v>91</v>
      </c>
      <c r="J11" s="26">
        <v>8.4700000000000006</v>
      </c>
      <c r="K11" s="28">
        <v>56</v>
      </c>
      <c r="L11" s="33">
        <v>40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28">
        <v>20160</v>
      </c>
      <c r="F12" s="26">
        <v>0.82</v>
      </c>
      <c r="G12" s="28">
        <v>4538</v>
      </c>
      <c r="H12" s="26">
        <v>3.72</v>
      </c>
      <c r="I12" s="28">
        <v>106</v>
      </c>
      <c r="J12" s="26">
        <v>8.4700000000000006</v>
      </c>
      <c r="K12" s="28">
        <v>64</v>
      </c>
      <c r="L12" s="33">
        <v>39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28">
        <v>22820</v>
      </c>
      <c r="F13" s="26">
        <v>0.82</v>
      </c>
      <c r="G13" s="28">
        <v>4984</v>
      </c>
      <c r="H13" s="26">
        <v>3.72</v>
      </c>
      <c r="I13" s="28">
        <v>9</v>
      </c>
      <c r="J13" s="26">
        <v>8.4700000000000006</v>
      </c>
      <c r="K13" s="28">
        <v>75</v>
      </c>
      <c r="L13" s="33">
        <v>50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28">
        <v>26110</v>
      </c>
      <c r="F14" s="26">
        <v>0.82</v>
      </c>
      <c r="G14" s="28">
        <v>5309</v>
      </c>
      <c r="H14" s="26">
        <v>3.72</v>
      </c>
      <c r="I14" s="28">
        <v>43</v>
      </c>
      <c r="J14" s="26">
        <v>8.4700000000000006</v>
      </c>
      <c r="K14" s="28">
        <v>56</v>
      </c>
      <c r="L14" s="33">
        <v>83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28">
        <v>24500</v>
      </c>
      <c r="F15" s="26">
        <v>0.82</v>
      </c>
      <c r="G15" s="28">
        <v>5575</v>
      </c>
      <c r="H15" s="26">
        <v>3.72</v>
      </c>
      <c r="I15" s="28">
        <v>92</v>
      </c>
      <c r="J15" s="26">
        <v>8.4700000000000006</v>
      </c>
      <c r="K15" s="28">
        <v>74</v>
      </c>
      <c r="L15" s="33">
        <v>284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28">
        <v>26390</v>
      </c>
      <c r="F16" s="26">
        <v>0.82</v>
      </c>
      <c r="G16" s="28"/>
      <c r="H16" s="26">
        <v>3.72</v>
      </c>
      <c r="I16" s="28"/>
      <c r="J16" s="26">
        <v>8.4700000000000006</v>
      </c>
      <c r="K16" s="28">
        <v>42</v>
      </c>
      <c r="L16" s="33">
        <v>133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28"/>
      <c r="F17" s="26">
        <v>0.82</v>
      </c>
      <c r="G17" s="28"/>
      <c r="H17" s="26">
        <v>3.72</v>
      </c>
      <c r="I17" s="28"/>
      <c r="J17" s="26">
        <v>8.4700000000000006</v>
      </c>
      <c r="K17" s="28"/>
      <c r="L17" s="33"/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28"/>
      <c r="F18" s="26">
        <v>0.82</v>
      </c>
      <c r="G18" s="28"/>
      <c r="H18" s="26">
        <v>3.72</v>
      </c>
      <c r="I18" s="28"/>
      <c r="J18" s="26">
        <v>8.4700000000000006</v>
      </c>
      <c r="K18" s="28"/>
      <c r="L18" s="33"/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29"/>
      <c r="F19" s="26">
        <v>0.82</v>
      </c>
      <c r="G19" s="28"/>
      <c r="H19" s="26">
        <v>3.72</v>
      </c>
      <c r="I19" s="28"/>
      <c r="J19" s="26">
        <v>8.4700000000000006</v>
      </c>
      <c r="K19" s="28"/>
      <c r="L19" s="33"/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27">
        <v>2022</v>
      </c>
      <c r="E20" s="29"/>
      <c r="F20" s="26">
        <v>0.82</v>
      </c>
      <c r="G20" s="28"/>
      <c r="H20" s="31">
        <v>3.72</v>
      </c>
      <c r="I20" s="28"/>
      <c r="J20" s="32">
        <v>8.4700000000000006</v>
      </c>
      <c r="K20" s="28"/>
      <c r="L20" s="33"/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27">
        <v>2022</v>
      </c>
      <c r="E21" s="30"/>
      <c r="F21" s="26">
        <v>0.82</v>
      </c>
      <c r="G21" s="30"/>
      <c r="H21" s="31">
        <v>3.72</v>
      </c>
      <c r="I21" s="30"/>
      <c r="J21" s="32">
        <v>8.4700000000000006</v>
      </c>
      <c r="K21" s="30"/>
      <c r="L21" s="34"/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27">
        <v>2022</v>
      </c>
      <c r="E22" s="28"/>
      <c r="F22" s="26">
        <v>0.82</v>
      </c>
      <c r="G22" s="28"/>
      <c r="H22" s="31">
        <v>3.72</v>
      </c>
      <c r="I22" s="28"/>
      <c r="J22" s="32">
        <v>8.4700000000000006</v>
      </c>
      <c r="K22" s="28"/>
      <c r="L22" s="33"/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27">
        <v>2022</v>
      </c>
      <c r="E23" s="28"/>
      <c r="F23" s="26">
        <v>0.82</v>
      </c>
      <c r="G23" s="28"/>
      <c r="H23" s="31">
        <v>3.72</v>
      </c>
      <c r="I23" s="28"/>
      <c r="J23" s="32">
        <v>8.4700000000000006</v>
      </c>
      <c r="K23" s="28"/>
      <c r="L23" s="33"/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27">
        <v>2022</v>
      </c>
      <c r="E24" s="28"/>
      <c r="F24" s="26">
        <v>0.82</v>
      </c>
      <c r="G24" s="28"/>
      <c r="H24" s="31">
        <v>3.72</v>
      </c>
      <c r="I24" s="28"/>
      <c r="J24" s="32">
        <v>8.4700000000000006</v>
      </c>
      <c r="K24" s="28"/>
      <c r="L24" s="33"/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27">
        <v>2022</v>
      </c>
      <c r="E25" s="28"/>
      <c r="F25" s="26">
        <v>0.82</v>
      </c>
      <c r="G25" s="28"/>
      <c r="H25" s="31">
        <v>3.72</v>
      </c>
      <c r="I25" s="28"/>
      <c r="J25" s="32">
        <v>8.4700000000000006</v>
      </c>
      <c r="K25" s="28"/>
      <c r="L25" s="33"/>
    </row>
    <row r="26" spans="1:12" ht="15" x14ac:dyDescent="0.25">
      <c r="A26" s="6" t="s">
        <v>12</v>
      </c>
      <c r="B26" s="7">
        <f>B25+1</f>
        <v>25</v>
      </c>
      <c r="C26" s="8">
        <v>2</v>
      </c>
      <c r="D26" s="27">
        <v>2022</v>
      </c>
      <c r="E26" s="28"/>
      <c r="F26" s="26">
        <v>0.82</v>
      </c>
      <c r="G26" s="28"/>
      <c r="H26" s="31">
        <v>3.72</v>
      </c>
      <c r="I26" s="28"/>
      <c r="J26" s="32">
        <v>8.4700000000000006</v>
      </c>
      <c r="K26" s="28"/>
      <c r="L26" s="33"/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27">
        <v>2022</v>
      </c>
      <c r="E27" s="28"/>
      <c r="F27" s="26">
        <v>0.82</v>
      </c>
      <c r="G27" s="28"/>
      <c r="H27" s="31">
        <v>3.72</v>
      </c>
      <c r="I27" s="28"/>
      <c r="J27" s="32">
        <v>8.4700000000000006</v>
      </c>
      <c r="K27" s="28"/>
      <c r="L27" s="33"/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27">
        <v>2022</v>
      </c>
      <c r="E28" s="28"/>
      <c r="F28" s="26">
        <v>0.82</v>
      </c>
      <c r="G28" s="28"/>
      <c r="H28" s="31">
        <v>3.72</v>
      </c>
      <c r="I28" s="28"/>
      <c r="J28" s="32">
        <v>8.4700000000000006</v>
      </c>
      <c r="K28" s="28"/>
      <c r="L28" s="33"/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27">
        <v>2022</v>
      </c>
      <c r="E29" s="28"/>
      <c r="F29" s="26">
        <v>0.82</v>
      </c>
      <c r="G29" s="28"/>
      <c r="H29" s="31">
        <v>3.72</v>
      </c>
      <c r="I29" s="28"/>
      <c r="J29" s="32">
        <v>8.4700000000000006</v>
      </c>
      <c r="K29" s="28"/>
      <c r="L2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2"/>
  <sheetViews>
    <sheetView tabSelected="1" zoomScale="85" zoomScaleNormal="85" workbookViewId="0">
      <pane xSplit="1" topLeftCell="B1" activePane="topRight" state="frozen"/>
      <selection pane="topRight" activeCell="I11" sqref="I11:J19"/>
    </sheetView>
  </sheetViews>
  <sheetFormatPr defaultRowHeight="15" x14ac:dyDescent="0.25"/>
  <cols>
    <col min="1" max="1" width="14" style="11" customWidth="1"/>
    <col min="2" max="2" width="2" style="11" customWidth="1"/>
    <col min="3" max="3" width="11.85546875" style="23" customWidth="1"/>
    <col min="4" max="4" width="13.5703125" style="24" customWidth="1"/>
    <col min="5" max="5" width="14.85546875" style="11" customWidth="1"/>
    <col min="6" max="6" width="14.85546875" style="23" customWidth="1"/>
    <col min="7" max="7" width="8.85546875" style="11" customWidth="1"/>
    <col min="8" max="8" width="12.5703125" style="11" customWidth="1"/>
    <col min="9" max="10" width="13" style="25" customWidth="1"/>
    <col min="11" max="254" width="9.140625" style="11"/>
    <col min="255" max="255" width="14" style="11" customWidth="1"/>
    <col min="256" max="256" width="2" style="11" customWidth="1"/>
    <col min="257" max="257" width="11.85546875" style="11" customWidth="1"/>
    <col min="258" max="258" width="13.5703125" style="11" customWidth="1"/>
    <col min="259" max="260" width="13.85546875" style="11" customWidth="1"/>
    <col min="261" max="262" width="14.85546875" style="11" customWidth="1"/>
    <col min="263" max="263" width="8.85546875" style="11" customWidth="1"/>
    <col min="264" max="264" width="12.5703125" style="11" customWidth="1"/>
    <col min="265" max="266" width="13" style="11" customWidth="1"/>
    <col min="267" max="510" width="9.140625" style="11"/>
    <col min="511" max="511" width="14" style="11" customWidth="1"/>
    <col min="512" max="512" width="2" style="11" customWidth="1"/>
    <col min="513" max="513" width="11.85546875" style="11" customWidth="1"/>
    <col min="514" max="514" width="13.5703125" style="11" customWidth="1"/>
    <col min="515" max="516" width="13.85546875" style="11" customWidth="1"/>
    <col min="517" max="518" width="14.85546875" style="11" customWidth="1"/>
    <col min="519" max="519" width="8.85546875" style="11" customWidth="1"/>
    <col min="520" max="520" width="12.5703125" style="11" customWidth="1"/>
    <col min="521" max="522" width="13" style="11" customWidth="1"/>
    <col min="523" max="766" width="9.140625" style="11"/>
    <col min="767" max="767" width="14" style="11" customWidth="1"/>
    <col min="768" max="768" width="2" style="11" customWidth="1"/>
    <col min="769" max="769" width="11.85546875" style="11" customWidth="1"/>
    <col min="770" max="770" width="13.5703125" style="11" customWidth="1"/>
    <col min="771" max="772" width="13.85546875" style="11" customWidth="1"/>
    <col min="773" max="774" width="14.85546875" style="11" customWidth="1"/>
    <col min="775" max="775" width="8.85546875" style="11" customWidth="1"/>
    <col min="776" max="776" width="12.5703125" style="11" customWidth="1"/>
    <col min="777" max="778" width="13" style="11" customWidth="1"/>
    <col min="779" max="1022" width="9.140625" style="11"/>
    <col min="1023" max="1023" width="14" style="11" customWidth="1"/>
    <col min="1024" max="1024" width="2" style="11" customWidth="1"/>
    <col min="1025" max="1025" width="11.85546875" style="11" customWidth="1"/>
    <col min="1026" max="1026" width="13.5703125" style="11" customWidth="1"/>
    <col min="1027" max="1028" width="13.85546875" style="11" customWidth="1"/>
    <col min="1029" max="1030" width="14.85546875" style="11" customWidth="1"/>
    <col min="1031" max="1031" width="8.85546875" style="11" customWidth="1"/>
    <col min="1032" max="1032" width="12.5703125" style="11" customWidth="1"/>
    <col min="1033" max="1034" width="13" style="11" customWidth="1"/>
    <col min="1035" max="1278" width="9.140625" style="11"/>
    <col min="1279" max="1279" width="14" style="11" customWidth="1"/>
    <col min="1280" max="1280" width="2" style="11" customWidth="1"/>
    <col min="1281" max="1281" width="11.85546875" style="11" customWidth="1"/>
    <col min="1282" max="1282" width="13.5703125" style="11" customWidth="1"/>
    <col min="1283" max="1284" width="13.85546875" style="11" customWidth="1"/>
    <col min="1285" max="1286" width="14.85546875" style="11" customWidth="1"/>
    <col min="1287" max="1287" width="8.85546875" style="11" customWidth="1"/>
    <col min="1288" max="1288" width="12.5703125" style="11" customWidth="1"/>
    <col min="1289" max="1290" width="13" style="11" customWidth="1"/>
    <col min="1291" max="1534" width="9.140625" style="11"/>
    <col min="1535" max="1535" width="14" style="11" customWidth="1"/>
    <col min="1536" max="1536" width="2" style="11" customWidth="1"/>
    <col min="1537" max="1537" width="11.85546875" style="11" customWidth="1"/>
    <col min="1538" max="1538" width="13.5703125" style="11" customWidth="1"/>
    <col min="1539" max="1540" width="13.85546875" style="11" customWidth="1"/>
    <col min="1541" max="1542" width="14.85546875" style="11" customWidth="1"/>
    <col min="1543" max="1543" width="8.85546875" style="11" customWidth="1"/>
    <col min="1544" max="1544" width="12.5703125" style="11" customWidth="1"/>
    <col min="1545" max="1546" width="13" style="11" customWidth="1"/>
    <col min="1547" max="1790" width="9.140625" style="11"/>
    <col min="1791" max="1791" width="14" style="11" customWidth="1"/>
    <col min="1792" max="1792" width="2" style="11" customWidth="1"/>
    <col min="1793" max="1793" width="11.85546875" style="11" customWidth="1"/>
    <col min="1794" max="1794" width="13.5703125" style="11" customWidth="1"/>
    <col min="1795" max="1796" width="13.85546875" style="11" customWidth="1"/>
    <col min="1797" max="1798" width="14.85546875" style="11" customWidth="1"/>
    <col min="1799" max="1799" width="8.85546875" style="11" customWidth="1"/>
    <col min="1800" max="1800" width="12.5703125" style="11" customWidth="1"/>
    <col min="1801" max="1802" width="13" style="11" customWidth="1"/>
    <col min="1803" max="2046" width="9.140625" style="11"/>
    <col min="2047" max="2047" width="14" style="11" customWidth="1"/>
    <col min="2048" max="2048" width="2" style="11" customWidth="1"/>
    <col min="2049" max="2049" width="11.85546875" style="11" customWidth="1"/>
    <col min="2050" max="2050" width="13.5703125" style="11" customWidth="1"/>
    <col min="2051" max="2052" width="13.85546875" style="11" customWidth="1"/>
    <col min="2053" max="2054" width="14.85546875" style="11" customWidth="1"/>
    <col min="2055" max="2055" width="8.85546875" style="11" customWidth="1"/>
    <col min="2056" max="2056" width="12.5703125" style="11" customWidth="1"/>
    <col min="2057" max="2058" width="13" style="11" customWidth="1"/>
    <col min="2059" max="2302" width="9.140625" style="11"/>
    <col min="2303" max="2303" width="14" style="11" customWidth="1"/>
    <col min="2304" max="2304" width="2" style="11" customWidth="1"/>
    <col min="2305" max="2305" width="11.85546875" style="11" customWidth="1"/>
    <col min="2306" max="2306" width="13.5703125" style="11" customWidth="1"/>
    <col min="2307" max="2308" width="13.85546875" style="11" customWidth="1"/>
    <col min="2309" max="2310" width="14.85546875" style="11" customWidth="1"/>
    <col min="2311" max="2311" width="8.85546875" style="11" customWidth="1"/>
    <col min="2312" max="2312" width="12.5703125" style="11" customWidth="1"/>
    <col min="2313" max="2314" width="13" style="11" customWidth="1"/>
    <col min="2315" max="2558" width="9.140625" style="11"/>
    <col min="2559" max="2559" width="14" style="11" customWidth="1"/>
    <col min="2560" max="2560" width="2" style="11" customWidth="1"/>
    <col min="2561" max="2561" width="11.85546875" style="11" customWidth="1"/>
    <col min="2562" max="2562" width="13.5703125" style="11" customWidth="1"/>
    <col min="2563" max="2564" width="13.85546875" style="11" customWidth="1"/>
    <col min="2565" max="2566" width="14.85546875" style="11" customWidth="1"/>
    <col min="2567" max="2567" width="8.85546875" style="11" customWidth="1"/>
    <col min="2568" max="2568" width="12.5703125" style="11" customWidth="1"/>
    <col min="2569" max="2570" width="13" style="11" customWidth="1"/>
    <col min="2571" max="2814" width="9.140625" style="11"/>
    <col min="2815" max="2815" width="14" style="11" customWidth="1"/>
    <col min="2816" max="2816" width="2" style="11" customWidth="1"/>
    <col min="2817" max="2817" width="11.85546875" style="11" customWidth="1"/>
    <col min="2818" max="2818" width="13.5703125" style="11" customWidth="1"/>
    <col min="2819" max="2820" width="13.85546875" style="11" customWidth="1"/>
    <col min="2821" max="2822" width="14.85546875" style="11" customWidth="1"/>
    <col min="2823" max="2823" width="8.85546875" style="11" customWidth="1"/>
    <col min="2824" max="2824" width="12.5703125" style="11" customWidth="1"/>
    <col min="2825" max="2826" width="13" style="11" customWidth="1"/>
    <col min="2827" max="3070" width="9.140625" style="11"/>
    <col min="3071" max="3071" width="14" style="11" customWidth="1"/>
    <col min="3072" max="3072" width="2" style="11" customWidth="1"/>
    <col min="3073" max="3073" width="11.85546875" style="11" customWidth="1"/>
    <col min="3074" max="3074" width="13.5703125" style="11" customWidth="1"/>
    <col min="3075" max="3076" width="13.85546875" style="11" customWidth="1"/>
    <col min="3077" max="3078" width="14.85546875" style="11" customWidth="1"/>
    <col min="3079" max="3079" width="8.85546875" style="11" customWidth="1"/>
    <col min="3080" max="3080" width="12.5703125" style="11" customWidth="1"/>
    <col min="3081" max="3082" width="13" style="11" customWidth="1"/>
    <col min="3083" max="3326" width="9.140625" style="11"/>
    <col min="3327" max="3327" width="14" style="11" customWidth="1"/>
    <col min="3328" max="3328" width="2" style="11" customWidth="1"/>
    <col min="3329" max="3329" width="11.85546875" style="11" customWidth="1"/>
    <col min="3330" max="3330" width="13.5703125" style="11" customWidth="1"/>
    <col min="3331" max="3332" width="13.85546875" style="11" customWidth="1"/>
    <col min="3333" max="3334" width="14.85546875" style="11" customWidth="1"/>
    <col min="3335" max="3335" width="8.85546875" style="11" customWidth="1"/>
    <col min="3336" max="3336" width="12.5703125" style="11" customWidth="1"/>
    <col min="3337" max="3338" width="13" style="11" customWidth="1"/>
    <col min="3339" max="3582" width="9.140625" style="11"/>
    <col min="3583" max="3583" width="14" style="11" customWidth="1"/>
    <col min="3584" max="3584" width="2" style="11" customWidth="1"/>
    <col min="3585" max="3585" width="11.85546875" style="11" customWidth="1"/>
    <col min="3586" max="3586" width="13.5703125" style="11" customWidth="1"/>
    <col min="3587" max="3588" width="13.85546875" style="11" customWidth="1"/>
    <col min="3589" max="3590" width="14.85546875" style="11" customWidth="1"/>
    <col min="3591" max="3591" width="8.85546875" style="11" customWidth="1"/>
    <col min="3592" max="3592" width="12.5703125" style="11" customWidth="1"/>
    <col min="3593" max="3594" width="13" style="11" customWidth="1"/>
    <col min="3595" max="3838" width="9.140625" style="11"/>
    <col min="3839" max="3839" width="14" style="11" customWidth="1"/>
    <col min="3840" max="3840" width="2" style="11" customWidth="1"/>
    <col min="3841" max="3841" width="11.85546875" style="11" customWidth="1"/>
    <col min="3842" max="3842" width="13.5703125" style="11" customWidth="1"/>
    <col min="3843" max="3844" width="13.85546875" style="11" customWidth="1"/>
    <col min="3845" max="3846" width="14.85546875" style="11" customWidth="1"/>
    <col min="3847" max="3847" width="8.85546875" style="11" customWidth="1"/>
    <col min="3848" max="3848" width="12.5703125" style="11" customWidth="1"/>
    <col min="3849" max="3850" width="13" style="11" customWidth="1"/>
    <col min="3851" max="4094" width="9.140625" style="11"/>
    <col min="4095" max="4095" width="14" style="11" customWidth="1"/>
    <col min="4096" max="4096" width="2" style="11" customWidth="1"/>
    <col min="4097" max="4097" width="11.85546875" style="11" customWidth="1"/>
    <col min="4098" max="4098" width="13.5703125" style="11" customWidth="1"/>
    <col min="4099" max="4100" width="13.85546875" style="11" customWidth="1"/>
    <col min="4101" max="4102" width="14.85546875" style="11" customWidth="1"/>
    <col min="4103" max="4103" width="8.85546875" style="11" customWidth="1"/>
    <col min="4104" max="4104" width="12.5703125" style="11" customWidth="1"/>
    <col min="4105" max="4106" width="13" style="11" customWidth="1"/>
    <col min="4107" max="4350" width="9.140625" style="11"/>
    <col min="4351" max="4351" width="14" style="11" customWidth="1"/>
    <col min="4352" max="4352" width="2" style="11" customWidth="1"/>
    <col min="4353" max="4353" width="11.85546875" style="11" customWidth="1"/>
    <col min="4354" max="4354" width="13.5703125" style="11" customWidth="1"/>
    <col min="4355" max="4356" width="13.85546875" style="11" customWidth="1"/>
    <col min="4357" max="4358" width="14.85546875" style="11" customWidth="1"/>
    <col min="4359" max="4359" width="8.85546875" style="11" customWidth="1"/>
    <col min="4360" max="4360" width="12.5703125" style="11" customWidth="1"/>
    <col min="4361" max="4362" width="13" style="11" customWidth="1"/>
    <col min="4363" max="4606" width="9.140625" style="11"/>
    <col min="4607" max="4607" width="14" style="11" customWidth="1"/>
    <col min="4608" max="4608" width="2" style="11" customWidth="1"/>
    <col min="4609" max="4609" width="11.85546875" style="11" customWidth="1"/>
    <col min="4610" max="4610" width="13.5703125" style="11" customWidth="1"/>
    <col min="4611" max="4612" width="13.85546875" style="11" customWidth="1"/>
    <col min="4613" max="4614" width="14.85546875" style="11" customWidth="1"/>
    <col min="4615" max="4615" width="8.85546875" style="11" customWidth="1"/>
    <col min="4616" max="4616" width="12.5703125" style="11" customWidth="1"/>
    <col min="4617" max="4618" width="13" style="11" customWidth="1"/>
    <col min="4619" max="4862" width="9.140625" style="11"/>
    <col min="4863" max="4863" width="14" style="11" customWidth="1"/>
    <col min="4864" max="4864" width="2" style="11" customWidth="1"/>
    <col min="4865" max="4865" width="11.85546875" style="11" customWidth="1"/>
    <col min="4866" max="4866" width="13.5703125" style="11" customWidth="1"/>
    <col min="4867" max="4868" width="13.85546875" style="11" customWidth="1"/>
    <col min="4869" max="4870" width="14.85546875" style="11" customWidth="1"/>
    <col min="4871" max="4871" width="8.85546875" style="11" customWidth="1"/>
    <col min="4872" max="4872" width="12.5703125" style="11" customWidth="1"/>
    <col min="4873" max="4874" width="13" style="11" customWidth="1"/>
    <col min="4875" max="5118" width="9.140625" style="11"/>
    <col min="5119" max="5119" width="14" style="11" customWidth="1"/>
    <col min="5120" max="5120" width="2" style="11" customWidth="1"/>
    <col min="5121" max="5121" width="11.85546875" style="11" customWidth="1"/>
    <col min="5122" max="5122" width="13.5703125" style="11" customWidth="1"/>
    <col min="5123" max="5124" width="13.85546875" style="11" customWidth="1"/>
    <col min="5125" max="5126" width="14.85546875" style="11" customWidth="1"/>
    <col min="5127" max="5127" width="8.85546875" style="11" customWidth="1"/>
    <col min="5128" max="5128" width="12.5703125" style="11" customWidth="1"/>
    <col min="5129" max="5130" width="13" style="11" customWidth="1"/>
    <col min="5131" max="5374" width="9.140625" style="11"/>
    <col min="5375" max="5375" width="14" style="11" customWidth="1"/>
    <col min="5376" max="5376" width="2" style="11" customWidth="1"/>
    <col min="5377" max="5377" width="11.85546875" style="11" customWidth="1"/>
    <col min="5378" max="5378" width="13.5703125" style="11" customWidth="1"/>
    <col min="5379" max="5380" width="13.85546875" style="11" customWidth="1"/>
    <col min="5381" max="5382" width="14.85546875" style="11" customWidth="1"/>
    <col min="5383" max="5383" width="8.85546875" style="11" customWidth="1"/>
    <col min="5384" max="5384" width="12.5703125" style="11" customWidth="1"/>
    <col min="5385" max="5386" width="13" style="11" customWidth="1"/>
    <col min="5387" max="5630" width="9.140625" style="11"/>
    <col min="5631" max="5631" width="14" style="11" customWidth="1"/>
    <col min="5632" max="5632" width="2" style="11" customWidth="1"/>
    <col min="5633" max="5633" width="11.85546875" style="11" customWidth="1"/>
    <col min="5634" max="5634" width="13.5703125" style="11" customWidth="1"/>
    <col min="5635" max="5636" width="13.85546875" style="11" customWidth="1"/>
    <col min="5637" max="5638" width="14.85546875" style="11" customWidth="1"/>
    <col min="5639" max="5639" width="8.85546875" style="11" customWidth="1"/>
    <col min="5640" max="5640" width="12.5703125" style="11" customWidth="1"/>
    <col min="5641" max="5642" width="13" style="11" customWidth="1"/>
    <col min="5643" max="5886" width="9.140625" style="11"/>
    <col min="5887" max="5887" width="14" style="11" customWidth="1"/>
    <col min="5888" max="5888" width="2" style="11" customWidth="1"/>
    <col min="5889" max="5889" width="11.85546875" style="11" customWidth="1"/>
    <col min="5890" max="5890" width="13.5703125" style="11" customWidth="1"/>
    <col min="5891" max="5892" width="13.85546875" style="11" customWidth="1"/>
    <col min="5893" max="5894" width="14.85546875" style="11" customWidth="1"/>
    <col min="5895" max="5895" width="8.85546875" style="11" customWidth="1"/>
    <col min="5896" max="5896" width="12.5703125" style="11" customWidth="1"/>
    <col min="5897" max="5898" width="13" style="11" customWidth="1"/>
    <col min="5899" max="6142" width="9.140625" style="11"/>
    <col min="6143" max="6143" width="14" style="11" customWidth="1"/>
    <col min="6144" max="6144" width="2" style="11" customWidth="1"/>
    <col min="6145" max="6145" width="11.85546875" style="11" customWidth="1"/>
    <col min="6146" max="6146" width="13.5703125" style="11" customWidth="1"/>
    <col min="6147" max="6148" width="13.85546875" style="11" customWidth="1"/>
    <col min="6149" max="6150" width="14.85546875" style="11" customWidth="1"/>
    <col min="6151" max="6151" width="8.85546875" style="11" customWidth="1"/>
    <col min="6152" max="6152" width="12.5703125" style="11" customWidth="1"/>
    <col min="6153" max="6154" width="13" style="11" customWidth="1"/>
    <col min="6155" max="6398" width="9.140625" style="11"/>
    <col min="6399" max="6399" width="14" style="11" customWidth="1"/>
    <col min="6400" max="6400" width="2" style="11" customWidth="1"/>
    <col min="6401" max="6401" width="11.85546875" style="11" customWidth="1"/>
    <col min="6402" max="6402" width="13.5703125" style="11" customWidth="1"/>
    <col min="6403" max="6404" width="13.85546875" style="11" customWidth="1"/>
    <col min="6405" max="6406" width="14.85546875" style="11" customWidth="1"/>
    <col min="6407" max="6407" width="8.85546875" style="11" customWidth="1"/>
    <col min="6408" max="6408" width="12.5703125" style="11" customWidth="1"/>
    <col min="6409" max="6410" width="13" style="11" customWidth="1"/>
    <col min="6411" max="6654" width="9.140625" style="11"/>
    <col min="6655" max="6655" width="14" style="11" customWidth="1"/>
    <col min="6656" max="6656" width="2" style="11" customWidth="1"/>
    <col min="6657" max="6657" width="11.85546875" style="11" customWidth="1"/>
    <col min="6658" max="6658" width="13.5703125" style="11" customWidth="1"/>
    <col min="6659" max="6660" width="13.85546875" style="11" customWidth="1"/>
    <col min="6661" max="6662" width="14.85546875" style="11" customWidth="1"/>
    <col min="6663" max="6663" width="8.85546875" style="11" customWidth="1"/>
    <col min="6664" max="6664" width="12.5703125" style="11" customWidth="1"/>
    <col min="6665" max="6666" width="13" style="11" customWidth="1"/>
    <col min="6667" max="6910" width="9.140625" style="11"/>
    <col min="6911" max="6911" width="14" style="11" customWidth="1"/>
    <col min="6912" max="6912" width="2" style="11" customWidth="1"/>
    <col min="6913" max="6913" width="11.85546875" style="11" customWidth="1"/>
    <col min="6914" max="6914" width="13.5703125" style="11" customWidth="1"/>
    <col min="6915" max="6916" width="13.85546875" style="11" customWidth="1"/>
    <col min="6917" max="6918" width="14.85546875" style="11" customWidth="1"/>
    <col min="6919" max="6919" width="8.85546875" style="11" customWidth="1"/>
    <col min="6920" max="6920" width="12.5703125" style="11" customWidth="1"/>
    <col min="6921" max="6922" width="13" style="11" customWidth="1"/>
    <col min="6923" max="7166" width="9.140625" style="11"/>
    <col min="7167" max="7167" width="14" style="11" customWidth="1"/>
    <col min="7168" max="7168" width="2" style="11" customWidth="1"/>
    <col min="7169" max="7169" width="11.85546875" style="11" customWidth="1"/>
    <col min="7170" max="7170" width="13.5703125" style="11" customWidth="1"/>
    <col min="7171" max="7172" width="13.85546875" style="11" customWidth="1"/>
    <col min="7173" max="7174" width="14.85546875" style="11" customWidth="1"/>
    <col min="7175" max="7175" width="8.85546875" style="11" customWidth="1"/>
    <col min="7176" max="7176" width="12.5703125" style="11" customWidth="1"/>
    <col min="7177" max="7178" width="13" style="11" customWidth="1"/>
    <col min="7179" max="7422" width="9.140625" style="11"/>
    <col min="7423" max="7423" width="14" style="11" customWidth="1"/>
    <col min="7424" max="7424" width="2" style="11" customWidth="1"/>
    <col min="7425" max="7425" width="11.85546875" style="11" customWidth="1"/>
    <col min="7426" max="7426" width="13.5703125" style="11" customWidth="1"/>
    <col min="7427" max="7428" width="13.85546875" style="11" customWidth="1"/>
    <col min="7429" max="7430" width="14.85546875" style="11" customWidth="1"/>
    <col min="7431" max="7431" width="8.85546875" style="11" customWidth="1"/>
    <col min="7432" max="7432" width="12.5703125" style="11" customWidth="1"/>
    <col min="7433" max="7434" width="13" style="11" customWidth="1"/>
    <col min="7435" max="7678" width="9.140625" style="11"/>
    <col min="7679" max="7679" width="14" style="11" customWidth="1"/>
    <col min="7680" max="7680" width="2" style="11" customWidth="1"/>
    <col min="7681" max="7681" width="11.85546875" style="11" customWidth="1"/>
    <col min="7682" max="7682" width="13.5703125" style="11" customWidth="1"/>
    <col min="7683" max="7684" width="13.85546875" style="11" customWidth="1"/>
    <col min="7685" max="7686" width="14.85546875" style="11" customWidth="1"/>
    <col min="7687" max="7687" width="8.85546875" style="11" customWidth="1"/>
    <col min="7688" max="7688" width="12.5703125" style="11" customWidth="1"/>
    <col min="7689" max="7690" width="13" style="11" customWidth="1"/>
    <col min="7691" max="7934" width="9.140625" style="11"/>
    <col min="7935" max="7935" width="14" style="11" customWidth="1"/>
    <col min="7936" max="7936" width="2" style="11" customWidth="1"/>
    <col min="7937" max="7937" width="11.85546875" style="11" customWidth="1"/>
    <col min="7938" max="7938" width="13.5703125" style="11" customWidth="1"/>
    <col min="7939" max="7940" width="13.85546875" style="11" customWidth="1"/>
    <col min="7941" max="7942" width="14.85546875" style="11" customWidth="1"/>
    <col min="7943" max="7943" width="8.85546875" style="11" customWidth="1"/>
    <col min="7944" max="7944" width="12.5703125" style="11" customWidth="1"/>
    <col min="7945" max="7946" width="13" style="11" customWidth="1"/>
    <col min="7947" max="8190" width="9.140625" style="11"/>
    <col min="8191" max="8191" width="14" style="11" customWidth="1"/>
    <col min="8192" max="8192" width="2" style="11" customWidth="1"/>
    <col min="8193" max="8193" width="11.85546875" style="11" customWidth="1"/>
    <col min="8194" max="8194" width="13.5703125" style="11" customWidth="1"/>
    <col min="8195" max="8196" width="13.85546875" style="11" customWidth="1"/>
    <col min="8197" max="8198" width="14.85546875" style="11" customWidth="1"/>
    <col min="8199" max="8199" width="8.85546875" style="11" customWidth="1"/>
    <col min="8200" max="8200" width="12.5703125" style="11" customWidth="1"/>
    <col min="8201" max="8202" width="13" style="11" customWidth="1"/>
    <col min="8203" max="8446" width="9.140625" style="11"/>
    <col min="8447" max="8447" width="14" style="11" customWidth="1"/>
    <col min="8448" max="8448" width="2" style="11" customWidth="1"/>
    <col min="8449" max="8449" width="11.85546875" style="11" customWidth="1"/>
    <col min="8450" max="8450" width="13.5703125" style="11" customWidth="1"/>
    <col min="8451" max="8452" width="13.85546875" style="11" customWidth="1"/>
    <col min="8453" max="8454" width="14.85546875" style="11" customWidth="1"/>
    <col min="8455" max="8455" width="8.85546875" style="11" customWidth="1"/>
    <col min="8456" max="8456" width="12.5703125" style="11" customWidth="1"/>
    <col min="8457" max="8458" width="13" style="11" customWidth="1"/>
    <col min="8459" max="8702" width="9.140625" style="11"/>
    <col min="8703" max="8703" width="14" style="11" customWidth="1"/>
    <col min="8704" max="8704" width="2" style="11" customWidth="1"/>
    <col min="8705" max="8705" width="11.85546875" style="11" customWidth="1"/>
    <col min="8706" max="8706" width="13.5703125" style="11" customWidth="1"/>
    <col min="8707" max="8708" width="13.85546875" style="11" customWidth="1"/>
    <col min="8709" max="8710" width="14.85546875" style="11" customWidth="1"/>
    <col min="8711" max="8711" width="8.85546875" style="11" customWidth="1"/>
    <col min="8712" max="8712" width="12.5703125" style="11" customWidth="1"/>
    <col min="8713" max="8714" width="13" style="11" customWidth="1"/>
    <col min="8715" max="8958" width="9.140625" style="11"/>
    <col min="8959" max="8959" width="14" style="11" customWidth="1"/>
    <col min="8960" max="8960" width="2" style="11" customWidth="1"/>
    <col min="8961" max="8961" width="11.85546875" style="11" customWidth="1"/>
    <col min="8962" max="8962" width="13.5703125" style="11" customWidth="1"/>
    <col min="8963" max="8964" width="13.85546875" style="11" customWidth="1"/>
    <col min="8965" max="8966" width="14.85546875" style="11" customWidth="1"/>
    <col min="8967" max="8967" width="8.85546875" style="11" customWidth="1"/>
    <col min="8968" max="8968" width="12.5703125" style="11" customWidth="1"/>
    <col min="8969" max="8970" width="13" style="11" customWidth="1"/>
    <col min="8971" max="9214" width="9.140625" style="11"/>
    <col min="9215" max="9215" width="14" style="11" customWidth="1"/>
    <col min="9216" max="9216" width="2" style="11" customWidth="1"/>
    <col min="9217" max="9217" width="11.85546875" style="11" customWidth="1"/>
    <col min="9218" max="9218" width="13.5703125" style="11" customWidth="1"/>
    <col min="9219" max="9220" width="13.85546875" style="11" customWidth="1"/>
    <col min="9221" max="9222" width="14.85546875" style="11" customWidth="1"/>
    <col min="9223" max="9223" width="8.85546875" style="11" customWidth="1"/>
    <col min="9224" max="9224" width="12.5703125" style="11" customWidth="1"/>
    <col min="9225" max="9226" width="13" style="11" customWidth="1"/>
    <col min="9227" max="9470" width="9.140625" style="11"/>
    <col min="9471" max="9471" width="14" style="11" customWidth="1"/>
    <col min="9472" max="9472" width="2" style="11" customWidth="1"/>
    <col min="9473" max="9473" width="11.85546875" style="11" customWidth="1"/>
    <col min="9474" max="9474" width="13.5703125" style="11" customWidth="1"/>
    <col min="9475" max="9476" width="13.85546875" style="11" customWidth="1"/>
    <col min="9477" max="9478" width="14.85546875" style="11" customWidth="1"/>
    <col min="9479" max="9479" width="8.85546875" style="11" customWidth="1"/>
    <col min="9480" max="9480" width="12.5703125" style="11" customWidth="1"/>
    <col min="9481" max="9482" width="13" style="11" customWidth="1"/>
    <col min="9483" max="9726" width="9.140625" style="11"/>
    <col min="9727" max="9727" width="14" style="11" customWidth="1"/>
    <col min="9728" max="9728" width="2" style="11" customWidth="1"/>
    <col min="9729" max="9729" width="11.85546875" style="11" customWidth="1"/>
    <col min="9730" max="9730" width="13.5703125" style="11" customWidth="1"/>
    <col min="9731" max="9732" width="13.85546875" style="11" customWidth="1"/>
    <col min="9733" max="9734" width="14.85546875" style="11" customWidth="1"/>
    <col min="9735" max="9735" width="8.85546875" style="11" customWidth="1"/>
    <col min="9736" max="9736" width="12.5703125" style="11" customWidth="1"/>
    <col min="9737" max="9738" width="13" style="11" customWidth="1"/>
    <col min="9739" max="9982" width="9.140625" style="11"/>
    <col min="9983" max="9983" width="14" style="11" customWidth="1"/>
    <col min="9984" max="9984" width="2" style="11" customWidth="1"/>
    <col min="9985" max="9985" width="11.85546875" style="11" customWidth="1"/>
    <col min="9986" max="9986" width="13.5703125" style="11" customWidth="1"/>
    <col min="9987" max="9988" width="13.85546875" style="11" customWidth="1"/>
    <col min="9989" max="9990" width="14.85546875" style="11" customWidth="1"/>
    <col min="9991" max="9991" width="8.85546875" style="11" customWidth="1"/>
    <col min="9992" max="9992" width="12.5703125" style="11" customWidth="1"/>
    <col min="9993" max="9994" width="13" style="11" customWidth="1"/>
    <col min="9995" max="10238" width="9.140625" style="11"/>
    <col min="10239" max="10239" width="14" style="11" customWidth="1"/>
    <col min="10240" max="10240" width="2" style="11" customWidth="1"/>
    <col min="10241" max="10241" width="11.85546875" style="11" customWidth="1"/>
    <col min="10242" max="10242" width="13.5703125" style="11" customWidth="1"/>
    <col min="10243" max="10244" width="13.85546875" style="11" customWidth="1"/>
    <col min="10245" max="10246" width="14.85546875" style="11" customWidth="1"/>
    <col min="10247" max="10247" width="8.85546875" style="11" customWidth="1"/>
    <col min="10248" max="10248" width="12.5703125" style="11" customWidth="1"/>
    <col min="10249" max="10250" width="13" style="11" customWidth="1"/>
    <col min="10251" max="10494" width="9.140625" style="11"/>
    <col min="10495" max="10495" width="14" style="11" customWidth="1"/>
    <col min="10496" max="10496" width="2" style="11" customWidth="1"/>
    <col min="10497" max="10497" width="11.85546875" style="11" customWidth="1"/>
    <col min="10498" max="10498" width="13.5703125" style="11" customWidth="1"/>
    <col min="10499" max="10500" width="13.85546875" style="11" customWidth="1"/>
    <col min="10501" max="10502" width="14.85546875" style="11" customWidth="1"/>
    <col min="10503" max="10503" width="8.85546875" style="11" customWidth="1"/>
    <col min="10504" max="10504" width="12.5703125" style="11" customWidth="1"/>
    <col min="10505" max="10506" width="13" style="11" customWidth="1"/>
    <col min="10507" max="10750" width="9.140625" style="11"/>
    <col min="10751" max="10751" width="14" style="11" customWidth="1"/>
    <col min="10752" max="10752" width="2" style="11" customWidth="1"/>
    <col min="10753" max="10753" width="11.85546875" style="11" customWidth="1"/>
    <col min="10754" max="10754" width="13.5703125" style="11" customWidth="1"/>
    <col min="10755" max="10756" width="13.85546875" style="11" customWidth="1"/>
    <col min="10757" max="10758" width="14.85546875" style="11" customWidth="1"/>
    <col min="10759" max="10759" width="8.85546875" style="11" customWidth="1"/>
    <col min="10760" max="10760" width="12.5703125" style="11" customWidth="1"/>
    <col min="10761" max="10762" width="13" style="11" customWidth="1"/>
    <col min="10763" max="11006" width="9.140625" style="11"/>
    <col min="11007" max="11007" width="14" style="11" customWidth="1"/>
    <col min="11008" max="11008" width="2" style="11" customWidth="1"/>
    <col min="11009" max="11009" width="11.85546875" style="11" customWidth="1"/>
    <col min="11010" max="11010" width="13.5703125" style="11" customWidth="1"/>
    <col min="11011" max="11012" width="13.85546875" style="11" customWidth="1"/>
    <col min="11013" max="11014" width="14.85546875" style="11" customWidth="1"/>
    <col min="11015" max="11015" width="8.85546875" style="11" customWidth="1"/>
    <col min="11016" max="11016" width="12.5703125" style="11" customWidth="1"/>
    <col min="11017" max="11018" width="13" style="11" customWidth="1"/>
    <col min="11019" max="11262" width="9.140625" style="11"/>
    <col min="11263" max="11263" width="14" style="11" customWidth="1"/>
    <col min="11264" max="11264" width="2" style="11" customWidth="1"/>
    <col min="11265" max="11265" width="11.85546875" style="11" customWidth="1"/>
    <col min="11266" max="11266" width="13.5703125" style="11" customWidth="1"/>
    <col min="11267" max="11268" width="13.85546875" style="11" customWidth="1"/>
    <col min="11269" max="11270" width="14.85546875" style="11" customWidth="1"/>
    <col min="11271" max="11271" width="8.85546875" style="11" customWidth="1"/>
    <col min="11272" max="11272" width="12.5703125" style="11" customWidth="1"/>
    <col min="11273" max="11274" width="13" style="11" customWidth="1"/>
    <col min="11275" max="11518" width="9.140625" style="11"/>
    <col min="11519" max="11519" width="14" style="11" customWidth="1"/>
    <col min="11520" max="11520" width="2" style="11" customWidth="1"/>
    <col min="11521" max="11521" width="11.85546875" style="11" customWidth="1"/>
    <col min="11522" max="11522" width="13.5703125" style="11" customWidth="1"/>
    <col min="11523" max="11524" width="13.85546875" style="11" customWidth="1"/>
    <col min="11525" max="11526" width="14.85546875" style="11" customWidth="1"/>
    <col min="11527" max="11527" width="8.85546875" style="11" customWidth="1"/>
    <col min="11528" max="11528" width="12.5703125" style="11" customWidth="1"/>
    <col min="11529" max="11530" width="13" style="11" customWidth="1"/>
    <col min="11531" max="11774" width="9.140625" style="11"/>
    <col min="11775" max="11775" width="14" style="11" customWidth="1"/>
    <col min="11776" max="11776" width="2" style="11" customWidth="1"/>
    <col min="11777" max="11777" width="11.85546875" style="11" customWidth="1"/>
    <col min="11778" max="11778" width="13.5703125" style="11" customWidth="1"/>
    <col min="11779" max="11780" width="13.85546875" style="11" customWidth="1"/>
    <col min="11781" max="11782" width="14.85546875" style="11" customWidth="1"/>
    <col min="11783" max="11783" width="8.85546875" style="11" customWidth="1"/>
    <col min="11784" max="11784" width="12.5703125" style="11" customWidth="1"/>
    <col min="11785" max="11786" width="13" style="11" customWidth="1"/>
    <col min="11787" max="12030" width="9.140625" style="11"/>
    <col min="12031" max="12031" width="14" style="11" customWidth="1"/>
    <col min="12032" max="12032" width="2" style="11" customWidth="1"/>
    <col min="12033" max="12033" width="11.85546875" style="11" customWidth="1"/>
    <col min="12034" max="12034" width="13.5703125" style="11" customWidth="1"/>
    <col min="12035" max="12036" width="13.85546875" style="11" customWidth="1"/>
    <col min="12037" max="12038" width="14.85546875" style="11" customWidth="1"/>
    <col min="12039" max="12039" width="8.85546875" style="11" customWidth="1"/>
    <col min="12040" max="12040" width="12.5703125" style="11" customWidth="1"/>
    <col min="12041" max="12042" width="13" style="11" customWidth="1"/>
    <col min="12043" max="12286" width="9.140625" style="11"/>
    <col min="12287" max="12287" width="14" style="11" customWidth="1"/>
    <col min="12288" max="12288" width="2" style="11" customWidth="1"/>
    <col min="12289" max="12289" width="11.85546875" style="11" customWidth="1"/>
    <col min="12290" max="12290" width="13.5703125" style="11" customWidth="1"/>
    <col min="12291" max="12292" width="13.85546875" style="11" customWidth="1"/>
    <col min="12293" max="12294" width="14.85546875" style="11" customWidth="1"/>
    <col min="12295" max="12295" width="8.85546875" style="11" customWidth="1"/>
    <col min="12296" max="12296" width="12.5703125" style="11" customWidth="1"/>
    <col min="12297" max="12298" width="13" style="11" customWidth="1"/>
    <col min="12299" max="12542" width="9.140625" style="11"/>
    <col min="12543" max="12543" width="14" style="11" customWidth="1"/>
    <col min="12544" max="12544" width="2" style="11" customWidth="1"/>
    <col min="12545" max="12545" width="11.85546875" style="11" customWidth="1"/>
    <col min="12546" max="12546" width="13.5703125" style="11" customWidth="1"/>
    <col min="12547" max="12548" width="13.85546875" style="11" customWidth="1"/>
    <col min="12549" max="12550" width="14.85546875" style="11" customWidth="1"/>
    <col min="12551" max="12551" width="8.85546875" style="11" customWidth="1"/>
    <col min="12552" max="12552" width="12.5703125" style="11" customWidth="1"/>
    <col min="12553" max="12554" width="13" style="11" customWidth="1"/>
    <col min="12555" max="12798" width="9.140625" style="11"/>
    <col min="12799" max="12799" width="14" style="11" customWidth="1"/>
    <col min="12800" max="12800" width="2" style="11" customWidth="1"/>
    <col min="12801" max="12801" width="11.85546875" style="11" customWidth="1"/>
    <col min="12802" max="12802" width="13.5703125" style="11" customWidth="1"/>
    <col min="12803" max="12804" width="13.85546875" style="11" customWidth="1"/>
    <col min="12805" max="12806" width="14.85546875" style="11" customWidth="1"/>
    <col min="12807" max="12807" width="8.85546875" style="11" customWidth="1"/>
    <col min="12808" max="12808" width="12.5703125" style="11" customWidth="1"/>
    <col min="12809" max="12810" width="13" style="11" customWidth="1"/>
    <col min="12811" max="13054" width="9.140625" style="11"/>
    <col min="13055" max="13055" width="14" style="11" customWidth="1"/>
    <col min="13056" max="13056" width="2" style="11" customWidth="1"/>
    <col min="13057" max="13057" width="11.85546875" style="11" customWidth="1"/>
    <col min="13058" max="13058" width="13.5703125" style="11" customWidth="1"/>
    <col min="13059" max="13060" width="13.85546875" style="11" customWidth="1"/>
    <col min="13061" max="13062" width="14.85546875" style="11" customWidth="1"/>
    <col min="13063" max="13063" width="8.85546875" style="11" customWidth="1"/>
    <col min="13064" max="13064" width="12.5703125" style="11" customWidth="1"/>
    <col min="13065" max="13066" width="13" style="11" customWidth="1"/>
    <col min="13067" max="13310" width="9.140625" style="11"/>
    <col min="13311" max="13311" width="14" style="11" customWidth="1"/>
    <col min="13312" max="13312" width="2" style="11" customWidth="1"/>
    <col min="13313" max="13313" width="11.85546875" style="11" customWidth="1"/>
    <col min="13314" max="13314" width="13.5703125" style="11" customWidth="1"/>
    <col min="13315" max="13316" width="13.85546875" style="11" customWidth="1"/>
    <col min="13317" max="13318" width="14.85546875" style="11" customWidth="1"/>
    <col min="13319" max="13319" width="8.85546875" style="11" customWidth="1"/>
    <col min="13320" max="13320" width="12.5703125" style="11" customWidth="1"/>
    <col min="13321" max="13322" width="13" style="11" customWidth="1"/>
    <col min="13323" max="13566" width="9.140625" style="11"/>
    <col min="13567" max="13567" width="14" style="11" customWidth="1"/>
    <col min="13568" max="13568" width="2" style="11" customWidth="1"/>
    <col min="13569" max="13569" width="11.85546875" style="11" customWidth="1"/>
    <col min="13570" max="13570" width="13.5703125" style="11" customWidth="1"/>
    <col min="13571" max="13572" width="13.85546875" style="11" customWidth="1"/>
    <col min="13573" max="13574" width="14.85546875" style="11" customWidth="1"/>
    <col min="13575" max="13575" width="8.85546875" style="11" customWidth="1"/>
    <col min="13576" max="13576" width="12.5703125" style="11" customWidth="1"/>
    <col min="13577" max="13578" width="13" style="11" customWidth="1"/>
    <col min="13579" max="13822" width="9.140625" style="11"/>
    <col min="13823" max="13823" width="14" style="11" customWidth="1"/>
    <col min="13824" max="13824" width="2" style="11" customWidth="1"/>
    <col min="13825" max="13825" width="11.85546875" style="11" customWidth="1"/>
    <col min="13826" max="13826" width="13.5703125" style="11" customWidth="1"/>
    <col min="13827" max="13828" width="13.85546875" style="11" customWidth="1"/>
    <col min="13829" max="13830" width="14.85546875" style="11" customWidth="1"/>
    <col min="13831" max="13831" width="8.85546875" style="11" customWidth="1"/>
    <col min="13832" max="13832" width="12.5703125" style="11" customWidth="1"/>
    <col min="13833" max="13834" width="13" style="11" customWidth="1"/>
    <col min="13835" max="14078" width="9.140625" style="11"/>
    <col min="14079" max="14079" width="14" style="11" customWidth="1"/>
    <col min="14080" max="14080" width="2" style="11" customWidth="1"/>
    <col min="14081" max="14081" width="11.85546875" style="11" customWidth="1"/>
    <col min="14082" max="14082" width="13.5703125" style="11" customWidth="1"/>
    <col min="14083" max="14084" width="13.85546875" style="11" customWidth="1"/>
    <col min="14085" max="14086" width="14.85546875" style="11" customWidth="1"/>
    <col min="14087" max="14087" width="8.85546875" style="11" customWidth="1"/>
    <col min="14088" max="14088" width="12.5703125" style="11" customWidth="1"/>
    <col min="14089" max="14090" width="13" style="11" customWidth="1"/>
    <col min="14091" max="14334" width="9.140625" style="11"/>
    <col min="14335" max="14335" width="14" style="11" customWidth="1"/>
    <col min="14336" max="14336" width="2" style="11" customWidth="1"/>
    <col min="14337" max="14337" width="11.85546875" style="11" customWidth="1"/>
    <col min="14338" max="14338" width="13.5703125" style="11" customWidth="1"/>
    <col min="14339" max="14340" width="13.85546875" style="11" customWidth="1"/>
    <col min="14341" max="14342" width="14.85546875" style="11" customWidth="1"/>
    <col min="14343" max="14343" width="8.85546875" style="11" customWidth="1"/>
    <col min="14344" max="14344" width="12.5703125" style="11" customWidth="1"/>
    <col min="14345" max="14346" width="13" style="11" customWidth="1"/>
    <col min="14347" max="14590" width="9.140625" style="11"/>
    <col min="14591" max="14591" width="14" style="11" customWidth="1"/>
    <col min="14592" max="14592" width="2" style="11" customWidth="1"/>
    <col min="14593" max="14593" width="11.85546875" style="11" customWidth="1"/>
    <col min="14594" max="14594" width="13.5703125" style="11" customWidth="1"/>
    <col min="14595" max="14596" width="13.85546875" style="11" customWidth="1"/>
    <col min="14597" max="14598" width="14.85546875" style="11" customWidth="1"/>
    <col min="14599" max="14599" width="8.85546875" style="11" customWidth="1"/>
    <col min="14600" max="14600" width="12.5703125" style="11" customWidth="1"/>
    <col min="14601" max="14602" width="13" style="11" customWidth="1"/>
    <col min="14603" max="14846" width="9.140625" style="11"/>
    <col min="14847" max="14847" width="14" style="11" customWidth="1"/>
    <col min="14848" max="14848" width="2" style="11" customWidth="1"/>
    <col min="14849" max="14849" width="11.85546875" style="11" customWidth="1"/>
    <col min="14850" max="14850" width="13.5703125" style="11" customWidth="1"/>
    <col min="14851" max="14852" width="13.85546875" style="11" customWidth="1"/>
    <col min="14853" max="14854" width="14.85546875" style="11" customWidth="1"/>
    <col min="14855" max="14855" width="8.85546875" style="11" customWidth="1"/>
    <col min="14856" max="14856" width="12.5703125" style="11" customWidth="1"/>
    <col min="14857" max="14858" width="13" style="11" customWidth="1"/>
    <col min="14859" max="15102" width="9.140625" style="11"/>
    <col min="15103" max="15103" width="14" style="11" customWidth="1"/>
    <col min="15104" max="15104" width="2" style="11" customWidth="1"/>
    <col min="15105" max="15105" width="11.85546875" style="11" customWidth="1"/>
    <col min="15106" max="15106" width="13.5703125" style="11" customWidth="1"/>
    <col min="15107" max="15108" width="13.85546875" style="11" customWidth="1"/>
    <col min="15109" max="15110" width="14.85546875" style="11" customWidth="1"/>
    <col min="15111" max="15111" width="8.85546875" style="11" customWidth="1"/>
    <col min="15112" max="15112" width="12.5703125" style="11" customWidth="1"/>
    <col min="15113" max="15114" width="13" style="11" customWidth="1"/>
    <col min="15115" max="15358" width="9.140625" style="11"/>
    <col min="15359" max="15359" width="14" style="11" customWidth="1"/>
    <col min="15360" max="15360" width="2" style="11" customWidth="1"/>
    <col min="15361" max="15361" width="11.85546875" style="11" customWidth="1"/>
    <col min="15362" max="15362" width="13.5703125" style="11" customWidth="1"/>
    <col min="15363" max="15364" width="13.85546875" style="11" customWidth="1"/>
    <col min="15365" max="15366" width="14.85546875" style="11" customWidth="1"/>
    <col min="15367" max="15367" width="8.85546875" style="11" customWidth="1"/>
    <col min="15368" max="15368" width="12.5703125" style="11" customWidth="1"/>
    <col min="15369" max="15370" width="13" style="11" customWidth="1"/>
    <col min="15371" max="15614" width="9.140625" style="11"/>
    <col min="15615" max="15615" width="14" style="11" customWidth="1"/>
    <col min="15616" max="15616" width="2" style="11" customWidth="1"/>
    <col min="15617" max="15617" width="11.85546875" style="11" customWidth="1"/>
    <col min="15618" max="15618" width="13.5703125" style="11" customWidth="1"/>
    <col min="15619" max="15620" width="13.85546875" style="11" customWidth="1"/>
    <col min="15621" max="15622" width="14.85546875" style="11" customWidth="1"/>
    <col min="15623" max="15623" width="8.85546875" style="11" customWidth="1"/>
    <col min="15624" max="15624" width="12.5703125" style="11" customWidth="1"/>
    <col min="15625" max="15626" width="13" style="11" customWidth="1"/>
    <col min="15627" max="15870" width="9.140625" style="11"/>
    <col min="15871" max="15871" width="14" style="11" customWidth="1"/>
    <col min="15872" max="15872" width="2" style="11" customWidth="1"/>
    <col min="15873" max="15873" width="11.85546875" style="11" customWidth="1"/>
    <col min="15874" max="15874" width="13.5703125" style="11" customWidth="1"/>
    <col min="15875" max="15876" width="13.85546875" style="11" customWidth="1"/>
    <col min="15877" max="15878" width="14.85546875" style="11" customWidth="1"/>
    <col min="15879" max="15879" width="8.85546875" style="11" customWidth="1"/>
    <col min="15880" max="15880" width="12.5703125" style="11" customWidth="1"/>
    <col min="15881" max="15882" width="13" style="11" customWidth="1"/>
    <col min="15883" max="16126" width="9.140625" style="11"/>
    <col min="16127" max="16127" width="14" style="11" customWidth="1"/>
    <col min="16128" max="16128" width="2" style="11" customWidth="1"/>
    <col min="16129" max="16129" width="11.85546875" style="11" customWidth="1"/>
    <col min="16130" max="16130" width="13.5703125" style="11" customWidth="1"/>
    <col min="16131" max="16132" width="13.85546875" style="11" customWidth="1"/>
    <col min="16133" max="16134" width="14.85546875" style="11" customWidth="1"/>
    <col min="16135" max="16135" width="8.85546875" style="11" customWidth="1"/>
    <col min="16136" max="16136" width="12.5703125" style="11" customWidth="1"/>
    <col min="16137" max="16138" width="13" style="11" customWidth="1"/>
    <col min="16139" max="16384" width="9.140625" style="11"/>
  </cols>
  <sheetData>
    <row r="1" spans="1:10" ht="10.5" customHeight="1" thickBot="1" x14ac:dyDescent="0.45">
      <c r="A1" s="9"/>
      <c r="B1" s="41"/>
      <c r="C1" s="9"/>
      <c r="D1" s="10"/>
      <c r="E1" s="9"/>
      <c r="F1" s="9"/>
      <c r="G1" s="43"/>
      <c r="H1" s="43"/>
      <c r="I1" s="37"/>
      <c r="J1" s="37"/>
    </row>
    <row r="2" spans="1:10" ht="35.25" customHeight="1" thickBot="1" x14ac:dyDescent="0.3">
      <c r="A2" s="12" t="s">
        <v>13</v>
      </c>
      <c r="B2" s="41"/>
      <c r="C2" s="44" t="s">
        <v>14</v>
      </c>
      <c r="D2" s="44"/>
      <c r="E2" s="45" t="s">
        <v>15</v>
      </c>
      <c r="F2" s="46"/>
      <c r="G2" s="47" t="s">
        <v>16</v>
      </c>
      <c r="H2" s="48"/>
      <c r="I2" s="39"/>
      <c r="J2" s="40"/>
    </row>
    <row r="3" spans="1:10" ht="44.25" customHeight="1" x14ac:dyDescent="0.25">
      <c r="A3" s="13" t="s">
        <v>17</v>
      </c>
      <c r="B3" s="41"/>
      <c r="C3" s="14" t="s">
        <v>18</v>
      </c>
      <c r="D3" s="15" t="s">
        <v>19</v>
      </c>
      <c r="E3" s="16" t="s">
        <v>20</v>
      </c>
      <c r="F3" s="16" t="s">
        <v>19</v>
      </c>
      <c r="G3" s="16" t="s">
        <v>21</v>
      </c>
      <c r="H3" s="17" t="s">
        <v>22</v>
      </c>
      <c r="I3" s="38" t="s">
        <v>23</v>
      </c>
      <c r="J3" s="38" t="s">
        <v>24</v>
      </c>
    </row>
    <row r="4" spans="1:10" s="20" customFormat="1" ht="35.25" customHeight="1" x14ac:dyDescent="0.25">
      <c r="A4" s="18">
        <v>44592</v>
      </c>
      <c r="B4" s="42"/>
      <c r="C4" s="19">
        <v>24780</v>
      </c>
      <c r="D4" s="35"/>
      <c r="E4" s="19">
        <v>5383</v>
      </c>
      <c r="F4" s="19"/>
      <c r="G4" s="19">
        <v>93</v>
      </c>
      <c r="H4" s="36"/>
      <c r="I4" s="28">
        <v>0</v>
      </c>
      <c r="J4" s="33">
        <v>0</v>
      </c>
    </row>
    <row r="5" spans="1:10" ht="33" customHeight="1" x14ac:dyDescent="0.25">
      <c r="A5" s="21">
        <v>44593</v>
      </c>
      <c r="B5" s="42"/>
      <c r="C5" s="28">
        <v>23800</v>
      </c>
      <c r="D5" s="22" t="str">
        <f t="shared" ref="D5:D22" si="0">IF((C5-C4&lt;0), "0",C5-C4)</f>
        <v>0</v>
      </c>
      <c r="E5" s="28">
        <v>5263</v>
      </c>
      <c r="F5" s="22" t="str">
        <f>IF((E5-E4&lt;0), "0",E5-E4)</f>
        <v>0</v>
      </c>
      <c r="G5" s="28">
        <v>133</v>
      </c>
      <c r="H5" s="22">
        <f>IF((G5-G4&lt;0), "0",G5-G4)</f>
        <v>40</v>
      </c>
      <c r="I5" s="28">
        <v>137</v>
      </c>
      <c r="J5" s="33">
        <v>310</v>
      </c>
    </row>
    <row r="6" spans="1:10" ht="45" customHeight="1" x14ac:dyDescent="0.25">
      <c r="A6" s="21">
        <v>44594</v>
      </c>
      <c r="B6" s="42"/>
      <c r="C6" s="28">
        <v>21350</v>
      </c>
      <c r="D6" s="22" t="str">
        <f t="shared" si="0"/>
        <v>0</v>
      </c>
      <c r="E6" s="28">
        <v>5017</v>
      </c>
      <c r="F6" s="22" t="str">
        <f t="shared" ref="F6:F32" si="1">IF((E6-E5&lt;0), "0",E6-E5)</f>
        <v>0</v>
      </c>
      <c r="G6" s="28">
        <v>36</v>
      </c>
      <c r="H6" s="22" t="str">
        <f t="shared" ref="H6:H32" si="2">IF((G6-G5&lt;0), "0",G6-G5)</f>
        <v>0</v>
      </c>
      <c r="I6" s="28">
        <v>61</v>
      </c>
      <c r="J6" s="33">
        <v>216</v>
      </c>
    </row>
    <row r="7" spans="1:10" ht="45" customHeight="1" x14ac:dyDescent="0.25">
      <c r="A7" s="21">
        <v>44595</v>
      </c>
      <c r="B7" s="42"/>
      <c r="C7" s="28">
        <v>23310</v>
      </c>
      <c r="D7" s="22">
        <f t="shared" si="0"/>
        <v>1960</v>
      </c>
      <c r="E7" s="28">
        <v>5264</v>
      </c>
      <c r="F7" s="22">
        <f t="shared" si="1"/>
        <v>247</v>
      </c>
      <c r="G7" s="28">
        <v>168</v>
      </c>
      <c r="H7" s="22">
        <f t="shared" si="2"/>
        <v>132</v>
      </c>
      <c r="I7" s="28">
        <v>65</v>
      </c>
      <c r="J7" s="33">
        <v>209</v>
      </c>
    </row>
    <row r="8" spans="1:10" ht="45" customHeight="1" x14ac:dyDescent="0.25">
      <c r="A8" s="21">
        <v>44596</v>
      </c>
      <c r="B8" s="42"/>
      <c r="C8" s="28">
        <v>22960</v>
      </c>
      <c r="D8" s="22" t="str">
        <f t="shared" si="0"/>
        <v>0</v>
      </c>
      <c r="E8" s="28">
        <v>5461</v>
      </c>
      <c r="F8" s="22">
        <f t="shared" si="1"/>
        <v>197</v>
      </c>
      <c r="G8" s="28">
        <v>64</v>
      </c>
      <c r="H8" s="22" t="str">
        <f t="shared" si="2"/>
        <v>0</v>
      </c>
      <c r="I8" s="28">
        <v>53</v>
      </c>
      <c r="J8" s="33">
        <v>198</v>
      </c>
    </row>
    <row r="9" spans="1:10" ht="45" customHeight="1" x14ac:dyDescent="0.25">
      <c r="A9" s="21">
        <v>44597</v>
      </c>
      <c r="B9" s="42"/>
      <c r="C9" s="28">
        <v>20860</v>
      </c>
      <c r="D9" s="22" t="str">
        <f t="shared" si="0"/>
        <v>0</v>
      </c>
      <c r="E9" s="28">
        <v>5371</v>
      </c>
      <c r="F9" s="22" t="str">
        <f t="shared" si="1"/>
        <v>0</v>
      </c>
      <c r="G9" s="28">
        <v>60</v>
      </c>
      <c r="H9" s="22" t="str">
        <f t="shared" si="2"/>
        <v>0</v>
      </c>
      <c r="I9" s="28">
        <v>60</v>
      </c>
      <c r="J9" s="33">
        <v>212</v>
      </c>
    </row>
    <row r="10" spans="1:10" ht="45" customHeight="1" x14ac:dyDescent="0.25">
      <c r="A10" s="21">
        <v>44598</v>
      </c>
      <c r="B10" s="42"/>
      <c r="C10" s="28">
        <v>22960</v>
      </c>
      <c r="D10" s="22">
        <f t="shared" si="0"/>
        <v>2100</v>
      </c>
      <c r="E10" s="28">
        <v>5408</v>
      </c>
      <c r="F10" s="22">
        <f t="shared" si="1"/>
        <v>37</v>
      </c>
      <c r="G10" s="28">
        <v>158</v>
      </c>
      <c r="H10" s="22">
        <f t="shared" si="2"/>
        <v>98</v>
      </c>
      <c r="I10" s="28">
        <v>47</v>
      </c>
      <c r="J10" s="33">
        <v>218</v>
      </c>
    </row>
    <row r="11" spans="1:10" ht="45" customHeight="1" x14ac:dyDescent="0.25">
      <c r="A11" s="21">
        <v>44599</v>
      </c>
      <c r="B11" s="42"/>
      <c r="C11" s="28">
        <v>23590</v>
      </c>
      <c r="D11" s="22">
        <f t="shared" si="0"/>
        <v>630</v>
      </c>
      <c r="E11" s="28">
        <v>4964</v>
      </c>
      <c r="F11" s="22" t="str">
        <f t="shared" si="1"/>
        <v>0</v>
      </c>
      <c r="G11" s="28">
        <v>1</v>
      </c>
      <c r="H11" s="22" t="str">
        <f t="shared" si="2"/>
        <v>0</v>
      </c>
      <c r="I11" s="28">
        <v>45</v>
      </c>
      <c r="J11" s="33">
        <v>40</v>
      </c>
    </row>
    <row r="12" spans="1:10" ht="45" customHeight="1" x14ac:dyDescent="0.25">
      <c r="A12" s="21">
        <v>44600</v>
      </c>
      <c r="B12" s="42"/>
      <c r="C12" s="28">
        <v>20160</v>
      </c>
      <c r="D12" s="22" t="str">
        <f t="shared" si="0"/>
        <v>0</v>
      </c>
      <c r="E12" s="28">
        <v>4972</v>
      </c>
      <c r="F12" s="22">
        <f t="shared" si="1"/>
        <v>8</v>
      </c>
      <c r="G12" s="28">
        <v>93</v>
      </c>
      <c r="H12" s="22">
        <f t="shared" si="2"/>
        <v>92</v>
      </c>
      <c r="I12" s="28">
        <v>46</v>
      </c>
      <c r="J12" s="33">
        <v>32</v>
      </c>
    </row>
    <row r="13" spans="1:10" ht="45" customHeight="1" x14ac:dyDescent="0.25">
      <c r="A13" s="21">
        <v>44601</v>
      </c>
      <c r="B13" s="42"/>
      <c r="C13" s="28">
        <v>22610</v>
      </c>
      <c r="D13" s="22">
        <f t="shared" si="0"/>
        <v>2450</v>
      </c>
      <c r="E13" s="28">
        <v>4728</v>
      </c>
      <c r="F13" s="22" t="str">
        <f t="shared" si="1"/>
        <v>0</v>
      </c>
      <c r="G13" s="28">
        <v>0</v>
      </c>
      <c r="H13" s="22" t="str">
        <f t="shared" si="2"/>
        <v>0</v>
      </c>
      <c r="I13" s="28">
        <v>49</v>
      </c>
      <c r="J13" s="33">
        <v>48</v>
      </c>
    </row>
    <row r="14" spans="1:10" ht="45" customHeight="1" x14ac:dyDescent="0.25">
      <c r="A14" s="21">
        <v>44602</v>
      </c>
      <c r="B14" s="42"/>
      <c r="C14" s="28">
        <v>23590</v>
      </c>
      <c r="D14" s="22">
        <f t="shared" si="0"/>
        <v>980</v>
      </c>
      <c r="E14" s="28">
        <v>4748</v>
      </c>
      <c r="F14" s="22">
        <f t="shared" si="1"/>
        <v>20</v>
      </c>
      <c r="G14" s="28">
        <v>91</v>
      </c>
      <c r="H14" s="22">
        <f t="shared" si="2"/>
        <v>91</v>
      </c>
      <c r="I14" s="28">
        <v>56</v>
      </c>
      <c r="J14" s="33">
        <v>40</v>
      </c>
    </row>
    <row r="15" spans="1:10" ht="45" customHeight="1" x14ac:dyDescent="0.25">
      <c r="A15" s="21">
        <v>44603</v>
      </c>
      <c r="B15" s="42"/>
      <c r="C15" s="28">
        <v>20160</v>
      </c>
      <c r="D15" s="22" t="str">
        <f t="shared" si="0"/>
        <v>0</v>
      </c>
      <c r="E15" s="28">
        <v>4538</v>
      </c>
      <c r="F15" s="22" t="str">
        <f t="shared" si="1"/>
        <v>0</v>
      </c>
      <c r="G15" s="28">
        <v>106</v>
      </c>
      <c r="H15" s="22">
        <f t="shared" si="2"/>
        <v>15</v>
      </c>
      <c r="I15" s="28">
        <v>64</v>
      </c>
      <c r="J15" s="33">
        <v>39</v>
      </c>
    </row>
    <row r="16" spans="1:10" ht="45" customHeight="1" x14ac:dyDescent="0.25">
      <c r="A16" s="21">
        <v>44604</v>
      </c>
      <c r="B16" s="42"/>
      <c r="C16" s="28">
        <v>22820</v>
      </c>
      <c r="D16" s="22">
        <f t="shared" si="0"/>
        <v>2660</v>
      </c>
      <c r="E16" s="28">
        <v>4984</v>
      </c>
      <c r="F16" s="22">
        <f t="shared" si="1"/>
        <v>446</v>
      </c>
      <c r="G16" s="28">
        <v>9</v>
      </c>
      <c r="H16" s="22" t="str">
        <f t="shared" si="2"/>
        <v>0</v>
      </c>
      <c r="I16" s="28">
        <v>75</v>
      </c>
      <c r="J16" s="33">
        <v>50</v>
      </c>
    </row>
    <row r="17" spans="1:10" ht="45" customHeight="1" x14ac:dyDescent="0.25">
      <c r="A17" s="21">
        <v>44605</v>
      </c>
      <c r="B17" s="42"/>
      <c r="C17" s="28">
        <v>26110</v>
      </c>
      <c r="D17" s="22">
        <f t="shared" si="0"/>
        <v>3290</v>
      </c>
      <c r="E17" s="28">
        <v>5309</v>
      </c>
      <c r="F17" s="22">
        <f t="shared" si="1"/>
        <v>325</v>
      </c>
      <c r="G17" s="28">
        <v>43</v>
      </c>
      <c r="H17" s="22">
        <f t="shared" si="2"/>
        <v>34</v>
      </c>
      <c r="I17" s="28">
        <v>56</v>
      </c>
      <c r="J17" s="33">
        <v>83</v>
      </c>
    </row>
    <row r="18" spans="1:10" ht="45" customHeight="1" x14ac:dyDescent="0.25">
      <c r="A18" s="21">
        <v>44606</v>
      </c>
      <c r="B18" s="42"/>
      <c r="C18" s="28">
        <v>24500</v>
      </c>
      <c r="D18" s="22" t="str">
        <f t="shared" si="0"/>
        <v>0</v>
      </c>
      <c r="E18" s="28">
        <v>5575</v>
      </c>
      <c r="F18" s="22">
        <f t="shared" si="1"/>
        <v>266</v>
      </c>
      <c r="G18" s="28">
        <v>92</v>
      </c>
      <c r="H18" s="22">
        <f t="shared" si="2"/>
        <v>49</v>
      </c>
      <c r="I18" s="28">
        <v>74</v>
      </c>
      <c r="J18" s="33">
        <v>284</v>
      </c>
    </row>
    <row r="19" spans="1:10" ht="45" customHeight="1" x14ac:dyDescent="0.25">
      <c r="A19" s="21">
        <v>44607</v>
      </c>
      <c r="B19" s="42"/>
      <c r="C19" s="28">
        <v>26390</v>
      </c>
      <c r="D19" s="22">
        <f t="shared" si="0"/>
        <v>1890</v>
      </c>
      <c r="E19" s="28"/>
      <c r="F19" s="22" t="str">
        <f t="shared" si="1"/>
        <v>0</v>
      </c>
      <c r="G19" s="28"/>
      <c r="H19" s="22" t="str">
        <f t="shared" si="2"/>
        <v>0</v>
      </c>
      <c r="I19" s="28">
        <v>42</v>
      </c>
      <c r="J19" s="33">
        <v>133</v>
      </c>
    </row>
    <row r="20" spans="1:10" ht="45" customHeight="1" x14ac:dyDescent="0.25">
      <c r="A20" s="21">
        <v>44608</v>
      </c>
      <c r="B20" s="42"/>
      <c r="C20" s="28"/>
      <c r="D20" s="22" t="str">
        <f t="shared" si="0"/>
        <v>0</v>
      </c>
      <c r="E20" s="28"/>
      <c r="F20" s="22">
        <f t="shared" si="1"/>
        <v>0</v>
      </c>
      <c r="G20" s="28"/>
      <c r="H20" s="22">
        <f t="shared" si="2"/>
        <v>0</v>
      </c>
      <c r="I20" s="28"/>
      <c r="J20" s="33"/>
    </row>
    <row r="21" spans="1:10" ht="45" customHeight="1" x14ac:dyDescent="0.25">
      <c r="A21" s="21">
        <v>44609</v>
      </c>
      <c r="B21" s="42"/>
      <c r="C21" s="28"/>
      <c r="D21" s="22">
        <f t="shared" si="0"/>
        <v>0</v>
      </c>
      <c r="E21" s="28"/>
      <c r="F21" s="22">
        <f t="shared" si="1"/>
        <v>0</v>
      </c>
      <c r="G21" s="28"/>
      <c r="H21" s="22">
        <f t="shared" si="2"/>
        <v>0</v>
      </c>
      <c r="I21" s="28"/>
      <c r="J21" s="33"/>
    </row>
    <row r="22" spans="1:10" ht="45" customHeight="1" x14ac:dyDescent="0.25">
      <c r="A22" s="21">
        <v>44610</v>
      </c>
      <c r="B22" s="42"/>
      <c r="C22" s="29"/>
      <c r="D22" s="22">
        <f t="shared" si="0"/>
        <v>0</v>
      </c>
      <c r="E22" s="28"/>
      <c r="F22" s="22">
        <f t="shared" si="1"/>
        <v>0</v>
      </c>
      <c r="G22" s="28"/>
      <c r="H22" s="22">
        <f t="shared" si="2"/>
        <v>0</v>
      </c>
      <c r="I22" s="28"/>
      <c r="J22" s="33"/>
    </row>
    <row r="23" spans="1:10" ht="45" customHeight="1" x14ac:dyDescent="0.25">
      <c r="A23" s="21">
        <v>44611</v>
      </c>
      <c r="B23" s="42"/>
      <c r="C23" s="29"/>
      <c r="D23" s="22">
        <f>IF((C23-C22&lt;0), "0",C23-C22)</f>
        <v>0</v>
      </c>
      <c r="E23" s="28"/>
      <c r="F23" s="22">
        <f t="shared" si="1"/>
        <v>0</v>
      </c>
      <c r="G23" s="28"/>
      <c r="H23" s="22">
        <f t="shared" si="2"/>
        <v>0</v>
      </c>
      <c r="I23" s="28"/>
      <c r="J23" s="33"/>
    </row>
    <row r="24" spans="1:10" ht="45" customHeight="1" x14ac:dyDescent="0.25">
      <c r="A24" s="21">
        <v>44612</v>
      </c>
      <c r="B24" s="42"/>
      <c r="C24" s="30"/>
      <c r="D24" s="22">
        <f t="shared" ref="D24:D32" si="3">IF((C24-C23&lt;0), "0",C24-C23)</f>
        <v>0</v>
      </c>
      <c r="E24" s="30"/>
      <c r="F24" s="22">
        <f t="shared" si="1"/>
        <v>0</v>
      </c>
      <c r="G24" s="30"/>
      <c r="H24" s="22">
        <f t="shared" si="2"/>
        <v>0</v>
      </c>
      <c r="I24" s="30"/>
      <c r="J24" s="34"/>
    </row>
    <row r="25" spans="1:10" ht="45" customHeight="1" x14ac:dyDescent="0.25">
      <c r="A25" s="21">
        <v>44613</v>
      </c>
      <c r="B25" s="42"/>
      <c r="C25" s="28"/>
      <c r="D25" s="22">
        <f t="shared" si="3"/>
        <v>0</v>
      </c>
      <c r="E25" s="28"/>
      <c r="F25" s="22">
        <f t="shared" si="1"/>
        <v>0</v>
      </c>
      <c r="G25" s="28"/>
      <c r="H25" s="22">
        <f t="shared" si="2"/>
        <v>0</v>
      </c>
      <c r="I25" s="28"/>
      <c r="J25" s="33"/>
    </row>
    <row r="26" spans="1:10" ht="45" customHeight="1" x14ac:dyDescent="0.25">
      <c r="A26" s="21">
        <v>44614</v>
      </c>
      <c r="B26" s="42"/>
      <c r="C26" s="28"/>
      <c r="D26" s="22">
        <f t="shared" si="3"/>
        <v>0</v>
      </c>
      <c r="E26" s="28"/>
      <c r="F26" s="22">
        <f t="shared" si="1"/>
        <v>0</v>
      </c>
      <c r="G26" s="28"/>
      <c r="H26" s="22">
        <f t="shared" si="2"/>
        <v>0</v>
      </c>
      <c r="I26" s="28"/>
      <c r="J26" s="33"/>
    </row>
    <row r="27" spans="1:10" ht="45" customHeight="1" x14ac:dyDescent="0.25">
      <c r="A27" s="21">
        <v>44615</v>
      </c>
      <c r="B27" s="42"/>
      <c r="C27" s="28"/>
      <c r="D27" s="22">
        <f t="shared" si="3"/>
        <v>0</v>
      </c>
      <c r="E27" s="28"/>
      <c r="F27" s="22">
        <f t="shared" si="1"/>
        <v>0</v>
      </c>
      <c r="G27" s="28"/>
      <c r="H27" s="22">
        <f t="shared" si="2"/>
        <v>0</v>
      </c>
      <c r="I27" s="28"/>
      <c r="J27" s="33"/>
    </row>
    <row r="28" spans="1:10" ht="45" customHeight="1" x14ac:dyDescent="0.25">
      <c r="A28" s="21">
        <v>44616</v>
      </c>
      <c r="B28" s="42"/>
      <c r="C28" s="28"/>
      <c r="D28" s="22">
        <f t="shared" si="3"/>
        <v>0</v>
      </c>
      <c r="E28" s="28"/>
      <c r="F28" s="22">
        <f t="shared" si="1"/>
        <v>0</v>
      </c>
      <c r="G28" s="28"/>
      <c r="H28" s="22">
        <f t="shared" si="2"/>
        <v>0</v>
      </c>
      <c r="I28" s="28"/>
      <c r="J28" s="33"/>
    </row>
    <row r="29" spans="1:10" ht="45" customHeight="1" x14ac:dyDescent="0.25">
      <c r="A29" s="21">
        <v>44617</v>
      </c>
      <c r="B29" s="42"/>
      <c r="C29" s="28"/>
      <c r="D29" s="22">
        <f t="shared" si="3"/>
        <v>0</v>
      </c>
      <c r="E29" s="28"/>
      <c r="F29" s="22">
        <f t="shared" si="1"/>
        <v>0</v>
      </c>
      <c r="G29" s="28"/>
      <c r="H29" s="22">
        <f t="shared" si="2"/>
        <v>0</v>
      </c>
      <c r="I29" s="28"/>
      <c r="J29" s="33"/>
    </row>
    <row r="30" spans="1:10" ht="45" customHeight="1" x14ac:dyDescent="0.25">
      <c r="A30" s="21">
        <v>44618</v>
      </c>
      <c r="B30" s="42"/>
      <c r="C30" s="28"/>
      <c r="D30" s="22">
        <f t="shared" si="3"/>
        <v>0</v>
      </c>
      <c r="E30" s="28"/>
      <c r="F30" s="22">
        <f t="shared" si="1"/>
        <v>0</v>
      </c>
      <c r="G30" s="28"/>
      <c r="H30" s="22">
        <f t="shared" si="2"/>
        <v>0</v>
      </c>
      <c r="I30" s="28"/>
      <c r="J30" s="33"/>
    </row>
    <row r="31" spans="1:10" ht="45" customHeight="1" x14ac:dyDescent="0.25">
      <c r="A31" s="21">
        <v>44619</v>
      </c>
      <c r="B31" s="42"/>
      <c r="C31" s="28"/>
      <c r="D31" s="22">
        <f t="shared" si="3"/>
        <v>0</v>
      </c>
      <c r="E31" s="28"/>
      <c r="F31" s="22">
        <f t="shared" si="1"/>
        <v>0</v>
      </c>
      <c r="G31" s="28"/>
      <c r="H31" s="22">
        <f t="shared" si="2"/>
        <v>0</v>
      </c>
      <c r="I31" s="28"/>
      <c r="J31" s="33"/>
    </row>
    <row r="32" spans="1:10" ht="45" customHeight="1" x14ac:dyDescent="0.25">
      <c r="A32" s="21">
        <v>44620</v>
      </c>
      <c r="B32" s="42"/>
      <c r="C32" s="28"/>
      <c r="D32" s="22">
        <f t="shared" si="3"/>
        <v>0</v>
      </c>
      <c r="E32" s="28"/>
      <c r="F32" s="22">
        <f t="shared" si="1"/>
        <v>0</v>
      </c>
      <c r="G32" s="28"/>
      <c r="H32" s="22">
        <f t="shared" si="2"/>
        <v>0</v>
      </c>
      <c r="I32" s="28"/>
      <c r="J32" s="33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02Feb</vt:lpstr>
      <vt:lpstr>Tianjin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2022-02-16T07:12:44Z</dcterms:modified>
  <cp:category/>
  <cp:contentStatus/>
</cp:coreProperties>
</file>