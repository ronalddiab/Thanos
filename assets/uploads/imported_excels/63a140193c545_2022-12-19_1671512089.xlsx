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K22" i="3" l="1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<sst xmlns="http://schemas.openxmlformats.org/spreadsheetml/2006/main" count="107" uniqueCount="38">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</sst>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D40" sqref="D4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9708.5</v>
      </c>
      <c r="F16" s="13">
        <v>0.11799999999999999</v>
      </c>
      <c r="G16" s="15">
        <f>'12 - 2022'!D22-'12 - 2022'!D21+'12 - 2022'!E22-'12 - 2022'!E21</f>
        <v>23.029999999999745</v>
      </c>
      <c r="H16" s="13">
        <v>0.99</v>
      </c>
      <c r="I16" s="15">
        <f>'12 - 2022'!J22-'12 - 2022'!J21</f>
        <v>16056</v>
      </c>
      <c r="J16" s="13">
        <v>8.1000000000000003E-2</v>
      </c>
      <c r="K16" s="21">
        <f>'12 - 2022'!H22-'12 - 2022'!H21</f>
        <v>0</v>
      </c>
      <c r="L16" s="15">
        <f>'12 - 2022'!I22-'12 - 2022'!I21</f>
        <v>95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9721.5</v>
      </c>
      <c r="F17" s="13">
        <v>0.11799999999999999</v>
      </c>
      <c r="G17" s="15">
        <f>'12 - 2022'!D23-'12 - 2022'!D22+'12 - 2022'!E23-'12 - 2022'!E22</f>
        <v>22.519999999999527</v>
      </c>
      <c r="H17" s="13">
        <v>0.99</v>
      </c>
      <c r="I17" s="15">
        <f>'12 - 2022'!J23-'12 - 2022'!J22</f>
        <v>17355</v>
      </c>
      <c r="J17" s="13">
        <v>8.1000000000000003E-2</v>
      </c>
      <c r="K17" s="21">
        <f>'12 - 2022'!H23-'12 - 2022'!H22</f>
        <v>0</v>
      </c>
      <c r="L17" s="15">
        <f>'12 - 2022'!I23-'12 - 2022'!I22</f>
        <v>108</v>
      </c>
      <c r="M17" s="14">
        <v>4.393629424766913</v>
      </c>
      <c r="N17" s="16">
        <v>94</v>
      </c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10010.59999999986</v>
      </c>
      <c r="F18" s="13">
        <v>0.11799999999999999</v>
      </c>
      <c r="G18" s="15">
        <f>'12 - 2022'!D24-'12 - 2022'!D23+'12 - 2022'!E24-'12 - 2022'!E23</f>
        <v>26.349999999999454</v>
      </c>
      <c r="H18" s="13">
        <v>0.99</v>
      </c>
      <c r="I18" s="15">
        <f>'12 - 2022'!J24-'12 - 2022'!J23</f>
        <v>17392</v>
      </c>
      <c r="J18" s="13">
        <v>8.1000000000000003E-2</v>
      </c>
      <c r="K18" s="21">
        <f>'12 - 2022'!H24-'12 - 2022'!H23</f>
        <v>0</v>
      </c>
      <c r="L18" s="15">
        <f>'12 - 2022'!I24-'12 - 2022'!I23</f>
        <v>108</v>
      </c>
      <c r="M18" s="14">
        <v>4.393629424766913</v>
      </c>
      <c r="N18" s="16">
        <v>85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9992</v>
      </c>
      <c r="F19" s="13">
        <v>0.11799999999999999</v>
      </c>
      <c r="G19" s="15">
        <f>'12 - 2022'!D25-'12 - 2022'!D24+'12 - 2022'!E25-'12 - 2022'!E24</f>
        <v>27.840000000000146</v>
      </c>
      <c r="H19" s="13">
        <v>0.99</v>
      </c>
      <c r="I19" s="15">
        <f>'12 - 2022'!J25-'12 - 2022'!J24</f>
        <v>16794</v>
      </c>
      <c r="J19" s="13">
        <v>8.1000000000000003E-2</v>
      </c>
      <c r="K19" s="21">
        <f>'12 - 2022'!H25-'12 - 2022'!H24</f>
        <v>0</v>
      </c>
      <c r="L19" s="15">
        <f>'12 - 2022'!I25-'12 - 2022'!I24</f>
        <v>114</v>
      </c>
      <c r="M19" s="14">
        <v>4.393629424766913</v>
      </c>
      <c r="N19" s="16">
        <v>81</v>
      </c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9350.1000000000931</v>
      </c>
      <c r="F20" s="13">
        <v>0.11799999999999999</v>
      </c>
      <c r="G20" s="15">
        <f>'12 - 2022'!D26-'12 - 2022'!D25+'12 - 2022'!E26-'12 - 2022'!E25</f>
        <v>23.25</v>
      </c>
      <c r="H20" s="13">
        <v>0.99</v>
      </c>
      <c r="I20" s="15">
        <f>'12 - 2022'!J26-'12 - 2022'!J25</f>
        <v>14799</v>
      </c>
      <c r="J20" s="13">
        <v>8.1000000000000003E-2</v>
      </c>
      <c r="K20" s="21">
        <f>'12 - 2022'!H26-'12 - 2022'!H25</f>
        <v>0</v>
      </c>
      <c r="L20" s="15">
        <f>'12 - 2022'!I26-'12 - 2022'!I25</f>
        <v>93</v>
      </c>
      <c r="M20" s="14">
        <v>4.393629424766913</v>
      </c>
      <c r="N20" s="16">
        <v>52</v>
      </c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9002.5</v>
      </c>
      <c r="F21" s="13">
        <v>0.11799999999999999</v>
      </c>
      <c r="G21" s="15">
        <f>'12 - 2022'!D27-'12 - 2022'!D26+'12 - 2022'!E27-'12 - 2022'!E26</f>
        <v>22.360000000000582</v>
      </c>
      <c r="H21" s="13">
        <v>0.99</v>
      </c>
      <c r="I21" s="15">
        <f>'12 - 2022'!J27-'12 - 2022'!J26</f>
        <v>13891</v>
      </c>
      <c r="J21" s="13">
        <v>8.1000000000000003E-2</v>
      </c>
      <c r="K21" s="21">
        <f>'12 - 2022'!H27-'12 - 2022'!H26</f>
        <v>0</v>
      </c>
      <c r="L21" s="15">
        <f>'12 - 2022'!I27-'12 - 2022'!I26</f>
        <v>99</v>
      </c>
      <c r="M21" s="14">
        <v>4.393629424766913</v>
      </c>
      <c r="N21" s="39">
        <v>53</v>
      </c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v>0</v>
      </c>
      <c r="F22" s="13">
        <v>0.11799999999999999</v>
      </c>
      <c r="G22" s="15">
        <v>0</v>
      </c>
      <c r="H22" s="13">
        <v>0.99</v>
      </c>
      <c r="I22" s="15">
        <v>0</v>
      </c>
      <c r="J22" s="13">
        <v>8.1000000000000003E-2</v>
      </c>
      <c r="K22" s="21">
        <f>'12 - 2022'!H28-'12 - 2022'!H27</f>
        <v>0</v>
      </c>
      <c r="L22" s="15"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2" sqref="J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3902</v>
      </c>
      <c r="F17" s="15">
        <f>'12 - 2022'!C23-'12 - 2022'!C22</f>
        <v>5819.5</v>
      </c>
      <c r="G17" s="13">
        <v>0.11799999999999999</v>
      </c>
      <c r="H17" s="15">
        <f>'12 - 2022'!E23-'12 - 2022'!E22</f>
        <v>22.619999999999891</v>
      </c>
      <c r="I17" s="15">
        <f>'12 - 2022'!F23-'12 - 2022'!F22</f>
        <v>7.3500000000003638</v>
      </c>
      <c r="J17" s="15">
        <f>'12 - 2022'!G23-'12 - 2022'!G22</f>
        <v>35.660000000003492</v>
      </c>
      <c r="K17" s="13">
        <v>0.74</v>
      </c>
      <c r="L17" s="16">
        <v>94</v>
      </c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4054</v>
      </c>
      <c r="F18" s="15">
        <f>'12 - 2022'!C24-'12 - 2022'!C23</f>
        <v>5956.5999999998603</v>
      </c>
      <c r="G18" s="13">
        <v>0.11799999999999999</v>
      </c>
      <c r="H18" s="15">
        <f>'12 - 2022'!E24-'12 - 2022'!E23</f>
        <v>26.399999999999636</v>
      </c>
      <c r="I18" s="15">
        <f>'12 - 2022'!F24-'12 - 2022'!F23</f>
        <v>8.1399999999994179</v>
      </c>
      <c r="J18" s="15">
        <f>'12 - 2022'!G24-'12 - 2022'!G23</f>
        <v>36.739999999997963</v>
      </c>
      <c r="K18" s="13">
        <v>0.74</v>
      </c>
      <c r="L18" s="16">
        <v>85</v>
      </c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4022</v>
      </c>
      <c r="F19" s="15">
        <f>'12 - 2022'!C25-'12 - 2022'!C24</f>
        <v>5970</v>
      </c>
      <c r="G19" s="13">
        <v>0.11799999999999999</v>
      </c>
      <c r="H19" s="15">
        <f>'12 - 2022'!E25-'12 - 2022'!E24</f>
        <v>27.890000000000327</v>
      </c>
      <c r="I19" s="15">
        <f>'12 - 2022'!F25-'12 - 2022'!F24</f>
        <v>8</v>
      </c>
      <c r="J19" s="15">
        <f>'12 - 2022'!G25-'12 - 2022'!G24</f>
        <v>36.380000000004657</v>
      </c>
      <c r="K19" s="13">
        <v>0.74</v>
      </c>
      <c r="L19" s="16">
        <v>81</v>
      </c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3871</v>
      </c>
      <c r="F20" s="15">
        <f>'12 - 2022'!C26-'12 - 2022'!C25</f>
        <v>5479.1000000000931</v>
      </c>
      <c r="G20" s="13">
        <v>0.11799999999999999</v>
      </c>
      <c r="H20" s="15">
        <f>'12 - 2022'!E26-'12 - 2022'!E25</f>
        <v>23.329999999999927</v>
      </c>
      <c r="I20" s="15">
        <f>'12 - 2022'!F26-'12 - 2022'!F25</f>
        <v>7.8400000000001455</v>
      </c>
      <c r="J20" s="15">
        <f>'12 - 2022'!G26-'12 - 2022'!G25</f>
        <v>33.309999999997672</v>
      </c>
      <c r="K20" s="13">
        <v>0.74</v>
      </c>
      <c r="L20" s="16">
        <v>52</v>
      </c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3778</v>
      </c>
      <c r="F21" s="15">
        <f>'12 - 2022'!C27-'12 - 2022'!C26</f>
        <v>5224.5</v>
      </c>
      <c r="G21" s="13">
        <v>0.11799999999999999</v>
      </c>
      <c r="H21" s="15">
        <f>'12 - 2022'!E27-'12 - 2022'!E26</f>
        <v>22.430000000000291</v>
      </c>
      <c r="I21" s="15">
        <f>'12 - 2022'!F27-'12 - 2022'!F26</f>
        <v>7.4499999999998181</v>
      </c>
      <c r="J21" s="15">
        <f>'12 - 2022'!G27-'12 - 2022'!G26</f>
        <v>29.360000000000582</v>
      </c>
      <c r="K21" s="13">
        <v>0.74</v>
      </c>
      <c r="L21" s="39">
        <v>53</v>
      </c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v>0</v>
      </c>
      <c r="F22" s="15">
        <v>0</v>
      </c>
      <c r="G22" s="13">
        <v>0.11799999999999999</v>
      </c>
      <c r="H22" s="15">
        <v>0</v>
      </c>
      <c r="I22" s="15">
        <v>0</v>
      </c>
      <c r="J22" s="15"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J33" sqref="J33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  <c r="K3" s="47"/>
      <c r="L3" s="4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  <c r="K4" s="47"/>
      <c r="L4" s="47"/>
    </row>
    <row r="5" spans="1:17" ht="16.5" thickBot="1" x14ac:dyDescent="0.3">
      <c r="A5" s="48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6" t="s">
        <v>31</v>
      </c>
      <c r="L6" s="67" t="s">
        <v>32</v>
      </c>
    </row>
    <row r="7" spans="1:17" s="27" customFormat="1" ht="12.95" customHeight="1" thickBot="1" x14ac:dyDescent="0.3">
      <c r="A7" s="73">
        <v>44530</v>
      </c>
      <c r="B7" s="74">
        <v>855326</v>
      </c>
      <c r="C7" s="75">
        <v>983814</v>
      </c>
      <c r="D7" s="76">
        <v>0.5</v>
      </c>
      <c r="E7" s="77">
        <v>6408.19</v>
      </c>
      <c r="F7" s="78">
        <v>3984.34</v>
      </c>
      <c r="G7" s="78">
        <v>47991.95</v>
      </c>
      <c r="H7" s="74">
        <v>14528</v>
      </c>
      <c r="I7" s="74">
        <v>179600</v>
      </c>
      <c r="J7" s="74">
        <v>61843296</v>
      </c>
      <c r="K7" s="79"/>
      <c r="L7" s="68"/>
      <c r="M7" s="26"/>
    </row>
    <row r="8" spans="1:17" s="29" customFormat="1" ht="12.95" customHeight="1" thickTop="1" x14ac:dyDescent="0.25">
      <c r="A8" s="80">
        <f>A7+1</f>
        <v>44531</v>
      </c>
      <c r="B8" s="81">
        <v>859341</v>
      </c>
      <c r="C8" s="81">
        <v>989744</v>
      </c>
      <c r="D8" s="82">
        <v>0.47</v>
      </c>
      <c r="E8" s="83">
        <v>6433.35</v>
      </c>
      <c r="F8" s="84">
        <v>3992.88</v>
      </c>
      <c r="G8" s="81">
        <v>48026.080000000002</v>
      </c>
      <c r="H8" s="81">
        <v>14528</v>
      </c>
      <c r="I8" s="81">
        <v>179704</v>
      </c>
      <c r="J8" s="81">
        <v>61863665</v>
      </c>
      <c r="K8" s="85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6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6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6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7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6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6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>
        <v>919351</v>
      </c>
      <c r="C23" s="44">
        <v>1077421.8</v>
      </c>
      <c r="D23" s="41">
        <v>0.5</v>
      </c>
      <c r="E23" s="45">
        <v>6775.8</v>
      </c>
      <c r="F23" s="40">
        <v>4116.22</v>
      </c>
      <c r="G23" s="45">
        <v>48522.18</v>
      </c>
      <c r="H23" s="42">
        <v>14528</v>
      </c>
      <c r="I23" s="44">
        <v>181260</v>
      </c>
      <c r="J23" s="44">
        <v>62137495</v>
      </c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>
        <v>923405</v>
      </c>
      <c r="C24" s="44">
        <v>1083378.3999999999</v>
      </c>
      <c r="D24" s="41">
        <v>0.45</v>
      </c>
      <c r="E24" s="45">
        <v>6802.2</v>
      </c>
      <c r="F24" s="40">
        <v>4124.3599999999997</v>
      </c>
      <c r="G24" s="45">
        <v>48558.92</v>
      </c>
      <c r="H24" s="42">
        <v>14528</v>
      </c>
      <c r="I24" s="44">
        <v>181368</v>
      </c>
      <c r="J24" s="44">
        <v>62154887</v>
      </c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>
        <v>927427</v>
      </c>
      <c r="C25" s="45">
        <v>1089348.3999999999</v>
      </c>
      <c r="D25" s="41">
        <v>0.4</v>
      </c>
      <c r="E25" s="45">
        <v>6830.09</v>
      </c>
      <c r="F25" s="40">
        <v>4132.3599999999997</v>
      </c>
      <c r="G25" s="45">
        <v>48595.3</v>
      </c>
      <c r="H25" s="42">
        <v>14528</v>
      </c>
      <c r="I25" s="44">
        <v>181482</v>
      </c>
      <c r="J25" s="44">
        <v>62171681</v>
      </c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>
        <v>931298</v>
      </c>
      <c r="C26" s="45">
        <v>1094827.5</v>
      </c>
      <c r="D26" s="43">
        <v>0.32</v>
      </c>
      <c r="E26" s="45">
        <v>6853.42</v>
      </c>
      <c r="F26" s="40">
        <v>4140.2</v>
      </c>
      <c r="G26" s="45">
        <v>48628.61</v>
      </c>
      <c r="H26" s="42">
        <v>14528</v>
      </c>
      <c r="I26" s="44">
        <v>181575</v>
      </c>
      <c r="J26" s="44">
        <v>62186480</v>
      </c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>
        <v>935076</v>
      </c>
      <c r="C27" s="44">
        <v>1100052</v>
      </c>
      <c r="D27" s="41">
        <v>0.25</v>
      </c>
      <c r="E27" s="45">
        <v>6875.85</v>
      </c>
      <c r="F27" s="40">
        <v>4147.6499999999996</v>
      </c>
      <c r="G27" s="45">
        <v>48657.97</v>
      </c>
      <c r="H27" s="42">
        <v>14528</v>
      </c>
      <c r="I27" s="44">
        <v>181674</v>
      </c>
      <c r="J27" s="44">
        <v>62200371</v>
      </c>
      <c r="K27" s="54">
        <v>3800</v>
      </c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3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8"/>
      <c r="F36" s="40"/>
      <c r="G36" s="40"/>
      <c r="H36" s="42">
        <v>14528</v>
      </c>
      <c r="I36" s="42"/>
      <c r="J36" s="42"/>
      <c r="K36" s="54"/>
      <c r="L36" s="64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8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89">
        <f t="shared" si="0"/>
        <v>44561</v>
      </c>
      <c r="B38" s="90"/>
      <c r="C38" s="91"/>
      <c r="D38" s="92"/>
      <c r="E38" s="93"/>
      <c r="F38" s="94"/>
      <c r="G38" s="94"/>
      <c r="H38" s="42">
        <v>14528</v>
      </c>
      <c r="I38" s="90"/>
      <c r="J38" s="90"/>
      <c r="K38" s="95"/>
      <c r="L38" s="96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12000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5"/>
      <c r="F40" s="65"/>
      <c r="G40" s="65"/>
      <c r="H40" s="37">
        <f>H39*219.969</f>
        <v>0</v>
      </c>
      <c r="I40" s="36">
        <f>I39*219.969</f>
        <v>-39506432.399999999</v>
      </c>
      <c r="J40" s="65"/>
      <c r="K40" s="47"/>
      <c r="L40" s="47"/>
    </row>
    <row r="41" spans="1:16" x14ac:dyDescent="0.25">
      <c r="A41" s="69"/>
      <c r="B41" s="70"/>
      <c r="C41" s="70"/>
      <c r="D41" s="69"/>
      <c r="E41" s="70"/>
      <c r="F41" s="70"/>
      <c r="G41" s="70"/>
      <c r="H41" s="70"/>
      <c r="I41" s="70"/>
      <c r="J41" s="70"/>
      <c r="K41" s="69"/>
      <c r="L41" s="69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5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1"/>
      <c r="K44" s="47"/>
      <c r="L44" s="47"/>
    </row>
    <row r="45" spans="1:16" x14ac:dyDescent="0.25">
      <c r="A45" s="47"/>
      <c r="B45" s="47"/>
      <c r="C45" s="72"/>
      <c r="D45" s="47"/>
      <c r="E45" s="47"/>
      <c r="F45" s="47"/>
      <c r="G45" s="47"/>
      <c r="H45" s="47"/>
      <c r="I45" s="71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2022-12-20T04:53:30Z</dcterms:modified>
</cp:coreProperties>
</file>