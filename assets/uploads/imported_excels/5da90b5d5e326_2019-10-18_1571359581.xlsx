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19\"/>
    </mc:Choice>
  </mc:AlternateContent>
  <bookViews>
    <workbookView xWindow="0" yWindow="0" windowWidth="28800" windowHeight="12300" activeTab="1"/>
  </bookViews>
  <sheets>
    <sheet name="HEP" sheetId="3" r:id="rId1"/>
    <sheet name="FS Desroches" sheetId="1" r:id="rId2"/>
  </sheets>
  <calcPr calcId="162913"/>
</workbook>
</file>

<file path=xl/calcChain.xml><?xml version="1.0" encoding="utf-8"?>
<calcChain xmlns="http://schemas.openxmlformats.org/spreadsheetml/2006/main">
  <c r="M40" i="1" l="1"/>
  <c r="P40" i="1" s="1"/>
  <c r="L40" i="1"/>
  <c r="O40" i="1" s="1"/>
  <c r="K40" i="1"/>
  <c r="N40" i="1" s="1"/>
  <c r="J40" i="1"/>
  <c r="I40" i="1"/>
  <c r="H40" i="1"/>
  <c r="L29" i="1"/>
  <c r="L30" i="1"/>
  <c r="O30" i="1"/>
  <c r="L31" i="1"/>
  <c r="O31" i="1" s="1"/>
  <c r="K29" i="1"/>
  <c r="K30" i="1"/>
  <c r="N30" i="1" s="1"/>
  <c r="K31" i="1"/>
  <c r="N31" i="1"/>
  <c r="K32" i="1"/>
  <c r="N32" i="1" s="1"/>
  <c r="K33" i="1"/>
  <c r="N33" i="1"/>
  <c r="O29" i="1"/>
  <c r="M30" i="1"/>
  <c r="P30" i="1" s="1"/>
  <c r="M31" i="1"/>
  <c r="P31" i="1"/>
  <c r="M32" i="1"/>
  <c r="M33" i="1"/>
  <c r="P33" i="1"/>
  <c r="J30" i="1"/>
  <c r="J31" i="1"/>
  <c r="J32" i="1"/>
  <c r="J33" i="1"/>
  <c r="H30" i="1"/>
  <c r="H31" i="1"/>
  <c r="M38" i="1"/>
  <c r="P38" i="1"/>
  <c r="M39" i="1"/>
  <c r="P39" i="1" s="1"/>
  <c r="M37" i="1"/>
  <c r="P37" i="1"/>
  <c r="H2" i="3"/>
  <c r="H3" i="3" s="1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M35" i="1"/>
  <c r="P35" i="1"/>
  <c r="K36" i="1"/>
  <c r="N36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4" i="1"/>
  <c r="J35" i="1"/>
  <c r="J36" i="1"/>
  <c r="J37" i="1"/>
  <c r="J38" i="1"/>
  <c r="J39" i="1"/>
  <c r="J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2" i="1"/>
  <c r="I33" i="1"/>
  <c r="I34" i="1"/>
  <c r="I35" i="1"/>
  <c r="I36" i="1"/>
  <c r="I37" i="1"/>
  <c r="I38" i="1"/>
  <c r="I39" i="1"/>
  <c r="I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2" i="1"/>
  <c r="H33" i="1"/>
  <c r="H34" i="1"/>
  <c r="H35" i="1"/>
  <c r="H36" i="1"/>
  <c r="H37" i="1"/>
  <c r="H38" i="1"/>
  <c r="H39" i="1"/>
  <c r="H9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L39" i="1"/>
  <c r="O39" i="1"/>
  <c r="K39" i="1"/>
  <c r="N39" i="1" s="1"/>
  <c r="L38" i="1"/>
  <c r="O38" i="1"/>
  <c r="K38" i="1"/>
  <c r="N38" i="1" s="1"/>
  <c r="L37" i="1"/>
  <c r="O37" i="1"/>
  <c r="K37" i="1"/>
  <c r="N37" i="1" s="1"/>
  <c r="M36" i="1"/>
  <c r="P36" i="1"/>
  <c r="L36" i="1"/>
  <c r="O36" i="1" s="1"/>
  <c r="L35" i="1"/>
  <c r="O35" i="1"/>
  <c r="K35" i="1"/>
  <c r="N35" i="1" s="1"/>
  <c r="M34" i="1"/>
  <c r="P34" i="1"/>
  <c r="L34" i="1"/>
  <c r="O34" i="1" s="1"/>
  <c r="K34" i="1"/>
  <c r="N34" i="1"/>
  <c r="L33" i="1"/>
  <c r="O33" i="1" s="1"/>
  <c r="P32" i="1"/>
  <c r="L32" i="1"/>
  <c r="O32" i="1"/>
  <c r="M29" i="1"/>
  <c r="P29" i="1" s="1"/>
  <c r="N29" i="1"/>
  <c r="M28" i="1"/>
  <c r="P28" i="1" s="1"/>
  <c r="L28" i="1"/>
  <c r="O28" i="1"/>
  <c r="K28" i="1"/>
  <c r="N28" i="1" s="1"/>
  <c r="M27" i="1"/>
  <c r="P27" i="1"/>
  <c r="L27" i="1"/>
  <c r="O27" i="1" s="1"/>
  <c r="K27" i="1"/>
  <c r="N27" i="1"/>
  <c r="M26" i="1"/>
  <c r="P26" i="1" s="1"/>
  <c r="L26" i="1"/>
  <c r="O26" i="1" s="1"/>
  <c r="K26" i="1"/>
  <c r="N26" i="1" s="1"/>
  <c r="M25" i="1"/>
  <c r="P25" i="1" s="1"/>
  <c r="L25" i="1"/>
  <c r="O25" i="1" s="1"/>
  <c r="K25" i="1"/>
  <c r="N25" i="1"/>
  <c r="M24" i="1"/>
  <c r="P24" i="1" s="1"/>
  <c r="L24" i="1"/>
  <c r="O24" i="1" s="1"/>
  <c r="K24" i="1"/>
  <c r="N24" i="1" s="1"/>
  <c r="M23" i="1"/>
  <c r="P23" i="1" s="1"/>
  <c r="L23" i="1"/>
  <c r="O23" i="1" s="1"/>
  <c r="K23" i="1"/>
  <c r="N23" i="1" s="1"/>
  <c r="M22" i="1"/>
  <c r="P22" i="1" s="1"/>
  <c r="L22" i="1"/>
  <c r="O22" i="1"/>
  <c r="K22" i="1"/>
  <c r="N22" i="1" s="1"/>
  <c r="M21" i="1"/>
  <c r="P21" i="1" s="1"/>
  <c r="L21" i="1"/>
  <c r="O21" i="1" s="1"/>
  <c r="K21" i="1"/>
  <c r="N21" i="1"/>
  <c r="M20" i="1"/>
  <c r="P20" i="1" s="1"/>
  <c r="L20" i="1"/>
  <c r="O20" i="1" s="1"/>
  <c r="K20" i="1"/>
  <c r="N20" i="1" s="1"/>
  <c r="M19" i="1"/>
  <c r="P19" i="1"/>
  <c r="L19" i="1"/>
  <c r="O19" i="1" s="1"/>
  <c r="K19" i="1"/>
  <c r="N19" i="1" s="1"/>
  <c r="M18" i="1"/>
  <c r="P18" i="1" s="1"/>
  <c r="L18" i="1"/>
  <c r="O18" i="1" s="1"/>
  <c r="K18" i="1"/>
  <c r="N18" i="1" s="1"/>
  <c r="M17" i="1"/>
  <c r="P17" i="1"/>
  <c r="L17" i="1"/>
  <c r="O17" i="1" s="1"/>
  <c r="K17" i="1"/>
  <c r="N17" i="1"/>
  <c r="M16" i="1"/>
  <c r="P16" i="1" s="1"/>
  <c r="L16" i="1"/>
  <c r="O16" i="1" s="1"/>
  <c r="K16" i="1"/>
  <c r="N16" i="1" s="1"/>
  <c r="M15" i="1"/>
  <c r="P15" i="1"/>
  <c r="L15" i="1"/>
  <c r="O15" i="1" s="1"/>
  <c r="K15" i="1"/>
  <c r="N15" i="1"/>
  <c r="M14" i="1"/>
  <c r="P14" i="1" s="1"/>
  <c r="L14" i="1"/>
  <c r="O14" i="1"/>
  <c r="K14" i="1"/>
  <c r="N14" i="1" s="1"/>
  <c r="M13" i="1"/>
  <c r="P13" i="1" s="1"/>
  <c r="L13" i="1"/>
  <c r="O13" i="1" s="1"/>
  <c r="K13" i="1"/>
  <c r="N13" i="1" s="1"/>
  <c r="M12" i="1"/>
  <c r="P12" i="1" s="1"/>
  <c r="L12" i="1"/>
  <c r="O12" i="1" s="1"/>
  <c r="K12" i="1"/>
  <c r="N12" i="1" s="1"/>
  <c r="M11" i="1"/>
  <c r="P11" i="1"/>
  <c r="L11" i="1"/>
  <c r="O11" i="1" s="1"/>
  <c r="K11" i="1"/>
  <c r="N11" i="1"/>
  <c r="M10" i="1"/>
  <c r="P10" i="1" s="1"/>
  <c r="L10" i="1"/>
  <c r="O10" i="1"/>
  <c r="K10" i="1"/>
  <c r="N10" i="1" s="1"/>
  <c r="M9" i="1"/>
  <c r="P9" i="1"/>
  <c r="L9" i="1"/>
  <c r="O9" i="1" s="1"/>
  <c r="K9" i="1"/>
  <c r="N9" i="1"/>
</calcChain>
</file>

<file path=xl/sharedStrings.xml><?xml version="1.0" encoding="utf-8"?>
<sst xmlns="http://schemas.openxmlformats.org/spreadsheetml/2006/main" count="112" uniqueCount="45">
  <si>
    <t xml:space="preserve">Month </t>
  </si>
  <si>
    <t xml:space="preserve">Cost </t>
  </si>
  <si>
    <t xml:space="preserve">Water/M³     </t>
  </si>
  <si>
    <t>electricity /kw</t>
  </si>
  <si>
    <t>Gas/Kg  Scr</t>
  </si>
  <si>
    <t xml:space="preserve">Budget </t>
  </si>
  <si>
    <t>Water $</t>
  </si>
  <si>
    <t>electricity  $</t>
  </si>
  <si>
    <t>Occ % forecast for the Year :</t>
  </si>
  <si>
    <t>Gas  Scr</t>
  </si>
  <si>
    <t xml:space="preserve">Date </t>
  </si>
  <si>
    <t xml:space="preserve">Occupancy </t>
  </si>
  <si>
    <t xml:space="preserve">Daily consumption </t>
  </si>
  <si>
    <t xml:space="preserve">Consumption / Occ .Room </t>
  </si>
  <si>
    <t xml:space="preserve">Total consumption  Cost </t>
  </si>
  <si>
    <t>Cost /GN</t>
  </si>
  <si>
    <t xml:space="preserve">weather &amp; Event </t>
  </si>
  <si>
    <r>
      <t xml:space="preserve">Occ  </t>
    </r>
    <r>
      <rPr>
        <b/>
        <strike/>
        <sz val="12"/>
        <color indexed="8"/>
        <rFont val="Calibri"/>
        <family val="2"/>
      </rPr>
      <t>%</t>
    </r>
  </si>
  <si>
    <t xml:space="preserve">Room Night </t>
  </si>
  <si>
    <t xml:space="preserve">Guest Night </t>
  </si>
  <si>
    <t>water (m3)</t>
  </si>
  <si>
    <t>Electricity (kw)</t>
  </si>
  <si>
    <t>Gas (L)</t>
  </si>
  <si>
    <t>Gas (KG)</t>
  </si>
  <si>
    <t>Temp</t>
  </si>
  <si>
    <t xml:space="preserve">Weather </t>
  </si>
  <si>
    <t xml:space="preserve">Event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</si>
  <si>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</si>
  <si>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</si>
  <si>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</si>
  <si>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</si>
  <si>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</si>
  <si>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</si>
  <si>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</si>
  <si>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</si>
  <si>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</si>
  <si>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</si>
  <si>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</si>
  <si>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</si>
  <si>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</si>
  <si>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%</t>
  </si>
  <si>
    <t>sunny</t>
  </si>
  <si>
    <t>cloudy</t>
  </si>
  <si>
    <t>rainy</t>
  </si>
  <si>
    <t>26.5.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</si>
</sst>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&quot;SR&quot;* #,##0.00_-;\-&quot;SR&quot;* #,##0.00_-;_-&quot;SR&quot;* &quot;-&quot;??_-;_-@_-"/>
    <numFmt numFmtId="165" formatCode="_-* #,##0.00_-;\-* #,##0.00_-;_-* &quot;-&quot;??_-;_-@_-"/>
    <numFmt numFmtId="166" formatCode="[$-409]d\-mmm\-yy;@"/>
    <numFmt numFmtId="167" formatCode="_-* #,##0_-;\-* #,##0_-;_-* &quot;-&quot;??_-;_-@_-"/>
    <numFmt numFmtId="168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b/>
      <strike/>
      <sz val="12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7" fontId="6" fillId="0" borderId="0" xfId="0" applyNumberFormat="1" applyFont="1"/>
    <xf numFmtId="0" fontId="6" fillId="2" borderId="0" xfId="0" applyFont="1" applyFill="1" applyAlignment="1"/>
    <xf numFmtId="164" fontId="6" fillId="2" borderId="0" xfId="2" applyFont="1" applyFill="1" applyAlignment="1">
      <alignment horizontal="left"/>
    </xf>
    <xf numFmtId="0" fontId="6" fillId="3" borderId="0" xfId="0" applyFont="1" applyFill="1" applyAlignment="1"/>
    <xf numFmtId="164" fontId="6" fillId="3" borderId="0" xfId="2" applyFont="1" applyFill="1" applyAlignment="1">
      <alignment horizontal="left"/>
    </xf>
    <xf numFmtId="0" fontId="6" fillId="4" borderId="0" xfId="0" applyFont="1" applyFill="1" applyAlignment="1"/>
    <xf numFmtId="0" fontId="6" fillId="4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0" fontId="6" fillId="6" borderId="0" xfId="0" applyFont="1" applyFill="1"/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164" fontId="6" fillId="0" borderId="0" xfId="2" applyFont="1"/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167" fontId="3" fillId="3" borderId="2" xfId="1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11" fillId="0" borderId="0" xfId="3" applyNumberFormat="1" applyFont="1" applyAlignment="1" applyProtection="1">
      <alignment horizontal="center" vertical="center"/>
      <protection locked="0"/>
    </xf>
    <xf numFmtId="0" fontId="9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Milliers_Classeur1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45"/>
    <col min="4" max="4" width="13.42578125" style="1" customWidth="1"/>
    <col min="5" max="5" width="13" style="44" customWidth="1"/>
    <col min="6" max="6" width="12.5703125" style="45" customWidth="1"/>
    <col min="7" max="7" width="13" style="46" customWidth="1"/>
    <col min="8" max="8" width="11.5703125" style="45"/>
    <col min="9" max="9" width="11.5703125" style="1"/>
    <col min="10" max="10" width="11.5703125" style="45"/>
    <col min="11" max="11" width="11.5703125" style="1"/>
  </cols>
  <sheetData>
    <row r="1" spans="1:13" s="36" customFormat="1" ht="60" x14ac:dyDescent="0.25">
      <c r="A1" s="29" t="s">
        <v>27</v>
      </c>
      <c r="B1" s="29" t="s">
        <v>28</v>
      </c>
      <c r="C1" s="30" t="s">
        <v>29</v>
      </c>
      <c r="D1" s="31" t="s">
        <v>30</v>
      </c>
      <c r="E1" s="32" t="s">
        <v>31</v>
      </c>
      <c r="F1" s="33" t="s">
        <v>32</v>
      </c>
      <c r="G1" s="34" t="s">
        <v>38</v>
      </c>
      <c r="H1" s="33" t="s">
        <v>39</v>
      </c>
      <c r="I1" s="35" t="s">
        <v>33</v>
      </c>
      <c r="J1" s="33" t="s">
        <v>34</v>
      </c>
      <c r="K1" s="35" t="s">
        <v>35</v>
      </c>
      <c r="L1" s="35" t="s">
        <v>36</v>
      </c>
    </row>
    <row r="2" spans="1:13" s="41" customFormat="1" x14ac:dyDescent="0.25">
      <c r="A2" s="1" t="s">
        <v>37</v>
      </c>
      <c r="B2" s="37">
        <v>1</v>
      </c>
      <c r="C2" s="38">
        <v>10</v>
      </c>
      <c r="D2" s="1">
        <v>2019</v>
      </c>
      <c r="E2" s="39">
        <f>'FS Desroches'!F9</f>
        <v>9540</v>
      </c>
      <c r="F2" s="38">
        <v>11.359820004894488</v>
      </c>
      <c r="G2" s="39">
        <f>'FS Desroches'!G9*0.51</f>
        <v>24.48</v>
      </c>
      <c r="H2" s="38">
        <f>17/0.073</f>
        <v>232.87671232876713</v>
      </c>
      <c r="I2" s="39">
        <f>'FS Desroches'!E9</f>
        <v>82.5</v>
      </c>
      <c r="J2" s="38">
        <v>117.8082191780822</v>
      </c>
      <c r="K2" s="40">
        <f>'FS Desroches'!C9</f>
        <v>18</v>
      </c>
      <c r="M2" s="41" t="s">
        <v>36</v>
      </c>
    </row>
    <row r="3" spans="1:13" s="43" customFormat="1" x14ac:dyDescent="0.25">
      <c r="A3" s="1" t="s">
        <v>37</v>
      </c>
      <c r="B3" s="42">
        <f>B2+1</f>
        <v>2</v>
      </c>
      <c r="C3" s="38">
        <v>10</v>
      </c>
      <c r="D3" s="1">
        <v>2019</v>
      </c>
      <c r="E3" s="39">
        <f>'FS Desroches'!F10</f>
        <v>10230</v>
      </c>
      <c r="F3" s="38">
        <f>F2</f>
        <v>11.359820004894488</v>
      </c>
      <c r="G3" s="39">
        <f>'FS Desroches'!G10*0.51</f>
        <v>24.48</v>
      </c>
      <c r="H3" s="38">
        <f>H2</f>
        <v>232.87671232876713</v>
      </c>
      <c r="I3" s="39">
        <f>'FS Desroches'!E10</f>
        <v>89.8</v>
      </c>
      <c r="J3" s="38">
        <f>J2</f>
        <v>117.8082191780822</v>
      </c>
      <c r="K3" s="40">
        <f>'FS Desroches'!C10</f>
        <v>20</v>
      </c>
    </row>
    <row r="4" spans="1:13" s="43" customFormat="1" x14ac:dyDescent="0.25">
      <c r="A4" s="1" t="s">
        <v>37</v>
      </c>
      <c r="B4" s="42">
        <f t="shared" ref="B4:B32" si="0">B3+1</f>
        <v>3</v>
      </c>
      <c r="C4" s="38">
        <v>10</v>
      </c>
      <c r="D4" s="1">
        <v>2019</v>
      </c>
      <c r="E4" s="39">
        <f>'FS Desroches'!F11</f>
        <v>10570</v>
      </c>
      <c r="F4" s="38">
        <f t="shared" ref="F4:F32" si="1">F3</f>
        <v>11.359820004894488</v>
      </c>
      <c r="G4" s="39">
        <f>'FS Desroches'!G11*0.51</f>
        <v>24.48</v>
      </c>
      <c r="H4" s="38">
        <f t="shared" ref="H4:H32" si="2">H3</f>
        <v>232.87671232876713</v>
      </c>
      <c r="I4" s="39">
        <f>'FS Desroches'!E11</f>
        <v>91.3</v>
      </c>
      <c r="J4" s="38">
        <f t="shared" ref="J4:J32" si="3">J3</f>
        <v>117.8082191780822</v>
      </c>
      <c r="K4" s="40">
        <f>'FS Desroches'!C11</f>
        <v>21</v>
      </c>
    </row>
    <row r="5" spans="1:13" s="43" customFormat="1" x14ac:dyDescent="0.25">
      <c r="A5" s="1" t="s">
        <v>37</v>
      </c>
      <c r="B5" s="42">
        <f t="shared" si="0"/>
        <v>4</v>
      </c>
      <c r="C5" s="38">
        <v>10</v>
      </c>
      <c r="D5" s="1">
        <v>2019</v>
      </c>
      <c r="E5" s="39">
        <f>'FS Desroches'!F12</f>
        <v>10190</v>
      </c>
      <c r="F5" s="38">
        <f t="shared" si="1"/>
        <v>11.359820004894488</v>
      </c>
      <c r="G5" s="39">
        <f>'FS Desroches'!G12*0.51</f>
        <v>26.52</v>
      </c>
      <c r="H5" s="38">
        <f t="shared" si="2"/>
        <v>232.87671232876713</v>
      </c>
      <c r="I5" s="39">
        <f>'FS Desroches'!E12</f>
        <v>62.3</v>
      </c>
      <c r="J5" s="38">
        <f t="shared" si="3"/>
        <v>117.8082191780822</v>
      </c>
      <c r="K5" s="40">
        <f>'FS Desroches'!C12</f>
        <v>21</v>
      </c>
    </row>
    <row r="6" spans="1:13" s="43" customFormat="1" x14ac:dyDescent="0.25">
      <c r="A6" s="1" t="s">
        <v>37</v>
      </c>
      <c r="B6" s="42">
        <f t="shared" si="0"/>
        <v>5</v>
      </c>
      <c r="C6" s="38">
        <v>10</v>
      </c>
      <c r="D6" s="1">
        <v>2019</v>
      </c>
      <c r="E6" s="39">
        <f>'FS Desroches'!F13</f>
        <v>10190</v>
      </c>
      <c r="F6" s="38">
        <f t="shared" si="1"/>
        <v>11.359820004894488</v>
      </c>
      <c r="G6" s="39">
        <f>'FS Desroches'!G13*0.51</f>
        <v>26.52</v>
      </c>
      <c r="H6" s="38">
        <f t="shared" si="2"/>
        <v>232.87671232876713</v>
      </c>
      <c r="I6" s="39">
        <f>'FS Desroches'!E13</f>
        <v>63.9</v>
      </c>
      <c r="J6" s="38">
        <f t="shared" si="3"/>
        <v>117.8082191780822</v>
      </c>
      <c r="K6" s="40">
        <f>'FS Desroches'!C13</f>
        <v>17</v>
      </c>
    </row>
    <row r="7" spans="1:13" s="43" customFormat="1" x14ac:dyDescent="0.25">
      <c r="A7" s="1" t="s">
        <v>37</v>
      </c>
      <c r="B7" s="42">
        <f t="shared" si="0"/>
        <v>6</v>
      </c>
      <c r="C7" s="38">
        <v>10</v>
      </c>
      <c r="D7" s="1">
        <v>2019</v>
      </c>
      <c r="E7" s="39">
        <f>'FS Desroches'!F14</f>
        <v>9410</v>
      </c>
      <c r="F7" s="38">
        <f t="shared" si="1"/>
        <v>11.359820004894488</v>
      </c>
      <c r="G7" s="39">
        <f>'FS Desroches'!G14*0.51</f>
        <v>26.52</v>
      </c>
      <c r="H7" s="38">
        <f t="shared" si="2"/>
        <v>232.87671232876713</v>
      </c>
      <c r="I7" s="39">
        <f>'FS Desroches'!E14</f>
        <v>66.8</v>
      </c>
      <c r="J7" s="38">
        <f t="shared" si="3"/>
        <v>117.8082191780822</v>
      </c>
      <c r="K7" s="40">
        <f>'FS Desroches'!C14</f>
        <v>16</v>
      </c>
    </row>
    <row r="8" spans="1:13" s="43" customFormat="1" x14ac:dyDescent="0.25">
      <c r="A8" s="1" t="s">
        <v>37</v>
      </c>
      <c r="B8" s="42">
        <f t="shared" si="0"/>
        <v>7</v>
      </c>
      <c r="C8" s="38">
        <v>10</v>
      </c>
      <c r="D8" s="1">
        <v>2019</v>
      </c>
      <c r="E8" s="39">
        <f>'FS Desroches'!F15</f>
        <v>9880</v>
      </c>
      <c r="F8" s="38">
        <f t="shared" si="1"/>
        <v>11.359820004894488</v>
      </c>
      <c r="G8" s="39">
        <f>'FS Desroches'!G15*0.51</f>
        <v>24.48</v>
      </c>
      <c r="H8" s="38">
        <f t="shared" si="2"/>
        <v>232.87671232876713</v>
      </c>
      <c r="I8" s="39">
        <f>'FS Desroches'!E15</f>
        <v>64.400000000000006</v>
      </c>
      <c r="J8" s="38">
        <f t="shared" si="3"/>
        <v>117.8082191780822</v>
      </c>
      <c r="K8" s="40">
        <f>'FS Desroches'!C15</f>
        <v>17</v>
      </c>
    </row>
    <row r="9" spans="1:13" s="43" customFormat="1" x14ac:dyDescent="0.25">
      <c r="A9" s="1" t="s">
        <v>37</v>
      </c>
      <c r="B9" s="42">
        <f t="shared" si="0"/>
        <v>8</v>
      </c>
      <c r="C9" s="38">
        <v>10</v>
      </c>
      <c r="D9" s="1">
        <v>2019</v>
      </c>
      <c r="E9" s="39">
        <f>'FS Desroches'!F16</f>
        <v>9510</v>
      </c>
      <c r="F9" s="38">
        <f t="shared" si="1"/>
        <v>11.359820004894488</v>
      </c>
      <c r="G9" s="39">
        <f>'FS Desroches'!G16*0.51</f>
        <v>24.48</v>
      </c>
      <c r="H9" s="38">
        <f t="shared" si="2"/>
        <v>232.87671232876713</v>
      </c>
      <c r="I9" s="39">
        <f>'FS Desroches'!E16</f>
        <v>72.599999999999994</v>
      </c>
      <c r="J9" s="38">
        <f t="shared" si="3"/>
        <v>117.8082191780822</v>
      </c>
      <c r="K9" s="40">
        <f>'FS Desroches'!C16</f>
        <v>24</v>
      </c>
    </row>
    <row r="10" spans="1:13" s="43" customFormat="1" x14ac:dyDescent="0.25">
      <c r="A10" s="1" t="s">
        <v>37</v>
      </c>
      <c r="B10" s="42">
        <f t="shared" si="0"/>
        <v>9</v>
      </c>
      <c r="C10" s="38">
        <v>10</v>
      </c>
      <c r="D10" s="1">
        <v>2019</v>
      </c>
      <c r="E10" s="39">
        <f>'FS Desroches'!F17</f>
        <v>10430</v>
      </c>
      <c r="F10" s="38">
        <f t="shared" si="1"/>
        <v>11.359820004894488</v>
      </c>
      <c r="G10" s="39">
        <f>'FS Desroches'!G17*0.51</f>
        <v>24.48</v>
      </c>
      <c r="H10" s="38">
        <f t="shared" si="2"/>
        <v>232.87671232876713</v>
      </c>
      <c r="I10" s="39">
        <f>'FS Desroches'!E17</f>
        <v>72.8</v>
      </c>
      <c r="J10" s="38">
        <f t="shared" si="3"/>
        <v>117.8082191780822</v>
      </c>
      <c r="K10" s="40">
        <f>'FS Desroches'!C17</f>
        <v>23</v>
      </c>
    </row>
    <row r="11" spans="1:13" s="43" customFormat="1" x14ac:dyDescent="0.25">
      <c r="A11" s="1" t="s">
        <v>37</v>
      </c>
      <c r="B11" s="42">
        <f t="shared" si="0"/>
        <v>10</v>
      </c>
      <c r="C11" s="38">
        <v>10</v>
      </c>
      <c r="D11" s="1">
        <v>2019</v>
      </c>
      <c r="E11" s="39">
        <f>'FS Desroches'!F18</f>
        <v>10540</v>
      </c>
      <c r="F11" s="38">
        <f t="shared" si="1"/>
        <v>11.359820004894488</v>
      </c>
      <c r="G11" s="39">
        <f>'FS Desroches'!G18*0.51</f>
        <v>30.09</v>
      </c>
      <c r="H11" s="38">
        <f t="shared" si="2"/>
        <v>232.87671232876713</v>
      </c>
      <c r="I11" s="39">
        <f>'FS Desroches'!E18</f>
        <v>66</v>
      </c>
      <c r="J11" s="38">
        <f t="shared" si="3"/>
        <v>117.8082191780822</v>
      </c>
      <c r="K11" s="40">
        <f>'FS Desroches'!C18</f>
        <v>24</v>
      </c>
    </row>
    <row r="12" spans="1:13" s="43" customFormat="1" x14ac:dyDescent="0.25">
      <c r="A12" s="1" t="s">
        <v>37</v>
      </c>
      <c r="B12" s="42">
        <f t="shared" si="0"/>
        <v>11</v>
      </c>
      <c r="C12" s="38">
        <v>10</v>
      </c>
      <c r="D12" s="1">
        <v>2019</v>
      </c>
      <c r="E12" s="39">
        <f>'FS Desroches'!F19</f>
        <v>8880</v>
      </c>
      <c r="F12" s="38">
        <f t="shared" si="1"/>
        <v>11.359820004894488</v>
      </c>
      <c r="G12" s="39">
        <f>'FS Desroches'!G19*0.51</f>
        <v>28.560000000000002</v>
      </c>
      <c r="H12" s="38">
        <f t="shared" si="2"/>
        <v>232.87671232876713</v>
      </c>
      <c r="I12" s="39">
        <f>'FS Desroches'!E19</f>
        <v>66</v>
      </c>
      <c r="J12" s="38">
        <f t="shared" si="3"/>
        <v>117.8082191780822</v>
      </c>
      <c r="K12" s="40">
        <f>'FS Desroches'!C19</f>
        <v>22</v>
      </c>
    </row>
    <row r="13" spans="1:13" s="43" customFormat="1" x14ac:dyDescent="0.25">
      <c r="A13" s="1" t="s">
        <v>37</v>
      </c>
      <c r="B13" s="42">
        <f t="shared" si="0"/>
        <v>12</v>
      </c>
      <c r="C13" s="38">
        <v>10</v>
      </c>
      <c r="D13" s="1">
        <v>2019</v>
      </c>
      <c r="E13" s="39">
        <f>'FS Desroches'!F20</f>
        <v>9110</v>
      </c>
      <c r="F13" s="38">
        <f t="shared" si="1"/>
        <v>11.359820004894488</v>
      </c>
      <c r="G13" s="39">
        <f>'FS Desroches'!G20*0.51</f>
        <v>24.48</v>
      </c>
      <c r="H13" s="38">
        <f t="shared" si="2"/>
        <v>232.87671232876713</v>
      </c>
      <c r="I13" s="39">
        <f>'FS Desroches'!E20</f>
        <v>75</v>
      </c>
      <c r="J13" s="38">
        <f t="shared" si="3"/>
        <v>117.8082191780822</v>
      </c>
      <c r="K13" s="40">
        <f>'FS Desroches'!C20</f>
        <v>19</v>
      </c>
    </row>
    <row r="14" spans="1:13" s="43" customFormat="1" x14ac:dyDescent="0.25">
      <c r="A14" s="1" t="s">
        <v>37</v>
      </c>
      <c r="B14" s="42">
        <f t="shared" si="0"/>
        <v>13</v>
      </c>
      <c r="C14" s="38">
        <v>10</v>
      </c>
      <c r="D14" s="1">
        <v>2019</v>
      </c>
      <c r="E14" s="39">
        <f>'FS Desroches'!F21</f>
        <v>8810</v>
      </c>
      <c r="F14" s="38">
        <f t="shared" si="1"/>
        <v>11.359820004894488</v>
      </c>
      <c r="G14" s="39">
        <f>'FS Desroches'!G21*0.51</f>
        <v>24.48</v>
      </c>
      <c r="H14" s="38">
        <f t="shared" si="2"/>
        <v>232.87671232876713</v>
      </c>
      <c r="I14" s="39">
        <f>'FS Desroches'!E21</f>
        <v>69</v>
      </c>
      <c r="J14" s="38">
        <f t="shared" si="3"/>
        <v>117.8082191780822</v>
      </c>
      <c r="K14" s="40">
        <f>'FS Desroches'!C21</f>
        <v>20</v>
      </c>
    </row>
    <row r="15" spans="1:13" s="43" customFormat="1" x14ac:dyDescent="0.25">
      <c r="A15" s="1" t="s">
        <v>37</v>
      </c>
      <c r="B15" s="42">
        <f t="shared" si="0"/>
        <v>14</v>
      </c>
      <c r="C15" s="38">
        <v>10</v>
      </c>
      <c r="D15" s="1">
        <v>2019</v>
      </c>
      <c r="E15" s="39">
        <f>'FS Desroches'!F22</f>
        <v>9800</v>
      </c>
      <c r="F15" s="38">
        <f t="shared" si="1"/>
        <v>11.359820004894488</v>
      </c>
      <c r="G15" s="39">
        <f>'FS Desroches'!G22*0.51</f>
        <v>26.52</v>
      </c>
      <c r="H15" s="38">
        <f t="shared" si="2"/>
        <v>232.87671232876713</v>
      </c>
      <c r="I15" s="39">
        <f>'FS Desroches'!E22</f>
        <v>67.5</v>
      </c>
      <c r="J15" s="38">
        <f t="shared" si="3"/>
        <v>117.8082191780822</v>
      </c>
      <c r="K15" s="40">
        <f>'FS Desroches'!C22</f>
        <v>25</v>
      </c>
    </row>
    <row r="16" spans="1:13" s="43" customFormat="1" x14ac:dyDescent="0.25">
      <c r="A16" s="1" t="s">
        <v>37</v>
      </c>
      <c r="B16" s="42">
        <f t="shared" si="0"/>
        <v>15</v>
      </c>
      <c r="C16" s="38">
        <v>10</v>
      </c>
      <c r="D16" s="1">
        <v>2019</v>
      </c>
      <c r="E16" s="39">
        <f>'FS Desroches'!F23</f>
        <v>10700</v>
      </c>
      <c r="F16" s="38">
        <f t="shared" si="1"/>
        <v>11.359820004894488</v>
      </c>
      <c r="G16" s="39">
        <f>'FS Desroches'!G23*0.51</f>
        <v>34.17</v>
      </c>
      <c r="H16" s="38">
        <f t="shared" si="2"/>
        <v>232.87671232876713</v>
      </c>
      <c r="I16" s="39">
        <f>'FS Desroches'!E23</f>
        <v>92.6</v>
      </c>
      <c r="J16" s="38">
        <f t="shared" si="3"/>
        <v>117.8082191780822</v>
      </c>
      <c r="K16" s="40">
        <f>'FS Desroches'!C23</f>
        <v>26</v>
      </c>
    </row>
    <row r="17" spans="1:11" s="43" customFormat="1" x14ac:dyDescent="0.25">
      <c r="A17" s="1" t="s">
        <v>37</v>
      </c>
      <c r="B17" s="42">
        <f t="shared" si="0"/>
        <v>16</v>
      </c>
      <c r="C17" s="38">
        <v>10</v>
      </c>
      <c r="D17" s="1">
        <v>2019</v>
      </c>
      <c r="E17" s="39">
        <f>'FS Desroches'!F24</f>
        <v>10400</v>
      </c>
      <c r="F17" s="38">
        <f t="shared" si="1"/>
        <v>11.359820004894488</v>
      </c>
      <c r="G17" s="39">
        <f>'FS Desroches'!G24*0.51</f>
        <v>24.48</v>
      </c>
      <c r="H17" s="38">
        <f t="shared" si="2"/>
        <v>232.87671232876713</v>
      </c>
      <c r="I17" s="39">
        <f>'FS Desroches'!E24</f>
        <v>80.7</v>
      </c>
      <c r="J17" s="38">
        <f t="shared" si="3"/>
        <v>117.8082191780822</v>
      </c>
      <c r="K17" s="40">
        <f>'FS Desroches'!C24</f>
        <v>28</v>
      </c>
    </row>
    <row r="18" spans="1:11" s="43" customFormat="1" x14ac:dyDescent="0.25">
      <c r="A18" s="1" t="s">
        <v>37</v>
      </c>
      <c r="B18" s="42">
        <f t="shared" si="0"/>
        <v>17</v>
      </c>
      <c r="C18" s="38">
        <v>10</v>
      </c>
      <c r="D18" s="1">
        <v>2019</v>
      </c>
      <c r="E18" s="39">
        <f>'FS Desroches'!F25</f>
        <v>10800</v>
      </c>
      <c r="F18" s="38">
        <f t="shared" si="1"/>
        <v>11.359820004894488</v>
      </c>
      <c r="G18" s="39">
        <f>'FS Desroches'!G25*0.51</f>
        <v>26.52</v>
      </c>
      <c r="H18" s="38">
        <f t="shared" si="2"/>
        <v>232.87671232876713</v>
      </c>
      <c r="I18" s="39">
        <f>'FS Desroches'!E25</f>
        <v>86.1</v>
      </c>
      <c r="J18" s="38">
        <f t="shared" si="3"/>
        <v>117.8082191780822</v>
      </c>
      <c r="K18" s="40">
        <f>'FS Desroches'!C25</f>
        <v>32</v>
      </c>
    </row>
    <row r="19" spans="1:11" s="43" customFormat="1" x14ac:dyDescent="0.25">
      <c r="A19" s="1" t="s">
        <v>37</v>
      </c>
      <c r="B19" s="42">
        <f t="shared" si="0"/>
        <v>18</v>
      </c>
      <c r="C19" s="38">
        <v>10</v>
      </c>
      <c r="D19" s="1">
        <v>2019</v>
      </c>
      <c r="E19" s="39">
        <f>'FS Desroches'!F26</f>
        <v>11610</v>
      </c>
      <c r="F19" s="38">
        <f t="shared" si="1"/>
        <v>11.359820004894488</v>
      </c>
      <c r="G19" s="39">
        <f>'FS Desroches'!G26*0.51</f>
        <v>30.09</v>
      </c>
      <c r="H19" s="38">
        <f t="shared" si="2"/>
        <v>232.87671232876713</v>
      </c>
      <c r="I19" s="39">
        <f>'FS Desroches'!E26</f>
        <v>97.1</v>
      </c>
      <c r="J19" s="38">
        <f t="shared" si="3"/>
        <v>117.8082191780822</v>
      </c>
      <c r="K19" s="40">
        <f>'FS Desroches'!C26</f>
        <v>28</v>
      </c>
    </row>
    <row r="20" spans="1:11" s="43" customFormat="1" x14ac:dyDescent="0.25">
      <c r="A20" s="1" t="s">
        <v>37</v>
      </c>
      <c r="B20" s="42">
        <f t="shared" si="0"/>
        <v>19</v>
      </c>
      <c r="C20" s="38">
        <v>10</v>
      </c>
      <c r="D20" s="1">
        <v>2019</v>
      </c>
      <c r="E20" s="39">
        <f>'FS Desroches'!F27</f>
        <v>0</v>
      </c>
      <c r="F20" s="38">
        <f t="shared" si="1"/>
        <v>11.359820004894488</v>
      </c>
      <c r="G20" s="39">
        <f>'FS Desroches'!G27*0.51</f>
        <v>0</v>
      </c>
      <c r="H20" s="38">
        <f t="shared" si="2"/>
        <v>232.87671232876713</v>
      </c>
      <c r="I20" s="39">
        <f>'FS Desroches'!E27</f>
        <v>0</v>
      </c>
      <c r="J20" s="38">
        <f t="shared" si="3"/>
        <v>117.8082191780822</v>
      </c>
      <c r="K20" s="40">
        <f>'FS Desroches'!C27</f>
        <v>0</v>
      </c>
    </row>
    <row r="21" spans="1:11" s="43" customFormat="1" x14ac:dyDescent="0.25">
      <c r="A21" s="1" t="s">
        <v>37</v>
      </c>
      <c r="B21" s="42">
        <f t="shared" si="0"/>
        <v>20</v>
      </c>
      <c r="C21" s="38">
        <v>10</v>
      </c>
      <c r="D21" s="1">
        <v>2019</v>
      </c>
      <c r="E21" s="39">
        <f>'FS Desroches'!F28</f>
        <v>0</v>
      </c>
      <c r="F21" s="38">
        <f t="shared" si="1"/>
        <v>11.359820004894488</v>
      </c>
      <c r="G21" s="39">
        <f>'FS Desroches'!G28*0.51</f>
        <v>0</v>
      </c>
      <c r="H21" s="38">
        <f t="shared" si="2"/>
        <v>232.87671232876713</v>
      </c>
      <c r="I21" s="39">
        <f>'FS Desroches'!E28</f>
        <v>0</v>
      </c>
      <c r="J21" s="38">
        <f t="shared" si="3"/>
        <v>117.8082191780822</v>
      </c>
      <c r="K21" s="40">
        <f>'FS Desroches'!C28</f>
        <v>0</v>
      </c>
    </row>
    <row r="22" spans="1:11" s="43" customFormat="1" x14ac:dyDescent="0.25">
      <c r="A22" s="1" t="s">
        <v>37</v>
      </c>
      <c r="B22" s="42">
        <f t="shared" si="0"/>
        <v>21</v>
      </c>
      <c r="C22" s="38">
        <v>10</v>
      </c>
      <c r="D22" s="1">
        <v>2019</v>
      </c>
      <c r="E22" s="39">
        <f>'FS Desroches'!F29</f>
        <v>0</v>
      </c>
      <c r="F22" s="38">
        <f t="shared" si="1"/>
        <v>11.359820004894488</v>
      </c>
      <c r="G22" s="39">
        <f>'FS Desroches'!G29*0.51</f>
        <v>0</v>
      </c>
      <c r="H22" s="38">
        <f t="shared" si="2"/>
        <v>232.87671232876713</v>
      </c>
      <c r="I22" s="39">
        <f>'FS Desroches'!E29</f>
        <v>0</v>
      </c>
      <c r="J22" s="38">
        <f t="shared" si="3"/>
        <v>117.8082191780822</v>
      </c>
      <c r="K22" s="40">
        <f>'FS Desroches'!C29</f>
        <v>0</v>
      </c>
    </row>
    <row r="23" spans="1:11" s="43" customFormat="1" x14ac:dyDescent="0.25">
      <c r="A23" s="1" t="s">
        <v>37</v>
      </c>
      <c r="B23" s="42">
        <f t="shared" si="0"/>
        <v>22</v>
      </c>
      <c r="C23" s="38">
        <v>10</v>
      </c>
      <c r="D23" s="1">
        <v>2019</v>
      </c>
      <c r="E23" s="39">
        <f>'FS Desroches'!F30</f>
        <v>0</v>
      </c>
      <c r="F23" s="38">
        <f t="shared" si="1"/>
        <v>11.359820004894488</v>
      </c>
      <c r="G23" s="39">
        <f>'FS Desroches'!G30*0.51</f>
        <v>0</v>
      </c>
      <c r="H23" s="38">
        <f t="shared" si="2"/>
        <v>232.87671232876713</v>
      </c>
      <c r="I23" s="39">
        <f>'FS Desroches'!E30</f>
        <v>0</v>
      </c>
      <c r="J23" s="38">
        <f t="shared" si="3"/>
        <v>117.8082191780822</v>
      </c>
      <c r="K23" s="40">
        <f>'FS Desroches'!C30</f>
        <v>0</v>
      </c>
    </row>
    <row r="24" spans="1:11" s="43" customFormat="1" x14ac:dyDescent="0.25">
      <c r="A24" s="1" t="s">
        <v>37</v>
      </c>
      <c r="B24" s="42">
        <f t="shared" si="0"/>
        <v>23</v>
      </c>
      <c r="C24" s="38">
        <v>10</v>
      </c>
      <c r="D24" s="1">
        <v>2019</v>
      </c>
      <c r="E24" s="39">
        <f>'FS Desroches'!F31</f>
        <v>0</v>
      </c>
      <c r="F24" s="38">
        <f t="shared" si="1"/>
        <v>11.359820004894488</v>
      </c>
      <c r="G24" s="39">
        <f>'FS Desroches'!G31*0.51</f>
        <v>0</v>
      </c>
      <c r="H24" s="38">
        <f t="shared" si="2"/>
        <v>232.87671232876713</v>
      </c>
      <c r="I24" s="39">
        <f>'FS Desroches'!E31</f>
        <v>0</v>
      </c>
      <c r="J24" s="38">
        <f t="shared" si="3"/>
        <v>117.8082191780822</v>
      </c>
      <c r="K24" s="40">
        <f>'FS Desroches'!C31</f>
        <v>0</v>
      </c>
    </row>
    <row r="25" spans="1:11" s="43" customFormat="1" x14ac:dyDescent="0.25">
      <c r="A25" s="1" t="s">
        <v>37</v>
      </c>
      <c r="B25" s="42">
        <f t="shared" si="0"/>
        <v>24</v>
      </c>
      <c r="C25" s="38">
        <v>10</v>
      </c>
      <c r="D25" s="1">
        <v>2019</v>
      </c>
      <c r="E25" s="39">
        <f>'FS Desroches'!F32</f>
        <v>0</v>
      </c>
      <c r="F25" s="38">
        <f t="shared" si="1"/>
        <v>11.359820004894488</v>
      </c>
      <c r="G25" s="39">
        <f>'FS Desroches'!G32*0.51</f>
        <v>0</v>
      </c>
      <c r="H25" s="38">
        <f t="shared" si="2"/>
        <v>232.87671232876713</v>
      </c>
      <c r="I25" s="39">
        <f>'FS Desroches'!E32</f>
        <v>0</v>
      </c>
      <c r="J25" s="38">
        <f t="shared" si="3"/>
        <v>117.8082191780822</v>
      </c>
      <c r="K25" s="40">
        <f>'FS Desroches'!C32</f>
        <v>0</v>
      </c>
    </row>
    <row r="26" spans="1:11" s="43" customFormat="1" x14ac:dyDescent="0.25">
      <c r="A26" s="1" t="s">
        <v>37</v>
      </c>
      <c r="B26" s="42">
        <f>B25+1</f>
        <v>25</v>
      </c>
      <c r="C26" s="38">
        <v>10</v>
      </c>
      <c r="D26" s="1">
        <v>2019</v>
      </c>
      <c r="E26" s="39">
        <f>'FS Desroches'!F33</f>
        <v>0</v>
      </c>
      <c r="F26" s="38">
        <f t="shared" si="1"/>
        <v>11.359820004894488</v>
      </c>
      <c r="G26" s="39">
        <f>'FS Desroches'!G33*0.51</f>
        <v>0</v>
      </c>
      <c r="H26" s="38">
        <f t="shared" si="2"/>
        <v>232.87671232876713</v>
      </c>
      <c r="I26" s="39">
        <f>'FS Desroches'!E33</f>
        <v>0</v>
      </c>
      <c r="J26" s="38">
        <f t="shared" si="3"/>
        <v>117.8082191780822</v>
      </c>
      <c r="K26" s="40">
        <f>'FS Desroches'!C33</f>
        <v>0</v>
      </c>
    </row>
    <row r="27" spans="1:11" s="43" customFormat="1" x14ac:dyDescent="0.25">
      <c r="A27" s="1" t="s">
        <v>37</v>
      </c>
      <c r="B27" s="42">
        <f t="shared" si="0"/>
        <v>26</v>
      </c>
      <c r="C27" s="38">
        <v>10</v>
      </c>
      <c r="D27" s="1">
        <v>2019</v>
      </c>
      <c r="E27" s="39">
        <f>'FS Desroches'!F34</f>
        <v>0</v>
      </c>
      <c r="F27" s="38">
        <f t="shared" si="1"/>
        <v>11.359820004894488</v>
      </c>
      <c r="G27" s="39">
        <f>'FS Desroches'!G34*0.51</f>
        <v>0</v>
      </c>
      <c r="H27" s="38">
        <f t="shared" si="2"/>
        <v>232.87671232876713</v>
      </c>
      <c r="I27" s="39">
        <f>'FS Desroches'!E34</f>
        <v>0</v>
      </c>
      <c r="J27" s="38">
        <f t="shared" si="3"/>
        <v>117.8082191780822</v>
      </c>
      <c r="K27" s="40">
        <f>'FS Desroches'!C34</f>
        <v>0</v>
      </c>
    </row>
    <row r="28" spans="1:11" s="43" customFormat="1" x14ac:dyDescent="0.25">
      <c r="A28" s="1" t="s">
        <v>37</v>
      </c>
      <c r="B28" s="42">
        <f t="shared" si="0"/>
        <v>27</v>
      </c>
      <c r="C28" s="38">
        <v>10</v>
      </c>
      <c r="D28" s="1">
        <v>2019</v>
      </c>
      <c r="E28" s="39">
        <f>'FS Desroches'!F35</f>
        <v>0</v>
      </c>
      <c r="F28" s="38">
        <f t="shared" si="1"/>
        <v>11.359820004894488</v>
      </c>
      <c r="G28" s="39">
        <f>'FS Desroches'!G35*0.51</f>
        <v>0</v>
      </c>
      <c r="H28" s="38">
        <f t="shared" si="2"/>
        <v>232.87671232876713</v>
      </c>
      <c r="I28" s="39">
        <f>'FS Desroches'!E35</f>
        <v>0</v>
      </c>
      <c r="J28" s="38">
        <f t="shared" si="3"/>
        <v>117.8082191780822</v>
      </c>
      <c r="K28" s="40">
        <f>'FS Desroches'!C35</f>
        <v>0</v>
      </c>
    </row>
    <row r="29" spans="1:11" s="43" customFormat="1" x14ac:dyDescent="0.25">
      <c r="A29" s="1" t="s">
        <v>37</v>
      </c>
      <c r="B29" s="42">
        <f t="shared" si="0"/>
        <v>28</v>
      </c>
      <c r="C29" s="38">
        <v>10</v>
      </c>
      <c r="D29" s="1">
        <v>2019</v>
      </c>
      <c r="E29" s="39">
        <f>'FS Desroches'!F36</f>
        <v>0</v>
      </c>
      <c r="F29" s="38">
        <f t="shared" si="1"/>
        <v>11.359820004894488</v>
      </c>
      <c r="G29" s="39">
        <f>'FS Desroches'!G36*0.51</f>
        <v>0</v>
      </c>
      <c r="H29" s="38">
        <f t="shared" si="2"/>
        <v>232.87671232876713</v>
      </c>
      <c r="I29" s="39">
        <f>'FS Desroches'!E36</f>
        <v>0</v>
      </c>
      <c r="J29" s="38">
        <f t="shared" si="3"/>
        <v>117.8082191780822</v>
      </c>
      <c r="K29" s="40">
        <f>'FS Desroches'!C36</f>
        <v>0</v>
      </c>
    </row>
    <row r="30" spans="1:11" s="43" customFormat="1" x14ac:dyDescent="0.25">
      <c r="A30" s="1" t="s">
        <v>37</v>
      </c>
      <c r="B30" s="42">
        <f t="shared" si="0"/>
        <v>29</v>
      </c>
      <c r="C30" s="38">
        <v>10</v>
      </c>
      <c r="D30" s="1">
        <v>2019</v>
      </c>
      <c r="E30" s="39">
        <f>'FS Desroches'!F37</f>
        <v>0</v>
      </c>
      <c r="F30" s="38">
        <f t="shared" si="1"/>
        <v>11.359820004894488</v>
      </c>
      <c r="G30" s="39">
        <f>'FS Desroches'!G37*0.51</f>
        <v>0</v>
      </c>
      <c r="H30" s="38">
        <f t="shared" si="2"/>
        <v>232.87671232876713</v>
      </c>
      <c r="I30" s="39">
        <f>'FS Desroches'!E37</f>
        <v>0</v>
      </c>
      <c r="J30" s="38">
        <f t="shared" si="3"/>
        <v>117.8082191780822</v>
      </c>
      <c r="K30" s="40">
        <f>'FS Desroches'!C37</f>
        <v>0</v>
      </c>
    </row>
    <row r="31" spans="1:11" s="41" customFormat="1" x14ac:dyDescent="0.25">
      <c r="A31" s="1" t="s">
        <v>37</v>
      </c>
      <c r="B31" s="42">
        <f t="shared" si="0"/>
        <v>30</v>
      </c>
      <c r="C31" s="38">
        <v>10</v>
      </c>
      <c r="D31" s="1">
        <v>2019</v>
      </c>
      <c r="E31" s="39">
        <f>'FS Desroches'!F38</f>
        <v>0</v>
      </c>
      <c r="F31" s="38">
        <f t="shared" si="1"/>
        <v>11.359820004894488</v>
      </c>
      <c r="G31" s="39">
        <f>'FS Desroches'!G38*0.51</f>
        <v>0</v>
      </c>
      <c r="H31" s="38">
        <f t="shared" si="2"/>
        <v>232.87671232876713</v>
      </c>
      <c r="I31" s="39">
        <f>'FS Desroches'!E38</f>
        <v>0</v>
      </c>
      <c r="J31" s="38">
        <f t="shared" si="3"/>
        <v>117.8082191780822</v>
      </c>
      <c r="K31" s="40">
        <f>'FS Desroches'!C38</f>
        <v>0</v>
      </c>
    </row>
    <row r="32" spans="1:11" x14ac:dyDescent="0.25">
      <c r="A32" s="1" t="s">
        <v>37</v>
      </c>
      <c r="B32" s="42">
        <f t="shared" si="0"/>
        <v>31</v>
      </c>
      <c r="C32" s="38">
        <v>10</v>
      </c>
      <c r="D32" s="1">
        <v>2019</v>
      </c>
      <c r="E32" s="39">
        <f>'FS Desroches'!F39</f>
        <v>0</v>
      </c>
      <c r="F32" s="38">
        <f t="shared" si="1"/>
        <v>11.359820004894488</v>
      </c>
      <c r="G32" s="39">
        <f>'FS Desroches'!G39*0.51</f>
        <v>0</v>
      </c>
      <c r="H32" s="38">
        <f t="shared" si="2"/>
        <v>232.87671232876713</v>
      </c>
      <c r="I32" s="39">
        <f>'FS Desroches'!E39</f>
        <v>0</v>
      </c>
      <c r="J32" s="38">
        <f t="shared" si="3"/>
        <v>117.8082191780822</v>
      </c>
      <c r="K32" s="40">
        <f>'FS Desroches'!C39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abSelected="1" zoomScale="102" zoomScaleNormal="102" workbookViewId="0">
      <selection activeCell="B27" sqref="B27"/>
    </sheetView>
  </sheetViews>
  <sheetFormatPr defaultRowHeight="15" x14ac:dyDescent="0.25"/>
  <cols>
    <col min="1" max="1" width="11.7109375" customWidth="1"/>
    <col min="2" max="8" width="9.7109375" customWidth="1"/>
    <col min="9" max="9" width="12.28515625" customWidth="1"/>
    <col min="10" max="11" width="9.7109375" customWidth="1"/>
    <col min="12" max="12" width="11.7109375" customWidth="1"/>
    <col min="13" max="14" width="9.7109375" customWidth="1"/>
    <col min="15" max="15" width="11" customWidth="1"/>
    <col min="16" max="19" width="9.7109375" customWidth="1"/>
  </cols>
  <sheetData>
    <row r="1" spans="1:19" x14ac:dyDescent="0.25">
      <c r="A1" s="1"/>
    </row>
    <row r="2" spans="1:19" ht="15.75" x14ac:dyDescent="0.25">
      <c r="A2" s="2"/>
      <c r="B2" s="3" t="s">
        <v>0</v>
      </c>
      <c r="C2" s="4">
        <v>43739</v>
      </c>
      <c r="D2" s="3" t="s">
        <v>1</v>
      </c>
      <c r="E2" s="5" t="s">
        <v>2</v>
      </c>
      <c r="F2" s="6">
        <v>8.6</v>
      </c>
      <c r="G2" s="7" t="s">
        <v>3</v>
      </c>
      <c r="H2" s="8">
        <v>0.65</v>
      </c>
      <c r="I2" s="9" t="s">
        <v>4</v>
      </c>
      <c r="J2" s="10">
        <v>15</v>
      </c>
      <c r="K2" s="3"/>
      <c r="L2" s="3"/>
      <c r="M2" s="3" t="s">
        <v>5</v>
      </c>
      <c r="N2" s="3" t="s">
        <v>6</v>
      </c>
      <c r="O2" s="3"/>
      <c r="P2" s="3"/>
      <c r="Q2" s="3"/>
      <c r="R2" s="3"/>
      <c r="S2" s="3"/>
    </row>
    <row r="3" spans="1:19" ht="15.75" x14ac:dyDescent="0.25">
      <c r="A3" s="2"/>
      <c r="B3" s="3"/>
      <c r="C3" s="3"/>
      <c r="D3" s="3"/>
      <c r="E3" s="11"/>
      <c r="F3" s="12"/>
      <c r="G3" s="13"/>
      <c r="H3" s="12"/>
      <c r="I3" s="14"/>
      <c r="J3" s="3"/>
      <c r="K3" s="3"/>
      <c r="L3" s="3"/>
      <c r="M3" s="3"/>
      <c r="N3" s="3" t="s">
        <v>7</v>
      </c>
      <c r="O3" s="3"/>
      <c r="P3" s="3"/>
      <c r="Q3" s="3"/>
      <c r="R3" s="3"/>
      <c r="S3" s="3"/>
    </row>
    <row r="4" spans="1:19" ht="15.75" x14ac:dyDescent="0.25">
      <c r="A4" s="2"/>
      <c r="B4" s="3" t="s">
        <v>8</v>
      </c>
      <c r="C4" s="3"/>
      <c r="D4" s="3"/>
      <c r="E4" s="3"/>
      <c r="F4" s="15"/>
      <c r="G4" s="3"/>
      <c r="H4" s="3"/>
      <c r="I4" s="3"/>
      <c r="J4" s="3"/>
      <c r="K4" s="3"/>
      <c r="L4" s="3"/>
      <c r="M4" s="3"/>
      <c r="N4" s="3" t="s">
        <v>9</v>
      </c>
      <c r="O4" s="3"/>
      <c r="P4" s="3"/>
      <c r="Q4" s="3"/>
      <c r="R4" s="3"/>
      <c r="S4" s="3"/>
    </row>
    <row r="5" spans="1:19" x14ac:dyDescent="0.25">
      <c r="A5" s="1"/>
    </row>
    <row r="6" spans="1:19" x14ac:dyDescent="0.25">
      <c r="A6" s="1"/>
    </row>
    <row r="7" spans="1:19" ht="15.75" x14ac:dyDescent="0.25">
      <c r="A7" s="47" t="s">
        <v>10</v>
      </c>
      <c r="B7" s="48" t="s">
        <v>11</v>
      </c>
      <c r="C7" s="48"/>
      <c r="D7" s="48"/>
      <c r="E7" s="47" t="s">
        <v>12</v>
      </c>
      <c r="F7" s="47"/>
      <c r="G7" s="47"/>
      <c r="H7" s="47" t="s">
        <v>13</v>
      </c>
      <c r="I7" s="47"/>
      <c r="J7" s="47"/>
      <c r="K7" s="47" t="s">
        <v>14</v>
      </c>
      <c r="L7" s="47"/>
      <c r="M7" s="47"/>
      <c r="N7" s="47" t="s">
        <v>15</v>
      </c>
      <c r="O7" s="47"/>
      <c r="P7" s="47"/>
      <c r="Q7" s="47" t="s">
        <v>16</v>
      </c>
      <c r="R7" s="47"/>
      <c r="S7" s="47"/>
    </row>
    <row r="8" spans="1:19" ht="31.5" x14ac:dyDescent="0.25">
      <c r="A8" s="47"/>
      <c r="B8" s="16" t="s">
        <v>17</v>
      </c>
      <c r="C8" s="16" t="s">
        <v>18</v>
      </c>
      <c r="D8" s="16" t="s">
        <v>19</v>
      </c>
      <c r="E8" s="17" t="s">
        <v>20</v>
      </c>
      <c r="F8" s="18" t="s">
        <v>21</v>
      </c>
      <c r="G8" s="19" t="s">
        <v>22</v>
      </c>
      <c r="H8" s="17" t="s">
        <v>20</v>
      </c>
      <c r="I8" s="18" t="s">
        <v>21</v>
      </c>
      <c r="J8" s="19" t="s">
        <v>22</v>
      </c>
      <c r="K8" s="17" t="s">
        <v>20</v>
      </c>
      <c r="L8" s="18" t="s">
        <v>21</v>
      </c>
      <c r="M8" s="19" t="s">
        <v>23</v>
      </c>
      <c r="N8" s="17" t="s">
        <v>20</v>
      </c>
      <c r="O8" s="18" t="s">
        <v>21</v>
      </c>
      <c r="P8" s="19" t="s">
        <v>23</v>
      </c>
      <c r="Q8" s="16" t="s">
        <v>24</v>
      </c>
      <c r="R8" s="16" t="s">
        <v>25</v>
      </c>
      <c r="S8" s="16" t="s">
        <v>26</v>
      </c>
    </row>
    <row r="9" spans="1:19" x14ac:dyDescent="0.25">
      <c r="A9" s="20">
        <v>43738</v>
      </c>
      <c r="B9" s="21">
        <v>0.18</v>
      </c>
      <c r="C9" s="22">
        <v>18</v>
      </c>
      <c r="D9" s="22">
        <v>40</v>
      </c>
      <c r="E9" s="23">
        <v>82.5</v>
      </c>
      <c r="F9" s="24">
        <v>9540</v>
      </c>
      <c r="G9" s="25">
        <v>48</v>
      </c>
      <c r="H9" s="26">
        <f>E9/C9</f>
        <v>4.583333333333333</v>
      </c>
      <c r="I9" s="27">
        <f>F9/C9</f>
        <v>530</v>
      </c>
      <c r="J9" s="28">
        <f>G9/C9</f>
        <v>2.6666666666666665</v>
      </c>
      <c r="K9" s="26">
        <f t="shared" ref="K9:K40" si="0">$F$2*E9</f>
        <v>709.5</v>
      </c>
      <c r="L9" s="24">
        <f t="shared" ref="L9:L40" si="1">$H$2*F9</f>
        <v>6201</v>
      </c>
      <c r="M9" s="28">
        <f t="shared" ref="M9:M40" si="2">$J$2*G9*0.51</f>
        <v>367.2</v>
      </c>
      <c r="N9" s="26">
        <f>K9/D9</f>
        <v>17.737500000000001</v>
      </c>
      <c r="O9" s="27">
        <f>L9/D9</f>
        <v>155.02500000000001</v>
      </c>
      <c r="P9" s="28">
        <f>M9/D9</f>
        <v>9.18</v>
      </c>
      <c r="Q9" s="22">
        <v>26.9</v>
      </c>
      <c r="R9" s="22" t="s">
        <v>41</v>
      </c>
      <c r="S9" s="22"/>
    </row>
    <row r="10" spans="1:19" x14ac:dyDescent="0.25">
      <c r="A10" s="20">
        <v>43739</v>
      </c>
      <c r="B10" s="21">
        <v>0.24</v>
      </c>
      <c r="C10" s="22">
        <v>20</v>
      </c>
      <c r="D10" s="22">
        <v>44</v>
      </c>
      <c r="E10" s="23">
        <v>89.8</v>
      </c>
      <c r="F10" s="24">
        <v>10230</v>
      </c>
      <c r="G10" s="25">
        <v>48</v>
      </c>
      <c r="H10" s="26">
        <f t="shared" ref="H10:H40" si="3">E10/C10</f>
        <v>4.49</v>
      </c>
      <c r="I10" s="27">
        <f t="shared" ref="I10:I40" si="4">F10/C10</f>
        <v>511.5</v>
      </c>
      <c r="J10" s="28">
        <f t="shared" ref="J10:J40" si="5">G10/C10</f>
        <v>2.4</v>
      </c>
      <c r="K10" s="26">
        <f t="shared" si="0"/>
        <v>772.28</v>
      </c>
      <c r="L10" s="24">
        <f t="shared" si="1"/>
        <v>6649.5</v>
      </c>
      <c r="M10" s="28">
        <f t="shared" si="2"/>
        <v>367.2</v>
      </c>
      <c r="N10" s="26">
        <f t="shared" ref="N10:N40" si="6">K10/D10</f>
        <v>17.551818181818181</v>
      </c>
      <c r="O10" s="27">
        <f t="shared" ref="O10:O40" si="7">L10/D10</f>
        <v>151.125</v>
      </c>
      <c r="P10" s="28">
        <f t="shared" ref="P10:P40" si="8">M10/D10</f>
        <v>8.3454545454545457</v>
      </c>
      <c r="Q10" s="22">
        <v>26.8</v>
      </c>
      <c r="R10" s="22" t="s">
        <v>41</v>
      </c>
      <c r="S10" s="22"/>
    </row>
    <row r="11" spans="1:19" x14ac:dyDescent="0.25">
      <c r="A11" s="20">
        <v>43740</v>
      </c>
      <c r="B11" s="21">
        <v>0.23</v>
      </c>
      <c r="C11" s="22">
        <v>21</v>
      </c>
      <c r="D11" s="22">
        <v>45</v>
      </c>
      <c r="E11" s="23">
        <v>91.3</v>
      </c>
      <c r="F11" s="24">
        <v>10570</v>
      </c>
      <c r="G11" s="25">
        <v>48</v>
      </c>
      <c r="H11" s="26">
        <f t="shared" si="3"/>
        <v>4.3476190476190473</v>
      </c>
      <c r="I11" s="27">
        <f t="shared" si="4"/>
        <v>503.33333333333331</v>
      </c>
      <c r="J11" s="28">
        <f t="shared" si="5"/>
        <v>2.2857142857142856</v>
      </c>
      <c r="K11" s="26">
        <f t="shared" si="0"/>
        <v>785.18</v>
      </c>
      <c r="L11" s="24">
        <f t="shared" si="1"/>
        <v>6870.5</v>
      </c>
      <c r="M11" s="28">
        <f t="shared" si="2"/>
        <v>367.2</v>
      </c>
      <c r="N11" s="26">
        <f t="shared" si="6"/>
        <v>17.448444444444444</v>
      </c>
      <c r="O11" s="27">
        <f t="shared" si="7"/>
        <v>152.67777777777778</v>
      </c>
      <c r="P11" s="28">
        <f t="shared" si="8"/>
        <v>8.16</v>
      </c>
      <c r="Q11" s="22">
        <v>26.5</v>
      </c>
      <c r="R11" s="22" t="s">
        <v>42</v>
      </c>
      <c r="S11" s="22"/>
    </row>
    <row r="12" spans="1:19" x14ac:dyDescent="0.25">
      <c r="A12" s="20">
        <v>43741</v>
      </c>
      <c r="B12" s="21">
        <v>0.23</v>
      </c>
      <c r="C12" s="22">
        <v>21</v>
      </c>
      <c r="D12" s="22">
        <v>45</v>
      </c>
      <c r="E12" s="23">
        <v>62.3</v>
      </c>
      <c r="F12" s="24">
        <v>10190</v>
      </c>
      <c r="G12" s="25">
        <v>52</v>
      </c>
      <c r="H12" s="26">
        <f t="shared" si="3"/>
        <v>2.9666666666666663</v>
      </c>
      <c r="I12" s="27">
        <f t="shared" si="4"/>
        <v>485.23809523809524</v>
      </c>
      <c r="J12" s="28">
        <f t="shared" si="5"/>
        <v>2.4761904761904763</v>
      </c>
      <c r="K12" s="26">
        <f t="shared" si="0"/>
        <v>535.78</v>
      </c>
      <c r="L12" s="24">
        <f t="shared" si="1"/>
        <v>6623.5</v>
      </c>
      <c r="M12" s="28">
        <f t="shared" si="2"/>
        <v>397.8</v>
      </c>
      <c r="N12" s="26">
        <f t="shared" si="6"/>
        <v>11.906222222222222</v>
      </c>
      <c r="O12" s="27">
        <f t="shared" si="7"/>
        <v>147.1888888888889</v>
      </c>
      <c r="P12" s="28">
        <f t="shared" si="8"/>
        <v>8.84</v>
      </c>
      <c r="Q12" s="22">
        <v>26.8</v>
      </c>
      <c r="R12" s="22" t="s">
        <v>41</v>
      </c>
      <c r="S12" s="22"/>
    </row>
    <row r="13" spans="1:19" x14ac:dyDescent="0.25">
      <c r="A13" s="20">
        <v>43742</v>
      </c>
      <c r="B13" s="21">
        <v>0.2</v>
      </c>
      <c r="C13" s="22">
        <v>17</v>
      </c>
      <c r="D13" s="22">
        <v>40</v>
      </c>
      <c r="E13" s="23">
        <v>63.9</v>
      </c>
      <c r="F13" s="24">
        <v>10190</v>
      </c>
      <c r="G13" s="25">
        <v>52</v>
      </c>
      <c r="H13" s="26">
        <f t="shared" si="3"/>
        <v>3.7588235294117647</v>
      </c>
      <c r="I13" s="27">
        <f t="shared" si="4"/>
        <v>599.41176470588232</v>
      </c>
      <c r="J13" s="28">
        <f t="shared" si="5"/>
        <v>3.0588235294117645</v>
      </c>
      <c r="K13" s="26">
        <f t="shared" si="0"/>
        <v>549.54</v>
      </c>
      <c r="L13" s="24">
        <f t="shared" si="1"/>
        <v>6623.5</v>
      </c>
      <c r="M13" s="28">
        <f t="shared" si="2"/>
        <v>397.8</v>
      </c>
      <c r="N13" s="26">
        <f t="shared" si="6"/>
        <v>13.738499999999998</v>
      </c>
      <c r="O13" s="27">
        <f t="shared" si="7"/>
        <v>165.58750000000001</v>
      </c>
      <c r="P13" s="28">
        <f t="shared" si="8"/>
        <v>9.9450000000000003</v>
      </c>
      <c r="Q13" s="22">
        <v>26.5</v>
      </c>
      <c r="R13" s="22" t="s">
        <v>41</v>
      </c>
      <c r="S13" s="22"/>
    </row>
    <row r="14" spans="1:19" x14ac:dyDescent="0.25">
      <c r="A14" s="20">
        <v>43743</v>
      </c>
      <c r="B14" s="21">
        <v>0.17</v>
      </c>
      <c r="C14" s="22">
        <v>16</v>
      </c>
      <c r="D14" s="22">
        <v>36</v>
      </c>
      <c r="E14" s="23">
        <v>66.8</v>
      </c>
      <c r="F14" s="24">
        <v>9410</v>
      </c>
      <c r="G14" s="25">
        <v>52</v>
      </c>
      <c r="H14" s="26">
        <f t="shared" si="3"/>
        <v>4.1749999999999998</v>
      </c>
      <c r="I14" s="27">
        <f t="shared" si="4"/>
        <v>588.125</v>
      </c>
      <c r="J14" s="28">
        <f t="shared" si="5"/>
        <v>3.25</v>
      </c>
      <c r="K14" s="26">
        <f t="shared" si="0"/>
        <v>574.4799999999999</v>
      </c>
      <c r="L14" s="24">
        <f t="shared" si="1"/>
        <v>6116.5</v>
      </c>
      <c r="M14" s="28">
        <f t="shared" si="2"/>
        <v>397.8</v>
      </c>
      <c r="N14" s="26">
        <f t="shared" si="6"/>
        <v>15.957777777777775</v>
      </c>
      <c r="O14" s="27">
        <f t="shared" si="7"/>
        <v>169.90277777777777</v>
      </c>
      <c r="P14" s="28">
        <f t="shared" si="8"/>
        <v>11.05</v>
      </c>
      <c r="Q14" s="22">
        <v>26.2</v>
      </c>
      <c r="R14" s="22" t="s">
        <v>43</v>
      </c>
      <c r="S14" s="22"/>
    </row>
    <row r="15" spans="1:19" x14ac:dyDescent="0.25">
      <c r="A15" s="20">
        <v>43744</v>
      </c>
      <c r="B15" s="21">
        <v>0.18</v>
      </c>
      <c r="C15" s="22">
        <v>17</v>
      </c>
      <c r="D15" s="22">
        <v>36</v>
      </c>
      <c r="E15" s="23">
        <v>64.400000000000006</v>
      </c>
      <c r="F15" s="24">
        <v>9880</v>
      </c>
      <c r="G15" s="25">
        <v>48</v>
      </c>
      <c r="H15" s="26">
        <f t="shared" si="3"/>
        <v>3.7882352941176474</v>
      </c>
      <c r="I15" s="27">
        <f t="shared" si="4"/>
        <v>581.17647058823525</v>
      </c>
      <c r="J15" s="28">
        <f t="shared" si="5"/>
        <v>2.8235294117647061</v>
      </c>
      <c r="K15" s="26">
        <f t="shared" si="0"/>
        <v>553.84</v>
      </c>
      <c r="L15" s="24">
        <f t="shared" si="1"/>
        <v>6422</v>
      </c>
      <c r="M15" s="28">
        <f t="shared" si="2"/>
        <v>367.2</v>
      </c>
      <c r="N15" s="26">
        <f t="shared" si="6"/>
        <v>15.384444444444446</v>
      </c>
      <c r="O15" s="27">
        <f t="shared" si="7"/>
        <v>178.38888888888889</v>
      </c>
      <c r="P15" s="28">
        <f t="shared" si="8"/>
        <v>10.199999999999999</v>
      </c>
      <c r="Q15" s="22">
        <v>26.8</v>
      </c>
      <c r="R15" s="22" t="s">
        <v>41</v>
      </c>
      <c r="S15" s="22"/>
    </row>
    <row r="16" spans="1:19" x14ac:dyDescent="0.25">
      <c r="A16" s="20">
        <v>43745</v>
      </c>
      <c r="B16" s="21">
        <v>0.23</v>
      </c>
      <c r="C16" s="22">
        <v>24</v>
      </c>
      <c r="D16" s="22">
        <v>50</v>
      </c>
      <c r="E16" s="23">
        <v>72.599999999999994</v>
      </c>
      <c r="F16" s="24">
        <v>9510</v>
      </c>
      <c r="G16" s="25">
        <v>48</v>
      </c>
      <c r="H16" s="26">
        <f t="shared" si="3"/>
        <v>3.0249999999999999</v>
      </c>
      <c r="I16" s="27">
        <f t="shared" si="4"/>
        <v>396.25</v>
      </c>
      <c r="J16" s="28">
        <f t="shared" si="5"/>
        <v>2</v>
      </c>
      <c r="K16" s="26">
        <f t="shared" si="0"/>
        <v>624.3599999999999</v>
      </c>
      <c r="L16" s="24">
        <f t="shared" si="1"/>
        <v>6181.5</v>
      </c>
      <c r="M16" s="28">
        <f t="shared" si="2"/>
        <v>367.2</v>
      </c>
      <c r="N16" s="26">
        <f t="shared" si="6"/>
        <v>12.487199999999998</v>
      </c>
      <c r="O16" s="27">
        <f t="shared" si="7"/>
        <v>123.63</v>
      </c>
      <c r="P16" s="28">
        <f t="shared" si="8"/>
        <v>7.3439999999999994</v>
      </c>
      <c r="Q16" s="22">
        <v>26.8</v>
      </c>
      <c r="R16" s="22" t="s">
        <v>41</v>
      </c>
      <c r="S16" s="22"/>
    </row>
    <row r="17" spans="1:19" x14ac:dyDescent="0.25">
      <c r="A17" s="20">
        <v>43746</v>
      </c>
      <c r="B17" s="21">
        <v>0.25</v>
      </c>
      <c r="C17" s="22">
        <v>23</v>
      </c>
      <c r="D17" s="22">
        <v>51</v>
      </c>
      <c r="E17" s="23">
        <v>72.8</v>
      </c>
      <c r="F17" s="24">
        <v>10430</v>
      </c>
      <c r="G17" s="25">
        <v>48</v>
      </c>
      <c r="H17" s="26">
        <f t="shared" si="3"/>
        <v>3.1652173913043478</v>
      </c>
      <c r="I17" s="27">
        <f t="shared" si="4"/>
        <v>453.47826086956519</v>
      </c>
      <c r="J17" s="28">
        <f t="shared" si="5"/>
        <v>2.0869565217391304</v>
      </c>
      <c r="K17" s="26">
        <f t="shared" si="0"/>
        <v>626.07999999999993</v>
      </c>
      <c r="L17" s="24">
        <f t="shared" si="1"/>
        <v>6779.5</v>
      </c>
      <c r="M17" s="28">
        <f t="shared" si="2"/>
        <v>367.2</v>
      </c>
      <c r="N17" s="26">
        <f t="shared" si="6"/>
        <v>12.276078431372548</v>
      </c>
      <c r="O17" s="27">
        <f t="shared" si="7"/>
        <v>132.93137254901961</v>
      </c>
      <c r="P17" s="28">
        <f t="shared" si="8"/>
        <v>7.2</v>
      </c>
      <c r="Q17" s="22">
        <v>26.4</v>
      </c>
      <c r="R17" s="22" t="s">
        <v>42</v>
      </c>
      <c r="S17" s="22"/>
    </row>
    <row r="18" spans="1:19" x14ac:dyDescent="0.25">
      <c r="A18" s="20">
        <v>43747</v>
      </c>
      <c r="B18" s="21">
        <v>0.27</v>
      </c>
      <c r="C18" s="22">
        <v>24</v>
      </c>
      <c r="D18" s="22">
        <v>55</v>
      </c>
      <c r="E18" s="23">
        <v>66</v>
      </c>
      <c r="F18" s="24">
        <v>10540</v>
      </c>
      <c r="G18" s="25">
        <v>59</v>
      </c>
      <c r="H18" s="26">
        <f t="shared" si="3"/>
        <v>2.75</v>
      </c>
      <c r="I18" s="27">
        <f t="shared" si="4"/>
        <v>439.16666666666669</v>
      </c>
      <c r="J18" s="28">
        <f t="shared" si="5"/>
        <v>2.4583333333333335</v>
      </c>
      <c r="K18" s="26">
        <f t="shared" si="0"/>
        <v>567.6</v>
      </c>
      <c r="L18" s="24">
        <f t="shared" si="1"/>
        <v>6851</v>
      </c>
      <c r="M18" s="28">
        <f t="shared" si="2"/>
        <v>451.35</v>
      </c>
      <c r="N18" s="26">
        <f t="shared" si="6"/>
        <v>10.32</v>
      </c>
      <c r="O18" s="27">
        <f t="shared" si="7"/>
        <v>124.56363636363636</v>
      </c>
      <c r="P18" s="28">
        <f t="shared" si="8"/>
        <v>8.206363636363637</v>
      </c>
      <c r="Q18" s="22">
        <v>26.2</v>
      </c>
      <c r="R18" s="22" t="s">
        <v>41</v>
      </c>
      <c r="S18" s="22"/>
    </row>
    <row r="19" spans="1:19" x14ac:dyDescent="0.25">
      <c r="A19" s="20">
        <v>43748</v>
      </c>
      <c r="B19" s="21">
        <v>0.24</v>
      </c>
      <c r="C19" s="22">
        <v>22</v>
      </c>
      <c r="D19" s="22">
        <v>50</v>
      </c>
      <c r="E19" s="23">
        <v>66</v>
      </c>
      <c r="F19" s="24">
        <v>8880</v>
      </c>
      <c r="G19" s="25">
        <v>56</v>
      </c>
      <c r="H19" s="26">
        <f t="shared" si="3"/>
        <v>3</v>
      </c>
      <c r="I19" s="27">
        <f t="shared" si="4"/>
        <v>403.63636363636363</v>
      </c>
      <c r="J19" s="28">
        <f t="shared" si="5"/>
        <v>2.5454545454545454</v>
      </c>
      <c r="K19" s="26">
        <f t="shared" si="0"/>
        <v>567.6</v>
      </c>
      <c r="L19" s="24">
        <f t="shared" si="1"/>
        <v>5772</v>
      </c>
      <c r="M19" s="28">
        <f t="shared" si="2"/>
        <v>428.40000000000003</v>
      </c>
      <c r="N19" s="26">
        <f t="shared" si="6"/>
        <v>11.352</v>
      </c>
      <c r="O19" s="27">
        <f t="shared" si="7"/>
        <v>115.44</v>
      </c>
      <c r="P19" s="28">
        <f t="shared" si="8"/>
        <v>8.5680000000000014</v>
      </c>
      <c r="Q19" s="22" t="s">
        <v>44</v>
      </c>
      <c r="R19" s="22" t="s">
        <v>41</v>
      </c>
      <c r="S19" s="22"/>
    </row>
    <row r="20" spans="1:19" x14ac:dyDescent="0.25">
      <c r="A20" s="20">
        <v>43749</v>
      </c>
      <c r="B20" s="21">
        <v>0.18</v>
      </c>
      <c r="C20" s="22">
        <v>19</v>
      </c>
      <c r="D20" s="22">
        <v>40</v>
      </c>
      <c r="E20" s="23">
        <v>75</v>
      </c>
      <c r="F20" s="24">
        <v>9110</v>
      </c>
      <c r="G20" s="25">
        <v>48</v>
      </c>
      <c r="H20" s="26">
        <f t="shared" si="3"/>
        <v>3.9473684210526314</v>
      </c>
      <c r="I20" s="27">
        <f t="shared" si="4"/>
        <v>479.4736842105263</v>
      </c>
      <c r="J20" s="28">
        <f t="shared" si="5"/>
        <v>2.5263157894736841</v>
      </c>
      <c r="K20" s="26">
        <f t="shared" si="0"/>
        <v>645</v>
      </c>
      <c r="L20" s="24">
        <f t="shared" si="1"/>
        <v>5921.5</v>
      </c>
      <c r="M20" s="28">
        <f t="shared" si="2"/>
        <v>367.2</v>
      </c>
      <c r="N20" s="26">
        <f t="shared" si="6"/>
        <v>16.125</v>
      </c>
      <c r="O20" s="27">
        <f t="shared" si="7"/>
        <v>148.03749999999999</v>
      </c>
      <c r="P20" s="28">
        <f t="shared" si="8"/>
        <v>9.18</v>
      </c>
      <c r="Q20" s="22">
        <v>26.6</v>
      </c>
      <c r="R20" s="22" t="s">
        <v>41</v>
      </c>
      <c r="S20" s="22"/>
    </row>
    <row r="21" spans="1:19" x14ac:dyDescent="0.25">
      <c r="A21" s="20">
        <v>43750</v>
      </c>
      <c r="B21" s="21">
        <v>0.2</v>
      </c>
      <c r="C21" s="22">
        <v>20</v>
      </c>
      <c r="D21" s="22">
        <v>45</v>
      </c>
      <c r="E21" s="23">
        <v>69</v>
      </c>
      <c r="F21" s="24">
        <v>8810</v>
      </c>
      <c r="G21" s="25">
        <v>48</v>
      </c>
      <c r="H21" s="26">
        <f t="shared" si="3"/>
        <v>3.45</v>
      </c>
      <c r="I21" s="27">
        <f t="shared" si="4"/>
        <v>440.5</v>
      </c>
      <c r="J21" s="28">
        <f t="shared" si="5"/>
        <v>2.4</v>
      </c>
      <c r="K21" s="26">
        <f t="shared" si="0"/>
        <v>593.4</v>
      </c>
      <c r="L21" s="24">
        <f t="shared" si="1"/>
        <v>5726.5</v>
      </c>
      <c r="M21" s="28">
        <f t="shared" si="2"/>
        <v>367.2</v>
      </c>
      <c r="N21" s="26">
        <f t="shared" si="6"/>
        <v>13.186666666666666</v>
      </c>
      <c r="O21" s="27">
        <f t="shared" si="7"/>
        <v>127.25555555555556</v>
      </c>
      <c r="P21" s="28">
        <f t="shared" si="8"/>
        <v>8.16</v>
      </c>
      <c r="Q21" s="22">
        <v>26.3</v>
      </c>
      <c r="R21" s="22" t="s">
        <v>42</v>
      </c>
      <c r="S21" s="22"/>
    </row>
    <row r="22" spans="1:19" x14ac:dyDescent="0.25">
      <c r="A22" s="20">
        <v>43751</v>
      </c>
      <c r="B22" s="21">
        <v>0.3</v>
      </c>
      <c r="C22" s="22">
        <v>25</v>
      </c>
      <c r="D22" s="22">
        <v>57</v>
      </c>
      <c r="E22" s="23">
        <v>67.5</v>
      </c>
      <c r="F22" s="24">
        <v>9800</v>
      </c>
      <c r="G22" s="25">
        <v>52</v>
      </c>
      <c r="H22" s="26">
        <f t="shared" si="3"/>
        <v>2.7</v>
      </c>
      <c r="I22" s="27">
        <f t="shared" si="4"/>
        <v>392</v>
      </c>
      <c r="J22" s="28">
        <f t="shared" si="5"/>
        <v>2.08</v>
      </c>
      <c r="K22" s="26">
        <f t="shared" si="0"/>
        <v>580.5</v>
      </c>
      <c r="L22" s="24">
        <f t="shared" si="1"/>
        <v>6370</v>
      </c>
      <c r="M22" s="28">
        <f t="shared" si="2"/>
        <v>397.8</v>
      </c>
      <c r="N22" s="26">
        <f t="shared" si="6"/>
        <v>10.184210526315789</v>
      </c>
      <c r="O22" s="27">
        <f t="shared" si="7"/>
        <v>111.75438596491227</v>
      </c>
      <c r="P22" s="28">
        <f t="shared" si="8"/>
        <v>6.9789473684210526</v>
      </c>
      <c r="Q22" s="22">
        <v>26.8</v>
      </c>
      <c r="R22" s="22" t="s">
        <v>42</v>
      </c>
      <c r="S22" s="22"/>
    </row>
    <row r="23" spans="1:19" x14ac:dyDescent="0.25">
      <c r="A23" s="20">
        <v>43752</v>
      </c>
      <c r="B23" s="21">
        <v>0.3</v>
      </c>
      <c r="C23" s="22">
        <v>26</v>
      </c>
      <c r="D23" s="22">
        <v>61</v>
      </c>
      <c r="E23" s="23">
        <v>92.6</v>
      </c>
      <c r="F23" s="24">
        <v>10700</v>
      </c>
      <c r="G23" s="25">
        <v>67</v>
      </c>
      <c r="H23" s="26">
        <f t="shared" si="3"/>
        <v>3.5615384615384613</v>
      </c>
      <c r="I23" s="27">
        <f t="shared" si="4"/>
        <v>411.53846153846155</v>
      </c>
      <c r="J23" s="28">
        <f t="shared" si="5"/>
        <v>2.5769230769230771</v>
      </c>
      <c r="K23" s="26">
        <f t="shared" si="0"/>
        <v>796.3599999999999</v>
      </c>
      <c r="L23" s="24">
        <f t="shared" si="1"/>
        <v>6955</v>
      </c>
      <c r="M23" s="28">
        <f t="shared" si="2"/>
        <v>512.54999999999995</v>
      </c>
      <c r="N23" s="26">
        <f t="shared" si="6"/>
        <v>13.055081967213113</v>
      </c>
      <c r="O23" s="27">
        <f t="shared" si="7"/>
        <v>114.01639344262296</v>
      </c>
      <c r="P23" s="28">
        <f t="shared" si="8"/>
        <v>8.4024590163934416</v>
      </c>
      <c r="Q23" s="22">
        <v>25.8</v>
      </c>
      <c r="R23" s="22" t="s">
        <v>42</v>
      </c>
      <c r="S23" s="22"/>
    </row>
    <row r="24" spans="1:19" x14ac:dyDescent="0.25">
      <c r="A24" s="20">
        <v>43753</v>
      </c>
      <c r="B24" s="21">
        <v>0.32</v>
      </c>
      <c r="C24" s="22">
        <v>28</v>
      </c>
      <c r="D24" s="22">
        <v>66</v>
      </c>
      <c r="E24" s="23">
        <v>80.7</v>
      </c>
      <c r="F24" s="24">
        <v>10400</v>
      </c>
      <c r="G24" s="25">
        <v>48</v>
      </c>
      <c r="H24" s="26">
        <f t="shared" si="3"/>
        <v>2.8821428571428571</v>
      </c>
      <c r="I24" s="27">
        <f t="shared" si="4"/>
        <v>371.42857142857144</v>
      </c>
      <c r="J24" s="28">
        <f t="shared" si="5"/>
        <v>1.7142857142857142</v>
      </c>
      <c r="K24" s="26">
        <f t="shared" si="0"/>
        <v>694.02</v>
      </c>
      <c r="L24" s="24">
        <f t="shared" si="1"/>
        <v>6760</v>
      </c>
      <c r="M24" s="28">
        <f t="shared" si="2"/>
        <v>367.2</v>
      </c>
      <c r="N24" s="26">
        <f t="shared" si="6"/>
        <v>10.515454545454546</v>
      </c>
      <c r="O24" s="27">
        <f t="shared" si="7"/>
        <v>102.42424242424242</v>
      </c>
      <c r="P24" s="28">
        <f t="shared" si="8"/>
        <v>5.5636363636363635</v>
      </c>
      <c r="Q24" s="22">
        <v>26.7</v>
      </c>
      <c r="R24" s="22" t="s">
        <v>42</v>
      </c>
      <c r="S24" s="22"/>
    </row>
    <row r="25" spans="1:19" x14ac:dyDescent="0.25">
      <c r="A25" s="20">
        <v>43754</v>
      </c>
      <c r="B25" s="21">
        <v>0.37</v>
      </c>
      <c r="C25" s="22">
        <v>32</v>
      </c>
      <c r="D25" s="22">
        <v>74</v>
      </c>
      <c r="E25" s="23">
        <v>86.1</v>
      </c>
      <c r="F25" s="24">
        <v>10800</v>
      </c>
      <c r="G25" s="25">
        <v>52</v>
      </c>
      <c r="H25" s="26">
        <f t="shared" si="3"/>
        <v>2.6906249999999998</v>
      </c>
      <c r="I25" s="27">
        <f t="shared" si="4"/>
        <v>337.5</v>
      </c>
      <c r="J25" s="28">
        <f t="shared" si="5"/>
        <v>1.625</v>
      </c>
      <c r="K25" s="26">
        <f t="shared" si="0"/>
        <v>740.45999999999992</v>
      </c>
      <c r="L25" s="24">
        <f t="shared" si="1"/>
        <v>7020</v>
      </c>
      <c r="M25" s="28">
        <f t="shared" si="2"/>
        <v>397.8</v>
      </c>
      <c r="N25" s="26">
        <f t="shared" si="6"/>
        <v>10.006216216216215</v>
      </c>
      <c r="O25" s="27">
        <f t="shared" si="7"/>
        <v>94.86486486486487</v>
      </c>
      <c r="P25" s="28">
        <f t="shared" si="8"/>
        <v>5.3756756756756756</v>
      </c>
      <c r="Q25" s="22">
        <v>26.8</v>
      </c>
      <c r="R25" s="22" t="s">
        <v>42</v>
      </c>
      <c r="S25" s="22"/>
    </row>
    <row r="26" spans="1:19" x14ac:dyDescent="0.25">
      <c r="A26" s="20">
        <v>43755</v>
      </c>
      <c r="B26" s="21">
        <v>0.32</v>
      </c>
      <c r="C26" s="22">
        <v>28</v>
      </c>
      <c r="D26" s="22">
        <v>70</v>
      </c>
      <c r="E26" s="23">
        <v>97.1</v>
      </c>
      <c r="F26" s="24">
        <v>11610</v>
      </c>
      <c r="G26" s="25">
        <v>59</v>
      </c>
      <c r="H26" s="26">
        <f t="shared" si="3"/>
        <v>3.4678571428571425</v>
      </c>
      <c r="I26" s="27">
        <f t="shared" si="4"/>
        <v>414.64285714285717</v>
      </c>
      <c r="J26" s="28">
        <f t="shared" si="5"/>
        <v>2.1071428571428572</v>
      </c>
      <c r="K26" s="26">
        <f t="shared" si="0"/>
        <v>835.06</v>
      </c>
      <c r="L26" s="24">
        <f t="shared" si="1"/>
        <v>7546.5</v>
      </c>
      <c r="M26" s="28">
        <f t="shared" si="2"/>
        <v>451.35</v>
      </c>
      <c r="N26" s="26">
        <f t="shared" si="6"/>
        <v>11.92942857142857</v>
      </c>
      <c r="O26" s="27">
        <f t="shared" si="7"/>
        <v>107.80714285714286</v>
      </c>
      <c r="P26" s="28">
        <f t="shared" si="8"/>
        <v>6.447857142857143</v>
      </c>
      <c r="Q26" s="22">
        <v>26.8</v>
      </c>
      <c r="R26" s="22" t="s">
        <v>41</v>
      </c>
      <c r="S26" s="22"/>
    </row>
    <row r="27" spans="1:19" x14ac:dyDescent="0.25">
      <c r="A27" s="20">
        <v>43756</v>
      </c>
      <c r="B27" s="21" t="s">
        <v>40</v>
      </c>
      <c r="C27" s="22"/>
      <c r="D27" s="22"/>
      <c r="E27" s="23"/>
      <c r="F27" s="24"/>
      <c r="G27" s="25"/>
      <c r="H27" s="26" t="e">
        <f t="shared" si="3"/>
        <v>#DIV/0!</v>
      </c>
      <c r="I27" s="27" t="e">
        <f t="shared" si="4"/>
        <v>#DIV/0!</v>
      </c>
      <c r="J27" s="28" t="e">
        <f t="shared" si="5"/>
        <v>#DIV/0!</v>
      </c>
      <c r="K27" s="26">
        <f t="shared" si="0"/>
        <v>0</v>
      </c>
      <c r="L27" s="24">
        <f t="shared" si="1"/>
        <v>0</v>
      </c>
      <c r="M27" s="28">
        <f t="shared" si="2"/>
        <v>0</v>
      </c>
      <c r="N27" s="26" t="e">
        <f t="shared" si="6"/>
        <v>#DIV/0!</v>
      </c>
      <c r="O27" s="27" t="e">
        <f t="shared" si="7"/>
        <v>#DIV/0!</v>
      </c>
      <c r="P27" s="28" t="e">
        <f t="shared" si="8"/>
        <v>#DIV/0!</v>
      </c>
      <c r="Q27" s="22"/>
      <c r="R27" s="22"/>
      <c r="S27" s="22"/>
    </row>
    <row r="28" spans="1:19" x14ac:dyDescent="0.25">
      <c r="A28" s="20">
        <v>43757</v>
      </c>
      <c r="B28" s="21" t="s">
        <v>40</v>
      </c>
      <c r="C28" s="22"/>
      <c r="D28" s="22"/>
      <c r="E28" s="23"/>
      <c r="F28" s="24"/>
      <c r="G28" s="25"/>
      <c r="H28" s="26" t="e">
        <f t="shared" si="3"/>
        <v>#DIV/0!</v>
      </c>
      <c r="I28" s="27" t="e">
        <f t="shared" si="4"/>
        <v>#DIV/0!</v>
      </c>
      <c r="J28" s="28" t="e">
        <f t="shared" si="5"/>
        <v>#DIV/0!</v>
      </c>
      <c r="K28" s="26">
        <f t="shared" si="0"/>
        <v>0</v>
      </c>
      <c r="L28" s="24">
        <f t="shared" si="1"/>
        <v>0</v>
      </c>
      <c r="M28" s="28">
        <f t="shared" si="2"/>
        <v>0</v>
      </c>
      <c r="N28" s="26" t="e">
        <f t="shared" si="6"/>
        <v>#DIV/0!</v>
      </c>
      <c r="O28" s="27" t="e">
        <f t="shared" si="7"/>
        <v>#DIV/0!</v>
      </c>
      <c r="P28" s="28" t="e">
        <f t="shared" si="8"/>
        <v>#DIV/0!</v>
      </c>
      <c r="Q28" s="22"/>
      <c r="R28" s="22"/>
      <c r="S28" s="22"/>
    </row>
    <row r="29" spans="1:19" x14ac:dyDescent="0.25">
      <c r="A29" s="20">
        <v>43758</v>
      </c>
      <c r="B29" s="21" t="s">
        <v>40</v>
      </c>
      <c r="C29" s="22"/>
      <c r="D29" s="22"/>
      <c r="E29" s="23"/>
      <c r="F29" s="24"/>
      <c r="G29" s="25"/>
      <c r="H29" s="26" t="e">
        <f t="shared" si="3"/>
        <v>#DIV/0!</v>
      </c>
      <c r="I29" s="27" t="e">
        <f t="shared" si="4"/>
        <v>#DIV/0!</v>
      </c>
      <c r="J29" s="28" t="e">
        <f t="shared" si="5"/>
        <v>#DIV/0!</v>
      </c>
      <c r="K29" s="26">
        <f t="shared" si="0"/>
        <v>0</v>
      </c>
      <c r="L29" s="24">
        <f t="shared" si="1"/>
        <v>0</v>
      </c>
      <c r="M29" s="28">
        <f t="shared" si="2"/>
        <v>0</v>
      </c>
      <c r="N29" s="26" t="e">
        <f t="shared" si="6"/>
        <v>#DIV/0!</v>
      </c>
      <c r="O29" s="27" t="e">
        <f t="shared" si="7"/>
        <v>#DIV/0!</v>
      </c>
      <c r="P29" s="28" t="e">
        <f t="shared" si="8"/>
        <v>#DIV/0!</v>
      </c>
      <c r="Q29" s="22"/>
      <c r="R29" s="22"/>
      <c r="S29" s="22"/>
    </row>
    <row r="30" spans="1:19" x14ac:dyDescent="0.25">
      <c r="A30" s="20">
        <v>43759</v>
      </c>
      <c r="B30" s="21" t="s">
        <v>40</v>
      </c>
      <c r="C30" s="22"/>
      <c r="D30" s="22"/>
      <c r="E30" s="23"/>
      <c r="F30" s="24"/>
      <c r="G30" s="25"/>
      <c r="H30" s="26" t="e">
        <f t="shared" si="3"/>
        <v>#DIV/0!</v>
      </c>
      <c r="I30" s="27">
        <v>297.10000000000002</v>
      </c>
      <c r="J30" s="28" t="e">
        <f t="shared" si="5"/>
        <v>#DIV/0!</v>
      </c>
      <c r="K30" s="26">
        <f t="shared" si="0"/>
        <v>0</v>
      </c>
      <c r="L30" s="24">
        <f t="shared" si="1"/>
        <v>0</v>
      </c>
      <c r="M30" s="28">
        <f t="shared" si="2"/>
        <v>0</v>
      </c>
      <c r="N30" s="26" t="e">
        <f t="shared" si="6"/>
        <v>#DIV/0!</v>
      </c>
      <c r="O30" s="27" t="e">
        <f t="shared" si="7"/>
        <v>#DIV/0!</v>
      </c>
      <c r="P30" s="28" t="e">
        <f t="shared" si="8"/>
        <v>#DIV/0!</v>
      </c>
      <c r="Q30" s="22"/>
      <c r="R30" s="22"/>
      <c r="S30" s="22"/>
    </row>
    <row r="31" spans="1:19" x14ac:dyDescent="0.25">
      <c r="A31" s="20">
        <v>43760</v>
      </c>
      <c r="B31" s="21" t="s">
        <v>40</v>
      </c>
      <c r="C31" s="22"/>
      <c r="D31" s="22"/>
      <c r="E31" s="23"/>
      <c r="F31" s="24"/>
      <c r="G31" s="25"/>
      <c r="H31" s="26" t="e">
        <f t="shared" si="3"/>
        <v>#DIV/0!</v>
      </c>
      <c r="I31" s="27">
        <v>424.07</v>
      </c>
      <c r="J31" s="28" t="e">
        <f t="shared" si="5"/>
        <v>#DIV/0!</v>
      </c>
      <c r="K31" s="26">
        <f t="shared" si="0"/>
        <v>0</v>
      </c>
      <c r="L31" s="24">
        <f t="shared" si="1"/>
        <v>0</v>
      </c>
      <c r="M31" s="28">
        <f t="shared" si="2"/>
        <v>0</v>
      </c>
      <c r="N31" s="26" t="e">
        <f t="shared" si="6"/>
        <v>#DIV/0!</v>
      </c>
      <c r="O31" s="27" t="e">
        <f t="shared" si="7"/>
        <v>#DIV/0!</v>
      </c>
      <c r="P31" s="28" t="e">
        <f t="shared" si="8"/>
        <v>#DIV/0!</v>
      </c>
      <c r="Q31" s="22"/>
      <c r="R31" s="22"/>
      <c r="S31" s="22"/>
    </row>
    <row r="32" spans="1:19" x14ac:dyDescent="0.25">
      <c r="A32" s="20">
        <v>43761</v>
      </c>
      <c r="B32" s="21" t="s">
        <v>40</v>
      </c>
      <c r="C32" s="22"/>
      <c r="D32" s="22"/>
      <c r="E32" s="23"/>
      <c r="F32" s="24"/>
      <c r="G32" s="25"/>
      <c r="H32" s="26" t="e">
        <f t="shared" si="3"/>
        <v>#DIV/0!</v>
      </c>
      <c r="I32" s="27" t="e">
        <f t="shared" si="4"/>
        <v>#DIV/0!</v>
      </c>
      <c r="J32" s="28" t="e">
        <f t="shared" si="5"/>
        <v>#DIV/0!</v>
      </c>
      <c r="K32" s="26">
        <f t="shared" si="0"/>
        <v>0</v>
      </c>
      <c r="L32" s="24">
        <f t="shared" si="1"/>
        <v>0</v>
      </c>
      <c r="M32" s="28">
        <f t="shared" si="2"/>
        <v>0</v>
      </c>
      <c r="N32" s="26" t="e">
        <f t="shared" si="6"/>
        <v>#DIV/0!</v>
      </c>
      <c r="O32" s="27" t="e">
        <f t="shared" si="7"/>
        <v>#DIV/0!</v>
      </c>
      <c r="P32" s="28" t="e">
        <f t="shared" si="8"/>
        <v>#DIV/0!</v>
      </c>
      <c r="Q32" s="22"/>
      <c r="R32" s="22"/>
      <c r="S32" s="22"/>
    </row>
    <row r="33" spans="1:19" x14ac:dyDescent="0.25">
      <c r="A33" s="20">
        <v>43762</v>
      </c>
      <c r="B33" s="21" t="s">
        <v>40</v>
      </c>
      <c r="C33" s="22"/>
      <c r="D33" s="22"/>
      <c r="E33" s="23"/>
      <c r="F33" s="24"/>
      <c r="G33" s="25"/>
      <c r="H33" s="26" t="e">
        <f t="shared" si="3"/>
        <v>#DIV/0!</v>
      </c>
      <c r="I33" s="27" t="e">
        <f t="shared" si="4"/>
        <v>#DIV/0!</v>
      </c>
      <c r="J33" s="28" t="e">
        <f t="shared" si="5"/>
        <v>#DIV/0!</v>
      </c>
      <c r="K33" s="26">
        <f t="shared" si="0"/>
        <v>0</v>
      </c>
      <c r="L33" s="24">
        <f t="shared" si="1"/>
        <v>0</v>
      </c>
      <c r="M33" s="28">
        <f t="shared" si="2"/>
        <v>0</v>
      </c>
      <c r="N33" s="26" t="e">
        <f t="shared" si="6"/>
        <v>#DIV/0!</v>
      </c>
      <c r="O33" s="27" t="e">
        <f t="shared" si="7"/>
        <v>#DIV/0!</v>
      </c>
      <c r="P33" s="28" t="e">
        <f t="shared" si="8"/>
        <v>#DIV/0!</v>
      </c>
      <c r="Q33" s="22"/>
      <c r="R33" s="22"/>
      <c r="S33" s="22"/>
    </row>
    <row r="34" spans="1:19" x14ac:dyDescent="0.25">
      <c r="A34" s="20">
        <v>43763</v>
      </c>
      <c r="B34" s="21" t="s">
        <v>40</v>
      </c>
      <c r="C34" s="22"/>
      <c r="D34" s="22"/>
      <c r="E34" s="23"/>
      <c r="F34" s="24"/>
      <c r="G34" s="25"/>
      <c r="H34" s="26" t="e">
        <f t="shared" si="3"/>
        <v>#DIV/0!</v>
      </c>
      <c r="I34" s="27" t="e">
        <f t="shared" si="4"/>
        <v>#DIV/0!</v>
      </c>
      <c r="J34" s="28" t="e">
        <f t="shared" si="5"/>
        <v>#DIV/0!</v>
      </c>
      <c r="K34" s="26">
        <f t="shared" si="0"/>
        <v>0</v>
      </c>
      <c r="L34" s="24">
        <f t="shared" si="1"/>
        <v>0</v>
      </c>
      <c r="M34" s="28">
        <f t="shared" si="2"/>
        <v>0</v>
      </c>
      <c r="N34" s="26" t="e">
        <f t="shared" si="6"/>
        <v>#DIV/0!</v>
      </c>
      <c r="O34" s="27" t="e">
        <f t="shared" si="7"/>
        <v>#DIV/0!</v>
      </c>
      <c r="P34" s="28" t="e">
        <f t="shared" si="8"/>
        <v>#DIV/0!</v>
      </c>
      <c r="Q34" s="22"/>
      <c r="R34" s="22"/>
      <c r="S34" s="22"/>
    </row>
    <row r="35" spans="1:19" x14ac:dyDescent="0.25">
      <c r="A35" s="20">
        <v>43764</v>
      </c>
      <c r="B35" s="21" t="s">
        <v>40</v>
      </c>
      <c r="C35" s="22"/>
      <c r="D35" s="22"/>
      <c r="E35" s="23"/>
      <c r="F35" s="24"/>
      <c r="G35" s="25"/>
      <c r="H35" s="26" t="e">
        <f t="shared" si="3"/>
        <v>#DIV/0!</v>
      </c>
      <c r="I35" s="27" t="e">
        <f t="shared" si="4"/>
        <v>#DIV/0!</v>
      </c>
      <c r="J35" s="28" t="e">
        <f t="shared" si="5"/>
        <v>#DIV/0!</v>
      </c>
      <c r="K35" s="26">
        <f t="shared" si="0"/>
        <v>0</v>
      </c>
      <c r="L35" s="24">
        <f t="shared" si="1"/>
        <v>0</v>
      </c>
      <c r="M35" s="28">
        <f t="shared" si="2"/>
        <v>0</v>
      </c>
      <c r="N35" s="26" t="e">
        <f t="shared" si="6"/>
        <v>#DIV/0!</v>
      </c>
      <c r="O35" s="27" t="e">
        <f t="shared" si="7"/>
        <v>#DIV/0!</v>
      </c>
      <c r="P35" s="28" t="e">
        <f t="shared" si="8"/>
        <v>#DIV/0!</v>
      </c>
      <c r="Q35" s="22"/>
      <c r="R35" s="22"/>
      <c r="S35" s="22"/>
    </row>
    <row r="36" spans="1:19" x14ac:dyDescent="0.25">
      <c r="A36" s="20">
        <v>43765</v>
      </c>
      <c r="B36" s="21" t="s">
        <v>40</v>
      </c>
      <c r="C36" s="22"/>
      <c r="D36" s="22"/>
      <c r="E36" s="23"/>
      <c r="F36" s="24"/>
      <c r="G36" s="25"/>
      <c r="H36" s="26" t="e">
        <f t="shared" si="3"/>
        <v>#DIV/0!</v>
      </c>
      <c r="I36" s="27" t="e">
        <f t="shared" si="4"/>
        <v>#DIV/0!</v>
      </c>
      <c r="J36" s="28" t="e">
        <f t="shared" si="5"/>
        <v>#DIV/0!</v>
      </c>
      <c r="K36" s="26">
        <f t="shared" si="0"/>
        <v>0</v>
      </c>
      <c r="L36" s="24">
        <f t="shared" si="1"/>
        <v>0</v>
      </c>
      <c r="M36" s="28">
        <f t="shared" si="2"/>
        <v>0</v>
      </c>
      <c r="N36" s="26" t="e">
        <f t="shared" si="6"/>
        <v>#DIV/0!</v>
      </c>
      <c r="O36" s="27" t="e">
        <f t="shared" si="7"/>
        <v>#DIV/0!</v>
      </c>
      <c r="P36" s="28" t="e">
        <f t="shared" si="8"/>
        <v>#DIV/0!</v>
      </c>
      <c r="Q36" s="22"/>
      <c r="R36" s="22"/>
      <c r="S36" s="22"/>
    </row>
    <row r="37" spans="1:19" x14ac:dyDescent="0.25">
      <c r="A37" s="20">
        <v>43766</v>
      </c>
      <c r="B37" s="21" t="s">
        <v>40</v>
      </c>
      <c r="C37" s="22"/>
      <c r="D37" s="22"/>
      <c r="E37" s="23"/>
      <c r="F37" s="24"/>
      <c r="G37" s="25"/>
      <c r="H37" s="26" t="e">
        <f t="shared" si="3"/>
        <v>#DIV/0!</v>
      </c>
      <c r="I37" s="27" t="e">
        <f t="shared" si="4"/>
        <v>#DIV/0!</v>
      </c>
      <c r="J37" s="28" t="e">
        <f t="shared" si="5"/>
        <v>#DIV/0!</v>
      </c>
      <c r="K37" s="26">
        <f t="shared" si="0"/>
        <v>0</v>
      </c>
      <c r="L37" s="24">
        <f t="shared" si="1"/>
        <v>0</v>
      </c>
      <c r="M37" s="28">
        <f t="shared" si="2"/>
        <v>0</v>
      </c>
      <c r="N37" s="26" t="e">
        <f t="shared" si="6"/>
        <v>#DIV/0!</v>
      </c>
      <c r="O37" s="27" t="e">
        <f t="shared" si="7"/>
        <v>#DIV/0!</v>
      </c>
      <c r="P37" s="28" t="e">
        <f t="shared" si="8"/>
        <v>#DIV/0!</v>
      </c>
      <c r="Q37" s="22"/>
      <c r="R37" s="22"/>
      <c r="S37" s="22"/>
    </row>
    <row r="38" spans="1:19" x14ac:dyDescent="0.25">
      <c r="A38" s="20">
        <v>43767</v>
      </c>
      <c r="B38" s="21" t="s">
        <v>40</v>
      </c>
      <c r="C38" s="22"/>
      <c r="D38" s="22"/>
      <c r="E38" s="23"/>
      <c r="F38" s="24"/>
      <c r="G38" s="25"/>
      <c r="H38" s="26" t="e">
        <f t="shared" si="3"/>
        <v>#DIV/0!</v>
      </c>
      <c r="I38" s="27" t="e">
        <f t="shared" si="4"/>
        <v>#DIV/0!</v>
      </c>
      <c r="J38" s="28" t="e">
        <f t="shared" si="5"/>
        <v>#DIV/0!</v>
      </c>
      <c r="K38" s="26">
        <f t="shared" si="0"/>
        <v>0</v>
      </c>
      <c r="L38" s="24">
        <f t="shared" si="1"/>
        <v>0</v>
      </c>
      <c r="M38" s="28">
        <f t="shared" si="2"/>
        <v>0</v>
      </c>
      <c r="N38" s="26" t="e">
        <f t="shared" si="6"/>
        <v>#DIV/0!</v>
      </c>
      <c r="O38" s="27" t="e">
        <f t="shared" si="7"/>
        <v>#DIV/0!</v>
      </c>
      <c r="P38" s="28" t="e">
        <f t="shared" si="8"/>
        <v>#DIV/0!</v>
      </c>
      <c r="Q38" s="22"/>
      <c r="R38" s="22"/>
      <c r="S38" s="22"/>
    </row>
    <row r="39" spans="1:19" x14ac:dyDescent="0.25">
      <c r="A39" s="20">
        <v>43768</v>
      </c>
      <c r="B39" s="21" t="s">
        <v>40</v>
      </c>
      <c r="C39" s="22"/>
      <c r="D39" s="22"/>
      <c r="E39" s="23"/>
      <c r="F39" s="24"/>
      <c r="G39" s="25"/>
      <c r="H39" s="26" t="e">
        <f t="shared" si="3"/>
        <v>#DIV/0!</v>
      </c>
      <c r="I39" s="27" t="e">
        <f t="shared" si="4"/>
        <v>#DIV/0!</v>
      </c>
      <c r="J39" s="28" t="e">
        <f t="shared" si="5"/>
        <v>#DIV/0!</v>
      </c>
      <c r="K39" s="26">
        <f t="shared" si="0"/>
        <v>0</v>
      </c>
      <c r="L39" s="24">
        <f t="shared" si="1"/>
        <v>0</v>
      </c>
      <c r="M39" s="28">
        <f t="shared" si="2"/>
        <v>0</v>
      </c>
      <c r="N39" s="26" t="e">
        <f t="shared" si="6"/>
        <v>#DIV/0!</v>
      </c>
      <c r="O39" s="27" t="e">
        <f t="shared" si="7"/>
        <v>#DIV/0!</v>
      </c>
      <c r="P39" s="28" t="e">
        <f t="shared" si="8"/>
        <v>#DIV/0!</v>
      </c>
      <c r="Q39" s="22"/>
      <c r="R39" s="22"/>
      <c r="S39" s="22"/>
    </row>
    <row r="40" spans="1:19" x14ac:dyDescent="0.25">
      <c r="A40" s="20">
        <v>43769</v>
      </c>
      <c r="B40" s="21" t="s">
        <v>40</v>
      </c>
      <c r="C40" s="22"/>
      <c r="D40" s="22"/>
      <c r="E40" s="23"/>
      <c r="F40" s="24"/>
      <c r="G40" s="25"/>
      <c r="H40" s="26" t="e">
        <f t="shared" si="3"/>
        <v>#DIV/0!</v>
      </c>
      <c r="I40" s="27" t="e">
        <f t="shared" si="4"/>
        <v>#DIV/0!</v>
      </c>
      <c r="J40" s="28" t="e">
        <f t="shared" si="5"/>
        <v>#DIV/0!</v>
      </c>
      <c r="K40" s="26">
        <f t="shared" si="0"/>
        <v>0</v>
      </c>
      <c r="L40" s="24">
        <f t="shared" si="1"/>
        <v>0</v>
      </c>
      <c r="M40" s="28">
        <f t="shared" si="2"/>
        <v>0</v>
      </c>
      <c r="N40" s="26" t="e">
        <f t="shared" si="6"/>
        <v>#DIV/0!</v>
      </c>
      <c r="O40" s="27" t="e">
        <f t="shared" si="7"/>
        <v>#DIV/0!</v>
      </c>
      <c r="P40" s="28" t="e">
        <f t="shared" si="8"/>
        <v>#DIV/0!</v>
      </c>
      <c r="Q40" s="22"/>
      <c r="R40" s="22"/>
      <c r="S40" s="22"/>
    </row>
  </sheetData>
  <mergeCells count="7">
    <mergeCell ref="Q7:S7"/>
    <mergeCell ref="A7:A8"/>
    <mergeCell ref="B7:D7"/>
    <mergeCell ref="E7:G7"/>
    <mergeCell ref="H7:J7"/>
    <mergeCell ref="K7:M7"/>
    <mergeCell ref="N7:P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HEP</vt:lpstr>
      <vt:lpstr>FS Desroches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2019-10-18T00:44:10Z</dcterms:modified>
</cp:coreProperties>
</file>