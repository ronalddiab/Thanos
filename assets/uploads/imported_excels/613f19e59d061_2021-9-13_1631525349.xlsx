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A9D801C3-C4B8-4BA8-A03F-E7C399DA3383}" xr6:coauthVersionLast="47" xr6:coauthVersionMax="47" xr10:uidLastSave="{00000000-0000-0000-0000-000000000000}"/>
  <bookViews>
    <workbookView xWindow="-120" yWindow="-120" windowWidth="20730" windowHeight="11760" firstSheet="1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Mac" sheetId="7" r:id="rId6"/>
  </sheets>
  <externalReferences>
    <externalReference r:id="rId7"/>
  </externalReferences>
  <calcPr calcId="191028"/>
</workbook>
</file>

<file path=xl/calcChain.xml><?xml version="1.0" encoding="utf-8"?>
<calcChain xmlns="http://schemas.openxmlformats.org/spreadsheetml/2006/main">
  <c r="E4" i="10" l="1"/>
  <c r="L17" i="1" l="1"/>
  <c r="L18" i="1"/>
  <c r="O34" i="1" l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C4" i="1"/>
  <c r="L36" i="1" l="1"/>
  <c r="O36" i="1"/>
  <c r="A37" i="10"/>
  <c r="C12" i="1" l="1"/>
  <c r="C13" i="1"/>
  <c r="C14" i="1"/>
  <c r="C6" i="1" l="1"/>
  <c r="C7" i="1"/>
  <c r="C18" i="10"/>
  <c r="H17" i="7" l="1"/>
  <c r="H18" i="7"/>
  <c r="J35" i="10" l="1"/>
  <c r="I35" i="10"/>
  <c r="E33" i="10"/>
  <c r="C33" i="10"/>
  <c r="E32" i="10"/>
  <c r="C32" i="10"/>
  <c r="E31" i="10"/>
  <c r="C31" i="10"/>
  <c r="E30" i="10"/>
  <c r="C30" i="10"/>
  <c r="E29" i="10"/>
  <c r="C29" i="10"/>
  <c r="E28" i="10"/>
  <c r="C28" i="10"/>
  <c r="E27" i="10"/>
  <c r="C27" i="10"/>
  <c r="E26" i="10"/>
  <c r="C26" i="10"/>
  <c r="E25" i="10"/>
  <c r="C25" i="10"/>
  <c r="E24" i="10"/>
  <c r="C24" i="10"/>
  <c r="E23" i="10"/>
  <c r="C23" i="10"/>
  <c r="E22" i="10"/>
  <c r="C22" i="10"/>
  <c r="E21" i="10"/>
  <c r="C21" i="10"/>
  <c r="E20" i="10"/>
  <c r="C20" i="10"/>
  <c r="E19" i="10"/>
  <c r="C19" i="10"/>
  <c r="E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C4" i="10"/>
  <c r="J35" i="9"/>
  <c r="I35" i="9"/>
  <c r="J34" i="9"/>
  <c r="I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J35" i="8"/>
  <c r="I35" i="8"/>
  <c r="J34" i="8"/>
  <c r="I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A37" i="7"/>
  <c r="H34" i="7"/>
  <c r="H33" i="7"/>
  <c r="I33" i="7" s="1"/>
  <c r="H31" i="6" s="1"/>
  <c r="H32" i="7"/>
  <c r="I32" i="7" s="1"/>
  <c r="H30" i="6" s="1"/>
  <c r="H31" i="7"/>
  <c r="I31" i="7" s="1"/>
  <c r="H29" i="6" s="1"/>
  <c r="H30" i="7"/>
  <c r="I30" i="7" s="1"/>
  <c r="H28" i="6" s="1"/>
  <c r="H29" i="7"/>
  <c r="I29" i="7" s="1"/>
  <c r="H27" i="6" s="1"/>
  <c r="H28" i="7"/>
  <c r="I28" i="7" s="1"/>
  <c r="H26" i="6" s="1"/>
  <c r="H27" i="7"/>
  <c r="I27" i="7" s="1"/>
  <c r="H25" i="6" s="1"/>
  <c r="H26" i="7"/>
  <c r="I26" i="7" s="1"/>
  <c r="H24" i="6" s="1"/>
  <c r="H25" i="7"/>
  <c r="I25" i="7" s="1"/>
  <c r="H23" i="6" s="1"/>
  <c r="H24" i="7"/>
  <c r="I24" i="7" s="1"/>
  <c r="H22" i="6" s="1"/>
  <c r="H23" i="7"/>
  <c r="I23" i="7" s="1"/>
  <c r="H21" i="6" s="1"/>
  <c r="H22" i="7"/>
  <c r="I22" i="7" s="1"/>
  <c r="H20" i="6" s="1"/>
  <c r="H21" i="7"/>
  <c r="I21" i="7" s="1"/>
  <c r="H19" i="6" s="1"/>
  <c r="H20" i="7"/>
  <c r="I20" i="7" s="1"/>
  <c r="H18" i="6" s="1"/>
  <c r="H19" i="7"/>
  <c r="I19" i="7" s="1"/>
  <c r="H17" i="6" s="1"/>
  <c r="I18" i="7"/>
  <c r="H16" i="6" s="1"/>
  <c r="G16" i="6"/>
  <c r="I17" i="7"/>
  <c r="H15" i="6" s="1"/>
  <c r="H16" i="7"/>
  <c r="I16" i="7" s="1"/>
  <c r="H14" i="6" s="1"/>
  <c r="H15" i="7"/>
  <c r="I15" i="7" s="1"/>
  <c r="H13" i="6" s="1"/>
  <c r="H14" i="7"/>
  <c r="G12" i="6" s="1"/>
  <c r="H13" i="7"/>
  <c r="I13" i="7" s="1"/>
  <c r="H11" i="6" s="1"/>
  <c r="H12" i="7"/>
  <c r="I12" i="7" s="1"/>
  <c r="H10" i="6" s="1"/>
  <c r="H11" i="7"/>
  <c r="I11" i="7" s="1"/>
  <c r="H9" i="6" s="1"/>
  <c r="H10" i="7"/>
  <c r="G8" i="6" s="1"/>
  <c r="H9" i="7"/>
  <c r="I9" i="7" s="1"/>
  <c r="H7" i="6" s="1"/>
  <c r="H8" i="7"/>
  <c r="I8" i="7" s="1"/>
  <c r="H6" i="6" s="1"/>
  <c r="H7" i="7"/>
  <c r="I7" i="7" s="1"/>
  <c r="H5" i="6" s="1"/>
  <c r="H6" i="7"/>
  <c r="G4" i="6" s="1"/>
  <c r="H5" i="7"/>
  <c r="I5" i="7" s="1"/>
  <c r="H3" i="6" s="1"/>
  <c r="H4" i="7"/>
  <c r="G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H32" i="6" l="1"/>
  <c r="G32" i="6"/>
  <c r="G30" i="6"/>
  <c r="I17" i="8"/>
  <c r="I14" i="9"/>
  <c r="I18" i="9"/>
  <c r="I30" i="9"/>
  <c r="I32" i="10"/>
  <c r="I20" i="10"/>
  <c r="G27" i="6"/>
  <c r="I19" i="10"/>
  <c r="I27" i="10"/>
  <c r="J34" i="10"/>
  <c r="J33" i="10"/>
  <c r="I28" i="10"/>
  <c r="I8" i="10"/>
  <c r="I16" i="10"/>
  <c r="I16" i="9"/>
  <c r="I32" i="9"/>
  <c r="J33" i="9"/>
  <c r="I31" i="10"/>
  <c r="I31" i="8"/>
  <c r="J30" i="10"/>
  <c r="J29" i="10"/>
  <c r="J30" i="8"/>
  <c r="J29" i="8"/>
  <c r="I24" i="10"/>
  <c r="I23" i="10"/>
  <c r="I24" i="9"/>
  <c r="I22" i="9"/>
  <c r="I21" i="9"/>
  <c r="I20" i="9"/>
  <c r="J20" i="8"/>
  <c r="J24" i="8"/>
  <c r="J28" i="8"/>
  <c r="J32" i="8"/>
  <c r="I7" i="9"/>
  <c r="I23" i="9"/>
  <c r="G21" i="6"/>
  <c r="J31" i="9"/>
  <c r="G20" i="6"/>
  <c r="I21" i="8"/>
  <c r="I25" i="8"/>
  <c r="I33" i="8"/>
  <c r="J32" i="9"/>
  <c r="G14" i="6"/>
  <c r="I14" i="8"/>
  <c r="I18" i="8"/>
  <c r="I22" i="8"/>
  <c r="I26" i="8"/>
  <c r="I15" i="10"/>
  <c r="J19" i="8"/>
  <c r="J23" i="8"/>
  <c r="J27" i="8"/>
  <c r="J31" i="8"/>
  <c r="J30" i="9"/>
  <c r="I12" i="10"/>
  <c r="I11" i="10"/>
  <c r="I12" i="9"/>
  <c r="I10" i="9"/>
  <c r="J16" i="8"/>
  <c r="C37" i="8"/>
  <c r="J15" i="8"/>
  <c r="I13" i="8"/>
  <c r="J12" i="8"/>
  <c r="J11" i="8"/>
  <c r="I10" i="8"/>
  <c r="I9" i="8"/>
  <c r="J8" i="8"/>
  <c r="I7" i="10"/>
  <c r="I6" i="9"/>
  <c r="I5" i="9"/>
  <c r="I4" i="9"/>
  <c r="J7" i="8"/>
  <c r="I6" i="8"/>
  <c r="I5" i="8"/>
  <c r="G25" i="6"/>
  <c r="J6" i="8"/>
  <c r="J10" i="8"/>
  <c r="J14" i="8"/>
  <c r="J18" i="8"/>
  <c r="J22" i="8"/>
  <c r="J26" i="8"/>
  <c r="I32" i="8"/>
  <c r="J20" i="9"/>
  <c r="I6" i="10"/>
  <c r="I10" i="10"/>
  <c r="I14" i="10"/>
  <c r="I18" i="10"/>
  <c r="I22" i="10"/>
  <c r="I26" i="10"/>
  <c r="I30" i="10"/>
  <c r="I34" i="10"/>
  <c r="E32" i="6" s="1"/>
  <c r="F32" i="6" s="1"/>
  <c r="I29" i="8"/>
  <c r="J33" i="8"/>
  <c r="J14" i="9"/>
  <c r="I17" i="9"/>
  <c r="I28" i="9"/>
  <c r="J31" i="10"/>
  <c r="I14" i="7"/>
  <c r="H12" i="6" s="1"/>
  <c r="G31" i="6"/>
  <c r="I7" i="8"/>
  <c r="I11" i="8"/>
  <c r="I15" i="8"/>
  <c r="I19" i="8"/>
  <c r="I23" i="8"/>
  <c r="I30" i="8"/>
  <c r="J18" i="9"/>
  <c r="I29" i="9"/>
  <c r="I31" i="9"/>
  <c r="I33" i="9"/>
  <c r="J28" i="10"/>
  <c r="J32" i="10"/>
  <c r="C36" i="8"/>
  <c r="I27" i="8"/>
  <c r="G29" i="6"/>
  <c r="G13" i="6"/>
  <c r="E36" i="8"/>
  <c r="I8" i="8"/>
  <c r="I12" i="8"/>
  <c r="I16" i="8"/>
  <c r="I20" i="8"/>
  <c r="I24" i="8"/>
  <c r="I8" i="9"/>
  <c r="I10" i="7"/>
  <c r="H8" i="6" s="1"/>
  <c r="G28" i="6"/>
  <c r="J5" i="8"/>
  <c r="J9" i="8"/>
  <c r="J13" i="8"/>
  <c r="J17" i="8"/>
  <c r="J21" i="8"/>
  <c r="J25" i="8"/>
  <c r="I28" i="8"/>
  <c r="I5" i="10"/>
  <c r="I9" i="10"/>
  <c r="I13" i="10"/>
  <c r="I17" i="10"/>
  <c r="I21" i="10"/>
  <c r="I25" i="10"/>
  <c r="I29" i="10"/>
  <c r="I33" i="10"/>
  <c r="I4" i="10"/>
  <c r="J4" i="9"/>
  <c r="G17" i="6"/>
  <c r="G9" i="6"/>
  <c r="G26" i="6"/>
  <c r="G18" i="6"/>
  <c r="G10" i="6"/>
  <c r="I6" i="7"/>
  <c r="H4" i="6" s="1"/>
  <c r="G19" i="6"/>
  <c r="G11" i="6"/>
  <c r="G3" i="6"/>
  <c r="G5" i="6"/>
  <c r="G22" i="6"/>
  <c r="G6" i="6"/>
  <c r="H36" i="7"/>
  <c r="G23" i="6"/>
  <c r="G7" i="6"/>
  <c r="G24" i="6"/>
  <c r="J9" i="10"/>
  <c r="J17" i="10"/>
  <c r="J25" i="10"/>
  <c r="J4" i="10"/>
  <c r="J12" i="10"/>
  <c r="J20" i="10"/>
  <c r="J11" i="10"/>
  <c r="J23" i="10"/>
  <c r="J5" i="10"/>
  <c r="J13" i="10"/>
  <c r="J21" i="10"/>
  <c r="J8" i="10"/>
  <c r="J16" i="10"/>
  <c r="J24" i="10"/>
  <c r="J7" i="10"/>
  <c r="J15" i="10"/>
  <c r="J19" i="10"/>
  <c r="J6" i="10"/>
  <c r="J10" i="10"/>
  <c r="J14" i="10"/>
  <c r="J18" i="10"/>
  <c r="J22" i="10"/>
  <c r="J6" i="9"/>
  <c r="I9" i="9"/>
  <c r="J22" i="9"/>
  <c r="I25" i="9"/>
  <c r="J12" i="9"/>
  <c r="I15" i="9"/>
  <c r="J10" i="9"/>
  <c r="I19" i="9"/>
  <c r="I13" i="9"/>
  <c r="J8" i="9"/>
  <c r="I11" i="9"/>
  <c r="J24" i="9"/>
  <c r="J16" i="9"/>
  <c r="J29" i="9"/>
  <c r="J7" i="9"/>
  <c r="J11" i="9"/>
  <c r="J15" i="9"/>
  <c r="J17" i="9"/>
  <c r="J21" i="9"/>
  <c r="J25" i="9"/>
  <c r="J5" i="9"/>
  <c r="J9" i="9"/>
  <c r="J13" i="9"/>
  <c r="J19" i="9"/>
  <c r="J23" i="9"/>
  <c r="J28" i="9"/>
  <c r="J27" i="10"/>
  <c r="J26" i="10"/>
  <c r="E36" i="9"/>
  <c r="I26" i="9"/>
  <c r="I27" i="9"/>
  <c r="J26" i="9"/>
  <c r="J27" i="9"/>
  <c r="C36" i="9"/>
  <c r="J4" i="8"/>
  <c r="C36" i="10"/>
  <c r="I4" i="8"/>
  <c r="E36" i="10"/>
  <c r="I4" i="7"/>
  <c r="E4" i="1"/>
  <c r="C5" i="1"/>
  <c r="E5" i="1"/>
  <c r="E6" i="1"/>
  <c r="E7" i="1"/>
  <c r="C8" i="1"/>
  <c r="E8" i="1"/>
  <c r="C9" i="1"/>
  <c r="E9" i="1"/>
  <c r="C10" i="1"/>
  <c r="E10" i="1"/>
  <c r="C11" i="1"/>
  <c r="E11" i="1"/>
  <c r="E12" i="1"/>
  <c r="E13" i="1"/>
  <c r="E15" i="6" l="1"/>
  <c r="F15" i="6" s="1"/>
  <c r="E28" i="6"/>
  <c r="F28" i="6" s="1"/>
  <c r="E17" i="6"/>
  <c r="F17" i="6" s="1"/>
  <c r="E14" i="6"/>
  <c r="F14" i="6" s="1"/>
  <c r="E30" i="6"/>
  <c r="F30" i="6" s="1"/>
  <c r="E4" i="6"/>
  <c r="F4" i="6" s="1"/>
  <c r="E25" i="6"/>
  <c r="F25" i="6" s="1"/>
  <c r="E29" i="6"/>
  <c r="F29" i="6" s="1"/>
  <c r="E26" i="6"/>
  <c r="F26" i="6" s="1"/>
  <c r="E24" i="6"/>
  <c r="F24" i="6" s="1"/>
  <c r="E21" i="6"/>
  <c r="F21" i="6" s="1"/>
  <c r="E22" i="6"/>
  <c r="F22" i="6" s="1"/>
  <c r="E27" i="6"/>
  <c r="F27" i="6" s="1"/>
  <c r="E19" i="6"/>
  <c r="F19" i="6" s="1"/>
  <c r="E18" i="6"/>
  <c r="F18" i="6" s="1"/>
  <c r="E20" i="6"/>
  <c r="F20" i="6" s="1"/>
  <c r="E31" i="6"/>
  <c r="F31" i="6" s="1"/>
  <c r="E16" i="6"/>
  <c r="F16" i="6" s="1"/>
  <c r="E23" i="6"/>
  <c r="F23" i="6" s="1"/>
  <c r="E12" i="6"/>
  <c r="F12" i="6" s="1"/>
  <c r="E10" i="6"/>
  <c r="F10" i="6" s="1"/>
  <c r="E8" i="6"/>
  <c r="F8" i="6" s="1"/>
  <c r="E13" i="6"/>
  <c r="F13" i="6" s="1"/>
  <c r="E11" i="6"/>
  <c r="F11" i="6" s="1"/>
  <c r="E5" i="6"/>
  <c r="F5" i="6" s="1"/>
  <c r="E3" i="6"/>
  <c r="F3" i="6" s="1"/>
  <c r="I36" i="8"/>
  <c r="J36" i="8"/>
  <c r="E6" i="6"/>
  <c r="F6" i="6" s="1"/>
  <c r="E9" i="6"/>
  <c r="F9" i="6" s="1"/>
  <c r="E7" i="6"/>
  <c r="F7" i="6" s="1"/>
  <c r="E2" i="6"/>
  <c r="F2" i="6" s="1"/>
  <c r="I36" i="7"/>
  <c r="H2" i="6"/>
  <c r="I36" i="10"/>
  <c r="J36" i="9"/>
  <c r="I36" i="9"/>
  <c r="J36" i="10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I34" i="1" l="1"/>
  <c r="I26" i="1"/>
  <c r="I25" i="1"/>
  <c r="I22" i="1"/>
  <c r="I17" i="1"/>
  <c r="I14" i="1"/>
  <c r="I23" i="1"/>
  <c r="H15" i="1"/>
  <c r="I13" i="6" s="1"/>
  <c r="I24" i="1"/>
  <c r="I16" i="1"/>
  <c r="I33" i="1"/>
  <c r="I31" i="1"/>
  <c r="I30" i="1"/>
  <c r="I27" i="1"/>
  <c r="I19" i="1"/>
  <c r="I20" i="1"/>
  <c r="I21" i="1"/>
  <c r="I28" i="1"/>
  <c r="I29" i="1"/>
  <c r="I32" i="1"/>
  <c r="I18" i="1"/>
  <c r="H32" i="1"/>
  <c r="I30" i="6" s="1"/>
  <c r="H28" i="1"/>
  <c r="I26" i="6" s="1"/>
  <c r="H24" i="1"/>
  <c r="I22" i="6" s="1"/>
  <c r="H20" i="1"/>
  <c r="I18" i="6" s="1"/>
  <c r="H16" i="1"/>
  <c r="I14" i="6" s="1"/>
  <c r="H31" i="1"/>
  <c r="I29" i="6" s="1"/>
  <c r="H27" i="1"/>
  <c r="I25" i="6" s="1"/>
  <c r="H23" i="1"/>
  <c r="I21" i="6" s="1"/>
  <c r="H19" i="1"/>
  <c r="I17" i="6" s="1"/>
  <c r="H33" i="1"/>
  <c r="I31" i="6" s="1"/>
  <c r="H29" i="1"/>
  <c r="I27" i="6" s="1"/>
  <c r="H25" i="1"/>
  <c r="I23" i="6" s="1"/>
  <c r="H21" i="1"/>
  <c r="I19" i="6" s="1"/>
  <c r="H17" i="1"/>
  <c r="I15" i="6" s="1"/>
  <c r="I6" i="1"/>
  <c r="H6" i="1"/>
  <c r="I4" i="6" s="1"/>
  <c r="H4" i="1"/>
  <c r="I2" i="6" s="1"/>
  <c r="H34" i="1"/>
  <c r="I32" i="6" s="1"/>
  <c r="H30" i="1"/>
  <c r="I28" i="6" s="1"/>
  <c r="H26" i="1"/>
  <c r="I24" i="6" s="1"/>
  <c r="H22" i="1"/>
  <c r="I20" i="6" s="1"/>
  <c r="H18" i="1"/>
  <c r="I16" i="6" s="1"/>
  <c r="I4" i="1"/>
  <c r="H5" i="1"/>
  <c r="I3" i="6" s="1"/>
  <c r="I5" i="1"/>
  <c r="I10" i="1"/>
  <c r="H11" i="1"/>
  <c r="I9" i="6" s="1"/>
  <c r="I7" i="1"/>
  <c r="I12" i="1"/>
  <c r="I13" i="1"/>
  <c r="I15" i="1"/>
  <c r="H10" i="1"/>
  <c r="I8" i="6" s="1"/>
  <c r="H14" i="1"/>
  <c r="I12" i="6" s="1"/>
  <c r="H13" i="1"/>
  <c r="I11" i="6" s="1"/>
  <c r="H12" i="1"/>
  <c r="I10" i="6" s="1"/>
  <c r="I11" i="1"/>
  <c r="H9" i="1"/>
  <c r="I7" i="6" s="1"/>
  <c r="I8" i="1"/>
  <c r="H8" i="1"/>
  <c r="I6" i="6" s="1"/>
  <c r="C36" i="1"/>
  <c r="H7" i="1"/>
  <c r="I5" i="6" s="1"/>
  <c r="E36" i="1"/>
  <c r="J29" i="6" l="1"/>
  <c r="J21" i="6"/>
  <c r="J18" i="6"/>
  <c r="J17" i="6"/>
  <c r="J8" i="6"/>
  <c r="J4" i="6"/>
  <c r="J6" i="6"/>
  <c r="J31" i="6"/>
  <c r="J2" i="6"/>
  <c r="J30" i="6"/>
  <c r="J5" i="6"/>
  <c r="J32" i="6"/>
  <c r="J7" i="6"/>
  <c r="J19" i="6"/>
  <c r="J22" i="6"/>
  <c r="J10" i="6"/>
  <c r="J26" i="6"/>
  <c r="J11" i="6"/>
  <c r="J23" i="6"/>
  <c r="J13" i="6"/>
  <c r="J20" i="6"/>
  <c r="J9" i="6"/>
  <c r="J14" i="6"/>
  <c r="J27" i="6"/>
  <c r="J16" i="6"/>
  <c r="J28" i="6"/>
  <c r="J15" i="6"/>
  <c r="J3" i="6"/>
  <c r="J12" i="6"/>
  <c r="J24" i="6"/>
  <c r="J25" i="6"/>
  <c r="I36" i="1"/>
  <c r="H36" i="1"/>
</calcChain>
</file>

<file path=xl/sharedStrings.xml><?xml version="1.0" encoding="utf-8"?>
<sst xmlns="http://schemas.openxmlformats.org/spreadsheetml/2006/main" count="272" uniqueCount="56">
  <si>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</si>
  <si>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</si>
  <si>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</si>
  <si>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</si>
  <si>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</si>
  <si>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</si>
  <si>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</si>
  <si>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</si>
  <si>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</si>
  <si>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</si>
  <si>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</si>
  <si>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</si>
  <si>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</si>
  <si>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</si>
  <si>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</si>
  <si>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</si>
  <si>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</si>
  <si>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</si>
  <si>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</si>
  <si>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</si>
  <si>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</si>
  <si>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</si>
  <si>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</si>
  <si>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</si>
  <si>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</si>
  <si>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</si>
  <si>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hot</t>
  </si>
  <si>
    <t>clear</t>
  </si>
  <si>
    <t>raining</t>
  </si>
  <si>
    <t>cloudy</t>
  </si>
  <si>
    <t>Total</t>
  </si>
  <si>
    <t>PLEASE MAKE SURE TO KEY IN THE OCCUPANCY AND WEATHER FOR THE DAY!</t>
  </si>
  <si>
    <t>Hot</t>
  </si>
  <si>
    <t>Cloudy</t>
  </si>
  <si>
    <t>f</t>
  </si>
  <si>
    <t>Rain</t>
  </si>
  <si>
    <t>Daily Water Consumption</t>
  </si>
  <si>
    <t>Meter Reading (Main)</t>
  </si>
  <si>
    <t>Consumption</t>
  </si>
  <si>
    <t>Meter Reading Landscape</t>
  </si>
  <si>
    <t>NORTH</t>
  </si>
  <si>
    <t>TOTAL</t>
  </si>
  <si>
    <t>SOUTH</t>
  </si>
  <si>
    <t>(m3)</t>
  </si>
  <si>
    <t>HOT</t>
  </si>
  <si>
    <t>Daily Diesel Consumption</t>
  </si>
  <si>
    <t>BOILER</t>
  </si>
  <si>
    <t>TIME</t>
  </si>
  <si>
    <t>Meter Reading</t>
  </si>
  <si>
    <t>Lit/hr</t>
  </si>
  <si>
    <t>NO</t>
  </si>
  <si>
    <t>START</t>
  </si>
  <si>
    <t>STOP</t>
  </si>
  <si>
    <t>HRS</t>
  </si>
  <si>
    <t>(L)</t>
  </si>
  <si>
    <t>PLEASE MAKE SURE TO KEY IN THE OCCUPANCY FOR THE DAY!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</si>
</sst>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164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5" fontId="1" fillId="0" borderId="0" xfId="2" applyNumberFormat="1" applyAlignment="1">
      <alignment horizontal="center"/>
    </xf>
    <xf numFmtId="164" fontId="3" fillId="0" borderId="2" xfId="2" applyNumberFormat="1" applyFont="1" applyBorder="1"/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2" fillId="0" borderId="1" xfId="2" applyFont="1" applyFill="1" applyBorder="1" applyAlignment="1">
      <alignment horizontal="center"/>
    </xf>
    <xf numFmtId="165" fontId="2" fillId="0" borderId="1" xfId="2" applyNumberFormat="1" applyFont="1" applyFill="1" applyBorder="1" applyAlignment="1">
      <alignment horizontal="center"/>
    </xf>
    <xf numFmtId="165" fontId="2" fillId="0" borderId="0" xfId="2" applyNumberFormat="1" applyFont="1" applyFill="1" applyBorder="1" applyAlignment="1">
      <alignment horizontal="center"/>
    </xf>
    <xf numFmtId="0" fontId="1" fillId="0" borderId="0" xfId="2" applyFill="1"/>
    <xf numFmtId="164" fontId="1" fillId="0" borderId="2" xfId="2" applyNumberFormat="1" applyBorder="1"/>
    <xf numFmtId="164" fontId="1" fillId="0" borderId="2" xfId="2" applyNumberFormat="1" applyBorder="1" applyAlignment="1">
      <alignment horizontal="center"/>
    </xf>
    <xf numFmtId="0" fontId="1" fillId="0" borderId="1" xfId="2" applyFont="1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5" fontId="1" fillId="3" borderId="3" xfId="2" applyNumberFormat="1" applyFont="1" applyFill="1" applyBorder="1" applyAlignment="1" applyProtection="1">
      <alignment horizontal="center"/>
      <protection locked="0"/>
    </xf>
    <xf numFmtId="165" fontId="1" fillId="0" borderId="1" xfId="2" applyNumberFormat="1" applyFont="1" applyBorder="1" applyAlignment="1">
      <alignment horizontal="center"/>
    </xf>
    <xf numFmtId="165" fontId="1" fillId="3" borderId="1" xfId="2" applyNumberFormat="1" applyFont="1" applyFill="1" applyBorder="1" applyAlignment="1">
      <alignment horizontal="center"/>
    </xf>
    <xf numFmtId="165" fontId="1" fillId="0" borderId="1" xfId="2" applyNumberFormat="1" applyFill="1" applyBorder="1" applyAlignment="1" applyProtection="1">
      <alignment horizontal="center"/>
      <protection locked="0"/>
    </xf>
    <xf numFmtId="165" fontId="1" fillId="0" borderId="0" xfId="2" applyNumberFormat="1" applyFill="1" applyBorder="1" applyAlignment="1">
      <alignment horizontal="center"/>
    </xf>
    <xf numFmtId="0" fontId="1" fillId="0" borderId="1" xfId="2" applyBorder="1" applyAlignment="1">
      <alignment horizontal="center"/>
    </xf>
    <xf numFmtId="165" fontId="1" fillId="3" borderId="1" xfId="2" applyNumberFormat="1" applyFill="1" applyBorder="1" applyAlignment="1">
      <alignment horizontal="center"/>
    </xf>
    <xf numFmtId="165" fontId="1" fillId="3" borderId="3" xfId="2" applyNumberFormat="1" applyFill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165" fontId="1" fillId="0" borderId="1" xfId="2" applyNumberFormat="1" applyFont="1" applyFill="1" applyBorder="1" applyAlignment="1" applyProtection="1">
      <alignment horizontal="center"/>
      <protection locked="0"/>
    </xf>
    <xf numFmtId="165" fontId="1" fillId="4" borderId="1" xfId="2" applyNumberFormat="1" applyFont="1" applyFill="1" applyBorder="1" applyAlignment="1">
      <alignment horizontal="center"/>
    </xf>
    <xf numFmtId="39" fontId="1" fillId="4" borderId="1" xfId="1" applyNumberFormat="1" applyFont="1" applyFill="1" applyBorder="1" applyAlignment="1">
      <alignment horizontal="center"/>
    </xf>
    <xf numFmtId="165" fontId="1" fillId="4" borderId="1" xfId="2" applyNumberFormat="1" applyFont="1" applyFill="1" applyBorder="1" applyAlignment="1" applyProtection="1">
      <alignment horizontal="center"/>
      <protection locked="0"/>
    </xf>
    <xf numFmtId="165" fontId="1" fillId="4" borderId="1" xfId="2" applyNumberFormat="1" applyFill="1" applyBorder="1" applyAlignment="1" applyProtection="1">
      <alignment horizontal="center"/>
      <protection locked="0"/>
    </xf>
    <xf numFmtId="0" fontId="1" fillId="0" borderId="1" xfId="2" applyFont="1" applyFill="1" applyBorder="1" applyAlignment="1">
      <alignment horizontal="center"/>
    </xf>
    <xf numFmtId="39" fontId="1" fillId="0" borderId="1" xfId="1" applyNumberFormat="1" applyFont="1" applyFill="1" applyBorder="1" applyAlignment="1">
      <alignment horizontal="center"/>
    </xf>
    <xf numFmtId="0" fontId="1" fillId="0" borderId="1" xfId="2" applyFill="1" applyBorder="1" applyAlignment="1">
      <alignment horizontal="center"/>
    </xf>
    <xf numFmtId="39" fontId="0" fillId="0" borderId="1" xfId="1" applyNumberFormat="1" applyFont="1" applyFill="1" applyBorder="1" applyAlignment="1">
      <alignment horizontal="center"/>
    </xf>
    <xf numFmtId="0" fontId="1" fillId="4" borderId="1" xfId="2" applyFont="1" applyFill="1" applyBorder="1" applyAlignment="1">
      <alignment horizontal="center"/>
    </xf>
    <xf numFmtId="165" fontId="1" fillId="4" borderId="0" xfId="2" applyNumberFormat="1" applyFill="1" applyAlignment="1">
      <alignment horizontal="center"/>
    </xf>
    <xf numFmtId="165" fontId="1" fillId="4" borderId="0" xfId="2" applyNumberFormat="1" applyFill="1" applyBorder="1" applyAlignment="1">
      <alignment horizontal="center"/>
    </xf>
    <xf numFmtId="3" fontId="1" fillId="0" borderId="3" xfId="2" applyNumberFormat="1" applyFill="1" applyBorder="1" applyAlignment="1" applyProtection="1">
      <alignment horizontal="center"/>
      <protection locked="0"/>
    </xf>
    <xf numFmtId="0" fontId="1" fillId="0" borderId="1" xfId="2" applyFill="1" applyBorder="1" applyAlignment="1" applyProtection="1">
      <alignment horizontal="center"/>
      <protection locked="0"/>
    </xf>
    <xf numFmtId="165" fontId="1" fillId="0" borderId="0" xfId="2" applyNumberFormat="1" applyFill="1" applyBorder="1" applyAlignment="1" applyProtection="1">
      <alignment horizontal="center"/>
      <protection locked="0"/>
    </xf>
    <xf numFmtId="3" fontId="2" fillId="0" borderId="3" xfId="2" applyNumberFormat="1" applyFont="1" applyBorder="1" applyAlignment="1">
      <alignment horizontal="center"/>
    </xf>
    <xf numFmtId="0" fontId="1" fillId="0" borderId="1" xfId="2" applyFill="1" applyBorder="1"/>
    <xf numFmtId="165" fontId="2" fillId="0" borderId="1" xfId="2" applyNumberFormat="1" applyFont="1" applyBorder="1" applyAlignment="1">
      <alignment horizontal="center"/>
    </xf>
    <xf numFmtId="0" fontId="1" fillId="0" borderId="0" xfId="2" applyFill="1" applyBorder="1"/>
    <xf numFmtId="1" fontId="1" fillId="0" borderId="0" xfId="2" applyNumberFormat="1" applyAlignment="1">
      <alignment horizontal="center"/>
    </xf>
    <xf numFmtId="164" fontId="1" fillId="0" borderId="0" xfId="2" applyNumberFormat="1"/>
    <xf numFmtId="165" fontId="1" fillId="0" borderId="0" xfId="2" applyNumberFormat="1" applyFont="1" applyAlignment="1">
      <alignment horizontal="left"/>
    </xf>
    <xf numFmtId="165" fontId="2" fillId="0" borderId="0" xfId="2" applyNumberFormat="1" applyFont="1" applyAlignment="1">
      <alignment horizontal="center"/>
    </xf>
    <xf numFmtId="164" fontId="5" fillId="0" borderId="0" xfId="2" applyNumberFormat="1" applyFont="1"/>
    <xf numFmtId="164" fontId="3" fillId="0" borderId="1" xfId="2" applyNumberFormat="1" applyFont="1" applyBorder="1"/>
    <xf numFmtId="164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0" fontId="1" fillId="0" borderId="1" xfId="2" applyBorder="1"/>
    <xf numFmtId="164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0" fontId="6" fillId="2" borderId="1" xfId="2" applyFont="1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3" fontId="1" fillId="0" borderId="1" xfId="2" applyNumberFormat="1" applyBorder="1" applyAlignment="1" applyProtection="1">
      <alignment horizontal="center"/>
    </xf>
    <xf numFmtId="3" fontId="1" fillId="2" borderId="1" xfId="2" applyNumberFormat="1" applyFont="1" applyFill="1" applyBorder="1" applyAlignment="1" applyProtection="1">
      <alignment horizontal="center"/>
      <protection locked="0"/>
    </xf>
    <xf numFmtId="0" fontId="1" fillId="0" borderId="1" xfId="2" applyFill="1" applyBorder="1" applyProtection="1"/>
    <xf numFmtId="0" fontId="2" fillId="0" borderId="1" xfId="0" applyFont="1" applyBorder="1"/>
    <xf numFmtId="0" fontId="0" fillId="0" borderId="1" xfId="0" applyBorder="1" applyAlignment="1"/>
    <xf numFmtId="0" fontId="0" fillId="0" borderId="0" xfId="0" applyAlignment="1"/>
    <xf numFmtId="0" fontId="1" fillId="0" borderId="1" xfId="0" applyFont="1" applyBorder="1" applyAlignment="1"/>
    <xf numFmtId="0" fontId="0" fillId="0" borderId="4" xfId="0" applyFill="1" applyBorder="1"/>
    <xf numFmtId="3" fontId="0" fillId="0" borderId="1" xfId="0" applyNumberFormat="1" applyFill="1" applyBorder="1" applyAlignment="1" applyProtection="1">
      <alignment horizontal="center"/>
      <protection locked="0"/>
    </xf>
    <xf numFmtId="3" fontId="1" fillId="0" borderId="1" xfId="2" applyNumberFormat="1" applyFill="1" applyBorder="1" applyAlignment="1" applyProtection="1">
      <alignment horizontal="center"/>
      <protection locked="0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A2" workbookViewId="0">
      <selection activeCell="C2" sqref="C2:C32"/>
    </sheetView>
  </sheetViews>
  <sheetFormatPr defaultRowHeight="12.75" x14ac:dyDescent="0.2"/>
  <cols>
    <col min="1" max="1" width="12.7109375" style="25" bestFit="1" customWidth="1"/>
    <col min="2" max="4" width="9.140625" style="25"/>
    <col min="5" max="5" width="14.28515625" style="25" customWidth="1"/>
    <col min="6" max="6" width="12.140625" style="25" customWidth="1"/>
    <col min="7" max="7" width="9.140625" style="25"/>
    <col min="8" max="8" width="19.28515625" style="25" customWidth="1"/>
    <col min="9" max="9" width="13.5703125" style="25" customWidth="1"/>
    <col min="10" max="10" width="11.28515625" style="25" customWidth="1"/>
    <col min="11" max="16384" width="9.140625" style="25"/>
  </cols>
  <sheetData>
    <row r="1" spans="1:12" ht="60" x14ac:dyDescent="0.2">
      <c r="A1" s="20" t="s">
        <v>0</v>
      </c>
      <c r="B1" s="20" t="s">
        <v>1</v>
      </c>
      <c r="C1" s="21" t="s">
        <v>2</v>
      </c>
      <c r="D1" s="20" t="s">
        <v>3</v>
      </c>
      <c r="E1" s="22" t="s">
        <v>4</v>
      </c>
      <c r="F1" s="23" t="s">
        <v>5</v>
      </c>
      <c r="G1" s="22" t="s">
        <v>6</v>
      </c>
      <c r="H1" s="23" t="s">
        <v>7</v>
      </c>
      <c r="I1" s="22" t="s">
        <v>8</v>
      </c>
      <c r="J1" s="24" t="s">
        <v>9</v>
      </c>
      <c r="K1" s="22" t="s">
        <v>10</v>
      </c>
      <c r="L1" s="22" t="s">
        <v>11</v>
      </c>
    </row>
    <row r="2" spans="1:12" ht="15" x14ac:dyDescent="0.25">
      <c r="A2" s="26" t="s">
        <v>12</v>
      </c>
      <c r="B2" s="27">
        <v>1</v>
      </c>
      <c r="C2" s="28">
        <v>8</v>
      </c>
      <c r="D2" s="27">
        <v>2021</v>
      </c>
      <c r="E2" s="29">
        <f>'B16'!I4+'B16 ext'!I4+'B17'!I4</f>
        <v>5794</v>
      </c>
      <c r="F2" s="31">
        <f>('B16'!J4+'B16 ext'!J4+'B17'!J4)/TOTAL!E2</f>
        <v>0.2478645150155333</v>
      </c>
      <c r="G2" s="29">
        <f>'Diesel Reading Mac'!H4</f>
        <v>0</v>
      </c>
      <c r="H2" s="30" t="e">
        <f>'Diesel Reading Mac'!I4/'Diesel Reading Mac'!H4</f>
        <v>#DIV/0!</v>
      </c>
      <c r="I2" s="29">
        <f>'Water Reading'!H4</f>
        <v>631</v>
      </c>
      <c r="J2" s="31">
        <f>'Water Reading'!I4/'Water Reading'!H4</f>
        <v>1.35</v>
      </c>
      <c r="K2" s="29"/>
      <c r="L2" s="29"/>
    </row>
    <row r="3" spans="1:12" ht="15" x14ac:dyDescent="0.25">
      <c r="A3" s="26" t="s">
        <v>12</v>
      </c>
      <c r="B3" s="27">
        <f>B2+1</f>
        <v>2</v>
      </c>
      <c r="C3" s="28">
        <v>8</v>
      </c>
      <c r="D3" s="27">
        <v>2021</v>
      </c>
      <c r="E3" s="29">
        <f>'B16'!I5+'B16 ext'!I5+'B17'!I5</f>
        <v>5906</v>
      </c>
      <c r="F3" s="31">
        <f>('B16'!J5+'B16 ext'!J5+'B17'!J5)/TOTAL!E3</f>
        <v>0.2438142566881138</v>
      </c>
      <c r="G3" s="29">
        <f>'Diesel Reading Mac'!H5</f>
        <v>0</v>
      </c>
      <c r="H3" s="30" t="e">
        <f>'Diesel Reading Mac'!I5/'Diesel Reading Mac'!H5</f>
        <v>#DIV/0!</v>
      </c>
      <c r="I3" s="29">
        <f>'Water Reading'!H5</f>
        <v>547</v>
      </c>
      <c r="J3" s="31">
        <f>'Water Reading'!I5/'Water Reading'!H5</f>
        <v>1.35</v>
      </c>
      <c r="K3" s="29"/>
      <c r="L3" s="29"/>
    </row>
    <row r="4" spans="1:12" ht="15" x14ac:dyDescent="0.25">
      <c r="A4" s="26" t="s">
        <v>12</v>
      </c>
      <c r="B4" s="27">
        <f t="shared" ref="B4:B32" si="0">B3+1</f>
        <v>3</v>
      </c>
      <c r="C4" s="28">
        <v>8</v>
      </c>
      <c r="D4" s="27">
        <v>2021</v>
      </c>
      <c r="E4" s="29">
        <f>'B16'!I6+'B16 ext'!I6+'B17'!I6</f>
        <v>5357</v>
      </c>
      <c r="F4" s="31">
        <f>('B16'!J6+'B16 ext'!J6+'B17'!J6)/TOTAL!E4</f>
        <v>0.24384450252006723</v>
      </c>
      <c r="G4" s="29">
        <f>'Diesel Reading Mac'!H6</f>
        <v>0</v>
      </c>
      <c r="H4" s="30" t="e">
        <f>'Diesel Reading Mac'!I6/'Diesel Reading Mac'!H6</f>
        <v>#DIV/0!</v>
      </c>
      <c r="I4" s="29">
        <f>'Water Reading'!H6</f>
        <v>338</v>
      </c>
      <c r="J4" s="31">
        <f>'Water Reading'!I6/'Water Reading'!H6</f>
        <v>1.35</v>
      </c>
      <c r="K4" s="29"/>
      <c r="L4" s="29"/>
    </row>
    <row r="5" spans="1:12" ht="15" x14ac:dyDescent="0.25">
      <c r="A5" s="26" t="s">
        <v>12</v>
      </c>
      <c r="B5" s="27">
        <f t="shared" si="0"/>
        <v>4</v>
      </c>
      <c r="C5" s="28">
        <v>8</v>
      </c>
      <c r="D5" s="27">
        <v>2021</v>
      </c>
      <c r="E5" s="29">
        <f>'B16'!I7+'B16 ext'!I7+'B17'!I7</f>
        <v>5716</v>
      </c>
      <c r="F5" s="31">
        <f>('B16'!J7+'B16 ext'!J7+'B17'!J7)/TOTAL!E5</f>
        <v>0.24533607417774667</v>
      </c>
      <c r="G5" s="29">
        <f>'Diesel Reading Mac'!H7</f>
        <v>0</v>
      </c>
      <c r="H5" s="30" t="e">
        <f>'Diesel Reading Mac'!I7/'Diesel Reading Mac'!H7</f>
        <v>#DIV/0!</v>
      </c>
      <c r="I5" s="29">
        <f>'Water Reading'!H7</f>
        <v>312</v>
      </c>
      <c r="J5" s="31">
        <f>'Water Reading'!I7/'Water Reading'!H7</f>
        <v>1.35</v>
      </c>
      <c r="K5" s="29"/>
      <c r="L5" s="29"/>
    </row>
    <row r="6" spans="1:12" ht="15" x14ac:dyDescent="0.25">
      <c r="A6" s="26" t="s">
        <v>12</v>
      </c>
      <c r="B6" s="27">
        <f t="shared" si="0"/>
        <v>5</v>
      </c>
      <c r="C6" s="28">
        <v>8</v>
      </c>
      <c r="D6" s="27">
        <v>2021</v>
      </c>
      <c r="E6" s="29">
        <f>'B16'!I8+'B16 ext'!I8+'B17'!I8</f>
        <v>5457</v>
      </c>
      <c r="F6" s="31">
        <f>('B16'!J8+'B16 ext'!J8+'B17'!J8)/TOTAL!E6</f>
        <v>0.24835568993952722</v>
      </c>
      <c r="G6" s="29">
        <f>'Diesel Reading Mac'!H8</f>
        <v>0</v>
      </c>
      <c r="H6" s="30" t="e">
        <f>'Diesel Reading Mac'!I8/'Diesel Reading Mac'!H8</f>
        <v>#DIV/0!</v>
      </c>
      <c r="I6" s="29">
        <f>'Water Reading'!H8</f>
        <v>370</v>
      </c>
      <c r="J6" s="31">
        <f>'Water Reading'!I8/'Water Reading'!H8</f>
        <v>1.35</v>
      </c>
      <c r="K6" s="29"/>
      <c r="L6" s="29"/>
    </row>
    <row r="7" spans="1:12" ht="15" x14ac:dyDescent="0.25">
      <c r="A7" s="26" t="s">
        <v>12</v>
      </c>
      <c r="B7" s="27">
        <f t="shared" si="0"/>
        <v>6</v>
      </c>
      <c r="C7" s="28">
        <v>8</v>
      </c>
      <c r="D7" s="27">
        <v>2021</v>
      </c>
      <c r="E7" s="29">
        <f>'B16'!I9+'B16 ext'!I9+'B17'!I9</f>
        <v>5305</v>
      </c>
      <c r="F7" s="31">
        <f>('B16'!J9+'B16 ext'!J9+'B17'!J9)/TOTAL!E7</f>
        <v>0.24525296889726672</v>
      </c>
      <c r="G7" s="29">
        <f>'Diesel Reading Mac'!H9</f>
        <v>0</v>
      </c>
      <c r="H7" s="30" t="e">
        <f>'Diesel Reading Mac'!I9/'Diesel Reading Mac'!H9</f>
        <v>#DIV/0!</v>
      </c>
      <c r="I7" s="29">
        <f>'Water Reading'!H9</f>
        <v>247</v>
      </c>
      <c r="J7" s="31">
        <f>'Water Reading'!I9/'Water Reading'!H9</f>
        <v>1.35</v>
      </c>
      <c r="K7" s="29"/>
      <c r="L7" s="29"/>
    </row>
    <row r="8" spans="1:12" ht="15" x14ac:dyDescent="0.25">
      <c r="A8" s="26" t="s">
        <v>12</v>
      </c>
      <c r="B8" s="27">
        <f t="shared" si="0"/>
        <v>7</v>
      </c>
      <c r="C8" s="28">
        <v>8</v>
      </c>
      <c r="D8" s="27">
        <v>2021</v>
      </c>
      <c r="E8" s="29">
        <f>'B16'!I10+'B16 ext'!I10+'B17'!I10</f>
        <v>5241</v>
      </c>
      <c r="F8" s="31">
        <f>('B16'!J10+'B16 ext'!J10+'B17'!J10)/TOTAL!E8</f>
        <v>0.24371436748712075</v>
      </c>
      <c r="G8" s="29">
        <f>'Diesel Reading Mac'!H10</f>
        <v>0</v>
      </c>
      <c r="H8" s="30" t="e">
        <f>'Diesel Reading Mac'!I10/'Diesel Reading Mac'!H10</f>
        <v>#DIV/0!</v>
      </c>
      <c r="I8" s="29">
        <f>'Water Reading'!H10</f>
        <v>219</v>
      </c>
      <c r="J8" s="31">
        <f>'Water Reading'!I10/'Water Reading'!H10</f>
        <v>1.35</v>
      </c>
      <c r="K8" s="29"/>
      <c r="L8" s="29"/>
    </row>
    <row r="9" spans="1:12" ht="15" x14ac:dyDescent="0.25">
      <c r="A9" s="26" t="s">
        <v>12</v>
      </c>
      <c r="B9" s="27">
        <f t="shared" si="0"/>
        <v>8</v>
      </c>
      <c r="C9" s="28">
        <v>8</v>
      </c>
      <c r="D9" s="27">
        <v>2021</v>
      </c>
      <c r="E9" s="29">
        <f>'B16'!I11+'B16 ext'!I11+'B17'!I11</f>
        <v>5244</v>
      </c>
      <c r="F9" s="31">
        <f>('B16'!J11+'B16 ext'!J11+'B17'!J11)/TOTAL!E9</f>
        <v>0.24390903890160182</v>
      </c>
      <c r="G9" s="29">
        <f>'Diesel Reading Mac'!H11</f>
        <v>0</v>
      </c>
      <c r="H9" s="30" t="e">
        <f>'Diesel Reading Mac'!I11/'Diesel Reading Mac'!H11</f>
        <v>#DIV/0!</v>
      </c>
      <c r="I9" s="29">
        <f>'Water Reading'!H11</f>
        <v>231</v>
      </c>
      <c r="J9" s="31">
        <f>'Water Reading'!I11/'Water Reading'!H11</f>
        <v>1.35</v>
      </c>
      <c r="K9" s="29"/>
      <c r="L9" s="29"/>
    </row>
    <row r="10" spans="1:12" ht="15" x14ac:dyDescent="0.25">
      <c r="A10" s="26" t="s">
        <v>12</v>
      </c>
      <c r="B10" s="27">
        <f t="shared" si="0"/>
        <v>9</v>
      </c>
      <c r="C10" s="28">
        <v>8</v>
      </c>
      <c r="D10" s="27">
        <v>2021</v>
      </c>
      <c r="E10" s="29">
        <f>'B16'!I12+'B16 ext'!I12+'B17'!I12</f>
        <v>5241</v>
      </c>
      <c r="F10" s="31">
        <f>('B16'!J12+'B16 ext'!J12+'B17'!J12)/TOTAL!E10</f>
        <v>0.24407441327990842</v>
      </c>
      <c r="G10" s="29">
        <f>'Diesel Reading Mac'!H12</f>
        <v>0</v>
      </c>
      <c r="H10" s="30" t="e">
        <f>'Diesel Reading Mac'!I12/'Diesel Reading Mac'!H12</f>
        <v>#DIV/0!</v>
      </c>
      <c r="I10" s="29">
        <f>'Water Reading'!H12</f>
        <v>168</v>
      </c>
      <c r="J10" s="31">
        <f>'Water Reading'!I12/'Water Reading'!H12</f>
        <v>1.35</v>
      </c>
      <c r="K10" s="29"/>
      <c r="L10" s="29"/>
    </row>
    <row r="11" spans="1:12" ht="15" x14ac:dyDescent="0.25">
      <c r="A11" s="26" t="s">
        <v>12</v>
      </c>
      <c r="B11" s="27">
        <f t="shared" si="0"/>
        <v>10</v>
      </c>
      <c r="C11" s="28">
        <v>8</v>
      </c>
      <c r="D11" s="27">
        <v>2021</v>
      </c>
      <c r="E11" s="29">
        <f>'B16'!I13+'B16 ext'!I13+'B17'!I13</f>
        <v>4931</v>
      </c>
      <c r="F11" s="31">
        <f>('B16'!J13+'B16 ext'!J13+'B17'!J13)/TOTAL!E11</f>
        <v>0.24223585479618737</v>
      </c>
      <c r="G11" s="29">
        <f>'Diesel Reading Mac'!H13</f>
        <v>0</v>
      </c>
      <c r="H11" s="30" t="e">
        <f>'Diesel Reading Mac'!I13/'Diesel Reading Mac'!H13</f>
        <v>#DIV/0!</v>
      </c>
      <c r="I11" s="29">
        <f>'Water Reading'!H13</f>
        <v>385</v>
      </c>
      <c r="J11" s="31">
        <f>'Water Reading'!I13/'Water Reading'!H13</f>
        <v>1.35</v>
      </c>
      <c r="K11" s="29"/>
      <c r="L11" s="29"/>
    </row>
    <row r="12" spans="1:12" ht="15" x14ac:dyDescent="0.25">
      <c r="A12" s="26" t="s">
        <v>12</v>
      </c>
      <c r="B12" s="27">
        <f t="shared" si="0"/>
        <v>11</v>
      </c>
      <c r="C12" s="28">
        <v>8</v>
      </c>
      <c r="D12" s="27">
        <v>2021</v>
      </c>
      <c r="E12" s="29">
        <f>'B16'!I14+'B16 ext'!I14+'B17'!I14</f>
        <v>5042</v>
      </c>
      <c r="F12" s="31">
        <f>('B16'!J14+'B16 ext'!J14+'B17'!J14)/TOTAL!E12</f>
        <v>0.24890122967076558</v>
      </c>
      <c r="G12" s="29">
        <f>'Diesel Reading Mac'!H14</f>
        <v>0</v>
      </c>
      <c r="H12" s="30" t="e">
        <f>'Diesel Reading Mac'!I14/'Diesel Reading Mac'!H14</f>
        <v>#DIV/0!</v>
      </c>
      <c r="I12" s="29">
        <f>'Water Reading'!H14</f>
        <v>283</v>
      </c>
      <c r="J12" s="31">
        <f>'Water Reading'!I14/'Water Reading'!H14</f>
        <v>1.35</v>
      </c>
      <c r="K12" s="29"/>
      <c r="L12" s="29"/>
    </row>
    <row r="13" spans="1:12" ht="15" x14ac:dyDescent="0.25">
      <c r="A13" s="26" t="s">
        <v>12</v>
      </c>
      <c r="B13" s="27">
        <f t="shared" si="0"/>
        <v>12</v>
      </c>
      <c r="C13" s="28">
        <v>8</v>
      </c>
      <c r="D13" s="27">
        <v>2021</v>
      </c>
      <c r="E13" s="29">
        <f>'B16'!I15+'B16 ext'!I15+'B17'!I15</f>
        <v>5901</v>
      </c>
      <c r="F13" s="31">
        <f>('B16'!J15+'B16 ext'!J15+'B17'!J15)/TOTAL!E13</f>
        <v>0.24390849008642604</v>
      </c>
      <c r="G13" s="29">
        <f>'Diesel Reading Mac'!H15</f>
        <v>0</v>
      </c>
      <c r="H13" s="30" t="e">
        <f>'Diesel Reading Mac'!I15/'Diesel Reading Mac'!H15</f>
        <v>#DIV/0!</v>
      </c>
      <c r="I13" s="29">
        <f>'Water Reading'!H15</f>
        <v>396</v>
      </c>
      <c r="J13" s="31">
        <f>'Water Reading'!I15/'Water Reading'!H15</f>
        <v>1.35</v>
      </c>
      <c r="K13" s="29"/>
      <c r="L13" s="29"/>
    </row>
    <row r="14" spans="1:12" ht="15" x14ac:dyDescent="0.25">
      <c r="A14" s="26" t="s">
        <v>12</v>
      </c>
      <c r="B14" s="27">
        <f t="shared" si="0"/>
        <v>13</v>
      </c>
      <c r="C14" s="28">
        <v>8</v>
      </c>
      <c r="D14" s="27">
        <v>2021</v>
      </c>
      <c r="E14" s="29">
        <f>'B16'!I16+'B16 ext'!I16+'B17'!I16</f>
        <v>5055</v>
      </c>
      <c r="F14" s="31">
        <f>('B16'!J16+'B16 ext'!J16+'B17'!J16)/TOTAL!E14</f>
        <v>0.24487359050445098</v>
      </c>
      <c r="G14" s="29">
        <f>'Diesel Reading Mac'!H16</f>
        <v>0</v>
      </c>
      <c r="H14" s="30" t="e">
        <f>'Diesel Reading Mac'!I16/'Diesel Reading Mac'!H16</f>
        <v>#DIV/0!</v>
      </c>
      <c r="I14" s="29">
        <f>'Water Reading'!H16</f>
        <v>320</v>
      </c>
      <c r="J14" s="31">
        <f>'Water Reading'!I16/'Water Reading'!H16</f>
        <v>1.35</v>
      </c>
      <c r="K14" s="29"/>
      <c r="L14" s="29"/>
    </row>
    <row r="15" spans="1:12" ht="15" x14ac:dyDescent="0.25">
      <c r="A15" s="26" t="s">
        <v>12</v>
      </c>
      <c r="B15" s="27">
        <f t="shared" si="0"/>
        <v>14</v>
      </c>
      <c r="C15" s="28">
        <v>8</v>
      </c>
      <c r="D15" s="27">
        <v>2021</v>
      </c>
      <c r="E15" s="29">
        <f>'B16'!I17+'B16 ext'!I17+'B17'!I17</f>
        <v>4580</v>
      </c>
      <c r="F15" s="31">
        <f>('B16'!J17+'B16 ext'!J17+'B17'!J17)/TOTAL!E15</f>
        <v>0.2438665938864629</v>
      </c>
      <c r="G15" s="29">
        <f>'Diesel Reading Mac'!H17</f>
        <v>0</v>
      </c>
      <c r="H15" s="30" t="e">
        <f>'Diesel Reading Mac'!I17/'Diesel Reading Mac'!H17</f>
        <v>#DIV/0!</v>
      </c>
      <c r="I15" s="29">
        <f>'Water Reading'!H17</f>
        <v>340</v>
      </c>
      <c r="J15" s="31">
        <f>'Water Reading'!I17/'Water Reading'!H17</f>
        <v>1.35</v>
      </c>
      <c r="K15" s="29"/>
      <c r="L15" s="29"/>
    </row>
    <row r="16" spans="1:12" ht="15" x14ac:dyDescent="0.25">
      <c r="A16" s="26" t="s">
        <v>12</v>
      </c>
      <c r="B16" s="27">
        <f t="shared" si="0"/>
        <v>15</v>
      </c>
      <c r="C16" s="28">
        <v>8</v>
      </c>
      <c r="D16" s="27">
        <v>2021</v>
      </c>
      <c r="E16" s="29">
        <f>'B16'!I18+'B16 ext'!I18+'B17'!I18</f>
        <v>4338</v>
      </c>
      <c r="F16" s="31">
        <f>('B16'!J18+'B16 ext'!J18+'B17'!J18)/TOTAL!E16</f>
        <v>0.24404011065006914</v>
      </c>
      <c r="G16" s="29">
        <f>'Diesel Reading Mac'!H18</f>
        <v>0</v>
      </c>
      <c r="H16" s="30" t="e">
        <f>'Diesel Reading Mac'!I18/'Diesel Reading Mac'!H18</f>
        <v>#DIV/0!</v>
      </c>
      <c r="I16" s="29">
        <f>'Water Reading'!H18</f>
        <v>380</v>
      </c>
      <c r="J16" s="31">
        <f>'Water Reading'!I18/'Water Reading'!H18</f>
        <v>1.35</v>
      </c>
      <c r="K16" s="29"/>
      <c r="L16" s="29"/>
    </row>
    <row r="17" spans="1:12" ht="15" x14ac:dyDescent="0.25">
      <c r="A17" s="26" t="s">
        <v>12</v>
      </c>
      <c r="B17" s="27">
        <f t="shared" si="0"/>
        <v>16</v>
      </c>
      <c r="C17" s="28">
        <v>8</v>
      </c>
      <c r="D17" s="27">
        <v>2021</v>
      </c>
      <c r="E17" s="29">
        <f>'B16'!I19+'B16 ext'!I19+'B17'!I19</f>
        <v>4584</v>
      </c>
      <c r="F17" s="31">
        <f>('B16'!J19+'B16 ext'!J19+'B17'!J19)/TOTAL!E17</f>
        <v>0.24286387434554968</v>
      </c>
      <c r="G17" s="29">
        <f>'Diesel Reading Mac'!H19</f>
        <v>0</v>
      </c>
      <c r="H17" s="30" t="e">
        <f>'Diesel Reading Mac'!I19/'Diesel Reading Mac'!H19</f>
        <v>#DIV/0!</v>
      </c>
      <c r="I17" s="29">
        <f>'Water Reading'!H19</f>
        <v>300</v>
      </c>
      <c r="J17" s="31">
        <f>'Water Reading'!I19/'Water Reading'!H19</f>
        <v>1.35</v>
      </c>
      <c r="K17" s="29"/>
      <c r="L17" s="29"/>
    </row>
    <row r="18" spans="1:12" ht="15" x14ac:dyDescent="0.25">
      <c r="A18" s="26" t="s">
        <v>12</v>
      </c>
      <c r="B18" s="27">
        <f t="shared" si="0"/>
        <v>17</v>
      </c>
      <c r="C18" s="28">
        <v>8</v>
      </c>
      <c r="D18" s="27">
        <v>2021</v>
      </c>
      <c r="E18" s="29">
        <f>'B16'!I20+'B16 ext'!I20+'B17'!I20</f>
        <v>4762</v>
      </c>
      <c r="F18" s="31">
        <f>('B16'!J20+'B16 ext'!J20+'B17'!J20)/TOTAL!E18</f>
        <v>0.24532024359512808</v>
      </c>
      <c r="G18" s="29">
        <f>'Diesel Reading Mac'!H20</f>
        <v>0</v>
      </c>
      <c r="H18" s="30" t="e">
        <f>'Diesel Reading Mac'!I20/'Diesel Reading Mac'!H20</f>
        <v>#DIV/0!</v>
      </c>
      <c r="I18" s="29">
        <f>'Water Reading'!H20</f>
        <v>399</v>
      </c>
      <c r="J18" s="31">
        <f>'Water Reading'!I20/'Water Reading'!H20</f>
        <v>1.3500000000000003</v>
      </c>
      <c r="K18" s="29"/>
      <c r="L18" s="29"/>
    </row>
    <row r="19" spans="1:12" ht="15" x14ac:dyDescent="0.25">
      <c r="A19" s="26" t="s">
        <v>12</v>
      </c>
      <c r="B19" s="27">
        <f t="shared" si="0"/>
        <v>18</v>
      </c>
      <c r="C19" s="28">
        <v>8</v>
      </c>
      <c r="D19" s="27">
        <v>2021</v>
      </c>
      <c r="E19" s="29">
        <f>'B16'!I21+'B16 ext'!I21+'B17'!I21</f>
        <v>4127</v>
      </c>
      <c r="F19" s="31">
        <f>('B16'!J21+'B16 ext'!J21+'B17'!J21)/TOTAL!E19</f>
        <v>0.24028640659074385</v>
      </c>
      <c r="G19" s="29">
        <f>'Diesel Reading Mac'!H21</f>
        <v>0</v>
      </c>
      <c r="H19" s="30" t="e">
        <f>'Diesel Reading Mac'!I21/'Diesel Reading Mac'!H21</f>
        <v>#DIV/0!</v>
      </c>
      <c r="I19" s="29">
        <f>'Water Reading'!H21</f>
        <v>275</v>
      </c>
      <c r="J19" s="31">
        <f>'Water Reading'!I21/'Water Reading'!H21</f>
        <v>1.35</v>
      </c>
      <c r="K19" s="29"/>
      <c r="L19" s="29"/>
    </row>
    <row r="20" spans="1:12" ht="15" x14ac:dyDescent="0.25">
      <c r="A20" s="26" t="s">
        <v>12</v>
      </c>
      <c r="B20" s="27">
        <f t="shared" si="0"/>
        <v>19</v>
      </c>
      <c r="C20" s="28">
        <v>8</v>
      </c>
      <c r="D20" s="27">
        <v>2021</v>
      </c>
      <c r="E20" s="29">
        <f>'B16'!I22+'B16 ext'!I22+'B17'!I22</f>
        <v>4849</v>
      </c>
      <c r="F20" s="31">
        <f>('B16'!J22+'B16 ext'!J22+'B17'!J22)/TOTAL!E20</f>
        <v>0.24812332439678281</v>
      </c>
      <c r="G20" s="29">
        <f>'Diesel Reading Mac'!H22</f>
        <v>0</v>
      </c>
      <c r="H20" s="30" t="e">
        <f>'Diesel Reading Mac'!I22/'Diesel Reading Mac'!H22</f>
        <v>#DIV/0!</v>
      </c>
      <c r="I20" s="29">
        <f>'Water Reading'!H22</f>
        <v>387</v>
      </c>
      <c r="J20" s="31">
        <f>'Water Reading'!I22/'Water Reading'!H22</f>
        <v>1.35</v>
      </c>
      <c r="K20" s="29"/>
      <c r="L20" s="29"/>
    </row>
    <row r="21" spans="1:12" ht="15" x14ac:dyDescent="0.25">
      <c r="A21" s="26" t="s">
        <v>12</v>
      </c>
      <c r="B21" s="27">
        <f t="shared" si="0"/>
        <v>20</v>
      </c>
      <c r="C21" s="28">
        <v>8</v>
      </c>
      <c r="D21" s="27">
        <v>2021</v>
      </c>
      <c r="E21" s="29">
        <f>'B16'!I23+'B16 ext'!I23+'B17'!I23</f>
        <v>3923</v>
      </c>
      <c r="F21" s="31">
        <f>('B16'!J23+'B16 ext'!J23+'B17'!J23)/TOTAL!E21</f>
        <v>0.23356105021667092</v>
      </c>
      <c r="G21" s="29">
        <f>'Diesel Reading Mac'!H23</f>
        <v>0</v>
      </c>
      <c r="H21" s="30" t="e">
        <f>'Diesel Reading Mac'!I23/'Diesel Reading Mac'!H23</f>
        <v>#DIV/0!</v>
      </c>
      <c r="I21" s="29">
        <f>'Water Reading'!H23</f>
        <v>362</v>
      </c>
      <c r="J21" s="31">
        <f>'Water Reading'!I23/'Water Reading'!H23</f>
        <v>1.35</v>
      </c>
      <c r="K21" s="29"/>
      <c r="L21" s="29"/>
    </row>
    <row r="22" spans="1:12" ht="15" x14ac:dyDescent="0.25">
      <c r="A22" s="26" t="s">
        <v>12</v>
      </c>
      <c r="B22" s="27">
        <f t="shared" si="0"/>
        <v>21</v>
      </c>
      <c r="C22" s="28">
        <v>8</v>
      </c>
      <c r="D22" s="27">
        <v>2021</v>
      </c>
      <c r="E22" s="29">
        <f>'B16'!I24+'B16 ext'!I24+'B17'!I24</f>
        <v>4856</v>
      </c>
      <c r="F22" s="31">
        <f>('B16'!J24+'B16 ext'!J24+'B17'!J24)/TOTAL!E22</f>
        <v>0.25602121087314661</v>
      </c>
      <c r="G22" s="29">
        <f>'Diesel Reading Mac'!H24</f>
        <v>0</v>
      </c>
      <c r="H22" s="30" t="e">
        <f>'Diesel Reading Mac'!I24/'Diesel Reading Mac'!H24</f>
        <v>#DIV/0!</v>
      </c>
      <c r="I22" s="29">
        <f>'Water Reading'!H24</f>
        <v>208</v>
      </c>
      <c r="J22" s="31">
        <f>'Water Reading'!I24/'Water Reading'!H24</f>
        <v>1.35</v>
      </c>
      <c r="K22" s="29"/>
      <c r="L22" s="29"/>
    </row>
    <row r="23" spans="1:12" ht="15" x14ac:dyDescent="0.25">
      <c r="A23" s="26" t="s">
        <v>12</v>
      </c>
      <c r="B23" s="27">
        <f t="shared" si="0"/>
        <v>22</v>
      </c>
      <c r="C23" s="28">
        <v>8</v>
      </c>
      <c r="D23" s="27">
        <v>2021</v>
      </c>
      <c r="E23" s="29">
        <f>'B16'!I25+'B16 ext'!I25+'B17'!I25</f>
        <v>4790</v>
      </c>
      <c r="F23" s="31">
        <f>('B16'!J25+'B16 ext'!J25+'B17'!J25)/TOTAL!E23</f>
        <v>0.24362317327766178</v>
      </c>
      <c r="G23" s="29">
        <f>'Diesel Reading Mac'!H25</f>
        <v>0</v>
      </c>
      <c r="H23" s="30" t="e">
        <f>'Diesel Reading Mac'!I25/'Diesel Reading Mac'!H25</f>
        <v>#DIV/0!</v>
      </c>
      <c r="I23" s="29">
        <f>'Water Reading'!H25</f>
        <v>143</v>
      </c>
      <c r="J23" s="31">
        <f>'Water Reading'!I25/'Water Reading'!H25</f>
        <v>1.35</v>
      </c>
      <c r="K23" s="29"/>
      <c r="L23" s="29"/>
    </row>
    <row r="24" spans="1:12" ht="15" x14ac:dyDescent="0.25">
      <c r="A24" s="26" t="s">
        <v>12</v>
      </c>
      <c r="B24" s="27">
        <f t="shared" si="0"/>
        <v>23</v>
      </c>
      <c r="C24" s="28">
        <v>8</v>
      </c>
      <c r="D24" s="27">
        <v>2021</v>
      </c>
      <c r="E24" s="29">
        <f>'B16'!I26+'B16 ext'!I26+'B17'!I26</f>
        <v>5084</v>
      </c>
      <c r="F24" s="31">
        <f>('B16'!J26+'B16 ext'!J26+'B17'!J26)/TOTAL!E24</f>
        <v>0.24612391817466558</v>
      </c>
      <c r="G24" s="29">
        <f>'Diesel Reading Mac'!H26</f>
        <v>0</v>
      </c>
      <c r="H24" s="30" t="e">
        <f>'Diesel Reading Mac'!I26/'Diesel Reading Mac'!H26</f>
        <v>#DIV/0!</v>
      </c>
      <c r="I24" s="29">
        <f>'Water Reading'!H26</f>
        <v>537</v>
      </c>
      <c r="J24" s="31">
        <f>'Water Reading'!I26/'Water Reading'!H26</f>
        <v>1.35</v>
      </c>
      <c r="K24" s="29"/>
      <c r="L24" s="29"/>
    </row>
    <row r="25" spans="1:12" ht="15" x14ac:dyDescent="0.25">
      <c r="A25" s="26" t="s">
        <v>12</v>
      </c>
      <c r="B25" s="27">
        <f t="shared" si="0"/>
        <v>24</v>
      </c>
      <c r="C25" s="28">
        <v>8</v>
      </c>
      <c r="D25" s="27">
        <v>2021</v>
      </c>
      <c r="E25" s="29">
        <f>'B16'!I27+'B16 ext'!I27+'B17'!I27</f>
        <v>4937</v>
      </c>
      <c r="F25" s="31">
        <f>('B16'!J27+'B16 ext'!J27+'B17'!J27)/TOTAL!E25</f>
        <v>0.24307838768482884</v>
      </c>
      <c r="G25" s="29">
        <f>'Diesel Reading Mac'!H27</f>
        <v>0</v>
      </c>
      <c r="H25" s="30" t="e">
        <f>'Diesel Reading Mac'!I27/'Diesel Reading Mac'!H27</f>
        <v>#DIV/0!</v>
      </c>
      <c r="I25" s="29">
        <f>'Water Reading'!H27</f>
        <v>263</v>
      </c>
      <c r="J25" s="31">
        <f>'Water Reading'!I27/'Water Reading'!H27</f>
        <v>1.35</v>
      </c>
      <c r="K25" s="29"/>
      <c r="L25" s="29"/>
    </row>
    <row r="26" spans="1:12" ht="15" x14ac:dyDescent="0.25">
      <c r="A26" s="26" t="s">
        <v>12</v>
      </c>
      <c r="B26" s="27">
        <f>B25+1</f>
        <v>25</v>
      </c>
      <c r="C26" s="28">
        <v>8</v>
      </c>
      <c r="D26" s="27">
        <v>2021</v>
      </c>
      <c r="E26" s="29">
        <f>'B16'!I28+'B16 ext'!I28+'B17'!I28</f>
        <v>5730</v>
      </c>
      <c r="F26" s="31">
        <f>('B16'!J28+'B16 ext'!J28+'B17'!J28)/TOTAL!E26</f>
        <v>0.24805549738219895</v>
      </c>
      <c r="G26" s="29">
        <f>'Diesel Reading Mac'!H28</f>
        <v>0</v>
      </c>
      <c r="H26" s="30" t="e">
        <f>'Diesel Reading Mac'!I28/'Diesel Reading Mac'!H28</f>
        <v>#DIV/0!</v>
      </c>
      <c r="I26" s="29">
        <f>'Water Reading'!H28</f>
        <v>461</v>
      </c>
      <c r="J26" s="31">
        <f>'Water Reading'!I28/'Water Reading'!H28</f>
        <v>1.35</v>
      </c>
      <c r="K26" s="29"/>
      <c r="L26" s="29"/>
    </row>
    <row r="27" spans="1:12" ht="15" x14ac:dyDescent="0.25">
      <c r="A27" s="26" t="s">
        <v>12</v>
      </c>
      <c r="B27" s="27">
        <f t="shared" si="0"/>
        <v>26</v>
      </c>
      <c r="C27" s="28">
        <v>8</v>
      </c>
      <c r="D27" s="27">
        <v>2021</v>
      </c>
      <c r="E27" s="29">
        <f>'B16'!I29+'B16 ext'!I29+'B17'!I29</f>
        <v>5289</v>
      </c>
      <c r="F27" s="31">
        <f>('B16'!J29+'B16 ext'!J29+'B17'!J29)/TOTAL!E27</f>
        <v>0.24720136131593873</v>
      </c>
      <c r="G27" s="29">
        <f>'Diesel Reading Mac'!H29</f>
        <v>0</v>
      </c>
      <c r="H27" s="30" t="e">
        <f>'Diesel Reading Mac'!I29/'Diesel Reading Mac'!H29</f>
        <v>#DIV/0!</v>
      </c>
      <c r="I27" s="29">
        <f>'Water Reading'!H29</f>
        <v>456</v>
      </c>
      <c r="J27" s="31">
        <f>'Water Reading'!I29/'Water Reading'!H29</f>
        <v>1.35</v>
      </c>
      <c r="K27" s="29"/>
      <c r="L27" s="29"/>
    </row>
    <row r="28" spans="1:12" ht="15" x14ac:dyDescent="0.25">
      <c r="A28" s="26" t="s">
        <v>12</v>
      </c>
      <c r="B28" s="27">
        <f t="shared" si="0"/>
        <v>27</v>
      </c>
      <c r="C28" s="28">
        <v>8</v>
      </c>
      <c r="D28" s="27">
        <v>2021</v>
      </c>
      <c r="E28" s="29">
        <f>'B16'!I30+'B16 ext'!I30+'B17'!I30</f>
        <v>5729</v>
      </c>
      <c r="F28" s="31">
        <f>('B16'!J30+'B16 ext'!J30+'B17'!J30)/TOTAL!E28</f>
        <v>0.2438635014836795</v>
      </c>
      <c r="G28" s="29">
        <f>'Diesel Reading Mac'!H30</f>
        <v>0</v>
      </c>
      <c r="H28" s="30" t="e">
        <f>'Diesel Reading Mac'!I30/'Diesel Reading Mac'!H30</f>
        <v>#DIV/0!</v>
      </c>
      <c r="I28" s="29">
        <f>'Water Reading'!H30</f>
        <v>359</v>
      </c>
      <c r="J28" s="31">
        <f>'Water Reading'!I30/'Water Reading'!H30</f>
        <v>1.35</v>
      </c>
      <c r="K28" s="29"/>
      <c r="L28" s="29"/>
    </row>
    <row r="29" spans="1:12" ht="15" x14ac:dyDescent="0.25">
      <c r="A29" s="26" t="s">
        <v>12</v>
      </c>
      <c r="B29" s="27">
        <f t="shared" si="0"/>
        <v>28</v>
      </c>
      <c r="C29" s="28">
        <v>8</v>
      </c>
      <c r="D29" s="27">
        <v>2021</v>
      </c>
      <c r="E29" s="29">
        <f>'B16'!I31+'B16 ext'!I31+'B17'!I31</f>
        <v>5746</v>
      </c>
      <c r="F29" s="31">
        <f>('B16'!J31+'B16 ext'!J31+'B17'!J31)/TOTAL!E29</f>
        <v>0.24318273581621996</v>
      </c>
      <c r="G29" s="29">
        <f>'Diesel Reading Mac'!H31</f>
        <v>0</v>
      </c>
      <c r="H29" s="30" t="e">
        <f>'Diesel Reading Mac'!I31/'Diesel Reading Mac'!H31</f>
        <v>#DIV/0!</v>
      </c>
      <c r="I29" s="29">
        <f>'Water Reading'!H31</f>
        <v>401</v>
      </c>
      <c r="J29" s="31">
        <f>'Water Reading'!I31/'Water Reading'!H31</f>
        <v>1.35</v>
      </c>
      <c r="K29" s="29"/>
      <c r="L29" s="29"/>
    </row>
    <row r="30" spans="1:12" ht="15" x14ac:dyDescent="0.25">
      <c r="A30" s="26" t="s">
        <v>12</v>
      </c>
      <c r="B30" s="27">
        <f t="shared" si="0"/>
        <v>29</v>
      </c>
      <c r="C30" s="28">
        <v>8</v>
      </c>
      <c r="D30" s="27">
        <v>2021</v>
      </c>
      <c r="E30" s="29">
        <f>'B16'!I32+'B16 ext'!I32+'B17'!I32</f>
        <v>5982</v>
      </c>
      <c r="F30" s="31">
        <f>('B16'!J32+'B16 ext'!J32+'B17'!J32)/TOTAL!E30</f>
        <v>0.24777131394182547</v>
      </c>
      <c r="G30" s="29">
        <f>'Diesel Reading Mac'!H32</f>
        <v>0</v>
      </c>
      <c r="H30" s="30" t="e">
        <f>'Diesel Reading Mac'!I32/'Diesel Reading Mac'!H32</f>
        <v>#DIV/0!</v>
      </c>
      <c r="I30" s="29">
        <f>'Water Reading'!H32</f>
        <v>439</v>
      </c>
      <c r="J30" s="31">
        <f>'Water Reading'!I32/'Water Reading'!H32</f>
        <v>1.3500000000000003</v>
      </c>
      <c r="K30" s="29"/>
      <c r="L30" s="29"/>
    </row>
    <row r="31" spans="1:12" ht="15" x14ac:dyDescent="0.25">
      <c r="A31" s="26" t="s">
        <v>12</v>
      </c>
      <c r="B31" s="27">
        <f t="shared" si="0"/>
        <v>30</v>
      </c>
      <c r="C31" s="28">
        <v>8</v>
      </c>
      <c r="D31" s="27">
        <v>2021</v>
      </c>
      <c r="E31" s="29">
        <f>'B16'!I33+'B16 ext'!I33+'B17'!I33</f>
        <v>12827</v>
      </c>
      <c r="F31" s="31">
        <f>('B16'!J33+'B16 ext'!J33+'B17'!J33)/TOTAL!E31</f>
        <v>0.2030474000155921</v>
      </c>
      <c r="G31" s="29">
        <f>'Diesel Reading Mac'!H33</f>
        <v>0</v>
      </c>
      <c r="H31" s="30" t="e">
        <f>'Diesel Reading Mac'!I33/'Diesel Reading Mac'!H33</f>
        <v>#DIV/0!</v>
      </c>
      <c r="I31" s="29">
        <f>'Water Reading'!H33</f>
        <v>394</v>
      </c>
      <c r="J31" s="31">
        <f>'Water Reading'!I33/'Water Reading'!H33</f>
        <v>1.3500000000000003</v>
      </c>
      <c r="K31" s="29"/>
      <c r="L31" s="29"/>
    </row>
    <row r="32" spans="1:12" ht="15" x14ac:dyDescent="0.25">
      <c r="A32" s="26" t="s">
        <v>12</v>
      </c>
      <c r="B32" s="27">
        <f t="shared" si="0"/>
        <v>31</v>
      </c>
      <c r="C32" s="28">
        <v>8</v>
      </c>
      <c r="D32" s="27">
        <v>2021</v>
      </c>
      <c r="E32" s="29">
        <f>'B16'!I34+'B16 ext'!I34+'B17'!I34</f>
        <v>0</v>
      </c>
      <c r="F32" s="31" t="e">
        <f>('B16'!J34+'B16 ext'!J34+'B17'!J34)/TOTAL!E32</f>
        <v>#DIV/0!</v>
      </c>
      <c r="G32" s="29">
        <f>'Diesel Reading Mac'!H34</f>
        <v>0</v>
      </c>
      <c r="H32" s="30" t="e">
        <f>'Diesel Reading Mac'!I34/'Diesel Reading Mac'!H34</f>
        <v>#DIV/0!</v>
      </c>
      <c r="I32" s="29">
        <f>'Water Reading'!H34</f>
        <v>241</v>
      </c>
      <c r="J32" s="31">
        <f>'Water Reading'!I34/'Water Reading'!H34</f>
        <v>1.35</v>
      </c>
      <c r="K32" s="29"/>
      <c r="L32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7" zoomScaleNormal="100" workbookViewId="0">
      <selection activeCell="G39" sqref="G39"/>
    </sheetView>
  </sheetViews>
  <sheetFormatPr defaultRowHeight="12.75" x14ac:dyDescent="0.2"/>
  <cols>
    <col min="1" max="1" width="14" style="76" customWidth="1"/>
    <col min="2" max="2" width="20.28515625" style="33" bestFit="1" customWidth="1"/>
    <col min="3" max="3" width="18.85546875" style="33" bestFit="1" customWidth="1"/>
    <col min="4" max="4" width="20.28515625" style="33" bestFit="1" customWidth="1"/>
    <col min="5" max="5" width="18.85546875" style="33" customWidth="1"/>
    <col min="6" max="6" width="14.7109375" style="33" customWidth="1"/>
    <col min="7" max="7" width="11.28515625" style="25" customWidth="1"/>
    <col min="8" max="8" width="11.7109375" style="25" customWidth="1"/>
    <col min="9" max="9" width="19.140625" style="33" bestFit="1" customWidth="1"/>
    <col min="10" max="10" width="10.140625" style="16" bestFit="1" customWidth="1"/>
    <col min="11" max="256" width="9.140625" style="25"/>
    <col min="257" max="257" width="14" style="25" customWidth="1"/>
    <col min="258" max="258" width="20.28515625" style="25" bestFit="1" customWidth="1"/>
    <col min="259" max="259" width="18.85546875" style="25" bestFit="1" customWidth="1"/>
    <col min="260" max="260" width="20.28515625" style="25" bestFit="1" customWidth="1"/>
    <col min="261" max="261" width="18.85546875" style="25" customWidth="1"/>
    <col min="262" max="262" width="14.7109375" style="25" customWidth="1"/>
    <col min="263" max="263" width="11.28515625" style="25" customWidth="1"/>
    <col min="264" max="264" width="11.7109375" style="25" customWidth="1"/>
    <col min="265" max="265" width="19.140625" style="25" bestFit="1" customWidth="1"/>
    <col min="266" max="266" width="10.140625" style="25" bestFit="1" customWidth="1"/>
    <col min="267" max="512" width="9.140625" style="25"/>
    <col min="513" max="513" width="14" style="25" customWidth="1"/>
    <col min="514" max="514" width="20.28515625" style="25" bestFit="1" customWidth="1"/>
    <col min="515" max="515" width="18.85546875" style="25" bestFit="1" customWidth="1"/>
    <col min="516" max="516" width="20.28515625" style="25" bestFit="1" customWidth="1"/>
    <col min="517" max="517" width="18.85546875" style="25" customWidth="1"/>
    <col min="518" max="518" width="14.7109375" style="25" customWidth="1"/>
    <col min="519" max="519" width="11.28515625" style="25" customWidth="1"/>
    <col min="520" max="520" width="11.7109375" style="25" customWidth="1"/>
    <col min="521" max="521" width="19.140625" style="25" bestFit="1" customWidth="1"/>
    <col min="522" max="522" width="10.140625" style="25" bestFit="1" customWidth="1"/>
    <col min="523" max="768" width="9.140625" style="25"/>
    <col min="769" max="769" width="14" style="25" customWidth="1"/>
    <col min="770" max="770" width="20.28515625" style="25" bestFit="1" customWidth="1"/>
    <col min="771" max="771" width="18.85546875" style="25" bestFit="1" customWidth="1"/>
    <col min="772" max="772" width="20.28515625" style="25" bestFit="1" customWidth="1"/>
    <col min="773" max="773" width="18.85546875" style="25" customWidth="1"/>
    <col min="774" max="774" width="14.7109375" style="25" customWidth="1"/>
    <col min="775" max="775" width="11.28515625" style="25" customWidth="1"/>
    <col min="776" max="776" width="11.7109375" style="25" customWidth="1"/>
    <col min="777" max="777" width="19.140625" style="25" bestFit="1" customWidth="1"/>
    <col min="778" max="778" width="10.140625" style="25" bestFit="1" customWidth="1"/>
    <col min="779" max="1024" width="9.140625" style="25"/>
    <col min="1025" max="1025" width="14" style="25" customWidth="1"/>
    <col min="1026" max="1026" width="20.28515625" style="25" bestFit="1" customWidth="1"/>
    <col min="1027" max="1027" width="18.85546875" style="25" bestFit="1" customWidth="1"/>
    <col min="1028" max="1028" width="20.28515625" style="25" bestFit="1" customWidth="1"/>
    <col min="1029" max="1029" width="18.85546875" style="25" customWidth="1"/>
    <col min="1030" max="1030" width="14.7109375" style="25" customWidth="1"/>
    <col min="1031" max="1031" width="11.28515625" style="25" customWidth="1"/>
    <col min="1032" max="1032" width="11.7109375" style="25" customWidth="1"/>
    <col min="1033" max="1033" width="19.140625" style="25" bestFit="1" customWidth="1"/>
    <col min="1034" max="1034" width="10.140625" style="25" bestFit="1" customWidth="1"/>
    <col min="1035" max="1280" width="9.140625" style="25"/>
    <col min="1281" max="1281" width="14" style="25" customWidth="1"/>
    <col min="1282" max="1282" width="20.28515625" style="25" bestFit="1" customWidth="1"/>
    <col min="1283" max="1283" width="18.85546875" style="25" bestFit="1" customWidth="1"/>
    <col min="1284" max="1284" width="20.28515625" style="25" bestFit="1" customWidth="1"/>
    <col min="1285" max="1285" width="18.85546875" style="25" customWidth="1"/>
    <col min="1286" max="1286" width="14.7109375" style="25" customWidth="1"/>
    <col min="1287" max="1287" width="11.28515625" style="25" customWidth="1"/>
    <col min="1288" max="1288" width="11.7109375" style="25" customWidth="1"/>
    <col min="1289" max="1289" width="19.140625" style="25" bestFit="1" customWidth="1"/>
    <col min="1290" max="1290" width="10.140625" style="25" bestFit="1" customWidth="1"/>
    <col min="1291" max="1536" width="9.140625" style="25"/>
    <col min="1537" max="1537" width="14" style="25" customWidth="1"/>
    <col min="1538" max="1538" width="20.28515625" style="25" bestFit="1" customWidth="1"/>
    <col min="1539" max="1539" width="18.85546875" style="25" bestFit="1" customWidth="1"/>
    <col min="1540" max="1540" width="20.28515625" style="25" bestFit="1" customWidth="1"/>
    <col min="1541" max="1541" width="18.85546875" style="25" customWidth="1"/>
    <col min="1542" max="1542" width="14.7109375" style="25" customWidth="1"/>
    <col min="1543" max="1543" width="11.28515625" style="25" customWidth="1"/>
    <col min="1544" max="1544" width="11.7109375" style="25" customWidth="1"/>
    <col min="1545" max="1545" width="19.140625" style="25" bestFit="1" customWidth="1"/>
    <col min="1546" max="1546" width="10.140625" style="25" bestFit="1" customWidth="1"/>
    <col min="1547" max="1792" width="9.140625" style="25"/>
    <col min="1793" max="1793" width="14" style="25" customWidth="1"/>
    <col min="1794" max="1794" width="20.28515625" style="25" bestFit="1" customWidth="1"/>
    <col min="1795" max="1795" width="18.85546875" style="25" bestFit="1" customWidth="1"/>
    <col min="1796" max="1796" width="20.28515625" style="25" bestFit="1" customWidth="1"/>
    <col min="1797" max="1797" width="18.85546875" style="25" customWidth="1"/>
    <col min="1798" max="1798" width="14.7109375" style="25" customWidth="1"/>
    <col min="1799" max="1799" width="11.28515625" style="25" customWidth="1"/>
    <col min="1800" max="1800" width="11.7109375" style="25" customWidth="1"/>
    <col min="1801" max="1801" width="19.140625" style="25" bestFit="1" customWidth="1"/>
    <col min="1802" max="1802" width="10.140625" style="25" bestFit="1" customWidth="1"/>
    <col min="1803" max="2048" width="9.140625" style="25"/>
    <col min="2049" max="2049" width="14" style="25" customWidth="1"/>
    <col min="2050" max="2050" width="20.28515625" style="25" bestFit="1" customWidth="1"/>
    <col min="2051" max="2051" width="18.85546875" style="25" bestFit="1" customWidth="1"/>
    <col min="2052" max="2052" width="20.28515625" style="25" bestFit="1" customWidth="1"/>
    <col min="2053" max="2053" width="18.85546875" style="25" customWidth="1"/>
    <col min="2054" max="2054" width="14.7109375" style="25" customWidth="1"/>
    <col min="2055" max="2055" width="11.28515625" style="25" customWidth="1"/>
    <col min="2056" max="2056" width="11.7109375" style="25" customWidth="1"/>
    <col min="2057" max="2057" width="19.140625" style="25" bestFit="1" customWidth="1"/>
    <col min="2058" max="2058" width="10.140625" style="25" bestFit="1" customWidth="1"/>
    <col min="2059" max="2304" width="9.140625" style="25"/>
    <col min="2305" max="2305" width="14" style="25" customWidth="1"/>
    <col min="2306" max="2306" width="20.28515625" style="25" bestFit="1" customWidth="1"/>
    <col min="2307" max="2307" width="18.85546875" style="25" bestFit="1" customWidth="1"/>
    <col min="2308" max="2308" width="20.28515625" style="25" bestFit="1" customWidth="1"/>
    <col min="2309" max="2309" width="18.85546875" style="25" customWidth="1"/>
    <col min="2310" max="2310" width="14.7109375" style="25" customWidth="1"/>
    <col min="2311" max="2311" width="11.28515625" style="25" customWidth="1"/>
    <col min="2312" max="2312" width="11.7109375" style="25" customWidth="1"/>
    <col min="2313" max="2313" width="19.140625" style="25" bestFit="1" customWidth="1"/>
    <col min="2314" max="2314" width="10.140625" style="25" bestFit="1" customWidth="1"/>
    <col min="2315" max="2560" width="9.140625" style="25"/>
    <col min="2561" max="2561" width="14" style="25" customWidth="1"/>
    <col min="2562" max="2562" width="20.28515625" style="25" bestFit="1" customWidth="1"/>
    <col min="2563" max="2563" width="18.85546875" style="25" bestFit="1" customWidth="1"/>
    <col min="2564" max="2564" width="20.28515625" style="25" bestFit="1" customWidth="1"/>
    <col min="2565" max="2565" width="18.85546875" style="25" customWidth="1"/>
    <col min="2566" max="2566" width="14.7109375" style="25" customWidth="1"/>
    <col min="2567" max="2567" width="11.28515625" style="25" customWidth="1"/>
    <col min="2568" max="2568" width="11.7109375" style="25" customWidth="1"/>
    <col min="2569" max="2569" width="19.140625" style="25" bestFit="1" customWidth="1"/>
    <col min="2570" max="2570" width="10.140625" style="25" bestFit="1" customWidth="1"/>
    <col min="2571" max="2816" width="9.140625" style="25"/>
    <col min="2817" max="2817" width="14" style="25" customWidth="1"/>
    <col min="2818" max="2818" width="20.28515625" style="25" bestFit="1" customWidth="1"/>
    <col min="2819" max="2819" width="18.85546875" style="25" bestFit="1" customWidth="1"/>
    <col min="2820" max="2820" width="20.28515625" style="25" bestFit="1" customWidth="1"/>
    <col min="2821" max="2821" width="18.85546875" style="25" customWidth="1"/>
    <col min="2822" max="2822" width="14.7109375" style="25" customWidth="1"/>
    <col min="2823" max="2823" width="11.28515625" style="25" customWidth="1"/>
    <col min="2824" max="2824" width="11.7109375" style="25" customWidth="1"/>
    <col min="2825" max="2825" width="19.140625" style="25" bestFit="1" customWidth="1"/>
    <col min="2826" max="2826" width="10.140625" style="25" bestFit="1" customWidth="1"/>
    <col min="2827" max="3072" width="9.140625" style="25"/>
    <col min="3073" max="3073" width="14" style="25" customWidth="1"/>
    <col min="3074" max="3074" width="20.28515625" style="25" bestFit="1" customWidth="1"/>
    <col min="3075" max="3075" width="18.85546875" style="25" bestFit="1" customWidth="1"/>
    <col min="3076" max="3076" width="20.28515625" style="25" bestFit="1" customWidth="1"/>
    <col min="3077" max="3077" width="18.85546875" style="25" customWidth="1"/>
    <col min="3078" max="3078" width="14.7109375" style="25" customWidth="1"/>
    <col min="3079" max="3079" width="11.28515625" style="25" customWidth="1"/>
    <col min="3080" max="3080" width="11.7109375" style="25" customWidth="1"/>
    <col min="3081" max="3081" width="19.140625" style="25" bestFit="1" customWidth="1"/>
    <col min="3082" max="3082" width="10.140625" style="25" bestFit="1" customWidth="1"/>
    <col min="3083" max="3328" width="9.140625" style="25"/>
    <col min="3329" max="3329" width="14" style="25" customWidth="1"/>
    <col min="3330" max="3330" width="20.28515625" style="25" bestFit="1" customWidth="1"/>
    <col min="3331" max="3331" width="18.85546875" style="25" bestFit="1" customWidth="1"/>
    <col min="3332" max="3332" width="20.28515625" style="25" bestFit="1" customWidth="1"/>
    <col min="3333" max="3333" width="18.85546875" style="25" customWidth="1"/>
    <col min="3334" max="3334" width="14.7109375" style="25" customWidth="1"/>
    <col min="3335" max="3335" width="11.28515625" style="25" customWidth="1"/>
    <col min="3336" max="3336" width="11.7109375" style="25" customWidth="1"/>
    <col min="3337" max="3337" width="19.140625" style="25" bestFit="1" customWidth="1"/>
    <col min="3338" max="3338" width="10.140625" style="25" bestFit="1" customWidth="1"/>
    <col min="3339" max="3584" width="9.140625" style="25"/>
    <col min="3585" max="3585" width="14" style="25" customWidth="1"/>
    <col min="3586" max="3586" width="20.28515625" style="25" bestFit="1" customWidth="1"/>
    <col min="3587" max="3587" width="18.85546875" style="25" bestFit="1" customWidth="1"/>
    <col min="3588" max="3588" width="20.28515625" style="25" bestFit="1" customWidth="1"/>
    <col min="3589" max="3589" width="18.85546875" style="25" customWidth="1"/>
    <col min="3590" max="3590" width="14.7109375" style="25" customWidth="1"/>
    <col min="3591" max="3591" width="11.28515625" style="25" customWidth="1"/>
    <col min="3592" max="3592" width="11.7109375" style="25" customWidth="1"/>
    <col min="3593" max="3593" width="19.140625" style="25" bestFit="1" customWidth="1"/>
    <col min="3594" max="3594" width="10.140625" style="25" bestFit="1" customWidth="1"/>
    <col min="3595" max="3840" width="9.140625" style="25"/>
    <col min="3841" max="3841" width="14" style="25" customWidth="1"/>
    <col min="3842" max="3842" width="20.28515625" style="25" bestFit="1" customWidth="1"/>
    <col min="3843" max="3843" width="18.85546875" style="25" bestFit="1" customWidth="1"/>
    <col min="3844" max="3844" width="20.28515625" style="25" bestFit="1" customWidth="1"/>
    <col min="3845" max="3845" width="18.85546875" style="25" customWidth="1"/>
    <col min="3846" max="3846" width="14.7109375" style="25" customWidth="1"/>
    <col min="3847" max="3847" width="11.28515625" style="25" customWidth="1"/>
    <col min="3848" max="3848" width="11.7109375" style="25" customWidth="1"/>
    <col min="3849" max="3849" width="19.140625" style="25" bestFit="1" customWidth="1"/>
    <col min="3850" max="3850" width="10.140625" style="25" bestFit="1" customWidth="1"/>
    <col min="3851" max="4096" width="9.140625" style="25"/>
    <col min="4097" max="4097" width="14" style="25" customWidth="1"/>
    <col min="4098" max="4098" width="20.28515625" style="25" bestFit="1" customWidth="1"/>
    <col min="4099" max="4099" width="18.85546875" style="25" bestFit="1" customWidth="1"/>
    <col min="4100" max="4100" width="20.28515625" style="25" bestFit="1" customWidth="1"/>
    <col min="4101" max="4101" width="18.85546875" style="25" customWidth="1"/>
    <col min="4102" max="4102" width="14.7109375" style="25" customWidth="1"/>
    <col min="4103" max="4103" width="11.28515625" style="25" customWidth="1"/>
    <col min="4104" max="4104" width="11.7109375" style="25" customWidth="1"/>
    <col min="4105" max="4105" width="19.140625" style="25" bestFit="1" customWidth="1"/>
    <col min="4106" max="4106" width="10.140625" style="25" bestFit="1" customWidth="1"/>
    <col min="4107" max="4352" width="9.140625" style="25"/>
    <col min="4353" max="4353" width="14" style="25" customWidth="1"/>
    <col min="4354" max="4354" width="20.28515625" style="25" bestFit="1" customWidth="1"/>
    <col min="4355" max="4355" width="18.85546875" style="25" bestFit="1" customWidth="1"/>
    <col min="4356" max="4356" width="20.28515625" style="25" bestFit="1" customWidth="1"/>
    <col min="4357" max="4357" width="18.85546875" style="25" customWidth="1"/>
    <col min="4358" max="4358" width="14.7109375" style="25" customWidth="1"/>
    <col min="4359" max="4359" width="11.28515625" style="25" customWidth="1"/>
    <col min="4360" max="4360" width="11.7109375" style="25" customWidth="1"/>
    <col min="4361" max="4361" width="19.140625" style="25" bestFit="1" customWidth="1"/>
    <col min="4362" max="4362" width="10.140625" style="25" bestFit="1" customWidth="1"/>
    <col min="4363" max="4608" width="9.140625" style="25"/>
    <col min="4609" max="4609" width="14" style="25" customWidth="1"/>
    <col min="4610" max="4610" width="20.28515625" style="25" bestFit="1" customWidth="1"/>
    <col min="4611" max="4611" width="18.85546875" style="25" bestFit="1" customWidth="1"/>
    <col min="4612" max="4612" width="20.28515625" style="25" bestFit="1" customWidth="1"/>
    <col min="4613" max="4613" width="18.85546875" style="25" customWidth="1"/>
    <col min="4614" max="4614" width="14.7109375" style="25" customWidth="1"/>
    <col min="4615" max="4615" width="11.28515625" style="25" customWidth="1"/>
    <col min="4616" max="4616" width="11.7109375" style="25" customWidth="1"/>
    <col min="4617" max="4617" width="19.140625" style="25" bestFit="1" customWidth="1"/>
    <col min="4618" max="4618" width="10.140625" style="25" bestFit="1" customWidth="1"/>
    <col min="4619" max="4864" width="9.140625" style="25"/>
    <col min="4865" max="4865" width="14" style="25" customWidth="1"/>
    <col min="4866" max="4866" width="20.28515625" style="25" bestFit="1" customWidth="1"/>
    <col min="4867" max="4867" width="18.85546875" style="25" bestFit="1" customWidth="1"/>
    <col min="4868" max="4868" width="20.28515625" style="25" bestFit="1" customWidth="1"/>
    <col min="4869" max="4869" width="18.85546875" style="25" customWidth="1"/>
    <col min="4870" max="4870" width="14.7109375" style="25" customWidth="1"/>
    <col min="4871" max="4871" width="11.28515625" style="25" customWidth="1"/>
    <col min="4872" max="4872" width="11.7109375" style="25" customWidth="1"/>
    <col min="4873" max="4873" width="19.140625" style="25" bestFit="1" customWidth="1"/>
    <col min="4874" max="4874" width="10.140625" style="25" bestFit="1" customWidth="1"/>
    <col min="4875" max="5120" width="9.140625" style="25"/>
    <col min="5121" max="5121" width="14" style="25" customWidth="1"/>
    <col min="5122" max="5122" width="20.28515625" style="25" bestFit="1" customWidth="1"/>
    <col min="5123" max="5123" width="18.85546875" style="25" bestFit="1" customWidth="1"/>
    <col min="5124" max="5124" width="20.28515625" style="25" bestFit="1" customWidth="1"/>
    <col min="5125" max="5125" width="18.85546875" style="25" customWidth="1"/>
    <col min="5126" max="5126" width="14.7109375" style="25" customWidth="1"/>
    <col min="5127" max="5127" width="11.28515625" style="25" customWidth="1"/>
    <col min="5128" max="5128" width="11.7109375" style="25" customWidth="1"/>
    <col min="5129" max="5129" width="19.140625" style="25" bestFit="1" customWidth="1"/>
    <col min="5130" max="5130" width="10.140625" style="25" bestFit="1" customWidth="1"/>
    <col min="5131" max="5376" width="9.140625" style="25"/>
    <col min="5377" max="5377" width="14" style="25" customWidth="1"/>
    <col min="5378" max="5378" width="20.28515625" style="25" bestFit="1" customWidth="1"/>
    <col min="5379" max="5379" width="18.85546875" style="25" bestFit="1" customWidth="1"/>
    <col min="5380" max="5380" width="20.28515625" style="25" bestFit="1" customWidth="1"/>
    <col min="5381" max="5381" width="18.85546875" style="25" customWidth="1"/>
    <col min="5382" max="5382" width="14.7109375" style="25" customWidth="1"/>
    <col min="5383" max="5383" width="11.28515625" style="25" customWidth="1"/>
    <col min="5384" max="5384" width="11.7109375" style="25" customWidth="1"/>
    <col min="5385" max="5385" width="19.140625" style="25" bestFit="1" customWidth="1"/>
    <col min="5386" max="5386" width="10.140625" style="25" bestFit="1" customWidth="1"/>
    <col min="5387" max="5632" width="9.140625" style="25"/>
    <col min="5633" max="5633" width="14" style="25" customWidth="1"/>
    <col min="5634" max="5634" width="20.28515625" style="25" bestFit="1" customWidth="1"/>
    <col min="5635" max="5635" width="18.85546875" style="25" bestFit="1" customWidth="1"/>
    <col min="5636" max="5636" width="20.28515625" style="25" bestFit="1" customWidth="1"/>
    <col min="5637" max="5637" width="18.85546875" style="25" customWidth="1"/>
    <col min="5638" max="5638" width="14.7109375" style="25" customWidth="1"/>
    <col min="5639" max="5639" width="11.28515625" style="25" customWidth="1"/>
    <col min="5640" max="5640" width="11.7109375" style="25" customWidth="1"/>
    <col min="5641" max="5641" width="19.140625" style="25" bestFit="1" customWidth="1"/>
    <col min="5642" max="5642" width="10.140625" style="25" bestFit="1" customWidth="1"/>
    <col min="5643" max="5888" width="9.140625" style="25"/>
    <col min="5889" max="5889" width="14" style="25" customWidth="1"/>
    <col min="5890" max="5890" width="20.28515625" style="25" bestFit="1" customWidth="1"/>
    <col min="5891" max="5891" width="18.85546875" style="25" bestFit="1" customWidth="1"/>
    <col min="5892" max="5892" width="20.28515625" style="25" bestFit="1" customWidth="1"/>
    <col min="5893" max="5893" width="18.85546875" style="25" customWidth="1"/>
    <col min="5894" max="5894" width="14.7109375" style="25" customWidth="1"/>
    <col min="5895" max="5895" width="11.28515625" style="25" customWidth="1"/>
    <col min="5896" max="5896" width="11.7109375" style="25" customWidth="1"/>
    <col min="5897" max="5897" width="19.140625" style="25" bestFit="1" customWidth="1"/>
    <col min="5898" max="5898" width="10.140625" style="25" bestFit="1" customWidth="1"/>
    <col min="5899" max="6144" width="9.140625" style="25"/>
    <col min="6145" max="6145" width="14" style="25" customWidth="1"/>
    <col min="6146" max="6146" width="20.28515625" style="25" bestFit="1" customWidth="1"/>
    <col min="6147" max="6147" width="18.85546875" style="25" bestFit="1" customWidth="1"/>
    <col min="6148" max="6148" width="20.28515625" style="25" bestFit="1" customWidth="1"/>
    <col min="6149" max="6149" width="18.85546875" style="25" customWidth="1"/>
    <col min="6150" max="6150" width="14.7109375" style="25" customWidth="1"/>
    <col min="6151" max="6151" width="11.28515625" style="25" customWidth="1"/>
    <col min="6152" max="6152" width="11.7109375" style="25" customWidth="1"/>
    <col min="6153" max="6153" width="19.140625" style="25" bestFit="1" customWidth="1"/>
    <col min="6154" max="6154" width="10.140625" style="25" bestFit="1" customWidth="1"/>
    <col min="6155" max="6400" width="9.140625" style="25"/>
    <col min="6401" max="6401" width="14" style="25" customWidth="1"/>
    <col min="6402" max="6402" width="20.28515625" style="25" bestFit="1" customWidth="1"/>
    <col min="6403" max="6403" width="18.85546875" style="25" bestFit="1" customWidth="1"/>
    <col min="6404" max="6404" width="20.28515625" style="25" bestFit="1" customWidth="1"/>
    <col min="6405" max="6405" width="18.85546875" style="25" customWidth="1"/>
    <col min="6406" max="6406" width="14.7109375" style="25" customWidth="1"/>
    <col min="6407" max="6407" width="11.28515625" style="25" customWidth="1"/>
    <col min="6408" max="6408" width="11.7109375" style="25" customWidth="1"/>
    <col min="6409" max="6409" width="19.140625" style="25" bestFit="1" customWidth="1"/>
    <col min="6410" max="6410" width="10.140625" style="25" bestFit="1" customWidth="1"/>
    <col min="6411" max="6656" width="9.140625" style="25"/>
    <col min="6657" max="6657" width="14" style="25" customWidth="1"/>
    <col min="6658" max="6658" width="20.28515625" style="25" bestFit="1" customWidth="1"/>
    <col min="6659" max="6659" width="18.85546875" style="25" bestFit="1" customWidth="1"/>
    <col min="6660" max="6660" width="20.28515625" style="25" bestFit="1" customWidth="1"/>
    <col min="6661" max="6661" width="18.85546875" style="25" customWidth="1"/>
    <col min="6662" max="6662" width="14.7109375" style="25" customWidth="1"/>
    <col min="6663" max="6663" width="11.28515625" style="25" customWidth="1"/>
    <col min="6664" max="6664" width="11.7109375" style="25" customWidth="1"/>
    <col min="6665" max="6665" width="19.140625" style="25" bestFit="1" customWidth="1"/>
    <col min="6666" max="6666" width="10.140625" style="25" bestFit="1" customWidth="1"/>
    <col min="6667" max="6912" width="9.140625" style="25"/>
    <col min="6913" max="6913" width="14" style="25" customWidth="1"/>
    <col min="6914" max="6914" width="20.28515625" style="25" bestFit="1" customWidth="1"/>
    <col min="6915" max="6915" width="18.85546875" style="25" bestFit="1" customWidth="1"/>
    <col min="6916" max="6916" width="20.28515625" style="25" bestFit="1" customWidth="1"/>
    <col min="6917" max="6917" width="18.85546875" style="25" customWidth="1"/>
    <col min="6918" max="6918" width="14.7109375" style="25" customWidth="1"/>
    <col min="6919" max="6919" width="11.28515625" style="25" customWidth="1"/>
    <col min="6920" max="6920" width="11.7109375" style="25" customWidth="1"/>
    <col min="6921" max="6921" width="19.140625" style="25" bestFit="1" customWidth="1"/>
    <col min="6922" max="6922" width="10.140625" style="25" bestFit="1" customWidth="1"/>
    <col min="6923" max="7168" width="9.140625" style="25"/>
    <col min="7169" max="7169" width="14" style="25" customWidth="1"/>
    <col min="7170" max="7170" width="20.28515625" style="25" bestFit="1" customWidth="1"/>
    <col min="7171" max="7171" width="18.85546875" style="25" bestFit="1" customWidth="1"/>
    <col min="7172" max="7172" width="20.28515625" style="25" bestFit="1" customWidth="1"/>
    <col min="7173" max="7173" width="18.85546875" style="25" customWidth="1"/>
    <col min="7174" max="7174" width="14.7109375" style="25" customWidth="1"/>
    <col min="7175" max="7175" width="11.28515625" style="25" customWidth="1"/>
    <col min="7176" max="7176" width="11.7109375" style="25" customWidth="1"/>
    <col min="7177" max="7177" width="19.140625" style="25" bestFit="1" customWidth="1"/>
    <col min="7178" max="7178" width="10.140625" style="25" bestFit="1" customWidth="1"/>
    <col min="7179" max="7424" width="9.140625" style="25"/>
    <col min="7425" max="7425" width="14" style="25" customWidth="1"/>
    <col min="7426" max="7426" width="20.28515625" style="25" bestFit="1" customWidth="1"/>
    <col min="7427" max="7427" width="18.85546875" style="25" bestFit="1" customWidth="1"/>
    <col min="7428" max="7428" width="20.28515625" style="25" bestFit="1" customWidth="1"/>
    <col min="7429" max="7429" width="18.85546875" style="25" customWidth="1"/>
    <col min="7430" max="7430" width="14.7109375" style="25" customWidth="1"/>
    <col min="7431" max="7431" width="11.28515625" style="25" customWidth="1"/>
    <col min="7432" max="7432" width="11.7109375" style="25" customWidth="1"/>
    <col min="7433" max="7433" width="19.140625" style="25" bestFit="1" customWidth="1"/>
    <col min="7434" max="7434" width="10.140625" style="25" bestFit="1" customWidth="1"/>
    <col min="7435" max="7680" width="9.140625" style="25"/>
    <col min="7681" max="7681" width="14" style="25" customWidth="1"/>
    <col min="7682" max="7682" width="20.28515625" style="25" bestFit="1" customWidth="1"/>
    <col min="7683" max="7683" width="18.85546875" style="25" bestFit="1" customWidth="1"/>
    <col min="7684" max="7684" width="20.28515625" style="25" bestFit="1" customWidth="1"/>
    <col min="7685" max="7685" width="18.85546875" style="25" customWidth="1"/>
    <col min="7686" max="7686" width="14.7109375" style="25" customWidth="1"/>
    <col min="7687" max="7687" width="11.28515625" style="25" customWidth="1"/>
    <col min="7688" max="7688" width="11.7109375" style="25" customWidth="1"/>
    <col min="7689" max="7689" width="19.140625" style="25" bestFit="1" customWidth="1"/>
    <col min="7690" max="7690" width="10.140625" style="25" bestFit="1" customWidth="1"/>
    <col min="7691" max="7936" width="9.140625" style="25"/>
    <col min="7937" max="7937" width="14" style="25" customWidth="1"/>
    <col min="7938" max="7938" width="20.28515625" style="25" bestFit="1" customWidth="1"/>
    <col min="7939" max="7939" width="18.85546875" style="25" bestFit="1" customWidth="1"/>
    <col min="7940" max="7940" width="20.28515625" style="25" bestFit="1" customWidth="1"/>
    <col min="7941" max="7941" width="18.85546875" style="25" customWidth="1"/>
    <col min="7942" max="7942" width="14.7109375" style="25" customWidth="1"/>
    <col min="7943" max="7943" width="11.28515625" style="25" customWidth="1"/>
    <col min="7944" max="7944" width="11.7109375" style="25" customWidth="1"/>
    <col min="7945" max="7945" width="19.140625" style="25" bestFit="1" customWidth="1"/>
    <col min="7946" max="7946" width="10.140625" style="25" bestFit="1" customWidth="1"/>
    <col min="7947" max="8192" width="9.140625" style="25"/>
    <col min="8193" max="8193" width="14" style="25" customWidth="1"/>
    <col min="8194" max="8194" width="20.28515625" style="25" bestFit="1" customWidth="1"/>
    <col min="8195" max="8195" width="18.85546875" style="25" bestFit="1" customWidth="1"/>
    <col min="8196" max="8196" width="20.28515625" style="25" bestFit="1" customWidth="1"/>
    <col min="8197" max="8197" width="18.85546875" style="25" customWidth="1"/>
    <col min="8198" max="8198" width="14.7109375" style="25" customWidth="1"/>
    <col min="8199" max="8199" width="11.28515625" style="25" customWidth="1"/>
    <col min="8200" max="8200" width="11.7109375" style="25" customWidth="1"/>
    <col min="8201" max="8201" width="19.140625" style="25" bestFit="1" customWidth="1"/>
    <col min="8202" max="8202" width="10.140625" style="25" bestFit="1" customWidth="1"/>
    <col min="8203" max="8448" width="9.140625" style="25"/>
    <col min="8449" max="8449" width="14" style="25" customWidth="1"/>
    <col min="8450" max="8450" width="20.28515625" style="25" bestFit="1" customWidth="1"/>
    <col min="8451" max="8451" width="18.85546875" style="25" bestFit="1" customWidth="1"/>
    <col min="8452" max="8452" width="20.28515625" style="25" bestFit="1" customWidth="1"/>
    <col min="8453" max="8453" width="18.85546875" style="25" customWidth="1"/>
    <col min="8454" max="8454" width="14.7109375" style="25" customWidth="1"/>
    <col min="8455" max="8455" width="11.28515625" style="25" customWidth="1"/>
    <col min="8456" max="8456" width="11.7109375" style="25" customWidth="1"/>
    <col min="8457" max="8457" width="19.140625" style="25" bestFit="1" customWidth="1"/>
    <col min="8458" max="8458" width="10.140625" style="25" bestFit="1" customWidth="1"/>
    <col min="8459" max="8704" width="9.140625" style="25"/>
    <col min="8705" max="8705" width="14" style="25" customWidth="1"/>
    <col min="8706" max="8706" width="20.28515625" style="25" bestFit="1" customWidth="1"/>
    <col min="8707" max="8707" width="18.85546875" style="25" bestFit="1" customWidth="1"/>
    <col min="8708" max="8708" width="20.28515625" style="25" bestFit="1" customWidth="1"/>
    <col min="8709" max="8709" width="18.85546875" style="25" customWidth="1"/>
    <col min="8710" max="8710" width="14.7109375" style="25" customWidth="1"/>
    <col min="8711" max="8711" width="11.28515625" style="25" customWidth="1"/>
    <col min="8712" max="8712" width="11.7109375" style="25" customWidth="1"/>
    <col min="8713" max="8713" width="19.140625" style="25" bestFit="1" customWidth="1"/>
    <col min="8714" max="8714" width="10.140625" style="25" bestFit="1" customWidth="1"/>
    <col min="8715" max="8960" width="9.140625" style="25"/>
    <col min="8961" max="8961" width="14" style="25" customWidth="1"/>
    <col min="8962" max="8962" width="20.28515625" style="25" bestFit="1" customWidth="1"/>
    <col min="8963" max="8963" width="18.85546875" style="25" bestFit="1" customWidth="1"/>
    <col min="8964" max="8964" width="20.28515625" style="25" bestFit="1" customWidth="1"/>
    <col min="8965" max="8965" width="18.85546875" style="25" customWidth="1"/>
    <col min="8966" max="8966" width="14.7109375" style="25" customWidth="1"/>
    <col min="8967" max="8967" width="11.28515625" style="25" customWidth="1"/>
    <col min="8968" max="8968" width="11.7109375" style="25" customWidth="1"/>
    <col min="8969" max="8969" width="19.140625" style="25" bestFit="1" customWidth="1"/>
    <col min="8970" max="8970" width="10.140625" style="25" bestFit="1" customWidth="1"/>
    <col min="8971" max="9216" width="9.140625" style="25"/>
    <col min="9217" max="9217" width="14" style="25" customWidth="1"/>
    <col min="9218" max="9218" width="20.28515625" style="25" bestFit="1" customWidth="1"/>
    <col min="9219" max="9219" width="18.85546875" style="25" bestFit="1" customWidth="1"/>
    <col min="9220" max="9220" width="20.28515625" style="25" bestFit="1" customWidth="1"/>
    <col min="9221" max="9221" width="18.85546875" style="25" customWidth="1"/>
    <col min="9222" max="9222" width="14.7109375" style="25" customWidth="1"/>
    <col min="9223" max="9223" width="11.28515625" style="25" customWidth="1"/>
    <col min="9224" max="9224" width="11.7109375" style="25" customWidth="1"/>
    <col min="9225" max="9225" width="19.140625" style="25" bestFit="1" customWidth="1"/>
    <col min="9226" max="9226" width="10.140625" style="25" bestFit="1" customWidth="1"/>
    <col min="9227" max="9472" width="9.140625" style="25"/>
    <col min="9473" max="9473" width="14" style="25" customWidth="1"/>
    <col min="9474" max="9474" width="20.28515625" style="25" bestFit="1" customWidth="1"/>
    <col min="9475" max="9475" width="18.85546875" style="25" bestFit="1" customWidth="1"/>
    <col min="9476" max="9476" width="20.28515625" style="25" bestFit="1" customWidth="1"/>
    <col min="9477" max="9477" width="18.85546875" style="25" customWidth="1"/>
    <col min="9478" max="9478" width="14.7109375" style="25" customWidth="1"/>
    <col min="9479" max="9479" width="11.28515625" style="25" customWidth="1"/>
    <col min="9480" max="9480" width="11.7109375" style="25" customWidth="1"/>
    <col min="9481" max="9481" width="19.140625" style="25" bestFit="1" customWidth="1"/>
    <col min="9482" max="9482" width="10.140625" style="25" bestFit="1" customWidth="1"/>
    <col min="9483" max="9728" width="9.140625" style="25"/>
    <col min="9729" max="9729" width="14" style="25" customWidth="1"/>
    <col min="9730" max="9730" width="20.28515625" style="25" bestFit="1" customWidth="1"/>
    <col min="9731" max="9731" width="18.85546875" style="25" bestFit="1" customWidth="1"/>
    <col min="9732" max="9732" width="20.28515625" style="25" bestFit="1" customWidth="1"/>
    <col min="9733" max="9733" width="18.85546875" style="25" customWidth="1"/>
    <col min="9734" max="9734" width="14.7109375" style="25" customWidth="1"/>
    <col min="9735" max="9735" width="11.28515625" style="25" customWidth="1"/>
    <col min="9736" max="9736" width="11.7109375" style="25" customWidth="1"/>
    <col min="9737" max="9737" width="19.140625" style="25" bestFit="1" customWidth="1"/>
    <col min="9738" max="9738" width="10.140625" style="25" bestFit="1" customWidth="1"/>
    <col min="9739" max="9984" width="9.140625" style="25"/>
    <col min="9985" max="9985" width="14" style="25" customWidth="1"/>
    <col min="9986" max="9986" width="20.28515625" style="25" bestFit="1" customWidth="1"/>
    <col min="9987" max="9987" width="18.85546875" style="25" bestFit="1" customWidth="1"/>
    <col min="9988" max="9988" width="20.28515625" style="25" bestFit="1" customWidth="1"/>
    <col min="9989" max="9989" width="18.85546875" style="25" customWidth="1"/>
    <col min="9990" max="9990" width="14.7109375" style="25" customWidth="1"/>
    <col min="9991" max="9991" width="11.28515625" style="25" customWidth="1"/>
    <col min="9992" max="9992" width="11.7109375" style="25" customWidth="1"/>
    <col min="9993" max="9993" width="19.140625" style="25" bestFit="1" customWidth="1"/>
    <col min="9994" max="9994" width="10.140625" style="25" bestFit="1" customWidth="1"/>
    <col min="9995" max="10240" width="9.140625" style="25"/>
    <col min="10241" max="10241" width="14" style="25" customWidth="1"/>
    <col min="10242" max="10242" width="20.28515625" style="25" bestFit="1" customWidth="1"/>
    <col min="10243" max="10243" width="18.85546875" style="25" bestFit="1" customWidth="1"/>
    <col min="10244" max="10244" width="20.28515625" style="25" bestFit="1" customWidth="1"/>
    <col min="10245" max="10245" width="18.85546875" style="25" customWidth="1"/>
    <col min="10246" max="10246" width="14.7109375" style="25" customWidth="1"/>
    <col min="10247" max="10247" width="11.28515625" style="25" customWidth="1"/>
    <col min="10248" max="10248" width="11.7109375" style="25" customWidth="1"/>
    <col min="10249" max="10249" width="19.140625" style="25" bestFit="1" customWidth="1"/>
    <col min="10250" max="10250" width="10.140625" style="25" bestFit="1" customWidth="1"/>
    <col min="10251" max="10496" width="9.140625" style="25"/>
    <col min="10497" max="10497" width="14" style="25" customWidth="1"/>
    <col min="10498" max="10498" width="20.28515625" style="25" bestFit="1" customWidth="1"/>
    <col min="10499" max="10499" width="18.85546875" style="25" bestFit="1" customWidth="1"/>
    <col min="10500" max="10500" width="20.28515625" style="25" bestFit="1" customWidth="1"/>
    <col min="10501" max="10501" width="18.85546875" style="25" customWidth="1"/>
    <col min="10502" max="10502" width="14.7109375" style="25" customWidth="1"/>
    <col min="10503" max="10503" width="11.28515625" style="25" customWidth="1"/>
    <col min="10504" max="10504" width="11.7109375" style="25" customWidth="1"/>
    <col min="10505" max="10505" width="19.140625" style="25" bestFit="1" customWidth="1"/>
    <col min="10506" max="10506" width="10.140625" style="25" bestFit="1" customWidth="1"/>
    <col min="10507" max="10752" width="9.140625" style="25"/>
    <col min="10753" max="10753" width="14" style="25" customWidth="1"/>
    <col min="10754" max="10754" width="20.28515625" style="25" bestFit="1" customWidth="1"/>
    <col min="10755" max="10755" width="18.85546875" style="25" bestFit="1" customWidth="1"/>
    <col min="10756" max="10756" width="20.28515625" style="25" bestFit="1" customWidth="1"/>
    <col min="10757" max="10757" width="18.85546875" style="25" customWidth="1"/>
    <col min="10758" max="10758" width="14.7109375" style="25" customWidth="1"/>
    <col min="10759" max="10759" width="11.28515625" style="25" customWidth="1"/>
    <col min="10760" max="10760" width="11.7109375" style="25" customWidth="1"/>
    <col min="10761" max="10761" width="19.140625" style="25" bestFit="1" customWidth="1"/>
    <col min="10762" max="10762" width="10.140625" style="25" bestFit="1" customWidth="1"/>
    <col min="10763" max="11008" width="9.140625" style="25"/>
    <col min="11009" max="11009" width="14" style="25" customWidth="1"/>
    <col min="11010" max="11010" width="20.28515625" style="25" bestFit="1" customWidth="1"/>
    <col min="11011" max="11011" width="18.85546875" style="25" bestFit="1" customWidth="1"/>
    <col min="11012" max="11012" width="20.28515625" style="25" bestFit="1" customWidth="1"/>
    <col min="11013" max="11013" width="18.85546875" style="25" customWidth="1"/>
    <col min="11014" max="11014" width="14.7109375" style="25" customWidth="1"/>
    <col min="11015" max="11015" width="11.28515625" style="25" customWidth="1"/>
    <col min="11016" max="11016" width="11.7109375" style="25" customWidth="1"/>
    <col min="11017" max="11017" width="19.140625" style="25" bestFit="1" customWidth="1"/>
    <col min="11018" max="11018" width="10.140625" style="25" bestFit="1" customWidth="1"/>
    <col min="11019" max="11264" width="9.140625" style="25"/>
    <col min="11265" max="11265" width="14" style="25" customWidth="1"/>
    <col min="11266" max="11266" width="20.28515625" style="25" bestFit="1" customWidth="1"/>
    <col min="11267" max="11267" width="18.85546875" style="25" bestFit="1" customWidth="1"/>
    <col min="11268" max="11268" width="20.28515625" style="25" bestFit="1" customWidth="1"/>
    <col min="11269" max="11269" width="18.85546875" style="25" customWidth="1"/>
    <col min="11270" max="11270" width="14.7109375" style="25" customWidth="1"/>
    <col min="11271" max="11271" width="11.28515625" style="25" customWidth="1"/>
    <col min="11272" max="11272" width="11.7109375" style="25" customWidth="1"/>
    <col min="11273" max="11273" width="19.140625" style="25" bestFit="1" customWidth="1"/>
    <col min="11274" max="11274" width="10.140625" style="25" bestFit="1" customWidth="1"/>
    <col min="11275" max="11520" width="9.140625" style="25"/>
    <col min="11521" max="11521" width="14" style="25" customWidth="1"/>
    <col min="11522" max="11522" width="20.28515625" style="25" bestFit="1" customWidth="1"/>
    <col min="11523" max="11523" width="18.85546875" style="25" bestFit="1" customWidth="1"/>
    <col min="11524" max="11524" width="20.28515625" style="25" bestFit="1" customWidth="1"/>
    <col min="11525" max="11525" width="18.85546875" style="25" customWidth="1"/>
    <col min="11526" max="11526" width="14.7109375" style="25" customWidth="1"/>
    <col min="11527" max="11527" width="11.28515625" style="25" customWidth="1"/>
    <col min="11528" max="11528" width="11.7109375" style="25" customWidth="1"/>
    <col min="11529" max="11529" width="19.140625" style="25" bestFit="1" customWidth="1"/>
    <col min="11530" max="11530" width="10.140625" style="25" bestFit="1" customWidth="1"/>
    <col min="11531" max="11776" width="9.140625" style="25"/>
    <col min="11777" max="11777" width="14" style="25" customWidth="1"/>
    <col min="11778" max="11778" width="20.28515625" style="25" bestFit="1" customWidth="1"/>
    <col min="11779" max="11779" width="18.85546875" style="25" bestFit="1" customWidth="1"/>
    <col min="11780" max="11780" width="20.28515625" style="25" bestFit="1" customWidth="1"/>
    <col min="11781" max="11781" width="18.85546875" style="25" customWidth="1"/>
    <col min="11782" max="11782" width="14.7109375" style="25" customWidth="1"/>
    <col min="11783" max="11783" width="11.28515625" style="25" customWidth="1"/>
    <col min="11784" max="11784" width="11.7109375" style="25" customWidth="1"/>
    <col min="11785" max="11785" width="19.140625" style="25" bestFit="1" customWidth="1"/>
    <col min="11786" max="11786" width="10.140625" style="25" bestFit="1" customWidth="1"/>
    <col min="11787" max="12032" width="9.140625" style="25"/>
    <col min="12033" max="12033" width="14" style="25" customWidth="1"/>
    <col min="12034" max="12034" width="20.28515625" style="25" bestFit="1" customWidth="1"/>
    <col min="12035" max="12035" width="18.85546875" style="25" bestFit="1" customWidth="1"/>
    <col min="12036" max="12036" width="20.28515625" style="25" bestFit="1" customWidth="1"/>
    <col min="12037" max="12037" width="18.85546875" style="25" customWidth="1"/>
    <col min="12038" max="12038" width="14.7109375" style="25" customWidth="1"/>
    <col min="12039" max="12039" width="11.28515625" style="25" customWidth="1"/>
    <col min="12040" max="12040" width="11.7109375" style="25" customWidth="1"/>
    <col min="12041" max="12041" width="19.140625" style="25" bestFit="1" customWidth="1"/>
    <col min="12042" max="12042" width="10.140625" style="25" bestFit="1" customWidth="1"/>
    <col min="12043" max="12288" width="9.140625" style="25"/>
    <col min="12289" max="12289" width="14" style="25" customWidth="1"/>
    <col min="12290" max="12290" width="20.28515625" style="25" bestFit="1" customWidth="1"/>
    <col min="12291" max="12291" width="18.85546875" style="25" bestFit="1" customWidth="1"/>
    <col min="12292" max="12292" width="20.28515625" style="25" bestFit="1" customWidth="1"/>
    <col min="12293" max="12293" width="18.85546875" style="25" customWidth="1"/>
    <col min="12294" max="12294" width="14.7109375" style="25" customWidth="1"/>
    <col min="12295" max="12295" width="11.28515625" style="25" customWidth="1"/>
    <col min="12296" max="12296" width="11.7109375" style="25" customWidth="1"/>
    <col min="12297" max="12297" width="19.140625" style="25" bestFit="1" customWidth="1"/>
    <col min="12298" max="12298" width="10.140625" style="25" bestFit="1" customWidth="1"/>
    <col min="12299" max="12544" width="9.140625" style="25"/>
    <col min="12545" max="12545" width="14" style="25" customWidth="1"/>
    <col min="12546" max="12546" width="20.28515625" style="25" bestFit="1" customWidth="1"/>
    <col min="12547" max="12547" width="18.85546875" style="25" bestFit="1" customWidth="1"/>
    <col min="12548" max="12548" width="20.28515625" style="25" bestFit="1" customWidth="1"/>
    <col min="12549" max="12549" width="18.85546875" style="25" customWidth="1"/>
    <col min="12550" max="12550" width="14.7109375" style="25" customWidth="1"/>
    <col min="12551" max="12551" width="11.28515625" style="25" customWidth="1"/>
    <col min="12552" max="12552" width="11.7109375" style="25" customWidth="1"/>
    <col min="12553" max="12553" width="19.140625" style="25" bestFit="1" customWidth="1"/>
    <col min="12554" max="12554" width="10.140625" style="25" bestFit="1" customWidth="1"/>
    <col min="12555" max="12800" width="9.140625" style="25"/>
    <col min="12801" max="12801" width="14" style="25" customWidth="1"/>
    <col min="12802" max="12802" width="20.28515625" style="25" bestFit="1" customWidth="1"/>
    <col min="12803" max="12803" width="18.85546875" style="25" bestFit="1" customWidth="1"/>
    <col min="12804" max="12804" width="20.28515625" style="25" bestFit="1" customWidth="1"/>
    <col min="12805" max="12805" width="18.85546875" style="25" customWidth="1"/>
    <col min="12806" max="12806" width="14.7109375" style="25" customWidth="1"/>
    <col min="12807" max="12807" width="11.28515625" style="25" customWidth="1"/>
    <col min="12808" max="12808" width="11.7109375" style="25" customWidth="1"/>
    <col min="12809" max="12809" width="19.140625" style="25" bestFit="1" customWidth="1"/>
    <col min="12810" max="12810" width="10.140625" style="25" bestFit="1" customWidth="1"/>
    <col min="12811" max="13056" width="9.140625" style="25"/>
    <col min="13057" max="13057" width="14" style="25" customWidth="1"/>
    <col min="13058" max="13058" width="20.28515625" style="25" bestFit="1" customWidth="1"/>
    <col min="13059" max="13059" width="18.85546875" style="25" bestFit="1" customWidth="1"/>
    <col min="13060" max="13060" width="20.28515625" style="25" bestFit="1" customWidth="1"/>
    <col min="13061" max="13061" width="18.85546875" style="25" customWidth="1"/>
    <col min="13062" max="13062" width="14.7109375" style="25" customWidth="1"/>
    <col min="13063" max="13063" width="11.28515625" style="25" customWidth="1"/>
    <col min="13064" max="13064" width="11.7109375" style="25" customWidth="1"/>
    <col min="13065" max="13065" width="19.140625" style="25" bestFit="1" customWidth="1"/>
    <col min="13066" max="13066" width="10.140625" style="25" bestFit="1" customWidth="1"/>
    <col min="13067" max="13312" width="9.140625" style="25"/>
    <col min="13313" max="13313" width="14" style="25" customWidth="1"/>
    <col min="13314" max="13314" width="20.28515625" style="25" bestFit="1" customWidth="1"/>
    <col min="13315" max="13315" width="18.85546875" style="25" bestFit="1" customWidth="1"/>
    <col min="13316" max="13316" width="20.28515625" style="25" bestFit="1" customWidth="1"/>
    <col min="13317" max="13317" width="18.85546875" style="25" customWidth="1"/>
    <col min="13318" max="13318" width="14.7109375" style="25" customWidth="1"/>
    <col min="13319" max="13319" width="11.28515625" style="25" customWidth="1"/>
    <col min="13320" max="13320" width="11.7109375" style="25" customWidth="1"/>
    <col min="13321" max="13321" width="19.140625" style="25" bestFit="1" customWidth="1"/>
    <col min="13322" max="13322" width="10.140625" style="25" bestFit="1" customWidth="1"/>
    <col min="13323" max="13568" width="9.140625" style="25"/>
    <col min="13569" max="13569" width="14" style="25" customWidth="1"/>
    <col min="13570" max="13570" width="20.28515625" style="25" bestFit="1" customWidth="1"/>
    <col min="13571" max="13571" width="18.85546875" style="25" bestFit="1" customWidth="1"/>
    <col min="13572" max="13572" width="20.28515625" style="25" bestFit="1" customWidth="1"/>
    <col min="13573" max="13573" width="18.85546875" style="25" customWidth="1"/>
    <col min="13574" max="13574" width="14.7109375" style="25" customWidth="1"/>
    <col min="13575" max="13575" width="11.28515625" style="25" customWidth="1"/>
    <col min="13576" max="13576" width="11.7109375" style="25" customWidth="1"/>
    <col min="13577" max="13577" width="19.140625" style="25" bestFit="1" customWidth="1"/>
    <col min="13578" max="13578" width="10.140625" style="25" bestFit="1" customWidth="1"/>
    <col min="13579" max="13824" width="9.140625" style="25"/>
    <col min="13825" max="13825" width="14" style="25" customWidth="1"/>
    <col min="13826" max="13826" width="20.28515625" style="25" bestFit="1" customWidth="1"/>
    <col min="13827" max="13827" width="18.85546875" style="25" bestFit="1" customWidth="1"/>
    <col min="13828" max="13828" width="20.28515625" style="25" bestFit="1" customWidth="1"/>
    <col min="13829" max="13829" width="18.85546875" style="25" customWidth="1"/>
    <col min="13830" max="13830" width="14.7109375" style="25" customWidth="1"/>
    <col min="13831" max="13831" width="11.28515625" style="25" customWidth="1"/>
    <col min="13832" max="13832" width="11.7109375" style="25" customWidth="1"/>
    <col min="13833" max="13833" width="19.140625" style="25" bestFit="1" customWidth="1"/>
    <col min="13834" max="13834" width="10.140625" style="25" bestFit="1" customWidth="1"/>
    <col min="13835" max="14080" width="9.140625" style="25"/>
    <col min="14081" max="14081" width="14" style="25" customWidth="1"/>
    <col min="14082" max="14082" width="20.28515625" style="25" bestFit="1" customWidth="1"/>
    <col min="14083" max="14083" width="18.85546875" style="25" bestFit="1" customWidth="1"/>
    <col min="14084" max="14084" width="20.28515625" style="25" bestFit="1" customWidth="1"/>
    <col min="14085" max="14085" width="18.85546875" style="25" customWidth="1"/>
    <col min="14086" max="14086" width="14.7109375" style="25" customWidth="1"/>
    <col min="14087" max="14087" width="11.28515625" style="25" customWidth="1"/>
    <col min="14088" max="14088" width="11.7109375" style="25" customWidth="1"/>
    <col min="14089" max="14089" width="19.140625" style="25" bestFit="1" customWidth="1"/>
    <col min="14090" max="14090" width="10.140625" style="25" bestFit="1" customWidth="1"/>
    <col min="14091" max="14336" width="9.140625" style="25"/>
    <col min="14337" max="14337" width="14" style="25" customWidth="1"/>
    <col min="14338" max="14338" width="20.28515625" style="25" bestFit="1" customWidth="1"/>
    <col min="14339" max="14339" width="18.85546875" style="25" bestFit="1" customWidth="1"/>
    <col min="14340" max="14340" width="20.28515625" style="25" bestFit="1" customWidth="1"/>
    <col min="14341" max="14341" width="18.85546875" style="25" customWidth="1"/>
    <col min="14342" max="14342" width="14.7109375" style="25" customWidth="1"/>
    <col min="14343" max="14343" width="11.28515625" style="25" customWidth="1"/>
    <col min="14344" max="14344" width="11.7109375" style="25" customWidth="1"/>
    <col min="14345" max="14345" width="19.140625" style="25" bestFit="1" customWidth="1"/>
    <col min="14346" max="14346" width="10.140625" style="25" bestFit="1" customWidth="1"/>
    <col min="14347" max="14592" width="9.140625" style="25"/>
    <col min="14593" max="14593" width="14" style="25" customWidth="1"/>
    <col min="14594" max="14594" width="20.28515625" style="25" bestFit="1" customWidth="1"/>
    <col min="14595" max="14595" width="18.85546875" style="25" bestFit="1" customWidth="1"/>
    <col min="14596" max="14596" width="20.28515625" style="25" bestFit="1" customWidth="1"/>
    <col min="14597" max="14597" width="18.85546875" style="25" customWidth="1"/>
    <col min="14598" max="14598" width="14.7109375" style="25" customWidth="1"/>
    <col min="14599" max="14599" width="11.28515625" style="25" customWidth="1"/>
    <col min="14600" max="14600" width="11.7109375" style="25" customWidth="1"/>
    <col min="14601" max="14601" width="19.140625" style="25" bestFit="1" customWidth="1"/>
    <col min="14602" max="14602" width="10.140625" style="25" bestFit="1" customWidth="1"/>
    <col min="14603" max="14848" width="9.140625" style="25"/>
    <col min="14849" max="14849" width="14" style="25" customWidth="1"/>
    <col min="14850" max="14850" width="20.28515625" style="25" bestFit="1" customWidth="1"/>
    <col min="14851" max="14851" width="18.85546875" style="25" bestFit="1" customWidth="1"/>
    <col min="14852" max="14852" width="20.28515625" style="25" bestFit="1" customWidth="1"/>
    <col min="14853" max="14853" width="18.85546875" style="25" customWidth="1"/>
    <col min="14854" max="14854" width="14.7109375" style="25" customWidth="1"/>
    <col min="14855" max="14855" width="11.28515625" style="25" customWidth="1"/>
    <col min="14856" max="14856" width="11.7109375" style="25" customWidth="1"/>
    <col min="14857" max="14857" width="19.140625" style="25" bestFit="1" customWidth="1"/>
    <col min="14858" max="14858" width="10.140625" style="25" bestFit="1" customWidth="1"/>
    <col min="14859" max="15104" width="9.140625" style="25"/>
    <col min="15105" max="15105" width="14" style="25" customWidth="1"/>
    <col min="15106" max="15106" width="20.28515625" style="25" bestFit="1" customWidth="1"/>
    <col min="15107" max="15107" width="18.85546875" style="25" bestFit="1" customWidth="1"/>
    <col min="15108" max="15108" width="20.28515625" style="25" bestFit="1" customWidth="1"/>
    <col min="15109" max="15109" width="18.85546875" style="25" customWidth="1"/>
    <col min="15110" max="15110" width="14.7109375" style="25" customWidth="1"/>
    <col min="15111" max="15111" width="11.28515625" style="25" customWidth="1"/>
    <col min="15112" max="15112" width="11.7109375" style="25" customWidth="1"/>
    <col min="15113" max="15113" width="19.140625" style="25" bestFit="1" customWidth="1"/>
    <col min="15114" max="15114" width="10.140625" style="25" bestFit="1" customWidth="1"/>
    <col min="15115" max="15360" width="9.140625" style="25"/>
    <col min="15361" max="15361" width="14" style="25" customWidth="1"/>
    <col min="15362" max="15362" width="20.28515625" style="25" bestFit="1" customWidth="1"/>
    <col min="15363" max="15363" width="18.85546875" style="25" bestFit="1" customWidth="1"/>
    <col min="15364" max="15364" width="20.28515625" style="25" bestFit="1" customWidth="1"/>
    <col min="15365" max="15365" width="18.85546875" style="25" customWidth="1"/>
    <col min="15366" max="15366" width="14.7109375" style="25" customWidth="1"/>
    <col min="15367" max="15367" width="11.28515625" style="25" customWidth="1"/>
    <col min="15368" max="15368" width="11.7109375" style="25" customWidth="1"/>
    <col min="15369" max="15369" width="19.140625" style="25" bestFit="1" customWidth="1"/>
    <col min="15370" max="15370" width="10.140625" style="25" bestFit="1" customWidth="1"/>
    <col min="15371" max="15616" width="9.140625" style="25"/>
    <col min="15617" max="15617" width="14" style="25" customWidth="1"/>
    <col min="15618" max="15618" width="20.28515625" style="25" bestFit="1" customWidth="1"/>
    <col min="15619" max="15619" width="18.85546875" style="25" bestFit="1" customWidth="1"/>
    <col min="15620" max="15620" width="20.28515625" style="25" bestFit="1" customWidth="1"/>
    <col min="15621" max="15621" width="18.85546875" style="25" customWidth="1"/>
    <col min="15622" max="15622" width="14.7109375" style="25" customWidth="1"/>
    <col min="15623" max="15623" width="11.28515625" style="25" customWidth="1"/>
    <col min="15624" max="15624" width="11.7109375" style="25" customWidth="1"/>
    <col min="15625" max="15625" width="19.140625" style="25" bestFit="1" customWidth="1"/>
    <col min="15626" max="15626" width="10.140625" style="25" bestFit="1" customWidth="1"/>
    <col min="15627" max="15872" width="9.140625" style="25"/>
    <col min="15873" max="15873" width="14" style="25" customWidth="1"/>
    <col min="15874" max="15874" width="20.28515625" style="25" bestFit="1" customWidth="1"/>
    <col min="15875" max="15875" width="18.85546875" style="25" bestFit="1" customWidth="1"/>
    <col min="15876" max="15876" width="20.28515625" style="25" bestFit="1" customWidth="1"/>
    <col min="15877" max="15877" width="18.85546875" style="25" customWidth="1"/>
    <col min="15878" max="15878" width="14.7109375" style="25" customWidth="1"/>
    <col min="15879" max="15879" width="11.28515625" style="25" customWidth="1"/>
    <col min="15880" max="15880" width="11.7109375" style="25" customWidth="1"/>
    <col min="15881" max="15881" width="19.140625" style="25" bestFit="1" customWidth="1"/>
    <col min="15882" max="15882" width="10.140625" style="25" bestFit="1" customWidth="1"/>
    <col min="15883" max="16128" width="9.140625" style="25"/>
    <col min="16129" max="16129" width="14" style="25" customWidth="1"/>
    <col min="16130" max="16130" width="20.28515625" style="25" bestFit="1" customWidth="1"/>
    <col min="16131" max="16131" width="18.85546875" style="25" bestFit="1" customWidth="1"/>
    <col min="16132" max="16132" width="20.28515625" style="25" bestFit="1" customWidth="1"/>
    <col min="16133" max="16133" width="18.85546875" style="25" customWidth="1"/>
    <col min="16134" max="16134" width="14.7109375" style="25" customWidth="1"/>
    <col min="16135" max="16135" width="11.28515625" style="25" customWidth="1"/>
    <col min="16136" max="16136" width="11.7109375" style="25" customWidth="1"/>
    <col min="16137" max="16137" width="19.140625" style="25" bestFit="1" customWidth="1"/>
    <col min="16138" max="16138" width="10.140625" style="25" bestFit="1" customWidth="1"/>
    <col min="16139" max="16384" width="9.140625" style="25"/>
  </cols>
  <sheetData>
    <row r="1" spans="1:10" ht="18" x14ac:dyDescent="0.25">
      <c r="A1" s="32" t="s">
        <v>13</v>
      </c>
    </row>
    <row r="2" spans="1:10" ht="18" x14ac:dyDescent="0.25">
      <c r="A2" s="80"/>
      <c r="B2" s="36" t="s">
        <v>14</v>
      </c>
      <c r="C2" s="36" t="s">
        <v>15</v>
      </c>
      <c r="D2" s="36" t="s">
        <v>14</v>
      </c>
      <c r="E2" s="36" t="s">
        <v>15</v>
      </c>
      <c r="F2" s="36" t="s">
        <v>16</v>
      </c>
      <c r="G2" s="39" t="s">
        <v>17</v>
      </c>
      <c r="H2" s="39" t="s">
        <v>18</v>
      </c>
      <c r="I2" s="39" t="s">
        <v>19</v>
      </c>
      <c r="J2" s="17" t="s">
        <v>20</v>
      </c>
    </row>
    <row r="3" spans="1:10" x14ac:dyDescent="0.2">
      <c r="A3" s="81"/>
      <c r="B3" s="36" t="s">
        <v>21</v>
      </c>
      <c r="C3" s="36" t="s">
        <v>21</v>
      </c>
      <c r="D3" s="36" t="s">
        <v>22</v>
      </c>
      <c r="E3" s="36" t="s">
        <v>22</v>
      </c>
      <c r="F3" s="82" t="s">
        <v>21</v>
      </c>
      <c r="G3" s="39" t="s">
        <v>23</v>
      </c>
      <c r="H3" s="83"/>
      <c r="I3" s="39" t="s">
        <v>24</v>
      </c>
      <c r="J3" s="17" t="s">
        <v>25</v>
      </c>
    </row>
    <row r="4" spans="1:10" x14ac:dyDescent="0.2">
      <c r="A4" s="5">
        <v>44409</v>
      </c>
      <c r="B4" s="85">
        <v>0</v>
      </c>
      <c r="C4" s="86">
        <f>IF(B5-B4 &lt; 0,0,B5-B4)</f>
        <v>1905</v>
      </c>
      <c r="D4" s="85">
        <v>842</v>
      </c>
      <c r="E4" s="86">
        <f>IF(D5-D4 &lt; 0,0,D5-D4)</f>
        <v>1162</v>
      </c>
      <c r="F4" s="85">
        <v>167</v>
      </c>
      <c r="G4" s="87">
        <v>0</v>
      </c>
      <c r="H4" s="87" t="s">
        <v>26</v>
      </c>
      <c r="I4" s="86">
        <f>+E4+C4</f>
        <v>3067</v>
      </c>
      <c r="J4" s="18">
        <f>(C4*0.288)+(E4*0.177)</f>
        <v>754.31399999999996</v>
      </c>
    </row>
    <row r="5" spans="1:10" x14ac:dyDescent="0.2">
      <c r="A5" s="5">
        <v>44410</v>
      </c>
      <c r="B5" s="85">
        <v>1905</v>
      </c>
      <c r="C5" s="86">
        <f t="shared" ref="C5:C33" si="0">IF(B6-B5 &lt; 0,0,B6-B5)</f>
        <v>2046</v>
      </c>
      <c r="D5" s="85">
        <v>2004</v>
      </c>
      <c r="E5" s="86">
        <f t="shared" ref="E5:E33" si="1">IF(D6-D5 &lt; 0,0,D6-D5)</f>
        <v>1146</v>
      </c>
      <c r="F5" s="85">
        <v>198</v>
      </c>
      <c r="G5" s="87">
        <v>0</v>
      </c>
      <c r="H5" s="87" t="s">
        <v>26</v>
      </c>
      <c r="I5" s="86">
        <f t="shared" ref="I5:I35" si="2">+E5+C5</f>
        <v>3192</v>
      </c>
      <c r="J5" s="18">
        <f t="shared" ref="J5:J35" si="3">(C5*0.288)+(E5*0.177)</f>
        <v>792.08999999999992</v>
      </c>
    </row>
    <row r="6" spans="1:10" x14ac:dyDescent="0.2">
      <c r="A6" s="5">
        <v>44411</v>
      </c>
      <c r="B6" s="85">
        <v>3951</v>
      </c>
      <c r="C6" s="86">
        <f t="shared" si="0"/>
        <v>1617</v>
      </c>
      <c r="D6" s="85">
        <v>3150</v>
      </c>
      <c r="E6" s="86">
        <f t="shared" si="1"/>
        <v>1042</v>
      </c>
      <c r="F6" s="85">
        <v>198</v>
      </c>
      <c r="G6" s="87">
        <v>0</v>
      </c>
      <c r="H6" s="87" t="s">
        <v>26</v>
      </c>
      <c r="I6" s="86">
        <f t="shared" si="2"/>
        <v>2659</v>
      </c>
      <c r="J6" s="18">
        <f t="shared" si="3"/>
        <v>650.13</v>
      </c>
    </row>
    <row r="7" spans="1:10" x14ac:dyDescent="0.2">
      <c r="A7" s="5">
        <v>44412</v>
      </c>
      <c r="B7" s="85">
        <v>5568</v>
      </c>
      <c r="C7" s="86">
        <f t="shared" si="0"/>
        <v>1724</v>
      </c>
      <c r="D7" s="85">
        <v>4192</v>
      </c>
      <c r="E7" s="86">
        <f t="shared" si="1"/>
        <v>1151</v>
      </c>
      <c r="F7" s="85">
        <v>198</v>
      </c>
      <c r="G7" s="87">
        <v>0</v>
      </c>
      <c r="H7" s="87" t="s">
        <v>26</v>
      </c>
      <c r="I7" s="86">
        <f t="shared" si="2"/>
        <v>2875</v>
      </c>
      <c r="J7" s="18">
        <f t="shared" si="3"/>
        <v>700.23899999999992</v>
      </c>
    </row>
    <row r="8" spans="1:10" x14ac:dyDescent="0.2">
      <c r="A8" s="5">
        <v>44413</v>
      </c>
      <c r="B8" s="85">
        <v>7292</v>
      </c>
      <c r="C8" s="86">
        <f t="shared" si="0"/>
        <v>1808</v>
      </c>
      <c r="D8" s="85">
        <v>5343</v>
      </c>
      <c r="E8" s="86">
        <f t="shared" si="1"/>
        <v>1034</v>
      </c>
      <c r="F8" s="85">
        <v>198</v>
      </c>
      <c r="G8" s="87">
        <v>0</v>
      </c>
      <c r="H8" s="87" t="s">
        <v>27</v>
      </c>
      <c r="I8" s="86">
        <f t="shared" si="2"/>
        <v>2842</v>
      </c>
      <c r="J8" s="18">
        <f t="shared" si="3"/>
        <v>703.72199999999998</v>
      </c>
    </row>
    <row r="9" spans="1:10" x14ac:dyDescent="0.2">
      <c r="A9" s="5">
        <v>44414</v>
      </c>
      <c r="B9" s="85">
        <v>9100</v>
      </c>
      <c r="C9" s="86">
        <f t="shared" si="0"/>
        <v>1753</v>
      </c>
      <c r="D9" s="85">
        <v>6377</v>
      </c>
      <c r="E9" s="86">
        <f t="shared" si="1"/>
        <v>1071</v>
      </c>
      <c r="F9" s="85">
        <v>198</v>
      </c>
      <c r="G9" s="87">
        <v>0</v>
      </c>
      <c r="H9" s="87" t="s">
        <v>27</v>
      </c>
      <c r="I9" s="86">
        <f t="shared" si="2"/>
        <v>2824</v>
      </c>
      <c r="J9" s="18">
        <f t="shared" si="3"/>
        <v>694.43099999999993</v>
      </c>
    </row>
    <row r="10" spans="1:10" x14ac:dyDescent="0.2">
      <c r="A10" s="5">
        <v>44415</v>
      </c>
      <c r="B10" s="85">
        <v>10853</v>
      </c>
      <c r="C10" s="86">
        <f t="shared" si="0"/>
        <v>1661</v>
      </c>
      <c r="D10" s="85">
        <v>7448</v>
      </c>
      <c r="E10" s="86">
        <f t="shared" si="1"/>
        <v>1096</v>
      </c>
      <c r="F10" s="85">
        <v>198</v>
      </c>
      <c r="G10" s="87">
        <v>0</v>
      </c>
      <c r="H10" s="87" t="s">
        <v>27</v>
      </c>
      <c r="I10" s="86">
        <f t="shared" si="2"/>
        <v>2757</v>
      </c>
      <c r="J10" s="18">
        <f t="shared" si="3"/>
        <v>672.3599999999999</v>
      </c>
    </row>
    <row r="11" spans="1:10" x14ac:dyDescent="0.2">
      <c r="A11" s="5">
        <v>44416</v>
      </c>
      <c r="B11" s="85">
        <v>12514</v>
      </c>
      <c r="C11" s="86">
        <f t="shared" si="0"/>
        <v>1625</v>
      </c>
      <c r="D11" s="85">
        <v>8544</v>
      </c>
      <c r="E11" s="86">
        <f t="shared" si="1"/>
        <v>1101</v>
      </c>
      <c r="F11" s="85">
        <v>198</v>
      </c>
      <c r="G11" s="87">
        <v>0</v>
      </c>
      <c r="H11" s="87" t="s">
        <v>27</v>
      </c>
      <c r="I11" s="86">
        <f t="shared" si="2"/>
        <v>2726</v>
      </c>
      <c r="J11" s="18">
        <f t="shared" si="3"/>
        <v>662.87699999999995</v>
      </c>
    </row>
    <row r="12" spans="1:10" x14ac:dyDescent="0.2">
      <c r="A12" s="5">
        <v>44417</v>
      </c>
      <c r="B12" s="85">
        <v>14139</v>
      </c>
      <c r="C12" s="86">
        <f t="shared" si="0"/>
        <v>1670</v>
      </c>
      <c r="D12" s="85">
        <v>9645</v>
      </c>
      <c r="E12" s="86">
        <f t="shared" si="1"/>
        <v>1086</v>
      </c>
      <c r="F12" s="85">
        <v>198</v>
      </c>
      <c r="G12" s="87">
        <v>0</v>
      </c>
      <c r="H12" s="87" t="s">
        <v>27</v>
      </c>
      <c r="I12" s="86">
        <f t="shared" si="2"/>
        <v>2756</v>
      </c>
      <c r="J12" s="18">
        <f t="shared" si="3"/>
        <v>673.18200000000002</v>
      </c>
    </row>
    <row r="13" spans="1:10" x14ac:dyDescent="0.2">
      <c r="A13" s="5">
        <v>44418</v>
      </c>
      <c r="B13" s="85">
        <v>15809</v>
      </c>
      <c r="C13" s="86">
        <f t="shared" si="0"/>
        <v>1540</v>
      </c>
      <c r="D13" s="85">
        <v>10731</v>
      </c>
      <c r="E13" s="86">
        <f t="shared" si="1"/>
        <v>1123</v>
      </c>
      <c r="F13" s="85">
        <v>198</v>
      </c>
      <c r="G13" s="87">
        <v>0</v>
      </c>
      <c r="H13" s="87" t="s">
        <v>27</v>
      </c>
      <c r="I13" s="86">
        <f t="shared" si="2"/>
        <v>2663</v>
      </c>
      <c r="J13" s="18">
        <f t="shared" si="3"/>
        <v>642.29099999999994</v>
      </c>
    </row>
    <row r="14" spans="1:10" x14ac:dyDescent="0.2">
      <c r="A14" s="5">
        <v>44419</v>
      </c>
      <c r="B14" s="85">
        <v>17349</v>
      </c>
      <c r="C14" s="86">
        <f t="shared" si="0"/>
        <v>1621</v>
      </c>
      <c r="D14" s="85">
        <v>11854</v>
      </c>
      <c r="E14" s="86">
        <f t="shared" si="1"/>
        <v>947</v>
      </c>
      <c r="F14" s="85">
        <v>198</v>
      </c>
      <c r="G14" s="87">
        <v>0</v>
      </c>
      <c r="H14" s="87" t="s">
        <v>27</v>
      </c>
      <c r="I14" s="86">
        <f t="shared" si="2"/>
        <v>2568</v>
      </c>
      <c r="J14" s="18">
        <f t="shared" si="3"/>
        <v>634.46699999999998</v>
      </c>
    </row>
    <row r="15" spans="1:10" x14ac:dyDescent="0.2">
      <c r="A15" s="5">
        <v>44420</v>
      </c>
      <c r="B15" s="85">
        <v>18970</v>
      </c>
      <c r="C15" s="86">
        <f t="shared" si="0"/>
        <v>1795</v>
      </c>
      <c r="D15" s="85">
        <v>12801</v>
      </c>
      <c r="E15" s="86">
        <f t="shared" si="1"/>
        <v>1175</v>
      </c>
      <c r="F15" s="85">
        <v>198</v>
      </c>
      <c r="G15" s="87">
        <v>0</v>
      </c>
      <c r="H15" s="87" t="s">
        <v>27</v>
      </c>
      <c r="I15" s="86">
        <f t="shared" si="2"/>
        <v>2970</v>
      </c>
      <c r="J15" s="18">
        <f t="shared" si="3"/>
        <v>724.93499999999995</v>
      </c>
    </row>
    <row r="16" spans="1:10" x14ac:dyDescent="0.2">
      <c r="A16" s="5">
        <v>44421</v>
      </c>
      <c r="B16" s="85">
        <v>20765</v>
      </c>
      <c r="C16" s="86">
        <f t="shared" si="0"/>
        <v>1616</v>
      </c>
      <c r="D16" s="85">
        <v>13976</v>
      </c>
      <c r="E16" s="86">
        <f t="shared" si="1"/>
        <v>994</v>
      </c>
      <c r="F16" s="85">
        <v>198</v>
      </c>
      <c r="G16" s="87">
        <v>0</v>
      </c>
      <c r="H16" s="87" t="s">
        <v>27</v>
      </c>
      <c r="I16" s="86">
        <f t="shared" si="2"/>
        <v>2610</v>
      </c>
      <c r="J16" s="18">
        <f t="shared" si="3"/>
        <v>641.346</v>
      </c>
    </row>
    <row r="17" spans="1:10" x14ac:dyDescent="0.2">
      <c r="A17" s="5">
        <v>44422</v>
      </c>
      <c r="B17" s="85">
        <v>22381</v>
      </c>
      <c r="C17" s="86">
        <f t="shared" si="0"/>
        <v>1439</v>
      </c>
      <c r="D17" s="85">
        <v>14970</v>
      </c>
      <c r="E17" s="86">
        <f t="shared" si="1"/>
        <v>926</v>
      </c>
      <c r="F17" s="85">
        <v>198</v>
      </c>
      <c r="G17" s="87">
        <v>0</v>
      </c>
      <c r="H17" s="87" t="s">
        <v>27</v>
      </c>
      <c r="I17" s="86">
        <f t="shared" si="2"/>
        <v>2365</v>
      </c>
      <c r="J17" s="18">
        <f t="shared" si="3"/>
        <v>578.33399999999995</v>
      </c>
    </row>
    <row r="18" spans="1:10" x14ac:dyDescent="0.2">
      <c r="A18" s="5">
        <v>44423</v>
      </c>
      <c r="B18" s="85">
        <v>23820</v>
      </c>
      <c r="C18" s="86">
        <f t="shared" si="0"/>
        <v>1298</v>
      </c>
      <c r="D18" s="85">
        <v>15896</v>
      </c>
      <c r="E18" s="86">
        <f t="shared" si="1"/>
        <v>845</v>
      </c>
      <c r="F18" s="85">
        <v>198</v>
      </c>
      <c r="G18" s="87">
        <v>0</v>
      </c>
      <c r="H18" s="87" t="s">
        <v>27</v>
      </c>
      <c r="I18" s="86">
        <f t="shared" si="2"/>
        <v>2143</v>
      </c>
      <c r="J18" s="18">
        <f t="shared" si="3"/>
        <v>523.3889999999999</v>
      </c>
    </row>
    <row r="19" spans="1:10" x14ac:dyDescent="0.2">
      <c r="A19" s="5">
        <v>44424</v>
      </c>
      <c r="B19" s="85">
        <v>25118</v>
      </c>
      <c r="C19" s="86">
        <f t="shared" si="0"/>
        <v>1384</v>
      </c>
      <c r="D19" s="85">
        <v>16741</v>
      </c>
      <c r="E19" s="86">
        <f t="shared" si="1"/>
        <v>929</v>
      </c>
      <c r="F19" s="85">
        <v>198</v>
      </c>
      <c r="G19" s="87">
        <v>0</v>
      </c>
      <c r="H19" s="87" t="s">
        <v>27</v>
      </c>
      <c r="I19" s="86">
        <f t="shared" si="2"/>
        <v>2313</v>
      </c>
      <c r="J19" s="18">
        <f t="shared" si="3"/>
        <v>563.02499999999998</v>
      </c>
    </row>
    <row r="20" spans="1:10" x14ac:dyDescent="0.2">
      <c r="A20" s="5">
        <v>44425</v>
      </c>
      <c r="B20" s="85">
        <v>26502</v>
      </c>
      <c r="C20" s="86">
        <f t="shared" si="0"/>
        <v>1483</v>
      </c>
      <c r="D20" s="85">
        <v>17670</v>
      </c>
      <c r="E20" s="86">
        <f t="shared" si="1"/>
        <v>904</v>
      </c>
      <c r="F20" s="85">
        <v>198</v>
      </c>
      <c r="G20" s="87">
        <v>0</v>
      </c>
      <c r="H20" s="87" t="s">
        <v>27</v>
      </c>
      <c r="I20" s="86">
        <f t="shared" si="2"/>
        <v>2387</v>
      </c>
      <c r="J20" s="18">
        <f t="shared" si="3"/>
        <v>587.11199999999997</v>
      </c>
    </row>
    <row r="21" spans="1:10" x14ac:dyDescent="0.2">
      <c r="A21" s="5">
        <v>44426</v>
      </c>
      <c r="B21" s="85">
        <v>27985</v>
      </c>
      <c r="C21" s="86">
        <f t="shared" si="0"/>
        <v>1398</v>
      </c>
      <c r="D21" s="85">
        <v>18574</v>
      </c>
      <c r="E21" s="86">
        <f t="shared" si="1"/>
        <v>879</v>
      </c>
      <c r="F21" s="85">
        <v>198</v>
      </c>
      <c r="G21" s="87">
        <v>0</v>
      </c>
      <c r="H21" s="87" t="s">
        <v>27</v>
      </c>
      <c r="I21" s="86">
        <f t="shared" si="2"/>
        <v>2277</v>
      </c>
      <c r="J21" s="18">
        <f t="shared" si="3"/>
        <v>558.20699999999999</v>
      </c>
    </row>
    <row r="22" spans="1:10" x14ac:dyDescent="0.2">
      <c r="A22" s="5">
        <v>44427</v>
      </c>
      <c r="B22" s="85">
        <v>29383</v>
      </c>
      <c r="C22" s="86">
        <f t="shared" si="0"/>
        <v>1412</v>
      </c>
      <c r="D22" s="85">
        <v>19453</v>
      </c>
      <c r="E22" s="86">
        <f t="shared" si="1"/>
        <v>873</v>
      </c>
      <c r="F22" s="85">
        <v>198</v>
      </c>
      <c r="G22" s="87">
        <v>0</v>
      </c>
      <c r="H22" s="87" t="s">
        <v>27</v>
      </c>
      <c r="I22" s="86">
        <f t="shared" si="2"/>
        <v>2285</v>
      </c>
      <c r="J22" s="18">
        <f t="shared" si="3"/>
        <v>561.17699999999991</v>
      </c>
    </row>
    <row r="23" spans="1:10" x14ac:dyDescent="0.2">
      <c r="A23" s="5">
        <v>44428</v>
      </c>
      <c r="B23" s="85">
        <v>30795</v>
      </c>
      <c r="C23" s="86">
        <f t="shared" si="0"/>
        <v>590</v>
      </c>
      <c r="D23" s="85">
        <v>20326</v>
      </c>
      <c r="E23" s="86">
        <f t="shared" si="1"/>
        <v>797</v>
      </c>
      <c r="F23" s="85">
        <v>198</v>
      </c>
      <c r="G23" s="87">
        <v>0</v>
      </c>
      <c r="H23" s="87" t="s">
        <v>27</v>
      </c>
      <c r="I23" s="86">
        <f t="shared" si="2"/>
        <v>1387</v>
      </c>
      <c r="J23" s="18">
        <f t="shared" si="3"/>
        <v>310.98899999999998</v>
      </c>
    </row>
    <row r="24" spans="1:10" x14ac:dyDescent="0.2">
      <c r="A24" s="5">
        <v>44429</v>
      </c>
      <c r="B24" s="85">
        <v>31385</v>
      </c>
      <c r="C24" s="86">
        <f t="shared" si="0"/>
        <v>2287</v>
      </c>
      <c r="D24" s="85">
        <v>21123</v>
      </c>
      <c r="E24" s="86">
        <f t="shared" si="1"/>
        <v>954</v>
      </c>
      <c r="F24" s="85">
        <v>198</v>
      </c>
      <c r="G24" s="87">
        <v>0</v>
      </c>
      <c r="H24" s="87" t="s">
        <v>27</v>
      </c>
      <c r="I24" s="86">
        <f t="shared" si="2"/>
        <v>3241</v>
      </c>
      <c r="J24" s="18">
        <f t="shared" si="3"/>
        <v>827.5139999999999</v>
      </c>
    </row>
    <row r="25" spans="1:10" x14ac:dyDescent="0.2">
      <c r="A25" s="5">
        <v>44430</v>
      </c>
      <c r="B25" s="85">
        <v>33672</v>
      </c>
      <c r="C25" s="86">
        <f t="shared" si="0"/>
        <v>1482</v>
      </c>
      <c r="D25" s="85">
        <v>22077</v>
      </c>
      <c r="E25" s="86">
        <f t="shared" si="1"/>
        <v>930</v>
      </c>
      <c r="F25" s="85">
        <v>198</v>
      </c>
      <c r="G25" s="87">
        <v>0</v>
      </c>
      <c r="H25" s="87" t="s">
        <v>27</v>
      </c>
      <c r="I25" s="86">
        <f t="shared" si="2"/>
        <v>2412</v>
      </c>
      <c r="J25" s="18">
        <f t="shared" si="3"/>
        <v>591.42599999999993</v>
      </c>
    </row>
    <row r="26" spans="1:10" x14ac:dyDescent="0.2">
      <c r="A26" s="5">
        <v>44431</v>
      </c>
      <c r="B26" s="85">
        <v>35154</v>
      </c>
      <c r="C26" s="86">
        <f t="shared" si="0"/>
        <v>1764</v>
      </c>
      <c r="D26" s="85">
        <v>23007</v>
      </c>
      <c r="E26" s="86">
        <f t="shared" si="1"/>
        <v>1038</v>
      </c>
      <c r="F26" s="85">
        <v>198</v>
      </c>
      <c r="G26" s="87">
        <v>0</v>
      </c>
      <c r="H26" s="88" t="s">
        <v>27</v>
      </c>
      <c r="I26" s="86">
        <f t="shared" si="2"/>
        <v>2802</v>
      </c>
      <c r="J26" s="18">
        <f t="shared" si="3"/>
        <v>691.75800000000004</v>
      </c>
    </row>
    <row r="27" spans="1:10" x14ac:dyDescent="0.2">
      <c r="A27" s="5">
        <v>44432</v>
      </c>
      <c r="B27" s="85">
        <v>36918</v>
      </c>
      <c r="C27" s="86">
        <f t="shared" si="0"/>
        <v>1603</v>
      </c>
      <c r="D27" s="85">
        <v>24045</v>
      </c>
      <c r="E27" s="86">
        <f t="shared" si="1"/>
        <v>1023</v>
      </c>
      <c r="F27" s="85">
        <v>198</v>
      </c>
      <c r="G27" s="87">
        <v>0</v>
      </c>
      <c r="H27" s="87" t="s">
        <v>28</v>
      </c>
      <c r="I27" s="86">
        <f t="shared" si="2"/>
        <v>2626</v>
      </c>
      <c r="J27" s="18">
        <f t="shared" si="3"/>
        <v>642.73500000000001</v>
      </c>
    </row>
    <row r="28" spans="1:10" x14ac:dyDescent="0.2">
      <c r="A28" s="5">
        <v>44433</v>
      </c>
      <c r="B28" s="85">
        <v>38521</v>
      </c>
      <c r="C28" s="86">
        <f t="shared" si="0"/>
        <v>2008</v>
      </c>
      <c r="D28" s="85">
        <v>25068</v>
      </c>
      <c r="E28" s="86">
        <f t="shared" si="1"/>
        <v>1157</v>
      </c>
      <c r="F28" s="85">
        <v>198</v>
      </c>
      <c r="G28" s="87">
        <v>0</v>
      </c>
      <c r="H28" s="87" t="s">
        <v>28</v>
      </c>
      <c r="I28" s="86">
        <f t="shared" si="2"/>
        <v>3165</v>
      </c>
      <c r="J28" s="18">
        <f t="shared" si="3"/>
        <v>783.09299999999996</v>
      </c>
    </row>
    <row r="29" spans="1:10" x14ac:dyDescent="0.2">
      <c r="A29" s="5">
        <v>44434</v>
      </c>
      <c r="B29" s="85">
        <v>40529</v>
      </c>
      <c r="C29" s="86">
        <f t="shared" si="0"/>
        <v>1902</v>
      </c>
      <c r="D29" s="85">
        <v>26225</v>
      </c>
      <c r="E29" s="86">
        <f t="shared" si="1"/>
        <v>1058</v>
      </c>
      <c r="F29" s="85">
        <v>198</v>
      </c>
      <c r="G29" s="87">
        <v>0</v>
      </c>
      <c r="H29" s="87" t="s">
        <v>29</v>
      </c>
      <c r="I29" s="86">
        <f t="shared" si="2"/>
        <v>2960</v>
      </c>
      <c r="J29" s="18">
        <f t="shared" si="3"/>
        <v>735.04199999999992</v>
      </c>
    </row>
    <row r="30" spans="1:10" x14ac:dyDescent="0.2">
      <c r="A30" s="5">
        <v>44435</v>
      </c>
      <c r="B30" s="85">
        <v>42431</v>
      </c>
      <c r="C30" s="86">
        <f t="shared" si="0"/>
        <v>1958</v>
      </c>
      <c r="D30" s="85">
        <v>27283</v>
      </c>
      <c r="E30" s="86">
        <f t="shared" si="1"/>
        <v>1253</v>
      </c>
      <c r="F30" s="85">
        <v>198</v>
      </c>
      <c r="G30" s="87">
        <v>0</v>
      </c>
      <c r="H30" s="87" t="s">
        <v>27</v>
      </c>
      <c r="I30" s="86">
        <f t="shared" si="2"/>
        <v>3211</v>
      </c>
      <c r="J30" s="18">
        <f t="shared" si="3"/>
        <v>785.68499999999995</v>
      </c>
    </row>
    <row r="31" spans="1:10" x14ac:dyDescent="0.2">
      <c r="A31" s="5">
        <v>44436</v>
      </c>
      <c r="B31" s="85">
        <v>44389</v>
      </c>
      <c r="C31" s="86">
        <f t="shared" si="0"/>
        <v>1871</v>
      </c>
      <c r="D31" s="85">
        <v>28536</v>
      </c>
      <c r="E31" s="86">
        <f t="shared" si="1"/>
        <v>1266</v>
      </c>
      <c r="F31" s="85">
        <v>198</v>
      </c>
      <c r="G31" s="87">
        <v>0</v>
      </c>
      <c r="H31" s="87" t="s">
        <v>28</v>
      </c>
      <c r="I31" s="86">
        <f t="shared" si="2"/>
        <v>3137</v>
      </c>
      <c r="J31" s="18">
        <f t="shared" si="3"/>
        <v>762.93</v>
      </c>
    </row>
    <row r="32" spans="1:10" x14ac:dyDescent="0.2">
      <c r="A32" s="5">
        <v>44437</v>
      </c>
      <c r="B32" s="85">
        <v>46260</v>
      </c>
      <c r="C32" s="86">
        <f t="shared" si="0"/>
        <v>2300</v>
      </c>
      <c r="D32" s="85">
        <v>29802</v>
      </c>
      <c r="E32" s="86">
        <f t="shared" si="1"/>
        <v>1195</v>
      </c>
      <c r="F32" s="85">
        <v>198</v>
      </c>
      <c r="G32" s="87">
        <v>0</v>
      </c>
      <c r="H32" s="87" t="s">
        <v>28</v>
      </c>
      <c r="I32" s="86">
        <f t="shared" si="2"/>
        <v>3495</v>
      </c>
      <c r="J32" s="18">
        <f t="shared" si="3"/>
        <v>873.91499999999996</v>
      </c>
    </row>
    <row r="33" spans="1:10" x14ac:dyDescent="0.2">
      <c r="A33" s="5">
        <v>44438</v>
      </c>
      <c r="B33" s="85">
        <v>48560</v>
      </c>
      <c r="C33" s="86">
        <f t="shared" si="0"/>
        <v>1474</v>
      </c>
      <c r="D33" s="85">
        <v>30997</v>
      </c>
      <c r="E33" s="86">
        <f t="shared" si="1"/>
        <v>1194</v>
      </c>
      <c r="F33" s="85">
        <v>198</v>
      </c>
      <c r="G33" s="87">
        <v>0</v>
      </c>
      <c r="H33" s="87" t="s">
        <v>28</v>
      </c>
      <c r="I33" s="86">
        <f t="shared" si="2"/>
        <v>2668</v>
      </c>
      <c r="J33" s="18">
        <f t="shared" si="3"/>
        <v>635.84999999999991</v>
      </c>
    </row>
    <row r="34" spans="1:10" x14ac:dyDescent="0.2">
      <c r="A34" s="5">
        <v>44439</v>
      </c>
      <c r="B34" s="89">
        <v>50034</v>
      </c>
      <c r="C34" s="86"/>
      <c r="D34" s="85">
        <v>32191</v>
      </c>
      <c r="E34" s="86"/>
      <c r="F34" s="85">
        <v>198</v>
      </c>
      <c r="G34" s="87">
        <v>0</v>
      </c>
      <c r="H34" s="87" t="s">
        <v>27</v>
      </c>
      <c r="I34" s="86">
        <f t="shared" si="2"/>
        <v>0</v>
      </c>
      <c r="J34" s="18">
        <f t="shared" si="3"/>
        <v>0</v>
      </c>
    </row>
    <row r="35" spans="1:10" x14ac:dyDescent="0.2">
      <c r="A35" s="44"/>
      <c r="B35" s="100">
        <v>0</v>
      </c>
      <c r="C35" s="86"/>
      <c r="D35" s="100">
        <v>8333</v>
      </c>
      <c r="E35" s="86"/>
      <c r="F35" s="100"/>
      <c r="G35" s="69"/>
      <c r="H35" s="69"/>
      <c r="I35" s="86">
        <f t="shared" si="2"/>
        <v>0</v>
      </c>
      <c r="J35" s="18">
        <f t="shared" si="3"/>
        <v>0</v>
      </c>
    </row>
    <row r="36" spans="1:10" x14ac:dyDescent="0.2">
      <c r="A36" s="101" t="s">
        <v>30</v>
      </c>
      <c r="B36" s="102"/>
      <c r="C36" s="90">
        <f>SUM(C4:C34)</f>
        <v>50034</v>
      </c>
      <c r="D36" s="90"/>
      <c r="E36" s="90">
        <f>SUM(E4:E34)</f>
        <v>31349</v>
      </c>
      <c r="F36" s="90"/>
      <c r="G36" s="72"/>
      <c r="H36" s="72"/>
      <c r="I36" s="86">
        <f>+E36+C36</f>
        <v>81383</v>
      </c>
      <c r="J36" s="18">
        <f>(C36*0.288)+(E36*0.177)</f>
        <v>19958.564999999999</v>
      </c>
    </row>
    <row r="37" spans="1:10" x14ac:dyDescent="0.2">
      <c r="A37" s="75"/>
      <c r="C37" s="33">
        <f>COUNTIF(C4:C34,"&gt;0")</f>
        <v>30</v>
      </c>
      <c r="G37" s="33"/>
    </row>
    <row r="39" spans="1:10" ht="15.75" x14ac:dyDescent="0.25">
      <c r="A39" s="79" t="s">
        <v>31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zoomScaleNormal="100" workbookViewId="0">
      <selection activeCell="G34" sqref="G34"/>
    </sheetView>
  </sheetViews>
  <sheetFormatPr defaultRowHeight="12.75" x14ac:dyDescent="0.2"/>
  <cols>
    <col min="1" max="1" width="14" style="76" customWidth="1"/>
    <col min="2" max="2" width="20.28515625" style="33" bestFit="1" customWidth="1"/>
    <col min="3" max="3" width="18.85546875" style="33" bestFit="1" customWidth="1"/>
    <col min="4" max="4" width="20.28515625" style="33" bestFit="1" customWidth="1"/>
    <col min="5" max="5" width="18.85546875" style="33" customWidth="1"/>
    <col min="6" max="6" width="14.7109375" style="33" customWidth="1"/>
    <col min="7" max="7" width="11.28515625" style="25" customWidth="1"/>
    <col min="8" max="8" width="13.85546875" style="25" customWidth="1"/>
    <col min="9" max="9" width="19.140625" style="33" bestFit="1" customWidth="1"/>
    <col min="10" max="10" width="10.140625" style="16" bestFit="1" customWidth="1"/>
    <col min="11" max="256" width="9.140625" style="25"/>
    <col min="257" max="257" width="14" style="25" customWidth="1"/>
    <col min="258" max="258" width="20.28515625" style="25" bestFit="1" customWidth="1"/>
    <col min="259" max="259" width="18.85546875" style="25" bestFit="1" customWidth="1"/>
    <col min="260" max="260" width="20.28515625" style="25" bestFit="1" customWidth="1"/>
    <col min="261" max="261" width="18.85546875" style="25" customWidth="1"/>
    <col min="262" max="262" width="14.7109375" style="25" customWidth="1"/>
    <col min="263" max="263" width="11.28515625" style="25" customWidth="1"/>
    <col min="264" max="264" width="13.85546875" style="25" customWidth="1"/>
    <col min="265" max="265" width="19.140625" style="25" bestFit="1" customWidth="1"/>
    <col min="266" max="266" width="10.140625" style="25" bestFit="1" customWidth="1"/>
    <col min="267" max="512" width="9.140625" style="25"/>
    <col min="513" max="513" width="14" style="25" customWidth="1"/>
    <col min="514" max="514" width="20.28515625" style="25" bestFit="1" customWidth="1"/>
    <col min="515" max="515" width="18.85546875" style="25" bestFit="1" customWidth="1"/>
    <col min="516" max="516" width="20.28515625" style="25" bestFit="1" customWidth="1"/>
    <col min="517" max="517" width="18.85546875" style="25" customWidth="1"/>
    <col min="518" max="518" width="14.7109375" style="25" customWidth="1"/>
    <col min="519" max="519" width="11.28515625" style="25" customWidth="1"/>
    <col min="520" max="520" width="13.85546875" style="25" customWidth="1"/>
    <col min="521" max="521" width="19.140625" style="25" bestFit="1" customWidth="1"/>
    <col min="522" max="522" width="10.140625" style="25" bestFit="1" customWidth="1"/>
    <col min="523" max="768" width="9.140625" style="25"/>
    <col min="769" max="769" width="14" style="25" customWidth="1"/>
    <col min="770" max="770" width="20.28515625" style="25" bestFit="1" customWidth="1"/>
    <col min="771" max="771" width="18.85546875" style="25" bestFit="1" customWidth="1"/>
    <col min="772" max="772" width="20.28515625" style="25" bestFit="1" customWidth="1"/>
    <col min="773" max="773" width="18.85546875" style="25" customWidth="1"/>
    <col min="774" max="774" width="14.7109375" style="25" customWidth="1"/>
    <col min="775" max="775" width="11.28515625" style="25" customWidth="1"/>
    <col min="776" max="776" width="13.85546875" style="25" customWidth="1"/>
    <col min="777" max="777" width="19.140625" style="25" bestFit="1" customWidth="1"/>
    <col min="778" max="778" width="10.140625" style="25" bestFit="1" customWidth="1"/>
    <col min="779" max="1024" width="9.140625" style="25"/>
    <col min="1025" max="1025" width="14" style="25" customWidth="1"/>
    <col min="1026" max="1026" width="20.28515625" style="25" bestFit="1" customWidth="1"/>
    <col min="1027" max="1027" width="18.85546875" style="25" bestFit="1" customWidth="1"/>
    <col min="1028" max="1028" width="20.28515625" style="25" bestFit="1" customWidth="1"/>
    <col min="1029" max="1029" width="18.85546875" style="25" customWidth="1"/>
    <col min="1030" max="1030" width="14.7109375" style="25" customWidth="1"/>
    <col min="1031" max="1031" width="11.28515625" style="25" customWidth="1"/>
    <col min="1032" max="1032" width="13.85546875" style="25" customWidth="1"/>
    <col min="1033" max="1033" width="19.140625" style="25" bestFit="1" customWidth="1"/>
    <col min="1034" max="1034" width="10.140625" style="25" bestFit="1" customWidth="1"/>
    <col min="1035" max="1280" width="9.140625" style="25"/>
    <col min="1281" max="1281" width="14" style="25" customWidth="1"/>
    <col min="1282" max="1282" width="20.28515625" style="25" bestFit="1" customWidth="1"/>
    <col min="1283" max="1283" width="18.85546875" style="25" bestFit="1" customWidth="1"/>
    <col min="1284" max="1284" width="20.28515625" style="25" bestFit="1" customWidth="1"/>
    <col min="1285" max="1285" width="18.85546875" style="25" customWidth="1"/>
    <col min="1286" max="1286" width="14.7109375" style="25" customWidth="1"/>
    <col min="1287" max="1287" width="11.28515625" style="25" customWidth="1"/>
    <col min="1288" max="1288" width="13.85546875" style="25" customWidth="1"/>
    <col min="1289" max="1289" width="19.140625" style="25" bestFit="1" customWidth="1"/>
    <col min="1290" max="1290" width="10.140625" style="25" bestFit="1" customWidth="1"/>
    <col min="1291" max="1536" width="9.140625" style="25"/>
    <col min="1537" max="1537" width="14" style="25" customWidth="1"/>
    <col min="1538" max="1538" width="20.28515625" style="25" bestFit="1" customWidth="1"/>
    <col min="1539" max="1539" width="18.85546875" style="25" bestFit="1" customWidth="1"/>
    <col min="1540" max="1540" width="20.28515625" style="25" bestFit="1" customWidth="1"/>
    <col min="1541" max="1541" width="18.85546875" style="25" customWidth="1"/>
    <col min="1542" max="1542" width="14.7109375" style="25" customWidth="1"/>
    <col min="1543" max="1543" width="11.28515625" style="25" customWidth="1"/>
    <col min="1544" max="1544" width="13.85546875" style="25" customWidth="1"/>
    <col min="1545" max="1545" width="19.140625" style="25" bestFit="1" customWidth="1"/>
    <col min="1546" max="1546" width="10.140625" style="25" bestFit="1" customWidth="1"/>
    <col min="1547" max="1792" width="9.140625" style="25"/>
    <col min="1793" max="1793" width="14" style="25" customWidth="1"/>
    <col min="1794" max="1794" width="20.28515625" style="25" bestFit="1" customWidth="1"/>
    <col min="1795" max="1795" width="18.85546875" style="25" bestFit="1" customWidth="1"/>
    <col min="1796" max="1796" width="20.28515625" style="25" bestFit="1" customWidth="1"/>
    <col min="1797" max="1797" width="18.85546875" style="25" customWidth="1"/>
    <col min="1798" max="1798" width="14.7109375" style="25" customWidth="1"/>
    <col min="1799" max="1799" width="11.28515625" style="25" customWidth="1"/>
    <col min="1800" max="1800" width="13.85546875" style="25" customWidth="1"/>
    <col min="1801" max="1801" width="19.140625" style="25" bestFit="1" customWidth="1"/>
    <col min="1802" max="1802" width="10.140625" style="25" bestFit="1" customWidth="1"/>
    <col min="1803" max="2048" width="9.140625" style="25"/>
    <col min="2049" max="2049" width="14" style="25" customWidth="1"/>
    <col min="2050" max="2050" width="20.28515625" style="25" bestFit="1" customWidth="1"/>
    <col min="2051" max="2051" width="18.85546875" style="25" bestFit="1" customWidth="1"/>
    <col min="2052" max="2052" width="20.28515625" style="25" bestFit="1" customWidth="1"/>
    <col min="2053" max="2053" width="18.85546875" style="25" customWidth="1"/>
    <col min="2054" max="2054" width="14.7109375" style="25" customWidth="1"/>
    <col min="2055" max="2055" width="11.28515625" style="25" customWidth="1"/>
    <col min="2056" max="2056" width="13.85546875" style="25" customWidth="1"/>
    <col min="2057" max="2057" width="19.140625" style="25" bestFit="1" customWidth="1"/>
    <col min="2058" max="2058" width="10.140625" style="25" bestFit="1" customWidth="1"/>
    <col min="2059" max="2304" width="9.140625" style="25"/>
    <col min="2305" max="2305" width="14" style="25" customWidth="1"/>
    <col min="2306" max="2306" width="20.28515625" style="25" bestFit="1" customWidth="1"/>
    <col min="2307" max="2307" width="18.85546875" style="25" bestFit="1" customWidth="1"/>
    <col min="2308" max="2308" width="20.28515625" style="25" bestFit="1" customWidth="1"/>
    <col min="2309" max="2309" width="18.85546875" style="25" customWidth="1"/>
    <col min="2310" max="2310" width="14.7109375" style="25" customWidth="1"/>
    <col min="2311" max="2311" width="11.28515625" style="25" customWidth="1"/>
    <col min="2312" max="2312" width="13.85546875" style="25" customWidth="1"/>
    <col min="2313" max="2313" width="19.140625" style="25" bestFit="1" customWidth="1"/>
    <col min="2314" max="2314" width="10.140625" style="25" bestFit="1" customWidth="1"/>
    <col min="2315" max="2560" width="9.140625" style="25"/>
    <col min="2561" max="2561" width="14" style="25" customWidth="1"/>
    <col min="2562" max="2562" width="20.28515625" style="25" bestFit="1" customWidth="1"/>
    <col min="2563" max="2563" width="18.85546875" style="25" bestFit="1" customWidth="1"/>
    <col min="2564" max="2564" width="20.28515625" style="25" bestFit="1" customWidth="1"/>
    <col min="2565" max="2565" width="18.85546875" style="25" customWidth="1"/>
    <col min="2566" max="2566" width="14.7109375" style="25" customWidth="1"/>
    <col min="2567" max="2567" width="11.28515625" style="25" customWidth="1"/>
    <col min="2568" max="2568" width="13.85546875" style="25" customWidth="1"/>
    <col min="2569" max="2569" width="19.140625" style="25" bestFit="1" customWidth="1"/>
    <col min="2570" max="2570" width="10.140625" style="25" bestFit="1" customWidth="1"/>
    <col min="2571" max="2816" width="9.140625" style="25"/>
    <col min="2817" max="2817" width="14" style="25" customWidth="1"/>
    <col min="2818" max="2818" width="20.28515625" style="25" bestFit="1" customWidth="1"/>
    <col min="2819" max="2819" width="18.85546875" style="25" bestFit="1" customWidth="1"/>
    <col min="2820" max="2820" width="20.28515625" style="25" bestFit="1" customWidth="1"/>
    <col min="2821" max="2821" width="18.85546875" style="25" customWidth="1"/>
    <col min="2822" max="2822" width="14.7109375" style="25" customWidth="1"/>
    <col min="2823" max="2823" width="11.28515625" style="25" customWidth="1"/>
    <col min="2824" max="2824" width="13.85546875" style="25" customWidth="1"/>
    <col min="2825" max="2825" width="19.140625" style="25" bestFit="1" customWidth="1"/>
    <col min="2826" max="2826" width="10.140625" style="25" bestFit="1" customWidth="1"/>
    <col min="2827" max="3072" width="9.140625" style="25"/>
    <col min="3073" max="3073" width="14" style="25" customWidth="1"/>
    <col min="3074" max="3074" width="20.28515625" style="25" bestFit="1" customWidth="1"/>
    <col min="3075" max="3075" width="18.85546875" style="25" bestFit="1" customWidth="1"/>
    <col min="3076" max="3076" width="20.28515625" style="25" bestFit="1" customWidth="1"/>
    <col min="3077" max="3077" width="18.85546875" style="25" customWidth="1"/>
    <col min="3078" max="3078" width="14.7109375" style="25" customWidth="1"/>
    <col min="3079" max="3079" width="11.28515625" style="25" customWidth="1"/>
    <col min="3080" max="3080" width="13.85546875" style="25" customWidth="1"/>
    <col min="3081" max="3081" width="19.140625" style="25" bestFit="1" customWidth="1"/>
    <col min="3082" max="3082" width="10.140625" style="25" bestFit="1" customWidth="1"/>
    <col min="3083" max="3328" width="9.140625" style="25"/>
    <col min="3329" max="3329" width="14" style="25" customWidth="1"/>
    <col min="3330" max="3330" width="20.28515625" style="25" bestFit="1" customWidth="1"/>
    <col min="3331" max="3331" width="18.85546875" style="25" bestFit="1" customWidth="1"/>
    <col min="3332" max="3332" width="20.28515625" style="25" bestFit="1" customWidth="1"/>
    <col min="3333" max="3333" width="18.85546875" style="25" customWidth="1"/>
    <col min="3334" max="3334" width="14.7109375" style="25" customWidth="1"/>
    <col min="3335" max="3335" width="11.28515625" style="25" customWidth="1"/>
    <col min="3336" max="3336" width="13.85546875" style="25" customWidth="1"/>
    <col min="3337" max="3337" width="19.140625" style="25" bestFit="1" customWidth="1"/>
    <col min="3338" max="3338" width="10.140625" style="25" bestFit="1" customWidth="1"/>
    <col min="3339" max="3584" width="9.140625" style="25"/>
    <col min="3585" max="3585" width="14" style="25" customWidth="1"/>
    <col min="3586" max="3586" width="20.28515625" style="25" bestFit="1" customWidth="1"/>
    <col min="3587" max="3587" width="18.85546875" style="25" bestFit="1" customWidth="1"/>
    <col min="3588" max="3588" width="20.28515625" style="25" bestFit="1" customWidth="1"/>
    <col min="3589" max="3589" width="18.85546875" style="25" customWidth="1"/>
    <col min="3590" max="3590" width="14.7109375" style="25" customWidth="1"/>
    <col min="3591" max="3591" width="11.28515625" style="25" customWidth="1"/>
    <col min="3592" max="3592" width="13.85546875" style="25" customWidth="1"/>
    <col min="3593" max="3593" width="19.140625" style="25" bestFit="1" customWidth="1"/>
    <col min="3594" max="3594" width="10.140625" style="25" bestFit="1" customWidth="1"/>
    <col min="3595" max="3840" width="9.140625" style="25"/>
    <col min="3841" max="3841" width="14" style="25" customWidth="1"/>
    <col min="3842" max="3842" width="20.28515625" style="25" bestFit="1" customWidth="1"/>
    <col min="3843" max="3843" width="18.85546875" style="25" bestFit="1" customWidth="1"/>
    <col min="3844" max="3844" width="20.28515625" style="25" bestFit="1" customWidth="1"/>
    <col min="3845" max="3845" width="18.85546875" style="25" customWidth="1"/>
    <col min="3846" max="3846" width="14.7109375" style="25" customWidth="1"/>
    <col min="3847" max="3847" width="11.28515625" style="25" customWidth="1"/>
    <col min="3848" max="3848" width="13.85546875" style="25" customWidth="1"/>
    <col min="3849" max="3849" width="19.140625" style="25" bestFit="1" customWidth="1"/>
    <col min="3850" max="3850" width="10.140625" style="25" bestFit="1" customWidth="1"/>
    <col min="3851" max="4096" width="9.140625" style="25"/>
    <col min="4097" max="4097" width="14" style="25" customWidth="1"/>
    <col min="4098" max="4098" width="20.28515625" style="25" bestFit="1" customWidth="1"/>
    <col min="4099" max="4099" width="18.85546875" style="25" bestFit="1" customWidth="1"/>
    <col min="4100" max="4100" width="20.28515625" style="25" bestFit="1" customWidth="1"/>
    <col min="4101" max="4101" width="18.85546875" style="25" customWidth="1"/>
    <col min="4102" max="4102" width="14.7109375" style="25" customWidth="1"/>
    <col min="4103" max="4103" width="11.28515625" style="25" customWidth="1"/>
    <col min="4104" max="4104" width="13.85546875" style="25" customWidth="1"/>
    <col min="4105" max="4105" width="19.140625" style="25" bestFit="1" customWidth="1"/>
    <col min="4106" max="4106" width="10.140625" style="25" bestFit="1" customWidth="1"/>
    <col min="4107" max="4352" width="9.140625" style="25"/>
    <col min="4353" max="4353" width="14" style="25" customWidth="1"/>
    <col min="4354" max="4354" width="20.28515625" style="25" bestFit="1" customWidth="1"/>
    <col min="4355" max="4355" width="18.85546875" style="25" bestFit="1" customWidth="1"/>
    <col min="4356" max="4356" width="20.28515625" style="25" bestFit="1" customWidth="1"/>
    <col min="4357" max="4357" width="18.85546875" style="25" customWidth="1"/>
    <col min="4358" max="4358" width="14.7109375" style="25" customWidth="1"/>
    <col min="4359" max="4359" width="11.28515625" style="25" customWidth="1"/>
    <col min="4360" max="4360" width="13.85546875" style="25" customWidth="1"/>
    <col min="4361" max="4361" width="19.140625" style="25" bestFit="1" customWidth="1"/>
    <col min="4362" max="4362" width="10.140625" style="25" bestFit="1" customWidth="1"/>
    <col min="4363" max="4608" width="9.140625" style="25"/>
    <col min="4609" max="4609" width="14" style="25" customWidth="1"/>
    <col min="4610" max="4610" width="20.28515625" style="25" bestFit="1" customWidth="1"/>
    <col min="4611" max="4611" width="18.85546875" style="25" bestFit="1" customWidth="1"/>
    <col min="4612" max="4612" width="20.28515625" style="25" bestFit="1" customWidth="1"/>
    <col min="4613" max="4613" width="18.85546875" style="25" customWidth="1"/>
    <col min="4614" max="4614" width="14.7109375" style="25" customWidth="1"/>
    <col min="4615" max="4615" width="11.28515625" style="25" customWidth="1"/>
    <col min="4616" max="4616" width="13.85546875" style="25" customWidth="1"/>
    <col min="4617" max="4617" width="19.140625" style="25" bestFit="1" customWidth="1"/>
    <col min="4618" max="4618" width="10.140625" style="25" bestFit="1" customWidth="1"/>
    <col min="4619" max="4864" width="9.140625" style="25"/>
    <col min="4865" max="4865" width="14" style="25" customWidth="1"/>
    <col min="4866" max="4866" width="20.28515625" style="25" bestFit="1" customWidth="1"/>
    <col min="4867" max="4867" width="18.85546875" style="25" bestFit="1" customWidth="1"/>
    <col min="4868" max="4868" width="20.28515625" style="25" bestFit="1" customWidth="1"/>
    <col min="4869" max="4869" width="18.85546875" style="25" customWidth="1"/>
    <col min="4870" max="4870" width="14.7109375" style="25" customWidth="1"/>
    <col min="4871" max="4871" width="11.28515625" style="25" customWidth="1"/>
    <col min="4872" max="4872" width="13.85546875" style="25" customWidth="1"/>
    <col min="4873" max="4873" width="19.140625" style="25" bestFit="1" customWidth="1"/>
    <col min="4874" max="4874" width="10.140625" style="25" bestFit="1" customWidth="1"/>
    <col min="4875" max="5120" width="9.140625" style="25"/>
    <col min="5121" max="5121" width="14" style="25" customWidth="1"/>
    <col min="5122" max="5122" width="20.28515625" style="25" bestFit="1" customWidth="1"/>
    <col min="5123" max="5123" width="18.85546875" style="25" bestFit="1" customWidth="1"/>
    <col min="5124" max="5124" width="20.28515625" style="25" bestFit="1" customWidth="1"/>
    <col min="5125" max="5125" width="18.85546875" style="25" customWidth="1"/>
    <col min="5126" max="5126" width="14.7109375" style="25" customWidth="1"/>
    <col min="5127" max="5127" width="11.28515625" style="25" customWidth="1"/>
    <col min="5128" max="5128" width="13.85546875" style="25" customWidth="1"/>
    <col min="5129" max="5129" width="19.140625" style="25" bestFit="1" customWidth="1"/>
    <col min="5130" max="5130" width="10.140625" style="25" bestFit="1" customWidth="1"/>
    <col min="5131" max="5376" width="9.140625" style="25"/>
    <col min="5377" max="5377" width="14" style="25" customWidth="1"/>
    <col min="5378" max="5378" width="20.28515625" style="25" bestFit="1" customWidth="1"/>
    <col min="5379" max="5379" width="18.85546875" style="25" bestFit="1" customWidth="1"/>
    <col min="5380" max="5380" width="20.28515625" style="25" bestFit="1" customWidth="1"/>
    <col min="5381" max="5381" width="18.85546875" style="25" customWidth="1"/>
    <col min="5382" max="5382" width="14.7109375" style="25" customWidth="1"/>
    <col min="5383" max="5383" width="11.28515625" style="25" customWidth="1"/>
    <col min="5384" max="5384" width="13.85546875" style="25" customWidth="1"/>
    <col min="5385" max="5385" width="19.140625" style="25" bestFit="1" customWidth="1"/>
    <col min="5386" max="5386" width="10.140625" style="25" bestFit="1" customWidth="1"/>
    <col min="5387" max="5632" width="9.140625" style="25"/>
    <col min="5633" max="5633" width="14" style="25" customWidth="1"/>
    <col min="5634" max="5634" width="20.28515625" style="25" bestFit="1" customWidth="1"/>
    <col min="5635" max="5635" width="18.85546875" style="25" bestFit="1" customWidth="1"/>
    <col min="5636" max="5636" width="20.28515625" style="25" bestFit="1" customWidth="1"/>
    <col min="5637" max="5637" width="18.85546875" style="25" customWidth="1"/>
    <col min="5638" max="5638" width="14.7109375" style="25" customWidth="1"/>
    <col min="5639" max="5639" width="11.28515625" style="25" customWidth="1"/>
    <col min="5640" max="5640" width="13.85546875" style="25" customWidth="1"/>
    <col min="5641" max="5641" width="19.140625" style="25" bestFit="1" customWidth="1"/>
    <col min="5642" max="5642" width="10.140625" style="25" bestFit="1" customWidth="1"/>
    <col min="5643" max="5888" width="9.140625" style="25"/>
    <col min="5889" max="5889" width="14" style="25" customWidth="1"/>
    <col min="5890" max="5890" width="20.28515625" style="25" bestFit="1" customWidth="1"/>
    <col min="5891" max="5891" width="18.85546875" style="25" bestFit="1" customWidth="1"/>
    <col min="5892" max="5892" width="20.28515625" style="25" bestFit="1" customWidth="1"/>
    <col min="5893" max="5893" width="18.85546875" style="25" customWidth="1"/>
    <col min="5894" max="5894" width="14.7109375" style="25" customWidth="1"/>
    <col min="5895" max="5895" width="11.28515625" style="25" customWidth="1"/>
    <col min="5896" max="5896" width="13.85546875" style="25" customWidth="1"/>
    <col min="5897" max="5897" width="19.140625" style="25" bestFit="1" customWidth="1"/>
    <col min="5898" max="5898" width="10.140625" style="25" bestFit="1" customWidth="1"/>
    <col min="5899" max="6144" width="9.140625" style="25"/>
    <col min="6145" max="6145" width="14" style="25" customWidth="1"/>
    <col min="6146" max="6146" width="20.28515625" style="25" bestFit="1" customWidth="1"/>
    <col min="6147" max="6147" width="18.85546875" style="25" bestFit="1" customWidth="1"/>
    <col min="6148" max="6148" width="20.28515625" style="25" bestFit="1" customWidth="1"/>
    <col min="6149" max="6149" width="18.85546875" style="25" customWidth="1"/>
    <col min="6150" max="6150" width="14.7109375" style="25" customWidth="1"/>
    <col min="6151" max="6151" width="11.28515625" style="25" customWidth="1"/>
    <col min="6152" max="6152" width="13.85546875" style="25" customWidth="1"/>
    <col min="6153" max="6153" width="19.140625" style="25" bestFit="1" customWidth="1"/>
    <col min="6154" max="6154" width="10.140625" style="25" bestFit="1" customWidth="1"/>
    <col min="6155" max="6400" width="9.140625" style="25"/>
    <col min="6401" max="6401" width="14" style="25" customWidth="1"/>
    <col min="6402" max="6402" width="20.28515625" style="25" bestFit="1" customWidth="1"/>
    <col min="6403" max="6403" width="18.85546875" style="25" bestFit="1" customWidth="1"/>
    <col min="6404" max="6404" width="20.28515625" style="25" bestFit="1" customWidth="1"/>
    <col min="6405" max="6405" width="18.85546875" style="25" customWidth="1"/>
    <col min="6406" max="6406" width="14.7109375" style="25" customWidth="1"/>
    <col min="6407" max="6407" width="11.28515625" style="25" customWidth="1"/>
    <col min="6408" max="6408" width="13.85546875" style="25" customWidth="1"/>
    <col min="6409" max="6409" width="19.140625" style="25" bestFit="1" customWidth="1"/>
    <col min="6410" max="6410" width="10.140625" style="25" bestFit="1" customWidth="1"/>
    <col min="6411" max="6656" width="9.140625" style="25"/>
    <col min="6657" max="6657" width="14" style="25" customWidth="1"/>
    <col min="6658" max="6658" width="20.28515625" style="25" bestFit="1" customWidth="1"/>
    <col min="6659" max="6659" width="18.85546875" style="25" bestFit="1" customWidth="1"/>
    <col min="6660" max="6660" width="20.28515625" style="25" bestFit="1" customWidth="1"/>
    <col min="6661" max="6661" width="18.85546875" style="25" customWidth="1"/>
    <col min="6662" max="6662" width="14.7109375" style="25" customWidth="1"/>
    <col min="6663" max="6663" width="11.28515625" style="25" customWidth="1"/>
    <col min="6664" max="6664" width="13.85546875" style="25" customWidth="1"/>
    <col min="6665" max="6665" width="19.140625" style="25" bestFit="1" customWidth="1"/>
    <col min="6666" max="6666" width="10.140625" style="25" bestFit="1" customWidth="1"/>
    <col min="6667" max="6912" width="9.140625" style="25"/>
    <col min="6913" max="6913" width="14" style="25" customWidth="1"/>
    <col min="6914" max="6914" width="20.28515625" style="25" bestFit="1" customWidth="1"/>
    <col min="6915" max="6915" width="18.85546875" style="25" bestFit="1" customWidth="1"/>
    <col min="6916" max="6916" width="20.28515625" style="25" bestFit="1" customWidth="1"/>
    <col min="6917" max="6917" width="18.85546875" style="25" customWidth="1"/>
    <col min="6918" max="6918" width="14.7109375" style="25" customWidth="1"/>
    <col min="6919" max="6919" width="11.28515625" style="25" customWidth="1"/>
    <col min="6920" max="6920" width="13.85546875" style="25" customWidth="1"/>
    <col min="6921" max="6921" width="19.140625" style="25" bestFit="1" customWidth="1"/>
    <col min="6922" max="6922" width="10.140625" style="25" bestFit="1" customWidth="1"/>
    <col min="6923" max="7168" width="9.140625" style="25"/>
    <col min="7169" max="7169" width="14" style="25" customWidth="1"/>
    <col min="7170" max="7170" width="20.28515625" style="25" bestFit="1" customWidth="1"/>
    <col min="7171" max="7171" width="18.85546875" style="25" bestFit="1" customWidth="1"/>
    <col min="7172" max="7172" width="20.28515625" style="25" bestFit="1" customWidth="1"/>
    <col min="7173" max="7173" width="18.85546875" style="25" customWidth="1"/>
    <col min="7174" max="7174" width="14.7109375" style="25" customWidth="1"/>
    <col min="7175" max="7175" width="11.28515625" style="25" customWidth="1"/>
    <col min="7176" max="7176" width="13.85546875" style="25" customWidth="1"/>
    <col min="7177" max="7177" width="19.140625" style="25" bestFit="1" customWidth="1"/>
    <col min="7178" max="7178" width="10.140625" style="25" bestFit="1" customWidth="1"/>
    <col min="7179" max="7424" width="9.140625" style="25"/>
    <col min="7425" max="7425" width="14" style="25" customWidth="1"/>
    <col min="7426" max="7426" width="20.28515625" style="25" bestFit="1" customWidth="1"/>
    <col min="7427" max="7427" width="18.85546875" style="25" bestFit="1" customWidth="1"/>
    <col min="7428" max="7428" width="20.28515625" style="25" bestFit="1" customWidth="1"/>
    <col min="7429" max="7429" width="18.85546875" style="25" customWidth="1"/>
    <col min="7430" max="7430" width="14.7109375" style="25" customWidth="1"/>
    <col min="7431" max="7431" width="11.28515625" style="25" customWidth="1"/>
    <col min="7432" max="7432" width="13.85546875" style="25" customWidth="1"/>
    <col min="7433" max="7433" width="19.140625" style="25" bestFit="1" customWidth="1"/>
    <col min="7434" max="7434" width="10.140625" style="25" bestFit="1" customWidth="1"/>
    <col min="7435" max="7680" width="9.140625" style="25"/>
    <col min="7681" max="7681" width="14" style="25" customWidth="1"/>
    <col min="7682" max="7682" width="20.28515625" style="25" bestFit="1" customWidth="1"/>
    <col min="7683" max="7683" width="18.85546875" style="25" bestFit="1" customWidth="1"/>
    <col min="7684" max="7684" width="20.28515625" style="25" bestFit="1" customWidth="1"/>
    <col min="7685" max="7685" width="18.85546875" style="25" customWidth="1"/>
    <col min="7686" max="7686" width="14.7109375" style="25" customWidth="1"/>
    <col min="7687" max="7687" width="11.28515625" style="25" customWidth="1"/>
    <col min="7688" max="7688" width="13.85546875" style="25" customWidth="1"/>
    <col min="7689" max="7689" width="19.140625" style="25" bestFit="1" customWidth="1"/>
    <col min="7690" max="7690" width="10.140625" style="25" bestFit="1" customWidth="1"/>
    <col min="7691" max="7936" width="9.140625" style="25"/>
    <col min="7937" max="7937" width="14" style="25" customWidth="1"/>
    <col min="7938" max="7938" width="20.28515625" style="25" bestFit="1" customWidth="1"/>
    <col min="7939" max="7939" width="18.85546875" style="25" bestFit="1" customWidth="1"/>
    <col min="7940" max="7940" width="20.28515625" style="25" bestFit="1" customWidth="1"/>
    <col min="7941" max="7941" width="18.85546875" style="25" customWidth="1"/>
    <col min="7942" max="7942" width="14.7109375" style="25" customWidth="1"/>
    <col min="7943" max="7943" width="11.28515625" style="25" customWidth="1"/>
    <col min="7944" max="7944" width="13.85546875" style="25" customWidth="1"/>
    <col min="7945" max="7945" width="19.140625" style="25" bestFit="1" customWidth="1"/>
    <col min="7946" max="7946" width="10.140625" style="25" bestFit="1" customWidth="1"/>
    <col min="7947" max="8192" width="9.140625" style="25"/>
    <col min="8193" max="8193" width="14" style="25" customWidth="1"/>
    <col min="8194" max="8194" width="20.28515625" style="25" bestFit="1" customWidth="1"/>
    <col min="8195" max="8195" width="18.85546875" style="25" bestFit="1" customWidth="1"/>
    <col min="8196" max="8196" width="20.28515625" style="25" bestFit="1" customWidth="1"/>
    <col min="8197" max="8197" width="18.85546875" style="25" customWidth="1"/>
    <col min="8198" max="8198" width="14.7109375" style="25" customWidth="1"/>
    <col min="8199" max="8199" width="11.28515625" style="25" customWidth="1"/>
    <col min="8200" max="8200" width="13.85546875" style="25" customWidth="1"/>
    <col min="8201" max="8201" width="19.140625" style="25" bestFit="1" customWidth="1"/>
    <col min="8202" max="8202" width="10.140625" style="25" bestFit="1" customWidth="1"/>
    <col min="8203" max="8448" width="9.140625" style="25"/>
    <col min="8449" max="8449" width="14" style="25" customWidth="1"/>
    <col min="8450" max="8450" width="20.28515625" style="25" bestFit="1" customWidth="1"/>
    <col min="8451" max="8451" width="18.85546875" style="25" bestFit="1" customWidth="1"/>
    <col min="8452" max="8452" width="20.28515625" style="25" bestFit="1" customWidth="1"/>
    <col min="8453" max="8453" width="18.85546875" style="25" customWidth="1"/>
    <col min="8454" max="8454" width="14.7109375" style="25" customWidth="1"/>
    <col min="8455" max="8455" width="11.28515625" style="25" customWidth="1"/>
    <col min="8456" max="8456" width="13.85546875" style="25" customWidth="1"/>
    <col min="8457" max="8457" width="19.140625" style="25" bestFit="1" customWidth="1"/>
    <col min="8458" max="8458" width="10.140625" style="25" bestFit="1" customWidth="1"/>
    <col min="8459" max="8704" width="9.140625" style="25"/>
    <col min="8705" max="8705" width="14" style="25" customWidth="1"/>
    <col min="8706" max="8706" width="20.28515625" style="25" bestFit="1" customWidth="1"/>
    <col min="8707" max="8707" width="18.85546875" style="25" bestFit="1" customWidth="1"/>
    <col min="8708" max="8708" width="20.28515625" style="25" bestFit="1" customWidth="1"/>
    <col min="8709" max="8709" width="18.85546875" style="25" customWidth="1"/>
    <col min="8710" max="8710" width="14.7109375" style="25" customWidth="1"/>
    <col min="8711" max="8711" width="11.28515625" style="25" customWidth="1"/>
    <col min="8712" max="8712" width="13.85546875" style="25" customWidth="1"/>
    <col min="8713" max="8713" width="19.140625" style="25" bestFit="1" customWidth="1"/>
    <col min="8714" max="8714" width="10.140625" style="25" bestFit="1" customWidth="1"/>
    <col min="8715" max="8960" width="9.140625" style="25"/>
    <col min="8961" max="8961" width="14" style="25" customWidth="1"/>
    <col min="8962" max="8962" width="20.28515625" style="25" bestFit="1" customWidth="1"/>
    <col min="8963" max="8963" width="18.85546875" style="25" bestFit="1" customWidth="1"/>
    <col min="8964" max="8964" width="20.28515625" style="25" bestFit="1" customWidth="1"/>
    <col min="8965" max="8965" width="18.85546875" style="25" customWidth="1"/>
    <col min="8966" max="8966" width="14.7109375" style="25" customWidth="1"/>
    <col min="8967" max="8967" width="11.28515625" style="25" customWidth="1"/>
    <col min="8968" max="8968" width="13.85546875" style="25" customWidth="1"/>
    <col min="8969" max="8969" width="19.140625" style="25" bestFit="1" customWidth="1"/>
    <col min="8970" max="8970" width="10.140625" style="25" bestFit="1" customWidth="1"/>
    <col min="8971" max="9216" width="9.140625" style="25"/>
    <col min="9217" max="9217" width="14" style="25" customWidth="1"/>
    <col min="9218" max="9218" width="20.28515625" style="25" bestFit="1" customWidth="1"/>
    <col min="9219" max="9219" width="18.85546875" style="25" bestFit="1" customWidth="1"/>
    <col min="9220" max="9220" width="20.28515625" style="25" bestFit="1" customWidth="1"/>
    <col min="9221" max="9221" width="18.85546875" style="25" customWidth="1"/>
    <col min="9222" max="9222" width="14.7109375" style="25" customWidth="1"/>
    <col min="9223" max="9223" width="11.28515625" style="25" customWidth="1"/>
    <col min="9224" max="9224" width="13.85546875" style="25" customWidth="1"/>
    <col min="9225" max="9225" width="19.140625" style="25" bestFit="1" customWidth="1"/>
    <col min="9226" max="9226" width="10.140625" style="25" bestFit="1" customWidth="1"/>
    <col min="9227" max="9472" width="9.140625" style="25"/>
    <col min="9473" max="9473" width="14" style="25" customWidth="1"/>
    <col min="9474" max="9474" width="20.28515625" style="25" bestFit="1" customWidth="1"/>
    <col min="9475" max="9475" width="18.85546875" style="25" bestFit="1" customWidth="1"/>
    <col min="9476" max="9476" width="20.28515625" style="25" bestFit="1" customWidth="1"/>
    <col min="9477" max="9477" width="18.85546875" style="25" customWidth="1"/>
    <col min="9478" max="9478" width="14.7109375" style="25" customWidth="1"/>
    <col min="9479" max="9479" width="11.28515625" style="25" customWidth="1"/>
    <col min="9480" max="9480" width="13.85546875" style="25" customWidth="1"/>
    <col min="9481" max="9481" width="19.140625" style="25" bestFit="1" customWidth="1"/>
    <col min="9482" max="9482" width="10.140625" style="25" bestFit="1" customWidth="1"/>
    <col min="9483" max="9728" width="9.140625" style="25"/>
    <col min="9729" max="9729" width="14" style="25" customWidth="1"/>
    <col min="9730" max="9730" width="20.28515625" style="25" bestFit="1" customWidth="1"/>
    <col min="9731" max="9731" width="18.85546875" style="25" bestFit="1" customWidth="1"/>
    <col min="9732" max="9732" width="20.28515625" style="25" bestFit="1" customWidth="1"/>
    <col min="9733" max="9733" width="18.85546875" style="25" customWidth="1"/>
    <col min="9734" max="9734" width="14.7109375" style="25" customWidth="1"/>
    <col min="9735" max="9735" width="11.28515625" style="25" customWidth="1"/>
    <col min="9736" max="9736" width="13.85546875" style="25" customWidth="1"/>
    <col min="9737" max="9737" width="19.140625" style="25" bestFit="1" customWidth="1"/>
    <col min="9738" max="9738" width="10.140625" style="25" bestFit="1" customWidth="1"/>
    <col min="9739" max="9984" width="9.140625" style="25"/>
    <col min="9985" max="9985" width="14" style="25" customWidth="1"/>
    <col min="9986" max="9986" width="20.28515625" style="25" bestFit="1" customWidth="1"/>
    <col min="9987" max="9987" width="18.85546875" style="25" bestFit="1" customWidth="1"/>
    <col min="9988" max="9988" width="20.28515625" style="25" bestFit="1" customWidth="1"/>
    <col min="9989" max="9989" width="18.85546875" style="25" customWidth="1"/>
    <col min="9990" max="9990" width="14.7109375" style="25" customWidth="1"/>
    <col min="9991" max="9991" width="11.28515625" style="25" customWidth="1"/>
    <col min="9992" max="9992" width="13.85546875" style="25" customWidth="1"/>
    <col min="9993" max="9993" width="19.140625" style="25" bestFit="1" customWidth="1"/>
    <col min="9994" max="9994" width="10.140625" style="25" bestFit="1" customWidth="1"/>
    <col min="9995" max="10240" width="9.140625" style="25"/>
    <col min="10241" max="10241" width="14" style="25" customWidth="1"/>
    <col min="10242" max="10242" width="20.28515625" style="25" bestFit="1" customWidth="1"/>
    <col min="10243" max="10243" width="18.85546875" style="25" bestFit="1" customWidth="1"/>
    <col min="10244" max="10244" width="20.28515625" style="25" bestFit="1" customWidth="1"/>
    <col min="10245" max="10245" width="18.85546875" style="25" customWidth="1"/>
    <col min="10246" max="10246" width="14.7109375" style="25" customWidth="1"/>
    <col min="10247" max="10247" width="11.28515625" style="25" customWidth="1"/>
    <col min="10248" max="10248" width="13.85546875" style="25" customWidth="1"/>
    <col min="10249" max="10249" width="19.140625" style="25" bestFit="1" customWidth="1"/>
    <col min="10250" max="10250" width="10.140625" style="25" bestFit="1" customWidth="1"/>
    <col min="10251" max="10496" width="9.140625" style="25"/>
    <col min="10497" max="10497" width="14" style="25" customWidth="1"/>
    <col min="10498" max="10498" width="20.28515625" style="25" bestFit="1" customWidth="1"/>
    <col min="10499" max="10499" width="18.85546875" style="25" bestFit="1" customWidth="1"/>
    <col min="10500" max="10500" width="20.28515625" style="25" bestFit="1" customWidth="1"/>
    <col min="10501" max="10501" width="18.85546875" style="25" customWidth="1"/>
    <col min="10502" max="10502" width="14.7109375" style="25" customWidth="1"/>
    <col min="10503" max="10503" width="11.28515625" style="25" customWidth="1"/>
    <col min="10504" max="10504" width="13.85546875" style="25" customWidth="1"/>
    <col min="10505" max="10505" width="19.140625" style="25" bestFit="1" customWidth="1"/>
    <col min="10506" max="10506" width="10.140625" style="25" bestFit="1" customWidth="1"/>
    <col min="10507" max="10752" width="9.140625" style="25"/>
    <col min="10753" max="10753" width="14" style="25" customWidth="1"/>
    <col min="10754" max="10754" width="20.28515625" style="25" bestFit="1" customWidth="1"/>
    <col min="10755" max="10755" width="18.85546875" style="25" bestFit="1" customWidth="1"/>
    <col min="10756" max="10756" width="20.28515625" style="25" bestFit="1" customWidth="1"/>
    <col min="10757" max="10757" width="18.85546875" style="25" customWidth="1"/>
    <col min="10758" max="10758" width="14.7109375" style="25" customWidth="1"/>
    <col min="10759" max="10759" width="11.28515625" style="25" customWidth="1"/>
    <col min="10760" max="10760" width="13.85546875" style="25" customWidth="1"/>
    <col min="10761" max="10761" width="19.140625" style="25" bestFit="1" customWidth="1"/>
    <col min="10762" max="10762" width="10.140625" style="25" bestFit="1" customWidth="1"/>
    <col min="10763" max="11008" width="9.140625" style="25"/>
    <col min="11009" max="11009" width="14" style="25" customWidth="1"/>
    <col min="11010" max="11010" width="20.28515625" style="25" bestFit="1" customWidth="1"/>
    <col min="11011" max="11011" width="18.85546875" style="25" bestFit="1" customWidth="1"/>
    <col min="11012" max="11012" width="20.28515625" style="25" bestFit="1" customWidth="1"/>
    <col min="11013" max="11013" width="18.85546875" style="25" customWidth="1"/>
    <col min="11014" max="11014" width="14.7109375" style="25" customWidth="1"/>
    <col min="11015" max="11015" width="11.28515625" style="25" customWidth="1"/>
    <col min="11016" max="11016" width="13.85546875" style="25" customWidth="1"/>
    <col min="11017" max="11017" width="19.140625" style="25" bestFit="1" customWidth="1"/>
    <col min="11018" max="11018" width="10.140625" style="25" bestFit="1" customWidth="1"/>
    <col min="11019" max="11264" width="9.140625" style="25"/>
    <col min="11265" max="11265" width="14" style="25" customWidth="1"/>
    <col min="11266" max="11266" width="20.28515625" style="25" bestFit="1" customWidth="1"/>
    <col min="11267" max="11267" width="18.85546875" style="25" bestFit="1" customWidth="1"/>
    <col min="11268" max="11268" width="20.28515625" style="25" bestFit="1" customWidth="1"/>
    <col min="11269" max="11269" width="18.85546875" style="25" customWidth="1"/>
    <col min="11270" max="11270" width="14.7109375" style="25" customWidth="1"/>
    <col min="11271" max="11271" width="11.28515625" style="25" customWidth="1"/>
    <col min="11272" max="11272" width="13.85546875" style="25" customWidth="1"/>
    <col min="11273" max="11273" width="19.140625" style="25" bestFit="1" customWidth="1"/>
    <col min="11274" max="11274" width="10.140625" style="25" bestFit="1" customWidth="1"/>
    <col min="11275" max="11520" width="9.140625" style="25"/>
    <col min="11521" max="11521" width="14" style="25" customWidth="1"/>
    <col min="11522" max="11522" width="20.28515625" style="25" bestFit="1" customWidth="1"/>
    <col min="11523" max="11523" width="18.85546875" style="25" bestFit="1" customWidth="1"/>
    <col min="11524" max="11524" width="20.28515625" style="25" bestFit="1" customWidth="1"/>
    <col min="11525" max="11525" width="18.85546875" style="25" customWidth="1"/>
    <col min="11526" max="11526" width="14.7109375" style="25" customWidth="1"/>
    <col min="11527" max="11527" width="11.28515625" style="25" customWidth="1"/>
    <col min="11528" max="11528" width="13.85546875" style="25" customWidth="1"/>
    <col min="11529" max="11529" width="19.140625" style="25" bestFit="1" customWidth="1"/>
    <col min="11530" max="11530" width="10.140625" style="25" bestFit="1" customWidth="1"/>
    <col min="11531" max="11776" width="9.140625" style="25"/>
    <col min="11777" max="11777" width="14" style="25" customWidth="1"/>
    <col min="11778" max="11778" width="20.28515625" style="25" bestFit="1" customWidth="1"/>
    <col min="11779" max="11779" width="18.85546875" style="25" bestFit="1" customWidth="1"/>
    <col min="11780" max="11780" width="20.28515625" style="25" bestFit="1" customWidth="1"/>
    <col min="11781" max="11781" width="18.85546875" style="25" customWidth="1"/>
    <col min="11782" max="11782" width="14.7109375" style="25" customWidth="1"/>
    <col min="11783" max="11783" width="11.28515625" style="25" customWidth="1"/>
    <col min="11784" max="11784" width="13.85546875" style="25" customWidth="1"/>
    <col min="11785" max="11785" width="19.140625" style="25" bestFit="1" customWidth="1"/>
    <col min="11786" max="11786" width="10.140625" style="25" bestFit="1" customWidth="1"/>
    <col min="11787" max="12032" width="9.140625" style="25"/>
    <col min="12033" max="12033" width="14" style="25" customWidth="1"/>
    <col min="12034" max="12034" width="20.28515625" style="25" bestFit="1" customWidth="1"/>
    <col min="12035" max="12035" width="18.85546875" style="25" bestFit="1" customWidth="1"/>
    <col min="12036" max="12036" width="20.28515625" style="25" bestFit="1" customWidth="1"/>
    <col min="12037" max="12037" width="18.85546875" style="25" customWidth="1"/>
    <col min="12038" max="12038" width="14.7109375" style="25" customWidth="1"/>
    <col min="12039" max="12039" width="11.28515625" style="25" customWidth="1"/>
    <col min="12040" max="12040" width="13.85546875" style="25" customWidth="1"/>
    <col min="12041" max="12041" width="19.140625" style="25" bestFit="1" customWidth="1"/>
    <col min="12042" max="12042" width="10.140625" style="25" bestFit="1" customWidth="1"/>
    <col min="12043" max="12288" width="9.140625" style="25"/>
    <col min="12289" max="12289" width="14" style="25" customWidth="1"/>
    <col min="12290" max="12290" width="20.28515625" style="25" bestFit="1" customWidth="1"/>
    <col min="12291" max="12291" width="18.85546875" style="25" bestFit="1" customWidth="1"/>
    <col min="12292" max="12292" width="20.28515625" style="25" bestFit="1" customWidth="1"/>
    <col min="12293" max="12293" width="18.85546875" style="25" customWidth="1"/>
    <col min="12294" max="12294" width="14.7109375" style="25" customWidth="1"/>
    <col min="12295" max="12295" width="11.28515625" style="25" customWidth="1"/>
    <col min="12296" max="12296" width="13.85546875" style="25" customWidth="1"/>
    <col min="12297" max="12297" width="19.140625" style="25" bestFit="1" customWidth="1"/>
    <col min="12298" max="12298" width="10.140625" style="25" bestFit="1" customWidth="1"/>
    <col min="12299" max="12544" width="9.140625" style="25"/>
    <col min="12545" max="12545" width="14" style="25" customWidth="1"/>
    <col min="12546" max="12546" width="20.28515625" style="25" bestFit="1" customWidth="1"/>
    <col min="12547" max="12547" width="18.85546875" style="25" bestFit="1" customWidth="1"/>
    <col min="12548" max="12548" width="20.28515625" style="25" bestFit="1" customWidth="1"/>
    <col min="12549" max="12549" width="18.85546875" style="25" customWidth="1"/>
    <col min="12550" max="12550" width="14.7109375" style="25" customWidth="1"/>
    <col min="12551" max="12551" width="11.28515625" style="25" customWidth="1"/>
    <col min="12552" max="12552" width="13.85546875" style="25" customWidth="1"/>
    <col min="12553" max="12553" width="19.140625" style="25" bestFit="1" customWidth="1"/>
    <col min="12554" max="12554" width="10.140625" style="25" bestFit="1" customWidth="1"/>
    <col min="12555" max="12800" width="9.140625" style="25"/>
    <col min="12801" max="12801" width="14" style="25" customWidth="1"/>
    <col min="12802" max="12802" width="20.28515625" style="25" bestFit="1" customWidth="1"/>
    <col min="12803" max="12803" width="18.85546875" style="25" bestFit="1" customWidth="1"/>
    <col min="12804" max="12804" width="20.28515625" style="25" bestFit="1" customWidth="1"/>
    <col min="12805" max="12805" width="18.85546875" style="25" customWidth="1"/>
    <col min="12806" max="12806" width="14.7109375" style="25" customWidth="1"/>
    <col min="12807" max="12807" width="11.28515625" style="25" customWidth="1"/>
    <col min="12808" max="12808" width="13.85546875" style="25" customWidth="1"/>
    <col min="12809" max="12809" width="19.140625" style="25" bestFit="1" customWidth="1"/>
    <col min="12810" max="12810" width="10.140625" style="25" bestFit="1" customWidth="1"/>
    <col min="12811" max="13056" width="9.140625" style="25"/>
    <col min="13057" max="13057" width="14" style="25" customWidth="1"/>
    <col min="13058" max="13058" width="20.28515625" style="25" bestFit="1" customWidth="1"/>
    <col min="13059" max="13059" width="18.85546875" style="25" bestFit="1" customWidth="1"/>
    <col min="13060" max="13060" width="20.28515625" style="25" bestFit="1" customWidth="1"/>
    <col min="13061" max="13061" width="18.85546875" style="25" customWidth="1"/>
    <col min="13062" max="13062" width="14.7109375" style="25" customWidth="1"/>
    <col min="13063" max="13063" width="11.28515625" style="25" customWidth="1"/>
    <col min="13064" max="13064" width="13.85546875" style="25" customWidth="1"/>
    <col min="13065" max="13065" width="19.140625" style="25" bestFit="1" customWidth="1"/>
    <col min="13066" max="13066" width="10.140625" style="25" bestFit="1" customWidth="1"/>
    <col min="13067" max="13312" width="9.140625" style="25"/>
    <col min="13313" max="13313" width="14" style="25" customWidth="1"/>
    <col min="13314" max="13314" width="20.28515625" style="25" bestFit="1" customWidth="1"/>
    <col min="13315" max="13315" width="18.85546875" style="25" bestFit="1" customWidth="1"/>
    <col min="13316" max="13316" width="20.28515625" style="25" bestFit="1" customWidth="1"/>
    <col min="13317" max="13317" width="18.85546875" style="25" customWidth="1"/>
    <col min="13318" max="13318" width="14.7109375" style="25" customWidth="1"/>
    <col min="13319" max="13319" width="11.28515625" style="25" customWidth="1"/>
    <col min="13320" max="13320" width="13.85546875" style="25" customWidth="1"/>
    <col min="13321" max="13321" width="19.140625" style="25" bestFit="1" customWidth="1"/>
    <col min="13322" max="13322" width="10.140625" style="25" bestFit="1" customWidth="1"/>
    <col min="13323" max="13568" width="9.140625" style="25"/>
    <col min="13569" max="13569" width="14" style="25" customWidth="1"/>
    <col min="13570" max="13570" width="20.28515625" style="25" bestFit="1" customWidth="1"/>
    <col min="13571" max="13571" width="18.85546875" style="25" bestFit="1" customWidth="1"/>
    <col min="13572" max="13572" width="20.28515625" style="25" bestFit="1" customWidth="1"/>
    <col min="13573" max="13573" width="18.85546875" style="25" customWidth="1"/>
    <col min="13574" max="13574" width="14.7109375" style="25" customWidth="1"/>
    <col min="13575" max="13575" width="11.28515625" style="25" customWidth="1"/>
    <col min="13576" max="13576" width="13.85546875" style="25" customWidth="1"/>
    <col min="13577" max="13577" width="19.140625" style="25" bestFit="1" customWidth="1"/>
    <col min="13578" max="13578" width="10.140625" style="25" bestFit="1" customWidth="1"/>
    <col min="13579" max="13824" width="9.140625" style="25"/>
    <col min="13825" max="13825" width="14" style="25" customWidth="1"/>
    <col min="13826" max="13826" width="20.28515625" style="25" bestFit="1" customWidth="1"/>
    <col min="13827" max="13827" width="18.85546875" style="25" bestFit="1" customWidth="1"/>
    <col min="13828" max="13828" width="20.28515625" style="25" bestFit="1" customWidth="1"/>
    <col min="13829" max="13829" width="18.85546875" style="25" customWidth="1"/>
    <col min="13830" max="13830" width="14.7109375" style="25" customWidth="1"/>
    <col min="13831" max="13831" width="11.28515625" style="25" customWidth="1"/>
    <col min="13832" max="13832" width="13.85546875" style="25" customWidth="1"/>
    <col min="13833" max="13833" width="19.140625" style="25" bestFit="1" customWidth="1"/>
    <col min="13834" max="13834" width="10.140625" style="25" bestFit="1" customWidth="1"/>
    <col min="13835" max="14080" width="9.140625" style="25"/>
    <col min="14081" max="14081" width="14" style="25" customWidth="1"/>
    <col min="14082" max="14082" width="20.28515625" style="25" bestFit="1" customWidth="1"/>
    <col min="14083" max="14083" width="18.85546875" style="25" bestFit="1" customWidth="1"/>
    <col min="14084" max="14084" width="20.28515625" style="25" bestFit="1" customWidth="1"/>
    <col min="14085" max="14085" width="18.85546875" style="25" customWidth="1"/>
    <col min="14086" max="14086" width="14.7109375" style="25" customWidth="1"/>
    <col min="14087" max="14087" width="11.28515625" style="25" customWidth="1"/>
    <col min="14088" max="14088" width="13.85546875" style="25" customWidth="1"/>
    <col min="14089" max="14089" width="19.140625" style="25" bestFit="1" customWidth="1"/>
    <col min="14090" max="14090" width="10.140625" style="25" bestFit="1" customWidth="1"/>
    <col min="14091" max="14336" width="9.140625" style="25"/>
    <col min="14337" max="14337" width="14" style="25" customWidth="1"/>
    <col min="14338" max="14338" width="20.28515625" style="25" bestFit="1" customWidth="1"/>
    <col min="14339" max="14339" width="18.85546875" style="25" bestFit="1" customWidth="1"/>
    <col min="14340" max="14340" width="20.28515625" style="25" bestFit="1" customWidth="1"/>
    <col min="14341" max="14341" width="18.85546875" style="25" customWidth="1"/>
    <col min="14342" max="14342" width="14.7109375" style="25" customWidth="1"/>
    <col min="14343" max="14343" width="11.28515625" style="25" customWidth="1"/>
    <col min="14344" max="14344" width="13.85546875" style="25" customWidth="1"/>
    <col min="14345" max="14345" width="19.140625" style="25" bestFit="1" customWidth="1"/>
    <col min="14346" max="14346" width="10.140625" style="25" bestFit="1" customWidth="1"/>
    <col min="14347" max="14592" width="9.140625" style="25"/>
    <col min="14593" max="14593" width="14" style="25" customWidth="1"/>
    <col min="14594" max="14594" width="20.28515625" style="25" bestFit="1" customWidth="1"/>
    <col min="14595" max="14595" width="18.85546875" style="25" bestFit="1" customWidth="1"/>
    <col min="14596" max="14596" width="20.28515625" style="25" bestFit="1" customWidth="1"/>
    <col min="14597" max="14597" width="18.85546875" style="25" customWidth="1"/>
    <col min="14598" max="14598" width="14.7109375" style="25" customWidth="1"/>
    <col min="14599" max="14599" width="11.28515625" style="25" customWidth="1"/>
    <col min="14600" max="14600" width="13.85546875" style="25" customWidth="1"/>
    <col min="14601" max="14601" width="19.140625" style="25" bestFit="1" customWidth="1"/>
    <col min="14602" max="14602" width="10.140625" style="25" bestFit="1" customWidth="1"/>
    <col min="14603" max="14848" width="9.140625" style="25"/>
    <col min="14849" max="14849" width="14" style="25" customWidth="1"/>
    <col min="14850" max="14850" width="20.28515625" style="25" bestFit="1" customWidth="1"/>
    <col min="14851" max="14851" width="18.85546875" style="25" bestFit="1" customWidth="1"/>
    <col min="14852" max="14852" width="20.28515625" style="25" bestFit="1" customWidth="1"/>
    <col min="14853" max="14853" width="18.85546875" style="25" customWidth="1"/>
    <col min="14854" max="14854" width="14.7109375" style="25" customWidth="1"/>
    <col min="14855" max="14855" width="11.28515625" style="25" customWidth="1"/>
    <col min="14856" max="14856" width="13.85546875" style="25" customWidth="1"/>
    <col min="14857" max="14857" width="19.140625" style="25" bestFit="1" customWidth="1"/>
    <col min="14858" max="14858" width="10.140625" style="25" bestFit="1" customWidth="1"/>
    <col min="14859" max="15104" width="9.140625" style="25"/>
    <col min="15105" max="15105" width="14" style="25" customWidth="1"/>
    <col min="15106" max="15106" width="20.28515625" style="25" bestFit="1" customWidth="1"/>
    <col min="15107" max="15107" width="18.85546875" style="25" bestFit="1" customWidth="1"/>
    <col min="15108" max="15108" width="20.28515625" style="25" bestFit="1" customWidth="1"/>
    <col min="15109" max="15109" width="18.85546875" style="25" customWidth="1"/>
    <col min="15110" max="15110" width="14.7109375" style="25" customWidth="1"/>
    <col min="15111" max="15111" width="11.28515625" style="25" customWidth="1"/>
    <col min="15112" max="15112" width="13.85546875" style="25" customWidth="1"/>
    <col min="15113" max="15113" width="19.140625" style="25" bestFit="1" customWidth="1"/>
    <col min="15114" max="15114" width="10.140625" style="25" bestFit="1" customWidth="1"/>
    <col min="15115" max="15360" width="9.140625" style="25"/>
    <col min="15361" max="15361" width="14" style="25" customWidth="1"/>
    <col min="15362" max="15362" width="20.28515625" style="25" bestFit="1" customWidth="1"/>
    <col min="15363" max="15363" width="18.85546875" style="25" bestFit="1" customWidth="1"/>
    <col min="15364" max="15364" width="20.28515625" style="25" bestFit="1" customWidth="1"/>
    <col min="15365" max="15365" width="18.85546875" style="25" customWidth="1"/>
    <col min="15366" max="15366" width="14.7109375" style="25" customWidth="1"/>
    <col min="15367" max="15367" width="11.28515625" style="25" customWidth="1"/>
    <col min="15368" max="15368" width="13.85546875" style="25" customWidth="1"/>
    <col min="15369" max="15369" width="19.140625" style="25" bestFit="1" customWidth="1"/>
    <col min="15370" max="15370" width="10.140625" style="25" bestFit="1" customWidth="1"/>
    <col min="15371" max="15616" width="9.140625" style="25"/>
    <col min="15617" max="15617" width="14" style="25" customWidth="1"/>
    <col min="15618" max="15618" width="20.28515625" style="25" bestFit="1" customWidth="1"/>
    <col min="15619" max="15619" width="18.85546875" style="25" bestFit="1" customWidth="1"/>
    <col min="15620" max="15620" width="20.28515625" style="25" bestFit="1" customWidth="1"/>
    <col min="15621" max="15621" width="18.85546875" style="25" customWidth="1"/>
    <col min="15622" max="15622" width="14.7109375" style="25" customWidth="1"/>
    <col min="15623" max="15623" width="11.28515625" style="25" customWidth="1"/>
    <col min="15624" max="15624" width="13.85546875" style="25" customWidth="1"/>
    <col min="15625" max="15625" width="19.140625" style="25" bestFit="1" customWidth="1"/>
    <col min="15626" max="15626" width="10.140625" style="25" bestFit="1" customWidth="1"/>
    <col min="15627" max="15872" width="9.140625" style="25"/>
    <col min="15873" max="15873" width="14" style="25" customWidth="1"/>
    <col min="15874" max="15874" width="20.28515625" style="25" bestFit="1" customWidth="1"/>
    <col min="15875" max="15875" width="18.85546875" style="25" bestFit="1" customWidth="1"/>
    <col min="15876" max="15876" width="20.28515625" style="25" bestFit="1" customWidth="1"/>
    <col min="15877" max="15877" width="18.85546875" style="25" customWidth="1"/>
    <col min="15878" max="15878" width="14.7109375" style="25" customWidth="1"/>
    <col min="15879" max="15879" width="11.28515625" style="25" customWidth="1"/>
    <col min="15880" max="15880" width="13.85546875" style="25" customWidth="1"/>
    <col min="15881" max="15881" width="19.140625" style="25" bestFit="1" customWidth="1"/>
    <col min="15882" max="15882" width="10.140625" style="25" bestFit="1" customWidth="1"/>
    <col min="15883" max="16128" width="9.140625" style="25"/>
    <col min="16129" max="16129" width="14" style="25" customWidth="1"/>
    <col min="16130" max="16130" width="20.28515625" style="25" bestFit="1" customWidth="1"/>
    <col min="16131" max="16131" width="18.85546875" style="25" bestFit="1" customWidth="1"/>
    <col min="16132" max="16132" width="20.28515625" style="25" bestFit="1" customWidth="1"/>
    <col min="16133" max="16133" width="18.85546875" style="25" customWidth="1"/>
    <col min="16134" max="16134" width="14.7109375" style="25" customWidth="1"/>
    <col min="16135" max="16135" width="11.28515625" style="25" customWidth="1"/>
    <col min="16136" max="16136" width="13.85546875" style="25" customWidth="1"/>
    <col min="16137" max="16137" width="19.140625" style="25" bestFit="1" customWidth="1"/>
    <col min="16138" max="16138" width="10.140625" style="25" bestFit="1" customWidth="1"/>
    <col min="16139" max="16384" width="9.140625" style="25"/>
  </cols>
  <sheetData>
    <row r="1" spans="1:10" ht="18" x14ac:dyDescent="0.25">
      <c r="A1" s="32" t="s">
        <v>13</v>
      </c>
    </row>
    <row r="2" spans="1:10" ht="18" x14ac:dyDescent="0.25">
      <c r="A2" s="80"/>
      <c r="B2" s="36" t="s">
        <v>14</v>
      </c>
      <c r="C2" s="36" t="s">
        <v>15</v>
      </c>
      <c r="D2" s="36" t="s">
        <v>14</v>
      </c>
      <c r="E2" s="36" t="s">
        <v>15</v>
      </c>
      <c r="F2" s="36" t="s">
        <v>16</v>
      </c>
      <c r="G2" s="39" t="s">
        <v>17</v>
      </c>
      <c r="H2" s="39" t="s">
        <v>18</v>
      </c>
      <c r="I2" s="39" t="s">
        <v>19</v>
      </c>
      <c r="J2" s="17" t="s">
        <v>20</v>
      </c>
    </row>
    <row r="3" spans="1:10" x14ac:dyDescent="0.2">
      <c r="A3" s="81"/>
      <c r="B3" s="36" t="s">
        <v>21</v>
      </c>
      <c r="C3" s="36" t="s">
        <v>21</v>
      </c>
      <c r="D3" s="36" t="s">
        <v>22</v>
      </c>
      <c r="E3" s="36" t="s">
        <v>22</v>
      </c>
      <c r="F3" s="82" t="s">
        <v>21</v>
      </c>
      <c r="G3" s="39" t="s">
        <v>23</v>
      </c>
      <c r="H3" s="83"/>
      <c r="I3" s="39" t="s">
        <v>24</v>
      </c>
      <c r="J3" s="17" t="s">
        <v>25</v>
      </c>
    </row>
    <row r="4" spans="1:10" x14ac:dyDescent="0.2">
      <c r="A4" s="5">
        <v>44409</v>
      </c>
      <c r="B4" s="85">
        <v>0</v>
      </c>
      <c r="C4" s="86">
        <f>IF(B5-B4 &lt; 0,0,B5-B4)</f>
        <v>683</v>
      </c>
      <c r="D4" s="85">
        <v>258</v>
      </c>
      <c r="E4" s="86">
        <f t="shared" ref="E4:E33" si="0">IF(D5-D4 &lt; 0,0,D5-D4)</f>
        <v>416</v>
      </c>
      <c r="F4" s="85">
        <v>61</v>
      </c>
      <c r="G4" s="87">
        <v>0</v>
      </c>
      <c r="H4" s="87" t="s">
        <v>32</v>
      </c>
      <c r="I4" s="86">
        <f>+E4+C4</f>
        <v>1099</v>
      </c>
      <c r="J4" s="18">
        <f>(C4*0.288)+(E4*0.177)</f>
        <v>270.33599999999996</v>
      </c>
    </row>
    <row r="5" spans="1:10" x14ac:dyDescent="0.2">
      <c r="A5" s="5">
        <v>44410</v>
      </c>
      <c r="B5" s="85">
        <v>683</v>
      </c>
      <c r="C5" s="86">
        <f t="shared" ref="C5:C33" si="1">IF(B6-B5 &lt; 0,0,B6-B5)</f>
        <v>702</v>
      </c>
      <c r="D5" s="85">
        <v>674</v>
      </c>
      <c r="E5" s="86">
        <f t="shared" si="0"/>
        <v>452</v>
      </c>
      <c r="F5" s="85">
        <v>69</v>
      </c>
      <c r="G5" s="87">
        <v>0</v>
      </c>
      <c r="H5" s="87" t="s">
        <v>32</v>
      </c>
      <c r="I5" s="86">
        <f t="shared" ref="I5:I35" si="2">+E5+C5</f>
        <v>1154</v>
      </c>
      <c r="J5" s="18">
        <f t="shared" ref="J5:J35" si="3">(C5*0.288)+(E5*0.177)</f>
        <v>282.17999999999995</v>
      </c>
    </row>
    <row r="6" spans="1:10" x14ac:dyDescent="0.2">
      <c r="A6" s="5">
        <v>44411</v>
      </c>
      <c r="B6" s="85">
        <v>1385</v>
      </c>
      <c r="C6" s="86">
        <f t="shared" si="1"/>
        <v>610</v>
      </c>
      <c r="D6" s="85">
        <v>1126</v>
      </c>
      <c r="E6" s="86">
        <f t="shared" si="0"/>
        <v>414</v>
      </c>
      <c r="F6" s="85">
        <v>76</v>
      </c>
      <c r="G6" s="87">
        <v>0</v>
      </c>
      <c r="H6" s="87" t="s">
        <v>32</v>
      </c>
      <c r="I6" s="86">
        <f t="shared" si="2"/>
        <v>1024</v>
      </c>
      <c r="J6" s="18">
        <f t="shared" si="3"/>
        <v>248.95799999999997</v>
      </c>
    </row>
    <row r="7" spans="1:10" x14ac:dyDescent="0.2">
      <c r="A7" s="5">
        <v>44412</v>
      </c>
      <c r="B7" s="85">
        <v>1995</v>
      </c>
      <c r="C7" s="86">
        <f t="shared" si="1"/>
        <v>776</v>
      </c>
      <c r="D7" s="85">
        <v>1540</v>
      </c>
      <c r="E7" s="86">
        <f t="shared" si="0"/>
        <v>410</v>
      </c>
      <c r="F7" s="85">
        <v>76</v>
      </c>
      <c r="G7" s="87">
        <v>0</v>
      </c>
      <c r="H7" s="87" t="s">
        <v>32</v>
      </c>
      <c r="I7" s="86">
        <f t="shared" si="2"/>
        <v>1186</v>
      </c>
      <c r="J7" s="18">
        <f t="shared" si="3"/>
        <v>296.05799999999999</v>
      </c>
    </row>
    <row r="8" spans="1:10" x14ac:dyDescent="0.2">
      <c r="A8" s="5">
        <v>44413</v>
      </c>
      <c r="B8" s="85">
        <v>2771</v>
      </c>
      <c r="C8" s="86">
        <f t="shared" si="1"/>
        <v>762</v>
      </c>
      <c r="D8" s="85">
        <v>1950</v>
      </c>
      <c r="E8" s="86">
        <f t="shared" si="0"/>
        <v>360</v>
      </c>
      <c r="F8" s="85">
        <v>76</v>
      </c>
      <c r="G8" s="87">
        <v>0</v>
      </c>
      <c r="H8" s="87" t="s">
        <v>27</v>
      </c>
      <c r="I8" s="86">
        <f t="shared" si="2"/>
        <v>1122</v>
      </c>
      <c r="J8" s="18">
        <f t="shared" si="3"/>
        <v>283.17599999999999</v>
      </c>
    </row>
    <row r="9" spans="1:10" x14ac:dyDescent="0.2">
      <c r="A9" s="5">
        <v>44414</v>
      </c>
      <c r="B9" s="85">
        <v>3533</v>
      </c>
      <c r="C9" s="86">
        <f t="shared" si="1"/>
        <v>560</v>
      </c>
      <c r="D9" s="85">
        <v>2310</v>
      </c>
      <c r="E9" s="86">
        <f t="shared" si="0"/>
        <v>376</v>
      </c>
      <c r="F9" s="85">
        <v>76</v>
      </c>
      <c r="G9" s="87">
        <v>0</v>
      </c>
      <c r="H9" s="87" t="s">
        <v>27</v>
      </c>
      <c r="I9" s="86">
        <f t="shared" si="2"/>
        <v>936</v>
      </c>
      <c r="J9" s="18">
        <f t="shared" si="3"/>
        <v>227.83199999999999</v>
      </c>
    </row>
    <row r="10" spans="1:10" x14ac:dyDescent="0.2">
      <c r="A10" s="5">
        <v>44415</v>
      </c>
      <c r="B10" s="85">
        <v>4093</v>
      </c>
      <c r="C10" s="86">
        <f t="shared" si="1"/>
        <v>540</v>
      </c>
      <c r="D10" s="85">
        <v>2686</v>
      </c>
      <c r="E10" s="86">
        <f t="shared" si="0"/>
        <v>380</v>
      </c>
      <c r="F10" s="85">
        <v>76</v>
      </c>
      <c r="G10" s="87">
        <v>0</v>
      </c>
      <c r="H10" s="87" t="s">
        <v>27</v>
      </c>
      <c r="I10" s="86">
        <f t="shared" si="2"/>
        <v>920</v>
      </c>
      <c r="J10" s="18">
        <f t="shared" si="3"/>
        <v>222.77999999999997</v>
      </c>
    </row>
    <row r="11" spans="1:10" x14ac:dyDescent="0.2">
      <c r="A11" s="5">
        <v>44416</v>
      </c>
      <c r="B11" s="85">
        <v>4633</v>
      </c>
      <c r="C11" s="86">
        <f t="shared" si="1"/>
        <v>547</v>
      </c>
      <c r="D11" s="85">
        <v>3066</v>
      </c>
      <c r="E11" s="86">
        <f t="shared" si="0"/>
        <v>378</v>
      </c>
      <c r="F11" s="85">
        <v>76</v>
      </c>
      <c r="G11" s="87">
        <v>0</v>
      </c>
      <c r="H11" s="87" t="s">
        <v>27</v>
      </c>
      <c r="I11" s="86">
        <f t="shared" si="2"/>
        <v>925</v>
      </c>
      <c r="J11" s="18">
        <f t="shared" si="3"/>
        <v>224.44200000000001</v>
      </c>
    </row>
    <row r="12" spans="1:10" x14ac:dyDescent="0.2">
      <c r="A12" s="5">
        <v>44417</v>
      </c>
      <c r="B12" s="85">
        <v>5180</v>
      </c>
      <c r="C12" s="86">
        <f t="shared" si="1"/>
        <v>548</v>
      </c>
      <c r="D12" s="85">
        <v>3444</v>
      </c>
      <c r="E12" s="86">
        <f t="shared" si="0"/>
        <v>382</v>
      </c>
      <c r="F12" s="85">
        <v>76</v>
      </c>
      <c r="G12" s="87">
        <v>0</v>
      </c>
      <c r="H12" s="87" t="s">
        <v>27</v>
      </c>
      <c r="I12" s="86">
        <f t="shared" si="2"/>
        <v>930</v>
      </c>
      <c r="J12" s="18">
        <f t="shared" si="3"/>
        <v>225.43799999999999</v>
      </c>
    </row>
    <row r="13" spans="1:10" x14ac:dyDescent="0.2">
      <c r="A13" s="5">
        <v>44418</v>
      </c>
      <c r="B13" s="85">
        <v>5728</v>
      </c>
      <c r="C13" s="86">
        <f t="shared" si="1"/>
        <v>518</v>
      </c>
      <c r="D13" s="85">
        <v>3826</v>
      </c>
      <c r="E13" s="86">
        <f t="shared" si="0"/>
        <v>365</v>
      </c>
      <c r="F13" s="85">
        <v>76</v>
      </c>
      <c r="G13" s="87">
        <v>0</v>
      </c>
      <c r="H13" s="87" t="s">
        <v>27</v>
      </c>
      <c r="I13" s="86">
        <f t="shared" si="2"/>
        <v>883</v>
      </c>
      <c r="J13" s="18">
        <f t="shared" si="3"/>
        <v>213.78899999999999</v>
      </c>
    </row>
    <row r="14" spans="1:10" x14ac:dyDescent="0.2">
      <c r="A14" s="5">
        <v>44419</v>
      </c>
      <c r="B14" s="85">
        <v>6246</v>
      </c>
      <c r="C14" s="86">
        <f t="shared" si="1"/>
        <v>675</v>
      </c>
      <c r="D14" s="85">
        <v>4191</v>
      </c>
      <c r="E14" s="86">
        <f t="shared" si="0"/>
        <v>293</v>
      </c>
      <c r="F14" s="85">
        <v>80</v>
      </c>
      <c r="G14" s="87">
        <v>0</v>
      </c>
      <c r="H14" s="87" t="s">
        <v>27</v>
      </c>
      <c r="I14" s="86">
        <f t="shared" si="2"/>
        <v>968</v>
      </c>
      <c r="J14" s="18">
        <f t="shared" si="3"/>
        <v>246.26099999999997</v>
      </c>
    </row>
    <row r="15" spans="1:10" x14ac:dyDescent="0.2">
      <c r="A15" s="5">
        <v>44420</v>
      </c>
      <c r="B15" s="85">
        <v>6921</v>
      </c>
      <c r="C15" s="86">
        <f t="shared" si="1"/>
        <v>775</v>
      </c>
      <c r="D15" s="85">
        <v>4484</v>
      </c>
      <c r="E15" s="86">
        <f t="shared" si="0"/>
        <v>424</v>
      </c>
      <c r="F15" s="85">
        <v>80</v>
      </c>
      <c r="G15" s="87">
        <v>0</v>
      </c>
      <c r="H15" s="87" t="s">
        <v>27</v>
      </c>
      <c r="I15" s="86">
        <f t="shared" si="2"/>
        <v>1199</v>
      </c>
      <c r="J15" s="18">
        <f t="shared" si="3"/>
        <v>298.24799999999999</v>
      </c>
    </row>
    <row r="16" spans="1:10" x14ac:dyDescent="0.2">
      <c r="A16" s="5">
        <v>44421</v>
      </c>
      <c r="B16" s="85">
        <v>7696</v>
      </c>
      <c r="C16" s="86">
        <f t="shared" si="1"/>
        <v>566</v>
      </c>
      <c r="D16" s="85">
        <v>4908</v>
      </c>
      <c r="E16" s="86">
        <f t="shared" si="0"/>
        <v>364</v>
      </c>
      <c r="F16" s="85">
        <v>80</v>
      </c>
      <c r="G16" s="87">
        <v>0</v>
      </c>
      <c r="H16" s="87" t="s">
        <v>27</v>
      </c>
      <c r="I16" s="86">
        <f t="shared" si="2"/>
        <v>930</v>
      </c>
      <c r="J16" s="18">
        <f t="shared" si="3"/>
        <v>227.43599999999998</v>
      </c>
    </row>
    <row r="17" spans="1:10" x14ac:dyDescent="0.2">
      <c r="A17" s="5">
        <v>44422</v>
      </c>
      <c r="B17" s="85">
        <v>8262</v>
      </c>
      <c r="C17" s="86">
        <f t="shared" si="1"/>
        <v>521</v>
      </c>
      <c r="D17" s="85">
        <v>5272</v>
      </c>
      <c r="E17" s="86">
        <f t="shared" si="0"/>
        <v>349</v>
      </c>
      <c r="F17" s="85">
        <v>80</v>
      </c>
      <c r="G17" s="87">
        <v>0</v>
      </c>
      <c r="H17" s="87" t="s">
        <v>27</v>
      </c>
      <c r="I17" s="86">
        <f t="shared" si="2"/>
        <v>870</v>
      </c>
      <c r="J17" s="18">
        <f t="shared" si="3"/>
        <v>211.821</v>
      </c>
    </row>
    <row r="18" spans="1:10" x14ac:dyDescent="0.2">
      <c r="A18" s="5">
        <v>44423</v>
      </c>
      <c r="B18" s="85">
        <v>8783</v>
      </c>
      <c r="C18" s="86">
        <f t="shared" si="1"/>
        <v>513</v>
      </c>
      <c r="D18" s="85">
        <v>5621</v>
      </c>
      <c r="E18" s="86">
        <f t="shared" si="0"/>
        <v>327</v>
      </c>
      <c r="F18" s="85">
        <v>80</v>
      </c>
      <c r="G18" s="87">
        <v>0</v>
      </c>
      <c r="H18" s="87" t="s">
        <v>27</v>
      </c>
      <c r="I18" s="86">
        <f t="shared" si="2"/>
        <v>840</v>
      </c>
      <c r="J18" s="18">
        <f t="shared" si="3"/>
        <v>205.62299999999999</v>
      </c>
    </row>
    <row r="19" spans="1:10" x14ac:dyDescent="0.2">
      <c r="A19" s="5">
        <v>44424</v>
      </c>
      <c r="B19" s="85">
        <v>9296</v>
      </c>
      <c r="C19" s="86">
        <f t="shared" si="1"/>
        <v>516</v>
      </c>
      <c r="D19" s="85">
        <v>5948</v>
      </c>
      <c r="E19" s="86">
        <f t="shared" si="0"/>
        <v>357</v>
      </c>
      <c r="F19" s="85">
        <v>80</v>
      </c>
      <c r="G19" s="87">
        <v>0</v>
      </c>
      <c r="H19" s="87" t="s">
        <v>27</v>
      </c>
      <c r="I19" s="86">
        <f t="shared" si="2"/>
        <v>873</v>
      </c>
      <c r="J19" s="18">
        <f t="shared" si="3"/>
        <v>211.79699999999997</v>
      </c>
    </row>
    <row r="20" spans="1:10" x14ac:dyDescent="0.2">
      <c r="A20" s="5">
        <v>44425</v>
      </c>
      <c r="B20" s="85">
        <v>9812</v>
      </c>
      <c r="C20" s="86">
        <f t="shared" si="1"/>
        <v>539</v>
      </c>
      <c r="D20" s="85">
        <v>6305</v>
      </c>
      <c r="E20" s="86">
        <f t="shared" si="0"/>
        <v>342</v>
      </c>
      <c r="F20" s="85">
        <v>80</v>
      </c>
      <c r="G20" s="87">
        <v>0</v>
      </c>
      <c r="H20" s="87" t="s">
        <v>27</v>
      </c>
      <c r="I20" s="86">
        <f t="shared" si="2"/>
        <v>881</v>
      </c>
      <c r="J20" s="18">
        <f t="shared" si="3"/>
        <v>215.76599999999999</v>
      </c>
    </row>
    <row r="21" spans="1:10" x14ac:dyDescent="0.2">
      <c r="A21" s="5">
        <v>44426</v>
      </c>
      <c r="B21" s="85">
        <v>10351</v>
      </c>
      <c r="C21" s="86">
        <f t="shared" si="1"/>
        <v>495</v>
      </c>
      <c r="D21" s="85">
        <v>6647</v>
      </c>
      <c r="E21" s="86">
        <f t="shared" si="0"/>
        <v>354</v>
      </c>
      <c r="F21" s="85">
        <v>80</v>
      </c>
      <c r="G21" s="87">
        <v>0</v>
      </c>
      <c r="H21" s="87" t="s">
        <v>27</v>
      </c>
      <c r="I21" s="86">
        <f t="shared" si="2"/>
        <v>849</v>
      </c>
      <c r="J21" s="18">
        <f t="shared" si="3"/>
        <v>205.21799999999999</v>
      </c>
    </row>
    <row r="22" spans="1:10" x14ac:dyDescent="0.2">
      <c r="A22" s="5">
        <v>44427</v>
      </c>
      <c r="B22" s="85">
        <v>10846</v>
      </c>
      <c r="C22" s="86">
        <f t="shared" si="1"/>
        <v>498</v>
      </c>
      <c r="D22" s="85">
        <v>7001</v>
      </c>
      <c r="E22" s="86">
        <f t="shared" si="0"/>
        <v>329</v>
      </c>
      <c r="F22" s="85">
        <v>80</v>
      </c>
      <c r="G22" s="87">
        <v>0</v>
      </c>
      <c r="H22" s="87" t="s">
        <v>27</v>
      </c>
      <c r="I22" s="86">
        <f t="shared" si="2"/>
        <v>827</v>
      </c>
      <c r="J22" s="18">
        <f t="shared" si="3"/>
        <v>201.65699999999998</v>
      </c>
    </row>
    <row r="23" spans="1:10" x14ac:dyDescent="0.2">
      <c r="A23" s="5">
        <v>44428</v>
      </c>
      <c r="B23" s="85">
        <v>11344</v>
      </c>
      <c r="C23" s="86">
        <f t="shared" si="1"/>
        <v>599</v>
      </c>
      <c r="D23" s="85">
        <v>7330</v>
      </c>
      <c r="E23" s="86">
        <f t="shared" si="0"/>
        <v>591</v>
      </c>
      <c r="F23" s="85">
        <v>80</v>
      </c>
      <c r="G23" s="87">
        <v>0</v>
      </c>
      <c r="H23" s="87" t="s">
        <v>27</v>
      </c>
      <c r="I23" s="86">
        <f t="shared" si="2"/>
        <v>1190</v>
      </c>
      <c r="J23" s="18">
        <f t="shared" si="3"/>
        <v>277.11900000000003</v>
      </c>
    </row>
    <row r="24" spans="1:10" x14ac:dyDescent="0.2">
      <c r="A24" s="5">
        <v>44429</v>
      </c>
      <c r="B24" s="85">
        <v>11943</v>
      </c>
      <c r="C24" s="86">
        <f t="shared" si="1"/>
        <v>342</v>
      </c>
      <c r="D24" s="85">
        <v>7921</v>
      </c>
      <c r="E24" s="86">
        <f t="shared" si="0"/>
        <v>18</v>
      </c>
      <c r="F24" s="85">
        <v>80</v>
      </c>
      <c r="G24" s="87">
        <v>0</v>
      </c>
      <c r="H24" s="87" t="s">
        <v>27</v>
      </c>
      <c r="I24" s="86">
        <f t="shared" si="2"/>
        <v>360</v>
      </c>
      <c r="J24" s="18">
        <f t="shared" si="3"/>
        <v>101.68199999999999</v>
      </c>
    </row>
    <row r="25" spans="1:10" x14ac:dyDescent="0.2">
      <c r="A25" s="5">
        <v>44430</v>
      </c>
      <c r="B25" s="85">
        <v>12285</v>
      </c>
      <c r="C25" s="86">
        <f t="shared" si="1"/>
        <v>474</v>
      </c>
      <c r="D25" s="85">
        <v>7939</v>
      </c>
      <c r="E25" s="86">
        <f t="shared" si="0"/>
        <v>303</v>
      </c>
      <c r="F25" s="85">
        <v>80</v>
      </c>
      <c r="G25" s="87">
        <v>0</v>
      </c>
      <c r="H25" s="87" t="s">
        <v>27</v>
      </c>
      <c r="I25" s="86">
        <f t="shared" si="2"/>
        <v>777</v>
      </c>
      <c r="J25" s="18">
        <f t="shared" si="3"/>
        <v>190.143</v>
      </c>
    </row>
    <row r="26" spans="1:10" x14ac:dyDescent="0.2">
      <c r="A26" s="5">
        <v>44431</v>
      </c>
      <c r="B26" s="85">
        <v>12759</v>
      </c>
      <c r="C26" s="86">
        <f t="shared" si="1"/>
        <v>483</v>
      </c>
      <c r="D26" s="85">
        <v>8242</v>
      </c>
      <c r="E26" s="86">
        <f t="shared" si="0"/>
        <v>306</v>
      </c>
      <c r="F26" s="85">
        <v>80</v>
      </c>
      <c r="G26" s="87">
        <v>0</v>
      </c>
      <c r="H26" s="88" t="s">
        <v>27</v>
      </c>
      <c r="I26" s="86">
        <f t="shared" si="2"/>
        <v>789</v>
      </c>
      <c r="J26" s="18">
        <f t="shared" si="3"/>
        <v>193.26599999999999</v>
      </c>
    </row>
    <row r="27" spans="1:10" x14ac:dyDescent="0.2">
      <c r="A27" s="5">
        <v>44432</v>
      </c>
      <c r="B27" s="85">
        <v>13242</v>
      </c>
      <c r="C27" s="86">
        <f t="shared" si="1"/>
        <v>467</v>
      </c>
      <c r="D27" s="85">
        <v>8548</v>
      </c>
      <c r="E27" s="86">
        <f t="shared" si="0"/>
        <v>327</v>
      </c>
      <c r="F27" s="85">
        <v>80</v>
      </c>
      <c r="G27" s="87">
        <v>0</v>
      </c>
      <c r="H27" s="87" t="s">
        <v>28</v>
      </c>
      <c r="I27" s="86">
        <f t="shared" si="2"/>
        <v>794</v>
      </c>
      <c r="J27" s="18">
        <f t="shared" si="3"/>
        <v>192.37499999999997</v>
      </c>
    </row>
    <row r="28" spans="1:10" x14ac:dyDescent="0.2">
      <c r="A28" s="5">
        <v>44433</v>
      </c>
      <c r="B28" s="85">
        <v>13709</v>
      </c>
      <c r="C28" s="86">
        <f t="shared" si="1"/>
        <v>691</v>
      </c>
      <c r="D28" s="85">
        <v>8875</v>
      </c>
      <c r="E28" s="86">
        <f t="shared" si="0"/>
        <v>321</v>
      </c>
      <c r="F28" s="85">
        <v>80</v>
      </c>
      <c r="G28" s="87">
        <v>0</v>
      </c>
      <c r="H28" s="87" t="s">
        <v>28</v>
      </c>
      <c r="I28" s="86">
        <f t="shared" si="2"/>
        <v>1012</v>
      </c>
      <c r="J28" s="18">
        <f t="shared" si="3"/>
        <v>255.82499999999999</v>
      </c>
    </row>
    <row r="29" spans="1:10" x14ac:dyDescent="0.2">
      <c r="A29" s="5">
        <v>44434</v>
      </c>
      <c r="B29" s="85">
        <v>14400</v>
      </c>
      <c r="C29" s="86">
        <f t="shared" si="1"/>
        <v>494</v>
      </c>
      <c r="D29" s="85">
        <v>9196</v>
      </c>
      <c r="E29" s="86">
        <f t="shared" si="0"/>
        <v>303</v>
      </c>
      <c r="F29" s="85">
        <v>80</v>
      </c>
      <c r="G29" s="87">
        <v>0</v>
      </c>
      <c r="H29" s="87" t="s">
        <v>33</v>
      </c>
      <c r="I29" s="86">
        <f t="shared" si="2"/>
        <v>797</v>
      </c>
      <c r="J29" s="18">
        <f t="shared" si="3"/>
        <v>195.90299999999999</v>
      </c>
    </row>
    <row r="30" spans="1:10" x14ac:dyDescent="0.2">
      <c r="A30" s="5">
        <v>44435</v>
      </c>
      <c r="B30" s="85">
        <v>14894</v>
      </c>
      <c r="C30" s="86">
        <f t="shared" si="1"/>
        <v>494</v>
      </c>
      <c r="D30" s="85">
        <v>9499</v>
      </c>
      <c r="E30" s="86">
        <f t="shared" si="0"/>
        <v>349</v>
      </c>
      <c r="F30" s="85">
        <v>80</v>
      </c>
      <c r="G30" s="87">
        <v>0</v>
      </c>
      <c r="H30" s="87" t="s">
        <v>27</v>
      </c>
      <c r="I30" s="86">
        <f t="shared" si="2"/>
        <v>843</v>
      </c>
      <c r="J30" s="18">
        <f t="shared" si="3"/>
        <v>204.04499999999999</v>
      </c>
    </row>
    <row r="31" spans="1:10" x14ac:dyDescent="0.2">
      <c r="A31" s="5">
        <v>44436</v>
      </c>
      <c r="B31" s="85">
        <v>15388</v>
      </c>
      <c r="C31" s="86">
        <f t="shared" si="1"/>
        <v>526</v>
      </c>
      <c r="D31" s="85">
        <v>9848</v>
      </c>
      <c r="E31" s="86">
        <f t="shared" si="0"/>
        <v>367</v>
      </c>
      <c r="F31" s="85">
        <v>80</v>
      </c>
      <c r="G31" s="87">
        <v>0</v>
      </c>
      <c r="H31" s="87" t="s">
        <v>28</v>
      </c>
      <c r="I31" s="86">
        <f t="shared" si="2"/>
        <v>893</v>
      </c>
      <c r="J31" s="18">
        <f t="shared" si="3"/>
        <v>216.447</v>
      </c>
    </row>
    <row r="32" spans="1:10" x14ac:dyDescent="0.2">
      <c r="A32" s="5">
        <v>44437</v>
      </c>
      <c r="B32" s="85">
        <v>15914</v>
      </c>
      <c r="C32" s="86">
        <f t="shared" si="1"/>
        <v>506</v>
      </c>
      <c r="D32" s="85">
        <v>10215</v>
      </c>
      <c r="E32" s="86">
        <f t="shared" si="0"/>
        <v>317</v>
      </c>
      <c r="F32" s="85">
        <v>80</v>
      </c>
      <c r="G32" s="87">
        <v>0</v>
      </c>
      <c r="H32" s="87" t="s">
        <v>28</v>
      </c>
      <c r="I32" s="86">
        <f t="shared" si="2"/>
        <v>823</v>
      </c>
      <c r="J32" s="18">
        <f t="shared" si="3"/>
        <v>201.83699999999999</v>
      </c>
    </row>
    <row r="33" spans="1:10" x14ac:dyDescent="0.2">
      <c r="A33" s="5">
        <v>44438</v>
      </c>
      <c r="B33" s="85">
        <v>16420</v>
      </c>
      <c r="C33" s="86">
        <f t="shared" si="1"/>
        <v>517</v>
      </c>
      <c r="D33" s="85">
        <v>10532</v>
      </c>
      <c r="E33" s="86">
        <f t="shared" si="0"/>
        <v>7968</v>
      </c>
      <c r="F33" s="85">
        <v>80</v>
      </c>
      <c r="G33" s="87">
        <v>0</v>
      </c>
      <c r="H33" s="87" t="s">
        <v>28</v>
      </c>
      <c r="I33" s="86">
        <f t="shared" si="2"/>
        <v>8485</v>
      </c>
      <c r="J33" s="18">
        <f t="shared" si="3"/>
        <v>1559.232</v>
      </c>
    </row>
    <row r="34" spans="1:10" x14ac:dyDescent="0.2">
      <c r="A34" s="5">
        <v>44439</v>
      </c>
      <c r="B34" s="85">
        <v>16937</v>
      </c>
      <c r="C34" s="91"/>
      <c r="D34" s="85">
        <v>18500</v>
      </c>
      <c r="E34" s="86"/>
      <c r="F34" s="85">
        <v>0</v>
      </c>
      <c r="G34" s="87">
        <v>0</v>
      </c>
      <c r="H34" s="87" t="s">
        <v>27</v>
      </c>
      <c r="I34" s="86">
        <f t="shared" si="2"/>
        <v>0</v>
      </c>
      <c r="J34" s="18">
        <f t="shared" si="3"/>
        <v>0</v>
      </c>
    </row>
    <row r="35" spans="1:10" x14ac:dyDescent="0.2">
      <c r="A35" s="84"/>
      <c r="B35" s="68">
        <v>0</v>
      </c>
      <c r="C35" s="86"/>
      <c r="D35" s="100">
        <v>237</v>
      </c>
      <c r="E35" s="86"/>
      <c r="F35" s="100"/>
      <c r="G35" s="69"/>
      <c r="H35" s="69"/>
      <c r="I35" s="86">
        <f t="shared" si="2"/>
        <v>0</v>
      </c>
      <c r="J35" s="18">
        <f t="shared" si="3"/>
        <v>0</v>
      </c>
    </row>
    <row r="36" spans="1:10" ht="13.5" customHeight="1" x14ac:dyDescent="0.2">
      <c r="A36" s="101"/>
      <c r="B36" s="102"/>
      <c r="C36" s="90">
        <f>SUM(C4:C35)</f>
        <v>16937</v>
      </c>
      <c r="D36" s="90"/>
      <c r="E36" s="90">
        <f>SUM(E4:E35)</f>
        <v>18242</v>
      </c>
      <c r="F36" s="90"/>
      <c r="G36" s="72"/>
      <c r="H36" s="72"/>
      <c r="I36" s="86">
        <f>+E36+C36</f>
        <v>35179</v>
      </c>
      <c r="J36" s="18">
        <f>(C36*0.288)+(E36*0.177)</f>
        <v>8106.69</v>
      </c>
    </row>
    <row r="37" spans="1:10" x14ac:dyDescent="0.2">
      <c r="G37" s="33"/>
      <c r="H37" s="25" t="s">
        <v>34</v>
      </c>
    </row>
    <row r="38" spans="1:10" x14ac:dyDescent="0.2">
      <c r="H38" s="25" t="s">
        <v>35</v>
      </c>
    </row>
    <row r="39" spans="1:10" ht="15.75" x14ac:dyDescent="0.25">
      <c r="A39" s="79" t="s">
        <v>31</v>
      </c>
      <c r="H39" s="25" t="s">
        <v>32</v>
      </c>
    </row>
    <row r="40" spans="1:10" x14ac:dyDescent="0.2">
      <c r="H40" s="25" t="s">
        <v>33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H34" sqref="H34"/>
    </sheetView>
  </sheetViews>
  <sheetFormatPr defaultRowHeight="12.75" x14ac:dyDescent="0.2"/>
  <cols>
    <col min="1" max="1" width="14" style="76" customWidth="1"/>
    <col min="2" max="2" width="20.28515625" style="33" bestFit="1" customWidth="1"/>
    <col min="3" max="3" width="18.85546875" style="33" bestFit="1" customWidth="1"/>
    <col min="4" max="4" width="20.28515625" style="33" bestFit="1" customWidth="1"/>
    <col min="5" max="5" width="18.85546875" style="33" customWidth="1"/>
    <col min="6" max="6" width="14.7109375" style="33" customWidth="1"/>
    <col min="7" max="7" width="11.28515625" style="25" customWidth="1"/>
    <col min="8" max="8" width="18.7109375" style="25" customWidth="1"/>
    <col min="9" max="9" width="19.140625" style="33" bestFit="1" customWidth="1"/>
    <col min="10" max="10" width="10.140625" style="16" bestFit="1" customWidth="1"/>
    <col min="11" max="256" width="9.140625" style="25"/>
    <col min="257" max="257" width="14" style="25" customWidth="1"/>
    <col min="258" max="258" width="20.28515625" style="25" bestFit="1" customWidth="1"/>
    <col min="259" max="259" width="18.85546875" style="25" bestFit="1" customWidth="1"/>
    <col min="260" max="260" width="20.28515625" style="25" bestFit="1" customWidth="1"/>
    <col min="261" max="261" width="18.85546875" style="25" customWidth="1"/>
    <col min="262" max="262" width="14.7109375" style="25" customWidth="1"/>
    <col min="263" max="263" width="11.28515625" style="25" customWidth="1"/>
    <col min="264" max="264" width="18.7109375" style="25" customWidth="1"/>
    <col min="265" max="265" width="19.140625" style="25" bestFit="1" customWidth="1"/>
    <col min="266" max="266" width="10.140625" style="25" bestFit="1" customWidth="1"/>
    <col min="267" max="512" width="9.140625" style="25"/>
    <col min="513" max="513" width="14" style="25" customWidth="1"/>
    <col min="514" max="514" width="20.28515625" style="25" bestFit="1" customWidth="1"/>
    <col min="515" max="515" width="18.85546875" style="25" bestFit="1" customWidth="1"/>
    <col min="516" max="516" width="20.28515625" style="25" bestFit="1" customWidth="1"/>
    <col min="517" max="517" width="18.85546875" style="25" customWidth="1"/>
    <col min="518" max="518" width="14.7109375" style="25" customWidth="1"/>
    <col min="519" max="519" width="11.28515625" style="25" customWidth="1"/>
    <col min="520" max="520" width="18.7109375" style="25" customWidth="1"/>
    <col min="521" max="521" width="19.140625" style="25" bestFit="1" customWidth="1"/>
    <col min="522" max="522" width="10.140625" style="25" bestFit="1" customWidth="1"/>
    <col min="523" max="768" width="9.140625" style="25"/>
    <col min="769" max="769" width="14" style="25" customWidth="1"/>
    <col min="770" max="770" width="20.28515625" style="25" bestFit="1" customWidth="1"/>
    <col min="771" max="771" width="18.85546875" style="25" bestFit="1" customWidth="1"/>
    <col min="772" max="772" width="20.28515625" style="25" bestFit="1" customWidth="1"/>
    <col min="773" max="773" width="18.85546875" style="25" customWidth="1"/>
    <col min="774" max="774" width="14.7109375" style="25" customWidth="1"/>
    <col min="775" max="775" width="11.28515625" style="25" customWidth="1"/>
    <col min="776" max="776" width="18.7109375" style="25" customWidth="1"/>
    <col min="777" max="777" width="19.140625" style="25" bestFit="1" customWidth="1"/>
    <col min="778" max="778" width="10.140625" style="25" bestFit="1" customWidth="1"/>
    <col min="779" max="1024" width="9.140625" style="25"/>
    <col min="1025" max="1025" width="14" style="25" customWidth="1"/>
    <col min="1026" max="1026" width="20.28515625" style="25" bestFit="1" customWidth="1"/>
    <col min="1027" max="1027" width="18.85546875" style="25" bestFit="1" customWidth="1"/>
    <col min="1028" max="1028" width="20.28515625" style="25" bestFit="1" customWidth="1"/>
    <col min="1029" max="1029" width="18.85546875" style="25" customWidth="1"/>
    <col min="1030" max="1030" width="14.7109375" style="25" customWidth="1"/>
    <col min="1031" max="1031" width="11.28515625" style="25" customWidth="1"/>
    <col min="1032" max="1032" width="18.7109375" style="25" customWidth="1"/>
    <col min="1033" max="1033" width="19.140625" style="25" bestFit="1" customWidth="1"/>
    <col min="1034" max="1034" width="10.140625" style="25" bestFit="1" customWidth="1"/>
    <col min="1035" max="1280" width="9.140625" style="25"/>
    <col min="1281" max="1281" width="14" style="25" customWidth="1"/>
    <col min="1282" max="1282" width="20.28515625" style="25" bestFit="1" customWidth="1"/>
    <col min="1283" max="1283" width="18.85546875" style="25" bestFit="1" customWidth="1"/>
    <col min="1284" max="1284" width="20.28515625" style="25" bestFit="1" customWidth="1"/>
    <col min="1285" max="1285" width="18.85546875" style="25" customWidth="1"/>
    <col min="1286" max="1286" width="14.7109375" style="25" customWidth="1"/>
    <col min="1287" max="1287" width="11.28515625" style="25" customWidth="1"/>
    <col min="1288" max="1288" width="18.7109375" style="25" customWidth="1"/>
    <col min="1289" max="1289" width="19.140625" style="25" bestFit="1" customWidth="1"/>
    <col min="1290" max="1290" width="10.140625" style="25" bestFit="1" customWidth="1"/>
    <col min="1291" max="1536" width="9.140625" style="25"/>
    <col min="1537" max="1537" width="14" style="25" customWidth="1"/>
    <col min="1538" max="1538" width="20.28515625" style="25" bestFit="1" customWidth="1"/>
    <col min="1539" max="1539" width="18.85546875" style="25" bestFit="1" customWidth="1"/>
    <col min="1540" max="1540" width="20.28515625" style="25" bestFit="1" customWidth="1"/>
    <col min="1541" max="1541" width="18.85546875" style="25" customWidth="1"/>
    <col min="1542" max="1542" width="14.7109375" style="25" customWidth="1"/>
    <col min="1543" max="1543" width="11.28515625" style="25" customWidth="1"/>
    <col min="1544" max="1544" width="18.7109375" style="25" customWidth="1"/>
    <col min="1545" max="1545" width="19.140625" style="25" bestFit="1" customWidth="1"/>
    <col min="1546" max="1546" width="10.140625" style="25" bestFit="1" customWidth="1"/>
    <col min="1547" max="1792" width="9.140625" style="25"/>
    <col min="1793" max="1793" width="14" style="25" customWidth="1"/>
    <col min="1794" max="1794" width="20.28515625" style="25" bestFit="1" customWidth="1"/>
    <col min="1795" max="1795" width="18.85546875" style="25" bestFit="1" customWidth="1"/>
    <col min="1796" max="1796" width="20.28515625" style="25" bestFit="1" customWidth="1"/>
    <col min="1797" max="1797" width="18.85546875" style="25" customWidth="1"/>
    <col min="1798" max="1798" width="14.7109375" style="25" customWidth="1"/>
    <col min="1799" max="1799" width="11.28515625" style="25" customWidth="1"/>
    <col min="1800" max="1800" width="18.7109375" style="25" customWidth="1"/>
    <col min="1801" max="1801" width="19.140625" style="25" bestFit="1" customWidth="1"/>
    <col min="1802" max="1802" width="10.140625" style="25" bestFit="1" customWidth="1"/>
    <col min="1803" max="2048" width="9.140625" style="25"/>
    <col min="2049" max="2049" width="14" style="25" customWidth="1"/>
    <col min="2050" max="2050" width="20.28515625" style="25" bestFit="1" customWidth="1"/>
    <col min="2051" max="2051" width="18.85546875" style="25" bestFit="1" customWidth="1"/>
    <col min="2052" max="2052" width="20.28515625" style="25" bestFit="1" customWidth="1"/>
    <col min="2053" max="2053" width="18.85546875" style="25" customWidth="1"/>
    <col min="2054" max="2054" width="14.7109375" style="25" customWidth="1"/>
    <col min="2055" max="2055" width="11.28515625" style="25" customWidth="1"/>
    <col min="2056" max="2056" width="18.7109375" style="25" customWidth="1"/>
    <col min="2057" max="2057" width="19.140625" style="25" bestFit="1" customWidth="1"/>
    <col min="2058" max="2058" width="10.140625" style="25" bestFit="1" customWidth="1"/>
    <col min="2059" max="2304" width="9.140625" style="25"/>
    <col min="2305" max="2305" width="14" style="25" customWidth="1"/>
    <col min="2306" max="2306" width="20.28515625" style="25" bestFit="1" customWidth="1"/>
    <col min="2307" max="2307" width="18.85546875" style="25" bestFit="1" customWidth="1"/>
    <col min="2308" max="2308" width="20.28515625" style="25" bestFit="1" customWidth="1"/>
    <col min="2309" max="2309" width="18.85546875" style="25" customWidth="1"/>
    <col min="2310" max="2310" width="14.7109375" style="25" customWidth="1"/>
    <col min="2311" max="2311" width="11.28515625" style="25" customWidth="1"/>
    <col min="2312" max="2312" width="18.7109375" style="25" customWidth="1"/>
    <col min="2313" max="2313" width="19.140625" style="25" bestFit="1" customWidth="1"/>
    <col min="2314" max="2314" width="10.140625" style="25" bestFit="1" customWidth="1"/>
    <col min="2315" max="2560" width="9.140625" style="25"/>
    <col min="2561" max="2561" width="14" style="25" customWidth="1"/>
    <col min="2562" max="2562" width="20.28515625" style="25" bestFit="1" customWidth="1"/>
    <col min="2563" max="2563" width="18.85546875" style="25" bestFit="1" customWidth="1"/>
    <col min="2564" max="2564" width="20.28515625" style="25" bestFit="1" customWidth="1"/>
    <col min="2565" max="2565" width="18.85546875" style="25" customWidth="1"/>
    <col min="2566" max="2566" width="14.7109375" style="25" customWidth="1"/>
    <col min="2567" max="2567" width="11.28515625" style="25" customWidth="1"/>
    <col min="2568" max="2568" width="18.7109375" style="25" customWidth="1"/>
    <col min="2569" max="2569" width="19.140625" style="25" bestFit="1" customWidth="1"/>
    <col min="2570" max="2570" width="10.140625" style="25" bestFit="1" customWidth="1"/>
    <col min="2571" max="2816" width="9.140625" style="25"/>
    <col min="2817" max="2817" width="14" style="25" customWidth="1"/>
    <col min="2818" max="2818" width="20.28515625" style="25" bestFit="1" customWidth="1"/>
    <col min="2819" max="2819" width="18.85546875" style="25" bestFit="1" customWidth="1"/>
    <col min="2820" max="2820" width="20.28515625" style="25" bestFit="1" customWidth="1"/>
    <col min="2821" max="2821" width="18.85546875" style="25" customWidth="1"/>
    <col min="2822" max="2822" width="14.7109375" style="25" customWidth="1"/>
    <col min="2823" max="2823" width="11.28515625" style="25" customWidth="1"/>
    <col min="2824" max="2824" width="18.7109375" style="25" customWidth="1"/>
    <col min="2825" max="2825" width="19.140625" style="25" bestFit="1" customWidth="1"/>
    <col min="2826" max="2826" width="10.140625" style="25" bestFit="1" customWidth="1"/>
    <col min="2827" max="3072" width="9.140625" style="25"/>
    <col min="3073" max="3073" width="14" style="25" customWidth="1"/>
    <col min="3074" max="3074" width="20.28515625" style="25" bestFit="1" customWidth="1"/>
    <col min="3075" max="3075" width="18.85546875" style="25" bestFit="1" customWidth="1"/>
    <col min="3076" max="3076" width="20.28515625" style="25" bestFit="1" customWidth="1"/>
    <col min="3077" max="3077" width="18.85546875" style="25" customWidth="1"/>
    <col min="3078" max="3078" width="14.7109375" style="25" customWidth="1"/>
    <col min="3079" max="3079" width="11.28515625" style="25" customWidth="1"/>
    <col min="3080" max="3080" width="18.7109375" style="25" customWidth="1"/>
    <col min="3081" max="3081" width="19.140625" style="25" bestFit="1" customWidth="1"/>
    <col min="3082" max="3082" width="10.140625" style="25" bestFit="1" customWidth="1"/>
    <col min="3083" max="3328" width="9.140625" style="25"/>
    <col min="3329" max="3329" width="14" style="25" customWidth="1"/>
    <col min="3330" max="3330" width="20.28515625" style="25" bestFit="1" customWidth="1"/>
    <col min="3331" max="3331" width="18.85546875" style="25" bestFit="1" customWidth="1"/>
    <col min="3332" max="3332" width="20.28515625" style="25" bestFit="1" customWidth="1"/>
    <col min="3333" max="3333" width="18.85546875" style="25" customWidth="1"/>
    <col min="3334" max="3334" width="14.7109375" style="25" customWidth="1"/>
    <col min="3335" max="3335" width="11.28515625" style="25" customWidth="1"/>
    <col min="3336" max="3336" width="18.7109375" style="25" customWidth="1"/>
    <col min="3337" max="3337" width="19.140625" style="25" bestFit="1" customWidth="1"/>
    <col min="3338" max="3338" width="10.140625" style="25" bestFit="1" customWidth="1"/>
    <col min="3339" max="3584" width="9.140625" style="25"/>
    <col min="3585" max="3585" width="14" style="25" customWidth="1"/>
    <col min="3586" max="3586" width="20.28515625" style="25" bestFit="1" customWidth="1"/>
    <col min="3587" max="3587" width="18.85546875" style="25" bestFit="1" customWidth="1"/>
    <col min="3588" max="3588" width="20.28515625" style="25" bestFit="1" customWidth="1"/>
    <col min="3589" max="3589" width="18.85546875" style="25" customWidth="1"/>
    <col min="3590" max="3590" width="14.7109375" style="25" customWidth="1"/>
    <col min="3591" max="3591" width="11.28515625" style="25" customWidth="1"/>
    <col min="3592" max="3592" width="18.7109375" style="25" customWidth="1"/>
    <col min="3593" max="3593" width="19.140625" style="25" bestFit="1" customWidth="1"/>
    <col min="3594" max="3594" width="10.140625" style="25" bestFit="1" customWidth="1"/>
    <col min="3595" max="3840" width="9.140625" style="25"/>
    <col min="3841" max="3841" width="14" style="25" customWidth="1"/>
    <col min="3842" max="3842" width="20.28515625" style="25" bestFit="1" customWidth="1"/>
    <col min="3843" max="3843" width="18.85546875" style="25" bestFit="1" customWidth="1"/>
    <col min="3844" max="3844" width="20.28515625" style="25" bestFit="1" customWidth="1"/>
    <col min="3845" max="3845" width="18.85546875" style="25" customWidth="1"/>
    <col min="3846" max="3846" width="14.7109375" style="25" customWidth="1"/>
    <col min="3847" max="3847" width="11.28515625" style="25" customWidth="1"/>
    <col min="3848" max="3848" width="18.7109375" style="25" customWidth="1"/>
    <col min="3849" max="3849" width="19.140625" style="25" bestFit="1" customWidth="1"/>
    <col min="3850" max="3850" width="10.140625" style="25" bestFit="1" customWidth="1"/>
    <col min="3851" max="4096" width="9.140625" style="25"/>
    <col min="4097" max="4097" width="14" style="25" customWidth="1"/>
    <col min="4098" max="4098" width="20.28515625" style="25" bestFit="1" customWidth="1"/>
    <col min="4099" max="4099" width="18.85546875" style="25" bestFit="1" customWidth="1"/>
    <col min="4100" max="4100" width="20.28515625" style="25" bestFit="1" customWidth="1"/>
    <col min="4101" max="4101" width="18.85546875" style="25" customWidth="1"/>
    <col min="4102" max="4102" width="14.7109375" style="25" customWidth="1"/>
    <col min="4103" max="4103" width="11.28515625" style="25" customWidth="1"/>
    <col min="4104" max="4104" width="18.7109375" style="25" customWidth="1"/>
    <col min="4105" max="4105" width="19.140625" style="25" bestFit="1" customWidth="1"/>
    <col min="4106" max="4106" width="10.140625" style="25" bestFit="1" customWidth="1"/>
    <col min="4107" max="4352" width="9.140625" style="25"/>
    <col min="4353" max="4353" width="14" style="25" customWidth="1"/>
    <col min="4354" max="4354" width="20.28515625" style="25" bestFit="1" customWidth="1"/>
    <col min="4355" max="4355" width="18.85546875" style="25" bestFit="1" customWidth="1"/>
    <col min="4356" max="4356" width="20.28515625" style="25" bestFit="1" customWidth="1"/>
    <col min="4357" max="4357" width="18.85546875" style="25" customWidth="1"/>
    <col min="4358" max="4358" width="14.7109375" style="25" customWidth="1"/>
    <col min="4359" max="4359" width="11.28515625" style="25" customWidth="1"/>
    <col min="4360" max="4360" width="18.7109375" style="25" customWidth="1"/>
    <col min="4361" max="4361" width="19.140625" style="25" bestFit="1" customWidth="1"/>
    <col min="4362" max="4362" width="10.140625" style="25" bestFit="1" customWidth="1"/>
    <col min="4363" max="4608" width="9.140625" style="25"/>
    <col min="4609" max="4609" width="14" style="25" customWidth="1"/>
    <col min="4610" max="4610" width="20.28515625" style="25" bestFit="1" customWidth="1"/>
    <col min="4611" max="4611" width="18.85546875" style="25" bestFit="1" customWidth="1"/>
    <col min="4612" max="4612" width="20.28515625" style="25" bestFit="1" customWidth="1"/>
    <col min="4613" max="4613" width="18.85546875" style="25" customWidth="1"/>
    <col min="4614" max="4614" width="14.7109375" style="25" customWidth="1"/>
    <col min="4615" max="4615" width="11.28515625" style="25" customWidth="1"/>
    <col min="4616" max="4616" width="18.7109375" style="25" customWidth="1"/>
    <col min="4617" max="4617" width="19.140625" style="25" bestFit="1" customWidth="1"/>
    <col min="4618" max="4618" width="10.140625" style="25" bestFit="1" customWidth="1"/>
    <col min="4619" max="4864" width="9.140625" style="25"/>
    <col min="4865" max="4865" width="14" style="25" customWidth="1"/>
    <col min="4866" max="4866" width="20.28515625" style="25" bestFit="1" customWidth="1"/>
    <col min="4867" max="4867" width="18.85546875" style="25" bestFit="1" customWidth="1"/>
    <col min="4868" max="4868" width="20.28515625" style="25" bestFit="1" customWidth="1"/>
    <col min="4869" max="4869" width="18.85546875" style="25" customWidth="1"/>
    <col min="4870" max="4870" width="14.7109375" style="25" customWidth="1"/>
    <col min="4871" max="4871" width="11.28515625" style="25" customWidth="1"/>
    <col min="4872" max="4872" width="18.7109375" style="25" customWidth="1"/>
    <col min="4873" max="4873" width="19.140625" style="25" bestFit="1" customWidth="1"/>
    <col min="4874" max="4874" width="10.140625" style="25" bestFit="1" customWidth="1"/>
    <col min="4875" max="5120" width="9.140625" style="25"/>
    <col min="5121" max="5121" width="14" style="25" customWidth="1"/>
    <col min="5122" max="5122" width="20.28515625" style="25" bestFit="1" customWidth="1"/>
    <col min="5123" max="5123" width="18.85546875" style="25" bestFit="1" customWidth="1"/>
    <col min="5124" max="5124" width="20.28515625" style="25" bestFit="1" customWidth="1"/>
    <col min="5125" max="5125" width="18.85546875" style="25" customWidth="1"/>
    <col min="5126" max="5126" width="14.7109375" style="25" customWidth="1"/>
    <col min="5127" max="5127" width="11.28515625" style="25" customWidth="1"/>
    <col min="5128" max="5128" width="18.7109375" style="25" customWidth="1"/>
    <col min="5129" max="5129" width="19.140625" style="25" bestFit="1" customWidth="1"/>
    <col min="5130" max="5130" width="10.140625" style="25" bestFit="1" customWidth="1"/>
    <col min="5131" max="5376" width="9.140625" style="25"/>
    <col min="5377" max="5377" width="14" style="25" customWidth="1"/>
    <col min="5378" max="5378" width="20.28515625" style="25" bestFit="1" customWidth="1"/>
    <col min="5379" max="5379" width="18.85546875" style="25" bestFit="1" customWidth="1"/>
    <col min="5380" max="5380" width="20.28515625" style="25" bestFit="1" customWidth="1"/>
    <col min="5381" max="5381" width="18.85546875" style="25" customWidth="1"/>
    <col min="5382" max="5382" width="14.7109375" style="25" customWidth="1"/>
    <col min="5383" max="5383" width="11.28515625" style="25" customWidth="1"/>
    <col min="5384" max="5384" width="18.7109375" style="25" customWidth="1"/>
    <col min="5385" max="5385" width="19.140625" style="25" bestFit="1" customWidth="1"/>
    <col min="5386" max="5386" width="10.140625" style="25" bestFit="1" customWidth="1"/>
    <col min="5387" max="5632" width="9.140625" style="25"/>
    <col min="5633" max="5633" width="14" style="25" customWidth="1"/>
    <col min="5634" max="5634" width="20.28515625" style="25" bestFit="1" customWidth="1"/>
    <col min="5635" max="5635" width="18.85546875" style="25" bestFit="1" customWidth="1"/>
    <col min="5636" max="5636" width="20.28515625" style="25" bestFit="1" customWidth="1"/>
    <col min="5637" max="5637" width="18.85546875" style="25" customWidth="1"/>
    <col min="5638" max="5638" width="14.7109375" style="25" customWidth="1"/>
    <col min="5639" max="5639" width="11.28515625" style="25" customWidth="1"/>
    <col min="5640" max="5640" width="18.7109375" style="25" customWidth="1"/>
    <col min="5641" max="5641" width="19.140625" style="25" bestFit="1" customWidth="1"/>
    <col min="5642" max="5642" width="10.140625" style="25" bestFit="1" customWidth="1"/>
    <col min="5643" max="5888" width="9.140625" style="25"/>
    <col min="5889" max="5889" width="14" style="25" customWidth="1"/>
    <col min="5890" max="5890" width="20.28515625" style="25" bestFit="1" customWidth="1"/>
    <col min="5891" max="5891" width="18.85546875" style="25" bestFit="1" customWidth="1"/>
    <col min="5892" max="5892" width="20.28515625" style="25" bestFit="1" customWidth="1"/>
    <col min="5893" max="5893" width="18.85546875" style="25" customWidth="1"/>
    <col min="5894" max="5894" width="14.7109375" style="25" customWidth="1"/>
    <col min="5895" max="5895" width="11.28515625" style="25" customWidth="1"/>
    <col min="5896" max="5896" width="18.7109375" style="25" customWidth="1"/>
    <col min="5897" max="5897" width="19.140625" style="25" bestFit="1" customWidth="1"/>
    <col min="5898" max="5898" width="10.140625" style="25" bestFit="1" customWidth="1"/>
    <col min="5899" max="6144" width="9.140625" style="25"/>
    <col min="6145" max="6145" width="14" style="25" customWidth="1"/>
    <col min="6146" max="6146" width="20.28515625" style="25" bestFit="1" customWidth="1"/>
    <col min="6147" max="6147" width="18.85546875" style="25" bestFit="1" customWidth="1"/>
    <col min="6148" max="6148" width="20.28515625" style="25" bestFit="1" customWidth="1"/>
    <col min="6149" max="6149" width="18.85546875" style="25" customWidth="1"/>
    <col min="6150" max="6150" width="14.7109375" style="25" customWidth="1"/>
    <col min="6151" max="6151" width="11.28515625" style="25" customWidth="1"/>
    <col min="6152" max="6152" width="18.7109375" style="25" customWidth="1"/>
    <col min="6153" max="6153" width="19.140625" style="25" bestFit="1" customWidth="1"/>
    <col min="6154" max="6154" width="10.140625" style="25" bestFit="1" customWidth="1"/>
    <col min="6155" max="6400" width="9.140625" style="25"/>
    <col min="6401" max="6401" width="14" style="25" customWidth="1"/>
    <col min="6402" max="6402" width="20.28515625" style="25" bestFit="1" customWidth="1"/>
    <col min="6403" max="6403" width="18.85546875" style="25" bestFit="1" customWidth="1"/>
    <col min="6404" max="6404" width="20.28515625" style="25" bestFit="1" customWidth="1"/>
    <col min="6405" max="6405" width="18.85546875" style="25" customWidth="1"/>
    <col min="6406" max="6406" width="14.7109375" style="25" customWidth="1"/>
    <col min="6407" max="6407" width="11.28515625" style="25" customWidth="1"/>
    <col min="6408" max="6408" width="18.7109375" style="25" customWidth="1"/>
    <col min="6409" max="6409" width="19.140625" style="25" bestFit="1" customWidth="1"/>
    <col min="6410" max="6410" width="10.140625" style="25" bestFit="1" customWidth="1"/>
    <col min="6411" max="6656" width="9.140625" style="25"/>
    <col min="6657" max="6657" width="14" style="25" customWidth="1"/>
    <col min="6658" max="6658" width="20.28515625" style="25" bestFit="1" customWidth="1"/>
    <col min="6659" max="6659" width="18.85546875" style="25" bestFit="1" customWidth="1"/>
    <col min="6660" max="6660" width="20.28515625" style="25" bestFit="1" customWidth="1"/>
    <col min="6661" max="6661" width="18.85546875" style="25" customWidth="1"/>
    <col min="6662" max="6662" width="14.7109375" style="25" customWidth="1"/>
    <col min="6663" max="6663" width="11.28515625" style="25" customWidth="1"/>
    <col min="6664" max="6664" width="18.7109375" style="25" customWidth="1"/>
    <col min="6665" max="6665" width="19.140625" style="25" bestFit="1" customWidth="1"/>
    <col min="6666" max="6666" width="10.140625" style="25" bestFit="1" customWidth="1"/>
    <col min="6667" max="6912" width="9.140625" style="25"/>
    <col min="6913" max="6913" width="14" style="25" customWidth="1"/>
    <col min="6914" max="6914" width="20.28515625" style="25" bestFit="1" customWidth="1"/>
    <col min="6915" max="6915" width="18.85546875" style="25" bestFit="1" customWidth="1"/>
    <col min="6916" max="6916" width="20.28515625" style="25" bestFit="1" customWidth="1"/>
    <col min="6917" max="6917" width="18.85546875" style="25" customWidth="1"/>
    <col min="6918" max="6918" width="14.7109375" style="25" customWidth="1"/>
    <col min="6919" max="6919" width="11.28515625" style="25" customWidth="1"/>
    <col min="6920" max="6920" width="18.7109375" style="25" customWidth="1"/>
    <col min="6921" max="6921" width="19.140625" style="25" bestFit="1" customWidth="1"/>
    <col min="6922" max="6922" width="10.140625" style="25" bestFit="1" customWidth="1"/>
    <col min="6923" max="7168" width="9.140625" style="25"/>
    <col min="7169" max="7169" width="14" style="25" customWidth="1"/>
    <col min="7170" max="7170" width="20.28515625" style="25" bestFit="1" customWidth="1"/>
    <col min="7171" max="7171" width="18.85546875" style="25" bestFit="1" customWidth="1"/>
    <col min="7172" max="7172" width="20.28515625" style="25" bestFit="1" customWidth="1"/>
    <col min="7173" max="7173" width="18.85546875" style="25" customWidth="1"/>
    <col min="7174" max="7174" width="14.7109375" style="25" customWidth="1"/>
    <col min="7175" max="7175" width="11.28515625" style="25" customWidth="1"/>
    <col min="7176" max="7176" width="18.7109375" style="25" customWidth="1"/>
    <col min="7177" max="7177" width="19.140625" style="25" bestFit="1" customWidth="1"/>
    <col min="7178" max="7178" width="10.140625" style="25" bestFit="1" customWidth="1"/>
    <col min="7179" max="7424" width="9.140625" style="25"/>
    <col min="7425" max="7425" width="14" style="25" customWidth="1"/>
    <col min="7426" max="7426" width="20.28515625" style="25" bestFit="1" customWidth="1"/>
    <col min="7427" max="7427" width="18.85546875" style="25" bestFit="1" customWidth="1"/>
    <col min="7428" max="7428" width="20.28515625" style="25" bestFit="1" customWidth="1"/>
    <col min="7429" max="7429" width="18.85546875" style="25" customWidth="1"/>
    <col min="7430" max="7430" width="14.7109375" style="25" customWidth="1"/>
    <col min="7431" max="7431" width="11.28515625" style="25" customWidth="1"/>
    <col min="7432" max="7432" width="18.7109375" style="25" customWidth="1"/>
    <col min="7433" max="7433" width="19.140625" style="25" bestFit="1" customWidth="1"/>
    <col min="7434" max="7434" width="10.140625" style="25" bestFit="1" customWidth="1"/>
    <col min="7435" max="7680" width="9.140625" style="25"/>
    <col min="7681" max="7681" width="14" style="25" customWidth="1"/>
    <col min="7682" max="7682" width="20.28515625" style="25" bestFit="1" customWidth="1"/>
    <col min="7683" max="7683" width="18.85546875" style="25" bestFit="1" customWidth="1"/>
    <col min="7684" max="7684" width="20.28515625" style="25" bestFit="1" customWidth="1"/>
    <col min="7685" max="7685" width="18.85546875" style="25" customWidth="1"/>
    <col min="7686" max="7686" width="14.7109375" style="25" customWidth="1"/>
    <col min="7687" max="7687" width="11.28515625" style="25" customWidth="1"/>
    <col min="7688" max="7688" width="18.7109375" style="25" customWidth="1"/>
    <col min="7689" max="7689" width="19.140625" style="25" bestFit="1" customWidth="1"/>
    <col min="7690" max="7690" width="10.140625" style="25" bestFit="1" customWidth="1"/>
    <col min="7691" max="7936" width="9.140625" style="25"/>
    <col min="7937" max="7937" width="14" style="25" customWidth="1"/>
    <col min="7938" max="7938" width="20.28515625" style="25" bestFit="1" customWidth="1"/>
    <col min="7939" max="7939" width="18.85546875" style="25" bestFit="1" customWidth="1"/>
    <col min="7940" max="7940" width="20.28515625" style="25" bestFit="1" customWidth="1"/>
    <col min="7941" max="7941" width="18.85546875" style="25" customWidth="1"/>
    <col min="7942" max="7942" width="14.7109375" style="25" customWidth="1"/>
    <col min="7943" max="7943" width="11.28515625" style="25" customWidth="1"/>
    <col min="7944" max="7944" width="18.7109375" style="25" customWidth="1"/>
    <col min="7945" max="7945" width="19.140625" style="25" bestFit="1" customWidth="1"/>
    <col min="7946" max="7946" width="10.140625" style="25" bestFit="1" customWidth="1"/>
    <col min="7947" max="8192" width="9.140625" style="25"/>
    <col min="8193" max="8193" width="14" style="25" customWidth="1"/>
    <col min="8194" max="8194" width="20.28515625" style="25" bestFit="1" customWidth="1"/>
    <col min="8195" max="8195" width="18.85546875" style="25" bestFit="1" customWidth="1"/>
    <col min="8196" max="8196" width="20.28515625" style="25" bestFit="1" customWidth="1"/>
    <col min="8197" max="8197" width="18.85546875" style="25" customWidth="1"/>
    <col min="8198" max="8198" width="14.7109375" style="25" customWidth="1"/>
    <col min="8199" max="8199" width="11.28515625" style="25" customWidth="1"/>
    <col min="8200" max="8200" width="18.7109375" style="25" customWidth="1"/>
    <col min="8201" max="8201" width="19.140625" style="25" bestFit="1" customWidth="1"/>
    <col min="8202" max="8202" width="10.140625" style="25" bestFit="1" customWidth="1"/>
    <col min="8203" max="8448" width="9.140625" style="25"/>
    <col min="8449" max="8449" width="14" style="25" customWidth="1"/>
    <col min="8450" max="8450" width="20.28515625" style="25" bestFit="1" customWidth="1"/>
    <col min="8451" max="8451" width="18.85546875" style="25" bestFit="1" customWidth="1"/>
    <col min="8452" max="8452" width="20.28515625" style="25" bestFit="1" customWidth="1"/>
    <col min="8453" max="8453" width="18.85546875" style="25" customWidth="1"/>
    <col min="8454" max="8454" width="14.7109375" style="25" customWidth="1"/>
    <col min="8455" max="8455" width="11.28515625" style="25" customWidth="1"/>
    <col min="8456" max="8456" width="18.7109375" style="25" customWidth="1"/>
    <col min="8457" max="8457" width="19.140625" style="25" bestFit="1" customWidth="1"/>
    <col min="8458" max="8458" width="10.140625" style="25" bestFit="1" customWidth="1"/>
    <col min="8459" max="8704" width="9.140625" style="25"/>
    <col min="8705" max="8705" width="14" style="25" customWidth="1"/>
    <col min="8706" max="8706" width="20.28515625" style="25" bestFit="1" customWidth="1"/>
    <col min="8707" max="8707" width="18.85546875" style="25" bestFit="1" customWidth="1"/>
    <col min="8708" max="8708" width="20.28515625" style="25" bestFit="1" customWidth="1"/>
    <col min="8709" max="8709" width="18.85546875" style="25" customWidth="1"/>
    <col min="8710" max="8710" width="14.7109375" style="25" customWidth="1"/>
    <col min="8711" max="8711" width="11.28515625" style="25" customWidth="1"/>
    <col min="8712" max="8712" width="18.7109375" style="25" customWidth="1"/>
    <col min="8713" max="8713" width="19.140625" style="25" bestFit="1" customWidth="1"/>
    <col min="8714" max="8714" width="10.140625" style="25" bestFit="1" customWidth="1"/>
    <col min="8715" max="8960" width="9.140625" style="25"/>
    <col min="8961" max="8961" width="14" style="25" customWidth="1"/>
    <col min="8962" max="8962" width="20.28515625" style="25" bestFit="1" customWidth="1"/>
    <col min="8963" max="8963" width="18.85546875" style="25" bestFit="1" customWidth="1"/>
    <col min="8964" max="8964" width="20.28515625" style="25" bestFit="1" customWidth="1"/>
    <col min="8965" max="8965" width="18.85546875" style="25" customWidth="1"/>
    <col min="8966" max="8966" width="14.7109375" style="25" customWidth="1"/>
    <col min="8967" max="8967" width="11.28515625" style="25" customWidth="1"/>
    <col min="8968" max="8968" width="18.7109375" style="25" customWidth="1"/>
    <col min="8969" max="8969" width="19.140625" style="25" bestFit="1" customWidth="1"/>
    <col min="8970" max="8970" width="10.140625" style="25" bestFit="1" customWidth="1"/>
    <col min="8971" max="9216" width="9.140625" style="25"/>
    <col min="9217" max="9217" width="14" style="25" customWidth="1"/>
    <col min="9218" max="9218" width="20.28515625" style="25" bestFit="1" customWidth="1"/>
    <col min="9219" max="9219" width="18.85546875" style="25" bestFit="1" customWidth="1"/>
    <col min="9220" max="9220" width="20.28515625" style="25" bestFit="1" customWidth="1"/>
    <col min="9221" max="9221" width="18.85546875" style="25" customWidth="1"/>
    <col min="9222" max="9222" width="14.7109375" style="25" customWidth="1"/>
    <col min="9223" max="9223" width="11.28515625" style="25" customWidth="1"/>
    <col min="9224" max="9224" width="18.7109375" style="25" customWidth="1"/>
    <col min="9225" max="9225" width="19.140625" style="25" bestFit="1" customWidth="1"/>
    <col min="9226" max="9226" width="10.140625" style="25" bestFit="1" customWidth="1"/>
    <col min="9227" max="9472" width="9.140625" style="25"/>
    <col min="9473" max="9473" width="14" style="25" customWidth="1"/>
    <col min="9474" max="9474" width="20.28515625" style="25" bestFit="1" customWidth="1"/>
    <col min="9475" max="9475" width="18.85546875" style="25" bestFit="1" customWidth="1"/>
    <col min="9476" max="9476" width="20.28515625" style="25" bestFit="1" customWidth="1"/>
    <col min="9477" max="9477" width="18.85546875" style="25" customWidth="1"/>
    <col min="9478" max="9478" width="14.7109375" style="25" customWidth="1"/>
    <col min="9479" max="9479" width="11.28515625" style="25" customWidth="1"/>
    <col min="9480" max="9480" width="18.7109375" style="25" customWidth="1"/>
    <col min="9481" max="9481" width="19.140625" style="25" bestFit="1" customWidth="1"/>
    <col min="9482" max="9482" width="10.140625" style="25" bestFit="1" customWidth="1"/>
    <col min="9483" max="9728" width="9.140625" style="25"/>
    <col min="9729" max="9729" width="14" style="25" customWidth="1"/>
    <col min="9730" max="9730" width="20.28515625" style="25" bestFit="1" customWidth="1"/>
    <col min="9731" max="9731" width="18.85546875" style="25" bestFit="1" customWidth="1"/>
    <col min="9732" max="9732" width="20.28515625" style="25" bestFit="1" customWidth="1"/>
    <col min="9733" max="9733" width="18.85546875" style="25" customWidth="1"/>
    <col min="9734" max="9734" width="14.7109375" style="25" customWidth="1"/>
    <col min="9735" max="9735" width="11.28515625" style="25" customWidth="1"/>
    <col min="9736" max="9736" width="18.7109375" style="25" customWidth="1"/>
    <col min="9737" max="9737" width="19.140625" style="25" bestFit="1" customWidth="1"/>
    <col min="9738" max="9738" width="10.140625" style="25" bestFit="1" customWidth="1"/>
    <col min="9739" max="9984" width="9.140625" style="25"/>
    <col min="9985" max="9985" width="14" style="25" customWidth="1"/>
    <col min="9986" max="9986" width="20.28515625" style="25" bestFit="1" customWidth="1"/>
    <col min="9987" max="9987" width="18.85546875" style="25" bestFit="1" customWidth="1"/>
    <col min="9988" max="9988" width="20.28515625" style="25" bestFit="1" customWidth="1"/>
    <col min="9989" max="9989" width="18.85546875" style="25" customWidth="1"/>
    <col min="9990" max="9990" width="14.7109375" style="25" customWidth="1"/>
    <col min="9991" max="9991" width="11.28515625" style="25" customWidth="1"/>
    <col min="9992" max="9992" width="18.7109375" style="25" customWidth="1"/>
    <col min="9993" max="9993" width="19.140625" style="25" bestFit="1" customWidth="1"/>
    <col min="9994" max="9994" width="10.140625" style="25" bestFit="1" customWidth="1"/>
    <col min="9995" max="10240" width="9.140625" style="25"/>
    <col min="10241" max="10241" width="14" style="25" customWidth="1"/>
    <col min="10242" max="10242" width="20.28515625" style="25" bestFit="1" customWidth="1"/>
    <col min="10243" max="10243" width="18.85546875" style="25" bestFit="1" customWidth="1"/>
    <col min="10244" max="10244" width="20.28515625" style="25" bestFit="1" customWidth="1"/>
    <col min="10245" max="10245" width="18.85546875" style="25" customWidth="1"/>
    <col min="10246" max="10246" width="14.7109375" style="25" customWidth="1"/>
    <col min="10247" max="10247" width="11.28515625" style="25" customWidth="1"/>
    <col min="10248" max="10248" width="18.7109375" style="25" customWidth="1"/>
    <col min="10249" max="10249" width="19.140625" style="25" bestFit="1" customWidth="1"/>
    <col min="10250" max="10250" width="10.140625" style="25" bestFit="1" customWidth="1"/>
    <col min="10251" max="10496" width="9.140625" style="25"/>
    <col min="10497" max="10497" width="14" style="25" customWidth="1"/>
    <col min="10498" max="10498" width="20.28515625" style="25" bestFit="1" customWidth="1"/>
    <col min="10499" max="10499" width="18.85546875" style="25" bestFit="1" customWidth="1"/>
    <col min="10500" max="10500" width="20.28515625" style="25" bestFit="1" customWidth="1"/>
    <col min="10501" max="10501" width="18.85546875" style="25" customWidth="1"/>
    <col min="10502" max="10502" width="14.7109375" style="25" customWidth="1"/>
    <col min="10503" max="10503" width="11.28515625" style="25" customWidth="1"/>
    <col min="10504" max="10504" width="18.7109375" style="25" customWidth="1"/>
    <col min="10505" max="10505" width="19.140625" style="25" bestFit="1" customWidth="1"/>
    <col min="10506" max="10506" width="10.140625" style="25" bestFit="1" customWidth="1"/>
    <col min="10507" max="10752" width="9.140625" style="25"/>
    <col min="10753" max="10753" width="14" style="25" customWidth="1"/>
    <col min="10754" max="10754" width="20.28515625" style="25" bestFit="1" customWidth="1"/>
    <col min="10755" max="10755" width="18.85546875" style="25" bestFit="1" customWidth="1"/>
    <col min="10756" max="10756" width="20.28515625" style="25" bestFit="1" customWidth="1"/>
    <col min="10757" max="10757" width="18.85546875" style="25" customWidth="1"/>
    <col min="10758" max="10758" width="14.7109375" style="25" customWidth="1"/>
    <col min="10759" max="10759" width="11.28515625" style="25" customWidth="1"/>
    <col min="10760" max="10760" width="18.7109375" style="25" customWidth="1"/>
    <col min="10761" max="10761" width="19.140625" style="25" bestFit="1" customWidth="1"/>
    <col min="10762" max="10762" width="10.140625" style="25" bestFit="1" customWidth="1"/>
    <col min="10763" max="11008" width="9.140625" style="25"/>
    <col min="11009" max="11009" width="14" style="25" customWidth="1"/>
    <col min="11010" max="11010" width="20.28515625" style="25" bestFit="1" customWidth="1"/>
    <col min="11011" max="11011" width="18.85546875" style="25" bestFit="1" customWidth="1"/>
    <col min="11012" max="11012" width="20.28515625" style="25" bestFit="1" customWidth="1"/>
    <col min="11013" max="11013" width="18.85546875" style="25" customWidth="1"/>
    <col min="11014" max="11014" width="14.7109375" style="25" customWidth="1"/>
    <col min="11015" max="11015" width="11.28515625" style="25" customWidth="1"/>
    <col min="11016" max="11016" width="18.7109375" style="25" customWidth="1"/>
    <col min="11017" max="11017" width="19.140625" style="25" bestFit="1" customWidth="1"/>
    <col min="11018" max="11018" width="10.140625" style="25" bestFit="1" customWidth="1"/>
    <col min="11019" max="11264" width="9.140625" style="25"/>
    <col min="11265" max="11265" width="14" style="25" customWidth="1"/>
    <col min="11266" max="11266" width="20.28515625" style="25" bestFit="1" customWidth="1"/>
    <col min="11267" max="11267" width="18.85546875" style="25" bestFit="1" customWidth="1"/>
    <col min="11268" max="11268" width="20.28515625" style="25" bestFit="1" customWidth="1"/>
    <col min="11269" max="11269" width="18.85546875" style="25" customWidth="1"/>
    <col min="11270" max="11270" width="14.7109375" style="25" customWidth="1"/>
    <col min="11271" max="11271" width="11.28515625" style="25" customWidth="1"/>
    <col min="11272" max="11272" width="18.7109375" style="25" customWidth="1"/>
    <col min="11273" max="11273" width="19.140625" style="25" bestFit="1" customWidth="1"/>
    <col min="11274" max="11274" width="10.140625" style="25" bestFit="1" customWidth="1"/>
    <col min="11275" max="11520" width="9.140625" style="25"/>
    <col min="11521" max="11521" width="14" style="25" customWidth="1"/>
    <col min="11522" max="11522" width="20.28515625" style="25" bestFit="1" customWidth="1"/>
    <col min="11523" max="11523" width="18.85546875" style="25" bestFit="1" customWidth="1"/>
    <col min="11524" max="11524" width="20.28515625" style="25" bestFit="1" customWidth="1"/>
    <col min="11525" max="11525" width="18.85546875" style="25" customWidth="1"/>
    <col min="11526" max="11526" width="14.7109375" style="25" customWidth="1"/>
    <col min="11527" max="11527" width="11.28515625" style="25" customWidth="1"/>
    <col min="11528" max="11528" width="18.7109375" style="25" customWidth="1"/>
    <col min="11529" max="11529" width="19.140625" style="25" bestFit="1" customWidth="1"/>
    <col min="11530" max="11530" width="10.140625" style="25" bestFit="1" customWidth="1"/>
    <col min="11531" max="11776" width="9.140625" style="25"/>
    <col min="11777" max="11777" width="14" style="25" customWidth="1"/>
    <col min="11778" max="11778" width="20.28515625" style="25" bestFit="1" customWidth="1"/>
    <col min="11779" max="11779" width="18.85546875" style="25" bestFit="1" customWidth="1"/>
    <col min="11780" max="11780" width="20.28515625" style="25" bestFit="1" customWidth="1"/>
    <col min="11781" max="11781" width="18.85546875" style="25" customWidth="1"/>
    <col min="11782" max="11782" width="14.7109375" style="25" customWidth="1"/>
    <col min="11783" max="11783" width="11.28515625" style="25" customWidth="1"/>
    <col min="11784" max="11784" width="18.7109375" style="25" customWidth="1"/>
    <col min="11785" max="11785" width="19.140625" style="25" bestFit="1" customWidth="1"/>
    <col min="11786" max="11786" width="10.140625" style="25" bestFit="1" customWidth="1"/>
    <col min="11787" max="12032" width="9.140625" style="25"/>
    <col min="12033" max="12033" width="14" style="25" customWidth="1"/>
    <col min="12034" max="12034" width="20.28515625" style="25" bestFit="1" customWidth="1"/>
    <col min="12035" max="12035" width="18.85546875" style="25" bestFit="1" customWidth="1"/>
    <col min="12036" max="12036" width="20.28515625" style="25" bestFit="1" customWidth="1"/>
    <col min="12037" max="12037" width="18.85546875" style="25" customWidth="1"/>
    <col min="12038" max="12038" width="14.7109375" style="25" customWidth="1"/>
    <col min="12039" max="12039" width="11.28515625" style="25" customWidth="1"/>
    <col min="12040" max="12040" width="18.7109375" style="25" customWidth="1"/>
    <col min="12041" max="12041" width="19.140625" style="25" bestFit="1" customWidth="1"/>
    <col min="12042" max="12042" width="10.140625" style="25" bestFit="1" customWidth="1"/>
    <col min="12043" max="12288" width="9.140625" style="25"/>
    <col min="12289" max="12289" width="14" style="25" customWidth="1"/>
    <col min="12290" max="12290" width="20.28515625" style="25" bestFit="1" customWidth="1"/>
    <col min="12291" max="12291" width="18.85546875" style="25" bestFit="1" customWidth="1"/>
    <col min="12292" max="12292" width="20.28515625" style="25" bestFit="1" customWidth="1"/>
    <col min="12293" max="12293" width="18.85546875" style="25" customWidth="1"/>
    <col min="12294" max="12294" width="14.7109375" style="25" customWidth="1"/>
    <col min="12295" max="12295" width="11.28515625" style="25" customWidth="1"/>
    <col min="12296" max="12296" width="18.7109375" style="25" customWidth="1"/>
    <col min="12297" max="12297" width="19.140625" style="25" bestFit="1" customWidth="1"/>
    <col min="12298" max="12298" width="10.140625" style="25" bestFit="1" customWidth="1"/>
    <col min="12299" max="12544" width="9.140625" style="25"/>
    <col min="12545" max="12545" width="14" style="25" customWidth="1"/>
    <col min="12546" max="12546" width="20.28515625" style="25" bestFit="1" customWidth="1"/>
    <col min="12547" max="12547" width="18.85546875" style="25" bestFit="1" customWidth="1"/>
    <col min="12548" max="12548" width="20.28515625" style="25" bestFit="1" customWidth="1"/>
    <col min="12549" max="12549" width="18.85546875" style="25" customWidth="1"/>
    <col min="12550" max="12550" width="14.7109375" style="25" customWidth="1"/>
    <col min="12551" max="12551" width="11.28515625" style="25" customWidth="1"/>
    <col min="12552" max="12552" width="18.7109375" style="25" customWidth="1"/>
    <col min="12553" max="12553" width="19.140625" style="25" bestFit="1" customWidth="1"/>
    <col min="12554" max="12554" width="10.140625" style="25" bestFit="1" customWidth="1"/>
    <col min="12555" max="12800" width="9.140625" style="25"/>
    <col min="12801" max="12801" width="14" style="25" customWidth="1"/>
    <col min="12802" max="12802" width="20.28515625" style="25" bestFit="1" customWidth="1"/>
    <col min="12803" max="12803" width="18.85546875" style="25" bestFit="1" customWidth="1"/>
    <col min="12804" max="12804" width="20.28515625" style="25" bestFit="1" customWidth="1"/>
    <col min="12805" max="12805" width="18.85546875" style="25" customWidth="1"/>
    <col min="12806" max="12806" width="14.7109375" style="25" customWidth="1"/>
    <col min="12807" max="12807" width="11.28515625" style="25" customWidth="1"/>
    <col min="12808" max="12808" width="18.7109375" style="25" customWidth="1"/>
    <col min="12809" max="12809" width="19.140625" style="25" bestFit="1" customWidth="1"/>
    <col min="12810" max="12810" width="10.140625" style="25" bestFit="1" customWidth="1"/>
    <col min="12811" max="13056" width="9.140625" style="25"/>
    <col min="13057" max="13057" width="14" style="25" customWidth="1"/>
    <col min="13058" max="13058" width="20.28515625" style="25" bestFit="1" customWidth="1"/>
    <col min="13059" max="13059" width="18.85546875" style="25" bestFit="1" customWidth="1"/>
    <col min="13060" max="13060" width="20.28515625" style="25" bestFit="1" customWidth="1"/>
    <col min="13061" max="13061" width="18.85546875" style="25" customWidth="1"/>
    <col min="13062" max="13062" width="14.7109375" style="25" customWidth="1"/>
    <col min="13063" max="13063" width="11.28515625" style="25" customWidth="1"/>
    <col min="13064" max="13064" width="18.7109375" style="25" customWidth="1"/>
    <col min="13065" max="13065" width="19.140625" style="25" bestFit="1" customWidth="1"/>
    <col min="13066" max="13066" width="10.140625" style="25" bestFit="1" customWidth="1"/>
    <col min="13067" max="13312" width="9.140625" style="25"/>
    <col min="13313" max="13313" width="14" style="25" customWidth="1"/>
    <col min="13314" max="13314" width="20.28515625" style="25" bestFit="1" customWidth="1"/>
    <col min="13315" max="13315" width="18.85546875" style="25" bestFit="1" customWidth="1"/>
    <col min="13316" max="13316" width="20.28515625" style="25" bestFit="1" customWidth="1"/>
    <col min="13317" max="13317" width="18.85546875" style="25" customWidth="1"/>
    <col min="13318" max="13318" width="14.7109375" style="25" customWidth="1"/>
    <col min="13319" max="13319" width="11.28515625" style="25" customWidth="1"/>
    <col min="13320" max="13320" width="18.7109375" style="25" customWidth="1"/>
    <col min="13321" max="13321" width="19.140625" style="25" bestFit="1" customWidth="1"/>
    <col min="13322" max="13322" width="10.140625" style="25" bestFit="1" customWidth="1"/>
    <col min="13323" max="13568" width="9.140625" style="25"/>
    <col min="13569" max="13569" width="14" style="25" customWidth="1"/>
    <col min="13570" max="13570" width="20.28515625" style="25" bestFit="1" customWidth="1"/>
    <col min="13571" max="13571" width="18.85546875" style="25" bestFit="1" customWidth="1"/>
    <col min="13572" max="13572" width="20.28515625" style="25" bestFit="1" customWidth="1"/>
    <col min="13573" max="13573" width="18.85546875" style="25" customWidth="1"/>
    <col min="13574" max="13574" width="14.7109375" style="25" customWidth="1"/>
    <col min="13575" max="13575" width="11.28515625" style="25" customWidth="1"/>
    <col min="13576" max="13576" width="18.7109375" style="25" customWidth="1"/>
    <col min="13577" max="13577" width="19.140625" style="25" bestFit="1" customWidth="1"/>
    <col min="13578" max="13578" width="10.140625" style="25" bestFit="1" customWidth="1"/>
    <col min="13579" max="13824" width="9.140625" style="25"/>
    <col min="13825" max="13825" width="14" style="25" customWidth="1"/>
    <col min="13826" max="13826" width="20.28515625" style="25" bestFit="1" customWidth="1"/>
    <col min="13827" max="13827" width="18.85546875" style="25" bestFit="1" customWidth="1"/>
    <col min="13828" max="13828" width="20.28515625" style="25" bestFit="1" customWidth="1"/>
    <col min="13829" max="13829" width="18.85546875" style="25" customWidth="1"/>
    <col min="13830" max="13830" width="14.7109375" style="25" customWidth="1"/>
    <col min="13831" max="13831" width="11.28515625" style="25" customWidth="1"/>
    <col min="13832" max="13832" width="18.7109375" style="25" customWidth="1"/>
    <col min="13833" max="13833" width="19.140625" style="25" bestFit="1" customWidth="1"/>
    <col min="13834" max="13834" width="10.140625" style="25" bestFit="1" customWidth="1"/>
    <col min="13835" max="14080" width="9.140625" style="25"/>
    <col min="14081" max="14081" width="14" style="25" customWidth="1"/>
    <col min="14082" max="14082" width="20.28515625" style="25" bestFit="1" customWidth="1"/>
    <col min="14083" max="14083" width="18.85546875" style="25" bestFit="1" customWidth="1"/>
    <col min="14084" max="14084" width="20.28515625" style="25" bestFit="1" customWidth="1"/>
    <col min="14085" max="14085" width="18.85546875" style="25" customWidth="1"/>
    <col min="14086" max="14086" width="14.7109375" style="25" customWidth="1"/>
    <col min="14087" max="14087" width="11.28515625" style="25" customWidth="1"/>
    <col min="14088" max="14088" width="18.7109375" style="25" customWidth="1"/>
    <col min="14089" max="14089" width="19.140625" style="25" bestFit="1" customWidth="1"/>
    <col min="14090" max="14090" width="10.140625" style="25" bestFit="1" customWidth="1"/>
    <col min="14091" max="14336" width="9.140625" style="25"/>
    <col min="14337" max="14337" width="14" style="25" customWidth="1"/>
    <col min="14338" max="14338" width="20.28515625" style="25" bestFit="1" customWidth="1"/>
    <col min="14339" max="14339" width="18.85546875" style="25" bestFit="1" customWidth="1"/>
    <col min="14340" max="14340" width="20.28515625" style="25" bestFit="1" customWidth="1"/>
    <col min="14341" max="14341" width="18.85546875" style="25" customWidth="1"/>
    <col min="14342" max="14342" width="14.7109375" style="25" customWidth="1"/>
    <col min="14343" max="14343" width="11.28515625" style="25" customWidth="1"/>
    <col min="14344" max="14344" width="18.7109375" style="25" customWidth="1"/>
    <col min="14345" max="14345" width="19.140625" style="25" bestFit="1" customWidth="1"/>
    <col min="14346" max="14346" width="10.140625" style="25" bestFit="1" customWidth="1"/>
    <col min="14347" max="14592" width="9.140625" style="25"/>
    <col min="14593" max="14593" width="14" style="25" customWidth="1"/>
    <col min="14594" max="14594" width="20.28515625" style="25" bestFit="1" customWidth="1"/>
    <col min="14595" max="14595" width="18.85546875" style="25" bestFit="1" customWidth="1"/>
    <col min="14596" max="14596" width="20.28515625" style="25" bestFit="1" customWidth="1"/>
    <col min="14597" max="14597" width="18.85546875" style="25" customWidth="1"/>
    <col min="14598" max="14598" width="14.7109375" style="25" customWidth="1"/>
    <col min="14599" max="14599" width="11.28515625" style="25" customWidth="1"/>
    <col min="14600" max="14600" width="18.7109375" style="25" customWidth="1"/>
    <col min="14601" max="14601" width="19.140625" style="25" bestFit="1" customWidth="1"/>
    <col min="14602" max="14602" width="10.140625" style="25" bestFit="1" customWidth="1"/>
    <col min="14603" max="14848" width="9.140625" style="25"/>
    <col min="14849" max="14849" width="14" style="25" customWidth="1"/>
    <col min="14850" max="14850" width="20.28515625" style="25" bestFit="1" customWidth="1"/>
    <col min="14851" max="14851" width="18.85546875" style="25" bestFit="1" customWidth="1"/>
    <col min="14852" max="14852" width="20.28515625" style="25" bestFit="1" customWidth="1"/>
    <col min="14853" max="14853" width="18.85546875" style="25" customWidth="1"/>
    <col min="14854" max="14854" width="14.7109375" style="25" customWidth="1"/>
    <col min="14855" max="14855" width="11.28515625" style="25" customWidth="1"/>
    <col min="14856" max="14856" width="18.7109375" style="25" customWidth="1"/>
    <col min="14857" max="14857" width="19.140625" style="25" bestFit="1" customWidth="1"/>
    <col min="14858" max="14858" width="10.140625" style="25" bestFit="1" customWidth="1"/>
    <col min="14859" max="15104" width="9.140625" style="25"/>
    <col min="15105" max="15105" width="14" style="25" customWidth="1"/>
    <col min="15106" max="15106" width="20.28515625" style="25" bestFit="1" customWidth="1"/>
    <col min="15107" max="15107" width="18.85546875" style="25" bestFit="1" customWidth="1"/>
    <col min="15108" max="15108" width="20.28515625" style="25" bestFit="1" customWidth="1"/>
    <col min="15109" max="15109" width="18.85546875" style="25" customWidth="1"/>
    <col min="15110" max="15110" width="14.7109375" style="25" customWidth="1"/>
    <col min="15111" max="15111" width="11.28515625" style="25" customWidth="1"/>
    <col min="15112" max="15112" width="18.7109375" style="25" customWidth="1"/>
    <col min="15113" max="15113" width="19.140625" style="25" bestFit="1" customWidth="1"/>
    <col min="15114" max="15114" width="10.140625" style="25" bestFit="1" customWidth="1"/>
    <col min="15115" max="15360" width="9.140625" style="25"/>
    <col min="15361" max="15361" width="14" style="25" customWidth="1"/>
    <col min="15362" max="15362" width="20.28515625" style="25" bestFit="1" customWidth="1"/>
    <col min="15363" max="15363" width="18.85546875" style="25" bestFit="1" customWidth="1"/>
    <col min="15364" max="15364" width="20.28515625" style="25" bestFit="1" customWidth="1"/>
    <col min="15365" max="15365" width="18.85546875" style="25" customWidth="1"/>
    <col min="15366" max="15366" width="14.7109375" style="25" customWidth="1"/>
    <col min="15367" max="15367" width="11.28515625" style="25" customWidth="1"/>
    <col min="15368" max="15368" width="18.7109375" style="25" customWidth="1"/>
    <col min="15369" max="15369" width="19.140625" style="25" bestFit="1" customWidth="1"/>
    <col min="15370" max="15370" width="10.140625" style="25" bestFit="1" customWidth="1"/>
    <col min="15371" max="15616" width="9.140625" style="25"/>
    <col min="15617" max="15617" width="14" style="25" customWidth="1"/>
    <col min="15618" max="15618" width="20.28515625" style="25" bestFit="1" customWidth="1"/>
    <col min="15619" max="15619" width="18.85546875" style="25" bestFit="1" customWidth="1"/>
    <col min="15620" max="15620" width="20.28515625" style="25" bestFit="1" customWidth="1"/>
    <col min="15621" max="15621" width="18.85546875" style="25" customWidth="1"/>
    <col min="15622" max="15622" width="14.7109375" style="25" customWidth="1"/>
    <col min="15623" max="15623" width="11.28515625" style="25" customWidth="1"/>
    <col min="15624" max="15624" width="18.7109375" style="25" customWidth="1"/>
    <col min="15625" max="15625" width="19.140625" style="25" bestFit="1" customWidth="1"/>
    <col min="15626" max="15626" width="10.140625" style="25" bestFit="1" customWidth="1"/>
    <col min="15627" max="15872" width="9.140625" style="25"/>
    <col min="15873" max="15873" width="14" style="25" customWidth="1"/>
    <col min="15874" max="15874" width="20.28515625" style="25" bestFit="1" customWidth="1"/>
    <col min="15875" max="15875" width="18.85546875" style="25" bestFit="1" customWidth="1"/>
    <col min="15876" max="15876" width="20.28515625" style="25" bestFit="1" customWidth="1"/>
    <col min="15877" max="15877" width="18.85546875" style="25" customWidth="1"/>
    <col min="15878" max="15878" width="14.7109375" style="25" customWidth="1"/>
    <col min="15879" max="15879" width="11.28515625" style="25" customWidth="1"/>
    <col min="15880" max="15880" width="18.7109375" style="25" customWidth="1"/>
    <col min="15881" max="15881" width="19.140625" style="25" bestFit="1" customWidth="1"/>
    <col min="15882" max="15882" width="10.140625" style="25" bestFit="1" customWidth="1"/>
    <col min="15883" max="16128" width="9.140625" style="25"/>
    <col min="16129" max="16129" width="14" style="25" customWidth="1"/>
    <col min="16130" max="16130" width="20.28515625" style="25" bestFit="1" customWidth="1"/>
    <col min="16131" max="16131" width="18.85546875" style="25" bestFit="1" customWidth="1"/>
    <col min="16132" max="16132" width="20.28515625" style="25" bestFit="1" customWidth="1"/>
    <col min="16133" max="16133" width="18.85546875" style="25" customWidth="1"/>
    <col min="16134" max="16134" width="14.7109375" style="25" customWidth="1"/>
    <col min="16135" max="16135" width="11.28515625" style="25" customWidth="1"/>
    <col min="16136" max="16136" width="18.7109375" style="25" customWidth="1"/>
    <col min="16137" max="16137" width="19.140625" style="25" bestFit="1" customWidth="1"/>
    <col min="16138" max="16138" width="10.140625" style="25" bestFit="1" customWidth="1"/>
    <col min="16139" max="16384" width="9.140625" style="25"/>
  </cols>
  <sheetData>
    <row r="1" spans="1:10" ht="18" x14ac:dyDescent="0.25">
      <c r="A1" s="32" t="s">
        <v>13</v>
      </c>
    </row>
    <row r="2" spans="1:10" ht="18" x14ac:dyDescent="0.25">
      <c r="A2" s="80"/>
      <c r="B2" s="36" t="s">
        <v>14</v>
      </c>
      <c r="C2" s="36" t="s">
        <v>15</v>
      </c>
      <c r="D2" s="36" t="s">
        <v>14</v>
      </c>
      <c r="E2" s="36" t="s">
        <v>15</v>
      </c>
      <c r="F2" s="36" t="s">
        <v>16</v>
      </c>
      <c r="G2" s="39" t="s">
        <v>17</v>
      </c>
      <c r="H2" s="39" t="s">
        <v>18</v>
      </c>
      <c r="I2" s="39" t="s">
        <v>19</v>
      </c>
      <c r="J2" s="17" t="s">
        <v>20</v>
      </c>
    </row>
    <row r="3" spans="1:10" x14ac:dyDescent="0.2">
      <c r="A3" s="81"/>
      <c r="B3" s="36" t="s">
        <v>21</v>
      </c>
      <c r="C3" s="36" t="s">
        <v>21</v>
      </c>
      <c r="D3" s="36"/>
      <c r="E3" s="36" t="s">
        <v>22</v>
      </c>
      <c r="F3" s="82" t="s">
        <v>21</v>
      </c>
      <c r="G3" s="39" t="s">
        <v>23</v>
      </c>
      <c r="H3" s="83"/>
      <c r="I3" s="39" t="s">
        <v>24</v>
      </c>
      <c r="J3" s="17" t="s">
        <v>25</v>
      </c>
    </row>
    <row r="4" spans="1:10" x14ac:dyDescent="0.2">
      <c r="A4" s="5">
        <v>44409</v>
      </c>
      <c r="B4" s="85">
        <v>0</v>
      </c>
      <c r="C4" s="86">
        <f>IF(B5-B4 &lt; 0,0,B5-B4)</f>
        <v>1111</v>
      </c>
      <c r="D4" s="85">
        <v>467</v>
      </c>
      <c r="E4" s="86">
        <f>IF(D5-D4 &lt; 0,0,D5-D4)</f>
        <v>517</v>
      </c>
      <c r="F4" s="85">
        <v>84</v>
      </c>
      <c r="G4" s="87">
        <v>0</v>
      </c>
      <c r="H4" s="87" t="s">
        <v>32</v>
      </c>
      <c r="I4" s="86">
        <f>+E4+C4</f>
        <v>1628</v>
      </c>
      <c r="J4" s="18">
        <f>(C4*0.288)+(E4*0.177)</f>
        <v>411.47699999999998</v>
      </c>
    </row>
    <row r="5" spans="1:10" x14ac:dyDescent="0.2">
      <c r="A5" s="5">
        <v>44410</v>
      </c>
      <c r="B5" s="85">
        <v>1111</v>
      </c>
      <c r="C5" s="86">
        <f t="shared" ref="C5:C33" si="0">IF(B6-B5 &lt; 0,0,B6-B5)</f>
        <v>807</v>
      </c>
      <c r="D5" s="85">
        <v>984</v>
      </c>
      <c r="E5" s="86">
        <f t="shared" ref="E5:E33" si="1">IF(D6-D5 &lt; 0,0,D6-D5)</f>
        <v>753</v>
      </c>
      <c r="F5" s="85">
        <v>84</v>
      </c>
      <c r="G5" s="87">
        <v>0</v>
      </c>
      <c r="H5" s="87" t="s">
        <v>32</v>
      </c>
      <c r="I5" s="86">
        <f>+E5+C5</f>
        <v>1560</v>
      </c>
      <c r="J5" s="18">
        <f t="shared" ref="J5:J35" si="2">(C5*0.288)+(E5*0.177)</f>
        <v>365.697</v>
      </c>
    </row>
    <row r="6" spans="1:10" ht="11.25" customHeight="1" x14ac:dyDescent="0.2">
      <c r="A6" s="5">
        <v>44411</v>
      </c>
      <c r="B6" s="85">
        <v>1918</v>
      </c>
      <c r="C6" s="86">
        <f t="shared" si="0"/>
        <v>999</v>
      </c>
      <c r="D6" s="85">
        <v>1737</v>
      </c>
      <c r="E6" s="86">
        <f t="shared" si="1"/>
        <v>675</v>
      </c>
      <c r="F6" s="85">
        <v>84</v>
      </c>
      <c r="G6" s="87">
        <v>0</v>
      </c>
      <c r="H6" s="87" t="s">
        <v>32</v>
      </c>
      <c r="I6" s="86">
        <f>+E6+C6</f>
        <v>1674</v>
      </c>
      <c r="J6" s="18">
        <f t="shared" si="2"/>
        <v>407.18700000000001</v>
      </c>
    </row>
    <row r="7" spans="1:10" x14ac:dyDescent="0.2">
      <c r="A7" s="5">
        <v>44412</v>
      </c>
      <c r="B7" s="85">
        <v>2917</v>
      </c>
      <c r="C7" s="86">
        <f t="shared" si="0"/>
        <v>1019</v>
      </c>
      <c r="D7" s="85">
        <v>2412</v>
      </c>
      <c r="E7" s="86">
        <f t="shared" si="1"/>
        <v>636</v>
      </c>
      <c r="F7" s="85">
        <v>84</v>
      </c>
      <c r="G7" s="87">
        <v>0</v>
      </c>
      <c r="H7" s="87" t="s">
        <v>32</v>
      </c>
      <c r="I7" s="86">
        <f t="shared" ref="I7:I35" si="3">+E7+C7</f>
        <v>1655</v>
      </c>
      <c r="J7" s="18">
        <f t="shared" si="2"/>
        <v>406.04399999999998</v>
      </c>
    </row>
    <row r="8" spans="1:10" x14ac:dyDescent="0.2">
      <c r="A8" s="5">
        <v>44413</v>
      </c>
      <c r="B8" s="85">
        <v>3936</v>
      </c>
      <c r="C8" s="86">
        <f t="shared" si="0"/>
        <v>938</v>
      </c>
      <c r="D8" s="85">
        <v>3048</v>
      </c>
      <c r="E8" s="86">
        <f t="shared" si="1"/>
        <v>555</v>
      </c>
      <c r="F8" s="85">
        <v>84</v>
      </c>
      <c r="G8" s="87">
        <v>0</v>
      </c>
      <c r="H8" s="87" t="s">
        <v>27</v>
      </c>
      <c r="I8" s="86">
        <f t="shared" si="3"/>
        <v>1493</v>
      </c>
      <c r="J8" s="18">
        <f t="shared" si="2"/>
        <v>368.37900000000002</v>
      </c>
    </row>
    <row r="9" spans="1:10" x14ac:dyDescent="0.2">
      <c r="A9" s="5">
        <v>44414</v>
      </c>
      <c r="B9" s="85">
        <v>4874</v>
      </c>
      <c r="C9" s="86">
        <f t="shared" si="0"/>
        <v>949</v>
      </c>
      <c r="D9" s="85">
        <v>3603</v>
      </c>
      <c r="E9" s="86">
        <f t="shared" si="1"/>
        <v>596</v>
      </c>
      <c r="F9" s="85">
        <v>84</v>
      </c>
      <c r="G9" s="87">
        <v>0</v>
      </c>
      <c r="H9" s="87" t="s">
        <v>27</v>
      </c>
      <c r="I9" s="86">
        <f t="shared" si="3"/>
        <v>1545</v>
      </c>
      <c r="J9" s="18">
        <f t="shared" si="2"/>
        <v>378.80399999999997</v>
      </c>
    </row>
    <row r="10" spans="1:10" x14ac:dyDescent="0.2">
      <c r="A10" s="5">
        <v>44415</v>
      </c>
      <c r="B10" s="85">
        <v>5823</v>
      </c>
      <c r="C10" s="86">
        <f t="shared" si="0"/>
        <v>949</v>
      </c>
      <c r="D10" s="85">
        <v>4199</v>
      </c>
      <c r="E10" s="86">
        <f t="shared" si="1"/>
        <v>615</v>
      </c>
      <c r="F10" s="85">
        <v>84</v>
      </c>
      <c r="G10" s="87">
        <v>0</v>
      </c>
      <c r="H10" s="87" t="s">
        <v>27</v>
      </c>
      <c r="I10" s="86">
        <f t="shared" si="3"/>
        <v>1564</v>
      </c>
      <c r="J10" s="18">
        <f t="shared" si="2"/>
        <v>382.16699999999992</v>
      </c>
    </row>
    <row r="11" spans="1:10" x14ac:dyDescent="0.2">
      <c r="A11" s="5">
        <v>44416</v>
      </c>
      <c r="B11" s="85">
        <v>6772</v>
      </c>
      <c r="C11" s="86">
        <f t="shared" si="0"/>
        <v>989</v>
      </c>
      <c r="D11" s="85">
        <v>4814</v>
      </c>
      <c r="E11" s="86">
        <f t="shared" si="1"/>
        <v>604</v>
      </c>
      <c r="F11" s="85">
        <v>84</v>
      </c>
      <c r="G11" s="87">
        <v>0</v>
      </c>
      <c r="H11" s="87" t="s">
        <v>27</v>
      </c>
      <c r="I11" s="86">
        <f t="shared" si="3"/>
        <v>1593</v>
      </c>
      <c r="J11" s="18">
        <f t="shared" si="2"/>
        <v>391.74</v>
      </c>
    </row>
    <row r="12" spans="1:10" x14ac:dyDescent="0.2">
      <c r="A12" s="5">
        <v>44417</v>
      </c>
      <c r="B12" s="85">
        <v>7761</v>
      </c>
      <c r="C12" s="86">
        <f t="shared" si="0"/>
        <v>949</v>
      </c>
      <c r="D12" s="85">
        <v>5418</v>
      </c>
      <c r="E12" s="86">
        <f t="shared" si="1"/>
        <v>606</v>
      </c>
      <c r="F12" s="85">
        <v>84</v>
      </c>
      <c r="G12" s="87">
        <v>0</v>
      </c>
      <c r="H12" s="87" t="s">
        <v>27</v>
      </c>
      <c r="I12" s="86">
        <f t="shared" si="3"/>
        <v>1555</v>
      </c>
      <c r="J12" s="18">
        <f t="shared" si="2"/>
        <v>380.57399999999996</v>
      </c>
    </row>
    <row r="13" spans="1:10" x14ac:dyDescent="0.2">
      <c r="A13" s="5">
        <v>44418</v>
      </c>
      <c r="B13" s="85">
        <v>8710</v>
      </c>
      <c r="C13" s="86">
        <f t="shared" si="0"/>
        <v>840</v>
      </c>
      <c r="D13" s="85">
        <v>6024</v>
      </c>
      <c r="E13" s="86">
        <f t="shared" si="1"/>
        <v>545</v>
      </c>
      <c r="F13" s="85">
        <v>84</v>
      </c>
      <c r="G13" s="87">
        <v>0</v>
      </c>
      <c r="H13" s="87" t="s">
        <v>27</v>
      </c>
      <c r="I13" s="86">
        <f t="shared" si="3"/>
        <v>1385</v>
      </c>
      <c r="J13" s="18">
        <f t="shared" si="2"/>
        <v>338.38499999999999</v>
      </c>
    </row>
    <row r="14" spans="1:10" x14ac:dyDescent="0.2">
      <c r="A14" s="5">
        <v>44419</v>
      </c>
      <c r="B14" s="85">
        <v>9550</v>
      </c>
      <c r="C14" s="86">
        <f t="shared" si="0"/>
        <v>970</v>
      </c>
      <c r="D14" s="85">
        <v>6569</v>
      </c>
      <c r="E14" s="86">
        <f t="shared" si="1"/>
        <v>536</v>
      </c>
      <c r="F14" s="85">
        <v>84</v>
      </c>
      <c r="G14" s="87">
        <v>0</v>
      </c>
      <c r="H14" s="87" t="s">
        <v>27</v>
      </c>
      <c r="I14" s="86">
        <f t="shared" si="3"/>
        <v>1506</v>
      </c>
      <c r="J14" s="18">
        <f t="shared" si="2"/>
        <v>374.23199999999997</v>
      </c>
    </row>
    <row r="15" spans="1:10" x14ac:dyDescent="0.2">
      <c r="A15" s="5">
        <v>44420</v>
      </c>
      <c r="B15" s="85">
        <v>10520</v>
      </c>
      <c r="C15" s="86">
        <f t="shared" si="0"/>
        <v>987</v>
      </c>
      <c r="D15" s="85">
        <v>7105</v>
      </c>
      <c r="E15" s="86">
        <f t="shared" si="1"/>
        <v>745</v>
      </c>
      <c r="F15" s="85">
        <v>84</v>
      </c>
      <c r="G15" s="87">
        <v>0</v>
      </c>
      <c r="H15" s="87" t="s">
        <v>27</v>
      </c>
      <c r="I15" s="86">
        <f t="shared" si="3"/>
        <v>1732</v>
      </c>
      <c r="J15" s="18">
        <f t="shared" si="2"/>
        <v>416.12099999999998</v>
      </c>
    </row>
    <row r="16" spans="1:10" x14ac:dyDescent="0.2">
      <c r="A16" s="5">
        <v>44421</v>
      </c>
      <c r="B16" s="85">
        <v>11507</v>
      </c>
      <c r="C16" s="86">
        <f t="shared" si="0"/>
        <v>909</v>
      </c>
      <c r="D16" s="85">
        <v>7850</v>
      </c>
      <c r="E16" s="86">
        <f t="shared" si="1"/>
        <v>606</v>
      </c>
      <c r="F16" s="85">
        <v>84</v>
      </c>
      <c r="G16" s="87">
        <v>0</v>
      </c>
      <c r="H16" s="87" t="s">
        <v>27</v>
      </c>
      <c r="I16" s="86">
        <f t="shared" si="3"/>
        <v>1515</v>
      </c>
      <c r="J16" s="18">
        <f t="shared" si="2"/>
        <v>369.05399999999997</v>
      </c>
    </row>
    <row r="17" spans="1:10" x14ac:dyDescent="0.2">
      <c r="A17" s="5">
        <v>44422</v>
      </c>
      <c r="B17" s="85">
        <v>12416</v>
      </c>
      <c r="C17" s="86">
        <f t="shared" si="0"/>
        <v>799</v>
      </c>
      <c r="D17" s="85">
        <v>8456</v>
      </c>
      <c r="E17" s="86">
        <f t="shared" si="1"/>
        <v>546</v>
      </c>
      <c r="F17" s="85">
        <v>84</v>
      </c>
      <c r="G17" s="87">
        <v>0</v>
      </c>
      <c r="H17" s="87" t="s">
        <v>27</v>
      </c>
      <c r="I17" s="86">
        <f t="shared" si="3"/>
        <v>1345</v>
      </c>
      <c r="J17" s="18">
        <f t="shared" si="2"/>
        <v>326.75400000000002</v>
      </c>
    </row>
    <row r="18" spans="1:10" x14ac:dyDescent="0.2">
      <c r="A18" s="5">
        <v>44423</v>
      </c>
      <c r="B18" s="85">
        <v>13215</v>
      </c>
      <c r="C18" s="86">
        <f t="shared" si="0"/>
        <v>809</v>
      </c>
      <c r="D18" s="85">
        <v>9002</v>
      </c>
      <c r="E18" s="86">
        <f t="shared" si="1"/>
        <v>546</v>
      </c>
      <c r="F18" s="85">
        <v>84</v>
      </c>
      <c r="G18" s="87">
        <v>0</v>
      </c>
      <c r="H18" s="87" t="s">
        <v>27</v>
      </c>
      <c r="I18" s="86">
        <f t="shared" si="3"/>
        <v>1355</v>
      </c>
      <c r="J18" s="18">
        <f t="shared" si="2"/>
        <v>329.63400000000001</v>
      </c>
    </row>
    <row r="19" spans="1:10" x14ac:dyDescent="0.2">
      <c r="A19" s="5">
        <v>44424</v>
      </c>
      <c r="B19" s="85">
        <v>14024</v>
      </c>
      <c r="C19" s="86">
        <f t="shared" si="0"/>
        <v>820</v>
      </c>
      <c r="D19" s="85">
        <v>9548</v>
      </c>
      <c r="E19" s="86">
        <f t="shared" si="1"/>
        <v>578</v>
      </c>
      <c r="F19" s="85">
        <v>84</v>
      </c>
      <c r="G19" s="87">
        <v>0</v>
      </c>
      <c r="H19" s="87" t="s">
        <v>27</v>
      </c>
      <c r="I19" s="86">
        <f t="shared" si="3"/>
        <v>1398</v>
      </c>
      <c r="J19" s="18">
        <f t="shared" si="2"/>
        <v>338.46599999999995</v>
      </c>
    </row>
    <row r="20" spans="1:10" x14ac:dyDescent="0.2">
      <c r="A20" s="5">
        <v>44425</v>
      </c>
      <c r="B20" s="85">
        <v>14844</v>
      </c>
      <c r="C20" s="86">
        <f t="shared" si="0"/>
        <v>909</v>
      </c>
      <c r="D20" s="85">
        <v>10126</v>
      </c>
      <c r="E20" s="86">
        <f t="shared" si="1"/>
        <v>585</v>
      </c>
      <c r="F20" s="85">
        <v>84</v>
      </c>
      <c r="G20" s="87">
        <v>0</v>
      </c>
      <c r="H20" s="87" t="s">
        <v>27</v>
      </c>
      <c r="I20" s="86">
        <f t="shared" si="3"/>
        <v>1494</v>
      </c>
      <c r="J20" s="18">
        <f t="shared" si="2"/>
        <v>365.33699999999999</v>
      </c>
    </row>
    <row r="21" spans="1:10" x14ac:dyDescent="0.2">
      <c r="A21" s="5">
        <v>44426</v>
      </c>
      <c r="B21" s="85">
        <v>15753</v>
      </c>
      <c r="C21" s="86">
        <f t="shared" si="0"/>
        <v>460</v>
      </c>
      <c r="D21" s="85">
        <v>10711</v>
      </c>
      <c r="E21" s="86">
        <f t="shared" si="1"/>
        <v>541</v>
      </c>
      <c r="F21" s="85">
        <v>84</v>
      </c>
      <c r="G21" s="87">
        <v>0</v>
      </c>
      <c r="H21" s="87" t="s">
        <v>27</v>
      </c>
      <c r="I21" s="86">
        <f t="shared" si="3"/>
        <v>1001</v>
      </c>
      <c r="J21" s="18">
        <f t="shared" si="2"/>
        <v>228.23699999999997</v>
      </c>
    </row>
    <row r="22" spans="1:10" x14ac:dyDescent="0.2">
      <c r="A22" s="5">
        <v>44427</v>
      </c>
      <c r="B22" s="85">
        <v>16213</v>
      </c>
      <c r="C22" s="86">
        <f t="shared" si="0"/>
        <v>1197</v>
      </c>
      <c r="D22" s="85">
        <v>11252</v>
      </c>
      <c r="E22" s="86">
        <f t="shared" si="1"/>
        <v>540</v>
      </c>
      <c r="F22" s="85">
        <v>84</v>
      </c>
      <c r="G22" s="87">
        <v>0</v>
      </c>
      <c r="H22" s="87" t="s">
        <v>27</v>
      </c>
      <c r="I22" s="86">
        <f t="shared" si="3"/>
        <v>1737</v>
      </c>
      <c r="J22" s="18">
        <f t="shared" si="2"/>
        <v>440.31599999999997</v>
      </c>
    </row>
    <row r="23" spans="1:10" x14ac:dyDescent="0.2">
      <c r="A23" s="5">
        <v>44428</v>
      </c>
      <c r="B23" s="85">
        <v>17410</v>
      </c>
      <c r="C23" s="86">
        <f t="shared" si="0"/>
        <v>810</v>
      </c>
      <c r="D23" s="85">
        <v>11792</v>
      </c>
      <c r="E23" s="86">
        <f t="shared" si="1"/>
        <v>536</v>
      </c>
      <c r="F23" s="85">
        <v>84</v>
      </c>
      <c r="G23" s="87">
        <v>0</v>
      </c>
      <c r="H23" s="87" t="s">
        <v>27</v>
      </c>
      <c r="I23" s="86">
        <f t="shared" si="3"/>
        <v>1346</v>
      </c>
      <c r="J23" s="18">
        <f t="shared" si="2"/>
        <v>328.15199999999999</v>
      </c>
    </row>
    <row r="24" spans="1:10" x14ac:dyDescent="0.2">
      <c r="A24" s="5">
        <v>44429</v>
      </c>
      <c r="B24" s="85">
        <v>18220</v>
      </c>
      <c r="C24" s="86">
        <f t="shared" si="0"/>
        <v>828</v>
      </c>
      <c r="D24" s="85">
        <v>12328</v>
      </c>
      <c r="E24" s="86">
        <f t="shared" si="1"/>
        <v>427</v>
      </c>
      <c r="F24" s="85">
        <v>84</v>
      </c>
      <c r="G24" s="87">
        <v>0</v>
      </c>
      <c r="H24" s="87" t="s">
        <v>27</v>
      </c>
      <c r="I24" s="86">
        <f t="shared" si="3"/>
        <v>1255</v>
      </c>
      <c r="J24" s="18">
        <f t="shared" si="2"/>
        <v>314.04299999999995</v>
      </c>
    </row>
    <row r="25" spans="1:10" x14ac:dyDescent="0.2">
      <c r="A25" s="5">
        <v>44430</v>
      </c>
      <c r="B25" s="85">
        <v>19048</v>
      </c>
      <c r="C25" s="86">
        <f t="shared" si="0"/>
        <v>919</v>
      </c>
      <c r="D25" s="85">
        <v>12755</v>
      </c>
      <c r="E25" s="86">
        <f t="shared" si="1"/>
        <v>682</v>
      </c>
      <c r="F25" s="85">
        <v>84</v>
      </c>
      <c r="G25" s="87">
        <v>0</v>
      </c>
      <c r="H25" s="87" t="s">
        <v>27</v>
      </c>
      <c r="I25" s="86">
        <f t="shared" si="3"/>
        <v>1601</v>
      </c>
      <c r="J25" s="18">
        <f t="shared" si="2"/>
        <v>385.38599999999997</v>
      </c>
    </row>
    <row r="26" spans="1:10" x14ac:dyDescent="0.2">
      <c r="A26" s="5">
        <v>44431</v>
      </c>
      <c r="B26" s="92">
        <v>19967</v>
      </c>
      <c r="C26" s="86">
        <f t="shared" si="0"/>
        <v>919</v>
      </c>
      <c r="D26" s="85">
        <v>13437</v>
      </c>
      <c r="E26" s="86">
        <f t="shared" si="1"/>
        <v>574</v>
      </c>
      <c r="F26" s="85">
        <v>84</v>
      </c>
      <c r="G26" s="87">
        <v>0</v>
      </c>
      <c r="H26" s="88" t="s">
        <v>27</v>
      </c>
      <c r="I26" s="86">
        <f t="shared" si="3"/>
        <v>1493</v>
      </c>
      <c r="J26" s="18">
        <f t="shared" si="2"/>
        <v>366.27</v>
      </c>
    </row>
    <row r="27" spans="1:10" x14ac:dyDescent="0.2">
      <c r="A27" s="5">
        <v>44432</v>
      </c>
      <c r="B27" s="85">
        <v>20886</v>
      </c>
      <c r="C27" s="86">
        <f t="shared" si="0"/>
        <v>869</v>
      </c>
      <c r="D27" s="85">
        <v>14011</v>
      </c>
      <c r="E27" s="86">
        <f t="shared" si="1"/>
        <v>648</v>
      </c>
      <c r="F27" s="85">
        <v>84</v>
      </c>
      <c r="G27" s="87">
        <v>0</v>
      </c>
      <c r="H27" s="87" t="s">
        <v>28</v>
      </c>
      <c r="I27" s="86">
        <f t="shared" si="3"/>
        <v>1517</v>
      </c>
      <c r="J27" s="18">
        <f t="shared" si="2"/>
        <v>364.96799999999996</v>
      </c>
    </row>
    <row r="28" spans="1:10" x14ac:dyDescent="0.2">
      <c r="A28" s="5">
        <v>44433</v>
      </c>
      <c r="B28" s="85">
        <v>21755</v>
      </c>
      <c r="C28" s="86">
        <f t="shared" si="0"/>
        <v>969</v>
      </c>
      <c r="D28" s="85">
        <v>14659</v>
      </c>
      <c r="E28" s="86">
        <f t="shared" si="1"/>
        <v>584</v>
      </c>
      <c r="F28" s="85">
        <v>84</v>
      </c>
      <c r="G28" s="87">
        <v>0</v>
      </c>
      <c r="H28" s="87" t="s">
        <v>28</v>
      </c>
      <c r="I28" s="86">
        <f t="shared" si="3"/>
        <v>1553</v>
      </c>
      <c r="J28" s="18">
        <f t="shared" si="2"/>
        <v>382.44</v>
      </c>
    </row>
    <row r="29" spans="1:10" x14ac:dyDescent="0.2">
      <c r="A29" s="5">
        <v>44434</v>
      </c>
      <c r="B29" s="85">
        <v>22724</v>
      </c>
      <c r="C29" s="86">
        <f t="shared" si="0"/>
        <v>949</v>
      </c>
      <c r="D29" s="85">
        <v>15243</v>
      </c>
      <c r="E29" s="86">
        <f t="shared" si="1"/>
        <v>583</v>
      </c>
      <c r="F29" s="85">
        <v>84</v>
      </c>
      <c r="G29" s="87">
        <v>0</v>
      </c>
      <c r="H29" s="87" t="s">
        <v>33</v>
      </c>
      <c r="I29" s="86">
        <f t="shared" si="3"/>
        <v>1532</v>
      </c>
      <c r="J29" s="18">
        <f t="shared" si="2"/>
        <v>376.50299999999993</v>
      </c>
    </row>
    <row r="30" spans="1:10" x14ac:dyDescent="0.2">
      <c r="A30" s="5">
        <v>44435</v>
      </c>
      <c r="B30" s="85">
        <v>23673</v>
      </c>
      <c r="C30" s="86">
        <f t="shared" si="0"/>
        <v>999</v>
      </c>
      <c r="D30" s="85">
        <v>15826</v>
      </c>
      <c r="E30" s="86">
        <f t="shared" si="1"/>
        <v>676</v>
      </c>
      <c r="F30" s="85">
        <v>84</v>
      </c>
      <c r="G30" s="87">
        <v>0</v>
      </c>
      <c r="H30" s="87" t="s">
        <v>27</v>
      </c>
      <c r="I30" s="86">
        <f t="shared" si="3"/>
        <v>1675</v>
      </c>
      <c r="J30" s="18">
        <f t="shared" si="2"/>
        <v>407.36399999999998</v>
      </c>
    </row>
    <row r="31" spans="1:10" x14ac:dyDescent="0.2">
      <c r="A31" s="5">
        <v>44436</v>
      </c>
      <c r="B31" s="85">
        <v>24672</v>
      </c>
      <c r="C31" s="86">
        <f t="shared" si="0"/>
        <v>1029</v>
      </c>
      <c r="D31" s="85">
        <v>16502</v>
      </c>
      <c r="E31" s="86">
        <f t="shared" si="1"/>
        <v>687</v>
      </c>
      <c r="F31" s="85">
        <v>84</v>
      </c>
      <c r="G31" s="87">
        <v>0</v>
      </c>
      <c r="H31" s="87" t="s">
        <v>28</v>
      </c>
      <c r="I31" s="86">
        <f t="shared" si="3"/>
        <v>1716</v>
      </c>
      <c r="J31" s="18">
        <f t="shared" si="2"/>
        <v>417.95099999999996</v>
      </c>
    </row>
    <row r="32" spans="1:10" x14ac:dyDescent="0.2">
      <c r="A32" s="5">
        <v>44437</v>
      </c>
      <c r="B32" s="85">
        <v>25701</v>
      </c>
      <c r="C32" s="86">
        <f t="shared" si="0"/>
        <v>1008</v>
      </c>
      <c r="D32" s="85">
        <v>17189</v>
      </c>
      <c r="E32" s="86">
        <f t="shared" si="1"/>
        <v>656</v>
      </c>
      <c r="F32" s="85">
        <v>84</v>
      </c>
      <c r="G32" s="87">
        <v>0</v>
      </c>
      <c r="H32" s="87" t="s">
        <v>28</v>
      </c>
      <c r="I32" s="86">
        <f t="shared" si="3"/>
        <v>1664</v>
      </c>
      <c r="J32" s="18">
        <f t="shared" si="2"/>
        <v>406.41599999999994</v>
      </c>
    </row>
    <row r="33" spans="1:10" x14ac:dyDescent="0.2">
      <c r="A33" s="5">
        <v>44438</v>
      </c>
      <c r="B33" s="85">
        <v>26709</v>
      </c>
      <c r="C33" s="86">
        <f t="shared" si="0"/>
        <v>1019</v>
      </c>
      <c r="D33" s="85">
        <v>17845</v>
      </c>
      <c r="E33" s="86">
        <f t="shared" si="1"/>
        <v>655</v>
      </c>
      <c r="F33" s="85">
        <v>84</v>
      </c>
      <c r="G33" s="87">
        <v>0</v>
      </c>
      <c r="H33" s="87" t="s">
        <v>28</v>
      </c>
      <c r="I33" s="86">
        <f t="shared" si="3"/>
        <v>1674</v>
      </c>
      <c r="J33" s="18">
        <f t="shared" si="2"/>
        <v>409.40699999999998</v>
      </c>
    </row>
    <row r="34" spans="1:10" x14ac:dyDescent="0.2">
      <c r="A34" s="84">
        <v>44439</v>
      </c>
      <c r="B34" s="85">
        <v>27728</v>
      </c>
      <c r="C34" s="86"/>
      <c r="D34" s="85">
        <v>18500</v>
      </c>
      <c r="E34" s="86"/>
      <c r="F34" s="85">
        <v>0</v>
      </c>
      <c r="G34" s="87">
        <v>0</v>
      </c>
      <c r="H34" s="87" t="s">
        <v>27</v>
      </c>
      <c r="I34" s="86">
        <f t="shared" si="3"/>
        <v>0</v>
      </c>
      <c r="J34" s="18">
        <f t="shared" si="2"/>
        <v>0</v>
      </c>
    </row>
    <row r="35" spans="1:10" x14ac:dyDescent="0.2">
      <c r="A35" s="84"/>
      <c r="B35" s="68">
        <v>0</v>
      </c>
      <c r="C35" s="86"/>
      <c r="D35" s="100">
        <v>833</v>
      </c>
      <c r="E35" s="86"/>
      <c r="F35" s="85"/>
      <c r="G35" s="87"/>
      <c r="H35" s="87"/>
      <c r="I35" s="86">
        <f t="shared" si="3"/>
        <v>0</v>
      </c>
      <c r="J35" s="18">
        <f t="shared" si="2"/>
        <v>0</v>
      </c>
    </row>
    <row r="36" spans="1:10" x14ac:dyDescent="0.2">
      <c r="A36" s="101"/>
      <c r="B36" s="102"/>
      <c r="C36" s="90">
        <f>SUM(C4:C35)</f>
        <v>27728</v>
      </c>
      <c r="D36" s="90"/>
      <c r="E36" s="90">
        <f>SUM(E4:E35)</f>
        <v>18033</v>
      </c>
      <c r="F36" s="90"/>
      <c r="G36" s="93"/>
      <c r="H36" s="72"/>
      <c r="I36" s="86">
        <f>+E36+C36</f>
        <v>45761</v>
      </c>
      <c r="J36" s="18">
        <f>(C36*0.288)+(E36*0.177)</f>
        <v>11177.504999999999</v>
      </c>
    </row>
    <row r="37" spans="1:10" x14ac:dyDescent="0.2">
      <c r="A37" s="76">
        <f>COUNT(A4:A34)</f>
        <v>31</v>
      </c>
      <c r="G37" s="33"/>
    </row>
    <row r="38" spans="1:10" x14ac:dyDescent="0.2">
      <c r="H38" s="25" t="s">
        <v>35</v>
      </c>
    </row>
    <row r="39" spans="1:10" ht="15.75" x14ac:dyDescent="0.25">
      <c r="A39" s="79" t="s">
        <v>31</v>
      </c>
      <c r="H39" s="25" t="s">
        <v>32</v>
      </c>
    </row>
    <row r="40" spans="1:10" x14ac:dyDescent="0.2">
      <c r="H40" s="25" t="s">
        <v>33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8"/>
  <sheetViews>
    <sheetView zoomScale="90" zoomScaleNormal="90" workbookViewId="0">
      <selection activeCell="D42" sqref="D42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6" customWidth="1"/>
    <col min="10" max="10" width="1.7109375" customWidth="1"/>
    <col min="11" max="11" width="11.42578125" customWidth="1"/>
    <col min="12" max="12" width="9" customWidth="1"/>
    <col min="13" max="13" width="0.85546875" customWidth="1"/>
  </cols>
  <sheetData>
    <row r="1" spans="1:15" ht="18" x14ac:dyDescent="0.25">
      <c r="A1" s="6" t="s">
        <v>36</v>
      </c>
    </row>
    <row r="2" spans="1:15" ht="18" x14ac:dyDescent="0.25">
      <c r="A2" s="2"/>
      <c r="B2" s="7" t="s">
        <v>37</v>
      </c>
      <c r="C2" s="7" t="s">
        <v>38</v>
      </c>
      <c r="D2" s="7" t="s">
        <v>39</v>
      </c>
      <c r="E2" s="7" t="s">
        <v>38</v>
      </c>
      <c r="F2" s="12" t="s">
        <v>17</v>
      </c>
      <c r="G2" s="12" t="s">
        <v>18</v>
      </c>
      <c r="H2" s="12" t="s">
        <v>19</v>
      </c>
      <c r="I2" s="17" t="s">
        <v>20</v>
      </c>
      <c r="K2" s="12" t="s">
        <v>40</v>
      </c>
      <c r="L2" s="12" t="s">
        <v>41</v>
      </c>
      <c r="N2" s="94" t="s">
        <v>42</v>
      </c>
      <c r="O2" s="7" t="s">
        <v>41</v>
      </c>
    </row>
    <row r="3" spans="1:15" x14ac:dyDescent="0.2">
      <c r="A3" s="3"/>
      <c r="B3" s="7" t="s">
        <v>43</v>
      </c>
      <c r="C3" s="7" t="s">
        <v>43</v>
      </c>
      <c r="D3" s="7" t="s">
        <v>43</v>
      </c>
      <c r="E3" s="7" t="s">
        <v>43</v>
      </c>
      <c r="F3" s="12" t="s">
        <v>23</v>
      </c>
      <c r="G3" s="11"/>
      <c r="H3" s="12" t="s">
        <v>43</v>
      </c>
      <c r="I3" s="17" t="s">
        <v>25</v>
      </c>
      <c r="K3" s="11"/>
      <c r="L3" s="8"/>
      <c r="N3" s="11"/>
      <c r="O3" s="8"/>
    </row>
    <row r="4" spans="1:15" x14ac:dyDescent="0.2">
      <c r="A4" s="5">
        <v>44409</v>
      </c>
      <c r="B4" s="10">
        <v>32503</v>
      </c>
      <c r="C4" s="8">
        <f t="shared" ref="C4:C7" si="0">IF(B5-B4&lt;0,0,B5-B4)</f>
        <v>631</v>
      </c>
      <c r="D4" s="10">
        <v>15</v>
      </c>
      <c r="E4" s="8">
        <f t="shared" ref="E4:E6" si="1">IF(D5-D4&lt;0,0,D5-D4)</f>
        <v>0</v>
      </c>
      <c r="F4" s="87">
        <v>0</v>
      </c>
      <c r="G4" s="87" t="s">
        <v>44</v>
      </c>
      <c r="H4" s="8">
        <f>+E4+C4</f>
        <v>631</v>
      </c>
      <c r="I4" s="18">
        <f>(C4*1.35)+(E4*1.35)</f>
        <v>851.85</v>
      </c>
      <c r="K4" s="11">
        <v>940</v>
      </c>
      <c r="L4" s="8">
        <f t="shared" ref="L4:L32" si="2">IF(K5-K4&lt;0,0,K5-K4)</f>
        <v>179</v>
      </c>
      <c r="N4" s="11">
        <v>606</v>
      </c>
      <c r="O4" s="8">
        <f t="shared" ref="O4:O33" si="3">IF(N5-N4&lt;0,0,N5-N4)</f>
        <v>194</v>
      </c>
    </row>
    <row r="5" spans="1:15" x14ac:dyDescent="0.2">
      <c r="A5" s="5">
        <v>44410</v>
      </c>
      <c r="B5" s="10">
        <v>33134</v>
      </c>
      <c r="C5" s="8">
        <f t="shared" si="0"/>
        <v>547</v>
      </c>
      <c r="D5" s="10">
        <v>15</v>
      </c>
      <c r="E5" s="8">
        <f t="shared" si="1"/>
        <v>0</v>
      </c>
      <c r="F5" s="87">
        <v>0</v>
      </c>
      <c r="G5" s="87" t="s">
        <v>44</v>
      </c>
      <c r="H5" s="8">
        <f t="shared" ref="H5:H34" si="4">+E5+C5</f>
        <v>547</v>
      </c>
      <c r="I5" s="18">
        <f t="shared" ref="I5:I34" si="5">(C5*1.35)+(E5*1.35)</f>
        <v>738.45</v>
      </c>
      <c r="K5" s="11">
        <v>1119</v>
      </c>
      <c r="L5" s="8">
        <f t="shared" si="2"/>
        <v>26</v>
      </c>
      <c r="N5" s="11">
        <v>800</v>
      </c>
      <c r="O5" s="8">
        <f t="shared" si="3"/>
        <v>40</v>
      </c>
    </row>
    <row r="6" spans="1:15" x14ac:dyDescent="0.2">
      <c r="A6" s="5">
        <v>44411</v>
      </c>
      <c r="B6" s="10">
        <v>33681</v>
      </c>
      <c r="C6" s="8">
        <f t="shared" si="0"/>
        <v>338</v>
      </c>
      <c r="D6" s="10">
        <v>15</v>
      </c>
      <c r="E6" s="8">
        <f t="shared" si="1"/>
        <v>0</v>
      </c>
      <c r="F6" s="87">
        <v>0</v>
      </c>
      <c r="G6" s="87" t="s">
        <v>44</v>
      </c>
      <c r="H6" s="8">
        <f t="shared" si="4"/>
        <v>338</v>
      </c>
      <c r="I6" s="18">
        <f>(C6*1.35)+(E6*1.35)</f>
        <v>456.3</v>
      </c>
      <c r="K6" s="11">
        <v>1145</v>
      </c>
      <c r="L6" s="8">
        <f t="shared" si="2"/>
        <v>198</v>
      </c>
      <c r="N6" s="11">
        <v>840</v>
      </c>
      <c r="O6" s="8">
        <f t="shared" si="3"/>
        <v>113</v>
      </c>
    </row>
    <row r="7" spans="1:15" x14ac:dyDescent="0.2">
      <c r="A7" s="5">
        <v>44412</v>
      </c>
      <c r="B7" s="10">
        <v>34019</v>
      </c>
      <c r="C7" s="8">
        <f t="shared" si="0"/>
        <v>312</v>
      </c>
      <c r="D7" s="10">
        <v>15</v>
      </c>
      <c r="E7" s="8">
        <f>IF(D8-D7&lt;0,0,D8-D7)</f>
        <v>0</v>
      </c>
      <c r="F7" s="87">
        <v>0</v>
      </c>
      <c r="G7" s="87" t="s">
        <v>44</v>
      </c>
      <c r="H7" s="8">
        <f t="shared" si="4"/>
        <v>312</v>
      </c>
      <c r="I7" s="18">
        <f t="shared" si="5"/>
        <v>421.20000000000005</v>
      </c>
      <c r="K7" s="11">
        <v>1343</v>
      </c>
      <c r="L7" s="8">
        <f t="shared" si="2"/>
        <v>232</v>
      </c>
      <c r="N7" s="11">
        <v>953</v>
      </c>
      <c r="O7" s="8">
        <f t="shared" si="3"/>
        <v>89</v>
      </c>
    </row>
    <row r="8" spans="1:15" x14ac:dyDescent="0.2">
      <c r="A8" s="5">
        <v>44413</v>
      </c>
      <c r="B8" s="10">
        <v>34331</v>
      </c>
      <c r="C8" s="8">
        <f>IF(B9-B8&lt;0,0,B9-B8)</f>
        <v>370</v>
      </c>
      <c r="D8" s="10">
        <v>15</v>
      </c>
      <c r="E8" s="8">
        <f>IF(D9-D8&lt;0,0,D9-D8)</f>
        <v>0</v>
      </c>
      <c r="F8" s="87">
        <v>0</v>
      </c>
      <c r="G8" s="87" t="s">
        <v>27</v>
      </c>
      <c r="H8" s="8">
        <f t="shared" si="4"/>
        <v>370</v>
      </c>
      <c r="I8" s="18">
        <f t="shared" si="5"/>
        <v>499.50000000000006</v>
      </c>
      <c r="K8" s="11">
        <v>1575</v>
      </c>
      <c r="L8" s="8">
        <f t="shared" si="2"/>
        <v>233</v>
      </c>
      <c r="N8" s="11">
        <v>1042</v>
      </c>
      <c r="O8" s="8">
        <f t="shared" si="3"/>
        <v>96</v>
      </c>
    </row>
    <row r="9" spans="1:15" x14ac:dyDescent="0.2">
      <c r="A9" s="5">
        <v>44414</v>
      </c>
      <c r="B9" s="10">
        <v>34701</v>
      </c>
      <c r="C9" s="8">
        <f t="shared" ref="C9:C33" si="6">IF(B10-B9&lt;0,0,B10-B9)</f>
        <v>247</v>
      </c>
      <c r="D9" s="10">
        <v>15</v>
      </c>
      <c r="E9" s="8">
        <f t="shared" ref="E9:E32" si="7">IF(D10-D9&lt;0,0,D10-D9)</f>
        <v>0</v>
      </c>
      <c r="F9" s="87">
        <v>0</v>
      </c>
      <c r="G9" s="87" t="s">
        <v>27</v>
      </c>
      <c r="H9" s="8">
        <f t="shared" si="4"/>
        <v>247</v>
      </c>
      <c r="I9" s="18">
        <f t="shared" si="5"/>
        <v>333.45000000000005</v>
      </c>
      <c r="K9" s="11">
        <v>1808</v>
      </c>
      <c r="L9" s="8">
        <f t="shared" si="2"/>
        <v>177</v>
      </c>
      <c r="N9" s="11">
        <v>1138</v>
      </c>
      <c r="O9" s="8">
        <f t="shared" si="3"/>
        <v>18</v>
      </c>
    </row>
    <row r="10" spans="1:15" x14ac:dyDescent="0.2">
      <c r="A10" s="5">
        <v>44415</v>
      </c>
      <c r="B10" s="10">
        <v>34948</v>
      </c>
      <c r="C10" s="8">
        <f t="shared" si="6"/>
        <v>219</v>
      </c>
      <c r="D10" s="10">
        <v>15</v>
      </c>
      <c r="E10" s="8">
        <f t="shared" si="7"/>
        <v>0</v>
      </c>
      <c r="F10" s="87">
        <v>0</v>
      </c>
      <c r="G10" s="87" t="s">
        <v>27</v>
      </c>
      <c r="H10" s="8">
        <f t="shared" si="4"/>
        <v>219</v>
      </c>
      <c r="I10" s="18">
        <f t="shared" si="5"/>
        <v>295.65000000000003</v>
      </c>
      <c r="K10" s="11">
        <v>1985</v>
      </c>
      <c r="L10" s="8">
        <f t="shared" si="2"/>
        <v>158</v>
      </c>
      <c r="N10" s="11">
        <v>1156</v>
      </c>
      <c r="O10" s="8">
        <f t="shared" si="3"/>
        <v>61</v>
      </c>
    </row>
    <row r="11" spans="1:15" x14ac:dyDescent="0.2">
      <c r="A11" s="5">
        <v>44416</v>
      </c>
      <c r="B11" s="10">
        <v>35167</v>
      </c>
      <c r="C11" s="8">
        <f t="shared" si="6"/>
        <v>231</v>
      </c>
      <c r="D11" s="10">
        <v>15</v>
      </c>
      <c r="E11" s="8">
        <f t="shared" si="7"/>
        <v>0</v>
      </c>
      <c r="F11" s="87">
        <v>0</v>
      </c>
      <c r="G11" s="87" t="s">
        <v>27</v>
      </c>
      <c r="H11" s="8">
        <f t="shared" si="4"/>
        <v>231</v>
      </c>
      <c r="I11" s="18">
        <f t="shared" si="5"/>
        <v>311.85000000000002</v>
      </c>
      <c r="K11" s="11">
        <v>2143</v>
      </c>
      <c r="L11" s="8">
        <f t="shared" si="2"/>
        <v>158</v>
      </c>
      <c r="N11" s="11">
        <v>1217</v>
      </c>
      <c r="O11" s="8">
        <f t="shared" si="3"/>
        <v>54</v>
      </c>
    </row>
    <row r="12" spans="1:15" x14ac:dyDescent="0.2">
      <c r="A12" s="5">
        <v>44417</v>
      </c>
      <c r="B12" s="10">
        <v>35398</v>
      </c>
      <c r="C12" s="8">
        <f t="shared" si="6"/>
        <v>168</v>
      </c>
      <c r="D12" s="10">
        <v>15</v>
      </c>
      <c r="E12" s="8">
        <f t="shared" si="7"/>
        <v>0</v>
      </c>
      <c r="F12" s="87">
        <v>0</v>
      </c>
      <c r="G12" s="87" t="s">
        <v>27</v>
      </c>
      <c r="H12" s="8">
        <f t="shared" si="4"/>
        <v>168</v>
      </c>
      <c r="I12" s="18">
        <f t="shared" si="5"/>
        <v>226.8</v>
      </c>
      <c r="K12" s="11">
        <v>2301</v>
      </c>
      <c r="L12" s="8">
        <f t="shared" si="2"/>
        <v>115</v>
      </c>
      <c r="N12" s="11">
        <v>1271</v>
      </c>
      <c r="O12" s="8">
        <f t="shared" si="3"/>
        <v>24</v>
      </c>
    </row>
    <row r="13" spans="1:15" x14ac:dyDescent="0.2">
      <c r="A13" s="5">
        <v>44418</v>
      </c>
      <c r="B13" s="10">
        <v>35566</v>
      </c>
      <c r="C13" s="8">
        <f t="shared" si="6"/>
        <v>385</v>
      </c>
      <c r="D13" s="10">
        <v>15</v>
      </c>
      <c r="E13" s="8">
        <f t="shared" si="7"/>
        <v>0</v>
      </c>
      <c r="F13" s="87">
        <v>0</v>
      </c>
      <c r="G13" s="87" t="s">
        <v>27</v>
      </c>
      <c r="H13" s="8">
        <f t="shared" si="4"/>
        <v>385</v>
      </c>
      <c r="I13" s="18">
        <f t="shared" si="5"/>
        <v>519.75</v>
      </c>
      <c r="K13" s="11">
        <v>2416</v>
      </c>
      <c r="L13" s="8">
        <f t="shared" si="2"/>
        <v>167</v>
      </c>
      <c r="N13" s="11">
        <v>1295</v>
      </c>
      <c r="O13" s="8">
        <f t="shared" si="3"/>
        <v>57</v>
      </c>
    </row>
    <row r="14" spans="1:15" x14ac:dyDescent="0.2">
      <c r="A14" s="5">
        <v>44419</v>
      </c>
      <c r="B14" s="10">
        <v>35951</v>
      </c>
      <c r="C14" s="8">
        <f t="shared" si="6"/>
        <v>283</v>
      </c>
      <c r="D14" s="10">
        <v>15</v>
      </c>
      <c r="E14" s="8">
        <f t="shared" si="7"/>
        <v>0</v>
      </c>
      <c r="F14" s="87">
        <v>0</v>
      </c>
      <c r="G14" s="87" t="s">
        <v>27</v>
      </c>
      <c r="H14" s="8">
        <f t="shared" si="4"/>
        <v>283</v>
      </c>
      <c r="I14" s="18">
        <f t="shared" si="5"/>
        <v>382.05</v>
      </c>
      <c r="K14" s="11">
        <v>2583</v>
      </c>
      <c r="L14" s="8">
        <f t="shared" si="2"/>
        <v>234</v>
      </c>
      <c r="N14" s="11">
        <v>1352</v>
      </c>
      <c r="O14" s="8">
        <f t="shared" si="3"/>
        <v>84</v>
      </c>
    </row>
    <row r="15" spans="1:15" x14ac:dyDescent="0.2">
      <c r="A15" s="5">
        <v>44420</v>
      </c>
      <c r="B15" s="10">
        <v>36234</v>
      </c>
      <c r="C15" s="8">
        <f t="shared" si="6"/>
        <v>396</v>
      </c>
      <c r="D15" s="10">
        <v>15</v>
      </c>
      <c r="E15" s="8">
        <f t="shared" si="7"/>
        <v>0</v>
      </c>
      <c r="F15" s="87">
        <v>0</v>
      </c>
      <c r="G15" s="87" t="s">
        <v>27</v>
      </c>
      <c r="H15" s="8">
        <f t="shared" si="4"/>
        <v>396</v>
      </c>
      <c r="I15" s="18">
        <f t="shared" si="5"/>
        <v>534.6</v>
      </c>
      <c r="K15" s="11">
        <v>2817</v>
      </c>
      <c r="L15" s="8">
        <f t="shared" si="2"/>
        <v>298</v>
      </c>
      <c r="N15" s="11">
        <v>1436</v>
      </c>
      <c r="O15" s="8">
        <f t="shared" si="3"/>
        <v>82</v>
      </c>
    </row>
    <row r="16" spans="1:15" x14ac:dyDescent="0.2">
      <c r="A16" s="5">
        <v>44421</v>
      </c>
      <c r="B16" s="10">
        <v>36630</v>
      </c>
      <c r="C16" s="8">
        <f t="shared" si="6"/>
        <v>320</v>
      </c>
      <c r="D16" s="10">
        <v>15</v>
      </c>
      <c r="E16" s="8">
        <f t="shared" si="7"/>
        <v>0</v>
      </c>
      <c r="F16" s="87">
        <v>0</v>
      </c>
      <c r="G16" s="87" t="s">
        <v>27</v>
      </c>
      <c r="H16" s="8">
        <f t="shared" si="4"/>
        <v>320</v>
      </c>
      <c r="I16" s="18">
        <f t="shared" si="5"/>
        <v>432</v>
      </c>
      <c r="K16" s="11">
        <v>3115</v>
      </c>
      <c r="L16" s="8">
        <f t="shared" si="2"/>
        <v>218</v>
      </c>
      <c r="N16" s="11">
        <v>1518</v>
      </c>
      <c r="O16" s="8">
        <f t="shared" si="3"/>
        <v>83</v>
      </c>
    </row>
    <row r="17" spans="1:15" x14ac:dyDescent="0.2">
      <c r="A17" s="5">
        <v>44422</v>
      </c>
      <c r="B17" s="10">
        <v>36950</v>
      </c>
      <c r="C17" s="8">
        <f t="shared" si="6"/>
        <v>340</v>
      </c>
      <c r="D17" s="10">
        <v>15</v>
      </c>
      <c r="E17" s="8">
        <f t="shared" si="7"/>
        <v>0</v>
      </c>
      <c r="F17" s="14">
        <v>0</v>
      </c>
      <c r="G17" s="14" t="s">
        <v>27</v>
      </c>
      <c r="H17" s="8">
        <f t="shared" si="4"/>
        <v>340</v>
      </c>
      <c r="I17" s="18">
        <f t="shared" si="5"/>
        <v>459.00000000000006</v>
      </c>
      <c r="K17" s="11">
        <v>3333</v>
      </c>
      <c r="L17" s="8">
        <f t="shared" si="2"/>
        <v>237</v>
      </c>
      <c r="N17" s="11">
        <v>1601</v>
      </c>
      <c r="O17" s="8">
        <f t="shared" si="3"/>
        <v>103</v>
      </c>
    </row>
    <row r="18" spans="1:15" x14ac:dyDescent="0.2">
      <c r="A18" s="5">
        <v>44423</v>
      </c>
      <c r="B18" s="10">
        <v>37290</v>
      </c>
      <c r="C18" s="8">
        <f t="shared" si="6"/>
        <v>380</v>
      </c>
      <c r="D18" s="10">
        <v>15</v>
      </c>
      <c r="E18" s="8">
        <f t="shared" si="7"/>
        <v>0</v>
      </c>
      <c r="F18" s="14">
        <v>0</v>
      </c>
      <c r="G18" s="14" t="s">
        <v>27</v>
      </c>
      <c r="H18" s="8">
        <f t="shared" si="4"/>
        <v>380</v>
      </c>
      <c r="I18" s="18">
        <f t="shared" si="5"/>
        <v>513</v>
      </c>
      <c r="K18" s="11">
        <v>3570</v>
      </c>
      <c r="L18" s="8">
        <f t="shared" si="2"/>
        <v>222</v>
      </c>
      <c r="M18" s="96"/>
      <c r="N18" s="11">
        <v>1704</v>
      </c>
      <c r="O18" s="8">
        <f t="shared" si="3"/>
        <v>0</v>
      </c>
    </row>
    <row r="19" spans="1:15" x14ac:dyDescent="0.2">
      <c r="A19" s="5">
        <v>44424</v>
      </c>
      <c r="B19" s="10">
        <v>37670</v>
      </c>
      <c r="C19" s="8">
        <f t="shared" si="6"/>
        <v>300</v>
      </c>
      <c r="D19" s="10">
        <v>15</v>
      </c>
      <c r="E19" s="8">
        <f t="shared" si="7"/>
        <v>0</v>
      </c>
      <c r="F19" s="14">
        <v>0</v>
      </c>
      <c r="G19" s="14" t="s">
        <v>27</v>
      </c>
      <c r="H19" s="8">
        <f t="shared" si="4"/>
        <v>300</v>
      </c>
      <c r="I19" s="18">
        <f t="shared" si="5"/>
        <v>405</v>
      </c>
      <c r="K19" s="97">
        <v>3792</v>
      </c>
      <c r="L19" s="8">
        <f t="shared" si="2"/>
        <v>240</v>
      </c>
      <c r="N19" s="95">
        <v>1704</v>
      </c>
      <c r="O19" s="8">
        <f t="shared" si="3"/>
        <v>0</v>
      </c>
    </row>
    <row r="20" spans="1:15" x14ac:dyDescent="0.2">
      <c r="A20" s="5">
        <v>44425</v>
      </c>
      <c r="B20" s="10">
        <v>37970</v>
      </c>
      <c r="C20" s="8">
        <f t="shared" si="6"/>
        <v>399</v>
      </c>
      <c r="D20" s="10">
        <v>15</v>
      </c>
      <c r="E20" s="8">
        <f t="shared" si="7"/>
        <v>0</v>
      </c>
      <c r="F20" s="14">
        <v>0</v>
      </c>
      <c r="G20" s="14" t="s">
        <v>27</v>
      </c>
      <c r="H20" s="8">
        <f t="shared" si="4"/>
        <v>399</v>
      </c>
      <c r="I20" s="18">
        <f t="shared" si="5"/>
        <v>538.65000000000009</v>
      </c>
      <c r="K20" s="11">
        <v>4032</v>
      </c>
      <c r="L20" s="8">
        <f t="shared" si="2"/>
        <v>246</v>
      </c>
      <c r="N20" s="11">
        <v>1704</v>
      </c>
      <c r="O20" s="8">
        <f t="shared" si="3"/>
        <v>0</v>
      </c>
    </row>
    <row r="21" spans="1:15" x14ac:dyDescent="0.2">
      <c r="A21" s="5">
        <v>44426</v>
      </c>
      <c r="B21" s="10">
        <v>38369</v>
      </c>
      <c r="C21" s="8">
        <f t="shared" si="6"/>
        <v>275</v>
      </c>
      <c r="D21" s="10">
        <v>15</v>
      </c>
      <c r="E21" s="8">
        <f t="shared" si="7"/>
        <v>0</v>
      </c>
      <c r="F21" s="14">
        <v>0</v>
      </c>
      <c r="G21" s="14" t="s">
        <v>27</v>
      </c>
      <c r="H21" s="8">
        <f t="shared" si="4"/>
        <v>275</v>
      </c>
      <c r="I21" s="18">
        <f t="shared" si="5"/>
        <v>371.25</v>
      </c>
      <c r="K21" s="11">
        <v>4278</v>
      </c>
      <c r="L21" s="8">
        <f t="shared" si="2"/>
        <v>175</v>
      </c>
      <c r="N21" s="11">
        <v>1704</v>
      </c>
      <c r="O21" s="8">
        <f t="shared" si="3"/>
        <v>0</v>
      </c>
    </row>
    <row r="22" spans="1:15" x14ac:dyDescent="0.2">
      <c r="A22" s="5">
        <v>44427</v>
      </c>
      <c r="B22" s="10">
        <v>38644</v>
      </c>
      <c r="C22" s="8">
        <f t="shared" si="6"/>
        <v>387</v>
      </c>
      <c r="D22" s="10">
        <v>15</v>
      </c>
      <c r="E22" s="8">
        <f t="shared" si="7"/>
        <v>0</v>
      </c>
      <c r="F22" s="14">
        <v>0</v>
      </c>
      <c r="G22" s="14" t="s">
        <v>27</v>
      </c>
      <c r="H22" s="8">
        <f t="shared" si="4"/>
        <v>387</v>
      </c>
      <c r="I22" s="18">
        <f t="shared" si="5"/>
        <v>522.45000000000005</v>
      </c>
      <c r="K22" s="11">
        <v>4453</v>
      </c>
      <c r="L22" s="8">
        <f t="shared" si="2"/>
        <v>267</v>
      </c>
      <c r="N22" s="11">
        <v>1704</v>
      </c>
      <c r="O22" s="8">
        <f t="shared" si="3"/>
        <v>55</v>
      </c>
    </row>
    <row r="23" spans="1:15" x14ac:dyDescent="0.2">
      <c r="A23" s="5">
        <v>44428</v>
      </c>
      <c r="B23" s="10">
        <v>39031</v>
      </c>
      <c r="C23" s="8">
        <f t="shared" si="6"/>
        <v>362</v>
      </c>
      <c r="D23" s="10">
        <v>15</v>
      </c>
      <c r="E23" s="8">
        <f t="shared" si="7"/>
        <v>0</v>
      </c>
      <c r="F23" s="14">
        <v>0</v>
      </c>
      <c r="G23" s="14" t="s">
        <v>27</v>
      </c>
      <c r="H23" s="8">
        <f t="shared" si="4"/>
        <v>362</v>
      </c>
      <c r="I23" s="18">
        <f t="shared" si="5"/>
        <v>488.70000000000005</v>
      </c>
      <c r="K23" s="11">
        <v>4720</v>
      </c>
      <c r="L23" s="8">
        <f t="shared" si="2"/>
        <v>140</v>
      </c>
      <c r="N23" s="11">
        <v>1759</v>
      </c>
      <c r="O23" s="8">
        <f t="shared" si="3"/>
        <v>0</v>
      </c>
    </row>
    <row r="24" spans="1:15" x14ac:dyDescent="0.2">
      <c r="A24" s="5">
        <v>44429</v>
      </c>
      <c r="B24" s="10">
        <v>39393</v>
      </c>
      <c r="C24" s="8">
        <f t="shared" si="6"/>
        <v>208</v>
      </c>
      <c r="D24" s="10">
        <v>15</v>
      </c>
      <c r="E24" s="8">
        <f t="shared" si="7"/>
        <v>0</v>
      </c>
      <c r="F24" s="14">
        <v>0</v>
      </c>
      <c r="G24" s="14" t="s">
        <v>27</v>
      </c>
      <c r="H24" s="8">
        <f t="shared" si="4"/>
        <v>208</v>
      </c>
      <c r="I24" s="18">
        <f t="shared" si="5"/>
        <v>280.8</v>
      </c>
      <c r="K24" s="11">
        <v>4860</v>
      </c>
      <c r="L24" s="8">
        <f t="shared" si="2"/>
        <v>46</v>
      </c>
      <c r="N24" s="11">
        <v>1759</v>
      </c>
      <c r="O24" s="8">
        <f t="shared" si="3"/>
        <v>0</v>
      </c>
    </row>
    <row r="25" spans="1:15" x14ac:dyDescent="0.2">
      <c r="A25" s="5">
        <v>44430</v>
      </c>
      <c r="B25" s="10">
        <v>39601</v>
      </c>
      <c r="C25" s="8">
        <f t="shared" si="6"/>
        <v>143</v>
      </c>
      <c r="D25" s="10">
        <v>15</v>
      </c>
      <c r="E25" s="8">
        <f t="shared" si="7"/>
        <v>0</v>
      </c>
      <c r="F25" s="14">
        <v>0</v>
      </c>
      <c r="G25" s="14" t="s">
        <v>27</v>
      </c>
      <c r="H25" s="8">
        <f t="shared" si="4"/>
        <v>143</v>
      </c>
      <c r="I25" s="18">
        <f t="shared" si="5"/>
        <v>193.05</v>
      </c>
      <c r="K25" s="11">
        <v>4906</v>
      </c>
      <c r="L25" s="8">
        <f t="shared" si="2"/>
        <v>26</v>
      </c>
      <c r="N25" s="11">
        <v>1759</v>
      </c>
      <c r="O25" s="8">
        <f t="shared" si="3"/>
        <v>0</v>
      </c>
    </row>
    <row r="26" spans="1:15" x14ac:dyDescent="0.2">
      <c r="A26" s="5">
        <v>44431</v>
      </c>
      <c r="B26" s="10">
        <v>39744</v>
      </c>
      <c r="C26" s="8">
        <f t="shared" si="6"/>
        <v>537</v>
      </c>
      <c r="D26" s="10">
        <v>15</v>
      </c>
      <c r="E26" s="8">
        <f t="shared" si="7"/>
        <v>0</v>
      </c>
      <c r="F26" s="14">
        <v>0</v>
      </c>
      <c r="G26" s="19" t="s">
        <v>27</v>
      </c>
      <c r="H26" s="8">
        <f t="shared" si="4"/>
        <v>537</v>
      </c>
      <c r="I26" s="18">
        <f t="shared" si="5"/>
        <v>724.95</v>
      </c>
      <c r="K26" s="11">
        <v>4932</v>
      </c>
      <c r="L26" s="8">
        <f t="shared" si="2"/>
        <v>217</v>
      </c>
      <c r="N26" s="11">
        <v>1759</v>
      </c>
      <c r="O26" s="8">
        <f t="shared" si="3"/>
        <v>11</v>
      </c>
    </row>
    <row r="27" spans="1:15" x14ac:dyDescent="0.2">
      <c r="A27" s="5">
        <v>44432</v>
      </c>
      <c r="B27" s="10">
        <v>40281</v>
      </c>
      <c r="C27" s="8">
        <f t="shared" si="6"/>
        <v>263</v>
      </c>
      <c r="D27" s="10">
        <v>15</v>
      </c>
      <c r="E27" s="8">
        <f t="shared" si="7"/>
        <v>0</v>
      </c>
      <c r="F27" s="14">
        <v>0</v>
      </c>
      <c r="G27" s="14" t="s">
        <v>28</v>
      </c>
      <c r="H27" s="8">
        <f t="shared" si="4"/>
        <v>263</v>
      </c>
      <c r="I27" s="18">
        <f t="shared" si="5"/>
        <v>355.05</v>
      </c>
      <c r="K27" s="11">
        <v>5149</v>
      </c>
      <c r="L27" s="8">
        <f t="shared" si="2"/>
        <v>176</v>
      </c>
      <c r="N27" s="11">
        <v>1770</v>
      </c>
      <c r="O27" s="8">
        <f t="shared" si="3"/>
        <v>0</v>
      </c>
    </row>
    <row r="28" spans="1:15" x14ac:dyDescent="0.2">
      <c r="A28" s="5">
        <v>44433</v>
      </c>
      <c r="B28" s="10">
        <v>40544</v>
      </c>
      <c r="C28" s="8">
        <f t="shared" si="6"/>
        <v>461</v>
      </c>
      <c r="D28" s="10">
        <v>15</v>
      </c>
      <c r="E28" s="8">
        <f t="shared" si="7"/>
        <v>0</v>
      </c>
      <c r="F28" s="14">
        <v>0</v>
      </c>
      <c r="G28" s="14" t="s">
        <v>28</v>
      </c>
      <c r="H28" s="8">
        <f t="shared" si="4"/>
        <v>461</v>
      </c>
      <c r="I28" s="18">
        <f t="shared" si="5"/>
        <v>622.35</v>
      </c>
      <c r="K28" s="11">
        <v>5325</v>
      </c>
      <c r="L28" s="8">
        <f t="shared" si="2"/>
        <v>284</v>
      </c>
      <c r="N28" s="11">
        <v>1770</v>
      </c>
      <c r="O28" s="8">
        <f t="shared" si="3"/>
        <v>0</v>
      </c>
    </row>
    <row r="29" spans="1:15" x14ac:dyDescent="0.2">
      <c r="A29" s="5">
        <v>44434</v>
      </c>
      <c r="B29" s="10">
        <v>41005</v>
      </c>
      <c r="C29" s="8">
        <f t="shared" si="6"/>
        <v>456</v>
      </c>
      <c r="D29" s="10">
        <v>15</v>
      </c>
      <c r="E29" s="8">
        <f t="shared" si="7"/>
        <v>0</v>
      </c>
      <c r="F29" s="14">
        <v>0</v>
      </c>
      <c r="G29" s="14" t="s">
        <v>29</v>
      </c>
      <c r="H29" s="8">
        <f t="shared" si="4"/>
        <v>456</v>
      </c>
      <c r="I29" s="18">
        <f t="shared" si="5"/>
        <v>615.6</v>
      </c>
      <c r="K29" s="11">
        <v>5609</v>
      </c>
      <c r="L29" s="8">
        <f t="shared" si="2"/>
        <v>284</v>
      </c>
      <c r="N29" s="11">
        <v>1770</v>
      </c>
      <c r="O29" s="8">
        <f t="shared" si="3"/>
        <v>0</v>
      </c>
    </row>
    <row r="30" spans="1:15" x14ac:dyDescent="0.2">
      <c r="A30" s="5">
        <v>44435</v>
      </c>
      <c r="B30" s="10">
        <v>41461</v>
      </c>
      <c r="C30" s="8">
        <f t="shared" si="6"/>
        <v>359</v>
      </c>
      <c r="D30" s="10">
        <v>15</v>
      </c>
      <c r="E30" s="8">
        <f t="shared" si="7"/>
        <v>0</v>
      </c>
      <c r="F30" s="14">
        <v>0</v>
      </c>
      <c r="G30" s="14" t="s">
        <v>27</v>
      </c>
      <c r="H30" s="8">
        <f t="shared" si="4"/>
        <v>359</v>
      </c>
      <c r="I30" s="18">
        <f t="shared" si="5"/>
        <v>484.65000000000003</v>
      </c>
      <c r="K30" s="11">
        <v>5893</v>
      </c>
      <c r="L30" s="8">
        <f t="shared" si="2"/>
        <v>212</v>
      </c>
      <c r="N30" s="11">
        <v>1770</v>
      </c>
      <c r="O30" s="8">
        <f t="shared" si="3"/>
        <v>0</v>
      </c>
    </row>
    <row r="31" spans="1:15" x14ac:dyDescent="0.2">
      <c r="A31" s="5">
        <v>44436</v>
      </c>
      <c r="B31" s="10">
        <v>41820</v>
      </c>
      <c r="C31" s="8">
        <f t="shared" si="6"/>
        <v>401</v>
      </c>
      <c r="D31" s="10">
        <v>15</v>
      </c>
      <c r="E31" s="8">
        <f t="shared" si="7"/>
        <v>0</v>
      </c>
      <c r="F31" s="14">
        <v>0</v>
      </c>
      <c r="G31" s="14" t="s">
        <v>28</v>
      </c>
      <c r="H31" s="8">
        <f t="shared" si="4"/>
        <v>401</v>
      </c>
      <c r="I31" s="18">
        <f t="shared" si="5"/>
        <v>541.35</v>
      </c>
      <c r="K31" s="11">
        <v>6105</v>
      </c>
      <c r="L31" s="8">
        <f t="shared" si="2"/>
        <v>238</v>
      </c>
      <c r="N31" s="11">
        <v>1770</v>
      </c>
      <c r="O31" s="8">
        <f t="shared" si="3"/>
        <v>0</v>
      </c>
    </row>
    <row r="32" spans="1:15" x14ac:dyDescent="0.2">
      <c r="A32" s="5">
        <v>44437</v>
      </c>
      <c r="B32" s="10">
        <v>42221</v>
      </c>
      <c r="C32" s="8">
        <f t="shared" si="6"/>
        <v>439</v>
      </c>
      <c r="D32" s="10">
        <v>15</v>
      </c>
      <c r="E32" s="8">
        <f t="shared" si="7"/>
        <v>0</v>
      </c>
      <c r="F32" s="14">
        <v>0</v>
      </c>
      <c r="G32" s="14" t="s">
        <v>28</v>
      </c>
      <c r="H32" s="8">
        <f t="shared" si="4"/>
        <v>439</v>
      </c>
      <c r="I32" s="18">
        <f t="shared" si="5"/>
        <v>592.65000000000009</v>
      </c>
      <c r="K32" s="11">
        <v>6343</v>
      </c>
      <c r="L32" s="8">
        <f t="shared" si="2"/>
        <v>247</v>
      </c>
      <c r="N32" s="11">
        <v>1770</v>
      </c>
      <c r="O32" s="8">
        <f t="shared" si="3"/>
        <v>0</v>
      </c>
    </row>
    <row r="33" spans="1:15" x14ac:dyDescent="0.2">
      <c r="A33" s="5">
        <v>44438</v>
      </c>
      <c r="B33" s="10">
        <v>42660</v>
      </c>
      <c r="C33" s="8">
        <f t="shared" si="6"/>
        <v>394</v>
      </c>
      <c r="D33" s="10">
        <v>15</v>
      </c>
      <c r="E33" s="8">
        <v>0</v>
      </c>
      <c r="F33" s="14">
        <v>0</v>
      </c>
      <c r="G33" s="14" t="s">
        <v>28</v>
      </c>
      <c r="H33" s="8">
        <f t="shared" si="4"/>
        <v>394</v>
      </c>
      <c r="I33" s="18">
        <f t="shared" si="5"/>
        <v>531.90000000000009</v>
      </c>
      <c r="K33" s="11">
        <v>6590</v>
      </c>
      <c r="L33" s="8">
        <f>IF(K34-K33&lt;0,0,K34-K33)</f>
        <v>227</v>
      </c>
      <c r="N33" s="11">
        <v>1770</v>
      </c>
      <c r="O33" s="8">
        <f t="shared" si="3"/>
        <v>0</v>
      </c>
    </row>
    <row r="34" spans="1:15" x14ac:dyDescent="0.2">
      <c r="A34" s="5">
        <v>44439</v>
      </c>
      <c r="B34" s="10">
        <v>43054</v>
      </c>
      <c r="C34" s="8">
        <v>241</v>
      </c>
      <c r="D34" s="10">
        <v>15</v>
      </c>
      <c r="E34" s="8">
        <v>0</v>
      </c>
      <c r="F34" s="14">
        <v>0</v>
      </c>
      <c r="G34" s="14" t="s">
        <v>27</v>
      </c>
      <c r="H34" s="8">
        <f t="shared" si="4"/>
        <v>241</v>
      </c>
      <c r="I34" s="18">
        <f t="shared" si="5"/>
        <v>325.35000000000002</v>
      </c>
      <c r="K34" s="11">
        <v>6817</v>
      </c>
      <c r="L34" s="8">
        <v>148</v>
      </c>
      <c r="N34" s="11">
        <v>1770</v>
      </c>
      <c r="O34" s="8">
        <f>IF(N36-N34&lt;0,0,N36-N34)</f>
        <v>0</v>
      </c>
    </row>
    <row r="35" spans="1:15" x14ac:dyDescent="0.2">
      <c r="B35" s="99">
        <v>43295</v>
      </c>
      <c r="K35" s="11">
        <v>6965</v>
      </c>
      <c r="N35" s="98">
        <v>1770</v>
      </c>
      <c r="O35" s="1">
        <v>0</v>
      </c>
    </row>
    <row r="36" spans="1:15" x14ac:dyDescent="0.2">
      <c r="A36" s="103"/>
      <c r="B36" s="104"/>
      <c r="C36" s="9">
        <f>SUM(C4:C34)</f>
        <v>10792</v>
      </c>
      <c r="D36" s="9"/>
      <c r="E36" s="9">
        <f>SUM(E4:E34)</f>
        <v>0</v>
      </c>
      <c r="F36" s="13"/>
      <c r="G36" s="13"/>
      <c r="H36" s="8">
        <f>SUM(H4:H34)</f>
        <v>10792</v>
      </c>
      <c r="I36" s="18">
        <f>SUM(I4:I34)</f>
        <v>14569.2</v>
      </c>
      <c r="K36" s="11"/>
      <c r="L36" s="9">
        <f>SUM(L4:L34)</f>
        <v>6025</v>
      </c>
      <c r="N36" s="11"/>
      <c r="O36" s="9">
        <f>SUM(O4:O34)</f>
        <v>1164</v>
      </c>
    </row>
    <row r="38" spans="1:15" ht="15.75" x14ac:dyDescent="0.25">
      <c r="A38" s="15" t="s">
        <v>31</v>
      </c>
    </row>
  </sheetData>
  <mergeCells count="1">
    <mergeCell ref="A36:B36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zoomScale="85" workbookViewId="0">
      <selection activeCell="A4" sqref="A4:A34"/>
    </sheetView>
  </sheetViews>
  <sheetFormatPr defaultRowHeight="12.75" x14ac:dyDescent="0.2"/>
  <cols>
    <col min="1" max="1" width="14" style="76" customWidth="1"/>
    <col min="2" max="2" width="12.140625" style="33" customWidth="1"/>
    <col min="3" max="3" width="12.5703125" style="33" customWidth="1"/>
    <col min="4" max="4" width="12.5703125" style="25" customWidth="1"/>
    <col min="5" max="5" width="9.42578125" style="16" customWidth="1"/>
    <col min="6" max="6" width="17.140625" style="34" bestFit="1" customWidth="1"/>
    <col min="7" max="7" width="16.7109375" style="34" customWidth="1"/>
    <col min="8" max="8" width="13.7109375" style="34" customWidth="1"/>
    <col min="9" max="9" width="10" style="34" customWidth="1"/>
    <col min="10" max="10" width="9" style="34" customWidth="1"/>
    <col min="11" max="11" width="9.140625" style="34" customWidth="1"/>
    <col min="12" max="256" width="9.140625" style="25"/>
    <col min="257" max="257" width="14" style="25" customWidth="1"/>
    <col min="258" max="258" width="12.140625" style="25" customWidth="1"/>
    <col min="259" max="260" width="12.5703125" style="25" customWidth="1"/>
    <col min="261" max="261" width="9.42578125" style="25" customWidth="1"/>
    <col min="262" max="262" width="17.140625" style="25" bestFit="1" customWidth="1"/>
    <col min="263" max="263" width="16.7109375" style="25" customWidth="1"/>
    <col min="264" max="264" width="13.7109375" style="25" customWidth="1"/>
    <col min="265" max="265" width="10" style="25" customWidth="1"/>
    <col min="266" max="266" width="9" style="25" customWidth="1"/>
    <col min="267" max="267" width="9.140625" style="25" customWidth="1"/>
    <col min="268" max="512" width="9.140625" style="25"/>
    <col min="513" max="513" width="14" style="25" customWidth="1"/>
    <col min="514" max="514" width="12.140625" style="25" customWidth="1"/>
    <col min="515" max="516" width="12.5703125" style="25" customWidth="1"/>
    <col min="517" max="517" width="9.42578125" style="25" customWidth="1"/>
    <col min="518" max="518" width="17.140625" style="25" bestFit="1" customWidth="1"/>
    <col min="519" max="519" width="16.7109375" style="25" customWidth="1"/>
    <col min="520" max="520" width="13.7109375" style="25" customWidth="1"/>
    <col min="521" max="521" width="10" style="25" customWidth="1"/>
    <col min="522" max="522" width="9" style="25" customWidth="1"/>
    <col min="523" max="523" width="9.140625" style="25" customWidth="1"/>
    <col min="524" max="768" width="9.140625" style="25"/>
    <col min="769" max="769" width="14" style="25" customWidth="1"/>
    <col min="770" max="770" width="12.140625" style="25" customWidth="1"/>
    <col min="771" max="772" width="12.5703125" style="25" customWidth="1"/>
    <col min="773" max="773" width="9.42578125" style="25" customWidth="1"/>
    <col min="774" max="774" width="17.140625" style="25" bestFit="1" customWidth="1"/>
    <col min="775" max="775" width="16.7109375" style="25" customWidth="1"/>
    <col min="776" max="776" width="13.7109375" style="25" customWidth="1"/>
    <col min="777" max="777" width="10" style="25" customWidth="1"/>
    <col min="778" max="778" width="9" style="25" customWidth="1"/>
    <col min="779" max="779" width="9.140625" style="25" customWidth="1"/>
    <col min="780" max="1024" width="9.140625" style="25"/>
    <col min="1025" max="1025" width="14" style="25" customWidth="1"/>
    <col min="1026" max="1026" width="12.140625" style="25" customWidth="1"/>
    <col min="1027" max="1028" width="12.5703125" style="25" customWidth="1"/>
    <col min="1029" max="1029" width="9.42578125" style="25" customWidth="1"/>
    <col min="1030" max="1030" width="17.140625" style="25" bestFit="1" customWidth="1"/>
    <col min="1031" max="1031" width="16.7109375" style="25" customWidth="1"/>
    <col min="1032" max="1032" width="13.7109375" style="25" customWidth="1"/>
    <col min="1033" max="1033" width="10" style="25" customWidth="1"/>
    <col min="1034" max="1034" width="9" style="25" customWidth="1"/>
    <col min="1035" max="1035" width="9.140625" style="25" customWidth="1"/>
    <col min="1036" max="1280" width="9.140625" style="25"/>
    <col min="1281" max="1281" width="14" style="25" customWidth="1"/>
    <col min="1282" max="1282" width="12.140625" style="25" customWidth="1"/>
    <col min="1283" max="1284" width="12.5703125" style="25" customWidth="1"/>
    <col min="1285" max="1285" width="9.42578125" style="25" customWidth="1"/>
    <col min="1286" max="1286" width="17.140625" style="25" bestFit="1" customWidth="1"/>
    <col min="1287" max="1287" width="16.7109375" style="25" customWidth="1"/>
    <col min="1288" max="1288" width="13.7109375" style="25" customWidth="1"/>
    <col min="1289" max="1289" width="10" style="25" customWidth="1"/>
    <col min="1290" max="1290" width="9" style="25" customWidth="1"/>
    <col min="1291" max="1291" width="9.140625" style="25" customWidth="1"/>
    <col min="1292" max="1536" width="9.140625" style="25"/>
    <col min="1537" max="1537" width="14" style="25" customWidth="1"/>
    <col min="1538" max="1538" width="12.140625" style="25" customWidth="1"/>
    <col min="1539" max="1540" width="12.5703125" style="25" customWidth="1"/>
    <col min="1541" max="1541" width="9.42578125" style="25" customWidth="1"/>
    <col min="1542" max="1542" width="17.140625" style="25" bestFit="1" customWidth="1"/>
    <col min="1543" max="1543" width="16.7109375" style="25" customWidth="1"/>
    <col min="1544" max="1544" width="13.7109375" style="25" customWidth="1"/>
    <col min="1545" max="1545" width="10" style="25" customWidth="1"/>
    <col min="1546" max="1546" width="9" style="25" customWidth="1"/>
    <col min="1547" max="1547" width="9.140625" style="25" customWidth="1"/>
    <col min="1548" max="1792" width="9.140625" style="25"/>
    <col min="1793" max="1793" width="14" style="25" customWidth="1"/>
    <col min="1794" max="1794" width="12.140625" style="25" customWidth="1"/>
    <col min="1795" max="1796" width="12.5703125" style="25" customWidth="1"/>
    <col min="1797" max="1797" width="9.42578125" style="25" customWidth="1"/>
    <col min="1798" max="1798" width="17.140625" style="25" bestFit="1" customWidth="1"/>
    <col min="1799" max="1799" width="16.7109375" style="25" customWidth="1"/>
    <col min="1800" max="1800" width="13.7109375" style="25" customWidth="1"/>
    <col min="1801" max="1801" width="10" style="25" customWidth="1"/>
    <col min="1802" max="1802" width="9" style="25" customWidth="1"/>
    <col min="1803" max="1803" width="9.140625" style="25" customWidth="1"/>
    <col min="1804" max="2048" width="9.140625" style="25"/>
    <col min="2049" max="2049" width="14" style="25" customWidth="1"/>
    <col min="2050" max="2050" width="12.140625" style="25" customWidth="1"/>
    <col min="2051" max="2052" width="12.5703125" style="25" customWidth="1"/>
    <col min="2053" max="2053" width="9.42578125" style="25" customWidth="1"/>
    <col min="2054" max="2054" width="17.140625" style="25" bestFit="1" customWidth="1"/>
    <col min="2055" max="2055" width="16.7109375" style="25" customWidth="1"/>
    <col min="2056" max="2056" width="13.7109375" style="25" customWidth="1"/>
    <col min="2057" max="2057" width="10" style="25" customWidth="1"/>
    <col min="2058" max="2058" width="9" style="25" customWidth="1"/>
    <col min="2059" max="2059" width="9.140625" style="25" customWidth="1"/>
    <col min="2060" max="2304" width="9.140625" style="25"/>
    <col min="2305" max="2305" width="14" style="25" customWidth="1"/>
    <col min="2306" max="2306" width="12.140625" style="25" customWidth="1"/>
    <col min="2307" max="2308" width="12.5703125" style="25" customWidth="1"/>
    <col min="2309" max="2309" width="9.42578125" style="25" customWidth="1"/>
    <col min="2310" max="2310" width="17.140625" style="25" bestFit="1" customWidth="1"/>
    <col min="2311" max="2311" width="16.7109375" style="25" customWidth="1"/>
    <col min="2312" max="2312" width="13.7109375" style="25" customWidth="1"/>
    <col min="2313" max="2313" width="10" style="25" customWidth="1"/>
    <col min="2314" max="2314" width="9" style="25" customWidth="1"/>
    <col min="2315" max="2315" width="9.140625" style="25" customWidth="1"/>
    <col min="2316" max="2560" width="9.140625" style="25"/>
    <col min="2561" max="2561" width="14" style="25" customWidth="1"/>
    <col min="2562" max="2562" width="12.140625" style="25" customWidth="1"/>
    <col min="2563" max="2564" width="12.5703125" style="25" customWidth="1"/>
    <col min="2565" max="2565" width="9.42578125" style="25" customWidth="1"/>
    <col min="2566" max="2566" width="17.140625" style="25" bestFit="1" customWidth="1"/>
    <col min="2567" max="2567" width="16.7109375" style="25" customWidth="1"/>
    <col min="2568" max="2568" width="13.7109375" style="25" customWidth="1"/>
    <col min="2569" max="2569" width="10" style="25" customWidth="1"/>
    <col min="2570" max="2570" width="9" style="25" customWidth="1"/>
    <col min="2571" max="2571" width="9.140625" style="25" customWidth="1"/>
    <col min="2572" max="2816" width="9.140625" style="25"/>
    <col min="2817" max="2817" width="14" style="25" customWidth="1"/>
    <col min="2818" max="2818" width="12.140625" style="25" customWidth="1"/>
    <col min="2819" max="2820" width="12.5703125" style="25" customWidth="1"/>
    <col min="2821" max="2821" width="9.42578125" style="25" customWidth="1"/>
    <col min="2822" max="2822" width="17.140625" style="25" bestFit="1" customWidth="1"/>
    <col min="2823" max="2823" width="16.7109375" style="25" customWidth="1"/>
    <col min="2824" max="2824" width="13.7109375" style="25" customWidth="1"/>
    <col min="2825" max="2825" width="10" style="25" customWidth="1"/>
    <col min="2826" max="2826" width="9" style="25" customWidth="1"/>
    <col min="2827" max="2827" width="9.140625" style="25" customWidth="1"/>
    <col min="2828" max="3072" width="9.140625" style="25"/>
    <col min="3073" max="3073" width="14" style="25" customWidth="1"/>
    <col min="3074" max="3074" width="12.140625" style="25" customWidth="1"/>
    <col min="3075" max="3076" width="12.5703125" style="25" customWidth="1"/>
    <col min="3077" max="3077" width="9.42578125" style="25" customWidth="1"/>
    <col min="3078" max="3078" width="17.140625" style="25" bestFit="1" customWidth="1"/>
    <col min="3079" max="3079" width="16.7109375" style="25" customWidth="1"/>
    <col min="3080" max="3080" width="13.7109375" style="25" customWidth="1"/>
    <col min="3081" max="3081" width="10" style="25" customWidth="1"/>
    <col min="3082" max="3082" width="9" style="25" customWidth="1"/>
    <col min="3083" max="3083" width="9.140625" style="25" customWidth="1"/>
    <col min="3084" max="3328" width="9.140625" style="25"/>
    <col min="3329" max="3329" width="14" style="25" customWidth="1"/>
    <col min="3330" max="3330" width="12.140625" style="25" customWidth="1"/>
    <col min="3331" max="3332" width="12.5703125" style="25" customWidth="1"/>
    <col min="3333" max="3333" width="9.42578125" style="25" customWidth="1"/>
    <col min="3334" max="3334" width="17.140625" style="25" bestFit="1" customWidth="1"/>
    <col min="3335" max="3335" width="16.7109375" style="25" customWidth="1"/>
    <col min="3336" max="3336" width="13.7109375" style="25" customWidth="1"/>
    <col min="3337" max="3337" width="10" style="25" customWidth="1"/>
    <col min="3338" max="3338" width="9" style="25" customWidth="1"/>
    <col min="3339" max="3339" width="9.140625" style="25" customWidth="1"/>
    <col min="3340" max="3584" width="9.140625" style="25"/>
    <col min="3585" max="3585" width="14" style="25" customWidth="1"/>
    <col min="3586" max="3586" width="12.140625" style="25" customWidth="1"/>
    <col min="3587" max="3588" width="12.5703125" style="25" customWidth="1"/>
    <col min="3589" max="3589" width="9.42578125" style="25" customWidth="1"/>
    <col min="3590" max="3590" width="17.140625" style="25" bestFit="1" customWidth="1"/>
    <col min="3591" max="3591" width="16.7109375" style="25" customWidth="1"/>
    <col min="3592" max="3592" width="13.7109375" style="25" customWidth="1"/>
    <col min="3593" max="3593" width="10" style="25" customWidth="1"/>
    <col min="3594" max="3594" width="9" style="25" customWidth="1"/>
    <col min="3595" max="3595" width="9.140625" style="25" customWidth="1"/>
    <col min="3596" max="3840" width="9.140625" style="25"/>
    <col min="3841" max="3841" width="14" style="25" customWidth="1"/>
    <col min="3842" max="3842" width="12.140625" style="25" customWidth="1"/>
    <col min="3843" max="3844" width="12.5703125" style="25" customWidth="1"/>
    <col min="3845" max="3845" width="9.42578125" style="25" customWidth="1"/>
    <col min="3846" max="3846" width="17.140625" style="25" bestFit="1" customWidth="1"/>
    <col min="3847" max="3847" width="16.7109375" style="25" customWidth="1"/>
    <col min="3848" max="3848" width="13.7109375" style="25" customWidth="1"/>
    <col min="3849" max="3849" width="10" style="25" customWidth="1"/>
    <col min="3850" max="3850" width="9" style="25" customWidth="1"/>
    <col min="3851" max="3851" width="9.140625" style="25" customWidth="1"/>
    <col min="3852" max="4096" width="9.140625" style="25"/>
    <col min="4097" max="4097" width="14" style="25" customWidth="1"/>
    <col min="4098" max="4098" width="12.140625" style="25" customWidth="1"/>
    <col min="4099" max="4100" width="12.5703125" style="25" customWidth="1"/>
    <col min="4101" max="4101" width="9.42578125" style="25" customWidth="1"/>
    <col min="4102" max="4102" width="17.140625" style="25" bestFit="1" customWidth="1"/>
    <col min="4103" max="4103" width="16.7109375" style="25" customWidth="1"/>
    <col min="4104" max="4104" width="13.7109375" style="25" customWidth="1"/>
    <col min="4105" max="4105" width="10" style="25" customWidth="1"/>
    <col min="4106" max="4106" width="9" style="25" customWidth="1"/>
    <col min="4107" max="4107" width="9.140625" style="25" customWidth="1"/>
    <col min="4108" max="4352" width="9.140625" style="25"/>
    <col min="4353" max="4353" width="14" style="25" customWidth="1"/>
    <col min="4354" max="4354" width="12.140625" style="25" customWidth="1"/>
    <col min="4355" max="4356" width="12.5703125" style="25" customWidth="1"/>
    <col min="4357" max="4357" width="9.42578125" style="25" customWidth="1"/>
    <col min="4358" max="4358" width="17.140625" style="25" bestFit="1" customWidth="1"/>
    <col min="4359" max="4359" width="16.7109375" style="25" customWidth="1"/>
    <col min="4360" max="4360" width="13.7109375" style="25" customWidth="1"/>
    <col min="4361" max="4361" width="10" style="25" customWidth="1"/>
    <col min="4362" max="4362" width="9" style="25" customWidth="1"/>
    <col min="4363" max="4363" width="9.140625" style="25" customWidth="1"/>
    <col min="4364" max="4608" width="9.140625" style="25"/>
    <col min="4609" max="4609" width="14" style="25" customWidth="1"/>
    <col min="4610" max="4610" width="12.140625" style="25" customWidth="1"/>
    <col min="4611" max="4612" width="12.5703125" style="25" customWidth="1"/>
    <col min="4613" max="4613" width="9.42578125" style="25" customWidth="1"/>
    <col min="4614" max="4614" width="17.140625" style="25" bestFit="1" customWidth="1"/>
    <col min="4615" max="4615" width="16.7109375" style="25" customWidth="1"/>
    <col min="4616" max="4616" width="13.7109375" style="25" customWidth="1"/>
    <col min="4617" max="4617" width="10" style="25" customWidth="1"/>
    <col min="4618" max="4618" width="9" style="25" customWidth="1"/>
    <col min="4619" max="4619" width="9.140625" style="25" customWidth="1"/>
    <col min="4620" max="4864" width="9.140625" style="25"/>
    <col min="4865" max="4865" width="14" style="25" customWidth="1"/>
    <col min="4866" max="4866" width="12.140625" style="25" customWidth="1"/>
    <col min="4867" max="4868" width="12.5703125" style="25" customWidth="1"/>
    <col min="4869" max="4869" width="9.42578125" style="25" customWidth="1"/>
    <col min="4870" max="4870" width="17.140625" style="25" bestFit="1" customWidth="1"/>
    <col min="4871" max="4871" width="16.7109375" style="25" customWidth="1"/>
    <col min="4872" max="4872" width="13.7109375" style="25" customWidth="1"/>
    <col min="4873" max="4873" width="10" style="25" customWidth="1"/>
    <col min="4874" max="4874" width="9" style="25" customWidth="1"/>
    <col min="4875" max="4875" width="9.140625" style="25" customWidth="1"/>
    <col min="4876" max="5120" width="9.140625" style="25"/>
    <col min="5121" max="5121" width="14" style="25" customWidth="1"/>
    <col min="5122" max="5122" width="12.140625" style="25" customWidth="1"/>
    <col min="5123" max="5124" width="12.5703125" style="25" customWidth="1"/>
    <col min="5125" max="5125" width="9.42578125" style="25" customWidth="1"/>
    <col min="5126" max="5126" width="17.140625" style="25" bestFit="1" customWidth="1"/>
    <col min="5127" max="5127" width="16.7109375" style="25" customWidth="1"/>
    <col min="5128" max="5128" width="13.7109375" style="25" customWidth="1"/>
    <col min="5129" max="5129" width="10" style="25" customWidth="1"/>
    <col min="5130" max="5130" width="9" style="25" customWidth="1"/>
    <col min="5131" max="5131" width="9.140625" style="25" customWidth="1"/>
    <col min="5132" max="5376" width="9.140625" style="25"/>
    <col min="5377" max="5377" width="14" style="25" customWidth="1"/>
    <col min="5378" max="5378" width="12.140625" style="25" customWidth="1"/>
    <col min="5379" max="5380" width="12.5703125" style="25" customWidth="1"/>
    <col min="5381" max="5381" width="9.42578125" style="25" customWidth="1"/>
    <col min="5382" max="5382" width="17.140625" style="25" bestFit="1" customWidth="1"/>
    <col min="5383" max="5383" width="16.7109375" style="25" customWidth="1"/>
    <col min="5384" max="5384" width="13.7109375" style="25" customWidth="1"/>
    <col min="5385" max="5385" width="10" style="25" customWidth="1"/>
    <col min="5386" max="5386" width="9" style="25" customWidth="1"/>
    <col min="5387" max="5387" width="9.140625" style="25" customWidth="1"/>
    <col min="5388" max="5632" width="9.140625" style="25"/>
    <col min="5633" max="5633" width="14" style="25" customWidth="1"/>
    <col min="5634" max="5634" width="12.140625" style="25" customWidth="1"/>
    <col min="5635" max="5636" width="12.5703125" style="25" customWidth="1"/>
    <col min="5637" max="5637" width="9.42578125" style="25" customWidth="1"/>
    <col min="5638" max="5638" width="17.140625" style="25" bestFit="1" customWidth="1"/>
    <col min="5639" max="5639" width="16.7109375" style="25" customWidth="1"/>
    <col min="5640" max="5640" width="13.7109375" style="25" customWidth="1"/>
    <col min="5641" max="5641" width="10" style="25" customWidth="1"/>
    <col min="5642" max="5642" width="9" style="25" customWidth="1"/>
    <col min="5643" max="5643" width="9.140625" style="25" customWidth="1"/>
    <col min="5644" max="5888" width="9.140625" style="25"/>
    <col min="5889" max="5889" width="14" style="25" customWidth="1"/>
    <col min="5890" max="5890" width="12.140625" style="25" customWidth="1"/>
    <col min="5891" max="5892" width="12.5703125" style="25" customWidth="1"/>
    <col min="5893" max="5893" width="9.42578125" style="25" customWidth="1"/>
    <col min="5894" max="5894" width="17.140625" style="25" bestFit="1" customWidth="1"/>
    <col min="5895" max="5895" width="16.7109375" style="25" customWidth="1"/>
    <col min="5896" max="5896" width="13.7109375" style="25" customWidth="1"/>
    <col min="5897" max="5897" width="10" style="25" customWidth="1"/>
    <col min="5898" max="5898" width="9" style="25" customWidth="1"/>
    <col min="5899" max="5899" width="9.140625" style="25" customWidth="1"/>
    <col min="5900" max="6144" width="9.140625" style="25"/>
    <col min="6145" max="6145" width="14" style="25" customWidth="1"/>
    <col min="6146" max="6146" width="12.140625" style="25" customWidth="1"/>
    <col min="6147" max="6148" width="12.5703125" style="25" customWidth="1"/>
    <col min="6149" max="6149" width="9.42578125" style="25" customWidth="1"/>
    <col min="6150" max="6150" width="17.140625" style="25" bestFit="1" customWidth="1"/>
    <col min="6151" max="6151" width="16.7109375" style="25" customWidth="1"/>
    <col min="6152" max="6152" width="13.7109375" style="25" customWidth="1"/>
    <col min="6153" max="6153" width="10" style="25" customWidth="1"/>
    <col min="6154" max="6154" width="9" style="25" customWidth="1"/>
    <col min="6155" max="6155" width="9.140625" style="25" customWidth="1"/>
    <col min="6156" max="6400" width="9.140625" style="25"/>
    <col min="6401" max="6401" width="14" style="25" customWidth="1"/>
    <col min="6402" max="6402" width="12.140625" style="25" customWidth="1"/>
    <col min="6403" max="6404" width="12.5703125" style="25" customWidth="1"/>
    <col min="6405" max="6405" width="9.42578125" style="25" customWidth="1"/>
    <col min="6406" max="6406" width="17.140625" style="25" bestFit="1" customWidth="1"/>
    <col min="6407" max="6407" width="16.7109375" style="25" customWidth="1"/>
    <col min="6408" max="6408" width="13.7109375" style="25" customWidth="1"/>
    <col min="6409" max="6409" width="10" style="25" customWidth="1"/>
    <col min="6410" max="6410" width="9" style="25" customWidth="1"/>
    <col min="6411" max="6411" width="9.140625" style="25" customWidth="1"/>
    <col min="6412" max="6656" width="9.140625" style="25"/>
    <col min="6657" max="6657" width="14" style="25" customWidth="1"/>
    <col min="6658" max="6658" width="12.140625" style="25" customWidth="1"/>
    <col min="6659" max="6660" width="12.5703125" style="25" customWidth="1"/>
    <col min="6661" max="6661" width="9.42578125" style="25" customWidth="1"/>
    <col min="6662" max="6662" width="17.140625" style="25" bestFit="1" customWidth="1"/>
    <col min="6663" max="6663" width="16.7109375" style="25" customWidth="1"/>
    <col min="6664" max="6664" width="13.7109375" style="25" customWidth="1"/>
    <col min="6665" max="6665" width="10" style="25" customWidth="1"/>
    <col min="6666" max="6666" width="9" style="25" customWidth="1"/>
    <col min="6667" max="6667" width="9.140625" style="25" customWidth="1"/>
    <col min="6668" max="6912" width="9.140625" style="25"/>
    <col min="6913" max="6913" width="14" style="25" customWidth="1"/>
    <col min="6914" max="6914" width="12.140625" style="25" customWidth="1"/>
    <col min="6915" max="6916" width="12.5703125" style="25" customWidth="1"/>
    <col min="6917" max="6917" width="9.42578125" style="25" customWidth="1"/>
    <col min="6918" max="6918" width="17.140625" style="25" bestFit="1" customWidth="1"/>
    <col min="6919" max="6919" width="16.7109375" style="25" customWidth="1"/>
    <col min="6920" max="6920" width="13.7109375" style="25" customWidth="1"/>
    <col min="6921" max="6921" width="10" style="25" customWidth="1"/>
    <col min="6922" max="6922" width="9" style="25" customWidth="1"/>
    <col min="6923" max="6923" width="9.140625" style="25" customWidth="1"/>
    <col min="6924" max="7168" width="9.140625" style="25"/>
    <col min="7169" max="7169" width="14" style="25" customWidth="1"/>
    <col min="7170" max="7170" width="12.140625" style="25" customWidth="1"/>
    <col min="7171" max="7172" width="12.5703125" style="25" customWidth="1"/>
    <col min="7173" max="7173" width="9.42578125" style="25" customWidth="1"/>
    <col min="7174" max="7174" width="17.140625" style="25" bestFit="1" customWidth="1"/>
    <col min="7175" max="7175" width="16.7109375" style="25" customWidth="1"/>
    <col min="7176" max="7176" width="13.7109375" style="25" customWidth="1"/>
    <col min="7177" max="7177" width="10" style="25" customWidth="1"/>
    <col min="7178" max="7178" width="9" style="25" customWidth="1"/>
    <col min="7179" max="7179" width="9.140625" style="25" customWidth="1"/>
    <col min="7180" max="7424" width="9.140625" style="25"/>
    <col min="7425" max="7425" width="14" style="25" customWidth="1"/>
    <col min="7426" max="7426" width="12.140625" style="25" customWidth="1"/>
    <col min="7427" max="7428" width="12.5703125" style="25" customWidth="1"/>
    <col min="7429" max="7429" width="9.42578125" style="25" customWidth="1"/>
    <col min="7430" max="7430" width="17.140625" style="25" bestFit="1" customWidth="1"/>
    <col min="7431" max="7431" width="16.7109375" style="25" customWidth="1"/>
    <col min="7432" max="7432" width="13.7109375" style="25" customWidth="1"/>
    <col min="7433" max="7433" width="10" style="25" customWidth="1"/>
    <col min="7434" max="7434" width="9" style="25" customWidth="1"/>
    <col min="7435" max="7435" width="9.140625" style="25" customWidth="1"/>
    <col min="7436" max="7680" width="9.140625" style="25"/>
    <col min="7681" max="7681" width="14" style="25" customWidth="1"/>
    <col min="7682" max="7682" width="12.140625" style="25" customWidth="1"/>
    <col min="7683" max="7684" width="12.5703125" style="25" customWidth="1"/>
    <col min="7685" max="7685" width="9.42578125" style="25" customWidth="1"/>
    <col min="7686" max="7686" width="17.140625" style="25" bestFit="1" customWidth="1"/>
    <col min="7687" max="7687" width="16.7109375" style="25" customWidth="1"/>
    <col min="7688" max="7688" width="13.7109375" style="25" customWidth="1"/>
    <col min="7689" max="7689" width="10" style="25" customWidth="1"/>
    <col min="7690" max="7690" width="9" style="25" customWidth="1"/>
    <col min="7691" max="7691" width="9.140625" style="25" customWidth="1"/>
    <col min="7692" max="7936" width="9.140625" style="25"/>
    <col min="7937" max="7937" width="14" style="25" customWidth="1"/>
    <col min="7938" max="7938" width="12.140625" style="25" customWidth="1"/>
    <col min="7939" max="7940" width="12.5703125" style="25" customWidth="1"/>
    <col min="7941" max="7941" width="9.42578125" style="25" customWidth="1"/>
    <col min="7942" max="7942" width="17.140625" style="25" bestFit="1" customWidth="1"/>
    <col min="7943" max="7943" width="16.7109375" style="25" customWidth="1"/>
    <col min="7944" max="7944" width="13.7109375" style="25" customWidth="1"/>
    <col min="7945" max="7945" width="10" style="25" customWidth="1"/>
    <col min="7946" max="7946" width="9" style="25" customWidth="1"/>
    <col min="7947" max="7947" width="9.140625" style="25" customWidth="1"/>
    <col min="7948" max="8192" width="9.140625" style="25"/>
    <col min="8193" max="8193" width="14" style="25" customWidth="1"/>
    <col min="8194" max="8194" width="12.140625" style="25" customWidth="1"/>
    <col min="8195" max="8196" width="12.5703125" style="25" customWidth="1"/>
    <col min="8197" max="8197" width="9.42578125" style="25" customWidth="1"/>
    <col min="8198" max="8198" width="17.140625" style="25" bestFit="1" customWidth="1"/>
    <col min="8199" max="8199" width="16.7109375" style="25" customWidth="1"/>
    <col min="8200" max="8200" width="13.7109375" style="25" customWidth="1"/>
    <col min="8201" max="8201" width="10" style="25" customWidth="1"/>
    <col min="8202" max="8202" width="9" style="25" customWidth="1"/>
    <col min="8203" max="8203" width="9.140625" style="25" customWidth="1"/>
    <col min="8204" max="8448" width="9.140625" style="25"/>
    <col min="8449" max="8449" width="14" style="25" customWidth="1"/>
    <col min="8450" max="8450" width="12.140625" style="25" customWidth="1"/>
    <col min="8451" max="8452" width="12.5703125" style="25" customWidth="1"/>
    <col min="8453" max="8453" width="9.42578125" style="25" customWidth="1"/>
    <col min="8454" max="8454" width="17.140625" style="25" bestFit="1" customWidth="1"/>
    <col min="8455" max="8455" width="16.7109375" style="25" customWidth="1"/>
    <col min="8456" max="8456" width="13.7109375" style="25" customWidth="1"/>
    <col min="8457" max="8457" width="10" style="25" customWidth="1"/>
    <col min="8458" max="8458" width="9" style="25" customWidth="1"/>
    <col min="8459" max="8459" width="9.140625" style="25" customWidth="1"/>
    <col min="8460" max="8704" width="9.140625" style="25"/>
    <col min="8705" max="8705" width="14" style="25" customWidth="1"/>
    <col min="8706" max="8706" width="12.140625" style="25" customWidth="1"/>
    <col min="8707" max="8708" width="12.5703125" style="25" customWidth="1"/>
    <col min="8709" max="8709" width="9.42578125" style="25" customWidth="1"/>
    <col min="8710" max="8710" width="17.140625" style="25" bestFit="1" customWidth="1"/>
    <col min="8711" max="8711" width="16.7109375" style="25" customWidth="1"/>
    <col min="8712" max="8712" width="13.7109375" style="25" customWidth="1"/>
    <col min="8713" max="8713" width="10" style="25" customWidth="1"/>
    <col min="8714" max="8714" width="9" style="25" customWidth="1"/>
    <col min="8715" max="8715" width="9.140625" style="25" customWidth="1"/>
    <col min="8716" max="8960" width="9.140625" style="25"/>
    <col min="8961" max="8961" width="14" style="25" customWidth="1"/>
    <col min="8962" max="8962" width="12.140625" style="25" customWidth="1"/>
    <col min="8963" max="8964" width="12.5703125" style="25" customWidth="1"/>
    <col min="8965" max="8965" width="9.42578125" style="25" customWidth="1"/>
    <col min="8966" max="8966" width="17.140625" style="25" bestFit="1" customWidth="1"/>
    <col min="8967" max="8967" width="16.7109375" style="25" customWidth="1"/>
    <col min="8968" max="8968" width="13.7109375" style="25" customWidth="1"/>
    <col min="8969" max="8969" width="10" style="25" customWidth="1"/>
    <col min="8970" max="8970" width="9" style="25" customWidth="1"/>
    <col min="8971" max="8971" width="9.140625" style="25" customWidth="1"/>
    <col min="8972" max="9216" width="9.140625" style="25"/>
    <col min="9217" max="9217" width="14" style="25" customWidth="1"/>
    <col min="9218" max="9218" width="12.140625" style="25" customWidth="1"/>
    <col min="9219" max="9220" width="12.5703125" style="25" customWidth="1"/>
    <col min="9221" max="9221" width="9.42578125" style="25" customWidth="1"/>
    <col min="9222" max="9222" width="17.140625" style="25" bestFit="1" customWidth="1"/>
    <col min="9223" max="9223" width="16.7109375" style="25" customWidth="1"/>
    <col min="9224" max="9224" width="13.7109375" style="25" customWidth="1"/>
    <col min="9225" max="9225" width="10" style="25" customWidth="1"/>
    <col min="9226" max="9226" width="9" style="25" customWidth="1"/>
    <col min="9227" max="9227" width="9.140625" style="25" customWidth="1"/>
    <col min="9228" max="9472" width="9.140625" style="25"/>
    <col min="9473" max="9473" width="14" style="25" customWidth="1"/>
    <col min="9474" max="9474" width="12.140625" style="25" customWidth="1"/>
    <col min="9475" max="9476" width="12.5703125" style="25" customWidth="1"/>
    <col min="9477" max="9477" width="9.42578125" style="25" customWidth="1"/>
    <col min="9478" max="9478" width="17.140625" style="25" bestFit="1" customWidth="1"/>
    <col min="9479" max="9479" width="16.7109375" style="25" customWidth="1"/>
    <col min="9480" max="9480" width="13.7109375" style="25" customWidth="1"/>
    <col min="9481" max="9481" width="10" style="25" customWidth="1"/>
    <col min="9482" max="9482" width="9" style="25" customWidth="1"/>
    <col min="9483" max="9483" width="9.140625" style="25" customWidth="1"/>
    <col min="9484" max="9728" width="9.140625" style="25"/>
    <col min="9729" max="9729" width="14" style="25" customWidth="1"/>
    <col min="9730" max="9730" width="12.140625" style="25" customWidth="1"/>
    <col min="9731" max="9732" width="12.5703125" style="25" customWidth="1"/>
    <col min="9733" max="9733" width="9.42578125" style="25" customWidth="1"/>
    <col min="9734" max="9734" width="17.140625" style="25" bestFit="1" customWidth="1"/>
    <col min="9735" max="9735" width="16.7109375" style="25" customWidth="1"/>
    <col min="9736" max="9736" width="13.7109375" style="25" customWidth="1"/>
    <col min="9737" max="9737" width="10" style="25" customWidth="1"/>
    <col min="9738" max="9738" width="9" style="25" customWidth="1"/>
    <col min="9739" max="9739" width="9.140625" style="25" customWidth="1"/>
    <col min="9740" max="9984" width="9.140625" style="25"/>
    <col min="9985" max="9985" width="14" style="25" customWidth="1"/>
    <col min="9986" max="9986" width="12.140625" style="25" customWidth="1"/>
    <col min="9987" max="9988" width="12.5703125" style="25" customWidth="1"/>
    <col min="9989" max="9989" width="9.42578125" style="25" customWidth="1"/>
    <col min="9990" max="9990" width="17.140625" style="25" bestFit="1" customWidth="1"/>
    <col min="9991" max="9991" width="16.7109375" style="25" customWidth="1"/>
    <col min="9992" max="9992" width="13.7109375" style="25" customWidth="1"/>
    <col min="9993" max="9993" width="10" style="25" customWidth="1"/>
    <col min="9994" max="9994" width="9" style="25" customWidth="1"/>
    <col min="9995" max="9995" width="9.140625" style="25" customWidth="1"/>
    <col min="9996" max="10240" width="9.140625" style="25"/>
    <col min="10241" max="10241" width="14" style="25" customWidth="1"/>
    <col min="10242" max="10242" width="12.140625" style="25" customWidth="1"/>
    <col min="10243" max="10244" width="12.5703125" style="25" customWidth="1"/>
    <col min="10245" max="10245" width="9.42578125" style="25" customWidth="1"/>
    <col min="10246" max="10246" width="17.140625" style="25" bestFit="1" customWidth="1"/>
    <col min="10247" max="10247" width="16.7109375" style="25" customWidth="1"/>
    <col min="10248" max="10248" width="13.7109375" style="25" customWidth="1"/>
    <col min="10249" max="10249" width="10" style="25" customWidth="1"/>
    <col min="10250" max="10250" width="9" style="25" customWidth="1"/>
    <col min="10251" max="10251" width="9.140625" style="25" customWidth="1"/>
    <col min="10252" max="10496" width="9.140625" style="25"/>
    <col min="10497" max="10497" width="14" style="25" customWidth="1"/>
    <col min="10498" max="10498" width="12.140625" style="25" customWidth="1"/>
    <col min="10499" max="10500" width="12.5703125" style="25" customWidth="1"/>
    <col min="10501" max="10501" width="9.42578125" style="25" customWidth="1"/>
    <col min="10502" max="10502" width="17.140625" style="25" bestFit="1" customWidth="1"/>
    <col min="10503" max="10503" width="16.7109375" style="25" customWidth="1"/>
    <col min="10504" max="10504" width="13.7109375" style="25" customWidth="1"/>
    <col min="10505" max="10505" width="10" style="25" customWidth="1"/>
    <col min="10506" max="10506" width="9" style="25" customWidth="1"/>
    <col min="10507" max="10507" width="9.140625" style="25" customWidth="1"/>
    <col min="10508" max="10752" width="9.140625" style="25"/>
    <col min="10753" max="10753" width="14" style="25" customWidth="1"/>
    <col min="10754" max="10754" width="12.140625" style="25" customWidth="1"/>
    <col min="10755" max="10756" width="12.5703125" style="25" customWidth="1"/>
    <col min="10757" max="10757" width="9.42578125" style="25" customWidth="1"/>
    <col min="10758" max="10758" width="17.140625" style="25" bestFit="1" customWidth="1"/>
    <col min="10759" max="10759" width="16.7109375" style="25" customWidth="1"/>
    <col min="10760" max="10760" width="13.7109375" style="25" customWidth="1"/>
    <col min="10761" max="10761" width="10" style="25" customWidth="1"/>
    <col min="10762" max="10762" width="9" style="25" customWidth="1"/>
    <col min="10763" max="10763" width="9.140625" style="25" customWidth="1"/>
    <col min="10764" max="11008" width="9.140625" style="25"/>
    <col min="11009" max="11009" width="14" style="25" customWidth="1"/>
    <col min="11010" max="11010" width="12.140625" style="25" customWidth="1"/>
    <col min="11011" max="11012" width="12.5703125" style="25" customWidth="1"/>
    <col min="11013" max="11013" width="9.42578125" style="25" customWidth="1"/>
    <col min="11014" max="11014" width="17.140625" style="25" bestFit="1" customWidth="1"/>
    <col min="11015" max="11015" width="16.7109375" style="25" customWidth="1"/>
    <col min="11016" max="11016" width="13.7109375" style="25" customWidth="1"/>
    <col min="11017" max="11017" width="10" style="25" customWidth="1"/>
    <col min="11018" max="11018" width="9" style="25" customWidth="1"/>
    <col min="11019" max="11019" width="9.140625" style="25" customWidth="1"/>
    <col min="11020" max="11264" width="9.140625" style="25"/>
    <col min="11265" max="11265" width="14" style="25" customWidth="1"/>
    <col min="11266" max="11266" width="12.140625" style="25" customWidth="1"/>
    <col min="11267" max="11268" width="12.5703125" style="25" customWidth="1"/>
    <col min="11269" max="11269" width="9.42578125" style="25" customWidth="1"/>
    <col min="11270" max="11270" width="17.140625" style="25" bestFit="1" customWidth="1"/>
    <col min="11271" max="11271" width="16.7109375" style="25" customWidth="1"/>
    <col min="11272" max="11272" width="13.7109375" style="25" customWidth="1"/>
    <col min="11273" max="11273" width="10" style="25" customWidth="1"/>
    <col min="11274" max="11274" width="9" style="25" customWidth="1"/>
    <col min="11275" max="11275" width="9.140625" style="25" customWidth="1"/>
    <col min="11276" max="11520" width="9.140625" style="25"/>
    <col min="11521" max="11521" width="14" style="25" customWidth="1"/>
    <col min="11522" max="11522" width="12.140625" style="25" customWidth="1"/>
    <col min="11523" max="11524" width="12.5703125" style="25" customWidth="1"/>
    <col min="11525" max="11525" width="9.42578125" style="25" customWidth="1"/>
    <col min="11526" max="11526" width="17.140625" style="25" bestFit="1" customWidth="1"/>
    <col min="11527" max="11527" width="16.7109375" style="25" customWidth="1"/>
    <col min="11528" max="11528" width="13.7109375" style="25" customWidth="1"/>
    <col min="11529" max="11529" width="10" style="25" customWidth="1"/>
    <col min="11530" max="11530" width="9" style="25" customWidth="1"/>
    <col min="11531" max="11531" width="9.140625" style="25" customWidth="1"/>
    <col min="11532" max="11776" width="9.140625" style="25"/>
    <col min="11777" max="11777" width="14" style="25" customWidth="1"/>
    <col min="11778" max="11778" width="12.140625" style="25" customWidth="1"/>
    <col min="11779" max="11780" width="12.5703125" style="25" customWidth="1"/>
    <col min="11781" max="11781" width="9.42578125" style="25" customWidth="1"/>
    <col min="11782" max="11782" width="17.140625" style="25" bestFit="1" customWidth="1"/>
    <col min="11783" max="11783" width="16.7109375" style="25" customWidth="1"/>
    <col min="11784" max="11784" width="13.7109375" style="25" customWidth="1"/>
    <col min="11785" max="11785" width="10" style="25" customWidth="1"/>
    <col min="11786" max="11786" width="9" style="25" customWidth="1"/>
    <col min="11787" max="11787" width="9.140625" style="25" customWidth="1"/>
    <col min="11788" max="12032" width="9.140625" style="25"/>
    <col min="12033" max="12033" width="14" style="25" customWidth="1"/>
    <col min="12034" max="12034" width="12.140625" style="25" customWidth="1"/>
    <col min="12035" max="12036" width="12.5703125" style="25" customWidth="1"/>
    <col min="12037" max="12037" width="9.42578125" style="25" customWidth="1"/>
    <col min="12038" max="12038" width="17.140625" style="25" bestFit="1" customWidth="1"/>
    <col min="12039" max="12039" width="16.7109375" style="25" customWidth="1"/>
    <col min="12040" max="12040" width="13.7109375" style="25" customWidth="1"/>
    <col min="12041" max="12041" width="10" style="25" customWidth="1"/>
    <col min="12042" max="12042" width="9" style="25" customWidth="1"/>
    <col min="12043" max="12043" width="9.140625" style="25" customWidth="1"/>
    <col min="12044" max="12288" width="9.140625" style="25"/>
    <col min="12289" max="12289" width="14" style="25" customWidth="1"/>
    <col min="12290" max="12290" width="12.140625" style="25" customWidth="1"/>
    <col min="12291" max="12292" width="12.5703125" style="25" customWidth="1"/>
    <col min="12293" max="12293" width="9.42578125" style="25" customWidth="1"/>
    <col min="12294" max="12294" width="17.140625" style="25" bestFit="1" customWidth="1"/>
    <col min="12295" max="12295" width="16.7109375" style="25" customWidth="1"/>
    <col min="12296" max="12296" width="13.7109375" style="25" customWidth="1"/>
    <col min="12297" max="12297" width="10" style="25" customWidth="1"/>
    <col min="12298" max="12298" width="9" style="25" customWidth="1"/>
    <col min="12299" max="12299" width="9.140625" style="25" customWidth="1"/>
    <col min="12300" max="12544" width="9.140625" style="25"/>
    <col min="12545" max="12545" width="14" style="25" customWidth="1"/>
    <col min="12546" max="12546" width="12.140625" style="25" customWidth="1"/>
    <col min="12547" max="12548" width="12.5703125" style="25" customWidth="1"/>
    <col min="12549" max="12549" width="9.42578125" style="25" customWidth="1"/>
    <col min="12550" max="12550" width="17.140625" style="25" bestFit="1" customWidth="1"/>
    <col min="12551" max="12551" width="16.7109375" style="25" customWidth="1"/>
    <col min="12552" max="12552" width="13.7109375" style="25" customWidth="1"/>
    <col min="12553" max="12553" width="10" style="25" customWidth="1"/>
    <col min="12554" max="12554" width="9" style="25" customWidth="1"/>
    <col min="12555" max="12555" width="9.140625" style="25" customWidth="1"/>
    <col min="12556" max="12800" width="9.140625" style="25"/>
    <col min="12801" max="12801" width="14" style="25" customWidth="1"/>
    <col min="12802" max="12802" width="12.140625" style="25" customWidth="1"/>
    <col min="12803" max="12804" width="12.5703125" style="25" customWidth="1"/>
    <col min="12805" max="12805" width="9.42578125" style="25" customWidth="1"/>
    <col min="12806" max="12806" width="17.140625" style="25" bestFit="1" customWidth="1"/>
    <col min="12807" max="12807" width="16.7109375" style="25" customWidth="1"/>
    <col min="12808" max="12808" width="13.7109375" style="25" customWidth="1"/>
    <col min="12809" max="12809" width="10" style="25" customWidth="1"/>
    <col min="12810" max="12810" width="9" style="25" customWidth="1"/>
    <col min="12811" max="12811" width="9.140625" style="25" customWidth="1"/>
    <col min="12812" max="13056" width="9.140625" style="25"/>
    <col min="13057" max="13057" width="14" style="25" customWidth="1"/>
    <col min="13058" max="13058" width="12.140625" style="25" customWidth="1"/>
    <col min="13059" max="13060" width="12.5703125" style="25" customWidth="1"/>
    <col min="13061" max="13061" width="9.42578125" style="25" customWidth="1"/>
    <col min="13062" max="13062" width="17.140625" style="25" bestFit="1" customWidth="1"/>
    <col min="13063" max="13063" width="16.7109375" style="25" customWidth="1"/>
    <col min="13064" max="13064" width="13.7109375" style="25" customWidth="1"/>
    <col min="13065" max="13065" width="10" style="25" customWidth="1"/>
    <col min="13066" max="13066" width="9" style="25" customWidth="1"/>
    <col min="13067" max="13067" width="9.140625" style="25" customWidth="1"/>
    <col min="13068" max="13312" width="9.140625" style="25"/>
    <col min="13313" max="13313" width="14" style="25" customWidth="1"/>
    <col min="13314" max="13314" width="12.140625" style="25" customWidth="1"/>
    <col min="13315" max="13316" width="12.5703125" style="25" customWidth="1"/>
    <col min="13317" max="13317" width="9.42578125" style="25" customWidth="1"/>
    <col min="13318" max="13318" width="17.140625" style="25" bestFit="1" customWidth="1"/>
    <col min="13319" max="13319" width="16.7109375" style="25" customWidth="1"/>
    <col min="13320" max="13320" width="13.7109375" style="25" customWidth="1"/>
    <col min="13321" max="13321" width="10" style="25" customWidth="1"/>
    <col min="13322" max="13322" width="9" style="25" customWidth="1"/>
    <col min="13323" max="13323" width="9.140625" style="25" customWidth="1"/>
    <col min="13324" max="13568" width="9.140625" style="25"/>
    <col min="13569" max="13569" width="14" style="25" customWidth="1"/>
    <col min="13570" max="13570" width="12.140625" style="25" customWidth="1"/>
    <col min="13571" max="13572" width="12.5703125" style="25" customWidth="1"/>
    <col min="13573" max="13573" width="9.42578125" style="25" customWidth="1"/>
    <col min="13574" max="13574" width="17.140625" style="25" bestFit="1" customWidth="1"/>
    <col min="13575" max="13575" width="16.7109375" style="25" customWidth="1"/>
    <col min="13576" max="13576" width="13.7109375" style="25" customWidth="1"/>
    <col min="13577" max="13577" width="10" style="25" customWidth="1"/>
    <col min="13578" max="13578" width="9" style="25" customWidth="1"/>
    <col min="13579" max="13579" width="9.140625" style="25" customWidth="1"/>
    <col min="13580" max="13824" width="9.140625" style="25"/>
    <col min="13825" max="13825" width="14" style="25" customWidth="1"/>
    <col min="13826" max="13826" width="12.140625" style="25" customWidth="1"/>
    <col min="13827" max="13828" width="12.5703125" style="25" customWidth="1"/>
    <col min="13829" max="13829" width="9.42578125" style="25" customWidth="1"/>
    <col min="13830" max="13830" width="17.140625" style="25" bestFit="1" customWidth="1"/>
    <col min="13831" max="13831" width="16.7109375" style="25" customWidth="1"/>
    <col min="13832" max="13832" width="13.7109375" style="25" customWidth="1"/>
    <col min="13833" max="13833" width="10" style="25" customWidth="1"/>
    <col min="13834" max="13834" width="9" style="25" customWidth="1"/>
    <col min="13835" max="13835" width="9.140625" style="25" customWidth="1"/>
    <col min="13836" max="14080" width="9.140625" style="25"/>
    <col min="14081" max="14081" width="14" style="25" customWidth="1"/>
    <col min="14082" max="14082" width="12.140625" style="25" customWidth="1"/>
    <col min="14083" max="14084" width="12.5703125" style="25" customWidth="1"/>
    <col min="14085" max="14085" width="9.42578125" style="25" customWidth="1"/>
    <col min="14086" max="14086" width="17.140625" style="25" bestFit="1" customWidth="1"/>
    <col min="14087" max="14087" width="16.7109375" style="25" customWidth="1"/>
    <col min="14088" max="14088" width="13.7109375" style="25" customWidth="1"/>
    <col min="14089" max="14089" width="10" style="25" customWidth="1"/>
    <col min="14090" max="14090" width="9" style="25" customWidth="1"/>
    <col min="14091" max="14091" width="9.140625" style="25" customWidth="1"/>
    <col min="14092" max="14336" width="9.140625" style="25"/>
    <col min="14337" max="14337" width="14" style="25" customWidth="1"/>
    <col min="14338" max="14338" width="12.140625" style="25" customWidth="1"/>
    <col min="14339" max="14340" width="12.5703125" style="25" customWidth="1"/>
    <col min="14341" max="14341" width="9.42578125" style="25" customWidth="1"/>
    <col min="14342" max="14342" width="17.140625" style="25" bestFit="1" customWidth="1"/>
    <col min="14343" max="14343" width="16.7109375" style="25" customWidth="1"/>
    <col min="14344" max="14344" width="13.7109375" style="25" customWidth="1"/>
    <col min="14345" max="14345" width="10" style="25" customWidth="1"/>
    <col min="14346" max="14346" width="9" style="25" customWidth="1"/>
    <col min="14347" max="14347" width="9.140625" style="25" customWidth="1"/>
    <col min="14348" max="14592" width="9.140625" style="25"/>
    <col min="14593" max="14593" width="14" style="25" customWidth="1"/>
    <col min="14594" max="14594" width="12.140625" style="25" customWidth="1"/>
    <col min="14595" max="14596" width="12.5703125" style="25" customWidth="1"/>
    <col min="14597" max="14597" width="9.42578125" style="25" customWidth="1"/>
    <col min="14598" max="14598" width="17.140625" style="25" bestFit="1" customWidth="1"/>
    <col min="14599" max="14599" width="16.7109375" style="25" customWidth="1"/>
    <col min="14600" max="14600" width="13.7109375" style="25" customWidth="1"/>
    <col min="14601" max="14601" width="10" style="25" customWidth="1"/>
    <col min="14602" max="14602" width="9" style="25" customWidth="1"/>
    <col min="14603" max="14603" width="9.140625" style="25" customWidth="1"/>
    <col min="14604" max="14848" width="9.140625" style="25"/>
    <col min="14849" max="14849" width="14" style="25" customWidth="1"/>
    <col min="14850" max="14850" width="12.140625" style="25" customWidth="1"/>
    <col min="14851" max="14852" width="12.5703125" style="25" customWidth="1"/>
    <col min="14853" max="14853" width="9.42578125" style="25" customWidth="1"/>
    <col min="14854" max="14854" width="17.140625" style="25" bestFit="1" customWidth="1"/>
    <col min="14855" max="14855" width="16.7109375" style="25" customWidth="1"/>
    <col min="14856" max="14856" width="13.7109375" style="25" customWidth="1"/>
    <col min="14857" max="14857" width="10" style="25" customWidth="1"/>
    <col min="14858" max="14858" width="9" style="25" customWidth="1"/>
    <col min="14859" max="14859" width="9.140625" style="25" customWidth="1"/>
    <col min="14860" max="15104" width="9.140625" style="25"/>
    <col min="15105" max="15105" width="14" style="25" customWidth="1"/>
    <col min="15106" max="15106" width="12.140625" style="25" customWidth="1"/>
    <col min="15107" max="15108" width="12.5703125" style="25" customWidth="1"/>
    <col min="15109" max="15109" width="9.42578125" style="25" customWidth="1"/>
    <col min="15110" max="15110" width="17.140625" style="25" bestFit="1" customWidth="1"/>
    <col min="15111" max="15111" width="16.7109375" style="25" customWidth="1"/>
    <col min="15112" max="15112" width="13.7109375" style="25" customWidth="1"/>
    <col min="15113" max="15113" width="10" style="25" customWidth="1"/>
    <col min="15114" max="15114" width="9" style="25" customWidth="1"/>
    <col min="15115" max="15115" width="9.140625" style="25" customWidth="1"/>
    <col min="15116" max="15360" width="9.140625" style="25"/>
    <col min="15361" max="15361" width="14" style="25" customWidth="1"/>
    <col min="15362" max="15362" width="12.140625" style="25" customWidth="1"/>
    <col min="15363" max="15364" width="12.5703125" style="25" customWidth="1"/>
    <col min="15365" max="15365" width="9.42578125" style="25" customWidth="1"/>
    <col min="15366" max="15366" width="17.140625" style="25" bestFit="1" customWidth="1"/>
    <col min="15367" max="15367" width="16.7109375" style="25" customWidth="1"/>
    <col min="15368" max="15368" width="13.7109375" style="25" customWidth="1"/>
    <col min="15369" max="15369" width="10" style="25" customWidth="1"/>
    <col min="15370" max="15370" width="9" style="25" customWidth="1"/>
    <col min="15371" max="15371" width="9.140625" style="25" customWidth="1"/>
    <col min="15372" max="15616" width="9.140625" style="25"/>
    <col min="15617" max="15617" width="14" style="25" customWidth="1"/>
    <col min="15618" max="15618" width="12.140625" style="25" customWidth="1"/>
    <col min="15619" max="15620" width="12.5703125" style="25" customWidth="1"/>
    <col min="15621" max="15621" width="9.42578125" style="25" customWidth="1"/>
    <col min="15622" max="15622" width="17.140625" style="25" bestFit="1" customWidth="1"/>
    <col min="15623" max="15623" width="16.7109375" style="25" customWidth="1"/>
    <col min="15624" max="15624" width="13.7109375" style="25" customWidth="1"/>
    <col min="15625" max="15625" width="10" style="25" customWidth="1"/>
    <col min="15626" max="15626" width="9" style="25" customWidth="1"/>
    <col min="15627" max="15627" width="9.140625" style="25" customWidth="1"/>
    <col min="15628" max="15872" width="9.140625" style="25"/>
    <col min="15873" max="15873" width="14" style="25" customWidth="1"/>
    <col min="15874" max="15874" width="12.140625" style="25" customWidth="1"/>
    <col min="15875" max="15876" width="12.5703125" style="25" customWidth="1"/>
    <col min="15877" max="15877" width="9.42578125" style="25" customWidth="1"/>
    <col min="15878" max="15878" width="17.140625" style="25" bestFit="1" customWidth="1"/>
    <col min="15879" max="15879" width="16.7109375" style="25" customWidth="1"/>
    <col min="15880" max="15880" width="13.7109375" style="25" customWidth="1"/>
    <col min="15881" max="15881" width="10" style="25" customWidth="1"/>
    <col min="15882" max="15882" width="9" style="25" customWidth="1"/>
    <col min="15883" max="15883" width="9.140625" style="25" customWidth="1"/>
    <col min="15884" max="16128" width="9.140625" style="25"/>
    <col min="16129" max="16129" width="14" style="25" customWidth="1"/>
    <col min="16130" max="16130" width="12.140625" style="25" customWidth="1"/>
    <col min="16131" max="16132" width="12.5703125" style="25" customWidth="1"/>
    <col min="16133" max="16133" width="9.42578125" style="25" customWidth="1"/>
    <col min="16134" max="16134" width="17.140625" style="25" bestFit="1" customWidth="1"/>
    <col min="16135" max="16135" width="16.7109375" style="25" customWidth="1"/>
    <col min="16136" max="16136" width="13.7109375" style="25" customWidth="1"/>
    <col min="16137" max="16137" width="10" style="25" customWidth="1"/>
    <col min="16138" max="16138" width="9" style="25" customWidth="1"/>
    <col min="16139" max="16139" width="9.140625" style="25" customWidth="1"/>
    <col min="16140" max="16384" width="9.140625" style="25"/>
  </cols>
  <sheetData>
    <row r="1" spans="1:13" ht="18" x14ac:dyDescent="0.25">
      <c r="A1" s="32" t="s">
        <v>45</v>
      </c>
    </row>
    <row r="2" spans="1:13" ht="18" x14ac:dyDescent="0.25">
      <c r="A2" s="35"/>
      <c r="B2" s="36" t="s">
        <v>46</v>
      </c>
      <c r="C2" s="36" t="s">
        <v>47</v>
      </c>
      <c r="D2" s="36" t="s">
        <v>47</v>
      </c>
      <c r="E2" s="37" t="s">
        <v>41</v>
      </c>
      <c r="F2" s="38" t="s">
        <v>48</v>
      </c>
      <c r="G2" s="36" t="s">
        <v>48</v>
      </c>
      <c r="H2" s="39" t="s">
        <v>38</v>
      </c>
      <c r="I2" s="17" t="s">
        <v>20</v>
      </c>
      <c r="J2" s="40" t="s">
        <v>49</v>
      </c>
      <c r="K2" s="40"/>
      <c r="L2" s="41"/>
      <c r="M2" s="42"/>
    </row>
    <row r="3" spans="1:13" x14ac:dyDescent="0.2">
      <c r="A3" s="43"/>
      <c r="B3" s="36" t="s">
        <v>50</v>
      </c>
      <c r="C3" s="36" t="s">
        <v>51</v>
      </c>
      <c r="D3" s="36" t="s">
        <v>52</v>
      </c>
      <c r="E3" s="37" t="s">
        <v>53</v>
      </c>
      <c r="F3" s="38" t="s">
        <v>51</v>
      </c>
      <c r="G3" s="36" t="s">
        <v>52</v>
      </c>
      <c r="H3" s="39" t="s">
        <v>54</v>
      </c>
      <c r="I3" s="17" t="s">
        <v>25</v>
      </c>
      <c r="J3" s="40"/>
      <c r="K3" s="40"/>
      <c r="L3" s="41"/>
      <c r="M3" s="42"/>
    </row>
    <row r="4" spans="1:13" x14ac:dyDescent="0.2">
      <c r="A4" s="5">
        <v>44409</v>
      </c>
      <c r="B4" s="45"/>
      <c r="C4" s="45"/>
      <c r="D4" s="45"/>
      <c r="E4" s="46"/>
      <c r="F4" s="47"/>
      <c r="G4" s="48"/>
      <c r="H4" s="49">
        <f t="shared" ref="H4:H34" si="0">G4-F4</f>
        <v>0</v>
      </c>
      <c r="I4" s="18">
        <f>(H4*[1]Summary!$C$6)</f>
        <v>0</v>
      </c>
      <c r="J4" s="50"/>
      <c r="K4" s="50"/>
      <c r="L4" s="51"/>
      <c r="M4" s="42"/>
    </row>
    <row r="5" spans="1:13" x14ac:dyDescent="0.2">
      <c r="A5" s="5">
        <v>44410</v>
      </c>
      <c r="B5" s="45"/>
      <c r="C5" s="52"/>
      <c r="D5" s="52"/>
      <c r="E5" s="46"/>
      <c r="F5" s="47"/>
      <c r="G5" s="48"/>
      <c r="H5" s="53">
        <f t="shared" si="0"/>
        <v>0</v>
      </c>
      <c r="I5" s="18">
        <f>(H5*[1]Summary!$C$6)</f>
        <v>0</v>
      </c>
      <c r="J5" s="50"/>
      <c r="K5" s="50"/>
      <c r="L5" s="51"/>
      <c r="M5" s="42"/>
    </row>
    <row r="6" spans="1:13" x14ac:dyDescent="0.2">
      <c r="A6" s="5">
        <v>44411</v>
      </c>
      <c r="B6" s="52"/>
      <c r="C6" s="52"/>
      <c r="D6" s="52"/>
      <c r="E6" s="18"/>
      <c r="F6" s="54"/>
      <c r="G6" s="55"/>
      <c r="H6" s="53">
        <f t="shared" si="0"/>
        <v>0</v>
      </c>
      <c r="I6" s="18">
        <f>(H6*[1]Summary!$C$6)</f>
        <v>0</v>
      </c>
      <c r="J6" s="50"/>
      <c r="K6" s="50"/>
      <c r="L6" s="51"/>
      <c r="M6" s="42"/>
    </row>
    <row r="7" spans="1:13" x14ac:dyDescent="0.2">
      <c r="A7" s="5">
        <v>44412</v>
      </c>
      <c r="B7" s="52"/>
      <c r="C7" s="52"/>
      <c r="D7" s="52"/>
      <c r="E7" s="18"/>
      <c r="F7" s="47"/>
      <c r="G7" s="48"/>
      <c r="H7" s="53">
        <f t="shared" si="0"/>
        <v>0</v>
      </c>
      <c r="I7" s="18">
        <f>(H7*[1]Summary!$C$6)</f>
        <v>0</v>
      </c>
      <c r="J7" s="50"/>
      <c r="K7" s="50"/>
      <c r="L7" s="51"/>
      <c r="M7" s="42"/>
    </row>
    <row r="8" spans="1:13" x14ac:dyDescent="0.2">
      <c r="A8" s="5">
        <v>44413</v>
      </c>
      <c r="B8" s="45"/>
      <c r="C8" s="45"/>
      <c r="D8" s="45"/>
      <c r="E8" s="46"/>
      <c r="F8" s="47"/>
      <c r="G8" s="48"/>
      <c r="H8" s="49">
        <f t="shared" si="0"/>
        <v>0</v>
      </c>
      <c r="I8" s="46">
        <f>(H8*[1]Summary!$C$6)</f>
        <v>0</v>
      </c>
      <c r="J8" s="56"/>
      <c r="K8" s="50"/>
      <c r="L8" s="51"/>
      <c r="M8" s="42"/>
    </row>
    <row r="9" spans="1:13" x14ac:dyDescent="0.2">
      <c r="A9" s="5">
        <v>44414</v>
      </c>
      <c r="B9" s="45"/>
      <c r="C9" s="45"/>
      <c r="D9" s="45"/>
      <c r="E9" s="46"/>
      <c r="F9" s="47"/>
      <c r="G9" s="57"/>
      <c r="H9" s="49">
        <f t="shared" si="0"/>
        <v>0</v>
      </c>
      <c r="I9" s="58">
        <f>(H9*[1]Summary!$C$6)</f>
        <v>0</v>
      </c>
      <c r="J9" s="59"/>
      <c r="K9" s="60"/>
      <c r="L9" s="51"/>
      <c r="M9" s="42"/>
    </row>
    <row r="10" spans="1:13" x14ac:dyDescent="0.2">
      <c r="A10" s="5">
        <v>44415</v>
      </c>
      <c r="B10" s="61"/>
      <c r="C10" s="61"/>
      <c r="D10" s="61"/>
      <c r="E10" s="62"/>
      <c r="F10" s="47"/>
      <c r="G10" s="57"/>
      <c r="H10" s="49">
        <f t="shared" si="0"/>
        <v>0</v>
      </c>
      <c r="I10" s="58">
        <f>(H10*[1]Summary!$C$6)</f>
        <v>0</v>
      </c>
      <c r="J10" s="59"/>
      <c r="K10" s="60"/>
      <c r="L10" s="51"/>
      <c r="M10" s="42"/>
    </row>
    <row r="11" spans="1:13" x14ac:dyDescent="0.2">
      <c r="A11" s="5">
        <v>44416</v>
      </c>
      <c r="B11" s="61"/>
      <c r="C11" s="63"/>
      <c r="D11" s="63"/>
      <c r="E11" s="64"/>
      <c r="F11" s="47"/>
      <c r="G11" s="57"/>
      <c r="H11" s="49">
        <f t="shared" si="0"/>
        <v>0</v>
      </c>
      <c r="I11" s="58">
        <f>(H11*[1]Summary!$C$6)</f>
        <v>0</v>
      </c>
      <c r="J11" s="59"/>
      <c r="K11" s="60"/>
      <c r="L11" s="51"/>
      <c r="M11" s="42"/>
    </row>
    <row r="12" spans="1:13" x14ac:dyDescent="0.2">
      <c r="A12" s="5">
        <v>44417</v>
      </c>
      <c r="B12" s="61"/>
      <c r="C12" s="61"/>
      <c r="D12" s="61"/>
      <c r="E12" s="62"/>
      <c r="F12" s="47"/>
      <c r="G12" s="57"/>
      <c r="H12" s="49">
        <f t="shared" si="0"/>
        <v>0</v>
      </c>
      <c r="I12" s="58">
        <f>(H12*[1]Summary!$C$6)</f>
        <v>0</v>
      </c>
      <c r="J12" s="59"/>
      <c r="K12" s="60"/>
      <c r="L12" s="51"/>
      <c r="M12" s="42"/>
    </row>
    <row r="13" spans="1:13" x14ac:dyDescent="0.2">
      <c r="A13" s="5">
        <v>44418</v>
      </c>
      <c r="B13" s="61"/>
      <c r="C13" s="61"/>
      <c r="D13" s="61"/>
      <c r="E13" s="62"/>
      <c r="F13" s="47"/>
      <c r="G13" s="57"/>
      <c r="H13" s="49">
        <f t="shared" si="0"/>
        <v>0</v>
      </c>
      <c r="I13" s="58">
        <f>(H13*[1]Summary!$C$6)</f>
        <v>0</v>
      </c>
      <c r="J13" s="59"/>
      <c r="K13" s="60"/>
      <c r="L13" s="51"/>
      <c r="M13" s="42"/>
    </row>
    <row r="14" spans="1:13" x14ac:dyDescent="0.2">
      <c r="A14" s="5">
        <v>44419</v>
      </c>
      <c r="B14" s="61"/>
      <c r="C14" s="61"/>
      <c r="D14" s="61"/>
      <c r="E14" s="62"/>
      <c r="F14" s="47"/>
      <c r="G14" s="57"/>
      <c r="H14" s="49">
        <f t="shared" si="0"/>
        <v>0</v>
      </c>
      <c r="I14" s="58">
        <f>(H14*[1]Summary!$C$6)</f>
        <v>0</v>
      </c>
      <c r="J14" s="59"/>
      <c r="K14" s="60"/>
      <c r="L14" s="51"/>
      <c r="M14" s="42"/>
    </row>
    <row r="15" spans="1:13" x14ac:dyDescent="0.2">
      <c r="A15" s="5">
        <v>44420</v>
      </c>
      <c r="B15" s="61"/>
      <c r="C15" s="61"/>
      <c r="D15" s="61"/>
      <c r="E15" s="62"/>
      <c r="F15" s="47"/>
      <c r="G15" s="57"/>
      <c r="H15" s="49">
        <f t="shared" si="0"/>
        <v>0</v>
      </c>
      <c r="I15" s="58">
        <f>(H15*[1]Summary!$C$6)</f>
        <v>0</v>
      </c>
      <c r="J15" s="59"/>
      <c r="K15" s="60"/>
      <c r="L15" s="51"/>
      <c r="M15" s="42"/>
    </row>
    <row r="16" spans="1:13" x14ac:dyDescent="0.2">
      <c r="A16" s="5">
        <v>44421</v>
      </c>
      <c r="B16" s="61"/>
      <c r="C16" s="61"/>
      <c r="D16" s="61"/>
      <c r="E16" s="62"/>
      <c r="F16" s="47"/>
      <c r="G16" s="57"/>
      <c r="H16" s="49">
        <f>G16-F16</f>
        <v>0</v>
      </c>
      <c r="I16" s="58">
        <f>(H16*[1]Summary!$C$6)</f>
        <v>0</v>
      </c>
      <c r="J16" s="59"/>
      <c r="K16" s="60"/>
      <c r="L16" s="51"/>
      <c r="M16" s="42"/>
    </row>
    <row r="17" spans="1:13" x14ac:dyDescent="0.2">
      <c r="A17" s="5">
        <v>44422</v>
      </c>
      <c r="B17" s="65"/>
      <c r="C17" s="65"/>
      <c r="D17" s="65"/>
      <c r="E17" s="58"/>
      <c r="F17" s="47"/>
      <c r="G17" s="57"/>
      <c r="H17" s="49">
        <f t="shared" ref="H17:H18" si="1">G17-F17</f>
        <v>0</v>
      </c>
      <c r="I17" s="58">
        <f>(H17*[1]Summary!$C$6)</f>
        <v>0</v>
      </c>
      <c r="J17" s="59"/>
      <c r="K17" s="60"/>
      <c r="L17" s="51"/>
      <c r="M17" s="42"/>
    </row>
    <row r="18" spans="1:13" x14ac:dyDescent="0.2">
      <c r="A18" s="5">
        <v>44423</v>
      </c>
      <c r="B18" s="65"/>
      <c r="C18" s="65"/>
      <c r="D18" s="65"/>
      <c r="E18" s="58"/>
      <c r="F18" s="47"/>
      <c r="G18" s="57"/>
      <c r="H18" s="49">
        <f t="shared" si="1"/>
        <v>0</v>
      </c>
      <c r="I18" s="58">
        <f>(H18*[1]Summary!$C$6)</f>
        <v>0</v>
      </c>
      <c r="J18" s="59"/>
      <c r="K18" s="60"/>
      <c r="L18" s="51"/>
      <c r="M18" s="42"/>
    </row>
    <row r="19" spans="1:13" x14ac:dyDescent="0.2">
      <c r="A19" s="5">
        <v>44424</v>
      </c>
      <c r="B19" s="65"/>
      <c r="C19" s="65"/>
      <c r="D19" s="65"/>
      <c r="E19" s="58"/>
      <c r="F19" s="47"/>
      <c r="G19" s="57"/>
      <c r="H19" s="49">
        <f t="shared" si="0"/>
        <v>0</v>
      </c>
      <c r="I19" s="58">
        <f>(H19*[1]Summary!$C$6)</f>
        <v>0</v>
      </c>
      <c r="J19" s="59"/>
      <c r="K19" s="60"/>
      <c r="L19" s="51"/>
      <c r="M19" s="42"/>
    </row>
    <row r="20" spans="1:13" x14ac:dyDescent="0.2">
      <c r="A20" s="5">
        <v>44425</v>
      </c>
      <c r="B20" s="65"/>
      <c r="C20" s="65"/>
      <c r="D20" s="65"/>
      <c r="E20" s="58"/>
      <c r="F20" s="47"/>
      <c r="G20" s="57"/>
      <c r="H20" s="49">
        <f t="shared" si="0"/>
        <v>0</v>
      </c>
      <c r="I20" s="58">
        <f>(H20*[1]Summary!$C$6)</f>
        <v>0</v>
      </c>
      <c r="J20" s="59"/>
      <c r="K20" s="60"/>
      <c r="L20" s="51"/>
      <c r="M20" s="42"/>
    </row>
    <row r="21" spans="1:13" x14ac:dyDescent="0.2">
      <c r="A21" s="5">
        <v>44426</v>
      </c>
      <c r="B21" s="65"/>
      <c r="C21" s="65"/>
      <c r="D21" s="65"/>
      <c r="E21" s="58"/>
      <c r="F21" s="49"/>
      <c r="G21" s="57"/>
      <c r="H21" s="49">
        <f>G21-F21</f>
        <v>0</v>
      </c>
      <c r="I21" s="58">
        <f>(H21*[1]Summary!$C$6)</f>
        <v>0</v>
      </c>
      <c r="J21" s="66"/>
      <c r="K21" s="59"/>
      <c r="L21" s="51"/>
      <c r="M21" s="42"/>
    </row>
    <row r="22" spans="1:13" x14ac:dyDescent="0.2">
      <c r="A22" s="5">
        <v>44427</v>
      </c>
      <c r="B22" s="65"/>
      <c r="C22" s="65"/>
      <c r="D22" s="65"/>
      <c r="E22" s="58"/>
      <c r="F22" s="49"/>
      <c r="G22" s="57"/>
      <c r="H22" s="49">
        <f t="shared" si="0"/>
        <v>0</v>
      </c>
      <c r="I22" s="58">
        <f>(H22*[1]Summary!$C$6)</f>
        <v>0</v>
      </c>
      <c r="J22" s="59"/>
      <c r="K22" s="60"/>
      <c r="L22" s="67"/>
      <c r="M22" s="42"/>
    </row>
    <row r="23" spans="1:13" x14ac:dyDescent="0.2">
      <c r="A23" s="5">
        <v>44428</v>
      </c>
      <c r="B23" s="65"/>
      <c r="C23" s="65"/>
      <c r="D23" s="65"/>
      <c r="E23" s="58"/>
      <c r="F23" s="49"/>
      <c r="G23" s="57"/>
      <c r="H23" s="49">
        <f t="shared" si="0"/>
        <v>0</v>
      </c>
      <c r="I23" s="58">
        <f>(H23*[1]Summary!$C$6)</f>
        <v>0</v>
      </c>
      <c r="J23" s="59"/>
      <c r="K23" s="60"/>
      <c r="L23" s="51"/>
      <c r="M23" s="42"/>
    </row>
    <row r="24" spans="1:13" x14ac:dyDescent="0.2">
      <c r="A24" s="5">
        <v>44429</v>
      </c>
      <c r="B24" s="65"/>
      <c r="C24" s="65"/>
      <c r="D24" s="65"/>
      <c r="E24" s="58"/>
      <c r="F24" s="49"/>
      <c r="G24" s="57"/>
      <c r="H24" s="49">
        <f t="shared" si="0"/>
        <v>0</v>
      </c>
      <c r="I24" s="58">
        <f>(H24*[1]Summary!$C$6)</f>
        <v>0</v>
      </c>
      <c r="J24" s="59"/>
      <c r="K24" s="60"/>
      <c r="L24" s="51"/>
      <c r="M24" s="42"/>
    </row>
    <row r="25" spans="1:13" x14ac:dyDescent="0.2">
      <c r="A25" s="5">
        <v>44430</v>
      </c>
      <c r="B25" s="65"/>
      <c r="C25" s="65"/>
      <c r="D25" s="65"/>
      <c r="E25" s="58"/>
      <c r="F25" s="47"/>
      <c r="G25" s="57"/>
      <c r="H25" s="49">
        <f t="shared" si="0"/>
        <v>0</v>
      </c>
      <c r="I25" s="58">
        <f>(H25*[1]Summary!$C$6)</f>
        <v>0</v>
      </c>
      <c r="J25" s="59"/>
      <c r="K25" s="60"/>
      <c r="L25" s="51"/>
      <c r="M25" s="42"/>
    </row>
    <row r="26" spans="1:13" x14ac:dyDescent="0.2">
      <c r="A26" s="5">
        <v>44431</v>
      </c>
      <c r="B26" s="65"/>
      <c r="C26" s="65"/>
      <c r="D26" s="65"/>
      <c r="E26" s="58"/>
      <c r="F26" s="47"/>
      <c r="G26" s="57"/>
      <c r="H26" s="49">
        <f t="shared" si="0"/>
        <v>0</v>
      </c>
      <c r="I26" s="58">
        <f>(H26*[1]Summary!$C$6)</f>
        <v>0</v>
      </c>
      <c r="J26" s="59"/>
      <c r="K26" s="60"/>
      <c r="L26" s="51"/>
      <c r="M26" s="42"/>
    </row>
    <row r="27" spans="1:13" x14ac:dyDescent="0.2">
      <c r="A27" s="5">
        <v>44432</v>
      </c>
      <c r="B27" s="65"/>
      <c r="C27" s="65"/>
      <c r="D27" s="65"/>
      <c r="E27" s="58"/>
      <c r="F27" s="47"/>
      <c r="G27" s="57"/>
      <c r="H27" s="49">
        <f t="shared" si="0"/>
        <v>0</v>
      </c>
      <c r="I27" s="58">
        <f>(H27*[1]Summary!$C$6)</f>
        <v>0</v>
      </c>
      <c r="J27" s="59"/>
      <c r="K27" s="60"/>
      <c r="L27" s="51"/>
      <c r="M27" s="42"/>
    </row>
    <row r="28" spans="1:13" x14ac:dyDescent="0.2">
      <c r="A28" s="5">
        <v>44433</v>
      </c>
      <c r="B28" s="65"/>
      <c r="C28" s="65"/>
      <c r="D28" s="65"/>
      <c r="E28" s="58"/>
      <c r="F28" s="47"/>
      <c r="G28" s="57"/>
      <c r="H28" s="49">
        <f t="shared" si="0"/>
        <v>0</v>
      </c>
      <c r="I28" s="58">
        <f>(H28*[1]Summary!$C$6)</f>
        <v>0</v>
      </c>
      <c r="J28" s="59"/>
      <c r="K28" s="60"/>
      <c r="L28" s="51"/>
      <c r="M28" s="42"/>
    </row>
    <row r="29" spans="1:13" x14ac:dyDescent="0.2">
      <c r="A29" s="5">
        <v>44434</v>
      </c>
      <c r="B29" s="65"/>
      <c r="C29" s="65"/>
      <c r="D29" s="65"/>
      <c r="E29" s="58"/>
      <c r="F29" s="47"/>
      <c r="G29" s="57"/>
      <c r="H29" s="49">
        <f t="shared" si="0"/>
        <v>0</v>
      </c>
      <c r="I29" s="58">
        <f>(H29*[1]Summary!$C$6)</f>
        <v>0</v>
      </c>
      <c r="J29" s="59"/>
      <c r="K29" s="60"/>
      <c r="L29" s="51"/>
      <c r="M29" s="42"/>
    </row>
    <row r="30" spans="1:13" x14ac:dyDescent="0.2">
      <c r="A30" s="5">
        <v>44435</v>
      </c>
      <c r="B30" s="45"/>
      <c r="C30" s="45"/>
      <c r="D30" s="45"/>
      <c r="E30" s="46"/>
      <c r="F30" s="47"/>
      <c r="G30" s="48"/>
      <c r="H30" s="49">
        <f t="shared" si="0"/>
        <v>0</v>
      </c>
      <c r="I30" s="58">
        <f>(H30*[1]Summary!$C$6)</f>
        <v>0</v>
      </c>
      <c r="J30" s="59"/>
      <c r="K30" s="60"/>
      <c r="L30" s="51"/>
      <c r="M30" s="42"/>
    </row>
    <row r="31" spans="1:13" x14ac:dyDescent="0.2">
      <c r="A31" s="5">
        <v>44436</v>
      </c>
      <c r="B31" s="45"/>
      <c r="C31" s="45"/>
      <c r="D31" s="45"/>
      <c r="E31" s="46"/>
      <c r="F31" s="47"/>
      <c r="G31" s="48"/>
      <c r="H31" s="49">
        <f t="shared" si="0"/>
        <v>0</v>
      </c>
      <c r="I31" s="58">
        <f>(H31*[1]Summary!$C$6)</f>
        <v>0</v>
      </c>
      <c r="J31" s="59"/>
      <c r="K31" s="60"/>
      <c r="L31" s="51"/>
      <c r="M31" s="42"/>
    </row>
    <row r="32" spans="1:13" x14ac:dyDescent="0.2">
      <c r="A32" s="5">
        <v>44437</v>
      </c>
      <c r="B32" s="45"/>
      <c r="C32" s="45"/>
      <c r="D32" s="45"/>
      <c r="E32" s="46"/>
      <c r="F32" s="47"/>
      <c r="G32" s="48"/>
      <c r="H32" s="49">
        <f t="shared" si="0"/>
        <v>0</v>
      </c>
      <c r="I32" s="58">
        <f>(H32*[1]Summary!$C$6)</f>
        <v>0</v>
      </c>
      <c r="J32" s="59"/>
      <c r="K32" s="60"/>
      <c r="L32" s="51"/>
      <c r="M32" s="42"/>
    </row>
    <row r="33" spans="1:13" x14ac:dyDescent="0.2">
      <c r="A33" s="5">
        <v>44438</v>
      </c>
      <c r="B33" s="45"/>
      <c r="C33" s="45"/>
      <c r="D33" s="45"/>
      <c r="E33" s="46"/>
      <c r="F33" s="47"/>
      <c r="G33" s="48"/>
      <c r="H33" s="49">
        <f t="shared" si="0"/>
        <v>0</v>
      </c>
      <c r="I33" s="46">
        <f>(H33*[1]Summary!$C$6)</f>
        <v>0</v>
      </c>
      <c r="J33" s="56"/>
      <c r="K33" s="50"/>
      <c r="L33" s="51"/>
      <c r="M33" s="42"/>
    </row>
    <row r="34" spans="1:13" x14ac:dyDescent="0.2">
      <c r="A34" s="5">
        <v>44439</v>
      </c>
      <c r="B34" s="45"/>
      <c r="C34" s="45"/>
      <c r="D34" s="45"/>
      <c r="E34" s="46"/>
      <c r="F34" s="54"/>
      <c r="G34" s="55"/>
      <c r="H34" s="53">
        <f t="shared" si="0"/>
        <v>0</v>
      </c>
      <c r="I34" s="18"/>
      <c r="J34" s="50"/>
      <c r="K34" s="50"/>
      <c r="L34" s="51"/>
      <c r="M34" s="42"/>
    </row>
    <row r="35" spans="1:13" x14ac:dyDescent="0.2">
      <c r="A35" s="44"/>
      <c r="B35" s="52"/>
      <c r="C35" s="52"/>
      <c r="D35" s="52"/>
      <c r="E35" s="18"/>
      <c r="F35" s="68"/>
      <c r="G35" s="55"/>
      <c r="H35" s="69"/>
      <c r="I35" s="18"/>
      <c r="J35" s="70"/>
      <c r="K35" s="70"/>
      <c r="L35" s="51"/>
      <c r="M35" s="42"/>
    </row>
    <row r="36" spans="1:13" x14ac:dyDescent="0.2">
      <c r="A36" s="101" t="s">
        <v>30</v>
      </c>
      <c r="B36" s="102"/>
      <c r="C36" s="52"/>
      <c r="D36" s="52"/>
      <c r="E36" s="18"/>
      <c r="F36" s="71"/>
      <c r="G36" s="72"/>
      <c r="H36" s="37">
        <f>SUM(H4:H34)</f>
        <v>0</v>
      </c>
      <c r="I36" s="73">
        <f>SUM(I4:I34)</f>
        <v>0</v>
      </c>
      <c r="J36" s="51"/>
      <c r="K36" s="41"/>
      <c r="L36" s="74"/>
      <c r="M36" s="42"/>
    </row>
    <row r="37" spans="1:13" x14ac:dyDescent="0.2">
      <c r="A37" s="75">
        <f>COUNT(A4:A34)</f>
        <v>31</v>
      </c>
      <c r="D37" s="33"/>
    </row>
    <row r="38" spans="1:13" x14ac:dyDescent="0.2">
      <c r="F38" s="77"/>
      <c r="G38" s="78"/>
      <c r="H38" s="78"/>
    </row>
    <row r="39" spans="1:13" ht="15.75" x14ac:dyDescent="0.25">
      <c r="A39" s="79" t="s">
        <v>55</v>
      </c>
    </row>
  </sheetData>
  <mergeCells count="1">
    <mergeCell ref="A36:B36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Mac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J. El Khoury</cp:lastModifiedBy>
  <cp:revision/>
  <dcterms:created xsi:type="dcterms:W3CDTF">2010-04-20T02:02:44Z</dcterms:created>
  <dcterms:modified xsi:type="dcterms:W3CDTF">2021-09-13T09:28:54Z</dcterms:modified>
  <cp:category/>
  <cp:contentStatus/>
</cp:coreProperties>
</file>