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45" windowHeight="12225" tabRatio="580" firstSheet="2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C19" i="77"/>
  <c r="C18"/>
  <c r="C17"/>
  <c r="C16"/>
  <c r="C15"/>
  <c r="C14"/>
  <c r="I9" l="1"/>
  <c r="I7"/>
  <c r="H7"/>
  <c r="H8" l="1"/>
  <c r="I8" s="1"/>
  <c r="H10" l="1"/>
  <c r="I10" s="1"/>
  <c r="G37" i="74" l="1"/>
  <c r="F37"/>
  <c r="H37" s="1"/>
  <c r="G36"/>
  <c r="F36"/>
  <c r="G35"/>
  <c r="F35"/>
  <c r="G34"/>
  <c r="F34"/>
  <c r="G33"/>
  <c r="F33"/>
  <c r="H33" s="1"/>
  <c r="G32"/>
  <c r="F32"/>
  <c r="G31"/>
  <c r="F31"/>
  <c r="G30"/>
  <c r="F30"/>
  <c r="G29"/>
  <c r="F29"/>
  <c r="H29" s="1"/>
  <c r="G28"/>
  <c r="F28"/>
  <c r="G27"/>
  <c r="F27"/>
  <c r="G26"/>
  <c r="F26"/>
  <c r="G25"/>
  <c r="F25"/>
  <c r="H25" s="1"/>
  <c r="G24"/>
  <c r="F24"/>
  <c r="G23"/>
  <c r="F23"/>
  <c r="G22"/>
  <c r="F22"/>
  <c r="G21"/>
  <c r="F21"/>
  <c r="H21" s="1"/>
  <c r="G20"/>
  <c r="F20"/>
  <c r="G19"/>
  <c r="F19"/>
  <c r="G18"/>
  <c r="F18"/>
  <c r="G17"/>
  <c r="F17"/>
  <c r="H17" s="1"/>
  <c r="G16"/>
  <c r="F16"/>
  <c r="G15"/>
  <c r="F15"/>
  <c r="G14"/>
  <c r="F14"/>
  <c r="G13"/>
  <c r="F13"/>
  <c r="H13" s="1"/>
  <c r="G12"/>
  <c r="F12"/>
  <c r="G1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H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H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H28"/>
  <c r="E28"/>
  <c r="X27"/>
  <c r="T27"/>
  <c r="P27"/>
  <c r="M27"/>
  <c r="L27"/>
  <c r="I27"/>
  <c r="H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H24"/>
  <c r="E24"/>
  <c r="X23"/>
  <c r="T23"/>
  <c r="P23"/>
  <c r="M23"/>
  <c r="L23"/>
  <c r="I23"/>
  <c r="H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H20"/>
  <c r="E20"/>
  <c r="X19"/>
  <c r="T19"/>
  <c r="P19"/>
  <c r="M19"/>
  <c r="L19"/>
  <c r="I19"/>
  <c r="H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H16"/>
  <c r="E16"/>
  <c r="X15"/>
  <c r="T15"/>
  <c r="P15"/>
  <c r="M15"/>
  <c r="L15"/>
  <c r="I15"/>
  <c r="H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H12"/>
  <c r="E12"/>
  <c r="X11"/>
  <c r="T11"/>
  <c r="P11"/>
  <c r="M11"/>
  <c r="L11"/>
  <c r="I11"/>
  <c r="H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S3"/>
  <c r="Q3"/>
  <c r="N3"/>
  <c r="M3"/>
  <c r="L3"/>
  <c r="K3"/>
  <c r="J4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I3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G3"/>
  <c r="E3"/>
  <c r="D3"/>
  <c r="C3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D4" i="3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S2"/>
  <c r="R2"/>
  <c r="R3" s="1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7" i="5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BA5"/>
  <c r="AX5"/>
  <c r="AX7" s="1"/>
  <c r="AX8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W5"/>
  <c r="AV5"/>
  <c r="AT5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R5"/>
  <c r="AQ5"/>
  <c r="AP5"/>
  <c r="AO5"/>
  <c r="AN5"/>
  <c r="AM5"/>
  <c r="AK5"/>
  <c r="AJ5"/>
  <c r="AD5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Y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U5"/>
  <c r="T5"/>
  <c r="S5"/>
  <c r="R5"/>
  <c r="L5"/>
  <c r="H5"/>
  <c r="G5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F5"/>
  <c r="X6" i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W4"/>
  <c r="AV4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D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B4"/>
  <c r="AA4"/>
  <c r="Z4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Y4"/>
  <c r="X4"/>
  <c r="W4"/>
  <c r="V4"/>
  <c r="U4"/>
  <c r="T4"/>
  <c r="S4"/>
  <c r="R4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O4"/>
  <c r="N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L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J4"/>
  <c r="I4"/>
  <c r="H4"/>
  <c r="G4"/>
  <c r="F4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E4"/>
  <c r="D4"/>
  <c r="C4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B4"/>
  <c r="W3" i="2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L4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AG2"/>
  <c r="AF2"/>
  <c r="AE2"/>
  <c r="AD2"/>
  <c r="AC2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B2"/>
  <c r="AA2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X2"/>
  <c r="W2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R2"/>
  <c r="Q2"/>
  <c r="P2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O2"/>
  <c r="N2"/>
  <c r="M2"/>
  <c r="L2"/>
  <c r="K2"/>
  <c r="J2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I2"/>
  <c r="H2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G2"/>
  <c r="F2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E2"/>
  <c r="D2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C2"/>
  <c r="D24" i="73"/>
  <c r="AP24" i="5"/>
  <c r="AN24"/>
  <c r="AM24"/>
  <c r="K24"/>
  <c r="AJ23" i="1"/>
  <c r="A23"/>
  <c r="H10" i="74" l="1"/>
  <c r="H8" i="79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3"/>
  <c r="H24" s="1"/>
  <c r="H25" s="1"/>
  <c r="H26" s="1"/>
  <c r="H27" s="1"/>
  <c r="H28" s="1"/>
  <c r="H29" s="1"/>
  <c r="H30" s="1"/>
  <c r="H31" s="1"/>
  <c r="G22"/>
  <c r="F23"/>
  <c r="F24" s="1"/>
  <c r="F25" s="1"/>
  <c r="F26" s="1"/>
  <c r="F27" s="1"/>
  <c r="F28" s="1"/>
  <c r="F29" s="1"/>
  <c r="F30" s="1"/>
  <c r="F31" s="1"/>
  <c r="C22"/>
  <c r="B23"/>
  <c r="B24" s="1"/>
  <c r="B25" s="1"/>
  <c r="B26" s="1"/>
  <c r="B27" s="1"/>
  <c r="B28" s="1"/>
  <c r="B29" s="1"/>
  <c r="B30" s="1"/>
  <c r="B31" s="1"/>
  <c r="C21" i="3"/>
  <c r="B22"/>
  <c r="B23" s="1"/>
  <c r="B24" s="1"/>
  <c r="B25" s="1"/>
  <c r="B26" s="1"/>
  <c r="B27" s="1"/>
  <c r="B28" s="1"/>
  <c r="B29" s="1"/>
  <c r="B30" s="1"/>
  <c r="BA24" i="5"/>
  <c r="AX25"/>
  <c r="AX26" s="1"/>
  <c r="AX27" s="1"/>
  <c r="AX28" s="1"/>
  <c r="AX29" s="1"/>
  <c r="AX30" s="1"/>
  <c r="AX31" s="1"/>
  <c r="AX32" s="1"/>
  <c r="AX33" s="1"/>
  <c r="AA24"/>
  <c r="Z25"/>
  <c r="Z26" s="1"/>
  <c r="Z27" s="1"/>
  <c r="Z28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7" s="1"/>
  <c r="G28" s="1"/>
  <c r="G29" s="1"/>
  <c r="G30" s="1"/>
  <c r="G31" s="1"/>
  <c r="G32" s="1"/>
  <c r="G33" s="1"/>
  <c r="H24"/>
  <c r="N23" i="1"/>
  <c r="M24"/>
  <c r="M25" s="1"/>
  <c r="M26" s="1"/>
  <c r="M27" s="1"/>
  <c r="M28" s="1"/>
  <c r="M29" s="1"/>
  <c r="M30" s="1"/>
  <c r="M31" s="1"/>
  <c r="M32" s="1"/>
  <c r="L23"/>
  <c r="K24"/>
  <c r="K25" s="1"/>
  <c r="K26" s="1"/>
  <c r="K27" s="1"/>
  <c r="K28" s="1"/>
  <c r="K29" s="1"/>
  <c r="K30" s="1"/>
  <c r="K31" s="1"/>
  <c r="K32" s="1"/>
  <c r="I23"/>
  <c r="H24"/>
  <c r="H25" s="1"/>
  <c r="H26" s="1"/>
  <c r="H27" s="1"/>
  <c r="H28" s="1"/>
  <c r="H29" s="1"/>
  <c r="H30" s="1"/>
  <c r="H31" s="1"/>
  <c r="H32" s="1"/>
  <c r="G23"/>
  <c r="J23" s="1"/>
  <c r="F24"/>
  <c r="F25" s="1"/>
  <c r="F26" s="1"/>
  <c r="F27" s="1"/>
  <c r="F28" s="1"/>
  <c r="F29" s="1"/>
  <c r="F30" s="1"/>
  <c r="F31" s="1"/>
  <c r="F32" s="1"/>
  <c r="D23"/>
  <c r="E23" s="1"/>
  <c r="C23"/>
  <c r="C24" s="1"/>
  <c r="C25" s="1"/>
  <c r="C26" s="1"/>
  <c r="C27" s="1"/>
  <c r="C28" s="1"/>
  <c r="C29" s="1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2"/>
  <c r="P23" s="1"/>
  <c r="P24" s="1"/>
  <c r="P25" s="1"/>
  <c r="P26" s="1"/>
  <c r="P27" s="1"/>
  <c r="P28" s="1"/>
  <c r="P29" s="1"/>
  <c r="P30" s="1"/>
  <c r="M21"/>
  <c r="L22"/>
  <c r="L23" s="1"/>
  <c r="L24" s="1"/>
  <c r="L25" s="1"/>
  <c r="L26" s="1"/>
  <c r="L27" s="1"/>
  <c r="L28" s="1"/>
  <c r="L29" s="1"/>
  <c r="L30" s="1"/>
  <c r="J22"/>
  <c r="J23" s="1"/>
  <c r="J24" s="1"/>
  <c r="J25" s="1"/>
  <c r="J26" s="1"/>
  <c r="J27" s="1"/>
  <c r="J28" s="1"/>
  <c r="J29" s="1"/>
  <c r="J30" s="1"/>
  <c r="K21"/>
  <c r="H22"/>
  <c r="H23" s="1"/>
  <c r="H24" s="1"/>
  <c r="H25" s="1"/>
  <c r="H26" s="1"/>
  <c r="H27" s="1"/>
  <c r="H28" s="1"/>
  <c r="H29" s="1"/>
  <c r="H30" s="1"/>
  <c r="I21"/>
  <c r="F22"/>
  <c r="F23" s="1"/>
  <c r="F24" s="1"/>
  <c r="F25" s="1"/>
  <c r="F26" s="1"/>
  <c r="F27" s="1"/>
  <c r="F28" s="1"/>
  <c r="F29" s="1"/>
  <c r="F30" s="1"/>
  <c r="G21"/>
  <c r="D22"/>
  <c r="D23" s="1"/>
  <c r="D24" s="1"/>
  <c r="D25" s="1"/>
  <c r="D26" s="1"/>
  <c r="D27" s="1"/>
  <c r="D28" s="1"/>
  <c r="D29" s="1"/>
  <c r="D30" s="1"/>
  <c r="E21"/>
  <c r="N21" l="1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D18" i="77"/>
  <c r="D17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M32" i="76"/>
  <c r="N32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L32" i="76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E22" i="3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O7" i="79"/>
  <c r="AS29" i="1"/>
  <c r="E26" i="2"/>
  <c r="M31" i="76" l="1"/>
  <c r="D31"/>
  <c r="E31" s="1"/>
  <c r="L3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O32" i="76" l="1"/>
  <c r="G34" i="65" l="1"/>
  <c r="I31" i="63" l="1"/>
  <c r="I12" i="77" l="1"/>
  <c r="H12"/>
  <c r="L2" i="3" l="1"/>
  <c r="L3" s="1"/>
  <c r="B5" i="5" l="1"/>
  <c r="B6" s="1"/>
  <c r="AG5"/>
  <c r="AG6" s="1"/>
  <c r="V5"/>
  <c r="M5"/>
  <c r="M6" s="1"/>
  <c r="L4" i="3"/>
  <c r="M3"/>
  <c r="AA3" s="1"/>
  <c r="AC3" s="1"/>
  <c r="AH3" s="1"/>
  <c r="AE5" i="5"/>
  <c r="AE6" s="1"/>
  <c r="O5"/>
  <c r="O6" s="1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W6"/>
  <c r="AL6" s="1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V8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AI10" s="1"/>
  <c r="Q9"/>
  <c r="M5" i="81" s="1"/>
  <c r="K4"/>
  <c r="J8" i="5"/>
  <c r="L4" i="81" s="1"/>
  <c r="AI9" i="5"/>
  <c r="O12" l="1"/>
  <c r="P11"/>
  <c r="Q11" s="1"/>
  <c r="M7" i="81" s="1"/>
  <c r="B12" i="5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L11" i="3" l="1"/>
  <c r="M10"/>
  <c r="AA10" s="1"/>
  <c r="AC10" s="1"/>
  <c r="AH10" s="1"/>
  <c r="AG13" i="5"/>
  <c r="AH12"/>
  <c r="O13"/>
  <c r="P12"/>
  <c r="Q12" s="1"/>
  <c r="M8" i="81" s="1"/>
  <c r="AE13" i="5"/>
  <c r="AF12"/>
  <c r="AI12" s="1"/>
  <c r="B13"/>
  <c r="C12"/>
  <c r="M13"/>
  <c r="N12"/>
  <c r="E11"/>
  <c r="D11"/>
  <c r="I11"/>
  <c r="G8" i="63"/>
  <c r="V13" i="5"/>
  <c r="W12"/>
  <c r="AL12" s="1"/>
  <c r="K6" i="81"/>
  <c r="J10" i="5"/>
  <c r="L6" i="81" s="1"/>
  <c r="AE14" i="5" l="1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s="1"/>
  <c r="M9" i="81" s="1"/>
  <c r="AG15" i="5" l="1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Q15" s="1"/>
  <c r="M11" i="81" s="1"/>
  <c r="K9"/>
  <c r="J13" i="5"/>
  <c r="L9" i="81" s="1"/>
  <c r="E14" i="5"/>
  <c r="I14"/>
  <c r="D14"/>
  <c r="G11" i="63"/>
  <c r="M16" i="5"/>
  <c r="N15"/>
  <c r="V16"/>
  <c r="W15"/>
  <c r="AL15" s="1"/>
  <c r="Q14"/>
  <c r="M10" i="81" s="1"/>
  <c r="AE17" i="5" l="1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Q18" s="1"/>
  <c r="M14" i="81" s="1"/>
  <c r="AE19" i="5"/>
  <c r="AF18"/>
  <c r="K12" i="81"/>
  <c r="J16" i="5"/>
  <c r="L12" i="81" s="1"/>
  <c r="B19" i="5"/>
  <c r="C18"/>
  <c r="E17"/>
  <c r="D17"/>
  <c r="G14" i="63"/>
  <c r="I17" i="5"/>
  <c r="Q17"/>
  <c r="M13" i="81" s="1"/>
  <c r="O20" i="5" l="1"/>
  <c r="P19"/>
  <c r="Q19" s="1"/>
  <c r="M15" i="81" s="1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AG21" l="1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Q21" s="1"/>
  <c r="M17" i="81" s="1"/>
  <c r="E20" i="5"/>
  <c r="D20"/>
  <c r="G17" i="63"/>
  <c r="I20" i="5"/>
  <c r="M22"/>
  <c r="N21"/>
  <c r="K15" i="81"/>
  <c r="J19" i="5"/>
  <c r="L15" i="81" s="1"/>
  <c r="AE22" i="5"/>
  <c r="AF21"/>
  <c r="O23" l="1"/>
  <c r="P22"/>
  <c r="Q22" s="1"/>
  <c r="M18" i="81" s="1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O24" l="1"/>
  <c r="P23"/>
  <c r="AE24"/>
  <c r="AF23"/>
  <c r="AI23" s="1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V25" l="1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Q25" s="1"/>
  <c r="M21" i="81" s="1"/>
  <c r="E24" i="5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J24" l="1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K5"/>
  <c r="V28" l="1"/>
  <c r="W27"/>
  <c r="AL27" s="1"/>
  <c r="AI26"/>
  <c r="O28"/>
  <c r="P27"/>
  <c r="Q27" s="1"/>
  <c r="M23" i="81" s="1"/>
  <c r="AE28" i="5"/>
  <c r="AF27"/>
  <c r="AI27" s="1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E27" i="5" l="1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Q29" s="1"/>
  <c r="M25" i="81" s="1"/>
  <c r="V30" i="5"/>
  <c r="W29"/>
  <c r="AL29" s="1"/>
  <c r="M30"/>
  <c r="N29"/>
  <c r="Q28"/>
  <c r="M24" i="81" s="1"/>
  <c r="AG31" i="5" l="1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Q32" s="1"/>
  <c r="M28" i="81" s="1"/>
  <c r="AG33" i="5"/>
  <c r="AH33" s="1"/>
  <c r="AH32"/>
  <c r="Q31"/>
  <c r="M27" i="81" s="1"/>
  <c r="AE33" i="5"/>
  <c r="AF33" s="1"/>
  <c r="AF32"/>
  <c r="M33"/>
  <c r="N33" s="1"/>
  <c r="N32"/>
  <c r="E31"/>
  <c r="G28" i="63"/>
  <c r="I31" i="5"/>
  <c r="D31"/>
  <c r="E33" l="1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K36" s="1"/>
  <c r="AJ36"/>
  <c r="AM36" s="1"/>
  <c r="I35"/>
  <c r="G36"/>
  <c r="F6" i="77" l="1"/>
  <c r="E12"/>
  <c r="V11" i="76" l="1"/>
  <c r="V10"/>
  <c r="N2" i="3" l="1"/>
  <c r="AB2" l="1"/>
  <c r="AH5" i="5" l="1"/>
  <c r="AF5"/>
  <c r="AI5" l="1"/>
  <c r="C5" l="1"/>
  <c r="G2" i="63" s="1"/>
  <c r="AU5" i="5" l="1"/>
  <c r="AU6" s="1"/>
  <c r="E5"/>
  <c r="D5"/>
  <c r="BD5"/>
  <c r="I5"/>
  <c r="BC5" l="1"/>
  <c r="AZ5"/>
  <c r="AZ6"/>
  <c r="AU7"/>
  <c r="AZ7" s="1"/>
  <c r="BC6" l="1"/>
  <c r="BC7"/>
  <c r="BC8"/>
  <c r="J5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AL5" i="5" l="1"/>
  <c r="W5"/>
  <c r="Y2" i="3" l="1"/>
  <c r="X2"/>
  <c r="X3" s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N5" i="5" l="1"/>
  <c r="P5"/>
  <c r="Q5" l="1"/>
  <c r="Q34" s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P31" s="1"/>
  <c r="R31" s="1"/>
  <c r="T31" s="1"/>
  <c r="F29" i="81" s="1"/>
  <c r="O11" i="76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O3" l="1"/>
  <c r="AB14"/>
  <c r="AB32"/>
  <c r="AA37"/>
  <c r="AB33"/>
  <c r="AB35" s="1"/>
  <c r="Z36" s="1"/>
  <c r="Z38" s="1"/>
  <c r="Z40" s="1"/>
  <c r="D10" i="77"/>
  <c r="E10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5" i="5"/>
  <c r="AS6" s="1"/>
  <c r="J2" i="81" l="1"/>
  <c r="AX6" i="1"/>
  <c r="AY6" i="5"/>
  <c r="AS7"/>
  <c r="AX7" i="1" l="1"/>
  <c r="J3" i="81"/>
  <c r="AS8" i="5"/>
  <c r="AY7"/>
  <c r="BB7" s="1"/>
  <c r="BE7" s="1"/>
  <c r="AY5"/>
  <c r="BB6" s="1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B5" i="5"/>
  <c r="BE5" l="1"/>
  <c r="BF8"/>
  <c r="BG8" s="1"/>
  <c r="G8" i="65" s="1"/>
  <c r="I4" i="63"/>
  <c r="AS10" i="5"/>
  <c r="AY9"/>
  <c r="BB9" s="1"/>
  <c r="BE9" s="1"/>
  <c r="AX9" i="1"/>
  <c r="J5" i="81"/>
  <c r="BF5" i="5" l="1"/>
  <c r="AY10"/>
  <c r="BB10" s="1"/>
  <c r="BE10" s="1"/>
  <c r="AS11"/>
  <c r="BF9"/>
  <c r="BG9" s="1"/>
  <c r="G9" i="65" s="1"/>
  <c r="I5" i="63"/>
  <c r="J6" i="81"/>
  <c r="AX10" i="1"/>
  <c r="BG5" i="5" l="1"/>
  <c r="G5" i="65" s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BB33" s="1"/>
  <c r="BE33" s="1"/>
  <c r="AY32"/>
  <c r="BB32" s="1"/>
  <c r="BE32" s="1"/>
  <c r="J28" i="81"/>
  <c r="AX32" i="1"/>
  <c r="J29" i="81" s="1"/>
  <c r="I29" i="63" l="1"/>
  <c r="BF33" i="5"/>
  <c r="BG33" s="1"/>
  <c r="G33" i="65" s="1"/>
  <c r="I28" i="63"/>
  <c r="BF32" i="5"/>
  <c r="BG32" s="1"/>
  <c r="G32" i="65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<sst xmlns="http://schemas.openxmlformats.org/spreadsheetml/2006/main" count="645" uniqueCount="417">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</sst>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7716736"/>
        <c:axId val="127718528"/>
      </c:lineChart>
      <c:catAx>
        <c:axId val="12771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18528"/>
        <c:crosses val="autoZero"/>
        <c:auto val="1"/>
        <c:lblAlgn val="ctr"/>
        <c:lblOffset val="100"/>
      </c:catAx>
      <c:valAx>
        <c:axId val="127718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1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5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4925056"/>
        <c:axId val="144926592"/>
      </c:lineChart>
      <c:catAx>
        <c:axId val="14492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26592"/>
        <c:crosses val="autoZero"/>
        <c:auto val="1"/>
        <c:lblAlgn val="ctr"/>
        <c:lblOffset val="100"/>
      </c:catAx>
      <c:valAx>
        <c:axId val="14492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2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03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452352"/>
        <c:axId val="132453888"/>
      </c:lineChart>
      <c:catAx>
        <c:axId val="13245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53888"/>
        <c:crosses val="autoZero"/>
        <c:auto val="1"/>
        <c:lblAlgn val="ctr"/>
        <c:lblOffset val="100"/>
      </c:catAx>
      <c:valAx>
        <c:axId val="1324538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5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8602"/>
          <c:y val="0.62975887529635965"/>
          <c:w val="7.9124755870162669E-2"/>
          <c:h val="4.49826989619495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490368"/>
        <c:axId val="132491904"/>
      </c:lineChart>
      <c:catAx>
        <c:axId val="13249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91904"/>
        <c:crosses val="autoZero"/>
        <c:auto val="1"/>
        <c:lblAlgn val="ctr"/>
        <c:lblOffset val="100"/>
      </c:catAx>
      <c:valAx>
        <c:axId val="132491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9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87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512000"/>
        <c:axId val="132517888"/>
      </c:lineChart>
      <c:catAx>
        <c:axId val="13251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17888"/>
        <c:crosses val="autoZero"/>
        <c:auto val="1"/>
        <c:lblAlgn val="ctr"/>
        <c:lblOffset val="100"/>
      </c:catAx>
      <c:valAx>
        <c:axId val="132517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1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19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688576"/>
        <c:axId val="135690112"/>
      </c:lineChart>
      <c:catAx>
        <c:axId val="13568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90112"/>
        <c:crosses val="autoZero"/>
        <c:auto val="1"/>
        <c:lblAlgn val="ctr"/>
        <c:lblOffset val="100"/>
      </c:catAx>
      <c:valAx>
        <c:axId val="13569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8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722496"/>
        <c:axId val="135724032"/>
      </c:lineChart>
      <c:catAx>
        <c:axId val="13572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24032"/>
        <c:crosses val="autoZero"/>
        <c:auto val="1"/>
        <c:lblAlgn val="ctr"/>
        <c:lblOffset val="100"/>
      </c:catAx>
      <c:valAx>
        <c:axId val="13572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2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836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735936"/>
        <c:axId val="135737728"/>
      </c:lineChart>
      <c:catAx>
        <c:axId val="13573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37728"/>
        <c:crosses val="autoZero"/>
        <c:auto val="1"/>
        <c:lblAlgn val="ctr"/>
        <c:lblOffset val="100"/>
      </c:catAx>
      <c:valAx>
        <c:axId val="135737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3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761920"/>
        <c:axId val="135763456"/>
      </c:lineChart>
      <c:catAx>
        <c:axId val="13576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3456"/>
        <c:crosses val="autoZero"/>
        <c:auto val="1"/>
        <c:lblAlgn val="ctr"/>
        <c:lblOffset val="100"/>
      </c:catAx>
      <c:valAx>
        <c:axId val="135763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583"/>
          <c:w val="0.1272403315177368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795840"/>
        <c:axId val="135797376"/>
      </c:lineChart>
      <c:catAx>
        <c:axId val="13579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97376"/>
        <c:crosses val="autoZero"/>
        <c:auto val="1"/>
        <c:lblAlgn val="ctr"/>
        <c:lblOffset val="100"/>
      </c:catAx>
      <c:valAx>
        <c:axId val="13579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9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8295552"/>
        <c:axId val="142434304"/>
      </c:lineChart>
      <c:catAx>
        <c:axId val="13829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34304"/>
        <c:crosses val="autoZero"/>
        <c:auto val="1"/>
        <c:lblAlgn val="ctr"/>
        <c:lblOffset val="100"/>
      </c:catAx>
      <c:valAx>
        <c:axId val="142434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9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583"/>
          <c:w val="0.135416885389354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2445952"/>
        <c:axId val="142451840"/>
      </c:lineChart>
      <c:catAx>
        <c:axId val="14244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51840"/>
        <c:crosses val="autoZero"/>
        <c:auto val="1"/>
        <c:lblAlgn val="ctr"/>
        <c:lblOffset val="100"/>
      </c:catAx>
      <c:valAx>
        <c:axId val="142451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4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58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2468224"/>
        <c:axId val="142469760"/>
      </c:lineChart>
      <c:catAx>
        <c:axId val="14246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69760"/>
        <c:crosses val="autoZero"/>
        <c:auto val="1"/>
        <c:lblAlgn val="ctr"/>
        <c:lblOffset val="100"/>
      </c:catAx>
      <c:valAx>
        <c:axId val="142469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6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4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3685888"/>
        <c:axId val="143691776"/>
      </c:lineChart>
      <c:catAx>
        <c:axId val="14368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91776"/>
        <c:crosses val="autoZero"/>
        <c:auto val="1"/>
        <c:lblAlgn val="ctr"/>
        <c:lblOffset val="100"/>
      </c:catAx>
      <c:valAx>
        <c:axId val="14369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8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583"/>
          <c:w val="0.135416885389354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104256"/>
        <c:axId val="145159296"/>
      </c:lineChart>
      <c:catAx>
        <c:axId val="14510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59296"/>
        <c:crosses val="autoZero"/>
        <c:auto val="1"/>
        <c:lblAlgn val="ctr"/>
        <c:lblOffset val="100"/>
      </c:catAx>
      <c:valAx>
        <c:axId val="1451592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0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7369"/>
          <c:y val="0.54325368498487869"/>
          <c:w val="0.11458355205599259"/>
          <c:h val="4.4982698961949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-3610.1290322580899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306368"/>
        <c:axId val="145307904"/>
      </c:lineChart>
      <c:catAx>
        <c:axId val="14530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07904"/>
        <c:crosses val="autoZero"/>
        <c:auto val="1"/>
        <c:lblAlgn val="ctr"/>
        <c:lblOffset val="100"/>
      </c:catAx>
      <c:valAx>
        <c:axId val="145307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0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94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340672"/>
        <c:axId val="145428480"/>
      </c:lineChart>
      <c:catAx>
        <c:axId val="14534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28480"/>
        <c:crosses val="autoZero"/>
        <c:auto val="1"/>
        <c:lblAlgn val="ctr"/>
        <c:lblOffset val="100"/>
      </c:catAx>
      <c:valAx>
        <c:axId val="145428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4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498"/>
          <c:h val="4.49826989619494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456512"/>
        <c:axId val="146683008"/>
      </c:lineChart>
      <c:catAx>
        <c:axId val="14545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83008"/>
        <c:crosses val="autoZero"/>
        <c:auto val="1"/>
        <c:lblAlgn val="ctr"/>
        <c:lblOffset val="100"/>
      </c:catAx>
      <c:valAx>
        <c:axId val="1466830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5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4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24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711296"/>
        <c:axId val="146712832"/>
      </c:lineChart>
      <c:catAx>
        <c:axId val="14671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12832"/>
        <c:crosses val="autoZero"/>
        <c:auto val="1"/>
        <c:lblAlgn val="ctr"/>
        <c:lblOffset val="100"/>
      </c:catAx>
      <c:valAx>
        <c:axId val="146712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1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4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724736"/>
        <c:axId val="146726272"/>
      </c:lineChart>
      <c:catAx>
        <c:axId val="14672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26272"/>
        <c:crosses val="autoZero"/>
        <c:auto val="1"/>
        <c:lblAlgn val="ctr"/>
        <c:lblOffset val="100"/>
      </c:catAx>
      <c:valAx>
        <c:axId val="146726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2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043"/>
          <c:y val="0.62975887529635965"/>
          <c:w val="0.13250539334757044"/>
          <c:h val="4.49826989619494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836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5347072"/>
        <c:axId val="185365248"/>
      </c:lineChart>
      <c:catAx>
        <c:axId val="18534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65248"/>
        <c:crosses val="autoZero"/>
        <c:auto val="1"/>
        <c:lblAlgn val="ctr"/>
        <c:lblOffset val="100"/>
      </c:catAx>
      <c:valAx>
        <c:axId val="185365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4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58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5479552"/>
        <c:axId val="185481088"/>
      </c:lineChart>
      <c:catAx>
        <c:axId val="18547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81088"/>
        <c:crosses val="autoZero"/>
        <c:auto val="1"/>
        <c:lblAlgn val="ctr"/>
        <c:lblOffset val="100"/>
      </c:catAx>
      <c:valAx>
        <c:axId val="18548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7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875"/>
          <c:w val="0.1234311819809299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217213184"/>
        <c:axId val="218177536"/>
      </c:lineChart>
      <c:catAx>
        <c:axId val="2172131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177536"/>
        <c:crosses val="autoZero"/>
        <c:auto val="1"/>
        <c:lblAlgn val="ctr"/>
        <c:lblOffset val="100"/>
      </c:catAx>
      <c:valAx>
        <c:axId val="2181775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721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294"/>
          <c:w val="0.1569039853282189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18196992"/>
        <c:axId val="218206976"/>
      </c:lineChart>
      <c:catAx>
        <c:axId val="21819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206976"/>
        <c:crosses val="autoZero"/>
        <c:auto val="1"/>
        <c:lblAlgn val="ctr"/>
        <c:lblOffset val="100"/>
      </c:catAx>
      <c:valAx>
        <c:axId val="218206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19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881"/>
          <c:h val="4.49826989619496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6063104"/>
        <c:axId val="226064640"/>
      </c:lineChart>
      <c:catAx>
        <c:axId val="22606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064640"/>
        <c:crosses val="autoZero"/>
        <c:auto val="1"/>
        <c:lblAlgn val="ctr"/>
        <c:lblOffset val="100"/>
      </c:catAx>
      <c:valAx>
        <c:axId val="22606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06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0337"/>
          <c:y val="0.62975887529635965"/>
          <c:w val="0.12164948453608219"/>
          <c:h val="4.49826989619496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80250240"/>
        <c:axId val="280251776"/>
      </c:lineChart>
      <c:catAx>
        <c:axId val="28025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80251776"/>
        <c:crosses val="autoZero"/>
        <c:auto val="1"/>
        <c:lblAlgn val="ctr"/>
        <c:lblOffset val="100"/>
      </c:catAx>
      <c:valAx>
        <c:axId val="2802517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8025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290024832"/>
        <c:axId val="290038912"/>
      </c:lineChart>
      <c:catAx>
        <c:axId val="29002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90038912"/>
        <c:crosses val="autoZero"/>
        <c:auto val="1"/>
        <c:lblAlgn val="ctr"/>
        <c:lblOffset val="100"/>
      </c:catAx>
      <c:valAx>
        <c:axId val="29003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9002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716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9143040"/>
        <c:axId val="139144576"/>
      </c:lineChart>
      <c:catAx>
        <c:axId val="1391430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44576"/>
        <c:crosses val="autoZero"/>
        <c:auto val="1"/>
        <c:lblAlgn val="ctr"/>
        <c:lblOffset val="100"/>
      </c:catAx>
      <c:valAx>
        <c:axId val="1391445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4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29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0.80864031754953924</v>
          </cell>
          <cell r="AR36">
            <v>75179.290322580666</v>
          </cell>
          <cell r="AS36">
            <v>-920.03225806448609</v>
          </cell>
          <cell r="AV36">
            <v>0.61</v>
          </cell>
          <cell r="AW36">
            <v>-279</v>
          </cell>
          <cell r="AX36">
            <v>-641.03225806448609</v>
          </cell>
          <cell r="AY36">
            <v>-920.03225806448609</v>
          </cell>
          <cell r="AZ36">
            <v>0</v>
          </cell>
          <cell r="BA36">
            <v>18</v>
          </cell>
          <cell r="BB36">
            <v>0.55000000000000004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6">
          <cell r="B6">
            <v>109443</v>
          </cell>
          <cell r="C6">
            <v>0</v>
          </cell>
          <cell r="D6">
            <v>0</v>
          </cell>
          <cell r="E6">
            <v>241.93548387096774</v>
          </cell>
          <cell r="G6">
            <v>614538</v>
          </cell>
          <cell r="H6">
            <v>249</v>
          </cell>
          <cell r="I6">
            <v>249</v>
          </cell>
          <cell r="J6">
            <v>0.97162844928099501</v>
          </cell>
          <cell r="K6">
            <v>6709</v>
          </cell>
          <cell r="L6">
            <v>0</v>
          </cell>
          <cell r="M6">
            <v>457.44</v>
          </cell>
          <cell r="N6">
            <v>0</v>
          </cell>
          <cell r="O6">
            <v>529.52</v>
          </cell>
          <cell r="P6">
            <v>0</v>
          </cell>
          <cell r="Q6">
            <v>0</v>
          </cell>
          <cell r="T6">
            <v>5163</v>
          </cell>
          <cell r="U6">
            <v>0</v>
          </cell>
          <cell r="V6">
            <v>459</v>
          </cell>
          <cell r="W6">
            <v>0</v>
          </cell>
          <cell r="X6">
            <v>149807</v>
          </cell>
          <cell r="Y6">
            <v>0</v>
          </cell>
          <cell r="Z6">
            <v>98092</v>
          </cell>
          <cell r="AA6">
            <v>22</v>
          </cell>
          <cell r="AB6">
            <v>265</v>
          </cell>
          <cell r="AC6">
            <v>731</v>
          </cell>
          <cell r="AD6">
            <v>0</v>
          </cell>
          <cell r="AE6">
            <v>227.8</v>
          </cell>
          <cell r="AF6">
            <v>0</v>
          </cell>
          <cell r="AG6">
            <v>2181.5700000000002</v>
          </cell>
          <cell r="AH6">
            <v>0</v>
          </cell>
          <cell r="AI6">
            <v>0</v>
          </cell>
          <cell r="AJ6">
            <v>22</v>
          </cell>
          <cell r="AK6">
            <v>0</v>
          </cell>
          <cell r="AL6">
            <v>22</v>
          </cell>
          <cell r="AM6">
            <v>17.5</v>
          </cell>
          <cell r="AN6">
            <v>0</v>
          </cell>
          <cell r="AP6">
            <v>0</v>
          </cell>
          <cell r="AR6">
            <v>44197</v>
          </cell>
          <cell r="AS6">
            <v>0.9</v>
          </cell>
          <cell r="AT6">
            <v>180</v>
          </cell>
          <cell r="AU6">
            <v>1.1000000000000001</v>
          </cell>
          <cell r="AV6">
            <v>130</v>
          </cell>
          <cell r="AW6">
            <v>2.9</v>
          </cell>
          <cell r="AX6">
            <v>144</v>
          </cell>
          <cell r="AY6">
            <v>162</v>
          </cell>
          <cell r="AZ6">
            <v>143</v>
          </cell>
          <cell r="BA6">
            <v>417.59999999999997</v>
          </cell>
          <cell r="BB6">
            <v>38.700000000000003</v>
          </cell>
          <cell r="BC6">
            <v>-3.3000000000000114</v>
          </cell>
          <cell r="BD6">
            <v>23.199999999999989</v>
          </cell>
          <cell r="BE6">
            <v>58.59999999999998</v>
          </cell>
          <cell r="BF6">
            <v>190.40000000000003</v>
          </cell>
          <cell r="BG6">
            <v>58.599999999999966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H33">
            <v>9617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X33">
            <v>12141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0</v>
          </cell>
        </row>
        <row r="15">
          <cell r="C15">
            <v>-155.6</v>
          </cell>
        </row>
        <row r="16">
          <cell r="C16">
            <v>14.785714285714286</v>
          </cell>
        </row>
        <row r="17">
          <cell r="C17">
            <v>0.58866785714285708</v>
          </cell>
        </row>
        <row r="18">
          <cell r="C18">
            <v>165</v>
          </cell>
        </row>
        <row r="19">
          <cell r="C19">
            <v>5.6896551724137927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 t="e">
        <f>SUM('EDl log'!T4)</f>
        <v>#DIV/0!</v>
      </c>
      <c r="G2" s="203">
        <f>-tanks!AW6</f>
        <v>467.60000000000582</v>
      </c>
      <c r="H2" s="330">
        <f>SUM(tanks!AV6)</f>
        <v>0.61</v>
      </c>
      <c r="I2" s="10">
        <f>('B5'!AU5)*0.51</f>
        <v>0</v>
      </c>
      <c r="J2" s="309">
        <f>'B5'!AX5/0.51</f>
        <v>1.5686274509803921</v>
      </c>
      <c r="K2" s="203">
        <f>WATER!I6</f>
        <v>836</v>
      </c>
      <c r="L2" s="331">
        <f>SUM(WATER!J6)</f>
        <v>0.32040328092959669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0</v>
      </c>
      <c r="F3" s="330">
        <f>SUM('EDl log'!T5)</f>
        <v>0</v>
      </c>
      <c r="G3" s="203">
        <f>-tanks!AW7</f>
        <v>0</v>
      </c>
      <c r="H3" s="330">
        <f>SUM(tanks!AV7)</f>
        <v>0.61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0</v>
      </c>
      <c r="F4" s="330">
        <f>SUM('EDl log'!T6)</f>
        <v>0</v>
      </c>
      <c r="G4" s="203">
        <f>-tanks!AW8</f>
        <v>0</v>
      </c>
      <c r="H4" s="330">
        <f>SUM(tanks!AV8)</f>
        <v>0.61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0</v>
      </c>
      <c r="F5" s="330">
        <f>SUM('EDl log'!T7)</f>
        <v>0</v>
      </c>
      <c r="G5" s="203">
        <f>-tanks!AW9</f>
        <v>0</v>
      </c>
      <c r="H5" s="330">
        <f>SUM(tanks!AV9)</f>
        <v>0.61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0</v>
      </c>
      <c r="F6" s="330">
        <f>SUM('EDl log'!T8)</f>
        <v>0</v>
      </c>
      <c r="G6" s="203">
        <f>-tanks!AW10</f>
        <v>0</v>
      </c>
      <c r="H6" s="330">
        <f>SUM(tanks!AV10)</f>
        <v>0.61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0</v>
      </c>
      <c r="F7" s="330">
        <f>SUM('EDl log'!T9)</f>
        <v>0</v>
      </c>
      <c r="G7" s="203">
        <f>-tanks!AW11</f>
        <v>0</v>
      </c>
      <c r="H7" s="330">
        <f>SUM(tanks!AV11)</f>
        <v>0.61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0.61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0.61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0.61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0.61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0.61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0.61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0.61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0.61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0.61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0.61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0.61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0.61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0.61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0.61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0.61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0.61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0.61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0.61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0.61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0.61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0.61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0.61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topLeftCell="A10" workbookViewId="0">
      <selection activeCell="A30" sqref="A30:XFD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0</v>
      </c>
      <c r="F3" s="203">
        <f>ELEC!K4</f>
        <v>0</v>
      </c>
      <c r="G3" s="203">
        <f>ELEC!I4</f>
        <v>0</v>
      </c>
      <c r="H3" s="203">
        <f>ELEC!E4</f>
        <v>0</v>
      </c>
      <c r="I3" s="203">
        <f>ELEC!G4</f>
        <v>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0</v>
      </c>
      <c r="F4" s="203">
        <f>ELEC!K5</f>
        <v>0</v>
      </c>
      <c r="G4" s="203">
        <f>ELEC!I5</f>
        <v>0</v>
      </c>
      <c r="H4" s="203">
        <f>ELEC!E5</f>
        <v>0</v>
      </c>
      <c r="I4" s="203">
        <f>ELEC!G5</f>
        <v>0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0</v>
      </c>
      <c r="F5" s="203">
        <f>ELEC!K6</f>
        <v>0</v>
      </c>
      <c r="G5" s="203">
        <f>ELEC!I6</f>
        <v>0</v>
      </c>
      <c r="H5" s="203">
        <f>ELEC!E6</f>
        <v>0</v>
      </c>
      <c r="I5" s="203">
        <f>ELEC!G6</f>
        <v>0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0</v>
      </c>
      <c r="F6" s="203">
        <f>ELEC!K7</f>
        <v>0</v>
      </c>
      <c r="G6" s="203">
        <f>ELEC!I7</f>
        <v>0</v>
      </c>
      <c r="H6" s="203">
        <f>ELEC!E7</f>
        <v>0</v>
      </c>
      <c r="I6" s="203">
        <f>ELEC!G7</f>
        <v>0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0</v>
      </c>
      <c r="F7" s="203">
        <f>ELEC!K8</f>
        <v>0</v>
      </c>
      <c r="G7" s="203">
        <f>ELEC!I8</f>
        <v>0</v>
      </c>
      <c r="H7" s="203">
        <f>ELEC!E8</f>
        <v>0</v>
      </c>
      <c r="I7" s="203">
        <f>ELEC!G8</f>
        <v>0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M1" zoomScale="85" zoomScaleNormal="85" zoomScaleSheetLayoutView="100" workbookViewId="0">
      <pane ySplit="1" topLeftCell="A2" activePane="bottomLeft" state="frozen"/>
      <selection activeCell="C1" sqref="C1"/>
      <selection pane="bottomLeft" activeCell="AD3" sqref="AD3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536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44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f t="shared" ref="D4:L30" si="7">D3</f>
        <v>32585198</v>
      </c>
      <c r="E4" s="311">
        <f>D4-D3</f>
        <v>0</v>
      </c>
      <c r="F4" s="445">
        <f t="shared" si="7"/>
        <v>3954629</v>
      </c>
      <c r="G4" s="312">
        <f t="shared" si="0"/>
        <v>0</v>
      </c>
      <c r="H4" s="445">
        <f t="shared" si="7"/>
        <v>17780562</v>
      </c>
      <c r="I4" s="312">
        <f>H4-H3</f>
        <v>0</v>
      </c>
      <c r="J4" s="445">
        <f t="shared" si="7"/>
        <v>28878522</v>
      </c>
      <c r="K4" s="312">
        <f>J4-J3</f>
        <v>0</v>
      </c>
      <c r="L4" s="445">
        <f t="shared" si="7"/>
        <v>23999456</v>
      </c>
      <c r="M4" s="312">
        <f>L4-L3</f>
        <v>0</v>
      </c>
      <c r="N4" s="310">
        <f>M4+K4+I4+G4+E4</f>
        <v>0</v>
      </c>
      <c r="O4" s="467">
        <f t="shared" si="1"/>
        <v>0</v>
      </c>
      <c r="P4" s="445">
        <f t="shared" ref="P4:P30" si="8">P3</f>
        <v>16577.595000000001</v>
      </c>
      <c r="Q4" s="468">
        <f t="shared" si="2"/>
        <v>0</v>
      </c>
      <c r="R4" s="449">
        <f>N4-Q4</f>
        <v>0</v>
      </c>
      <c r="S4" s="445">
        <f t="shared" ref="S4:AC30" si="9">S3</f>
        <v>10118</v>
      </c>
      <c r="T4" s="469">
        <f t="shared" si="3"/>
        <v>0</v>
      </c>
      <c r="U4" s="445">
        <f t="shared" si="9"/>
        <v>420722</v>
      </c>
      <c r="V4" s="449">
        <f>U4-U3</f>
        <v>0</v>
      </c>
      <c r="W4" s="445">
        <f t="shared" si="9"/>
        <v>32167</v>
      </c>
      <c r="X4" s="449">
        <f t="shared" si="4"/>
        <v>0</v>
      </c>
      <c r="Y4" s="445">
        <f t="shared" si="9"/>
        <v>696352</v>
      </c>
      <c r="Z4" s="449">
        <f>Y4-Y3</f>
        <v>0</v>
      </c>
      <c r="AA4" s="445">
        <f t="shared" si="9"/>
        <v>35673</v>
      </c>
      <c r="AB4" s="470">
        <f>AA4-AA3</f>
        <v>0</v>
      </c>
      <c r="AC4" s="445">
        <f t="shared" si="9"/>
        <v>912749</v>
      </c>
      <c r="AD4" s="471">
        <f>AC4-AC3</f>
        <v>0</v>
      </c>
      <c r="AE4" s="472">
        <f t="shared" ref="AE4:AE30" si="10">AB4+X4+T4</f>
        <v>0</v>
      </c>
      <c r="AF4" s="473">
        <f t="shared" ref="AF4:AF30" si="11">V4+Z4+AD4</f>
        <v>0</v>
      </c>
      <c r="AG4" s="465">
        <f t="shared" si="5"/>
        <v>0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f t="shared" si="7"/>
        <v>32585198</v>
      </c>
      <c r="E5" s="311">
        <f t="shared" ref="E5:E30" si="12">D5-D4</f>
        <v>0</v>
      </c>
      <c r="F5" s="445">
        <f t="shared" si="7"/>
        <v>3954629</v>
      </c>
      <c r="G5" s="312">
        <f t="shared" si="0"/>
        <v>0</v>
      </c>
      <c r="H5" s="445">
        <f t="shared" si="7"/>
        <v>17780562</v>
      </c>
      <c r="I5" s="312">
        <f t="shared" ref="I5:I30" si="13">H5-H4</f>
        <v>0</v>
      </c>
      <c r="J5" s="445">
        <f t="shared" si="7"/>
        <v>28878522</v>
      </c>
      <c r="K5" s="312">
        <f t="shared" ref="K5:K30" si="14">J5-J4</f>
        <v>0</v>
      </c>
      <c r="L5" s="445">
        <f t="shared" si="7"/>
        <v>23999456</v>
      </c>
      <c r="M5" s="312">
        <f t="shared" ref="M5:M30" si="15">L5-L4</f>
        <v>0</v>
      </c>
      <c r="N5" s="310">
        <f t="shared" ref="N5:N30" si="16">M5+K5+I5+G5+E5</f>
        <v>0</v>
      </c>
      <c r="O5" s="467">
        <f t="shared" si="1"/>
        <v>0</v>
      </c>
      <c r="P5" s="445">
        <f t="shared" si="8"/>
        <v>16577.595000000001</v>
      </c>
      <c r="Q5" s="468">
        <f>(P5-P4)*1000</f>
        <v>0</v>
      </c>
      <c r="R5" s="449">
        <f>N5-Q5</f>
        <v>0</v>
      </c>
      <c r="S5" s="445">
        <f t="shared" si="9"/>
        <v>10118</v>
      </c>
      <c r="T5" s="469">
        <f t="shared" si="3"/>
        <v>0</v>
      </c>
      <c r="U5" s="445">
        <f t="shared" si="9"/>
        <v>420722</v>
      </c>
      <c r="V5" s="449">
        <f t="shared" ref="V5:V30" si="17">U5-U4</f>
        <v>0</v>
      </c>
      <c r="W5" s="445">
        <f t="shared" si="9"/>
        <v>32167</v>
      </c>
      <c r="X5" s="449">
        <f t="shared" si="4"/>
        <v>0</v>
      </c>
      <c r="Y5" s="445">
        <f t="shared" si="9"/>
        <v>696352</v>
      </c>
      <c r="Z5" s="449">
        <f>Y5-Y4</f>
        <v>0</v>
      </c>
      <c r="AA5" s="445">
        <f t="shared" si="9"/>
        <v>35673</v>
      </c>
      <c r="AB5" s="449">
        <f t="shared" ref="AB5:AB30" si="18">AA5-AA4</f>
        <v>0</v>
      </c>
      <c r="AC5" s="445">
        <f t="shared" si="9"/>
        <v>912749</v>
      </c>
      <c r="AD5" s="449">
        <f t="shared" ref="AD5:AD16" si="19">AC5-AC4</f>
        <v>0</v>
      </c>
      <c r="AE5" s="472">
        <f t="shared" si="10"/>
        <v>0</v>
      </c>
      <c r="AF5" s="473">
        <f t="shared" si="11"/>
        <v>0</v>
      </c>
      <c r="AG5" s="465">
        <f t="shared" si="5"/>
        <v>0</v>
      </c>
      <c r="AI5" s="466">
        <f>R5-'EDl log'!B3</f>
        <v>-856126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f t="shared" si="7"/>
        <v>32585198</v>
      </c>
      <c r="E6" s="311">
        <f t="shared" si="12"/>
        <v>0</v>
      </c>
      <c r="F6" s="445">
        <f t="shared" si="7"/>
        <v>3954629</v>
      </c>
      <c r="G6" s="312">
        <f t="shared" si="0"/>
        <v>0</v>
      </c>
      <c r="H6" s="445">
        <f t="shared" si="7"/>
        <v>17780562</v>
      </c>
      <c r="I6" s="312">
        <f t="shared" si="13"/>
        <v>0</v>
      </c>
      <c r="J6" s="445">
        <f t="shared" si="7"/>
        <v>28878522</v>
      </c>
      <c r="K6" s="312">
        <f t="shared" si="14"/>
        <v>0</v>
      </c>
      <c r="L6" s="445">
        <f t="shared" si="7"/>
        <v>23999456</v>
      </c>
      <c r="M6" s="312">
        <f t="shared" si="15"/>
        <v>0</v>
      </c>
      <c r="N6" s="310">
        <f t="shared" si="16"/>
        <v>0</v>
      </c>
      <c r="O6" s="467">
        <f t="shared" si="1"/>
        <v>0</v>
      </c>
      <c r="P6" s="445">
        <f t="shared" si="8"/>
        <v>16577.595000000001</v>
      </c>
      <c r="Q6" s="449">
        <f t="shared" si="2"/>
        <v>0</v>
      </c>
      <c r="R6" s="449">
        <f t="shared" ref="R6:R12" si="20">N6-Q6</f>
        <v>0</v>
      </c>
      <c r="S6" s="445">
        <f t="shared" si="9"/>
        <v>10118</v>
      </c>
      <c r="T6" s="469">
        <f t="shared" si="3"/>
        <v>0</v>
      </c>
      <c r="U6" s="445">
        <f t="shared" si="9"/>
        <v>420722</v>
      </c>
      <c r="V6" s="449">
        <f t="shared" si="17"/>
        <v>0</v>
      </c>
      <c r="W6" s="445">
        <f t="shared" si="9"/>
        <v>32167</v>
      </c>
      <c r="X6" s="449">
        <f t="shared" si="4"/>
        <v>0</v>
      </c>
      <c r="Y6" s="445">
        <f t="shared" si="9"/>
        <v>696352</v>
      </c>
      <c r="Z6" s="449">
        <f t="shared" ref="Z6:Z30" si="21">Y6-Y5</f>
        <v>0</v>
      </c>
      <c r="AA6" s="445">
        <f t="shared" si="9"/>
        <v>35673</v>
      </c>
      <c r="AB6" s="449">
        <f t="shared" si="18"/>
        <v>0</v>
      </c>
      <c r="AC6" s="445">
        <f t="shared" si="9"/>
        <v>912749</v>
      </c>
      <c r="AD6" s="449">
        <f t="shared" si="19"/>
        <v>0</v>
      </c>
      <c r="AE6" s="472">
        <f t="shared" si="10"/>
        <v>0</v>
      </c>
      <c r="AF6" s="473">
        <f t="shared" si="11"/>
        <v>0</v>
      </c>
      <c r="AG6" s="465">
        <f t="shared" si="5"/>
        <v>0</v>
      </c>
      <c r="AI6" s="466">
        <f>R6-'EDl log'!B4</f>
        <v>-856126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f t="shared" si="7"/>
        <v>32585198</v>
      </c>
      <c r="E7" s="311">
        <f t="shared" si="12"/>
        <v>0</v>
      </c>
      <c r="F7" s="445">
        <f t="shared" si="7"/>
        <v>3954629</v>
      </c>
      <c r="G7" s="312">
        <f t="shared" si="0"/>
        <v>0</v>
      </c>
      <c r="H7" s="445">
        <f t="shared" si="7"/>
        <v>17780562</v>
      </c>
      <c r="I7" s="312">
        <f t="shared" si="13"/>
        <v>0</v>
      </c>
      <c r="J7" s="445">
        <f t="shared" si="7"/>
        <v>28878522</v>
      </c>
      <c r="K7" s="312">
        <f t="shared" si="14"/>
        <v>0</v>
      </c>
      <c r="L7" s="445">
        <f t="shared" si="7"/>
        <v>23999456</v>
      </c>
      <c r="M7" s="312">
        <f t="shared" si="15"/>
        <v>0</v>
      </c>
      <c r="N7" s="310">
        <f t="shared" si="16"/>
        <v>0</v>
      </c>
      <c r="O7" s="467">
        <f t="shared" si="1"/>
        <v>0</v>
      </c>
      <c r="P7" s="445">
        <f t="shared" si="8"/>
        <v>16577.595000000001</v>
      </c>
      <c r="Q7" s="449">
        <f t="shared" si="2"/>
        <v>0</v>
      </c>
      <c r="R7" s="449">
        <f t="shared" si="20"/>
        <v>0</v>
      </c>
      <c r="S7" s="445">
        <f t="shared" si="9"/>
        <v>10118</v>
      </c>
      <c r="T7" s="469">
        <f t="shared" si="3"/>
        <v>0</v>
      </c>
      <c r="U7" s="445">
        <f t="shared" si="9"/>
        <v>420722</v>
      </c>
      <c r="V7" s="449">
        <f t="shared" si="17"/>
        <v>0</v>
      </c>
      <c r="W7" s="445">
        <f t="shared" si="9"/>
        <v>32167</v>
      </c>
      <c r="X7" s="449">
        <f t="shared" si="4"/>
        <v>0</v>
      </c>
      <c r="Y7" s="445">
        <f t="shared" si="9"/>
        <v>696352</v>
      </c>
      <c r="Z7" s="449">
        <f t="shared" si="21"/>
        <v>0</v>
      </c>
      <c r="AA7" s="445">
        <f t="shared" si="9"/>
        <v>35673</v>
      </c>
      <c r="AB7" s="449">
        <f t="shared" si="18"/>
        <v>0</v>
      </c>
      <c r="AC7" s="445">
        <f t="shared" si="9"/>
        <v>912749</v>
      </c>
      <c r="AD7" s="449">
        <f t="shared" si="19"/>
        <v>0</v>
      </c>
      <c r="AE7" s="472">
        <f t="shared" si="10"/>
        <v>0</v>
      </c>
      <c r="AF7" s="473">
        <f t="shared" si="11"/>
        <v>0</v>
      </c>
      <c r="AG7" s="465">
        <f t="shared" si="5"/>
        <v>0</v>
      </c>
      <c r="AI7" s="466">
        <f>R7-'EDl log'!B5</f>
        <v>-856126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f t="shared" si="7"/>
        <v>32585198</v>
      </c>
      <c r="E8" s="311">
        <f t="shared" si="12"/>
        <v>0</v>
      </c>
      <c r="F8" s="445">
        <f t="shared" si="7"/>
        <v>3954629</v>
      </c>
      <c r="G8" s="312">
        <f t="shared" si="0"/>
        <v>0</v>
      </c>
      <c r="H8" s="445">
        <f t="shared" si="7"/>
        <v>17780562</v>
      </c>
      <c r="I8" s="312">
        <f t="shared" si="13"/>
        <v>0</v>
      </c>
      <c r="J8" s="445">
        <f t="shared" si="7"/>
        <v>28878522</v>
      </c>
      <c r="K8" s="312">
        <f t="shared" si="14"/>
        <v>0</v>
      </c>
      <c r="L8" s="445">
        <f t="shared" si="7"/>
        <v>23999456</v>
      </c>
      <c r="M8" s="312">
        <f t="shared" si="15"/>
        <v>0</v>
      </c>
      <c r="N8" s="310">
        <f t="shared" si="16"/>
        <v>0</v>
      </c>
      <c r="O8" s="467">
        <f t="shared" si="1"/>
        <v>0</v>
      </c>
      <c r="P8" s="445">
        <f t="shared" si="8"/>
        <v>16577.595000000001</v>
      </c>
      <c r="Q8" s="449">
        <f t="shared" si="2"/>
        <v>0</v>
      </c>
      <c r="R8" s="449">
        <f t="shared" si="20"/>
        <v>0</v>
      </c>
      <c r="S8" s="445">
        <f t="shared" si="9"/>
        <v>10118</v>
      </c>
      <c r="T8" s="469">
        <f t="shared" si="3"/>
        <v>0</v>
      </c>
      <c r="U8" s="445">
        <f t="shared" si="9"/>
        <v>420722</v>
      </c>
      <c r="V8" s="449">
        <f t="shared" si="17"/>
        <v>0</v>
      </c>
      <c r="W8" s="445">
        <f t="shared" si="9"/>
        <v>32167</v>
      </c>
      <c r="X8" s="449">
        <f t="shared" si="4"/>
        <v>0</v>
      </c>
      <c r="Y8" s="445">
        <f t="shared" si="9"/>
        <v>696352</v>
      </c>
      <c r="Z8" s="449">
        <f t="shared" si="21"/>
        <v>0</v>
      </c>
      <c r="AA8" s="445">
        <f t="shared" si="9"/>
        <v>35673</v>
      </c>
      <c r="AB8" s="449">
        <f t="shared" si="18"/>
        <v>0</v>
      </c>
      <c r="AC8" s="445">
        <f t="shared" si="9"/>
        <v>912749</v>
      </c>
      <c r="AD8" s="449">
        <f t="shared" si="19"/>
        <v>0</v>
      </c>
      <c r="AE8" s="472">
        <f t="shared" si="10"/>
        <v>0</v>
      </c>
      <c r="AF8" s="473">
        <f t="shared" si="11"/>
        <v>0</v>
      </c>
      <c r="AG8" s="465">
        <f t="shared" si="5"/>
        <v>0</v>
      </c>
      <c r="AI8" s="466">
        <f>R8-'EDl log'!B6</f>
        <v>-856126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f t="shared" si="7"/>
        <v>32585198</v>
      </c>
      <c r="E9" s="311">
        <f t="shared" si="12"/>
        <v>0</v>
      </c>
      <c r="F9" s="445">
        <f t="shared" si="7"/>
        <v>3954629</v>
      </c>
      <c r="G9" s="312">
        <f t="shared" si="0"/>
        <v>0</v>
      </c>
      <c r="H9" s="445">
        <f t="shared" si="7"/>
        <v>17780562</v>
      </c>
      <c r="I9" s="312">
        <f t="shared" si="13"/>
        <v>0</v>
      </c>
      <c r="J9" s="445">
        <f t="shared" si="7"/>
        <v>28878522</v>
      </c>
      <c r="K9" s="312">
        <f t="shared" si="14"/>
        <v>0</v>
      </c>
      <c r="L9" s="445">
        <f t="shared" si="7"/>
        <v>23999456</v>
      </c>
      <c r="M9" s="312">
        <f t="shared" si="15"/>
        <v>0</v>
      </c>
      <c r="N9" s="310">
        <f t="shared" si="16"/>
        <v>0</v>
      </c>
      <c r="O9" s="467">
        <f t="shared" si="1"/>
        <v>0</v>
      </c>
      <c r="P9" s="445">
        <f t="shared" si="8"/>
        <v>16577.595000000001</v>
      </c>
      <c r="Q9" s="449">
        <f t="shared" si="2"/>
        <v>0</v>
      </c>
      <c r="R9" s="449">
        <f t="shared" si="20"/>
        <v>0</v>
      </c>
      <c r="S9" s="445">
        <f t="shared" si="9"/>
        <v>10118</v>
      </c>
      <c r="T9" s="469">
        <f t="shared" si="3"/>
        <v>0</v>
      </c>
      <c r="U9" s="445">
        <f t="shared" si="9"/>
        <v>420722</v>
      </c>
      <c r="V9" s="449">
        <f t="shared" si="17"/>
        <v>0</v>
      </c>
      <c r="W9" s="445">
        <f t="shared" si="9"/>
        <v>32167</v>
      </c>
      <c r="X9" s="449">
        <f t="shared" ref="X9:X30" si="22">W9-W8</f>
        <v>0</v>
      </c>
      <c r="Y9" s="445">
        <f t="shared" si="9"/>
        <v>696352</v>
      </c>
      <c r="Z9" s="449">
        <f t="shared" si="21"/>
        <v>0</v>
      </c>
      <c r="AA9" s="445">
        <f t="shared" si="9"/>
        <v>35673</v>
      </c>
      <c r="AB9" s="449">
        <f t="shared" si="18"/>
        <v>0</v>
      </c>
      <c r="AC9" s="445">
        <f t="shared" si="9"/>
        <v>912749</v>
      </c>
      <c r="AD9" s="449">
        <f t="shared" si="19"/>
        <v>0</v>
      </c>
      <c r="AE9" s="472">
        <f t="shared" si="10"/>
        <v>0</v>
      </c>
      <c r="AF9" s="473">
        <f t="shared" si="11"/>
        <v>0</v>
      </c>
      <c r="AG9" s="465">
        <f t="shared" si="5"/>
        <v>0</v>
      </c>
      <c r="AI9" s="466">
        <f>R9-'EDl log'!B7</f>
        <v>-856126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f t="shared" si="7"/>
        <v>32585198</v>
      </c>
      <c r="E10" s="311">
        <f t="shared" si="12"/>
        <v>0</v>
      </c>
      <c r="F10" s="445">
        <f t="shared" si="7"/>
        <v>3954629</v>
      </c>
      <c r="G10" s="312">
        <f t="shared" si="0"/>
        <v>0</v>
      </c>
      <c r="H10" s="445">
        <f t="shared" si="7"/>
        <v>17780562</v>
      </c>
      <c r="I10" s="312">
        <f t="shared" si="13"/>
        <v>0</v>
      </c>
      <c r="J10" s="445">
        <f t="shared" si="7"/>
        <v>28878522</v>
      </c>
      <c r="K10" s="312">
        <f t="shared" si="14"/>
        <v>0</v>
      </c>
      <c r="L10" s="445">
        <f t="shared" si="7"/>
        <v>23999456</v>
      </c>
      <c r="M10" s="312">
        <f t="shared" si="15"/>
        <v>0</v>
      </c>
      <c r="N10" s="310">
        <f t="shared" si="16"/>
        <v>0</v>
      </c>
      <c r="O10" s="467">
        <f t="shared" ref="O10:O30" si="23">IF(B10&gt;0,N10/B10,0)</f>
        <v>0</v>
      </c>
      <c r="P10" s="445">
        <f t="shared" si="8"/>
        <v>16577.595000000001</v>
      </c>
      <c r="Q10" s="449">
        <f t="shared" si="2"/>
        <v>0</v>
      </c>
      <c r="R10" s="449">
        <f t="shared" si="20"/>
        <v>0</v>
      </c>
      <c r="S10" s="445">
        <f t="shared" si="9"/>
        <v>10118</v>
      </c>
      <c r="T10" s="469">
        <f t="shared" si="3"/>
        <v>0</v>
      </c>
      <c r="U10" s="445">
        <f t="shared" si="9"/>
        <v>420722</v>
      </c>
      <c r="V10" s="449">
        <f t="shared" si="17"/>
        <v>0</v>
      </c>
      <c r="W10" s="445">
        <f t="shared" si="9"/>
        <v>32167</v>
      </c>
      <c r="X10" s="449">
        <f t="shared" si="22"/>
        <v>0</v>
      </c>
      <c r="Y10" s="445">
        <f t="shared" si="9"/>
        <v>696352</v>
      </c>
      <c r="Z10" s="449">
        <f t="shared" si="21"/>
        <v>0</v>
      </c>
      <c r="AA10" s="445">
        <f t="shared" si="9"/>
        <v>35673</v>
      </c>
      <c r="AB10" s="449">
        <f t="shared" si="18"/>
        <v>0</v>
      </c>
      <c r="AC10" s="445">
        <f t="shared" si="9"/>
        <v>912749</v>
      </c>
      <c r="AD10" s="449">
        <f t="shared" si="19"/>
        <v>0</v>
      </c>
      <c r="AE10" s="472">
        <f t="shared" si="10"/>
        <v>0</v>
      </c>
      <c r="AF10" s="473">
        <f t="shared" si="11"/>
        <v>0</v>
      </c>
      <c r="AG10" s="465">
        <f t="shared" ref="AG10:AG30" si="24">IF(AE10&gt;0,AF10/AE10,0)</f>
        <v>0</v>
      </c>
      <c r="AI10" s="466">
        <f>R10-'EDl log'!B8</f>
        <v>-856126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f t="shared" si="7"/>
        <v>32585198</v>
      </c>
      <c r="E11" s="311">
        <f t="shared" si="12"/>
        <v>0</v>
      </c>
      <c r="F11" s="445">
        <f t="shared" si="7"/>
        <v>3954629</v>
      </c>
      <c r="G11" s="312">
        <f t="shared" si="0"/>
        <v>0</v>
      </c>
      <c r="H11" s="445">
        <f t="shared" si="7"/>
        <v>17780562</v>
      </c>
      <c r="I11" s="312">
        <f t="shared" si="13"/>
        <v>0</v>
      </c>
      <c r="J11" s="445">
        <f t="shared" si="7"/>
        <v>28878522</v>
      </c>
      <c r="K11" s="312">
        <f t="shared" si="14"/>
        <v>0</v>
      </c>
      <c r="L11" s="445">
        <f t="shared" si="7"/>
        <v>23999456</v>
      </c>
      <c r="M11" s="312">
        <f t="shared" si="15"/>
        <v>0</v>
      </c>
      <c r="N11" s="310">
        <f>M11+K11+I11+G11+E11</f>
        <v>0</v>
      </c>
      <c r="O11" s="467">
        <f t="shared" si="23"/>
        <v>0</v>
      </c>
      <c r="P11" s="445">
        <f t="shared" si="8"/>
        <v>16577.595000000001</v>
      </c>
      <c r="Q11" s="449">
        <f t="shared" si="2"/>
        <v>0</v>
      </c>
      <c r="R11" s="449">
        <f t="shared" si="20"/>
        <v>0</v>
      </c>
      <c r="S11" s="445">
        <f t="shared" si="9"/>
        <v>10118</v>
      </c>
      <c r="T11" s="469">
        <f t="shared" si="3"/>
        <v>0</v>
      </c>
      <c r="U11" s="445">
        <f t="shared" si="9"/>
        <v>420722</v>
      </c>
      <c r="V11" s="449">
        <f t="shared" si="17"/>
        <v>0</v>
      </c>
      <c r="W11" s="445">
        <f t="shared" si="9"/>
        <v>32167</v>
      </c>
      <c r="X11" s="449">
        <f t="shared" si="22"/>
        <v>0</v>
      </c>
      <c r="Y11" s="445">
        <f t="shared" si="9"/>
        <v>696352</v>
      </c>
      <c r="Z11" s="449">
        <f t="shared" si="21"/>
        <v>0</v>
      </c>
      <c r="AA11" s="445">
        <f t="shared" si="9"/>
        <v>35673</v>
      </c>
      <c r="AB11" s="449">
        <f t="shared" si="18"/>
        <v>0</v>
      </c>
      <c r="AC11" s="445">
        <f t="shared" si="9"/>
        <v>912749</v>
      </c>
      <c r="AD11" s="449">
        <f t="shared" si="19"/>
        <v>0</v>
      </c>
      <c r="AE11" s="472">
        <f t="shared" si="10"/>
        <v>0</v>
      </c>
      <c r="AF11" s="473">
        <f t="shared" si="11"/>
        <v>0</v>
      </c>
      <c r="AG11" s="465">
        <f t="shared" si="24"/>
        <v>0</v>
      </c>
      <c r="AI11" s="466">
        <f>R11-'EDl log'!B9</f>
        <v>-856126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f t="shared" si="7"/>
        <v>32585198</v>
      </c>
      <c r="E12" s="311">
        <f t="shared" si="12"/>
        <v>0</v>
      </c>
      <c r="F12" s="445">
        <f t="shared" si="7"/>
        <v>3954629</v>
      </c>
      <c r="G12" s="312">
        <f t="shared" si="0"/>
        <v>0</v>
      </c>
      <c r="H12" s="445">
        <f t="shared" si="7"/>
        <v>17780562</v>
      </c>
      <c r="I12" s="312">
        <f t="shared" si="13"/>
        <v>0</v>
      </c>
      <c r="J12" s="445">
        <f t="shared" si="7"/>
        <v>28878522</v>
      </c>
      <c r="K12" s="312">
        <f t="shared" si="14"/>
        <v>0</v>
      </c>
      <c r="L12" s="445">
        <f t="shared" si="7"/>
        <v>23999456</v>
      </c>
      <c r="M12" s="312">
        <f t="shared" si="15"/>
        <v>0</v>
      </c>
      <c r="N12" s="310">
        <f>M12+K12+I12+G12+E12</f>
        <v>0</v>
      </c>
      <c r="O12" s="467">
        <f t="shared" si="23"/>
        <v>0</v>
      </c>
      <c r="P12" s="445">
        <f t="shared" si="8"/>
        <v>16577.595000000001</v>
      </c>
      <c r="Q12" s="449">
        <f t="shared" si="2"/>
        <v>0</v>
      </c>
      <c r="R12" s="449">
        <f t="shared" si="20"/>
        <v>0</v>
      </c>
      <c r="S12" s="445">
        <f t="shared" si="9"/>
        <v>10118</v>
      </c>
      <c r="T12" s="469">
        <f t="shared" si="3"/>
        <v>0</v>
      </c>
      <c r="U12" s="445">
        <f t="shared" si="9"/>
        <v>420722</v>
      </c>
      <c r="V12" s="449">
        <f t="shared" si="17"/>
        <v>0</v>
      </c>
      <c r="W12" s="445">
        <f t="shared" si="9"/>
        <v>32167</v>
      </c>
      <c r="X12" s="449">
        <f t="shared" si="22"/>
        <v>0</v>
      </c>
      <c r="Y12" s="445">
        <f t="shared" si="9"/>
        <v>696352</v>
      </c>
      <c r="Z12" s="449">
        <f t="shared" si="21"/>
        <v>0</v>
      </c>
      <c r="AA12" s="445">
        <f t="shared" si="9"/>
        <v>35673</v>
      </c>
      <c r="AB12" s="449">
        <f t="shared" si="18"/>
        <v>0</v>
      </c>
      <c r="AC12" s="445">
        <f t="shared" si="9"/>
        <v>912749</v>
      </c>
      <c r="AD12" s="449">
        <f t="shared" si="19"/>
        <v>0</v>
      </c>
      <c r="AE12" s="472">
        <f t="shared" si="10"/>
        <v>0</v>
      </c>
      <c r="AF12" s="473">
        <f t="shared" si="11"/>
        <v>0</v>
      </c>
      <c r="AG12" s="465">
        <f t="shared" si="24"/>
        <v>0</v>
      </c>
      <c r="AI12" s="466">
        <f>R12-'EDl log'!B10</f>
        <v>-856126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f t="shared" si="7"/>
        <v>32585198</v>
      </c>
      <c r="E13" s="311">
        <f t="shared" si="12"/>
        <v>0</v>
      </c>
      <c r="F13" s="445">
        <f t="shared" si="7"/>
        <v>3954629</v>
      </c>
      <c r="G13" s="312">
        <f t="shared" si="0"/>
        <v>0</v>
      </c>
      <c r="H13" s="445">
        <f t="shared" si="7"/>
        <v>17780562</v>
      </c>
      <c r="I13" s="312">
        <f t="shared" si="13"/>
        <v>0</v>
      </c>
      <c r="J13" s="445">
        <f t="shared" si="7"/>
        <v>28878522</v>
      </c>
      <c r="K13" s="312">
        <f t="shared" si="14"/>
        <v>0</v>
      </c>
      <c r="L13" s="445">
        <f t="shared" si="7"/>
        <v>23999456</v>
      </c>
      <c r="M13" s="312">
        <f t="shared" si="15"/>
        <v>0</v>
      </c>
      <c r="N13" s="310">
        <f t="shared" si="16"/>
        <v>0</v>
      </c>
      <c r="O13" s="467">
        <f t="shared" si="23"/>
        <v>0</v>
      </c>
      <c r="P13" s="445">
        <f t="shared" si="8"/>
        <v>16577.595000000001</v>
      </c>
      <c r="Q13" s="449">
        <f>(P13-P12)*1000</f>
        <v>0</v>
      </c>
      <c r="R13" s="449">
        <f t="shared" ref="R13" si="25">N13-Q13</f>
        <v>0</v>
      </c>
      <c r="S13" s="445">
        <f t="shared" si="9"/>
        <v>10118</v>
      </c>
      <c r="T13" s="469">
        <f t="shared" si="3"/>
        <v>0</v>
      </c>
      <c r="U13" s="445">
        <f t="shared" si="9"/>
        <v>420722</v>
      </c>
      <c r="V13" s="449">
        <f t="shared" si="17"/>
        <v>0</v>
      </c>
      <c r="W13" s="445">
        <f t="shared" si="9"/>
        <v>32167</v>
      </c>
      <c r="X13" s="449">
        <f t="shared" si="22"/>
        <v>0</v>
      </c>
      <c r="Y13" s="445">
        <f t="shared" si="9"/>
        <v>696352</v>
      </c>
      <c r="Z13" s="449">
        <f t="shared" si="21"/>
        <v>0</v>
      </c>
      <c r="AA13" s="445">
        <f t="shared" si="9"/>
        <v>35673</v>
      </c>
      <c r="AB13" s="449">
        <f t="shared" si="18"/>
        <v>0</v>
      </c>
      <c r="AC13" s="445">
        <f t="shared" si="9"/>
        <v>912749</v>
      </c>
      <c r="AD13" s="449">
        <f t="shared" si="19"/>
        <v>0</v>
      </c>
      <c r="AE13" s="472">
        <f t="shared" si="10"/>
        <v>0</v>
      </c>
      <c r="AF13" s="473">
        <f t="shared" si="11"/>
        <v>0</v>
      </c>
      <c r="AG13" s="465">
        <f t="shared" si="24"/>
        <v>0</v>
      </c>
      <c r="AI13" s="466">
        <f>R13-'EDl log'!B11</f>
        <v>-856126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f t="shared" si="7"/>
        <v>32585198</v>
      </c>
      <c r="E14" s="311">
        <f t="shared" si="12"/>
        <v>0</v>
      </c>
      <c r="F14" s="445">
        <f t="shared" si="7"/>
        <v>3954629</v>
      </c>
      <c r="G14" s="312">
        <f t="shared" si="0"/>
        <v>0</v>
      </c>
      <c r="H14" s="445">
        <f t="shared" si="7"/>
        <v>17780562</v>
      </c>
      <c r="I14" s="312">
        <f t="shared" si="13"/>
        <v>0</v>
      </c>
      <c r="J14" s="445">
        <f t="shared" si="7"/>
        <v>28878522</v>
      </c>
      <c r="K14" s="312">
        <f t="shared" si="14"/>
        <v>0</v>
      </c>
      <c r="L14" s="445">
        <f t="shared" si="7"/>
        <v>23999456</v>
      </c>
      <c r="M14" s="312">
        <f t="shared" si="15"/>
        <v>0</v>
      </c>
      <c r="N14" s="310">
        <f t="shared" si="16"/>
        <v>0</v>
      </c>
      <c r="O14" s="467">
        <f t="shared" si="23"/>
        <v>0</v>
      </c>
      <c r="P14" s="445">
        <f t="shared" si="8"/>
        <v>16577.595000000001</v>
      </c>
      <c r="Q14" s="449">
        <f t="shared" ref="Q14:Q30" si="26">(P14-P13)*1000</f>
        <v>0</v>
      </c>
      <c r="R14" s="449">
        <f t="shared" ref="R14:R30" si="27">N14-Q14</f>
        <v>0</v>
      </c>
      <c r="S14" s="445">
        <f t="shared" si="9"/>
        <v>10118</v>
      </c>
      <c r="T14" s="469">
        <f t="shared" si="3"/>
        <v>0</v>
      </c>
      <c r="U14" s="445">
        <f t="shared" si="9"/>
        <v>420722</v>
      </c>
      <c r="V14" s="449">
        <f t="shared" si="17"/>
        <v>0</v>
      </c>
      <c r="W14" s="445">
        <f t="shared" si="9"/>
        <v>32167</v>
      </c>
      <c r="X14" s="449">
        <f t="shared" si="22"/>
        <v>0</v>
      </c>
      <c r="Y14" s="445">
        <f t="shared" si="9"/>
        <v>696352</v>
      </c>
      <c r="Z14" s="449">
        <f t="shared" si="21"/>
        <v>0</v>
      </c>
      <c r="AA14" s="445">
        <f t="shared" si="9"/>
        <v>35673</v>
      </c>
      <c r="AB14" s="449">
        <f t="shared" si="18"/>
        <v>0</v>
      </c>
      <c r="AC14" s="445">
        <f t="shared" si="9"/>
        <v>912749</v>
      </c>
      <c r="AD14" s="449">
        <f t="shared" si="19"/>
        <v>0</v>
      </c>
      <c r="AE14" s="472">
        <f t="shared" si="10"/>
        <v>0</v>
      </c>
      <c r="AF14" s="473">
        <f t="shared" si="11"/>
        <v>0</v>
      </c>
      <c r="AG14" s="465">
        <f t="shared" si="24"/>
        <v>0</v>
      </c>
      <c r="AI14" s="466">
        <f>R14-'EDl log'!B12</f>
        <v>-856126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f t="shared" si="7"/>
        <v>32585198</v>
      </c>
      <c r="E15" s="311">
        <f t="shared" si="12"/>
        <v>0</v>
      </c>
      <c r="F15" s="445">
        <f t="shared" si="7"/>
        <v>3954629</v>
      </c>
      <c r="G15" s="312">
        <f t="shared" si="0"/>
        <v>0</v>
      </c>
      <c r="H15" s="445">
        <f t="shared" si="7"/>
        <v>17780562</v>
      </c>
      <c r="I15" s="312">
        <f t="shared" si="13"/>
        <v>0</v>
      </c>
      <c r="J15" s="445">
        <f t="shared" si="7"/>
        <v>28878522</v>
      </c>
      <c r="K15" s="312">
        <f t="shared" si="14"/>
        <v>0</v>
      </c>
      <c r="L15" s="445">
        <f t="shared" si="7"/>
        <v>23999456</v>
      </c>
      <c r="M15" s="312">
        <f t="shared" si="15"/>
        <v>0</v>
      </c>
      <c r="N15" s="310">
        <f t="shared" si="16"/>
        <v>0</v>
      </c>
      <c r="O15" s="467">
        <f t="shared" si="23"/>
        <v>0</v>
      </c>
      <c r="P15" s="445">
        <f t="shared" si="8"/>
        <v>16577.595000000001</v>
      </c>
      <c r="Q15" s="449">
        <f t="shared" si="26"/>
        <v>0</v>
      </c>
      <c r="R15" s="449">
        <f t="shared" si="27"/>
        <v>0</v>
      </c>
      <c r="S15" s="445">
        <f t="shared" si="9"/>
        <v>10118</v>
      </c>
      <c r="T15" s="469">
        <f t="shared" si="3"/>
        <v>0</v>
      </c>
      <c r="U15" s="445">
        <f t="shared" si="9"/>
        <v>420722</v>
      </c>
      <c r="V15" s="449">
        <f t="shared" si="17"/>
        <v>0</v>
      </c>
      <c r="W15" s="445">
        <f t="shared" si="9"/>
        <v>32167</v>
      </c>
      <c r="X15" s="449">
        <f t="shared" si="22"/>
        <v>0</v>
      </c>
      <c r="Y15" s="445">
        <f t="shared" si="9"/>
        <v>696352</v>
      </c>
      <c r="Z15" s="449">
        <f t="shared" si="21"/>
        <v>0</v>
      </c>
      <c r="AA15" s="445">
        <f t="shared" si="9"/>
        <v>35673</v>
      </c>
      <c r="AB15" s="449">
        <f t="shared" si="18"/>
        <v>0</v>
      </c>
      <c r="AC15" s="445">
        <f t="shared" si="9"/>
        <v>912749</v>
      </c>
      <c r="AD15" s="449">
        <f t="shared" si="19"/>
        <v>0</v>
      </c>
      <c r="AE15" s="472">
        <f t="shared" si="10"/>
        <v>0</v>
      </c>
      <c r="AF15" s="473">
        <f t="shared" si="11"/>
        <v>0</v>
      </c>
      <c r="AG15" s="465">
        <f t="shared" si="24"/>
        <v>0</v>
      </c>
      <c r="AI15" s="466">
        <f>R15-'EDl log'!B13</f>
        <v>-856126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f t="shared" si="7"/>
        <v>32585198</v>
      </c>
      <c r="E16" s="311">
        <f t="shared" si="12"/>
        <v>0</v>
      </c>
      <c r="F16" s="445">
        <f t="shared" si="7"/>
        <v>3954629</v>
      </c>
      <c r="G16" s="312">
        <f t="shared" si="0"/>
        <v>0</v>
      </c>
      <c r="H16" s="445">
        <f t="shared" si="7"/>
        <v>17780562</v>
      </c>
      <c r="I16" s="312">
        <f t="shared" si="13"/>
        <v>0</v>
      </c>
      <c r="J16" s="445">
        <f t="shared" si="7"/>
        <v>28878522</v>
      </c>
      <c r="K16" s="312">
        <f t="shared" si="14"/>
        <v>0</v>
      </c>
      <c r="L16" s="445">
        <f t="shared" si="7"/>
        <v>23999456</v>
      </c>
      <c r="M16" s="312">
        <f t="shared" si="15"/>
        <v>0</v>
      </c>
      <c r="N16" s="310">
        <f t="shared" si="16"/>
        <v>0</v>
      </c>
      <c r="O16" s="467">
        <f t="shared" si="23"/>
        <v>0</v>
      </c>
      <c r="P16" s="445">
        <f t="shared" si="8"/>
        <v>16577.595000000001</v>
      </c>
      <c r="Q16" s="449">
        <f t="shared" si="26"/>
        <v>0</v>
      </c>
      <c r="R16" s="449">
        <f t="shared" si="27"/>
        <v>0</v>
      </c>
      <c r="S16" s="445">
        <f t="shared" si="9"/>
        <v>10118</v>
      </c>
      <c r="T16" s="469">
        <f t="shared" si="3"/>
        <v>0</v>
      </c>
      <c r="U16" s="445">
        <f t="shared" si="9"/>
        <v>420722</v>
      </c>
      <c r="V16" s="449">
        <f t="shared" si="17"/>
        <v>0</v>
      </c>
      <c r="W16" s="445">
        <f t="shared" si="9"/>
        <v>32167</v>
      </c>
      <c r="X16" s="449">
        <f>W16-W15</f>
        <v>0</v>
      </c>
      <c r="Y16" s="445">
        <f t="shared" si="9"/>
        <v>696352</v>
      </c>
      <c r="Z16" s="449">
        <f>Y16-Y15</f>
        <v>0</v>
      </c>
      <c r="AA16" s="445">
        <f t="shared" si="9"/>
        <v>35673</v>
      </c>
      <c r="AB16" s="449">
        <f>AA16-AA15</f>
        <v>0</v>
      </c>
      <c r="AC16" s="445">
        <f t="shared" si="9"/>
        <v>912749</v>
      </c>
      <c r="AD16" s="449">
        <f t="shared" si="19"/>
        <v>0</v>
      </c>
      <c r="AE16" s="472">
        <f t="shared" si="10"/>
        <v>0</v>
      </c>
      <c r="AF16" s="473">
        <f t="shared" si="11"/>
        <v>0</v>
      </c>
      <c r="AG16" s="465">
        <f t="shared" si="24"/>
        <v>0</v>
      </c>
      <c r="AI16" s="466">
        <f>R16-'EDl log'!B14</f>
        <v>-856126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f t="shared" si="7"/>
        <v>32585198</v>
      </c>
      <c r="E17" s="311">
        <f t="shared" si="12"/>
        <v>0</v>
      </c>
      <c r="F17" s="445">
        <f t="shared" si="7"/>
        <v>3954629</v>
      </c>
      <c r="G17" s="312">
        <f t="shared" si="0"/>
        <v>0</v>
      </c>
      <c r="H17" s="445">
        <f t="shared" si="7"/>
        <v>17780562</v>
      </c>
      <c r="I17" s="312">
        <f t="shared" si="13"/>
        <v>0</v>
      </c>
      <c r="J17" s="445">
        <f t="shared" si="7"/>
        <v>28878522</v>
      </c>
      <c r="K17" s="312">
        <f t="shared" si="14"/>
        <v>0</v>
      </c>
      <c r="L17" s="445">
        <f t="shared" si="7"/>
        <v>23999456</v>
      </c>
      <c r="M17" s="312">
        <f t="shared" si="15"/>
        <v>0</v>
      </c>
      <c r="N17" s="310">
        <f t="shared" si="16"/>
        <v>0</v>
      </c>
      <c r="O17" s="467">
        <f t="shared" si="23"/>
        <v>0</v>
      </c>
      <c r="P17" s="445">
        <f t="shared" si="8"/>
        <v>16577.595000000001</v>
      </c>
      <c r="Q17" s="449">
        <f t="shared" si="26"/>
        <v>0</v>
      </c>
      <c r="R17" s="449">
        <f t="shared" si="27"/>
        <v>0</v>
      </c>
      <c r="S17" s="445">
        <f t="shared" si="9"/>
        <v>10118</v>
      </c>
      <c r="T17" s="469">
        <f t="shared" si="3"/>
        <v>0</v>
      </c>
      <c r="U17" s="445">
        <f t="shared" si="9"/>
        <v>420722</v>
      </c>
      <c r="V17" s="449">
        <f t="shared" si="17"/>
        <v>0</v>
      </c>
      <c r="W17" s="445">
        <f t="shared" si="9"/>
        <v>32167</v>
      </c>
      <c r="X17" s="449">
        <f t="shared" si="22"/>
        <v>0</v>
      </c>
      <c r="Y17" s="445">
        <f t="shared" si="9"/>
        <v>696352</v>
      </c>
      <c r="Z17" s="449">
        <f t="shared" si="21"/>
        <v>0</v>
      </c>
      <c r="AA17" s="445">
        <f t="shared" si="9"/>
        <v>35673</v>
      </c>
      <c r="AB17" s="449">
        <f t="shared" si="18"/>
        <v>0</v>
      </c>
      <c r="AC17" s="445">
        <f t="shared" si="9"/>
        <v>912749</v>
      </c>
      <c r="AD17" s="449">
        <f t="shared" ref="AD17:AD30" si="28">AC17-AC16</f>
        <v>0</v>
      </c>
      <c r="AE17" s="472">
        <f t="shared" si="10"/>
        <v>0</v>
      </c>
      <c r="AF17" s="473">
        <f t="shared" si="11"/>
        <v>0</v>
      </c>
      <c r="AG17" s="465">
        <f t="shared" si="24"/>
        <v>0</v>
      </c>
      <c r="AI17" s="466">
        <f>R17-'EDl log'!B15</f>
        <v>-856126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f t="shared" si="7"/>
        <v>32585198</v>
      </c>
      <c r="E18" s="311">
        <f t="shared" si="12"/>
        <v>0</v>
      </c>
      <c r="F18" s="445">
        <f t="shared" si="7"/>
        <v>3954629</v>
      </c>
      <c r="G18" s="312">
        <f t="shared" si="0"/>
        <v>0</v>
      </c>
      <c r="H18" s="445">
        <f t="shared" si="7"/>
        <v>17780562</v>
      </c>
      <c r="I18" s="312">
        <f t="shared" si="13"/>
        <v>0</v>
      </c>
      <c r="J18" s="445">
        <f t="shared" si="7"/>
        <v>28878522</v>
      </c>
      <c r="K18" s="312">
        <f t="shared" si="14"/>
        <v>0</v>
      </c>
      <c r="L18" s="445">
        <f t="shared" si="7"/>
        <v>23999456</v>
      </c>
      <c r="M18" s="312">
        <f t="shared" si="15"/>
        <v>0</v>
      </c>
      <c r="N18" s="310">
        <f t="shared" si="16"/>
        <v>0</v>
      </c>
      <c r="O18" s="467">
        <f t="shared" si="23"/>
        <v>0</v>
      </c>
      <c r="P18" s="445">
        <f t="shared" si="8"/>
        <v>16577.595000000001</v>
      </c>
      <c r="Q18" s="449">
        <f t="shared" si="26"/>
        <v>0</v>
      </c>
      <c r="R18" s="449">
        <f t="shared" si="27"/>
        <v>0</v>
      </c>
      <c r="S18" s="445">
        <f t="shared" si="9"/>
        <v>10118</v>
      </c>
      <c r="T18" s="469">
        <f t="shared" si="3"/>
        <v>0</v>
      </c>
      <c r="U18" s="445">
        <f t="shared" si="9"/>
        <v>420722</v>
      </c>
      <c r="V18" s="449">
        <f t="shared" si="17"/>
        <v>0</v>
      </c>
      <c r="W18" s="445">
        <f t="shared" si="9"/>
        <v>32167</v>
      </c>
      <c r="X18" s="449">
        <f t="shared" si="22"/>
        <v>0</v>
      </c>
      <c r="Y18" s="445">
        <f t="shared" si="9"/>
        <v>696352</v>
      </c>
      <c r="Z18" s="449">
        <f t="shared" si="21"/>
        <v>0</v>
      </c>
      <c r="AA18" s="445">
        <f t="shared" si="9"/>
        <v>35673</v>
      </c>
      <c r="AB18" s="449">
        <f t="shared" si="18"/>
        <v>0</v>
      </c>
      <c r="AC18" s="445">
        <f t="shared" si="9"/>
        <v>912749</v>
      </c>
      <c r="AD18" s="449">
        <f t="shared" si="28"/>
        <v>0</v>
      </c>
      <c r="AE18" s="472">
        <f t="shared" si="10"/>
        <v>0</v>
      </c>
      <c r="AF18" s="473">
        <f t="shared" si="11"/>
        <v>0</v>
      </c>
      <c r="AG18" s="465">
        <f t="shared" si="24"/>
        <v>0</v>
      </c>
      <c r="AI18" s="466">
        <f>R18-'EDl log'!B16</f>
        <v>-856126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f t="shared" si="7"/>
        <v>32585198</v>
      </c>
      <c r="E19" s="311">
        <f t="shared" si="12"/>
        <v>0</v>
      </c>
      <c r="F19" s="445">
        <f t="shared" si="7"/>
        <v>3954629</v>
      </c>
      <c r="G19" s="312">
        <f t="shared" si="0"/>
        <v>0</v>
      </c>
      <c r="H19" s="445">
        <f t="shared" si="7"/>
        <v>17780562</v>
      </c>
      <c r="I19" s="312">
        <f t="shared" si="13"/>
        <v>0</v>
      </c>
      <c r="J19" s="445">
        <f t="shared" si="7"/>
        <v>28878522</v>
      </c>
      <c r="K19" s="312">
        <f t="shared" si="14"/>
        <v>0</v>
      </c>
      <c r="L19" s="445">
        <f t="shared" si="7"/>
        <v>23999456</v>
      </c>
      <c r="M19" s="312">
        <f t="shared" si="15"/>
        <v>0</v>
      </c>
      <c r="N19" s="310">
        <f t="shared" si="16"/>
        <v>0</v>
      </c>
      <c r="O19" s="467">
        <f t="shared" si="23"/>
        <v>0</v>
      </c>
      <c r="P19" s="445">
        <f t="shared" si="8"/>
        <v>16577.595000000001</v>
      </c>
      <c r="Q19" s="449">
        <f t="shared" si="26"/>
        <v>0</v>
      </c>
      <c r="R19" s="449">
        <f t="shared" si="27"/>
        <v>0</v>
      </c>
      <c r="S19" s="445">
        <f t="shared" si="9"/>
        <v>10118</v>
      </c>
      <c r="T19" s="469">
        <f t="shared" si="3"/>
        <v>0</v>
      </c>
      <c r="U19" s="445">
        <f t="shared" si="9"/>
        <v>420722</v>
      </c>
      <c r="V19" s="449">
        <f t="shared" si="17"/>
        <v>0</v>
      </c>
      <c r="W19" s="445">
        <f t="shared" si="9"/>
        <v>32167</v>
      </c>
      <c r="X19" s="449">
        <f t="shared" si="22"/>
        <v>0</v>
      </c>
      <c r="Y19" s="445">
        <f t="shared" si="9"/>
        <v>696352</v>
      </c>
      <c r="Z19" s="449">
        <f t="shared" si="21"/>
        <v>0</v>
      </c>
      <c r="AA19" s="445">
        <f t="shared" si="9"/>
        <v>35673</v>
      </c>
      <c r="AB19" s="449">
        <f t="shared" si="18"/>
        <v>0</v>
      </c>
      <c r="AC19" s="445">
        <f t="shared" si="9"/>
        <v>912749</v>
      </c>
      <c r="AD19" s="449">
        <f t="shared" si="28"/>
        <v>0</v>
      </c>
      <c r="AE19" s="472">
        <f t="shared" si="10"/>
        <v>0</v>
      </c>
      <c r="AF19" s="473">
        <f t="shared" si="11"/>
        <v>0</v>
      </c>
      <c r="AG19" s="465">
        <f t="shared" si="24"/>
        <v>0</v>
      </c>
      <c r="AI19" s="466">
        <f>R19-'EDl log'!B17</f>
        <v>-856126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f t="shared" si="7"/>
        <v>32585198</v>
      </c>
      <c r="E20" s="311">
        <f t="shared" si="12"/>
        <v>0</v>
      </c>
      <c r="F20" s="445">
        <f t="shared" si="7"/>
        <v>3954629</v>
      </c>
      <c r="G20" s="312">
        <f t="shared" si="0"/>
        <v>0</v>
      </c>
      <c r="H20" s="445">
        <f t="shared" si="7"/>
        <v>17780562</v>
      </c>
      <c r="I20" s="312">
        <f t="shared" si="13"/>
        <v>0</v>
      </c>
      <c r="J20" s="445">
        <f t="shared" si="7"/>
        <v>28878522</v>
      </c>
      <c r="K20" s="312">
        <f t="shared" si="14"/>
        <v>0</v>
      </c>
      <c r="L20" s="445">
        <f t="shared" si="7"/>
        <v>23999456</v>
      </c>
      <c r="M20" s="312">
        <f t="shared" si="15"/>
        <v>0</v>
      </c>
      <c r="N20" s="310">
        <f t="shared" si="16"/>
        <v>0</v>
      </c>
      <c r="O20" s="467">
        <f t="shared" si="23"/>
        <v>0</v>
      </c>
      <c r="P20" s="445">
        <f t="shared" si="8"/>
        <v>16577.595000000001</v>
      </c>
      <c r="Q20" s="449">
        <f t="shared" si="26"/>
        <v>0</v>
      </c>
      <c r="R20" s="449">
        <f t="shared" si="27"/>
        <v>0</v>
      </c>
      <c r="S20" s="445">
        <f t="shared" si="9"/>
        <v>10118</v>
      </c>
      <c r="T20" s="469">
        <f t="shared" si="3"/>
        <v>0</v>
      </c>
      <c r="U20" s="445">
        <f t="shared" si="9"/>
        <v>420722</v>
      </c>
      <c r="V20" s="449">
        <f t="shared" si="17"/>
        <v>0</v>
      </c>
      <c r="W20" s="445">
        <f t="shared" si="9"/>
        <v>32167</v>
      </c>
      <c r="X20" s="449">
        <f t="shared" si="22"/>
        <v>0</v>
      </c>
      <c r="Y20" s="445">
        <f t="shared" si="9"/>
        <v>696352</v>
      </c>
      <c r="Z20" s="449">
        <f t="shared" si="21"/>
        <v>0</v>
      </c>
      <c r="AA20" s="445">
        <f t="shared" si="9"/>
        <v>35673</v>
      </c>
      <c r="AB20" s="449">
        <f t="shared" si="18"/>
        <v>0</v>
      </c>
      <c r="AC20" s="445">
        <f t="shared" si="9"/>
        <v>912749</v>
      </c>
      <c r="AD20" s="449">
        <f t="shared" si="28"/>
        <v>0</v>
      </c>
      <c r="AE20" s="472">
        <f t="shared" si="10"/>
        <v>0</v>
      </c>
      <c r="AF20" s="473">
        <f t="shared" si="11"/>
        <v>0</v>
      </c>
      <c r="AG20" s="465">
        <f t="shared" si="24"/>
        <v>0</v>
      </c>
      <c r="AI20" s="466">
        <f>R20-'EDl log'!B18</f>
        <v>-856126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f t="shared" si="7"/>
        <v>32585198</v>
      </c>
      <c r="E21" s="311">
        <f t="shared" si="12"/>
        <v>0</v>
      </c>
      <c r="F21" s="445">
        <f t="shared" si="7"/>
        <v>3954629</v>
      </c>
      <c r="G21" s="312">
        <f t="shared" si="0"/>
        <v>0</v>
      </c>
      <c r="H21" s="445">
        <f t="shared" si="7"/>
        <v>17780562</v>
      </c>
      <c r="I21" s="312">
        <f t="shared" si="13"/>
        <v>0</v>
      </c>
      <c r="J21" s="445">
        <f t="shared" si="7"/>
        <v>28878522</v>
      </c>
      <c r="K21" s="312">
        <f t="shared" si="14"/>
        <v>0</v>
      </c>
      <c r="L21" s="445">
        <f t="shared" si="7"/>
        <v>23999456</v>
      </c>
      <c r="M21" s="312">
        <f t="shared" si="15"/>
        <v>0</v>
      </c>
      <c r="N21" s="310">
        <f t="shared" si="16"/>
        <v>0</v>
      </c>
      <c r="O21" s="467">
        <f t="shared" si="23"/>
        <v>0</v>
      </c>
      <c r="P21" s="445">
        <f t="shared" si="8"/>
        <v>16577.595000000001</v>
      </c>
      <c r="Q21" s="449">
        <f t="shared" si="26"/>
        <v>0</v>
      </c>
      <c r="R21" s="449">
        <f t="shared" si="27"/>
        <v>0</v>
      </c>
      <c r="S21" s="445">
        <f t="shared" si="9"/>
        <v>10118</v>
      </c>
      <c r="T21" s="469">
        <f t="shared" si="3"/>
        <v>0</v>
      </c>
      <c r="U21" s="445">
        <f t="shared" si="9"/>
        <v>420722</v>
      </c>
      <c r="V21" s="449">
        <f t="shared" si="17"/>
        <v>0</v>
      </c>
      <c r="W21" s="445">
        <f t="shared" si="9"/>
        <v>32167</v>
      </c>
      <c r="X21" s="449">
        <f t="shared" si="22"/>
        <v>0</v>
      </c>
      <c r="Y21" s="445">
        <f t="shared" si="9"/>
        <v>696352</v>
      </c>
      <c r="Z21" s="449">
        <f t="shared" si="21"/>
        <v>0</v>
      </c>
      <c r="AA21" s="445">
        <f t="shared" si="9"/>
        <v>35673</v>
      </c>
      <c r="AB21" s="449">
        <f t="shared" si="18"/>
        <v>0</v>
      </c>
      <c r="AC21" s="445">
        <f t="shared" si="9"/>
        <v>912749</v>
      </c>
      <c r="AD21" s="449">
        <f t="shared" si="28"/>
        <v>0</v>
      </c>
      <c r="AE21" s="472">
        <f t="shared" si="10"/>
        <v>0</v>
      </c>
      <c r="AF21" s="473">
        <f t="shared" si="11"/>
        <v>0</v>
      </c>
      <c r="AG21" s="465">
        <f t="shared" si="24"/>
        <v>0</v>
      </c>
      <c r="AI21" s="466">
        <f>R21-'EDl log'!B19</f>
        <v>-856126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f t="shared" si="7"/>
        <v>32585198</v>
      </c>
      <c r="E22" s="311">
        <f t="shared" si="12"/>
        <v>0</v>
      </c>
      <c r="F22" s="445">
        <f t="shared" si="7"/>
        <v>3954629</v>
      </c>
      <c r="G22" s="312">
        <f t="shared" si="0"/>
        <v>0</v>
      </c>
      <c r="H22" s="445">
        <f t="shared" si="7"/>
        <v>17780562</v>
      </c>
      <c r="I22" s="312">
        <f t="shared" si="13"/>
        <v>0</v>
      </c>
      <c r="J22" s="445">
        <f t="shared" si="7"/>
        <v>28878522</v>
      </c>
      <c r="K22" s="312">
        <f t="shared" si="14"/>
        <v>0</v>
      </c>
      <c r="L22" s="445">
        <f t="shared" si="7"/>
        <v>23999456</v>
      </c>
      <c r="M22" s="312">
        <f t="shared" si="15"/>
        <v>0</v>
      </c>
      <c r="N22" s="310">
        <f t="shared" si="16"/>
        <v>0</v>
      </c>
      <c r="O22" s="467">
        <f t="shared" si="23"/>
        <v>0</v>
      </c>
      <c r="P22" s="445">
        <f t="shared" si="8"/>
        <v>16577.595000000001</v>
      </c>
      <c r="Q22" s="449">
        <f t="shared" si="26"/>
        <v>0</v>
      </c>
      <c r="R22" s="449">
        <f t="shared" si="27"/>
        <v>0</v>
      </c>
      <c r="S22" s="445">
        <f t="shared" si="9"/>
        <v>10118</v>
      </c>
      <c r="T22" s="469">
        <f t="shared" si="3"/>
        <v>0</v>
      </c>
      <c r="U22" s="445">
        <f t="shared" si="9"/>
        <v>420722</v>
      </c>
      <c r="V22" s="449">
        <f t="shared" si="17"/>
        <v>0</v>
      </c>
      <c r="W22" s="445">
        <f t="shared" si="9"/>
        <v>32167</v>
      </c>
      <c r="X22" s="449">
        <f t="shared" si="22"/>
        <v>0</v>
      </c>
      <c r="Y22" s="445">
        <f t="shared" si="9"/>
        <v>696352</v>
      </c>
      <c r="Z22" s="449">
        <f t="shared" si="21"/>
        <v>0</v>
      </c>
      <c r="AA22" s="445">
        <f t="shared" si="9"/>
        <v>35673</v>
      </c>
      <c r="AB22" s="449">
        <f t="shared" si="18"/>
        <v>0</v>
      </c>
      <c r="AC22" s="445">
        <f t="shared" si="9"/>
        <v>912749</v>
      </c>
      <c r="AD22" s="449">
        <f t="shared" si="28"/>
        <v>0</v>
      </c>
      <c r="AE22" s="472">
        <f t="shared" si="10"/>
        <v>0</v>
      </c>
      <c r="AF22" s="473">
        <f t="shared" si="11"/>
        <v>0</v>
      </c>
      <c r="AG22" s="465">
        <f t="shared" si="24"/>
        <v>0</v>
      </c>
      <c r="AI22" s="466">
        <f>R22-'EDl log'!B20</f>
        <v>-856126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f t="shared" si="7"/>
        <v>32585198</v>
      </c>
      <c r="E23" s="311">
        <f t="shared" si="12"/>
        <v>0</v>
      </c>
      <c r="F23" s="445">
        <f t="shared" si="7"/>
        <v>3954629</v>
      </c>
      <c r="G23" s="312">
        <f t="shared" si="0"/>
        <v>0</v>
      </c>
      <c r="H23" s="445">
        <f t="shared" si="7"/>
        <v>17780562</v>
      </c>
      <c r="I23" s="438">
        <f t="shared" si="13"/>
        <v>0</v>
      </c>
      <c r="J23" s="445">
        <f t="shared" si="7"/>
        <v>28878522</v>
      </c>
      <c r="K23" s="312">
        <f t="shared" si="14"/>
        <v>0</v>
      </c>
      <c r="L23" s="445">
        <f t="shared" si="7"/>
        <v>23999456</v>
      </c>
      <c r="M23" s="312">
        <f t="shared" si="15"/>
        <v>0</v>
      </c>
      <c r="N23" s="310">
        <f t="shared" si="16"/>
        <v>0</v>
      </c>
      <c r="O23" s="467">
        <f t="shared" si="23"/>
        <v>0</v>
      </c>
      <c r="P23" s="445">
        <f t="shared" si="8"/>
        <v>16577.595000000001</v>
      </c>
      <c r="Q23" s="449">
        <f t="shared" si="26"/>
        <v>0</v>
      </c>
      <c r="R23" s="449">
        <f t="shared" si="27"/>
        <v>0</v>
      </c>
      <c r="S23" s="445">
        <f t="shared" si="9"/>
        <v>10118</v>
      </c>
      <c r="T23" s="469">
        <f t="shared" si="3"/>
        <v>0</v>
      </c>
      <c r="U23" s="445">
        <f t="shared" si="9"/>
        <v>420722</v>
      </c>
      <c r="V23" s="449">
        <f t="shared" si="17"/>
        <v>0</v>
      </c>
      <c r="W23" s="445">
        <f t="shared" si="9"/>
        <v>32167</v>
      </c>
      <c r="X23" s="449">
        <f t="shared" si="22"/>
        <v>0</v>
      </c>
      <c r="Y23" s="445">
        <f t="shared" si="9"/>
        <v>696352</v>
      </c>
      <c r="Z23" s="449">
        <f t="shared" si="21"/>
        <v>0</v>
      </c>
      <c r="AA23" s="445">
        <f t="shared" si="9"/>
        <v>35673</v>
      </c>
      <c r="AB23" s="449">
        <f t="shared" si="18"/>
        <v>0</v>
      </c>
      <c r="AC23" s="445">
        <f t="shared" si="9"/>
        <v>912749</v>
      </c>
      <c r="AD23" s="449">
        <f t="shared" si="28"/>
        <v>0</v>
      </c>
      <c r="AE23" s="472">
        <f t="shared" si="10"/>
        <v>0</v>
      </c>
      <c r="AF23" s="473">
        <f t="shared" si="11"/>
        <v>0</v>
      </c>
      <c r="AG23" s="465">
        <f t="shared" si="24"/>
        <v>0</v>
      </c>
      <c r="AI23" s="466">
        <f>R23-'EDl log'!B21</f>
        <v>-856126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f t="shared" si="7"/>
        <v>32585198</v>
      </c>
      <c r="E24" s="311">
        <f t="shared" si="12"/>
        <v>0</v>
      </c>
      <c r="F24" s="445">
        <f t="shared" si="7"/>
        <v>3954629</v>
      </c>
      <c r="G24" s="312">
        <f t="shared" si="0"/>
        <v>0</v>
      </c>
      <c r="H24" s="445">
        <f t="shared" si="7"/>
        <v>17780562</v>
      </c>
      <c r="I24" s="312">
        <f t="shared" si="13"/>
        <v>0</v>
      </c>
      <c r="J24" s="445">
        <f t="shared" si="7"/>
        <v>28878522</v>
      </c>
      <c r="K24" s="312">
        <f t="shared" si="14"/>
        <v>0</v>
      </c>
      <c r="L24" s="445">
        <f t="shared" si="7"/>
        <v>23999456</v>
      </c>
      <c r="M24" s="312">
        <f t="shared" si="15"/>
        <v>0</v>
      </c>
      <c r="N24" s="310">
        <f t="shared" si="16"/>
        <v>0</v>
      </c>
      <c r="O24" s="467">
        <f t="shared" si="23"/>
        <v>0</v>
      </c>
      <c r="P24" s="445">
        <f t="shared" si="8"/>
        <v>16577.595000000001</v>
      </c>
      <c r="Q24" s="449">
        <f t="shared" si="26"/>
        <v>0</v>
      </c>
      <c r="R24" s="449">
        <f t="shared" si="27"/>
        <v>0</v>
      </c>
      <c r="S24" s="445">
        <f t="shared" si="9"/>
        <v>10118</v>
      </c>
      <c r="T24" s="469">
        <f t="shared" si="3"/>
        <v>0</v>
      </c>
      <c r="U24" s="445">
        <f t="shared" si="9"/>
        <v>420722</v>
      </c>
      <c r="V24" s="449">
        <f t="shared" si="17"/>
        <v>0</v>
      </c>
      <c r="W24" s="445">
        <f t="shared" si="9"/>
        <v>32167</v>
      </c>
      <c r="X24" s="449">
        <f t="shared" si="22"/>
        <v>0</v>
      </c>
      <c r="Y24" s="445">
        <f t="shared" si="9"/>
        <v>696352</v>
      </c>
      <c r="Z24" s="449">
        <f t="shared" si="21"/>
        <v>0</v>
      </c>
      <c r="AA24" s="445">
        <f t="shared" si="9"/>
        <v>35673</v>
      </c>
      <c r="AB24" s="449">
        <f t="shared" si="18"/>
        <v>0</v>
      </c>
      <c r="AC24" s="445">
        <f t="shared" si="9"/>
        <v>912749</v>
      </c>
      <c r="AD24" s="449">
        <f t="shared" si="28"/>
        <v>0</v>
      </c>
      <c r="AE24" s="472">
        <f t="shared" si="10"/>
        <v>0</v>
      </c>
      <c r="AF24" s="473">
        <f t="shared" si="11"/>
        <v>0</v>
      </c>
      <c r="AG24" s="465">
        <f t="shared" si="24"/>
        <v>0</v>
      </c>
      <c r="AI24" s="466">
        <f>R24-'EDl log'!B22</f>
        <v>-856126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f t="shared" si="7"/>
        <v>32585198</v>
      </c>
      <c r="E25" s="311">
        <f t="shared" si="12"/>
        <v>0</v>
      </c>
      <c r="F25" s="445">
        <f t="shared" si="7"/>
        <v>3954629</v>
      </c>
      <c r="G25" s="312">
        <f t="shared" si="0"/>
        <v>0</v>
      </c>
      <c r="H25" s="445">
        <f t="shared" si="7"/>
        <v>17780562</v>
      </c>
      <c r="I25" s="312">
        <f t="shared" si="13"/>
        <v>0</v>
      </c>
      <c r="J25" s="445">
        <f t="shared" si="7"/>
        <v>28878522</v>
      </c>
      <c r="K25" s="312">
        <f t="shared" si="14"/>
        <v>0</v>
      </c>
      <c r="L25" s="445">
        <f t="shared" si="7"/>
        <v>23999456</v>
      </c>
      <c r="M25" s="312">
        <f t="shared" si="15"/>
        <v>0</v>
      </c>
      <c r="N25" s="310">
        <f t="shared" si="16"/>
        <v>0</v>
      </c>
      <c r="O25" s="467">
        <f t="shared" si="23"/>
        <v>0</v>
      </c>
      <c r="P25" s="445">
        <f t="shared" si="8"/>
        <v>16577.595000000001</v>
      </c>
      <c r="Q25" s="449">
        <f t="shared" si="26"/>
        <v>0</v>
      </c>
      <c r="R25" s="449">
        <f t="shared" si="27"/>
        <v>0</v>
      </c>
      <c r="S25" s="445">
        <f t="shared" si="9"/>
        <v>10118</v>
      </c>
      <c r="T25" s="469">
        <f t="shared" si="3"/>
        <v>0</v>
      </c>
      <c r="U25" s="445">
        <f t="shared" si="9"/>
        <v>420722</v>
      </c>
      <c r="V25" s="449">
        <f t="shared" si="17"/>
        <v>0</v>
      </c>
      <c r="W25" s="445">
        <f t="shared" si="9"/>
        <v>32167</v>
      </c>
      <c r="X25" s="449">
        <f t="shared" si="22"/>
        <v>0</v>
      </c>
      <c r="Y25" s="445">
        <f t="shared" si="9"/>
        <v>696352</v>
      </c>
      <c r="Z25" s="449">
        <f t="shared" si="21"/>
        <v>0</v>
      </c>
      <c r="AA25" s="445">
        <f t="shared" si="9"/>
        <v>35673</v>
      </c>
      <c r="AB25" s="449">
        <f t="shared" si="18"/>
        <v>0</v>
      </c>
      <c r="AC25" s="445">
        <f t="shared" si="9"/>
        <v>912749</v>
      </c>
      <c r="AD25" s="449">
        <f t="shared" si="28"/>
        <v>0</v>
      </c>
      <c r="AE25" s="472">
        <f t="shared" si="10"/>
        <v>0</v>
      </c>
      <c r="AF25" s="473">
        <f t="shared" si="11"/>
        <v>0</v>
      </c>
      <c r="AG25" s="465">
        <f t="shared" si="24"/>
        <v>0</v>
      </c>
      <c r="AI25" s="466">
        <f>R25-'EDl log'!B23</f>
        <v>-856126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f t="shared" si="7"/>
        <v>32585198</v>
      </c>
      <c r="E26" s="311">
        <f t="shared" si="12"/>
        <v>0</v>
      </c>
      <c r="F26" s="445">
        <f t="shared" si="7"/>
        <v>3954629</v>
      </c>
      <c r="G26" s="312">
        <f t="shared" si="0"/>
        <v>0</v>
      </c>
      <c r="H26" s="445">
        <f t="shared" si="7"/>
        <v>17780562</v>
      </c>
      <c r="I26" s="312">
        <f t="shared" si="13"/>
        <v>0</v>
      </c>
      <c r="J26" s="445">
        <f t="shared" si="7"/>
        <v>28878522</v>
      </c>
      <c r="K26" s="312">
        <f t="shared" si="14"/>
        <v>0</v>
      </c>
      <c r="L26" s="445">
        <f t="shared" si="7"/>
        <v>23999456</v>
      </c>
      <c r="M26" s="312">
        <f t="shared" si="15"/>
        <v>0</v>
      </c>
      <c r="N26" s="310">
        <f t="shared" si="16"/>
        <v>0</v>
      </c>
      <c r="O26" s="467">
        <f t="shared" si="23"/>
        <v>0</v>
      </c>
      <c r="P26" s="445">
        <f t="shared" si="8"/>
        <v>16577.595000000001</v>
      </c>
      <c r="Q26" s="449">
        <f t="shared" si="26"/>
        <v>0</v>
      </c>
      <c r="R26" s="449">
        <f t="shared" si="27"/>
        <v>0</v>
      </c>
      <c r="S26" s="445">
        <f t="shared" si="9"/>
        <v>10118</v>
      </c>
      <c r="T26" s="469">
        <f t="shared" si="3"/>
        <v>0</v>
      </c>
      <c r="U26" s="445">
        <f t="shared" si="9"/>
        <v>420722</v>
      </c>
      <c r="V26" s="449">
        <f t="shared" si="17"/>
        <v>0</v>
      </c>
      <c r="W26" s="445">
        <f t="shared" si="9"/>
        <v>32167</v>
      </c>
      <c r="X26" s="449">
        <f t="shared" si="22"/>
        <v>0</v>
      </c>
      <c r="Y26" s="445">
        <f t="shared" si="9"/>
        <v>696352</v>
      </c>
      <c r="Z26" s="449">
        <f t="shared" si="21"/>
        <v>0</v>
      </c>
      <c r="AA26" s="445">
        <f t="shared" si="9"/>
        <v>35673</v>
      </c>
      <c r="AB26" s="449">
        <f t="shared" si="18"/>
        <v>0</v>
      </c>
      <c r="AC26" s="445">
        <f t="shared" si="9"/>
        <v>912749</v>
      </c>
      <c r="AD26" s="449">
        <f t="shared" si="28"/>
        <v>0</v>
      </c>
      <c r="AE26" s="472">
        <f t="shared" si="10"/>
        <v>0</v>
      </c>
      <c r="AF26" s="473">
        <f t="shared" si="11"/>
        <v>0</v>
      </c>
      <c r="AG26" s="465">
        <f t="shared" si="24"/>
        <v>0</v>
      </c>
      <c r="AI26" s="466">
        <f>R26-'EDl log'!B24</f>
        <v>-856126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si="7"/>
        <v>32585198</v>
      </c>
      <c r="E27" s="311">
        <f t="shared" si="12"/>
        <v>0</v>
      </c>
      <c r="F27" s="445">
        <f t="shared" si="7"/>
        <v>3954629</v>
      </c>
      <c r="G27" s="312">
        <f>F27-F26</f>
        <v>0</v>
      </c>
      <c r="H27" s="445">
        <f t="shared" si="7"/>
        <v>17780562</v>
      </c>
      <c r="I27" s="312">
        <f t="shared" si="13"/>
        <v>0</v>
      </c>
      <c r="J27" s="445">
        <f t="shared" si="7"/>
        <v>28878522</v>
      </c>
      <c r="K27" s="312">
        <f t="shared" si="14"/>
        <v>0</v>
      </c>
      <c r="L27" s="445">
        <f t="shared" si="7"/>
        <v>23999456</v>
      </c>
      <c r="M27" s="312">
        <f t="shared" si="15"/>
        <v>0</v>
      </c>
      <c r="N27" s="310">
        <f t="shared" si="16"/>
        <v>0</v>
      </c>
      <c r="O27" s="467">
        <f t="shared" si="23"/>
        <v>0</v>
      </c>
      <c r="P27" s="445">
        <f t="shared" si="8"/>
        <v>16577.595000000001</v>
      </c>
      <c r="Q27" s="449">
        <f t="shared" si="26"/>
        <v>0</v>
      </c>
      <c r="R27" s="449">
        <f t="shared" si="27"/>
        <v>0</v>
      </c>
      <c r="S27" s="445">
        <f t="shared" si="9"/>
        <v>10118</v>
      </c>
      <c r="T27" s="469">
        <f t="shared" si="3"/>
        <v>0</v>
      </c>
      <c r="U27" s="445">
        <f t="shared" si="9"/>
        <v>420722</v>
      </c>
      <c r="V27" s="449">
        <f t="shared" si="17"/>
        <v>0</v>
      </c>
      <c r="W27" s="445">
        <f t="shared" si="9"/>
        <v>32167</v>
      </c>
      <c r="X27" s="449">
        <f t="shared" si="22"/>
        <v>0</v>
      </c>
      <c r="Y27" s="445">
        <f t="shared" si="9"/>
        <v>696352</v>
      </c>
      <c r="Z27" s="449">
        <f t="shared" si="21"/>
        <v>0</v>
      </c>
      <c r="AA27" s="445">
        <f t="shared" si="9"/>
        <v>35673</v>
      </c>
      <c r="AB27" s="449">
        <f t="shared" si="18"/>
        <v>0</v>
      </c>
      <c r="AC27" s="445">
        <f t="shared" si="9"/>
        <v>912749</v>
      </c>
      <c r="AD27" s="449">
        <f t="shared" si="28"/>
        <v>0</v>
      </c>
      <c r="AE27" s="472">
        <f t="shared" si="10"/>
        <v>0</v>
      </c>
      <c r="AF27" s="473">
        <f t="shared" si="11"/>
        <v>0</v>
      </c>
      <c r="AG27" s="465">
        <f t="shared" si="24"/>
        <v>0</v>
      </c>
      <c r="AI27" s="466">
        <f>R27-'EDl log'!B25</f>
        <v>-856126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7"/>
        <v>32585198</v>
      </c>
      <c r="E28" s="311">
        <f t="shared" si="12"/>
        <v>0</v>
      </c>
      <c r="F28" s="445">
        <f t="shared" si="7"/>
        <v>3954629</v>
      </c>
      <c r="G28" s="312">
        <f t="shared" si="0"/>
        <v>0</v>
      </c>
      <c r="H28" s="445">
        <f t="shared" si="7"/>
        <v>17780562</v>
      </c>
      <c r="I28" s="312">
        <f t="shared" si="13"/>
        <v>0</v>
      </c>
      <c r="J28" s="445">
        <f t="shared" si="7"/>
        <v>28878522</v>
      </c>
      <c r="K28" s="312">
        <f t="shared" si="14"/>
        <v>0</v>
      </c>
      <c r="L28" s="445">
        <f t="shared" si="7"/>
        <v>23999456</v>
      </c>
      <c r="M28" s="312">
        <f t="shared" si="15"/>
        <v>0</v>
      </c>
      <c r="N28" s="310">
        <f t="shared" si="16"/>
        <v>0</v>
      </c>
      <c r="O28" s="467">
        <f t="shared" si="23"/>
        <v>0</v>
      </c>
      <c r="P28" s="445">
        <f t="shared" si="8"/>
        <v>16577.595000000001</v>
      </c>
      <c r="Q28" s="449">
        <f t="shared" si="26"/>
        <v>0</v>
      </c>
      <c r="R28" s="449">
        <f t="shared" si="27"/>
        <v>0</v>
      </c>
      <c r="S28" s="445">
        <f t="shared" si="9"/>
        <v>10118</v>
      </c>
      <c r="T28" s="469">
        <f t="shared" si="3"/>
        <v>0</v>
      </c>
      <c r="U28" s="445">
        <f t="shared" si="9"/>
        <v>420722</v>
      </c>
      <c r="V28" s="449">
        <f t="shared" si="17"/>
        <v>0</v>
      </c>
      <c r="W28" s="445">
        <f t="shared" si="9"/>
        <v>32167</v>
      </c>
      <c r="X28" s="449">
        <f t="shared" si="22"/>
        <v>0</v>
      </c>
      <c r="Y28" s="445">
        <f t="shared" si="9"/>
        <v>696352</v>
      </c>
      <c r="Z28" s="449">
        <f t="shared" si="21"/>
        <v>0</v>
      </c>
      <c r="AA28" s="445">
        <f t="shared" si="9"/>
        <v>35673</v>
      </c>
      <c r="AB28" s="449">
        <f t="shared" si="18"/>
        <v>0</v>
      </c>
      <c r="AC28" s="445">
        <f t="shared" si="9"/>
        <v>912749</v>
      </c>
      <c r="AD28" s="449">
        <f t="shared" si="28"/>
        <v>0</v>
      </c>
      <c r="AE28" s="472">
        <f t="shared" si="10"/>
        <v>0</v>
      </c>
      <c r="AF28" s="473">
        <f t="shared" si="11"/>
        <v>0</v>
      </c>
      <c r="AG28" s="465">
        <f t="shared" si="24"/>
        <v>0</v>
      </c>
      <c r="AI28" s="466">
        <f>R28-'EDl log'!B26</f>
        <v>-856126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7"/>
        <v>32585198</v>
      </c>
      <c r="E29" s="311">
        <f t="shared" si="12"/>
        <v>0</v>
      </c>
      <c r="F29" s="445">
        <f t="shared" si="7"/>
        <v>3954629</v>
      </c>
      <c r="G29" s="312">
        <f t="shared" si="0"/>
        <v>0</v>
      </c>
      <c r="H29" s="445">
        <f t="shared" si="7"/>
        <v>17780562</v>
      </c>
      <c r="I29" s="312">
        <f t="shared" si="13"/>
        <v>0</v>
      </c>
      <c r="J29" s="445">
        <f t="shared" si="7"/>
        <v>28878522</v>
      </c>
      <c r="K29" s="312">
        <f t="shared" si="14"/>
        <v>0</v>
      </c>
      <c r="L29" s="445">
        <f t="shared" si="7"/>
        <v>23999456</v>
      </c>
      <c r="M29" s="312">
        <f t="shared" si="15"/>
        <v>0</v>
      </c>
      <c r="N29" s="310">
        <f t="shared" si="16"/>
        <v>0</v>
      </c>
      <c r="O29" s="467">
        <f t="shared" si="23"/>
        <v>0</v>
      </c>
      <c r="P29" s="445">
        <f t="shared" si="8"/>
        <v>16577.595000000001</v>
      </c>
      <c r="Q29" s="449">
        <f t="shared" si="26"/>
        <v>0</v>
      </c>
      <c r="R29" s="449">
        <f t="shared" si="27"/>
        <v>0</v>
      </c>
      <c r="S29" s="445">
        <f t="shared" si="9"/>
        <v>10118</v>
      </c>
      <c r="T29" s="469">
        <f t="shared" si="3"/>
        <v>0</v>
      </c>
      <c r="U29" s="445">
        <f t="shared" si="9"/>
        <v>420722</v>
      </c>
      <c r="V29" s="449">
        <f t="shared" si="17"/>
        <v>0</v>
      </c>
      <c r="W29" s="445">
        <f t="shared" si="9"/>
        <v>32167</v>
      </c>
      <c r="X29" s="449">
        <f t="shared" si="22"/>
        <v>0</v>
      </c>
      <c r="Y29" s="445">
        <f t="shared" si="9"/>
        <v>696352</v>
      </c>
      <c r="Z29" s="449">
        <f t="shared" si="21"/>
        <v>0</v>
      </c>
      <c r="AA29" s="445">
        <f t="shared" si="9"/>
        <v>35673</v>
      </c>
      <c r="AB29" s="449">
        <f t="shared" si="18"/>
        <v>0</v>
      </c>
      <c r="AC29" s="445">
        <f t="shared" si="9"/>
        <v>912749</v>
      </c>
      <c r="AD29" s="449">
        <f t="shared" si="28"/>
        <v>0</v>
      </c>
      <c r="AE29" s="472">
        <f t="shared" si="10"/>
        <v>0</v>
      </c>
      <c r="AF29" s="473">
        <f t="shared" si="11"/>
        <v>0</v>
      </c>
      <c r="AG29" s="465">
        <f t="shared" si="24"/>
        <v>0</v>
      </c>
      <c r="AI29" s="466">
        <f>R29-'EDl log'!B27</f>
        <v>-856126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7"/>
        <v>32585198</v>
      </c>
      <c r="E30" s="311">
        <f t="shared" si="12"/>
        <v>0</v>
      </c>
      <c r="F30" s="445">
        <f t="shared" si="7"/>
        <v>3954629</v>
      </c>
      <c r="G30" s="312">
        <f t="shared" si="0"/>
        <v>0</v>
      </c>
      <c r="H30" s="445">
        <f t="shared" si="7"/>
        <v>17780562</v>
      </c>
      <c r="I30" s="312">
        <f t="shared" si="13"/>
        <v>0</v>
      </c>
      <c r="J30" s="445">
        <f t="shared" si="7"/>
        <v>28878522</v>
      </c>
      <c r="K30" s="312">
        <f t="shared" si="14"/>
        <v>0</v>
      </c>
      <c r="L30" s="445">
        <f t="shared" si="7"/>
        <v>23999456</v>
      </c>
      <c r="M30" s="312">
        <f t="shared" si="15"/>
        <v>0</v>
      </c>
      <c r="N30" s="310">
        <f t="shared" si="16"/>
        <v>0</v>
      </c>
      <c r="O30" s="467">
        <f t="shared" si="23"/>
        <v>0</v>
      </c>
      <c r="P30" s="445">
        <f t="shared" si="8"/>
        <v>16577.595000000001</v>
      </c>
      <c r="Q30" s="449">
        <f t="shared" si="26"/>
        <v>0</v>
      </c>
      <c r="R30" s="449">
        <f t="shared" si="27"/>
        <v>0</v>
      </c>
      <c r="S30" s="445">
        <f t="shared" si="9"/>
        <v>10118</v>
      </c>
      <c r="T30" s="469">
        <f t="shared" si="3"/>
        <v>0</v>
      </c>
      <c r="U30" s="445">
        <f t="shared" si="9"/>
        <v>420722</v>
      </c>
      <c r="V30" s="449">
        <f t="shared" si="17"/>
        <v>0</v>
      </c>
      <c r="W30" s="445">
        <f t="shared" si="9"/>
        <v>32167</v>
      </c>
      <c r="X30" s="470">
        <f t="shared" si="22"/>
        <v>0</v>
      </c>
      <c r="Y30" s="445">
        <f t="shared" si="9"/>
        <v>696352</v>
      </c>
      <c r="Z30" s="449">
        <f t="shared" si="21"/>
        <v>0</v>
      </c>
      <c r="AA30" s="445">
        <f t="shared" si="9"/>
        <v>35673</v>
      </c>
      <c r="AB30" s="449">
        <f t="shared" si="18"/>
        <v>0</v>
      </c>
      <c r="AC30" s="445">
        <f t="shared" si="9"/>
        <v>912749</v>
      </c>
      <c r="AD30" s="449">
        <f t="shared" si="28"/>
        <v>0</v>
      </c>
      <c r="AE30" s="472">
        <f t="shared" si="10"/>
        <v>0</v>
      </c>
      <c r="AF30" s="473">
        <f t="shared" si="11"/>
        <v>0</v>
      </c>
      <c r="AG30" s="465">
        <f t="shared" si="24"/>
        <v>0</v>
      </c>
      <c r="AI30" s="466">
        <f>R30-'EDl log'!B28</f>
        <v>-856126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topLeftCell="R1" zoomScale="90" zoomScaleNormal="90" workbookViewId="0">
      <pane ySplit="1" topLeftCell="A2" activePane="bottomLeft" state="frozen"/>
      <selection activeCell="K1" sqref="K1"/>
      <selection pane="bottomLeft" activeCell="AN5" sqref="AN5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2" t="s">
        <v>2</v>
      </c>
      <c r="G1" s="613"/>
      <c r="H1" s="613"/>
      <c r="I1" s="614"/>
      <c r="J1" s="282">
        <f>J33</f>
        <v>1</v>
      </c>
      <c r="K1" s="615" t="s">
        <v>4</v>
      </c>
      <c r="L1" s="616"/>
      <c r="M1" s="616"/>
      <c r="N1" s="616"/>
      <c r="O1" s="617"/>
      <c r="P1" s="606" t="s">
        <v>6</v>
      </c>
      <c r="Q1" s="607"/>
      <c r="R1" s="607"/>
      <c r="S1" s="607"/>
      <c r="T1" s="608"/>
      <c r="U1" s="397"/>
      <c r="V1" s="27" t="s">
        <v>104</v>
      </c>
      <c r="W1" s="398"/>
      <c r="X1" s="606" t="s">
        <v>8</v>
      </c>
      <c r="Y1" s="607"/>
      <c r="Z1" s="607"/>
      <c r="AA1" s="607"/>
      <c r="AB1" s="607"/>
      <c r="AC1" s="609" t="s">
        <v>10</v>
      </c>
      <c r="AD1" s="610"/>
      <c r="AE1" s="610"/>
      <c r="AF1" s="61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4"/>
      <c r="R2" s="60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f>[2]B5!AV35</f>
        <v>0</v>
      </c>
      <c r="AW4" s="395">
        <f>[2]B5!AW35</f>
        <v>0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f t="shared" ref="B6:C32" si="8">B5</f>
        <v>232</v>
      </c>
      <c r="C6" s="589">
        <f t="shared" si="8"/>
        <v>238</v>
      </c>
      <c r="D6" s="45">
        <f>C5-C6</f>
        <v>0</v>
      </c>
      <c r="E6" s="45">
        <f t="shared" ref="E6:E31" si="9">D6*8.38</f>
        <v>0</v>
      </c>
      <c r="F6" s="589">
        <f t="shared" ref="F6:H32" si="10">F5</f>
        <v>1717</v>
      </c>
      <c r="G6" s="52">
        <f t="shared" si="0"/>
        <v>0</v>
      </c>
      <c r="H6" s="589">
        <f t="shared" si="10"/>
        <v>4147</v>
      </c>
      <c r="I6" s="396">
        <f t="shared" si="1"/>
        <v>0</v>
      </c>
      <c r="J6" s="66">
        <f t="shared" ref="J6:J32" si="11">IF(G6&gt;0,I6/G6,0)</f>
        <v>0</v>
      </c>
      <c r="K6" s="589">
        <f t="shared" ref="K6:M32" si="12">K5</f>
        <v>2216</v>
      </c>
      <c r="L6" s="52">
        <f t="shared" ref="L6:L32" si="13">K6-K5</f>
        <v>0</v>
      </c>
      <c r="M6" s="589">
        <f t="shared" si="12"/>
        <v>162924</v>
      </c>
      <c r="N6" s="396">
        <f t="shared" si="2"/>
        <v>0</v>
      </c>
      <c r="O6" s="64">
        <f t="shared" ref="O6:P32" si="14">O5</f>
        <v>1869</v>
      </c>
      <c r="P6" s="589">
        <f t="shared" si="14"/>
        <v>1966</v>
      </c>
      <c r="Q6" s="589">
        <f t="shared" ref="Q6" si="15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6">SUM(G6+L6+S6)</f>
        <v>0</v>
      </c>
      <c r="V6" s="62">
        <f t="shared" ref="V6:V32" si="17">R6+N6+I6:I6</f>
        <v>0</v>
      </c>
      <c r="W6" s="400" t="e">
        <f t="shared" ref="W6:W16" si="18">SUM(V6/U6)</f>
        <v>#DIV/0!</v>
      </c>
      <c r="X6" s="589">
        <f t="shared" ref="X6:Z32" si="19">X5</f>
        <v>2453</v>
      </c>
      <c r="Y6" s="52">
        <f t="shared" ref="Y6:Y32" si="20">X6-X5</f>
        <v>0</v>
      </c>
      <c r="Z6" s="589">
        <f t="shared" si="19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21">AC5</f>
        <v>1934</v>
      </c>
      <c r="AD6" s="45">
        <f t="shared" si="6"/>
        <v>0</v>
      </c>
      <c r="AE6" s="589">
        <f t="shared" si="21"/>
        <v>365317</v>
      </c>
      <c r="AF6" s="306">
        <f t="shared" ref="AF6:AF32" si="22">AE6-AE5</f>
        <v>0</v>
      </c>
      <c r="AG6" s="209">
        <f>IF(AD6&gt;0,AF6/AD6,0)</f>
        <v>0</v>
      </c>
      <c r="AH6" s="62">
        <f>AF6+AA6</f>
        <v>0</v>
      </c>
      <c r="AI6" s="318">
        <f t="shared" ref="AI6:AI32" si="23">SUM(AH6+V6)</f>
        <v>0</v>
      </c>
      <c r="AJ6" s="318">
        <f>-tanks!AW7</f>
        <v>0</v>
      </c>
      <c r="AK6" s="318">
        <f t="shared" ref="AK6:AK32" si="24">SUM(AJ6-AI6)</f>
        <v>0</v>
      </c>
      <c r="AL6" s="318">
        <f t="shared" si="7"/>
        <v>0</v>
      </c>
      <c r="AM6" s="318">
        <f t="shared" ref="AM6:AM32" si="25">Y6+AD6</f>
        <v>0</v>
      </c>
      <c r="AN6" s="589">
        <f t="shared" ref="AN6:AP6" si="26">AN5</f>
        <v>67</v>
      </c>
      <c r="AO6" s="320">
        <f t="shared" ref="AO6:AO26" si="27">(AN6/100)*3000</f>
        <v>2010.0000000000002</v>
      </c>
      <c r="AP6" s="589">
        <f t="shared" si="26"/>
        <v>55</v>
      </c>
      <c r="AQ6" s="320">
        <f t="shared" ref="AQ6:AQ24" si="28">(AP6/100)*3000</f>
        <v>1650.0000000000002</v>
      </c>
      <c r="AR6" s="589">
        <f t="shared" ref="AR6" si="29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30">IF(AV6&gt;0,AW6,AX5)</f>
        <v>0.8</v>
      </c>
    </row>
    <row r="7" spans="1:52">
      <c r="A7" s="63">
        <f>ELEC!C5</f>
        <v>44230</v>
      </c>
      <c r="B7" s="589">
        <f t="shared" si="8"/>
        <v>232</v>
      </c>
      <c r="C7" s="589">
        <f t="shared" si="8"/>
        <v>238</v>
      </c>
      <c r="D7" s="45">
        <f t="shared" ref="D7:D32" si="31">C6-C7</f>
        <v>0</v>
      </c>
      <c r="E7" s="45">
        <f t="shared" si="9"/>
        <v>0</v>
      </c>
      <c r="F7" s="589">
        <f t="shared" si="10"/>
        <v>1717</v>
      </c>
      <c r="G7" s="52">
        <f t="shared" si="0"/>
        <v>0</v>
      </c>
      <c r="H7" s="589">
        <f t="shared" si="10"/>
        <v>4147</v>
      </c>
      <c r="I7" s="396">
        <f t="shared" si="1"/>
        <v>0</v>
      </c>
      <c r="J7" s="66">
        <f t="shared" si="11"/>
        <v>0</v>
      </c>
      <c r="K7" s="589">
        <f t="shared" si="12"/>
        <v>2216</v>
      </c>
      <c r="L7" s="52">
        <f t="shared" si="13"/>
        <v>0</v>
      </c>
      <c r="M7" s="589">
        <f t="shared" si="12"/>
        <v>162924</v>
      </c>
      <c r="N7" s="396">
        <f t="shared" si="2"/>
        <v>0</v>
      </c>
      <c r="O7" s="64">
        <f t="shared" si="14"/>
        <v>1869</v>
      </c>
      <c r="P7" s="589">
        <f t="shared" si="14"/>
        <v>1966</v>
      </c>
      <c r="Q7" s="589">
        <f t="shared" ref="Q7" si="32">Q6</f>
        <v>166371</v>
      </c>
      <c r="R7" s="395">
        <f t="shared" si="3"/>
        <v>0</v>
      </c>
      <c r="S7" s="52">
        <f t="shared" si="4"/>
        <v>0</v>
      </c>
      <c r="T7" s="67">
        <f t="shared" ref="T7:T32" si="33">SUM(S7*$T$2)</f>
        <v>0</v>
      </c>
      <c r="U7" s="402">
        <f t="shared" si="16"/>
        <v>0</v>
      </c>
      <c r="V7" s="62">
        <f t="shared" si="17"/>
        <v>0</v>
      </c>
      <c r="W7" s="400" t="e">
        <f t="shared" si="18"/>
        <v>#DIV/0!</v>
      </c>
      <c r="X7" s="589">
        <f t="shared" si="19"/>
        <v>2453</v>
      </c>
      <c r="Y7" s="52">
        <f t="shared" si="20"/>
        <v>0</v>
      </c>
      <c r="Z7" s="589">
        <f t="shared" si="19"/>
        <v>137950.70000000001</v>
      </c>
      <c r="AA7" s="65">
        <f t="shared" si="5"/>
        <v>0</v>
      </c>
      <c r="AB7" s="284">
        <f t="shared" ref="AB7:AB17" si="34">SUM(Y7*$AB$2)</f>
        <v>0</v>
      </c>
      <c r="AC7" s="589">
        <f t="shared" ref="AC7:AE7" si="35">AC6</f>
        <v>1934</v>
      </c>
      <c r="AD7" s="45">
        <f t="shared" si="6"/>
        <v>0</v>
      </c>
      <c r="AE7" s="589">
        <f t="shared" si="35"/>
        <v>365317</v>
      </c>
      <c r="AF7" s="306">
        <f t="shared" si="22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3"/>
        <v>0</v>
      </c>
      <c r="AJ7" s="318">
        <f>-tanks!AW8</f>
        <v>0</v>
      </c>
      <c r="AK7" s="318">
        <f t="shared" si="24"/>
        <v>0</v>
      </c>
      <c r="AL7" s="318">
        <f t="shared" si="7"/>
        <v>0</v>
      </c>
      <c r="AM7" s="318">
        <f t="shared" si="25"/>
        <v>0</v>
      </c>
      <c r="AN7" s="589">
        <f t="shared" ref="AN7:AP7" si="38">AN6</f>
        <v>67</v>
      </c>
      <c r="AO7" s="320">
        <f t="shared" si="27"/>
        <v>2010.0000000000002</v>
      </c>
      <c r="AP7" s="589">
        <f t="shared" si="38"/>
        <v>55</v>
      </c>
      <c r="AQ7" s="320">
        <f t="shared" si="28"/>
        <v>1650.0000000000002</v>
      </c>
      <c r="AR7" s="589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30"/>
        <v>0.8</v>
      </c>
      <c r="AZ7" s="42" t="s">
        <v>413</v>
      </c>
    </row>
    <row r="8" spans="1:52">
      <c r="A8" s="63">
        <f>ELEC!C6</f>
        <v>44231</v>
      </c>
      <c r="B8" s="589">
        <f t="shared" si="8"/>
        <v>232</v>
      </c>
      <c r="C8" s="589">
        <f t="shared" si="8"/>
        <v>238</v>
      </c>
      <c r="D8" s="45">
        <f t="shared" si="31"/>
        <v>0</v>
      </c>
      <c r="E8" s="45">
        <f t="shared" si="9"/>
        <v>0</v>
      </c>
      <c r="F8" s="589">
        <f t="shared" si="10"/>
        <v>1717</v>
      </c>
      <c r="G8" s="52">
        <f t="shared" si="0"/>
        <v>0</v>
      </c>
      <c r="H8" s="589">
        <f t="shared" si="10"/>
        <v>4147</v>
      </c>
      <c r="I8" s="396">
        <f t="shared" si="1"/>
        <v>0</v>
      </c>
      <c r="J8" s="66">
        <f t="shared" si="11"/>
        <v>0</v>
      </c>
      <c r="K8" s="589">
        <f t="shared" si="12"/>
        <v>2216</v>
      </c>
      <c r="L8" s="52">
        <f t="shared" si="13"/>
        <v>0</v>
      </c>
      <c r="M8" s="589">
        <f t="shared" si="12"/>
        <v>162924</v>
      </c>
      <c r="N8" s="396">
        <f t="shared" si="2"/>
        <v>0</v>
      </c>
      <c r="O8" s="64">
        <f t="shared" si="14"/>
        <v>1869</v>
      </c>
      <c r="P8" s="589">
        <f t="shared" si="14"/>
        <v>1966</v>
      </c>
      <c r="Q8" s="589">
        <f t="shared" ref="Q8" si="43">Q7</f>
        <v>166371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6"/>
        <v>0</v>
      </c>
      <c r="V8" s="62">
        <f t="shared" si="17"/>
        <v>0</v>
      </c>
      <c r="W8" s="400" t="e">
        <f t="shared" si="18"/>
        <v>#DIV/0!</v>
      </c>
      <c r="X8" s="589">
        <f t="shared" si="19"/>
        <v>2453</v>
      </c>
      <c r="Y8" s="52">
        <f t="shared" si="20"/>
        <v>0</v>
      </c>
      <c r="Z8" s="589">
        <f t="shared" si="19"/>
        <v>137950.70000000001</v>
      </c>
      <c r="AA8" s="65">
        <f t="shared" si="5"/>
        <v>0</v>
      </c>
      <c r="AB8" s="284">
        <f t="shared" si="34"/>
        <v>0</v>
      </c>
      <c r="AC8" s="589">
        <f t="shared" ref="AC8:AE8" si="44">AC7</f>
        <v>1934</v>
      </c>
      <c r="AD8" s="45">
        <f t="shared" si="6"/>
        <v>0</v>
      </c>
      <c r="AE8" s="589">
        <f t="shared" si="44"/>
        <v>365317</v>
      </c>
      <c r="AF8" s="306">
        <f t="shared" si="22"/>
        <v>0</v>
      </c>
      <c r="AG8" s="209">
        <f t="shared" si="36"/>
        <v>0</v>
      </c>
      <c r="AH8" s="62">
        <f t="shared" si="37"/>
        <v>0</v>
      </c>
      <c r="AI8" s="318">
        <f t="shared" si="23"/>
        <v>0</v>
      </c>
      <c r="AJ8" s="318">
        <f>-tanks!AW9</f>
        <v>0</v>
      </c>
      <c r="AK8" s="318">
        <f t="shared" si="24"/>
        <v>0</v>
      </c>
      <c r="AL8" s="318">
        <f t="shared" si="7"/>
        <v>0</v>
      </c>
      <c r="AM8" s="318">
        <f t="shared" si="25"/>
        <v>0</v>
      </c>
      <c r="AN8" s="589">
        <f t="shared" ref="AN8:AP8" si="45">AN7</f>
        <v>67</v>
      </c>
      <c r="AO8" s="320">
        <f t="shared" si="27"/>
        <v>2010.0000000000002</v>
      </c>
      <c r="AP8" s="589">
        <f t="shared" si="45"/>
        <v>55</v>
      </c>
      <c r="AQ8" s="320">
        <f t="shared" si="28"/>
        <v>1650.0000000000002</v>
      </c>
      <c r="AR8" s="589">
        <f t="shared" ref="AR8" si="46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30"/>
        <v>0.8</v>
      </c>
    </row>
    <row r="9" spans="1:52" ht="15.75" customHeight="1">
      <c r="A9" s="63">
        <f>ELEC!C7</f>
        <v>44232</v>
      </c>
      <c r="B9" s="589">
        <f t="shared" si="8"/>
        <v>232</v>
      </c>
      <c r="C9" s="589">
        <f t="shared" si="8"/>
        <v>238</v>
      </c>
      <c r="D9" s="45">
        <f t="shared" si="31"/>
        <v>0</v>
      </c>
      <c r="E9" s="45">
        <f t="shared" si="9"/>
        <v>0</v>
      </c>
      <c r="F9" s="589">
        <f t="shared" si="10"/>
        <v>1717</v>
      </c>
      <c r="G9" s="52">
        <f t="shared" si="0"/>
        <v>0</v>
      </c>
      <c r="H9" s="589">
        <f t="shared" si="10"/>
        <v>4147</v>
      </c>
      <c r="I9" s="396">
        <f t="shared" si="1"/>
        <v>0</v>
      </c>
      <c r="J9" s="66">
        <f t="shared" si="11"/>
        <v>0</v>
      </c>
      <c r="K9" s="589">
        <f t="shared" si="12"/>
        <v>2216</v>
      </c>
      <c r="L9" s="52">
        <f t="shared" si="13"/>
        <v>0</v>
      </c>
      <c r="M9" s="589">
        <f t="shared" si="12"/>
        <v>162924</v>
      </c>
      <c r="N9" s="396">
        <f t="shared" si="2"/>
        <v>0</v>
      </c>
      <c r="O9" s="64">
        <f t="shared" si="14"/>
        <v>1869</v>
      </c>
      <c r="P9" s="589">
        <f t="shared" si="14"/>
        <v>1966</v>
      </c>
      <c r="Q9" s="589">
        <f t="shared" ref="Q9" si="47">Q8</f>
        <v>166371</v>
      </c>
      <c r="R9" s="395">
        <f t="shared" si="3"/>
        <v>0</v>
      </c>
      <c r="S9" s="52">
        <f t="shared" si="4"/>
        <v>0</v>
      </c>
      <c r="T9" s="67">
        <f t="shared" si="33"/>
        <v>0</v>
      </c>
      <c r="U9" s="402">
        <f t="shared" si="16"/>
        <v>0</v>
      </c>
      <c r="V9" s="62">
        <f t="shared" si="17"/>
        <v>0</v>
      </c>
      <c r="W9" s="400" t="e">
        <f t="shared" si="18"/>
        <v>#DIV/0!</v>
      </c>
      <c r="X9" s="589">
        <f t="shared" si="19"/>
        <v>2453</v>
      </c>
      <c r="Y9" s="52">
        <f t="shared" si="20"/>
        <v>0</v>
      </c>
      <c r="Z9" s="589">
        <f t="shared" si="19"/>
        <v>137950.70000000001</v>
      </c>
      <c r="AA9" s="65">
        <f t="shared" si="5"/>
        <v>0</v>
      </c>
      <c r="AB9" s="284">
        <f t="shared" si="34"/>
        <v>0</v>
      </c>
      <c r="AC9" s="589">
        <f t="shared" ref="AC9:AE9" si="48">AC8</f>
        <v>1934</v>
      </c>
      <c r="AD9" s="45">
        <f t="shared" si="6"/>
        <v>0</v>
      </c>
      <c r="AE9" s="589">
        <f t="shared" si="48"/>
        <v>365317</v>
      </c>
      <c r="AF9" s="306">
        <f t="shared" si="22"/>
        <v>0</v>
      </c>
      <c r="AG9" s="209">
        <f t="shared" si="36"/>
        <v>0</v>
      </c>
      <c r="AH9" s="62">
        <f t="shared" si="37"/>
        <v>0</v>
      </c>
      <c r="AI9" s="318">
        <f t="shared" si="23"/>
        <v>0</v>
      </c>
      <c r="AJ9" s="318">
        <f>-tanks!AW10</f>
        <v>0</v>
      </c>
      <c r="AK9" s="318">
        <f t="shared" si="24"/>
        <v>0</v>
      </c>
      <c r="AL9" s="318">
        <f t="shared" si="7"/>
        <v>0</v>
      </c>
      <c r="AM9" s="318">
        <f t="shared" si="25"/>
        <v>0</v>
      </c>
      <c r="AN9" s="589">
        <f t="shared" ref="AN9:AP9" si="49">AN8</f>
        <v>67</v>
      </c>
      <c r="AO9" s="320">
        <f t="shared" si="27"/>
        <v>2010.0000000000002</v>
      </c>
      <c r="AP9" s="589">
        <f t="shared" si="49"/>
        <v>55</v>
      </c>
      <c r="AQ9" s="320">
        <f t="shared" si="28"/>
        <v>1650.0000000000002</v>
      </c>
      <c r="AR9" s="589">
        <f t="shared" ref="AR9" si="50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30"/>
        <v>0.8</v>
      </c>
    </row>
    <row r="10" spans="1:52">
      <c r="A10" s="63">
        <f>ELEC!C8</f>
        <v>44233</v>
      </c>
      <c r="B10" s="589">
        <f t="shared" si="8"/>
        <v>232</v>
      </c>
      <c r="C10" s="589">
        <f t="shared" si="8"/>
        <v>238</v>
      </c>
      <c r="D10" s="45">
        <f t="shared" si="31"/>
        <v>0</v>
      </c>
      <c r="E10" s="45">
        <f t="shared" si="9"/>
        <v>0</v>
      </c>
      <c r="F10" s="589">
        <f t="shared" si="10"/>
        <v>1717</v>
      </c>
      <c r="G10" s="52">
        <f t="shared" si="0"/>
        <v>0</v>
      </c>
      <c r="H10" s="589">
        <f t="shared" si="10"/>
        <v>4147</v>
      </c>
      <c r="I10" s="396">
        <f t="shared" si="1"/>
        <v>0</v>
      </c>
      <c r="J10" s="66">
        <f t="shared" si="11"/>
        <v>0</v>
      </c>
      <c r="K10" s="589">
        <f t="shared" si="12"/>
        <v>2216</v>
      </c>
      <c r="L10" s="52">
        <f t="shared" si="13"/>
        <v>0</v>
      </c>
      <c r="M10" s="589">
        <f t="shared" si="12"/>
        <v>162924</v>
      </c>
      <c r="N10" s="396">
        <f t="shared" si="2"/>
        <v>0</v>
      </c>
      <c r="O10" s="64">
        <f t="shared" si="14"/>
        <v>1869</v>
      </c>
      <c r="P10" s="589">
        <f t="shared" si="14"/>
        <v>1966</v>
      </c>
      <c r="Q10" s="589">
        <f t="shared" ref="Q10" si="51">Q9</f>
        <v>166371</v>
      </c>
      <c r="R10" s="395">
        <f t="shared" si="3"/>
        <v>0</v>
      </c>
      <c r="S10" s="52">
        <f t="shared" si="4"/>
        <v>0</v>
      </c>
      <c r="T10" s="67">
        <f t="shared" si="33"/>
        <v>0</v>
      </c>
      <c r="U10" s="402">
        <f t="shared" si="16"/>
        <v>0</v>
      </c>
      <c r="V10" s="62">
        <f t="shared" si="17"/>
        <v>0</v>
      </c>
      <c r="W10" s="400" t="e">
        <f t="shared" si="18"/>
        <v>#DIV/0!</v>
      </c>
      <c r="X10" s="589">
        <f t="shared" si="19"/>
        <v>2453</v>
      </c>
      <c r="Y10" s="52">
        <f t="shared" si="20"/>
        <v>0</v>
      </c>
      <c r="Z10" s="589">
        <f t="shared" si="19"/>
        <v>137950.70000000001</v>
      </c>
      <c r="AA10" s="65">
        <f t="shared" si="5"/>
        <v>0</v>
      </c>
      <c r="AB10" s="284">
        <f t="shared" si="34"/>
        <v>0</v>
      </c>
      <c r="AC10" s="589">
        <f t="shared" ref="AC10:AE10" si="52">AC9</f>
        <v>1934</v>
      </c>
      <c r="AD10" s="45">
        <f t="shared" si="6"/>
        <v>0</v>
      </c>
      <c r="AE10" s="589">
        <f t="shared" si="52"/>
        <v>365317</v>
      </c>
      <c r="AF10" s="306">
        <f t="shared" si="22"/>
        <v>0</v>
      </c>
      <c r="AG10" s="209">
        <f t="shared" si="36"/>
        <v>0</v>
      </c>
      <c r="AH10" s="62">
        <f t="shared" si="37"/>
        <v>0</v>
      </c>
      <c r="AI10" s="318">
        <f>SUM(AH10+V10)</f>
        <v>0</v>
      </c>
      <c r="AJ10" s="318">
        <f>-tanks!AW11</f>
        <v>0</v>
      </c>
      <c r="AK10" s="318">
        <f t="shared" si="24"/>
        <v>0</v>
      </c>
      <c r="AL10" s="318">
        <f t="shared" si="7"/>
        <v>0</v>
      </c>
      <c r="AM10" s="318">
        <f t="shared" si="25"/>
        <v>0</v>
      </c>
      <c r="AN10" s="589">
        <f t="shared" ref="AN10:AP10" si="53">AN9</f>
        <v>67</v>
      </c>
      <c r="AO10" s="320">
        <f t="shared" si="27"/>
        <v>2010.0000000000002</v>
      </c>
      <c r="AP10" s="589">
        <f t="shared" si="53"/>
        <v>55</v>
      </c>
      <c r="AQ10" s="320">
        <f t="shared" si="28"/>
        <v>1650.0000000000002</v>
      </c>
      <c r="AR10" s="589">
        <f t="shared" ref="AR10" si="54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30"/>
        <v>0.8</v>
      </c>
    </row>
    <row r="11" spans="1:52">
      <c r="A11" s="63">
        <f>ELEC!C9</f>
        <v>44234</v>
      </c>
      <c r="B11" s="589">
        <f t="shared" si="8"/>
        <v>232</v>
      </c>
      <c r="C11" s="589">
        <f t="shared" si="8"/>
        <v>238</v>
      </c>
      <c r="D11" s="45">
        <f t="shared" si="31"/>
        <v>0</v>
      </c>
      <c r="E11" s="45">
        <f t="shared" si="9"/>
        <v>0</v>
      </c>
      <c r="F11" s="589">
        <f t="shared" si="10"/>
        <v>1717</v>
      </c>
      <c r="G11" s="52">
        <f t="shared" si="0"/>
        <v>0</v>
      </c>
      <c r="H11" s="589">
        <f t="shared" si="10"/>
        <v>4147</v>
      </c>
      <c r="I11" s="396">
        <f t="shared" si="1"/>
        <v>0</v>
      </c>
      <c r="J11" s="66">
        <f t="shared" si="11"/>
        <v>0</v>
      </c>
      <c r="K11" s="589">
        <f t="shared" si="12"/>
        <v>2216</v>
      </c>
      <c r="L11" s="52">
        <f t="shared" si="13"/>
        <v>0</v>
      </c>
      <c r="M11" s="589">
        <f t="shared" si="12"/>
        <v>162924</v>
      </c>
      <c r="N11" s="396">
        <f t="shared" si="2"/>
        <v>0</v>
      </c>
      <c r="O11" s="64">
        <f t="shared" si="14"/>
        <v>1869</v>
      </c>
      <c r="P11" s="589">
        <f t="shared" si="14"/>
        <v>1966</v>
      </c>
      <c r="Q11" s="589">
        <f t="shared" ref="Q11" si="55">Q10</f>
        <v>166371</v>
      </c>
      <c r="R11" s="395">
        <f t="shared" ref="R11:R32" si="56">Q11-Q10</f>
        <v>0</v>
      </c>
      <c r="S11" s="52">
        <f t="shared" si="4"/>
        <v>0</v>
      </c>
      <c r="T11" s="67">
        <f t="shared" si="33"/>
        <v>0</v>
      </c>
      <c r="U11" s="402">
        <f t="shared" si="16"/>
        <v>0</v>
      </c>
      <c r="V11" s="62">
        <f t="shared" si="17"/>
        <v>0</v>
      </c>
      <c r="W11" s="400" t="e">
        <f t="shared" si="18"/>
        <v>#DIV/0!</v>
      </c>
      <c r="X11" s="589">
        <f t="shared" si="19"/>
        <v>2453</v>
      </c>
      <c r="Y11" s="52">
        <f t="shared" si="20"/>
        <v>0</v>
      </c>
      <c r="Z11" s="589">
        <f t="shared" si="19"/>
        <v>137950.70000000001</v>
      </c>
      <c r="AA11" s="65">
        <f t="shared" si="5"/>
        <v>0</v>
      </c>
      <c r="AB11" s="284">
        <f t="shared" si="34"/>
        <v>0</v>
      </c>
      <c r="AC11" s="589">
        <f t="shared" ref="AC11:AE11" si="57">AC10</f>
        <v>1934</v>
      </c>
      <c r="AD11" s="45">
        <f t="shared" si="6"/>
        <v>0</v>
      </c>
      <c r="AE11" s="589">
        <f t="shared" si="57"/>
        <v>365317</v>
      </c>
      <c r="AF11" s="306">
        <f t="shared" si="22"/>
        <v>0</v>
      </c>
      <c r="AG11" s="209">
        <f t="shared" si="36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4"/>
        <v>0</v>
      </c>
      <c r="AL11" s="318">
        <f t="shared" si="7"/>
        <v>0</v>
      </c>
      <c r="AM11" s="318">
        <f t="shared" si="25"/>
        <v>0</v>
      </c>
      <c r="AN11" s="589">
        <f t="shared" ref="AN11:AP11" si="58">AN10</f>
        <v>67</v>
      </c>
      <c r="AO11" s="320">
        <f t="shared" si="27"/>
        <v>2010.0000000000002</v>
      </c>
      <c r="AP11" s="589">
        <f t="shared" si="58"/>
        <v>55</v>
      </c>
      <c r="AQ11" s="320">
        <f t="shared" si="28"/>
        <v>1650.0000000000002</v>
      </c>
      <c r="AR11" s="589">
        <f t="shared" ref="AR11" si="59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30"/>
        <v>0.8</v>
      </c>
    </row>
    <row r="12" spans="1:52">
      <c r="A12" s="63">
        <f>ELEC!C10</f>
        <v>44235</v>
      </c>
      <c r="B12" s="589">
        <f t="shared" si="8"/>
        <v>232</v>
      </c>
      <c r="C12" s="589">
        <f t="shared" si="8"/>
        <v>238</v>
      </c>
      <c r="D12" s="45">
        <f t="shared" si="31"/>
        <v>0</v>
      </c>
      <c r="E12" s="45">
        <f t="shared" si="9"/>
        <v>0</v>
      </c>
      <c r="F12" s="589">
        <f t="shared" si="10"/>
        <v>1717</v>
      </c>
      <c r="G12" s="52">
        <f t="shared" si="0"/>
        <v>0</v>
      </c>
      <c r="H12" s="589">
        <f t="shared" si="10"/>
        <v>4147</v>
      </c>
      <c r="I12" s="396">
        <f t="shared" si="1"/>
        <v>0</v>
      </c>
      <c r="J12" s="66">
        <f t="shared" si="11"/>
        <v>0</v>
      </c>
      <c r="K12" s="589">
        <f t="shared" si="12"/>
        <v>2216</v>
      </c>
      <c r="L12" s="52">
        <f t="shared" si="13"/>
        <v>0</v>
      </c>
      <c r="M12" s="589">
        <f t="shared" si="12"/>
        <v>162924</v>
      </c>
      <c r="N12" s="396">
        <f t="shared" si="2"/>
        <v>0</v>
      </c>
      <c r="O12" s="64">
        <f t="shared" si="14"/>
        <v>1869</v>
      </c>
      <c r="P12" s="589">
        <f t="shared" si="14"/>
        <v>1966</v>
      </c>
      <c r="Q12" s="589">
        <f t="shared" ref="Q12" si="60">Q11</f>
        <v>166371</v>
      </c>
      <c r="R12" s="395">
        <f t="shared" si="56"/>
        <v>0</v>
      </c>
      <c r="S12" s="52">
        <f t="shared" si="4"/>
        <v>0</v>
      </c>
      <c r="T12" s="67">
        <f t="shared" si="33"/>
        <v>0</v>
      </c>
      <c r="U12" s="402">
        <f t="shared" si="16"/>
        <v>0</v>
      </c>
      <c r="V12" s="62">
        <f t="shared" si="17"/>
        <v>0</v>
      </c>
      <c r="W12" s="400" t="e">
        <f t="shared" si="18"/>
        <v>#DIV/0!</v>
      </c>
      <c r="X12" s="589">
        <f t="shared" si="19"/>
        <v>2453</v>
      </c>
      <c r="Y12" s="52">
        <f t="shared" si="20"/>
        <v>0</v>
      </c>
      <c r="Z12" s="589">
        <f t="shared" si="19"/>
        <v>137950.70000000001</v>
      </c>
      <c r="AA12" s="65">
        <f t="shared" si="5"/>
        <v>0</v>
      </c>
      <c r="AB12" s="284">
        <f t="shared" si="34"/>
        <v>0</v>
      </c>
      <c r="AC12" s="589">
        <f t="shared" ref="AC12:AE12" si="61">AC11</f>
        <v>1934</v>
      </c>
      <c r="AD12" s="45">
        <f t="shared" si="6"/>
        <v>0</v>
      </c>
      <c r="AE12" s="589">
        <f t="shared" si="61"/>
        <v>365317</v>
      </c>
      <c r="AF12" s="306">
        <f t="shared" si="22"/>
        <v>0</v>
      </c>
      <c r="AG12" s="209">
        <f t="shared" si="36"/>
        <v>0</v>
      </c>
      <c r="AH12" s="62">
        <f t="shared" si="37"/>
        <v>0</v>
      </c>
      <c r="AI12" s="318">
        <f t="shared" si="23"/>
        <v>0</v>
      </c>
      <c r="AJ12" s="318">
        <f>-tanks!AW13</f>
        <v>0</v>
      </c>
      <c r="AK12" s="318">
        <f t="shared" si="24"/>
        <v>0</v>
      </c>
      <c r="AL12" s="318">
        <f t="shared" si="7"/>
        <v>0</v>
      </c>
      <c r="AM12" s="318">
        <f t="shared" si="25"/>
        <v>0</v>
      </c>
      <c r="AN12" s="589">
        <f t="shared" ref="AN12:AP12" si="62">AN11</f>
        <v>67</v>
      </c>
      <c r="AO12" s="320">
        <f t="shared" si="27"/>
        <v>2010.0000000000002</v>
      </c>
      <c r="AP12" s="589">
        <f t="shared" si="62"/>
        <v>55</v>
      </c>
      <c r="AQ12" s="320">
        <f t="shared" si="28"/>
        <v>1650.0000000000002</v>
      </c>
      <c r="AR12" s="589">
        <f t="shared" ref="AR12" si="63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30"/>
        <v>0.8</v>
      </c>
    </row>
    <row r="13" spans="1:52">
      <c r="A13" s="63">
        <f>ELEC!C11</f>
        <v>44236</v>
      </c>
      <c r="B13" s="589">
        <f t="shared" si="8"/>
        <v>232</v>
      </c>
      <c r="C13" s="589">
        <f t="shared" si="8"/>
        <v>238</v>
      </c>
      <c r="D13" s="45">
        <f t="shared" si="31"/>
        <v>0</v>
      </c>
      <c r="E13" s="45">
        <f t="shared" si="9"/>
        <v>0</v>
      </c>
      <c r="F13" s="589">
        <f t="shared" si="10"/>
        <v>1717</v>
      </c>
      <c r="G13" s="52">
        <f t="shared" si="0"/>
        <v>0</v>
      </c>
      <c r="H13" s="589">
        <f t="shared" si="10"/>
        <v>4147</v>
      </c>
      <c r="I13" s="396">
        <f t="shared" si="1"/>
        <v>0</v>
      </c>
      <c r="J13" s="66">
        <f t="shared" si="11"/>
        <v>0</v>
      </c>
      <c r="K13" s="589">
        <f t="shared" si="12"/>
        <v>2216</v>
      </c>
      <c r="L13" s="52">
        <f t="shared" si="13"/>
        <v>0</v>
      </c>
      <c r="M13" s="589">
        <f t="shared" si="12"/>
        <v>162924</v>
      </c>
      <c r="N13" s="396">
        <f t="shared" si="2"/>
        <v>0</v>
      </c>
      <c r="O13" s="64">
        <f t="shared" si="14"/>
        <v>1869</v>
      </c>
      <c r="P13" s="589">
        <f t="shared" si="14"/>
        <v>1966</v>
      </c>
      <c r="Q13" s="589">
        <f t="shared" ref="Q13" si="64">Q12</f>
        <v>166371</v>
      </c>
      <c r="R13" s="395">
        <f t="shared" si="56"/>
        <v>0</v>
      </c>
      <c r="S13" s="52">
        <f t="shared" si="4"/>
        <v>0</v>
      </c>
      <c r="T13" s="67">
        <f t="shared" si="33"/>
        <v>0</v>
      </c>
      <c r="U13" s="402">
        <f t="shared" si="16"/>
        <v>0</v>
      </c>
      <c r="V13" s="62">
        <f>R13+N13+I13:I13</f>
        <v>0</v>
      </c>
      <c r="W13" s="400" t="e">
        <f t="shared" si="18"/>
        <v>#DIV/0!</v>
      </c>
      <c r="X13" s="589">
        <f t="shared" si="19"/>
        <v>2453</v>
      </c>
      <c r="Y13" s="52">
        <f t="shared" si="20"/>
        <v>0</v>
      </c>
      <c r="Z13" s="589">
        <f t="shared" si="19"/>
        <v>137950.70000000001</v>
      </c>
      <c r="AA13" s="284">
        <f t="shared" si="5"/>
        <v>0</v>
      </c>
      <c r="AB13" s="284">
        <f t="shared" si="34"/>
        <v>0</v>
      </c>
      <c r="AC13" s="589">
        <f t="shared" ref="AC13:AE13" si="65">AC12</f>
        <v>1934</v>
      </c>
      <c r="AD13" s="45">
        <f t="shared" si="6"/>
        <v>0</v>
      </c>
      <c r="AE13" s="589">
        <f t="shared" si="65"/>
        <v>365317</v>
      </c>
      <c r="AF13" s="306">
        <f t="shared" si="22"/>
        <v>0</v>
      </c>
      <c r="AG13" s="209">
        <f t="shared" si="36"/>
        <v>0</v>
      </c>
      <c r="AH13" s="62">
        <f t="shared" si="37"/>
        <v>0</v>
      </c>
      <c r="AI13" s="318">
        <f t="shared" si="23"/>
        <v>0</v>
      </c>
      <c r="AJ13" s="318">
        <f>-tanks!AW14</f>
        <v>0</v>
      </c>
      <c r="AK13" s="318">
        <f t="shared" si="24"/>
        <v>0</v>
      </c>
      <c r="AL13" s="318">
        <f t="shared" si="7"/>
        <v>0</v>
      </c>
      <c r="AM13" s="318">
        <f t="shared" si="25"/>
        <v>0</v>
      </c>
      <c r="AN13" s="589">
        <f t="shared" ref="AN13:AP13" si="66">AN12</f>
        <v>67</v>
      </c>
      <c r="AO13" s="320">
        <f t="shared" si="27"/>
        <v>2010.0000000000002</v>
      </c>
      <c r="AP13" s="589">
        <f t="shared" si="66"/>
        <v>55</v>
      </c>
      <c r="AQ13" s="320">
        <f t="shared" si="28"/>
        <v>1650.0000000000002</v>
      </c>
      <c r="AR13" s="589">
        <f t="shared" ref="AR13" si="67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30"/>
        <v>0.8</v>
      </c>
    </row>
    <row r="14" spans="1:52">
      <c r="A14" s="63">
        <f>ELEC!C12</f>
        <v>44237</v>
      </c>
      <c r="B14" s="589">
        <f t="shared" si="8"/>
        <v>232</v>
      </c>
      <c r="C14" s="589">
        <f t="shared" si="8"/>
        <v>238</v>
      </c>
      <c r="D14" s="45">
        <f t="shared" si="31"/>
        <v>0</v>
      </c>
      <c r="E14" s="45">
        <f t="shared" si="9"/>
        <v>0</v>
      </c>
      <c r="F14" s="589">
        <f t="shared" si="10"/>
        <v>1717</v>
      </c>
      <c r="G14" s="52">
        <f t="shared" si="0"/>
        <v>0</v>
      </c>
      <c r="H14" s="589">
        <f t="shared" si="10"/>
        <v>4147</v>
      </c>
      <c r="I14" s="396">
        <f t="shared" si="1"/>
        <v>0</v>
      </c>
      <c r="J14" s="66">
        <f t="shared" si="11"/>
        <v>0</v>
      </c>
      <c r="K14" s="589">
        <f t="shared" si="12"/>
        <v>2216</v>
      </c>
      <c r="L14" s="52">
        <f t="shared" si="13"/>
        <v>0</v>
      </c>
      <c r="M14" s="589">
        <f t="shared" si="12"/>
        <v>162924</v>
      </c>
      <c r="N14" s="396">
        <f t="shared" si="2"/>
        <v>0</v>
      </c>
      <c r="O14" s="64">
        <f t="shared" si="14"/>
        <v>1869</v>
      </c>
      <c r="P14" s="589">
        <f t="shared" si="14"/>
        <v>1966</v>
      </c>
      <c r="Q14" s="589">
        <f t="shared" ref="Q14" si="68">Q13</f>
        <v>166371</v>
      </c>
      <c r="R14" s="395">
        <f t="shared" si="56"/>
        <v>0</v>
      </c>
      <c r="S14" s="52">
        <f t="shared" si="4"/>
        <v>0</v>
      </c>
      <c r="T14" s="67">
        <f t="shared" si="33"/>
        <v>0</v>
      </c>
      <c r="U14" s="402">
        <f t="shared" si="16"/>
        <v>0</v>
      </c>
      <c r="V14" s="62">
        <f t="shared" si="17"/>
        <v>0</v>
      </c>
      <c r="W14" s="400" t="e">
        <f t="shared" si="18"/>
        <v>#DIV/0!</v>
      </c>
      <c r="X14" s="589">
        <f t="shared" si="19"/>
        <v>2453</v>
      </c>
      <c r="Y14" s="52">
        <f t="shared" si="20"/>
        <v>0</v>
      </c>
      <c r="Z14" s="589">
        <f t="shared" si="19"/>
        <v>137950.70000000001</v>
      </c>
      <c r="AA14" s="65">
        <f t="shared" si="5"/>
        <v>0</v>
      </c>
      <c r="AB14" s="284">
        <f t="shared" si="34"/>
        <v>0</v>
      </c>
      <c r="AC14" s="589">
        <f t="shared" ref="AC14:AE14" si="69">AC13</f>
        <v>1934</v>
      </c>
      <c r="AD14" s="45">
        <f t="shared" si="6"/>
        <v>0</v>
      </c>
      <c r="AE14" s="589">
        <f t="shared" si="69"/>
        <v>365317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4"/>
        <v>0</v>
      </c>
      <c r="AL14" s="318">
        <f t="shared" si="7"/>
        <v>0</v>
      </c>
      <c r="AM14" s="318">
        <f t="shared" si="25"/>
        <v>0</v>
      </c>
      <c r="AN14" s="589">
        <f t="shared" ref="AN14:AP14" si="70">AN13</f>
        <v>67</v>
      </c>
      <c r="AO14" s="320">
        <f t="shared" si="27"/>
        <v>2010.0000000000002</v>
      </c>
      <c r="AP14" s="589">
        <f t="shared" si="70"/>
        <v>55</v>
      </c>
      <c r="AQ14" s="320">
        <f t="shared" si="28"/>
        <v>1650.0000000000002</v>
      </c>
      <c r="AR14" s="589">
        <f t="shared" ref="AR14" si="71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30"/>
        <v>0.8</v>
      </c>
    </row>
    <row r="15" spans="1:52" ht="15" customHeight="1">
      <c r="A15" s="63">
        <f>ELEC!C13</f>
        <v>44238</v>
      </c>
      <c r="B15" s="589">
        <f t="shared" si="8"/>
        <v>232</v>
      </c>
      <c r="C15" s="589">
        <f t="shared" si="8"/>
        <v>238</v>
      </c>
      <c r="D15" s="45">
        <f t="shared" si="31"/>
        <v>0</v>
      </c>
      <c r="E15" s="45">
        <f t="shared" si="9"/>
        <v>0</v>
      </c>
      <c r="F15" s="589">
        <f t="shared" si="10"/>
        <v>1717</v>
      </c>
      <c r="G15" s="52">
        <f t="shared" si="0"/>
        <v>0</v>
      </c>
      <c r="H15" s="589">
        <f t="shared" si="10"/>
        <v>4147</v>
      </c>
      <c r="I15" s="396">
        <f t="shared" si="1"/>
        <v>0</v>
      </c>
      <c r="J15" s="66">
        <f t="shared" si="11"/>
        <v>0</v>
      </c>
      <c r="K15" s="589">
        <f t="shared" si="12"/>
        <v>2216</v>
      </c>
      <c r="L15" s="52">
        <f t="shared" si="13"/>
        <v>0</v>
      </c>
      <c r="M15" s="589">
        <f t="shared" si="12"/>
        <v>162924</v>
      </c>
      <c r="N15" s="396">
        <f t="shared" si="2"/>
        <v>0</v>
      </c>
      <c r="O15" s="64">
        <f t="shared" si="14"/>
        <v>1869</v>
      </c>
      <c r="P15" s="589">
        <f t="shared" si="14"/>
        <v>1966</v>
      </c>
      <c r="Q15" s="589">
        <f t="shared" ref="Q15" si="72">Q14</f>
        <v>166371</v>
      </c>
      <c r="R15" s="395">
        <f t="shared" si="56"/>
        <v>0</v>
      </c>
      <c r="S15" s="52">
        <f t="shared" si="4"/>
        <v>0</v>
      </c>
      <c r="T15" s="67">
        <f t="shared" si="33"/>
        <v>0</v>
      </c>
      <c r="U15" s="402">
        <f t="shared" si="16"/>
        <v>0</v>
      </c>
      <c r="V15" s="62">
        <f t="shared" si="17"/>
        <v>0</v>
      </c>
      <c r="W15" s="400" t="e">
        <f t="shared" si="18"/>
        <v>#DIV/0!</v>
      </c>
      <c r="X15" s="589">
        <f t="shared" si="19"/>
        <v>2453</v>
      </c>
      <c r="Y15" s="52">
        <f t="shared" si="20"/>
        <v>0</v>
      </c>
      <c r="Z15" s="589">
        <f t="shared" si="19"/>
        <v>137950.70000000001</v>
      </c>
      <c r="AA15" s="65">
        <f t="shared" si="5"/>
        <v>0</v>
      </c>
      <c r="AB15" s="284">
        <f t="shared" si="34"/>
        <v>0</v>
      </c>
      <c r="AC15" s="589">
        <f t="shared" ref="AC15:AE15" si="73">AC14</f>
        <v>1934</v>
      </c>
      <c r="AD15" s="45">
        <f t="shared" si="6"/>
        <v>0</v>
      </c>
      <c r="AE15" s="589">
        <f t="shared" si="73"/>
        <v>365317</v>
      </c>
      <c r="AF15" s="306">
        <f t="shared" si="22"/>
        <v>0</v>
      </c>
      <c r="AG15" s="209">
        <f t="shared" si="36"/>
        <v>0</v>
      </c>
      <c r="AH15" s="62">
        <f t="shared" si="37"/>
        <v>0</v>
      </c>
      <c r="AI15" s="318">
        <f t="shared" si="23"/>
        <v>0</v>
      </c>
      <c r="AJ15" s="318">
        <f>-tanks!AW16</f>
        <v>0</v>
      </c>
      <c r="AK15" s="318">
        <f t="shared" si="24"/>
        <v>0</v>
      </c>
      <c r="AL15" s="318">
        <f t="shared" si="7"/>
        <v>0</v>
      </c>
      <c r="AM15" s="318">
        <f t="shared" si="25"/>
        <v>0</v>
      </c>
      <c r="AN15" s="589">
        <f t="shared" ref="AN15:AP15" si="74">AN14</f>
        <v>67</v>
      </c>
      <c r="AO15" s="320">
        <f t="shared" si="27"/>
        <v>2010.0000000000002</v>
      </c>
      <c r="AP15" s="589">
        <f t="shared" si="74"/>
        <v>55</v>
      </c>
      <c r="AQ15" s="320">
        <f t="shared" si="28"/>
        <v>1650.0000000000002</v>
      </c>
      <c r="AR15" s="589">
        <f t="shared" ref="AR15" si="75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30"/>
        <v>0.8</v>
      </c>
    </row>
    <row r="16" spans="1:52">
      <c r="A16" s="63">
        <f>ELEC!C14</f>
        <v>44239</v>
      </c>
      <c r="B16" s="589">
        <f t="shared" si="8"/>
        <v>232</v>
      </c>
      <c r="C16" s="589">
        <f t="shared" si="8"/>
        <v>238</v>
      </c>
      <c r="D16" s="45">
        <f t="shared" si="31"/>
        <v>0</v>
      </c>
      <c r="E16" s="45">
        <f t="shared" si="9"/>
        <v>0</v>
      </c>
      <c r="F16" s="589">
        <f t="shared" si="10"/>
        <v>1717</v>
      </c>
      <c r="G16" s="52">
        <f t="shared" si="0"/>
        <v>0</v>
      </c>
      <c r="H16" s="589">
        <f t="shared" si="10"/>
        <v>4147</v>
      </c>
      <c r="I16" s="396">
        <f t="shared" si="1"/>
        <v>0</v>
      </c>
      <c r="J16" s="66">
        <f t="shared" si="11"/>
        <v>0</v>
      </c>
      <c r="K16" s="589">
        <f t="shared" si="12"/>
        <v>2216</v>
      </c>
      <c r="L16" s="52">
        <f t="shared" si="13"/>
        <v>0</v>
      </c>
      <c r="M16" s="589">
        <f t="shared" si="12"/>
        <v>162924</v>
      </c>
      <c r="N16" s="396">
        <f t="shared" si="2"/>
        <v>0</v>
      </c>
      <c r="O16" s="64">
        <f t="shared" si="14"/>
        <v>1869</v>
      </c>
      <c r="P16" s="589">
        <f t="shared" si="14"/>
        <v>1966</v>
      </c>
      <c r="Q16" s="589">
        <f t="shared" ref="Q16" si="76">Q15</f>
        <v>166371</v>
      </c>
      <c r="R16" s="395">
        <f t="shared" si="56"/>
        <v>0</v>
      </c>
      <c r="S16" s="52">
        <f t="shared" si="4"/>
        <v>0</v>
      </c>
      <c r="T16" s="67">
        <f t="shared" si="33"/>
        <v>0</v>
      </c>
      <c r="U16" s="402">
        <f t="shared" si="16"/>
        <v>0</v>
      </c>
      <c r="V16" s="62">
        <f t="shared" si="17"/>
        <v>0</v>
      </c>
      <c r="W16" s="400" t="e">
        <f t="shared" si="18"/>
        <v>#DIV/0!</v>
      </c>
      <c r="X16" s="589">
        <f t="shared" si="19"/>
        <v>2453</v>
      </c>
      <c r="Y16" s="52">
        <f t="shared" si="20"/>
        <v>0</v>
      </c>
      <c r="Z16" s="589">
        <f t="shared" si="19"/>
        <v>137950.70000000001</v>
      </c>
      <c r="AA16" s="65">
        <f t="shared" si="5"/>
        <v>0</v>
      </c>
      <c r="AB16" s="284">
        <f t="shared" si="34"/>
        <v>0</v>
      </c>
      <c r="AC16" s="589">
        <f t="shared" ref="AC16:AE16" si="77">AC15</f>
        <v>1934</v>
      </c>
      <c r="AD16" s="45">
        <f t="shared" si="6"/>
        <v>0</v>
      </c>
      <c r="AE16" s="589">
        <f t="shared" si="77"/>
        <v>365317</v>
      </c>
      <c r="AF16" s="306">
        <f t="shared" si="22"/>
        <v>0</v>
      </c>
      <c r="AG16" s="209">
        <f t="shared" si="36"/>
        <v>0</v>
      </c>
      <c r="AH16" s="62">
        <f t="shared" si="37"/>
        <v>0</v>
      </c>
      <c r="AI16" s="318">
        <f t="shared" si="23"/>
        <v>0</v>
      </c>
      <c r="AJ16" s="318">
        <f>-tanks!AW17</f>
        <v>0</v>
      </c>
      <c r="AK16" s="318">
        <f t="shared" si="24"/>
        <v>0</v>
      </c>
      <c r="AL16" s="318">
        <f t="shared" si="7"/>
        <v>0</v>
      </c>
      <c r="AM16" s="318">
        <f t="shared" si="25"/>
        <v>0</v>
      </c>
      <c r="AN16" s="589">
        <f t="shared" ref="AN16:AP16" si="78">AN15</f>
        <v>67</v>
      </c>
      <c r="AO16" s="320">
        <f t="shared" si="27"/>
        <v>2010.0000000000002</v>
      </c>
      <c r="AP16" s="589">
        <f t="shared" si="78"/>
        <v>55</v>
      </c>
      <c r="AQ16" s="320">
        <f t="shared" si="28"/>
        <v>1650.0000000000002</v>
      </c>
      <c r="AR16" s="589">
        <f t="shared" ref="AR16" si="79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30"/>
        <v>0.8</v>
      </c>
    </row>
    <row r="17" spans="1:50">
      <c r="A17" s="63">
        <f>ELEC!C15</f>
        <v>44240</v>
      </c>
      <c r="B17" s="589">
        <f t="shared" si="8"/>
        <v>232</v>
      </c>
      <c r="C17" s="589">
        <f t="shared" si="8"/>
        <v>238</v>
      </c>
      <c r="D17" s="45">
        <f t="shared" si="31"/>
        <v>0</v>
      </c>
      <c r="E17" s="45">
        <f t="shared" si="9"/>
        <v>0</v>
      </c>
      <c r="F17" s="589">
        <f t="shared" si="10"/>
        <v>1717</v>
      </c>
      <c r="G17" s="52">
        <f t="shared" si="0"/>
        <v>0</v>
      </c>
      <c r="H17" s="589">
        <f t="shared" si="10"/>
        <v>4147</v>
      </c>
      <c r="I17" s="396">
        <f t="shared" si="1"/>
        <v>0</v>
      </c>
      <c r="J17" s="66">
        <f t="shared" si="11"/>
        <v>0</v>
      </c>
      <c r="K17" s="589">
        <f t="shared" si="12"/>
        <v>2216</v>
      </c>
      <c r="L17" s="52">
        <f t="shared" si="13"/>
        <v>0</v>
      </c>
      <c r="M17" s="589">
        <f t="shared" si="12"/>
        <v>162924</v>
      </c>
      <c r="N17" s="396">
        <f t="shared" si="2"/>
        <v>0</v>
      </c>
      <c r="O17" s="64">
        <f t="shared" si="14"/>
        <v>1869</v>
      </c>
      <c r="P17" s="589">
        <f t="shared" si="14"/>
        <v>1966</v>
      </c>
      <c r="Q17" s="589">
        <f t="shared" ref="Q17" si="80">Q16</f>
        <v>166371</v>
      </c>
      <c r="R17" s="395">
        <f t="shared" si="56"/>
        <v>0</v>
      </c>
      <c r="S17" s="52">
        <f t="shared" si="4"/>
        <v>0</v>
      </c>
      <c r="T17" s="67">
        <f t="shared" si="33"/>
        <v>0</v>
      </c>
      <c r="U17" s="402">
        <f t="shared" si="16"/>
        <v>0</v>
      </c>
      <c r="V17" s="62">
        <f t="shared" si="17"/>
        <v>0</v>
      </c>
      <c r="W17" s="400"/>
      <c r="X17" s="589">
        <f t="shared" si="19"/>
        <v>2453</v>
      </c>
      <c r="Y17" s="52">
        <f t="shared" si="20"/>
        <v>0</v>
      </c>
      <c r="Z17" s="589">
        <f t="shared" si="19"/>
        <v>137950.70000000001</v>
      </c>
      <c r="AA17" s="65">
        <f t="shared" si="5"/>
        <v>0</v>
      </c>
      <c r="AB17" s="284">
        <f t="shared" si="34"/>
        <v>0</v>
      </c>
      <c r="AC17" s="589">
        <f t="shared" ref="AC17:AE17" si="81">AC16</f>
        <v>1934</v>
      </c>
      <c r="AD17" s="45">
        <f t="shared" si="6"/>
        <v>0</v>
      </c>
      <c r="AE17" s="589">
        <f t="shared" si="81"/>
        <v>365317</v>
      </c>
      <c r="AF17" s="306">
        <f t="shared" si="22"/>
        <v>0</v>
      </c>
      <c r="AG17" s="209">
        <f t="shared" si="36"/>
        <v>0</v>
      </c>
      <c r="AH17" s="62">
        <f t="shared" si="37"/>
        <v>0</v>
      </c>
      <c r="AI17" s="318">
        <f t="shared" si="23"/>
        <v>0</v>
      </c>
      <c r="AJ17" s="318">
        <f>-tanks!AW18</f>
        <v>0</v>
      </c>
      <c r="AK17" s="318">
        <f t="shared" si="24"/>
        <v>0</v>
      </c>
      <c r="AL17" s="318">
        <f t="shared" si="7"/>
        <v>0</v>
      </c>
      <c r="AM17" s="318">
        <f t="shared" si="25"/>
        <v>0</v>
      </c>
      <c r="AN17" s="589">
        <f t="shared" ref="AN17:AP17" si="82">AN16</f>
        <v>67</v>
      </c>
      <c r="AO17" s="320">
        <f t="shared" si="27"/>
        <v>2010.0000000000002</v>
      </c>
      <c r="AP17" s="589">
        <f t="shared" si="82"/>
        <v>55</v>
      </c>
      <c r="AQ17" s="320">
        <f t="shared" si="28"/>
        <v>1650.0000000000002</v>
      </c>
      <c r="AR17" s="589">
        <f t="shared" ref="AR17" si="83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30"/>
        <v>0.8</v>
      </c>
    </row>
    <row r="18" spans="1:50">
      <c r="A18" s="63">
        <f>ELEC!C16</f>
        <v>44241</v>
      </c>
      <c r="B18" s="589">
        <f t="shared" si="8"/>
        <v>232</v>
      </c>
      <c r="C18" s="589">
        <f t="shared" si="8"/>
        <v>238</v>
      </c>
      <c r="D18" s="45">
        <f t="shared" si="31"/>
        <v>0</v>
      </c>
      <c r="E18" s="45">
        <f t="shared" si="9"/>
        <v>0</v>
      </c>
      <c r="F18" s="589">
        <f t="shared" si="10"/>
        <v>1717</v>
      </c>
      <c r="G18" s="52">
        <f t="shared" si="0"/>
        <v>0</v>
      </c>
      <c r="H18" s="589">
        <f t="shared" si="10"/>
        <v>4147</v>
      </c>
      <c r="I18" s="396">
        <f t="shared" si="1"/>
        <v>0</v>
      </c>
      <c r="J18" s="66">
        <f t="shared" si="11"/>
        <v>0</v>
      </c>
      <c r="K18" s="589">
        <f t="shared" si="12"/>
        <v>2216</v>
      </c>
      <c r="L18" s="52">
        <f t="shared" si="13"/>
        <v>0</v>
      </c>
      <c r="M18" s="589">
        <f t="shared" si="12"/>
        <v>162924</v>
      </c>
      <c r="N18" s="396">
        <f t="shared" si="2"/>
        <v>0</v>
      </c>
      <c r="O18" s="64">
        <v>1869</v>
      </c>
      <c r="P18" s="589">
        <f t="shared" si="14"/>
        <v>1966</v>
      </c>
      <c r="Q18" s="589">
        <f t="shared" ref="Q18" si="84">Q17</f>
        <v>166371</v>
      </c>
      <c r="R18" s="395">
        <f t="shared" si="56"/>
        <v>0</v>
      </c>
      <c r="S18" s="52">
        <f t="shared" si="4"/>
        <v>0</v>
      </c>
      <c r="T18" s="67">
        <f t="shared" si="33"/>
        <v>0</v>
      </c>
      <c r="U18" s="402">
        <f t="shared" si="16"/>
        <v>0</v>
      </c>
      <c r="V18" s="62">
        <f t="shared" si="17"/>
        <v>0</v>
      </c>
      <c r="W18" s="400"/>
      <c r="X18" s="589">
        <f t="shared" si="19"/>
        <v>2453</v>
      </c>
      <c r="Y18" s="52">
        <f t="shared" si="20"/>
        <v>0</v>
      </c>
      <c r="Z18" s="589">
        <f t="shared" si="19"/>
        <v>137950.70000000001</v>
      </c>
      <c r="AA18" s="65">
        <f t="shared" si="5"/>
        <v>0</v>
      </c>
      <c r="AB18" s="284">
        <f t="shared" ref="AB18:AB23" si="85">SUM(Y18*$AB$2)</f>
        <v>0</v>
      </c>
      <c r="AC18" s="589">
        <f t="shared" ref="AC18:AE18" si="86">AC17</f>
        <v>1934</v>
      </c>
      <c r="AD18" s="45">
        <f t="shared" si="6"/>
        <v>0</v>
      </c>
      <c r="AE18" s="589">
        <f t="shared" si="86"/>
        <v>365317</v>
      </c>
      <c r="AF18" s="306">
        <f t="shared" si="22"/>
        <v>0</v>
      </c>
      <c r="AG18" s="209">
        <f t="shared" si="36"/>
        <v>0</v>
      </c>
      <c r="AH18" s="62">
        <f t="shared" si="37"/>
        <v>0</v>
      </c>
      <c r="AI18" s="318">
        <f t="shared" si="23"/>
        <v>0</v>
      </c>
      <c r="AJ18" s="318">
        <f>-tanks!AW19</f>
        <v>0</v>
      </c>
      <c r="AK18" s="318">
        <f t="shared" si="24"/>
        <v>0</v>
      </c>
      <c r="AL18" s="318">
        <f t="shared" si="7"/>
        <v>0</v>
      </c>
      <c r="AM18" s="318">
        <f t="shared" si="25"/>
        <v>0</v>
      </c>
      <c r="AN18" s="589">
        <f t="shared" ref="AN18:AP18" si="87">AN17</f>
        <v>67</v>
      </c>
      <c r="AO18" s="320">
        <f t="shared" si="27"/>
        <v>2010.0000000000002</v>
      </c>
      <c r="AP18" s="589">
        <f t="shared" si="87"/>
        <v>55</v>
      </c>
      <c r="AQ18" s="320">
        <f t="shared" si="28"/>
        <v>1650.0000000000002</v>
      </c>
      <c r="AR18" s="589">
        <f t="shared" ref="AR18" si="88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30"/>
        <v>0.8</v>
      </c>
    </row>
    <row r="19" spans="1:50">
      <c r="A19" s="63">
        <f>ELEC!C17</f>
        <v>44242</v>
      </c>
      <c r="B19" s="589">
        <f t="shared" si="8"/>
        <v>232</v>
      </c>
      <c r="C19" s="589">
        <f t="shared" si="8"/>
        <v>238</v>
      </c>
      <c r="D19" s="45">
        <f t="shared" si="31"/>
        <v>0</v>
      </c>
      <c r="E19" s="45">
        <f t="shared" si="9"/>
        <v>0</v>
      </c>
      <c r="F19" s="589">
        <f t="shared" si="10"/>
        <v>1717</v>
      </c>
      <c r="G19" s="52">
        <f t="shared" si="0"/>
        <v>0</v>
      </c>
      <c r="H19" s="589">
        <f t="shared" si="10"/>
        <v>4147</v>
      </c>
      <c r="I19" s="396">
        <f t="shared" si="1"/>
        <v>0</v>
      </c>
      <c r="J19" s="66">
        <f t="shared" si="11"/>
        <v>0</v>
      </c>
      <c r="K19" s="589">
        <f t="shared" si="12"/>
        <v>2216</v>
      </c>
      <c r="L19" s="52">
        <f t="shared" si="13"/>
        <v>0</v>
      </c>
      <c r="M19" s="589">
        <f t="shared" si="12"/>
        <v>162924</v>
      </c>
      <c r="N19" s="396">
        <f t="shared" si="2"/>
        <v>0</v>
      </c>
      <c r="O19" s="64">
        <f t="shared" si="14"/>
        <v>1869</v>
      </c>
      <c r="P19" s="589">
        <f t="shared" si="14"/>
        <v>1966</v>
      </c>
      <c r="Q19" s="589">
        <f t="shared" ref="Q19" si="89">Q18</f>
        <v>166371</v>
      </c>
      <c r="R19" s="395">
        <f t="shared" si="56"/>
        <v>0</v>
      </c>
      <c r="S19" s="52">
        <f t="shared" si="4"/>
        <v>0</v>
      </c>
      <c r="T19" s="67">
        <f t="shared" si="33"/>
        <v>0</v>
      </c>
      <c r="U19" s="402">
        <f t="shared" si="16"/>
        <v>0</v>
      </c>
      <c r="V19" s="62">
        <f t="shared" si="17"/>
        <v>0</v>
      </c>
      <c r="W19" s="400"/>
      <c r="X19" s="589">
        <f t="shared" si="19"/>
        <v>2453</v>
      </c>
      <c r="Y19" s="52">
        <f t="shared" si="20"/>
        <v>0</v>
      </c>
      <c r="Z19" s="589">
        <f t="shared" si="19"/>
        <v>137950.70000000001</v>
      </c>
      <c r="AA19" s="65">
        <f t="shared" si="5"/>
        <v>0</v>
      </c>
      <c r="AB19" s="284">
        <f t="shared" si="85"/>
        <v>0</v>
      </c>
      <c r="AC19" s="589">
        <f t="shared" ref="AC19:AE19" si="90">AC18</f>
        <v>1934</v>
      </c>
      <c r="AD19" s="45">
        <f t="shared" si="6"/>
        <v>0</v>
      </c>
      <c r="AE19" s="589">
        <f t="shared" si="90"/>
        <v>365317</v>
      </c>
      <c r="AF19" s="306">
        <f t="shared" si="22"/>
        <v>0</v>
      </c>
      <c r="AG19" s="209">
        <f t="shared" si="36"/>
        <v>0</v>
      </c>
      <c r="AH19" s="62">
        <f t="shared" si="37"/>
        <v>0</v>
      </c>
      <c r="AI19" s="318">
        <f t="shared" si="23"/>
        <v>0</v>
      </c>
      <c r="AJ19" s="318">
        <f>-tanks!AW20</f>
        <v>0</v>
      </c>
      <c r="AK19" s="318">
        <f t="shared" si="24"/>
        <v>0</v>
      </c>
      <c r="AL19" s="318">
        <f t="shared" si="7"/>
        <v>0</v>
      </c>
      <c r="AM19" s="318">
        <f t="shared" si="25"/>
        <v>0</v>
      </c>
      <c r="AN19" s="589">
        <f t="shared" ref="AN19:AP19" si="91">AN18</f>
        <v>67</v>
      </c>
      <c r="AO19" s="320">
        <f t="shared" si="27"/>
        <v>2010.0000000000002</v>
      </c>
      <c r="AP19" s="589">
        <f t="shared" si="91"/>
        <v>55</v>
      </c>
      <c r="AQ19" s="320">
        <f t="shared" si="28"/>
        <v>1650.0000000000002</v>
      </c>
      <c r="AR19" s="589">
        <f t="shared" ref="AR19" si="92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30"/>
        <v>0.8</v>
      </c>
    </row>
    <row r="20" spans="1:50">
      <c r="A20" s="63">
        <f>ELEC!C18</f>
        <v>44243</v>
      </c>
      <c r="B20" s="589">
        <f t="shared" si="8"/>
        <v>232</v>
      </c>
      <c r="C20" s="589">
        <f t="shared" si="8"/>
        <v>238</v>
      </c>
      <c r="D20" s="45">
        <f>C19-C20</f>
        <v>0</v>
      </c>
      <c r="E20" s="45">
        <f t="shared" si="9"/>
        <v>0</v>
      </c>
      <c r="F20" s="589">
        <f t="shared" si="10"/>
        <v>1717</v>
      </c>
      <c r="G20" s="52">
        <f t="shared" si="0"/>
        <v>0</v>
      </c>
      <c r="H20" s="589">
        <f t="shared" si="10"/>
        <v>4147</v>
      </c>
      <c r="I20" s="396">
        <f t="shared" si="1"/>
        <v>0</v>
      </c>
      <c r="J20" s="66">
        <f t="shared" si="11"/>
        <v>0</v>
      </c>
      <c r="K20" s="589">
        <f t="shared" si="12"/>
        <v>2216</v>
      </c>
      <c r="L20" s="52">
        <f t="shared" si="13"/>
        <v>0</v>
      </c>
      <c r="M20" s="589">
        <f t="shared" si="12"/>
        <v>162924</v>
      </c>
      <c r="N20" s="396">
        <f t="shared" si="2"/>
        <v>0</v>
      </c>
      <c r="O20" s="64">
        <f t="shared" si="14"/>
        <v>1869</v>
      </c>
      <c r="P20" s="589">
        <f t="shared" si="14"/>
        <v>1966</v>
      </c>
      <c r="Q20" s="589">
        <f t="shared" ref="Q20" si="93">Q19</f>
        <v>166371</v>
      </c>
      <c r="R20" s="395">
        <f t="shared" si="56"/>
        <v>0</v>
      </c>
      <c r="S20" s="52">
        <f t="shared" si="4"/>
        <v>0</v>
      </c>
      <c r="T20" s="67">
        <f t="shared" si="33"/>
        <v>0</v>
      </c>
      <c r="U20" s="402">
        <f t="shared" si="16"/>
        <v>0</v>
      </c>
      <c r="V20" s="62">
        <f t="shared" si="17"/>
        <v>0</v>
      </c>
      <c r="W20" s="400"/>
      <c r="X20" s="589">
        <f t="shared" si="19"/>
        <v>2453</v>
      </c>
      <c r="Y20" s="52">
        <f t="shared" si="20"/>
        <v>0</v>
      </c>
      <c r="Z20" s="589">
        <f t="shared" si="19"/>
        <v>137950.70000000001</v>
      </c>
      <c r="AA20" s="65">
        <f t="shared" si="5"/>
        <v>0</v>
      </c>
      <c r="AB20" s="284">
        <f t="shared" si="85"/>
        <v>0</v>
      </c>
      <c r="AC20" s="589">
        <f t="shared" ref="AC20:AE20" si="94">AC19</f>
        <v>1934</v>
      </c>
      <c r="AD20" s="45">
        <f t="shared" si="6"/>
        <v>0</v>
      </c>
      <c r="AE20" s="589">
        <f t="shared" si="94"/>
        <v>365317</v>
      </c>
      <c r="AF20" s="306">
        <f t="shared" si="22"/>
        <v>0</v>
      </c>
      <c r="AG20" s="209">
        <f t="shared" si="36"/>
        <v>0</v>
      </c>
      <c r="AH20" s="62">
        <f t="shared" si="37"/>
        <v>0</v>
      </c>
      <c r="AI20" s="318">
        <f t="shared" si="23"/>
        <v>0</v>
      </c>
      <c r="AJ20" s="318">
        <f>-tanks!AW21</f>
        <v>0</v>
      </c>
      <c r="AK20" s="318">
        <f t="shared" si="24"/>
        <v>0</v>
      </c>
      <c r="AL20" s="318">
        <f t="shared" si="7"/>
        <v>0</v>
      </c>
      <c r="AM20" s="318">
        <f t="shared" si="25"/>
        <v>0</v>
      </c>
      <c r="AN20" s="589">
        <f t="shared" ref="AN20:AP20" si="95">AN19</f>
        <v>67</v>
      </c>
      <c r="AO20" s="320">
        <f t="shared" si="27"/>
        <v>2010.0000000000002</v>
      </c>
      <c r="AP20" s="589">
        <f t="shared" si="95"/>
        <v>55</v>
      </c>
      <c r="AQ20" s="320">
        <f t="shared" si="28"/>
        <v>1650.0000000000002</v>
      </c>
      <c r="AR20" s="589">
        <f t="shared" ref="AR20" si="96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30"/>
        <v>0.8</v>
      </c>
    </row>
    <row r="21" spans="1:50">
      <c r="A21" s="63">
        <f>ELEC!C19</f>
        <v>44244</v>
      </c>
      <c r="B21" s="589">
        <f t="shared" si="8"/>
        <v>232</v>
      </c>
      <c r="C21" s="589">
        <f t="shared" si="8"/>
        <v>238</v>
      </c>
      <c r="D21" s="45">
        <f t="shared" ref="D21:D31" si="97">C20-C21</f>
        <v>0</v>
      </c>
      <c r="E21" s="45">
        <f t="shared" si="9"/>
        <v>0</v>
      </c>
      <c r="F21" s="589">
        <f t="shared" si="10"/>
        <v>1717</v>
      </c>
      <c r="G21" s="52">
        <f t="shared" si="0"/>
        <v>0</v>
      </c>
      <c r="H21" s="589">
        <f t="shared" si="10"/>
        <v>4147</v>
      </c>
      <c r="I21" s="396">
        <f t="shared" si="1"/>
        <v>0</v>
      </c>
      <c r="J21" s="66">
        <f t="shared" si="11"/>
        <v>0</v>
      </c>
      <c r="K21" s="589">
        <f t="shared" si="12"/>
        <v>2216</v>
      </c>
      <c r="L21" s="52">
        <f t="shared" si="13"/>
        <v>0</v>
      </c>
      <c r="M21" s="589">
        <f t="shared" si="12"/>
        <v>162924</v>
      </c>
      <c r="N21" s="396">
        <f t="shared" si="2"/>
        <v>0</v>
      </c>
      <c r="O21" s="64">
        <f t="shared" si="14"/>
        <v>1869</v>
      </c>
      <c r="P21" s="589">
        <f t="shared" si="14"/>
        <v>1966</v>
      </c>
      <c r="Q21" s="589">
        <f t="shared" ref="Q21" si="98">Q20</f>
        <v>166371</v>
      </c>
      <c r="R21" s="395">
        <f t="shared" si="56"/>
        <v>0</v>
      </c>
      <c r="S21" s="52">
        <f t="shared" si="4"/>
        <v>0</v>
      </c>
      <c r="T21" s="67">
        <f t="shared" si="33"/>
        <v>0</v>
      </c>
      <c r="U21" s="402">
        <f t="shared" si="16"/>
        <v>0</v>
      </c>
      <c r="V21" s="62">
        <f t="shared" si="17"/>
        <v>0</v>
      </c>
      <c r="W21" s="400"/>
      <c r="X21" s="589">
        <f t="shared" si="19"/>
        <v>2453</v>
      </c>
      <c r="Y21" s="52">
        <f t="shared" si="20"/>
        <v>0</v>
      </c>
      <c r="Z21" s="589">
        <f t="shared" si="19"/>
        <v>137950.70000000001</v>
      </c>
      <c r="AA21" s="65">
        <f t="shared" si="5"/>
        <v>0</v>
      </c>
      <c r="AB21" s="284">
        <f t="shared" si="85"/>
        <v>0</v>
      </c>
      <c r="AC21" s="589">
        <f t="shared" ref="AC21:AE21" si="99">AC20</f>
        <v>1934</v>
      </c>
      <c r="AD21" s="45">
        <f t="shared" si="6"/>
        <v>0</v>
      </c>
      <c r="AE21" s="589">
        <f t="shared" si="99"/>
        <v>365317</v>
      </c>
      <c r="AF21" s="306">
        <f t="shared" si="22"/>
        <v>0</v>
      </c>
      <c r="AG21" s="209">
        <f t="shared" si="36"/>
        <v>0</v>
      </c>
      <c r="AH21" s="62">
        <f t="shared" si="37"/>
        <v>0</v>
      </c>
      <c r="AI21" s="318">
        <f t="shared" si="23"/>
        <v>0</v>
      </c>
      <c r="AJ21" s="318">
        <f>-tanks!AW22</f>
        <v>0</v>
      </c>
      <c r="AK21" s="318">
        <f t="shared" si="24"/>
        <v>0</v>
      </c>
      <c r="AL21" s="318">
        <f t="shared" si="7"/>
        <v>0</v>
      </c>
      <c r="AM21" s="318">
        <f t="shared" si="25"/>
        <v>0</v>
      </c>
      <c r="AN21" s="589">
        <f t="shared" ref="AN21:AP21" si="100">AN20</f>
        <v>67</v>
      </c>
      <c r="AO21" s="320">
        <f t="shared" si="27"/>
        <v>2010.0000000000002</v>
      </c>
      <c r="AP21" s="589">
        <f t="shared" si="100"/>
        <v>55</v>
      </c>
      <c r="AQ21" s="320">
        <f t="shared" si="28"/>
        <v>1650.0000000000002</v>
      </c>
      <c r="AR21" s="589">
        <f t="shared" ref="AR21" si="101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30"/>
        <v>0.8</v>
      </c>
    </row>
    <row r="22" spans="1:50" ht="16.5" customHeight="1">
      <c r="A22" s="63">
        <f>ELEC!C20</f>
        <v>44245</v>
      </c>
      <c r="B22" s="589">
        <f t="shared" si="8"/>
        <v>232</v>
      </c>
      <c r="C22" s="589">
        <f t="shared" si="8"/>
        <v>238</v>
      </c>
      <c r="D22" s="45">
        <f t="shared" si="97"/>
        <v>0</v>
      </c>
      <c r="E22" s="45">
        <f t="shared" si="9"/>
        <v>0</v>
      </c>
      <c r="F22" s="589">
        <f t="shared" si="10"/>
        <v>1717</v>
      </c>
      <c r="G22" s="52">
        <f t="shared" si="0"/>
        <v>0</v>
      </c>
      <c r="H22" s="589">
        <f t="shared" si="10"/>
        <v>4147</v>
      </c>
      <c r="I22" s="396">
        <f t="shared" si="1"/>
        <v>0</v>
      </c>
      <c r="J22" s="66">
        <f t="shared" si="11"/>
        <v>0</v>
      </c>
      <c r="K22" s="589">
        <f t="shared" si="12"/>
        <v>2216</v>
      </c>
      <c r="L22" s="52">
        <f t="shared" si="13"/>
        <v>0</v>
      </c>
      <c r="M22" s="589">
        <f t="shared" si="12"/>
        <v>162924</v>
      </c>
      <c r="N22" s="396">
        <f t="shared" si="2"/>
        <v>0</v>
      </c>
      <c r="O22" s="64">
        <f t="shared" si="14"/>
        <v>1869</v>
      </c>
      <c r="P22" s="589">
        <f t="shared" si="14"/>
        <v>1966</v>
      </c>
      <c r="Q22" s="589">
        <f t="shared" ref="Q22" si="102">Q21</f>
        <v>166371</v>
      </c>
      <c r="R22" s="395">
        <f t="shared" si="56"/>
        <v>0</v>
      </c>
      <c r="S22" s="52">
        <f t="shared" si="4"/>
        <v>0</v>
      </c>
      <c r="T22" s="67">
        <f t="shared" si="33"/>
        <v>0</v>
      </c>
      <c r="U22" s="402">
        <f t="shared" si="16"/>
        <v>0</v>
      </c>
      <c r="V22" s="62">
        <f t="shared" si="17"/>
        <v>0</v>
      </c>
      <c r="W22" s="400"/>
      <c r="X22" s="589">
        <f t="shared" si="19"/>
        <v>2453</v>
      </c>
      <c r="Y22" s="52">
        <f t="shared" si="20"/>
        <v>0</v>
      </c>
      <c r="Z22" s="589">
        <f t="shared" si="19"/>
        <v>137950.70000000001</v>
      </c>
      <c r="AA22" s="65">
        <f t="shared" si="5"/>
        <v>0</v>
      </c>
      <c r="AB22" s="284">
        <f t="shared" si="85"/>
        <v>0</v>
      </c>
      <c r="AC22" s="589">
        <f t="shared" ref="AC22:AE22" si="103">AC21</f>
        <v>1934</v>
      </c>
      <c r="AD22" s="45">
        <f t="shared" si="6"/>
        <v>0</v>
      </c>
      <c r="AE22" s="589">
        <f t="shared" si="103"/>
        <v>365317</v>
      </c>
      <c r="AF22" s="306">
        <f t="shared" si="22"/>
        <v>0</v>
      </c>
      <c r="AG22" s="209">
        <f t="shared" si="36"/>
        <v>0</v>
      </c>
      <c r="AH22" s="62">
        <f t="shared" si="37"/>
        <v>0</v>
      </c>
      <c r="AI22" s="318">
        <f t="shared" si="23"/>
        <v>0</v>
      </c>
      <c r="AJ22" s="318">
        <f>-tanks!AW23</f>
        <v>0</v>
      </c>
      <c r="AK22" s="318">
        <f t="shared" si="24"/>
        <v>0</v>
      </c>
      <c r="AL22" s="318">
        <f t="shared" si="7"/>
        <v>0</v>
      </c>
      <c r="AM22" s="318">
        <f t="shared" si="25"/>
        <v>0</v>
      </c>
      <c r="AN22" s="589">
        <f t="shared" ref="AN22:AP22" si="104">AN21</f>
        <v>67</v>
      </c>
      <c r="AO22" s="320">
        <f t="shared" si="27"/>
        <v>2010.0000000000002</v>
      </c>
      <c r="AP22" s="589">
        <f t="shared" si="104"/>
        <v>55</v>
      </c>
      <c r="AQ22" s="320">
        <f t="shared" si="28"/>
        <v>1650.0000000000002</v>
      </c>
      <c r="AR22" s="589">
        <f t="shared" ref="AR22" si="105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30"/>
        <v>0.8</v>
      </c>
    </row>
    <row r="23" spans="1:50">
      <c r="A23" s="63">
        <f>[3]ELEC!C21</f>
        <v>44215</v>
      </c>
      <c r="B23" s="589">
        <f t="shared" si="8"/>
        <v>232</v>
      </c>
      <c r="C23" s="589">
        <f t="shared" si="8"/>
        <v>238</v>
      </c>
      <c r="D23" s="45">
        <f t="shared" si="97"/>
        <v>0</v>
      </c>
      <c r="E23" s="45">
        <f t="shared" si="9"/>
        <v>0</v>
      </c>
      <c r="F23" s="589">
        <f t="shared" si="10"/>
        <v>1717</v>
      </c>
      <c r="G23" s="52">
        <f t="shared" si="0"/>
        <v>0</v>
      </c>
      <c r="H23" s="589">
        <f t="shared" si="10"/>
        <v>4147</v>
      </c>
      <c r="I23" s="396">
        <f t="shared" si="1"/>
        <v>0</v>
      </c>
      <c r="J23" s="66">
        <f t="shared" si="11"/>
        <v>0</v>
      </c>
      <c r="K23" s="589">
        <f t="shared" si="12"/>
        <v>2216</v>
      </c>
      <c r="L23" s="52">
        <f t="shared" si="13"/>
        <v>0</v>
      </c>
      <c r="M23" s="589">
        <f t="shared" si="12"/>
        <v>162924</v>
      </c>
      <c r="N23" s="396">
        <f t="shared" si="2"/>
        <v>0</v>
      </c>
      <c r="O23" s="64">
        <f t="shared" si="14"/>
        <v>1869</v>
      </c>
      <c r="P23" s="589">
        <f t="shared" si="14"/>
        <v>1966</v>
      </c>
      <c r="Q23" s="589">
        <f t="shared" ref="Q23" si="106">Q22</f>
        <v>166371</v>
      </c>
      <c r="R23" s="395">
        <f t="shared" si="56"/>
        <v>0</v>
      </c>
      <c r="S23" s="52">
        <f t="shared" si="4"/>
        <v>0</v>
      </c>
      <c r="T23" s="67">
        <f t="shared" si="33"/>
        <v>0</v>
      </c>
      <c r="U23" s="402">
        <f t="shared" si="16"/>
        <v>0</v>
      </c>
      <c r="V23" s="62">
        <f t="shared" si="17"/>
        <v>0</v>
      </c>
      <c r="W23" s="400"/>
      <c r="X23" s="589">
        <f t="shared" si="19"/>
        <v>2453</v>
      </c>
      <c r="Y23" s="52">
        <f t="shared" si="20"/>
        <v>0</v>
      </c>
      <c r="Z23" s="589">
        <f t="shared" si="19"/>
        <v>137950.70000000001</v>
      </c>
      <c r="AA23" s="65">
        <f t="shared" si="5"/>
        <v>0</v>
      </c>
      <c r="AB23" s="284">
        <f t="shared" si="85"/>
        <v>0</v>
      </c>
      <c r="AC23" s="589">
        <f t="shared" ref="AC23:AE23" si="107">AC22</f>
        <v>1934</v>
      </c>
      <c r="AD23" s="45">
        <f t="shared" si="6"/>
        <v>0</v>
      </c>
      <c r="AE23" s="589">
        <f t="shared" si="107"/>
        <v>365317</v>
      </c>
      <c r="AF23" s="306">
        <f t="shared" si="22"/>
        <v>0</v>
      </c>
      <c r="AG23" s="209">
        <f t="shared" si="36"/>
        <v>0</v>
      </c>
      <c r="AH23" s="62">
        <f t="shared" si="37"/>
        <v>0</v>
      </c>
      <c r="AI23" s="318">
        <f t="shared" si="23"/>
        <v>0</v>
      </c>
      <c r="AJ23" s="318">
        <f>-[3]tanks!AW24</f>
        <v>231</v>
      </c>
      <c r="AK23" s="318">
        <f t="shared" si="24"/>
        <v>231</v>
      </c>
      <c r="AL23" s="318">
        <f t="shared" si="7"/>
        <v>0</v>
      </c>
      <c r="AM23" s="318">
        <f t="shared" si="25"/>
        <v>0</v>
      </c>
      <c r="AN23" s="589">
        <f t="shared" ref="AN23:AP23" si="108">AN22</f>
        <v>67</v>
      </c>
      <c r="AO23" s="320">
        <f t="shared" si="27"/>
        <v>2010.0000000000002</v>
      </c>
      <c r="AP23" s="589">
        <f t="shared" si="108"/>
        <v>55</v>
      </c>
      <c r="AQ23" s="320">
        <f t="shared" si="28"/>
        <v>1650.0000000000002</v>
      </c>
      <c r="AR23" s="589">
        <f t="shared" ref="AR23" si="109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30"/>
        <v>0.8</v>
      </c>
    </row>
    <row r="24" spans="1:50">
      <c r="A24" s="63">
        <f>ELEC!C22</f>
        <v>44247</v>
      </c>
      <c r="B24" s="589">
        <f t="shared" si="8"/>
        <v>232</v>
      </c>
      <c r="C24" s="589">
        <f t="shared" si="8"/>
        <v>238</v>
      </c>
      <c r="D24" s="45">
        <f t="shared" si="97"/>
        <v>0</v>
      </c>
      <c r="E24" s="45">
        <f t="shared" si="9"/>
        <v>0</v>
      </c>
      <c r="F24" s="589">
        <f t="shared" si="10"/>
        <v>1717</v>
      </c>
      <c r="G24" s="52">
        <f t="shared" si="0"/>
        <v>0</v>
      </c>
      <c r="H24" s="589">
        <f t="shared" si="10"/>
        <v>4147</v>
      </c>
      <c r="I24" s="396">
        <f t="shared" si="1"/>
        <v>0</v>
      </c>
      <c r="J24" s="66">
        <f t="shared" si="11"/>
        <v>0</v>
      </c>
      <c r="K24" s="589">
        <f t="shared" si="12"/>
        <v>2216</v>
      </c>
      <c r="L24" s="52">
        <f t="shared" si="13"/>
        <v>0</v>
      </c>
      <c r="M24" s="589">
        <f t="shared" si="12"/>
        <v>162924</v>
      </c>
      <c r="N24" s="396">
        <f t="shared" si="2"/>
        <v>0</v>
      </c>
      <c r="O24" s="64">
        <f t="shared" si="14"/>
        <v>1869</v>
      </c>
      <c r="P24" s="589">
        <f t="shared" si="14"/>
        <v>1966</v>
      </c>
      <c r="Q24" s="589">
        <f t="shared" ref="Q24" si="110">Q23</f>
        <v>166371</v>
      </c>
      <c r="R24" s="395">
        <f t="shared" si="56"/>
        <v>0</v>
      </c>
      <c r="S24" s="52">
        <f t="shared" si="4"/>
        <v>0</v>
      </c>
      <c r="T24" s="67">
        <f t="shared" si="33"/>
        <v>0</v>
      </c>
      <c r="U24" s="402">
        <f t="shared" si="16"/>
        <v>0</v>
      </c>
      <c r="V24" s="62">
        <f t="shared" si="17"/>
        <v>0</v>
      </c>
      <c r="W24" s="400"/>
      <c r="X24" s="589">
        <f t="shared" si="19"/>
        <v>2453</v>
      </c>
      <c r="Y24" s="52">
        <f t="shared" si="20"/>
        <v>0</v>
      </c>
      <c r="Z24" s="589">
        <f t="shared" si="19"/>
        <v>137950.70000000001</v>
      </c>
      <c r="AA24" s="65">
        <f t="shared" si="5"/>
        <v>0</v>
      </c>
      <c r="AB24" s="284">
        <f t="shared" ref="AB24:AB32" si="111">SUM(Y24*$AB$2)</f>
        <v>0</v>
      </c>
      <c r="AC24" s="589">
        <f t="shared" ref="AC24:AE24" si="112">AC23</f>
        <v>1934</v>
      </c>
      <c r="AD24" s="45">
        <f t="shared" si="6"/>
        <v>0</v>
      </c>
      <c r="AE24" s="589">
        <f t="shared" si="112"/>
        <v>365317</v>
      </c>
      <c r="AF24" s="306">
        <f t="shared" si="22"/>
        <v>0</v>
      </c>
      <c r="AG24" s="209">
        <f t="shared" si="36"/>
        <v>0</v>
      </c>
      <c r="AH24" s="62">
        <f t="shared" si="37"/>
        <v>0</v>
      </c>
      <c r="AI24" s="318">
        <f t="shared" si="23"/>
        <v>0</v>
      </c>
      <c r="AJ24" s="318">
        <f>-tanks!AW25</f>
        <v>0</v>
      </c>
      <c r="AK24" s="318">
        <f t="shared" si="24"/>
        <v>0</v>
      </c>
      <c r="AL24" s="318">
        <f t="shared" si="7"/>
        <v>0</v>
      </c>
      <c r="AM24" s="318">
        <f t="shared" si="25"/>
        <v>0</v>
      </c>
      <c r="AN24" s="589">
        <f t="shared" ref="AN24:AP24" si="113">AN23</f>
        <v>67</v>
      </c>
      <c r="AO24" s="320">
        <f t="shared" si="27"/>
        <v>2010.0000000000002</v>
      </c>
      <c r="AP24" s="589">
        <f t="shared" si="113"/>
        <v>55</v>
      </c>
      <c r="AQ24" s="320">
        <f t="shared" si="28"/>
        <v>1650.0000000000002</v>
      </c>
      <c r="AR24" s="589">
        <f t="shared" ref="AR24" si="114">AR23</f>
        <v>61</v>
      </c>
      <c r="AS24" s="320">
        <f t="shared" si="40"/>
        <v>1830</v>
      </c>
      <c r="AT24" s="320">
        <f t="shared" ref="AT24:AT32" si="115">SUM(AO24+AQ24+AS24)</f>
        <v>5490</v>
      </c>
      <c r="AU24" s="320">
        <f t="shared" si="42"/>
        <v>0</v>
      </c>
      <c r="AV24" s="269"/>
      <c r="AW24" s="269"/>
      <c r="AX24" s="313">
        <f t="shared" si="30"/>
        <v>0.8</v>
      </c>
    </row>
    <row r="25" spans="1:50" ht="13.5" customHeight="1">
      <c r="A25" s="63">
        <f>ELEC!C23</f>
        <v>44248</v>
      </c>
      <c r="B25" s="589">
        <f t="shared" si="8"/>
        <v>232</v>
      </c>
      <c r="C25" s="589">
        <f t="shared" si="8"/>
        <v>238</v>
      </c>
      <c r="D25" s="45">
        <f t="shared" si="97"/>
        <v>0</v>
      </c>
      <c r="E25" s="45">
        <f t="shared" si="9"/>
        <v>0</v>
      </c>
      <c r="F25" s="589">
        <f t="shared" si="10"/>
        <v>1717</v>
      </c>
      <c r="G25" s="52">
        <f t="shared" si="0"/>
        <v>0</v>
      </c>
      <c r="H25" s="589">
        <f t="shared" si="10"/>
        <v>4147</v>
      </c>
      <c r="I25" s="396">
        <f t="shared" si="1"/>
        <v>0</v>
      </c>
      <c r="J25" s="66">
        <f t="shared" si="11"/>
        <v>0</v>
      </c>
      <c r="K25" s="589">
        <f t="shared" si="12"/>
        <v>2216</v>
      </c>
      <c r="L25" s="52">
        <f t="shared" si="13"/>
        <v>0</v>
      </c>
      <c r="M25" s="589">
        <f t="shared" si="12"/>
        <v>162924</v>
      </c>
      <c r="N25" s="396">
        <f t="shared" si="2"/>
        <v>0</v>
      </c>
      <c r="O25" s="64">
        <f t="shared" si="14"/>
        <v>1869</v>
      </c>
      <c r="P25" s="589">
        <f t="shared" si="14"/>
        <v>1966</v>
      </c>
      <c r="Q25" s="589">
        <f t="shared" ref="Q25" si="116">Q24</f>
        <v>166371</v>
      </c>
      <c r="R25" s="395">
        <f t="shared" si="56"/>
        <v>0</v>
      </c>
      <c r="S25" s="52">
        <f t="shared" si="4"/>
        <v>0</v>
      </c>
      <c r="T25" s="67">
        <f t="shared" si="33"/>
        <v>0</v>
      </c>
      <c r="U25" s="402">
        <f t="shared" si="16"/>
        <v>0</v>
      </c>
      <c r="V25" s="62">
        <f t="shared" si="17"/>
        <v>0</v>
      </c>
      <c r="W25" s="400"/>
      <c r="X25" s="589">
        <f t="shared" si="19"/>
        <v>2453</v>
      </c>
      <c r="Y25" s="52">
        <f t="shared" si="20"/>
        <v>0</v>
      </c>
      <c r="Z25" s="589">
        <f t="shared" si="19"/>
        <v>137950.70000000001</v>
      </c>
      <c r="AA25" s="65">
        <f t="shared" si="5"/>
        <v>0</v>
      </c>
      <c r="AB25" s="284">
        <f t="shared" si="111"/>
        <v>0</v>
      </c>
      <c r="AC25" s="589">
        <f t="shared" ref="AC25:AE25" si="117">AC24</f>
        <v>1934</v>
      </c>
      <c r="AD25" s="45">
        <f t="shared" si="6"/>
        <v>0</v>
      </c>
      <c r="AE25" s="589">
        <f t="shared" si="117"/>
        <v>365317</v>
      </c>
      <c r="AF25" s="306">
        <f t="shared" si="22"/>
        <v>0</v>
      </c>
      <c r="AG25" s="209">
        <f t="shared" si="36"/>
        <v>0</v>
      </c>
      <c r="AH25" s="62">
        <f t="shared" si="37"/>
        <v>0</v>
      </c>
      <c r="AI25" s="318">
        <f t="shared" si="23"/>
        <v>0</v>
      </c>
      <c r="AJ25" s="318">
        <f>-tanks!AW26</f>
        <v>0</v>
      </c>
      <c r="AK25" s="318">
        <f t="shared" si="24"/>
        <v>0</v>
      </c>
      <c r="AL25" s="318">
        <f t="shared" si="7"/>
        <v>0</v>
      </c>
      <c r="AM25" s="318">
        <f t="shared" si="25"/>
        <v>0</v>
      </c>
      <c r="AN25" s="589">
        <f t="shared" ref="AN25:AP25" si="118">AN24</f>
        <v>67</v>
      </c>
      <c r="AO25" s="320">
        <f t="shared" si="27"/>
        <v>2010.0000000000002</v>
      </c>
      <c r="AP25" s="589">
        <f t="shared" si="118"/>
        <v>55</v>
      </c>
      <c r="AQ25" s="320">
        <f t="shared" ref="AQ25:AQ32" si="119">(AP25/100)*3000</f>
        <v>1650.0000000000002</v>
      </c>
      <c r="AR25" s="589">
        <f t="shared" ref="AR25" si="120">AR24</f>
        <v>61</v>
      </c>
      <c r="AS25" s="320">
        <f t="shared" si="40"/>
        <v>1830</v>
      </c>
      <c r="AT25" s="320">
        <f t="shared" si="115"/>
        <v>5490</v>
      </c>
      <c r="AU25" s="320">
        <f t="shared" si="42"/>
        <v>0</v>
      </c>
      <c r="AV25" s="269"/>
      <c r="AW25" s="269"/>
      <c r="AX25" s="313">
        <f t="shared" si="30"/>
        <v>0.8</v>
      </c>
    </row>
    <row r="26" spans="1:50" ht="14.25" customHeight="1">
      <c r="A26" s="63">
        <f>ELEC!C24</f>
        <v>44249</v>
      </c>
      <c r="B26" s="589">
        <f t="shared" si="8"/>
        <v>232</v>
      </c>
      <c r="C26" s="589">
        <f t="shared" si="8"/>
        <v>238</v>
      </c>
      <c r="D26" s="45">
        <f t="shared" si="97"/>
        <v>0</v>
      </c>
      <c r="E26" s="45">
        <f t="shared" si="9"/>
        <v>0</v>
      </c>
      <c r="F26" s="589">
        <f t="shared" si="10"/>
        <v>1717</v>
      </c>
      <c r="G26" s="52">
        <f t="shared" si="0"/>
        <v>0</v>
      </c>
      <c r="H26" s="589">
        <f t="shared" si="10"/>
        <v>4147</v>
      </c>
      <c r="I26" s="396">
        <f t="shared" si="1"/>
        <v>0</v>
      </c>
      <c r="J26" s="66">
        <f t="shared" si="11"/>
        <v>0</v>
      </c>
      <c r="K26" s="589">
        <f t="shared" si="12"/>
        <v>2216</v>
      </c>
      <c r="L26" s="52">
        <f t="shared" si="13"/>
        <v>0</v>
      </c>
      <c r="M26" s="589">
        <f t="shared" si="12"/>
        <v>162924</v>
      </c>
      <c r="N26" s="396">
        <f t="shared" si="2"/>
        <v>0</v>
      </c>
      <c r="O26" s="64">
        <f t="shared" si="14"/>
        <v>1869</v>
      </c>
      <c r="P26" s="589">
        <f t="shared" si="14"/>
        <v>1966</v>
      </c>
      <c r="Q26" s="589">
        <f t="shared" ref="Q26" si="121">Q25</f>
        <v>166371</v>
      </c>
      <c r="R26" s="395">
        <f t="shared" si="56"/>
        <v>0</v>
      </c>
      <c r="S26" s="52">
        <f t="shared" si="4"/>
        <v>0</v>
      </c>
      <c r="T26" s="67">
        <f t="shared" si="33"/>
        <v>0</v>
      </c>
      <c r="U26" s="402">
        <f t="shared" si="16"/>
        <v>0</v>
      </c>
      <c r="V26" s="62">
        <f t="shared" si="17"/>
        <v>0</v>
      </c>
      <c r="W26" s="400"/>
      <c r="X26" s="589">
        <f t="shared" si="19"/>
        <v>2453</v>
      </c>
      <c r="Y26" s="52">
        <f t="shared" si="20"/>
        <v>0</v>
      </c>
      <c r="Z26" s="589">
        <f t="shared" si="19"/>
        <v>137950.70000000001</v>
      </c>
      <c r="AA26" s="65">
        <f t="shared" si="5"/>
        <v>0</v>
      </c>
      <c r="AB26" s="284">
        <f t="shared" si="111"/>
        <v>0</v>
      </c>
      <c r="AC26" s="589">
        <f t="shared" ref="AC26:AE26" si="122">AC25</f>
        <v>1934</v>
      </c>
      <c r="AD26" s="45">
        <f t="shared" si="6"/>
        <v>0</v>
      </c>
      <c r="AE26" s="589">
        <f t="shared" si="122"/>
        <v>365317</v>
      </c>
      <c r="AF26" s="306">
        <f t="shared" si="22"/>
        <v>0</v>
      </c>
      <c r="AG26" s="209">
        <f t="shared" si="36"/>
        <v>0</v>
      </c>
      <c r="AH26" s="62">
        <f t="shared" si="37"/>
        <v>0</v>
      </c>
      <c r="AI26" s="318">
        <f t="shared" si="23"/>
        <v>0</v>
      </c>
      <c r="AJ26" s="318">
        <f>-tanks!AW27</f>
        <v>0</v>
      </c>
      <c r="AK26" s="318">
        <f t="shared" si="24"/>
        <v>0</v>
      </c>
      <c r="AL26" s="318">
        <f t="shared" si="7"/>
        <v>0</v>
      </c>
      <c r="AM26" s="318">
        <f t="shared" si="25"/>
        <v>0</v>
      </c>
      <c r="AN26" s="589">
        <f t="shared" ref="AN26:AP26" si="123">AN25</f>
        <v>67</v>
      </c>
      <c r="AO26" s="320">
        <f t="shared" si="27"/>
        <v>2010.0000000000002</v>
      </c>
      <c r="AP26" s="589">
        <f t="shared" si="123"/>
        <v>55</v>
      </c>
      <c r="AQ26" s="320">
        <f t="shared" si="119"/>
        <v>1650.0000000000002</v>
      </c>
      <c r="AR26" s="589">
        <f t="shared" ref="AR26" si="124">AR25</f>
        <v>61</v>
      </c>
      <c r="AS26" s="320">
        <f t="shared" si="40"/>
        <v>1830</v>
      </c>
      <c r="AT26" s="320">
        <f t="shared" si="115"/>
        <v>5490</v>
      </c>
      <c r="AU26" s="320">
        <f t="shared" si="42"/>
        <v>0</v>
      </c>
      <c r="AV26" s="269"/>
      <c r="AW26" s="269"/>
      <c r="AX26" s="313">
        <f t="shared" si="30"/>
        <v>0.8</v>
      </c>
    </row>
    <row r="27" spans="1:50">
      <c r="A27" s="63">
        <f>ELEC!C25</f>
        <v>44250</v>
      </c>
      <c r="B27" s="589">
        <f t="shared" si="8"/>
        <v>232</v>
      </c>
      <c r="C27" s="589">
        <f t="shared" si="8"/>
        <v>238</v>
      </c>
      <c r="D27" s="45">
        <f t="shared" si="97"/>
        <v>0</v>
      </c>
      <c r="E27" s="45">
        <f t="shared" si="9"/>
        <v>0</v>
      </c>
      <c r="F27" s="589">
        <f t="shared" si="10"/>
        <v>1717</v>
      </c>
      <c r="G27" s="52">
        <f t="shared" si="0"/>
        <v>0</v>
      </c>
      <c r="H27" s="589">
        <f t="shared" si="10"/>
        <v>4147</v>
      </c>
      <c r="I27" s="396">
        <f t="shared" si="1"/>
        <v>0</v>
      </c>
      <c r="J27" s="66">
        <f t="shared" si="11"/>
        <v>0</v>
      </c>
      <c r="K27" s="589">
        <f t="shared" si="12"/>
        <v>2216</v>
      </c>
      <c r="L27" s="52">
        <f t="shared" si="13"/>
        <v>0</v>
      </c>
      <c r="M27" s="589">
        <f t="shared" si="12"/>
        <v>162924</v>
      </c>
      <c r="N27" s="396">
        <f t="shared" si="2"/>
        <v>0</v>
      </c>
      <c r="O27" s="64">
        <f t="shared" si="14"/>
        <v>1869</v>
      </c>
      <c r="P27" s="589">
        <f t="shared" si="14"/>
        <v>1966</v>
      </c>
      <c r="Q27" s="589">
        <f t="shared" ref="Q27" si="125">Q26</f>
        <v>166371</v>
      </c>
      <c r="R27" s="395">
        <f t="shared" si="56"/>
        <v>0</v>
      </c>
      <c r="S27" s="52">
        <f t="shared" si="4"/>
        <v>0</v>
      </c>
      <c r="T27" s="67">
        <f t="shared" si="33"/>
        <v>0</v>
      </c>
      <c r="U27" s="402">
        <f t="shared" si="16"/>
        <v>0</v>
      </c>
      <c r="V27" s="62">
        <f t="shared" si="17"/>
        <v>0</v>
      </c>
      <c r="W27" s="400"/>
      <c r="X27" s="589">
        <f t="shared" si="19"/>
        <v>2453</v>
      </c>
      <c r="Y27" s="52">
        <f t="shared" si="20"/>
        <v>0</v>
      </c>
      <c r="Z27" s="589">
        <f t="shared" si="19"/>
        <v>137950.70000000001</v>
      </c>
      <c r="AA27" s="65">
        <f t="shared" si="5"/>
        <v>0</v>
      </c>
      <c r="AB27" s="284">
        <f t="shared" si="111"/>
        <v>0</v>
      </c>
      <c r="AC27" s="589">
        <f t="shared" ref="AC27:AE27" si="126">AC26</f>
        <v>1934</v>
      </c>
      <c r="AD27" s="45">
        <f t="shared" si="6"/>
        <v>0</v>
      </c>
      <c r="AE27" s="589">
        <f t="shared" si="126"/>
        <v>365317</v>
      </c>
      <c r="AF27" s="306">
        <f t="shared" si="22"/>
        <v>0</v>
      </c>
      <c r="AG27" s="209">
        <f t="shared" si="36"/>
        <v>0</v>
      </c>
      <c r="AH27" s="62">
        <f t="shared" si="37"/>
        <v>0</v>
      </c>
      <c r="AI27" s="318">
        <f t="shared" si="23"/>
        <v>0</v>
      </c>
      <c r="AJ27" s="318">
        <f>-tanks!AW28</f>
        <v>0</v>
      </c>
      <c r="AK27" s="318">
        <f t="shared" si="24"/>
        <v>0</v>
      </c>
      <c r="AL27" s="318">
        <f t="shared" si="7"/>
        <v>0</v>
      </c>
      <c r="AM27" s="318">
        <f t="shared" si="25"/>
        <v>0</v>
      </c>
      <c r="AN27" s="589">
        <f t="shared" ref="AN27:AP27" si="127">AN26</f>
        <v>67</v>
      </c>
      <c r="AO27" s="320">
        <f>(AN27/100)*3000</f>
        <v>2010.0000000000002</v>
      </c>
      <c r="AP27" s="589">
        <f t="shared" si="127"/>
        <v>55</v>
      </c>
      <c r="AQ27" s="320">
        <f t="shared" si="119"/>
        <v>1650.0000000000002</v>
      </c>
      <c r="AR27" s="589">
        <f t="shared" ref="AR27" si="128">AR26</f>
        <v>61</v>
      </c>
      <c r="AS27" s="320">
        <f t="shared" si="40"/>
        <v>1830</v>
      </c>
      <c r="AT27" s="320">
        <f t="shared" si="115"/>
        <v>5490</v>
      </c>
      <c r="AU27" s="320">
        <f t="shared" si="42"/>
        <v>0</v>
      </c>
      <c r="AV27" s="269"/>
      <c r="AW27" s="502"/>
      <c r="AX27" s="313">
        <f t="shared" si="30"/>
        <v>0.8</v>
      </c>
    </row>
    <row r="28" spans="1:50">
      <c r="A28" s="63">
        <f>ELEC!C26</f>
        <v>44251</v>
      </c>
      <c r="B28" s="589">
        <f t="shared" si="8"/>
        <v>232</v>
      </c>
      <c r="C28" s="589">
        <f t="shared" si="8"/>
        <v>238</v>
      </c>
      <c r="D28" s="45">
        <f t="shared" si="97"/>
        <v>0</v>
      </c>
      <c r="E28" s="45">
        <f t="shared" si="9"/>
        <v>0</v>
      </c>
      <c r="F28" s="589">
        <f t="shared" si="10"/>
        <v>1717</v>
      </c>
      <c r="G28" s="52">
        <f t="shared" si="0"/>
        <v>0</v>
      </c>
      <c r="H28" s="589">
        <f t="shared" si="10"/>
        <v>4147</v>
      </c>
      <c r="I28" s="396">
        <f t="shared" si="1"/>
        <v>0</v>
      </c>
      <c r="J28" s="66">
        <f t="shared" si="11"/>
        <v>0</v>
      </c>
      <c r="K28" s="589">
        <f t="shared" si="12"/>
        <v>2216</v>
      </c>
      <c r="L28" s="52">
        <f t="shared" si="13"/>
        <v>0</v>
      </c>
      <c r="M28" s="589">
        <f t="shared" si="12"/>
        <v>162924</v>
      </c>
      <c r="N28" s="396">
        <f t="shared" si="2"/>
        <v>0</v>
      </c>
      <c r="O28" s="64">
        <f t="shared" si="14"/>
        <v>1869</v>
      </c>
      <c r="P28" s="589">
        <f t="shared" si="14"/>
        <v>1966</v>
      </c>
      <c r="Q28" s="589">
        <f t="shared" ref="Q28" si="129">Q27</f>
        <v>166371</v>
      </c>
      <c r="R28" s="395">
        <f t="shared" si="56"/>
        <v>0</v>
      </c>
      <c r="S28" s="52">
        <f t="shared" si="4"/>
        <v>0</v>
      </c>
      <c r="T28" s="67">
        <f t="shared" si="33"/>
        <v>0</v>
      </c>
      <c r="U28" s="402">
        <f t="shared" si="16"/>
        <v>0</v>
      </c>
      <c r="V28" s="62">
        <f t="shared" si="17"/>
        <v>0</v>
      </c>
      <c r="W28" s="400"/>
      <c r="X28" s="589">
        <f t="shared" si="19"/>
        <v>2453</v>
      </c>
      <c r="Y28" s="52">
        <f t="shared" si="20"/>
        <v>0</v>
      </c>
      <c r="Z28" s="589">
        <f t="shared" si="19"/>
        <v>137950.70000000001</v>
      </c>
      <c r="AA28" s="65">
        <f t="shared" si="5"/>
        <v>0</v>
      </c>
      <c r="AB28" s="284">
        <f t="shared" si="111"/>
        <v>0</v>
      </c>
      <c r="AC28" s="589">
        <f t="shared" ref="AC28:AE28" si="130">AC27</f>
        <v>1934</v>
      </c>
      <c r="AD28" s="45">
        <f t="shared" si="6"/>
        <v>0</v>
      </c>
      <c r="AE28" s="589">
        <f t="shared" si="130"/>
        <v>365317</v>
      </c>
      <c r="AF28" s="306">
        <f t="shared" si="22"/>
        <v>0</v>
      </c>
      <c r="AG28" s="209">
        <f t="shared" si="36"/>
        <v>0</v>
      </c>
      <c r="AH28" s="62">
        <f t="shared" si="37"/>
        <v>0</v>
      </c>
      <c r="AI28" s="318">
        <f t="shared" si="23"/>
        <v>0</v>
      </c>
      <c r="AJ28" s="318">
        <f>-tanks!AW29</f>
        <v>0</v>
      </c>
      <c r="AK28" s="318">
        <f t="shared" si="24"/>
        <v>0</v>
      </c>
      <c r="AL28" s="318">
        <f t="shared" si="7"/>
        <v>0</v>
      </c>
      <c r="AM28" s="318">
        <f t="shared" si="25"/>
        <v>0</v>
      </c>
      <c r="AN28" s="589">
        <f t="shared" ref="AN28:AP28" si="131">AN27</f>
        <v>67</v>
      </c>
      <c r="AO28" s="320">
        <f t="shared" ref="AO28:AO32" si="132">(AN28/100)*3000</f>
        <v>2010.0000000000002</v>
      </c>
      <c r="AP28" s="589">
        <f t="shared" si="131"/>
        <v>55</v>
      </c>
      <c r="AQ28" s="320">
        <f t="shared" si="119"/>
        <v>1650.0000000000002</v>
      </c>
      <c r="AR28" s="589">
        <f t="shared" ref="AR28" si="133">AR27</f>
        <v>61</v>
      </c>
      <c r="AS28" s="320">
        <f t="shared" si="40"/>
        <v>1830</v>
      </c>
      <c r="AT28" s="320">
        <f t="shared" si="115"/>
        <v>5490</v>
      </c>
      <c r="AU28" s="320">
        <f t="shared" si="42"/>
        <v>0</v>
      </c>
      <c r="AV28" s="269"/>
      <c r="AW28" s="269"/>
      <c r="AX28" s="313">
        <f t="shared" si="30"/>
        <v>0.8</v>
      </c>
    </row>
    <row r="29" spans="1:50">
      <c r="A29" s="63">
        <f>ELEC!C27</f>
        <v>44252</v>
      </c>
      <c r="B29" s="589">
        <f t="shared" si="8"/>
        <v>232</v>
      </c>
      <c r="C29" s="589">
        <f t="shared" si="8"/>
        <v>238</v>
      </c>
      <c r="D29" s="45">
        <f t="shared" si="97"/>
        <v>0</v>
      </c>
      <c r="E29" s="45">
        <f t="shared" si="9"/>
        <v>0</v>
      </c>
      <c r="F29" s="589">
        <f t="shared" si="10"/>
        <v>1717</v>
      </c>
      <c r="G29" s="52">
        <f t="shared" si="0"/>
        <v>0</v>
      </c>
      <c r="H29" s="589">
        <f t="shared" si="10"/>
        <v>4147</v>
      </c>
      <c r="I29" s="396">
        <f t="shared" si="1"/>
        <v>0</v>
      </c>
      <c r="J29" s="66">
        <f t="shared" si="11"/>
        <v>0</v>
      </c>
      <c r="K29" s="589">
        <f t="shared" si="12"/>
        <v>2216</v>
      </c>
      <c r="L29" s="52">
        <f t="shared" si="13"/>
        <v>0</v>
      </c>
      <c r="M29" s="589">
        <f t="shared" si="12"/>
        <v>162924</v>
      </c>
      <c r="N29" s="396">
        <f t="shared" si="2"/>
        <v>0</v>
      </c>
      <c r="O29" s="64">
        <f t="shared" si="14"/>
        <v>1869</v>
      </c>
      <c r="P29" s="589">
        <f t="shared" si="14"/>
        <v>1966</v>
      </c>
      <c r="Q29" s="589">
        <f t="shared" ref="Q29" si="134">Q28</f>
        <v>166371</v>
      </c>
      <c r="R29" s="395">
        <f t="shared" si="56"/>
        <v>0</v>
      </c>
      <c r="S29" s="52">
        <f t="shared" si="4"/>
        <v>0</v>
      </c>
      <c r="T29" s="67">
        <f t="shared" si="33"/>
        <v>0</v>
      </c>
      <c r="U29" s="402">
        <f t="shared" si="16"/>
        <v>0</v>
      </c>
      <c r="V29" s="62">
        <f t="shared" si="17"/>
        <v>0</v>
      </c>
      <c r="W29" s="400"/>
      <c r="X29" s="589">
        <f t="shared" si="19"/>
        <v>2453</v>
      </c>
      <c r="Y29" s="52">
        <f t="shared" si="20"/>
        <v>0</v>
      </c>
      <c r="Z29" s="589">
        <f t="shared" si="19"/>
        <v>137950.70000000001</v>
      </c>
      <c r="AA29" s="65">
        <f t="shared" si="5"/>
        <v>0</v>
      </c>
      <c r="AB29" s="284">
        <f t="shared" si="111"/>
        <v>0</v>
      </c>
      <c r="AC29" s="589">
        <f t="shared" ref="AC29:AE29" si="135">AC28</f>
        <v>1934</v>
      </c>
      <c r="AD29" s="45">
        <f t="shared" si="6"/>
        <v>0</v>
      </c>
      <c r="AE29" s="589">
        <f t="shared" si="135"/>
        <v>365317</v>
      </c>
      <c r="AF29" s="306">
        <f t="shared" si="22"/>
        <v>0</v>
      </c>
      <c r="AG29" s="209">
        <f t="shared" si="36"/>
        <v>0</v>
      </c>
      <c r="AH29" s="62">
        <f t="shared" si="37"/>
        <v>0</v>
      </c>
      <c r="AI29" s="318">
        <f t="shared" si="23"/>
        <v>0</v>
      </c>
      <c r="AJ29" s="318">
        <f>-tanks!AW30</f>
        <v>0</v>
      </c>
      <c r="AK29" s="318">
        <f t="shared" si="24"/>
        <v>0</v>
      </c>
      <c r="AL29" s="318">
        <f t="shared" si="7"/>
        <v>0</v>
      </c>
      <c r="AM29" s="318">
        <f t="shared" si="25"/>
        <v>0</v>
      </c>
      <c r="AN29" s="589">
        <f t="shared" ref="AN29:AP29" si="136">AN28</f>
        <v>67</v>
      </c>
      <c r="AO29" s="320">
        <f t="shared" si="132"/>
        <v>2010.0000000000002</v>
      </c>
      <c r="AP29" s="589">
        <f t="shared" si="136"/>
        <v>55</v>
      </c>
      <c r="AQ29" s="320">
        <f t="shared" si="119"/>
        <v>1650.0000000000002</v>
      </c>
      <c r="AR29" s="589">
        <f t="shared" ref="AR29" si="137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30"/>
        <v>0.8</v>
      </c>
    </row>
    <row r="30" spans="1:50">
      <c r="A30" s="63">
        <f>ELEC!C28</f>
        <v>44253</v>
      </c>
      <c r="B30" s="589">
        <f t="shared" si="8"/>
        <v>232</v>
      </c>
      <c r="C30" s="589">
        <f t="shared" si="8"/>
        <v>238</v>
      </c>
      <c r="D30" s="45">
        <f t="shared" si="97"/>
        <v>0</v>
      </c>
      <c r="E30" s="45">
        <f t="shared" si="9"/>
        <v>0</v>
      </c>
      <c r="F30" s="589">
        <f t="shared" si="10"/>
        <v>1717</v>
      </c>
      <c r="G30" s="52">
        <f t="shared" si="0"/>
        <v>0</v>
      </c>
      <c r="H30" s="589">
        <f t="shared" si="10"/>
        <v>4147</v>
      </c>
      <c r="I30" s="396">
        <f t="shared" si="1"/>
        <v>0</v>
      </c>
      <c r="J30" s="66">
        <f t="shared" si="11"/>
        <v>0</v>
      </c>
      <c r="K30" s="589">
        <f t="shared" si="12"/>
        <v>2216</v>
      </c>
      <c r="L30" s="52">
        <f t="shared" si="13"/>
        <v>0</v>
      </c>
      <c r="M30" s="589">
        <f t="shared" si="12"/>
        <v>162924</v>
      </c>
      <c r="N30" s="396">
        <f t="shared" si="2"/>
        <v>0</v>
      </c>
      <c r="O30" s="64">
        <f t="shared" si="14"/>
        <v>1869</v>
      </c>
      <c r="P30" s="589">
        <f t="shared" si="14"/>
        <v>1966</v>
      </c>
      <c r="Q30" s="589">
        <f t="shared" ref="Q30" si="138">Q29</f>
        <v>166371</v>
      </c>
      <c r="R30" s="395">
        <f t="shared" si="56"/>
        <v>0</v>
      </c>
      <c r="S30" s="52">
        <f t="shared" si="4"/>
        <v>0</v>
      </c>
      <c r="T30" s="67">
        <f t="shared" si="33"/>
        <v>0</v>
      </c>
      <c r="U30" s="402">
        <f t="shared" si="16"/>
        <v>0</v>
      </c>
      <c r="V30" s="62">
        <f t="shared" si="17"/>
        <v>0</v>
      </c>
      <c r="W30" s="400"/>
      <c r="X30" s="589">
        <f t="shared" si="19"/>
        <v>2453</v>
      </c>
      <c r="Y30" s="52">
        <f t="shared" si="20"/>
        <v>0</v>
      </c>
      <c r="Z30" s="589">
        <f t="shared" si="19"/>
        <v>137950.70000000001</v>
      </c>
      <c r="AA30" s="65">
        <f t="shared" si="5"/>
        <v>0</v>
      </c>
      <c r="AB30" s="284">
        <f t="shared" si="111"/>
        <v>0</v>
      </c>
      <c r="AC30" s="589">
        <f t="shared" ref="AC30:AE30" si="139">AC29</f>
        <v>1934</v>
      </c>
      <c r="AD30" s="45">
        <f t="shared" si="6"/>
        <v>0</v>
      </c>
      <c r="AE30" s="589">
        <f t="shared" si="139"/>
        <v>365317</v>
      </c>
      <c r="AF30" s="306">
        <f t="shared" si="22"/>
        <v>0</v>
      </c>
      <c r="AG30" s="209">
        <f t="shared" si="36"/>
        <v>0</v>
      </c>
      <c r="AH30" s="62">
        <f t="shared" si="37"/>
        <v>0</v>
      </c>
      <c r="AI30" s="318">
        <f t="shared" si="23"/>
        <v>0</v>
      </c>
      <c r="AJ30" s="318">
        <f>-tanks!AW31</f>
        <v>0</v>
      </c>
      <c r="AK30" s="318">
        <f t="shared" si="24"/>
        <v>0</v>
      </c>
      <c r="AL30" s="318">
        <f t="shared" si="7"/>
        <v>0</v>
      </c>
      <c r="AM30" s="318">
        <f t="shared" si="25"/>
        <v>0</v>
      </c>
      <c r="AN30" s="589">
        <f t="shared" ref="AN30:AP30" si="140">AN29</f>
        <v>67</v>
      </c>
      <c r="AO30" s="320">
        <f t="shared" si="132"/>
        <v>2010.0000000000002</v>
      </c>
      <c r="AP30" s="589">
        <f t="shared" si="140"/>
        <v>55</v>
      </c>
      <c r="AQ30" s="320">
        <f t="shared" si="119"/>
        <v>1650.0000000000002</v>
      </c>
      <c r="AR30" s="589">
        <f t="shared" ref="AR30" si="141">AR29</f>
        <v>61</v>
      </c>
      <c r="AS30" s="320">
        <f t="shared" si="40"/>
        <v>1830</v>
      </c>
      <c r="AT30" s="320">
        <f t="shared" si="115"/>
        <v>5490</v>
      </c>
      <c r="AU30" s="320">
        <f t="shared" si="42"/>
        <v>0</v>
      </c>
      <c r="AV30" s="269"/>
      <c r="AW30" s="269"/>
      <c r="AX30" s="313">
        <f t="shared" si="30"/>
        <v>0.8</v>
      </c>
    </row>
    <row r="31" spans="1:50">
      <c r="A31" s="63">
        <f>ELEC!C29</f>
        <v>44254</v>
      </c>
      <c r="B31" s="589">
        <f t="shared" si="8"/>
        <v>232</v>
      </c>
      <c r="C31" s="589">
        <f t="shared" si="8"/>
        <v>238</v>
      </c>
      <c r="D31" s="45">
        <f t="shared" si="97"/>
        <v>0</v>
      </c>
      <c r="E31" s="45">
        <f t="shared" si="9"/>
        <v>0</v>
      </c>
      <c r="F31" s="589">
        <f t="shared" si="10"/>
        <v>1717</v>
      </c>
      <c r="G31" s="52">
        <f t="shared" si="0"/>
        <v>0</v>
      </c>
      <c r="H31" s="589">
        <f t="shared" si="10"/>
        <v>4147</v>
      </c>
      <c r="I31" s="396">
        <f t="shared" si="1"/>
        <v>0</v>
      </c>
      <c r="J31" s="66">
        <f t="shared" si="11"/>
        <v>0</v>
      </c>
      <c r="K31" s="589">
        <f t="shared" si="12"/>
        <v>2216</v>
      </c>
      <c r="L31" s="52">
        <f t="shared" si="13"/>
        <v>0</v>
      </c>
      <c r="M31" s="589">
        <f t="shared" si="12"/>
        <v>162924</v>
      </c>
      <c r="N31" s="396">
        <f t="shared" si="2"/>
        <v>0</v>
      </c>
      <c r="O31" s="64">
        <f t="shared" si="14"/>
        <v>1869</v>
      </c>
      <c r="P31" s="589">
        <f t="shared" si="14"/>
        <v>1966</v>
      </c>
      <c r="Q31" s="589">
        <f t="shared" ref="Q31" si="142">Q30</f>
        <v>166371</v>
      </c>
      <c r="R31" s="395">
        <f t="shared" si="56"/>
        <v>0</v>
      </c>
      <c r="S31" s="52">
        <f t="shared" si="4"/>
        <v>0</v>
      </c>
      <c r="T31" s="67">
        <f t="shared" si="33"/>
        <v>0</v>
      </c>
      <c r="U31" s="402">
        <f t="shared" si="16"/>
        <v>0</v>
      </c>
      <c r="V31" s="62">
        <f t="shared" si="17"/>
        <v>0</v>
      </c>
      <c r="W31" s="400"/>
      <c r="X31" s="589">
        <f t="shared" si="19"/>
        <v>2453</v>
      </c>
      <c r="Y31" s="52">
        <f t="shared" si="20"/>
        <v>0</v>
      </c>
      <c r="Z31" s="589">
        <f t="shared" si="19"/>
        <v>137950.70000000001</v>
      </c>
      <c r="AA31" s="65">
        <f t="shared" si="5"/>
        <v>0</v>
      </c>
      <c r="AB31" s="284">
        <f t="shared" si="111"/>
        <v>0</v>
      </c>
      <c r="AC31" s="589">
        <f t="shared" ref="AC31:AE31" si="143">AC30</f>
        <v>1934</v>
      </c>
      <c r="AD31" s="269">
        <f t="shared" si="6"/>
        <v>0</v>
      </c>
      <c r="AE31" s="589">
        <f t="shared" si="143"/>
        <v>365317</v>
      </c>
      <c r="AF31" s="306">
        <f t="shared" si="22"/>
        <v>0</v>
      </c>
      <c r="AG31" s="209">
        <f t="shared" si="36"/>
        <v>0</v>
      </c>
      <c r="AH31" s="62">
        <f t="shared" si="37"/>
        <v>0</v>
      </c>
      <c r="AI31" s="318">
        <f t="shared" si="23"/>
        <v>0</v>
      </c>
      <c r="AJ31" s="318">
        <f>-tanks!AW32</f>
        <v>0</v>
      </c>
      <c r="AK31" s="318">
        <f t="shared" si="24"/>
        <v>0</v>
      </c>
      <c r="AL31" s="318">
        <f t="shared" si="7"/>
        <v>0</v>
      </c>
      <c r="AM31" s="318">
        <f t="shared" si="25"/>
        <v>0</v>
      </c>
      <c r="AN31" s="589">
        <f t="shared" ref="AN31:AP31" si="144">AN30</f>
        <v>67</v>
      </c>
      <c r="AO31" s="320">
        <f t="shared" si="132"/>
        <v>2010.0000000000002</v>
      </c>
      <c r="AP31" s="589">
        <f t="shared" si="144"/>
        <v>55</v>
      </c>
      <c r="AQ31" s="320">
        <f t="shared" si="119"/>
        <v>1650.0000000000002</v>
      </c>
      <c r="AR31" s="589">
        <f t="shared" ref="AR31" si="145">AR30</f>
        <v>61</v>
      </c>
      <c r="AS31" s="320">
        <f t="shared" si="40"/>
        <v>1830</v>
      </c>
      <c r="AT31" s="320">
        <f t="shared" si="115"/>
        <v>5490</v>
      </c>
      <c r="AU31" s="320">
        <f t="shared" si="42"/>
        <v>0</v>
      </c>
      <c r="AV31" s="269"/>
      <c r="AW31" s="269"/>
      <c r="AX31" s="313">
        <f t="shared" si="30"/>
        <v>0.8</v>
      </c>
    </row>
    <row r="32" spans="1:50">
      <c r="A32" s="63">
        <f>ELEC!C30</f>
        <v>44255</v>
      </c>
      <c r="B32" s="589">
        <f t="shared" si="8"/>
        <v>232</v>
      </c>
      <c r="C32" s="589">
        <f t="shared" si="8"/>
        <v>238</v>
      </c>
      <c r="D32" s="45">
        <f t="shared" si="31"/>
        <v>0</v>
      </c>
      <c r="E32" s="45">
        <f t="shared" ref="E32" si="146">D32*8.38</f>
        <v>0</v>
      </c>
      <c r="F32" s="589">
        <f t="shared" si="10"/>
        <v>1717</v>
      </c>
      <c r="G32" s="52">
        <f t="shared" si="0"/>
        <v>0</v>
      </c>
      <c r="H32" s="589">
        <f t="shared" si="10"/>
        <v>4147</v>
      </c>
      <c r="I32" s="396">
        <f t="shared" si="1"/>
        <v>0</v>
      </c>
      <c r="J32" s="66">
        <f t="shared" si="11"/>
        <v>0</v>
      </c>
      <c r="K32" s="589">
        <f t="shared" si="12"/>
        <v>2216</v>
      </c>
      <c r="L32" s="52">
        <f t="shared" si="13"/>
        <v>0</v>
      </c>
      <c r="M32" s="589">
        <f t="shared" si="12"/>
        <v>162924</v>
      </c>
      <c r="N32" s="396">
        <f t="shared" si="2"/>
        <v>0</v>
      </c>
      <c r="O32" s="64">
        <f t="shared" si="14"/>
        <v>1869</v>
      </c>
      <c r="P32" s="589">
        <f t="shared" si="14"/>
        <v>1966</v>
      </c>
      <c r="Q32" s="589">
        <f t="shared" ref="Q32" si="147">Q31</f>
        <v>166371</v>
      </c>
      <c r="R32" s="395">
        <f t="shared" si="56"/>
        <v>0</v>
      </c>
      <c r="S32" s="52">
        <f t="shared" si="4"/>
        <v>0</v>
      </c>
      <c r="T32" s="67">
        <f t="shared" si="33"/>
        <v>0</v>
      </c>
      <c r="U32" s="402">
        <f t="shared" si="16"/>
        <v>0</v>
      </c>
      <c r="V32" s="62">
        <f t="shared" si="17"/>
        <v>0</v>
      </c>
      <c r="W32" s="400"/>
      <c r="X32" s="589">
        <f t="shared" si="19"/>
        <v>2453</v>
      </c>
      <c r="Y32" s="52">
        <f t="shared" si="20"/>
        <v>0</v>
      </c>
      <c r="Z32" s="589">
        <f t="shared" si="19"/>
        <v>137950.70000000001</v>
      </c>
      <c r="AA32" s="65">
        <f t="shared" si="5"/>
        <v>0</v>
      </c>
      <c r="AB32" s="284">
        <f t="shared" si="111"/>
        <v>0</v>
      </c>
      <c r="AC32" s="589">
        <f t="shared" ref="AC32:AE32" si="148">AC31</f>
        <v>1934</v>
      </c>
      <c r="AD32" s="269">
        <f t="shared" si="6"/>
        <v>0</v>
      </c>
      <c r="AE32" s="589">
        <f t="shared" si="148"/>
        <v>365317</v>
      </c>
      <c r="AF32" s="306">
        <f t="shared" si="22"/>
        <v>0</v>
      </c>
      <c r="AG32" s="209">
        <f t="shared" si="36"/>
        <v>0</v>
      </c>
      <c r="AH32" s="62">
        <f t="shared" si="37"/>
        <v>0</v>
      </c>
      <c r="AI32" s="318">
        <f t="shared" si="23"/>
        <v>0</v>
      </c>
      <c r="AJ32" s="318">
        <f>-tanks!AW33</f>
        <v>0</v>
      </c>
      <c r="AK32" s="318">
        <f t="shared" si="24"/>
        <v>0</v>
      </c>
      <c r="AL32" s="318">
        <f t="shared" si="7"/>
        <v>0</v>
      </c>
      <c r="AM32" s="318">
        <f t="shared" si="25"/>
        <v>0</v>
      </c>
      <c r="AN32" s="589">
        <f t="shared" ref="AN32:AP32" si="149">AN31</f>
        <v>67</v>
      </c>
      <c r="AO32" s="320">
        <f t="shared" si="132"/>
        <v>2010.0000000000002</v>
      </c>
      <c r="AP32" s="589">
        <f t="shared" si="149"/>
        <v>55</v>
      </c>
      <c r="AQ32" s="320">
        <f t="shared" si="119"/>
        <v>1650.0000000000002</v>
      </c>
      <c r="AR32" s="589">
        <f t="shared" ref="AR32" si="150">AR31</f>
        <v>61</v>
      </c>
      <c r="AS32" s="320">
        <f t="shared" si="40"/>
        <v>1830</v>
      </c>
      <c r="AT32" s="320">
        <f t="shared" si="115"/>
        <v>5490</v>
      </c>
      <c r="AU32" s="320">
        <f t="shared" si="42"/>
        <v>0</v>
      </c>
      <c r="AV32" s="269"/>
      <c r="AW32" s="269"/>
      <c r="AX32" s="313">
        <f t="shared" si="30"/>
        <v>0.8</v>
      </c>
    </row>
    <row r="33" spans="10:49">
      <c r="J33" s="283">
        <f>SUM(J5:J32)/(COUNT(J5:J32)-COUNTIF(J5:J32,0))</f>
        <v>1</v>
      </c>
      <c r="V33" s="62">
        <f>SUM(V5:V32)</f>
        <v>348</v>
      </c>
      <c r="AE33" s="71" t="s">
        <v>383</v>
      </c>
      <c r="AG33" s="344"/>
      <c r="AH33" s="62">
        <f>SUM(AH5:AH32)</f>
        <v>119.60000000000582</v>
      </c>
      <c r="AL33" s="62">
        <f>SUM(AL5:AL32)</f>
        <v>4</v>
      </c>
      <c r="AM33" s="62">
        <f>SUM(AM5:AM32)</f>
        <v>1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467.60000000000582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G1" zoomScaleNormal="100" workbookViewId="0">
      <pane ySplit="3" topLeftCell="A4" activePane="bottomLeft" state="frozen"/>
      <selection pane="bottomLeft" activeCell="AZ6" sqref="AZ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7999862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1" t="s">
        <v>95</v>
      </c>
      <c r="AS2" s="622"/>
      <c r="AT2" s="622"/>
      <c r="AU2" s="622"/>
      <c r="AV2" s="623"/>
      <c r="AW2" s="621" t="s">
        <v>96</v>
      </c>
      <c r="AX2" s="622"/>
      <c r="AY2" s="623"/>
      <c r="AZ2" s="621" t="s">
        <v>98</v>
      </c>
      <c r="BA2" s="622"/>
      <c r="BB2" s="62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18" t="s">
        <v>126</v>
      </c>
      <c r="AO3" s="619"/>
      <c r="AP3" s="62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[2]WATER!B$6</f>
        <v>109443</v>
      </c>
      <c r="C5" s="410">
        <f>[2]WATER!C$6</f>
        <v>0</v>
      </c>
      <c r="D5" s="410">
        <f>[2]WATER!D$6</f>
        <v>0</v>
      </c>
      <c r="E5" s="410">
        <f>[2]WATER!E$6</f>
        <v>241.93548387096774</v>
      </c>
      <c r="F5" s="410">
        <f>[2]WATER!F$6</f>
        <v>0</v>
      </c>
      <c r="G5" s="410">
        <f>[2]WATER!G$6</f>
        <v>614538</v>
      </c>
      <c r="H5" s="410">
        <f>[2]WATER!H$6</f>
        <v>249</v>
      </c>
      <c r="I5" s="410">
        <f>[2]WATER!I$6</f>
        <v>249</v>
      </c>
      <c r="J5" s="410">
        <f>[2]WATER!J$6</f>
        <v>0.97162844928099501</v>
      </c>
      <c r="K5" s="410">
        <f>[2]WATER!K$6</f>
        <v>6709</v>
      </c>
      <c r="L5" s="410">
        <f>[2]WATER!L$6</f>
        <v>0</v>
      </c>
      <c r="M5" s="410">
        <f>[2]WATER!M$6</f>
        <v>457.44</v>
      </c>
      <c r="N5" s="410">
        <f>[2]WATER!N$6</f>
        <v>0</v>
      </c>
      <c r="O5" s="410">
        <f>[2]WATER!O$6</f>
        <v>529.52</v>
      </c>
      <c r="P5" s="410">
        <f>[2]WATER!P$6</f>
        <v>0</v>
      </c>
      <c r="Q5" s="410">
        <f>[2]WATER!Q$6</f>
        <v>0</v>
      </c>
      <c r="R5" s="410">
        <f>[2]WATER!R$6</f>
        <v>0</v>
      </c>
      <c r="S5" s="410">
        <f>[2]WATER!S$6</f>
        <v>0</v>
      </c>
      <c r="T5" s="410">
        <f>[2]WATER!T$6</f>
        <v>5163</v>
      </c>
      <c r="U5" s="410">
        <f>[2]WATER!U$6</f>
        <v>0</v>
      </c>
      <c r="V5" s="410">
        <f>[2]WATER!V$6</f>
        <v>459</v>
      </c>
      <c r="W5" s="410">
        <f>[2]WATER!W$6</f>
        <v>0</v>
      </c>
      <c r="X5" s="410">
        <f>[2]WATER!X$6</f>
        <v>149807</v>
      </c>
      <c r="Y5" s="410">
        <f>[2]WATER!Y$6</f>
        <v>0</v>
      </c>
      <c r="Z5" s="410">
        <f>[2]WATER!Z$6</f>
        <v>98092</v>
      </c>
      <c r="AA5" s="410">
        <f>[2]WATER!AA$6</f>
        <v>22</v>
      </c>
      <c r="AB5" s="410">
        <f>[2]WATER!AB$6</f>
        <v>265</v>
      </c>
      <c r="AC5" s="410">
        <f>[2]WATER!AC$6</f>
        <v>731</v>
      </c>
      <c r="AD5" s="410">
        <f>[2]WATER!AD$6</f>
        <v>0</v>
      </c>
      <c r="AE5" s="410">
        <f>[2]WATER!AE$6</f>
        <v>227.8</v>
      </c>
      <c r="AF5" s="410">
        <f>[2]WATER!AF$6</f>
        <v>0</v>
      </c>
      <c r="AG5" s="410">
        <f>[2]WATER!AG$6</f>
        <v>2181.5700000000002</v>
      </c>
      <c r="AH5" s="410">
        <f>[2]WATER!AH$6</f>
        <v>0</v>
      </c>
      <c r="AI5" s="410">
        <f>[2]WATER!AI$6</f>
        <v>0</v>
      </c>
      <c r="AJ5" s="410">
        <f>[2]WATER!AJ$6</f>
        <v>22</v>
      </c>
      <c r="AK5" s="410">
        <f>[2]WATER!AK$6</f>
        <v>0</v>
      </c>
      <c r="AL5" s="410">
        <f>[2]WATER!AL$6</f>
        <v>22</v>
      </c>
      <c r="AM5" s="410">
        <f>[2]WATER!AM$6</f>
        <v>17.5</v>
      </c>
      <c r="AN5" s="410">
        <f>[2]WATER!AN$6</f>
        <v>0</v>
      </c>
      <c r="AO5" s="410">
        <f>[2]WATER!AO$6</f>
        <v>0</v>
      </c>
      <c r="AP5" s="410">
        <f>[2]WATER!AP$6</f>
        <v>0</v>
      </c>
      <c r="AQ5" s="410">
        <f>[2]WATER!AQ$6</f>
        <v>0</v>
      </c>
      <c r="AR5" s="410">
        <f>[2]WATER!AR$6</f>
        <v>44197</v>
      </c>
      <c r="AS5" s="410">
        <f>[2]WATER!AS$6</f>
        <v>0.9</v>
      </c>
      <c r="AT5" s="410">
        <f>[2]WATER!AT$6</f>
        <v>180</v>
      </c>
      <c r="AU5" s="410">
        <f>[2]WATER!AU$6</f>
        <v>1.1000000000000001</v>
      </c>
      <c r="AV5" s="410">
        <f>[2]WATER!AV$6</f>
        <v>130</v>
      </c>
      <c r="AW5" s="410">
        <f>[2]WATER!AW$6</f>
        <v>2.9</v>
      </c>
      <c r="AX5" s="410">
        <f>[2]WATER!AX$6</f>
        <v>144</v>
      </c>
      <c r="AY5" s="410">
        <f>[2]WATER!AY$6</f>
        <v>162</v>
      </c>
      <c r="AZ5" s="410">
        <f>[2]WATER!AZ$6</f>
        <v>143</v>
      </c>
      <c r="BA5" s="410">
        <f>[2]WATER!BA$6</f>
        <v>417.59999999999997</v>
      </c>
      <c r="BB5" s="410">
        <f>[2]WATER!BB$6</f>
        <v>38.700000000000003</v>
      </c>
      <c r="BC5" s="410">
        <f>[2]WATER!BC$6</f>
        <v>-3.3000000000000114</v>
      </c>
      <c r="BD5" s="410">
        <f>[2]WATER!BD$6</f>
        <v>23.199999999999989</v>
      </c>
      <c r="BE5" s="410">
        <f>[2]WATER!BE$6</f>
        <v>58.59999999999998</v>
      </c>
      <c r="BF5" s="410">
        <f>[2]WATER!BF$6</f>
        <v>190.40000000000003</v>
      </c>
      <c r="BG5" s="410">
        <f>[2]WATER!BG$6</f>
        <v>58.599999999999966</v>
      </c>
    </row>
    <row r="6" spans="1:65" ht="15.7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836</v>
      </c>
      <c r="I6" s="5">
        <f t="shared" ref="I6:I33" si="0">C6+H6</f>
        <v>836</v>
      </c>
      <c r="J6" s="334">
        <f t="shared" ref="J6:J33" si="1">IF(I6&gt;0,E6/I6,0)</f>
        <v>0.32040328092959669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2</v>
      </c>
      <c r="V6" s="5">
        <v>460</v>
      </c>
      <c r="W6" s="324">
        <f>+V6-V5</f>
        <v>1</v>
      </c>
      <c r="X6" s="5">
        <f>X5</f>
        <v>149807</v>
      </c>
      <c r="Y6" s="324">
        <f>SUM(X6-X5)</f>
        <v>0</v>
      </c>
      <c r="Z6" s="5">
        <f>Z5</f>
        <v>98092</v>
      </c>
      <c r="AA6" s="83">
        <f>Z6-Z5</f>
        <v>0</v>
      </c>
      <c r="AB6" s="5">
        <f>AB5</f>
        <v>265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-1</v>
      </c>
      <c r="AM6" s="327">
        <f>'General information '!D6</f>
        <v>0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-27</v>
      </c>
      <c r="BC6" s="21">
        <f>AZ6-AZ5</f>
        <v>19.800000000000011</v>
      </c>
      <c r="BD6" s="21">
        <f>BA6-BA5</f>
        <v>60.900000000000034</v>
      </c>
      <c r="BE6" s="24">
        <f>SUM(BB6:BD6)</f>
        <v>53.700000000000045</v>
      </c>
      <c r="BF6" s="96">
        <f t="shared" ref="BF6:BF33" si="8">SUM(I6-BE6)</f>
        <v>782.3</v>
      </c>
      <c r="BG6" s="82">
        <f t="shared" ref="BG6:BG33" si="9">SUM(I6-BF6)</f>
        <v>53.700000000000045</v>
      </c>
      <c r="BI6" s="17"/>
      <c r="BJ6" s="17"/>
      <c r="BK6" s="17"/>
      <c r="BL6" s="17"/>
      <c r="BM6" s="17"/>
    </row>
    <row r="7" spans="1:65" ht="15.7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149807</v>
      </c>
      <c r="Y7" s="324">
        <f>SUM(X7-X6)</f>
        <v>0</v>
      </c>
      <c r="Z7" s="5">
        <f t="shared" si="17"/>
        <v>98092</v>
      </c>
      <c r="AA7" s="83">
        <f t="shared" ref="AA7:AA33" si="19">Z7-Z6</f>
        <v>0</v>
      </c>
      <c r="AB7" s="5">
        <f t="shared" si="17"/>
        <v>265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f t="shared" si="6"/>
        <v>150</v>
      </c>
      <c r="AU7" s="425">
        <f>AU6</f>
        <v>1.1000000000000001</v>
      </c>
      <c r="AV7" s="201">
        <f t="shared" ref="AV7:AX7" si="26">AV6</f>
        <v>148</v>
      </c>
      <c r="AW7" s="5">
        <v>2.9</v>
      </c>
      <c r="AX7" s="201">
        <f t="shared" si="26"/>
        <v>165</v>
      </c>
      <c r="AY7" s="426">
        <f t="shared" si="7"/>
        <v>135</v>
      </c>
      <c r="AZ7" s="426">
        <f t="shared" ref="AZ7:AZ33" si="27">AU7*AV7</f>
        <v>162.80000000000001</v>
      </c>
      <c r="BA7" s="426">
        <f t="shared" ref="BA7:BA33" si="28">AW7*AX7</f>
        <v>478.5</v>
      </c>
      <c r="BB7" s="21">
        <f t="shared" ref="BB7:BD33" si="29">AY7-AY6</f>
        <v>0</v>
      </c>
      <c r="BC7" s="21">
        <f t="shared" ref="BC7:BD21" si="30">AZ7-AZ6</f>
        <v>0</v>
      </c>
      <c r="BD7" s="21">
        <f t="shared" si="30"/>
        <v>0</v>
      </c>
      <c r="BE7" s="24">
        <f t="shared" ref="BE7:BE33" si="31">SUM(BB7:BD7)</f>
        <v>0</v>
      </c>
      <c r="BF7" s="96">
        <f t="shared" si="8"/>
        <v>0</v>
      </c>
      <c r="BG7" s="82">
        <f t="shared" si="9"/>
        <v>0</v>
      </c>
      <c r="BI7" s="86"/>
      <c r="BJ7" s="17"/>
      <c r="BK7" s="17"/>
      <c r="BL7" s="17"/>
      <c r="BM7" s="17"/>
    </row>
    <row r="8" spans="1:65" ht="15.7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f t="shared" si="17"/>
        <v>460</v>
      </c>
      <c r="W8" s="324">
        <f t="shared" si="18"/>
        <v>0</v>
      </c>
      <c r="X8" s="5">
        <f t="shared" si="17"/>
        <v>149807</v>
      </c>
      <c r="Y8" s="324">
        <f>SUM(X8-X7)</f>
        <v>0</v>
      </c>
      <c r="Z8" s="5">
        <f t="shared" si="17"/>
        <v>98092</v>
      </c>
      <c r="AA8" s="83">
        <f t="shared" si="19"/>
        <v>0</v>
      </c>
      <c r="AB8" s="5">
        <f t="shared" si="17"/>
        <v>265</v>
      </c>
      <c r="AC8" s="5">
        <f t="shared" si="17"/>
        <v>731</v>
      </c>
      <c r="AD8" s="83">
        <f t="shared" ref="AD8:AD33" si="32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3">SUM(Y8-L8)</f>
        <v>0</v>
      </c>
      <c r="AL8" s="327">
        <f t="shared" si="24"/>
        <v>0</v>
      </c>
      <c r="AM8" s="327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f t="shared" si="6"/>
        <v>150</v>
      </c>
      <c r="AU8" s="425">
        <v>1.1000000000000001</v>
      </c>
      <c r="AV8" s="201">
        <f t="shared" ref="AV8:AX8" si="34">AV7</f>
        <v>148</v>
      </c>
      <c r="AW8" s="5">
        <v>2.9</v>
      </c>
      <c r="AX8" s="201">
        <f t="shared" si="34"/>
        <v>165</v>
      </c>
      <c r="AY8" s="426">
        <f t="shared" si="7"/>
        <v>135</v>
      </c>
      <c r="AZ8" s="426">
        <f t="shared" si="27"/>
        <v>162.80000000000001</v>
      </c>
      <c r="BA8" s="426">
        <f t="shared" si="28"/>
        <v>478.5</v>
      </c>
      <c r="BB8" s="21">
        <f t="shared" si="29"/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8"/>
        <v>0</v>
      </c>
      <c r="BG8" s="82">
        <f t="shared" si="9"/>
        <v>0</v>
      </c>
      <c r="BI8" s="86"/>
      <c r="BJ8" s="17"/>
      <c r="BK8" s="17"/>
    </row>
    <row r="9" spans="1:65" ht="15.7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5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460</v>
      </c>
      <c r="W9" s="324">
        <f t="shared" si="18"/>
        <v>0</v>
      </c>
      <c r="X9" s="5">
        <f t="shared" si="17"/>
        <v>149807</v>
      </c>
      <c r="Y9" s="324">
        <f t="shared" ref="Y9:Y33" si="36">SUM(X9-X8)</f>
        <v>0</v>
      </c>
      <c r="Z9" s="5">
        <f t="shared" si="17"/>
        <v>98092</v>
      </c>
      <c r="AA9" s="83">
        <f t="shared" si="19"/>
        <v>0</v>
      </c>
      <c r="AB9" s="5">
        <f t="shared" si="17"/>
        <v>265</v>
      </c>
      <c r="AC9" s="5">
        <f t="shared" si="17"/>
        <v>731</v>
      </c>
      <c r="AD9" s="83">
        <f t="shared" si="32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3"/>
        <v>0</v>
      </c>
      <c r="AL9" s="327">
        <f t="shared" si="24"/>
        <v>0</v>
      </c>
      <c r="AM9" s="327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150</v>
      </c>
      <c r="AU9" s="425">
        <f t="shared" ref="AU9:AV33" si="37">AU8</f>
        <v>1.1000000000000001</v>
      </c>
      <c r="AV9" s="201">
        <f t="shared" si="37"/>
        <v>148</v>
      </c>
      <c r="AW9" s="5">
        <v>2.9</v>
      </c>
      <c r="AX9" s="201">
        <f t="shared" ref="AX9" si="38">AX8</f>
        <v>165</v>
      </c>
      <c r="AY9" s="426">
        <f t="shared" si="7"/>
        <v>135</v>
      </c>
      <c r="AZ9" s="426">
        <f t="shared" si="27"/>
        <v>162.80000000000001</v>
      </c>
      <c r="BA9" s="426">
        <f t="shared" si="28"/>
        <v>478.5</v>
      </c>
      <c r="BB9" s="21">
        <f t="shared" si="2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45">
        <f t="shared" si="8"/>
        <v>0</v>
      </c>
      <c r="BG9" s="82">
        <f t="shared" si="9"/>
        <v>0</v>
      </c>
    </row>
    <row r="10" spans="1:65" ht="15.7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6716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460</v>
      </c>
      <c r="W10" s="324">
        <f t="shared" si="18"/>
        <v>0</v>
      </c>
      <c r="X10" s="5">
        <f t="shared" si="17"/>
        <v>149807</v>
      </c>
      <c r="Y10" s="324">
        <f t="shared" si="36"/>
        <v>0</v>
      </c>
      <c r="Z10" s="5">
        <f t="shared" si="17"/>
        <v>98092</v>
      </c>
      <c r="AA10" s="83">
        <f t="shared" si="19"/>
        <v>0</v>
      </c>
      <c r="AB10" s="5">
        <f t="shared" si="17"/>
        <v>265</v>
      </c>
      <c r="AC10" s="5">
        <f t="shared" si="17"/>
        <v>731</v>
      </c>
      <c r="AD10" s="83">
        <f t="shared" si="32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3"/>
        <v>0</v>
      </c>
      <c r="AL10" s="327">
        <f t="shared" si="24"/>
        <v>0</v>
      </c>
      <c r="AM10" s="327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f t="shared" si="6"/>
        <v>150</v>
      </c>
      <c r="AU10" s="425">
        <f t="shared" si="37"/>
        <v>1.1000000000000001</v>
      </c>
      <c r="AV10" s="201">
        <f t="shared" si="37"/>
        <v>148</v>
      </c>
      <c r="AW10" s="5">
        <v>2.9</v>
      </c>
      <c r="AX10" s="201">
        <f t="shared" ref="AX10" si="39">AX9</f>
        <v>165</v>
      </c>
      <c r="AY10" s="426">
        <f t="shared" si="7"/>
        <v>135</v>
      </c>
      <c r="AZ10" s="426">
        <f t="shared" si="27"/>
        <v>162.80000000000001</v>
      </c>
      <c r="BA10" s="426">
        <f t="shared" si="28"/>
        <v>478.5</v>
      </c>
      <c r="BB10" s="21">
        <f t="shared" si="2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6716</v>
      </c>
      <c r="L11" s="83">
        <f t="shared" si="35"/>
        <v>0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460</v>
      </c>
      <c r="W11" s="324">
        <f t="shared" si="18"/>
        <v>0</v>
      </c>
      <c r="X11" s="5">
        <f t="shared" si="17"/>
        <v>149807</v>
      </c>
      <c r="Y11" s="324">
        <f t="shared" si="36"/>
        <v>0</v>
      </c>
      <c r="Z11" s="5">
        <f t="shared" si="17"/>
        <v>98092</v>
      </c>
      <c r="AA11" s="83">
        <f t="shared" si="19"/>
        <v>0</v>
      </c>
      <c r="AB11" s="5">
        <f t="shared" si="17"/>
        <v>265</v>
      </c>
      <c r="AC11" s="5">
        <f t="shared" si="17"/>
        <v>731</v>
      </c>
      <c r="AD11" s="83">
        <f t="shared" si="32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3"/>
        <v>0</v>
      </c>
      <c r="AL11" s="327">
        <f t="shared" si="24"/>
        <v>0</v>
      </c>
      <c r="AM11" s="327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150</v>
      </c>
      <c r="AU11" s="425">
        <f t="shared" si="37"/>
        <v>1.1000000000000001</v>
      </c>
      <c r="AV11" s="201">
        <f t="shared" si="37"/>
        <v>148</v>
      </c>
      <c r="AW11" s="5">
        <v>2.9</v>
      </c>
      <c r="AX11" s="201">
        <f t="shared" ref="AX11" si="40">AX10</f>
        <v>165</v>
      </c>
      <c r="AY11" s="426">
        <f t="shared" si="7"/>
        <v>135</v>
      </c>
      <c r="AZ11" s="426">
        <f t="shared" si="27"/>
        <v>162.80000000000001</v>
      </c>
      <c r="BA11" s="426">
        <f t="shared" si="28"/>
        <v>478.5</v>
      </c>
      <c r="BB11" s="21">
        <f t="shared" si="29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5"/>
        <v>0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460</v>
      </c>
      <c r="W12" s="324">
        <f t="shared" si="18"/>
        <v>0</v>
      </c>
      <c r="X12" s="5">
        <f t="shared" si="17"/>
        <v>149807</v>
      </c>
      <c r="Y12" s="324">
        <f t="shared" si="36"/>
        <v>0</v>
      </c>
      <c r="Z12" s="5">
        <f t="shared" si="17"/>
        <v>98092</v>
      </c>
      <c r="AA12" s="83">
        <f t="shared" si="19"/>
        <v>0</v>
      </c>
      <c r="AB12" s="5">
        <f t="shared" si="17"/>
        <v>265</v>
      </c>
      <c r="AC12" s="5">
        <f t="shared" si="17"/>
        <v>731</v>
      </c>
      <c r="AD12" s="83">
        <f t="shared" si="32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3"/>
        <v>0</v>
      </c>
      <c r="AL12" s="327">
        <f t="shared" si="24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f t="shared" si="6"/>
        <v>150</v>
      </c>
      <c r="AU12" s="425">
        <f t="shared" si="37"/>
        <v>1.1000000000000001</v>
      </c>
      <c r="AV12" s="201">
        <f t="shared" si="37"/>
        <v>148</v>
      </c>
      <c r="AW12" s="5">
        <v>2.9</v>
      </c>
      <c r="AX12" s="201">
        <f t="shared" ref="AX12" si="41">AX11</f>
        <v>165</v>
      </c>
      <c r="AY12" s="426">
        <f t="shared" si="7"/>
        <v>135</v>
      </c>
      <c r="AZ12" s="426">
        <f t="shared" si="27"/>
        <v>162.80000000000001</v>
      </c>
      <c r="BA12" s="426">
        <f t="shared" si="28"/>
        <v>478.5</v>
      </c>
      <c r="BB12" s="21">
        <f t="shared" si="29"/>
        <v>0</v>
      </c>
      <c r="BC12" s="21">
        <f t="shared" si="30"/>
        <v>0</v>
      </c>
      <c r="BD12" s="21">
        <f t="shared" si="30"/>
        <v>0</v>
      </c>
      <c r="BE12" s="24">
        <f t="shared" si="31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6716</v>
      </c>
      <c r="L13" s="83">
        <f t="shared" si="35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460</v>
      </c>
      <c r="W13" s="324">
        <f t="shared" si="18"/>
        <v>0</v>
      </c>
      <c r="X13" s="5">
        <f t="shared" si="17"/>
        <v>149807</v>
      </c>
      <c r="Y13" s="324">
        <f t="shared" si="36"/>
        <v>0</v>
      </c>
      <c r="Z13" s="5">
        <f t="shared" si="17"/>
        <v>98092</v>
      </c>
      <c r="AA13" s="83">
        <f t="shared" si="19"/>
        <v>0</v>
      </c>
      <c r="AB13" s="5">
        <f t="shared" si="17"/>
        <v>265</v>
      </c>
      <c r="AC13" s="5">
        <f t="shared" si="17"/>
        <v>731</v>
      </c>
      <c r="AD13" s="83">
        <f t="shared" si="32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3"/>
        <v>0</v>
      </c>
      <c r="AL13" s="327">
        <f t="shared" si="24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150</v>
      </c>
      <c r="AU13" s="425">
        <f t="shared" si="37"/>
        <v>1.1000000000000001</v>
      </c>
      <c r="AV13" s="201">
        <f t="shared" si="37"/>
        <v>148</v>
      </c>
      <c r="AW13" s="5">
        <v>2.9</v>
      </c>
      <c r="AX13" s="201">
        <f t="shared" ref="AX13" si="42">AX12</f>
        <v>165</v>
      </c>
      <c r="AY13" s="426">
        <f t="shared" si="7"/>
        <v>135</v>
      </c>
      <c r="AZ13" s="426">
        <f t="shared" si="27"/>
        <v>162.80000000000001</v>
      </c>
      <c r="BA13" s="426">
        <f t="shared" si="28"/>
        <v>478.5</v>
      </c>
      <c r="BB13" s="21">
        <f t="shared" si="2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6716</v>
      </c>
      <c r="L14" s="83">
        <f t="shared" si="35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460</v>
      </c>
      <c r="W14" s="324">
        <f t="shared" si="18"/>
        <v>0</v>
      </c>
      <c r="X14" s="5">
        <f t="shared" si="17"/>
        <v>149807</v>
      </c>
      <c r="Y14" s="324">
        <f t="shared" si="36"/>
        <v>0</v>
      </c>
      <c r="Z14" s="5">
        <f t="shared" si="17"/>
        <v>98092</v>
      </c>
      <c r="AA14" s="83">
        <f t="shared" si="19"/>
        <v>0</v>
      </c>
      <c r="AB14" s="5">
        <f t="shared" si="17"/>
        <v>265</v>
      </c>
      <c r="AC14" s="5">
        <f t="shared" si="17"/>
        <v>731</v>
      </c>
      <c r="AD14" s="83">
        <f t="shared" si="32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3"/>
        <v>0</v>
      </c>
      <c r="AL14" s="327">
        <f t="shared" si="24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150</v>
      </c>
      <c r="AU14" s="425">
        <f t="shared" si="37"/>
        <v>1.1000000000000001</v>
      </c>
      <c r="AV14" s="201">
        <f t="shared" si="37"/>
        <v>148</v>
      </c>
      <c r="AW14" s="5">
        <v>2.9</v>
      </c>
      <c r="AX14" s="201">
        <f t="shared" ref="AX14" si="46">AX13</f>
        <v>165</v>
      </c>
      <c r="AY14" s="426">
        <f t="shared" si="7"/>
        <v>135</v>
      </c>
      <c r="AZ14" s="426">
        <f t="shared" si="27"/>
        <v>162.80000000000001</v>
      </c>
      <c r="BA14" s="426">
        <f t="shared" si="28"/>
        <v>478.5</v>
      </c>
      <c r="BB14" s="21">
        <f t="shared" si="2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6716</v>
      </c>
      <c r="L15" s="83">
        <f t="shared" si="35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460</v>
      </c>
      <c r="W15" s="324">
        <f t="shared" si="18"/>
        <v>0</v>
      </c>
      <c r="X15" s="5">
        <f t="shared" si="17"/>
        <v>149807</v>
      </c>
      <c r="Y15" s="324">
        <f t="shared" si="36"/>
        <v>0</v>
      </c>
      <c r="Z15" s="5">
        <f t="shared" si="17"/>
        <v>98092</v>
      </c>
      <c r="AA15" s="83">
        <f t="shared" si="19"/>
        <v>0</v>
      </c>
      <c r="AB15" s="5">
        <f t="shared" si="17"/>
        <v>265</v>
      </c>
      <c r="AC15" s="5">
        <f t="shared" si="17"/>
        <v>731</v>
      </c>
      <c r="AD15" s="83">
        <f t="shared" si="32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3"/>
        <v>0</v>
      </c>
      <c r="AL15" s="327">
        <f t="shared" si="24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150</v>
      </c>
      <c r="AU15" s="425">
        <f t="shared" si="37"/>
        <v>1.1000000000000001</v>
      </c>
      <c r="AV15" s="201">
        <f t="shared" si="37"/>
        <v>148</v>
      </c>
      <c r="AW15" s="5">
        <v>2.9</v>
      </c>
      <c r="AX15" s="201">
        <f t="shared" ref="AX15" si="47">AX14</f>
        <v>165</v>
      </c>
      <c r="AY15" s="426">
        <f t="shared" si="7"/>
        <v>135</v>
      </c>
      <c r="AZ15" s="426">
        <f t="shared" si="27"/>
        <v>162.80000000000001</v>
      </c>
      <c r="BA15" s="426">
        <f t="shared" si="28"/>
        <v>478.5</v>
      </c>
      <c r="BB15" s="21">
        <f t="shared" si="29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6716</v>
      </c>
      <c r="L16" s="274">
        <f t="shared" si="35"/>
        <v>0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460</v>
      </c>
      <c r="W16" s="324">
        <f t="shared" si="18"/>
        <v>0</v>
      </c>
      <c r="X16" s="5">
        <f t="shared" si="17"/>
        <v>149807</v>
      </c>
      <c r="Y16" s="324">
        <f t="shared" si="36"/>
        <v>0</v>
      </c>
      <c r="Z16" s="5">
        <f t="shared" si="17"/>
        <v>98092</v>
      </c>
      <c r="AA16" s="83">
        <f t="shared" si="19"/>
        <v>0</v>
      </c>
      <c r="AB16" s="5">
        <f t="shared" si="17"/>
        <v>265</v>
      </c>
      <c r="AC16" s="5">
        <f t="shared" si="17"/>
        <v>731</v>
      </c>
      <c r="AD16" s="83">
        <f t="shared" si="32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3"/>
        <v>0</v>
      </c>
      <c r="AL16" s="327">
        <f t="shared" si="24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150</v>
      </c>
      <c r="AU16" s="425">
        <f t="shared" si="37"/>
        <v>1.1000000000000001</v>
      </c>
      <c r="AV16" s="201">
        <f t="shared" si="37"/>
        <v>148</v>
      </c>
      <c r="AW16" s="5">
        <v>2.9</v>
      </c>
      <c r="AX16" s="201">
        <f t="shared" ref="AX16" si="48">AX15</f>
        <v>165</v>
      </c>
      <c r="AY16" s="426">
        <f t="shared" si="7"/>
        <v>135</v>
      </c>
      <c r="AZ16" s="426">
        <f t="shared" si="27"/>
        <v>162.80000000000001</v>
      </c>
      <c r="BA16" s="426">
        <f t="shared" si="28"/>
        <v>478.5</v>
      </c>
      <c r="BB16" s="21">
        <f t="shared" si="2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6716</v>
      </c>
      <c r="L17" s="83">
        <f t="shared" si="35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460</v>
      </c>
      <c r="W17" s="324">
        <f t="shared" si="18"/>
        <v>0</v>
      </c>
      <c r="X17" s="5">
        <f t="shared" si="17"/>
        <v>149807</v>
      </c>
      <c r="Y17" s="324">
        <f t="shared" si="36"/>
        <v>0</v>
      </c>
      <c r="Z17" s="5">
        <f t="shared" si="17"/>
        <v>98092</v>
      </c>
      <c r="AA17" s="83">
        <f t="shared" si="19"/>
        <v>0</v>
      </c>
      <c r="AB17" s="5">
        <f t="shared" si="17"/>
        <v>265</v>
      </c>
      <c r="AC17" s="5">
        <f t="shared" si="17"/>
        <v>731</v>
      </c>
      <c r="AD17" s="83">
        <f t="shared" si="32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150</v>
      </c>
      <c r="AU17" s="425">
        <f t="shared" si="37"/>
        <v>1.1000000000000001</v>
      </c>
      <c r="AV17" s="201">
        <f t="shared" si="37"/>
        <v>148</v>
      </c>
      <c r="AW17" s="5">
        <v>2.9</v>
      </c>
      <c r="AX17" s="201">
        <f t="shared" ref="AX17" si="49">AX16</f>
        <v>165</v>
      </c>
      <c r="AY17" s="426">
        <f t="shared" si="7"/>
        <v>135</v>
      </c>
      <c r="AZ17" s="426">
        <f t="shared" si="27"/>
        <v>162.80000000000001</v>
      </c>
      <c r="BA17" s="426">
        <f t="shared" si="28"/>
        <v>478.5</v>
      </c>
      <c r="BB17" s="21">
        <f t="shared" si="2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6716</v>
      </c>
      <c r="L18" s="83">
        <f t="shared" si="35"/>
        <v>0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460</v>
      </c>
      <c r="W18" s="324">
        <f t="shared" si="18"/>
        <v>0</v>
      </c>
      <c r="X18" s="5">
        <f t="shared" si="17"/>
        <v>149807</v>
      </c>
      <c r="Y18" s="324">
        <f t="shared" si="36"/>
        <v>0</v>
      </c>
      <c r="Z18" s="5">
        <f t="shared" si="17"/>
        <v>98092</v>
      </c>
      <c r="AA18" s="83">
        <f t="shared" si="19"/>
        <v>0</v>
      </c>
      <c r="AB18" s="5">
        <f t="shared" si="17"/>
        <v>265</v>
      </c>
      <c r="AC18" s="5">
        <f t="shared" si="17"/>
        <v>731</v>
      </c>
      <c r="AD18" s="83">
        <f t="shared" si="32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0</v>
      </c>
      <c r="AK18" s="327">
        <f>SUM(Y18-L18)</f>
        <v>0</v>
      </c>
      <c r="AL18" s="327">
        <f t="shared" si="24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f t="shared" si="6"/>
        <v>150</v>
      </c>
      <c r="AU18" s="425">
        <f t="shared" si="37"/>
        <v>1.1000000000000001</v>
      </c>
      <c r="AV18" s="201">
        <f t="shared" si="37"/>
        <v>148</v>
      </c>
      <c r="AW18" s="5">
        <v>2.9</v>
      </c>
      <c r="AX18" s="201">
        <f t="shared" ref="AX18" si="50">AX17</f>
        <v>165</v>
      </c>
      <c r="AY18" s="426">
        <f t="shared" si="7"/>
        <v>135</v>
      </c>
      <c r="AZ18" s="426">
        <f t="shared" si="27"/>
        <v>162.80000000000001</v>
      </c>
      <c r="BA18" s="426">
        <f t="shared" si="28"/>
        <v>478.5</v>
      </c>
      <c r="BB18" s="21">
        <f t="shared" si="2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f t="shared" si="13"/>
        <v>615374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6716</v>
      </c>
      <c r="L19" s="83">
        <f t="shared" si="35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460</v>
      </c>
      <c r="W19" s="324">
        <f t="shared" si="18"/>
        <v>0</v>
      </c>
      <c r="X19" s="5">
        <f t="shared" si="17"/>
        <v>149807</v>
      </c>
      <c r="Y19" s="324">
        <f t="shared" si="36"/>
        <v>0</v>
      </c>
      <c r="Z19" s="5">
        <f t="shared" si="17"/>
        <v>98092</v>
      </c>
      <c r="AA19" s="83">
        <f t="shared" si="19"/>
        <v>0</v>
      </c>
      <c r="AB19" s="5">
        <f t="shared" si="17"/>
        <v>265</v>
      </c>
      <c r="AC19" s="5">
        <f t="shared" si="17"/>
        <v>731</v>
      </c>
      <c r="AD19" s="83">
        <f t="shared" si="32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3"/>
        <v>0</v>
      </c>
      <c r="AL19" s="327">
        <f t="shared" si="24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f t="shared" si="6"/>
        <v>150</v>
      </c>
      <c r="AU19" s="425">
        <f t="shared" si="37"/>
        <v>1.1000000000000001</v>
      </c>
      <c r="AV19" s="201">
        <f t="shared" si="37"/>
        <v>148</v>
      </c>
      <c r="AW19" s="5">
        <v>2.9</v>
      </c>
      <c r="AX19" s="201">
        <f t="shared" ref="AX19" si="51">AX18</f>
        <v>165</v>
      </c>
      <c r="AY19" s="426">
        <f t="shared" ref="AY19:AY21" si="52">AS19*AT19</f>
        <v>135</v>
      </c>
      <c r="AZ19" s="426">
        <f t="shared" ref="AZ19:AZ21" si="53">AU19*AV19</f>
        <v>162.80000000000001</v>
      </c>
      <c r="BA19" s="426">
        <f t="shared" ref="BA19:BA21" si="54">AW19*AX19</f>
        <v>478.5</v>
      </c>
      <c r="BB19" s="21">
        <f t="shared" ref="BB19:BB20" si="55">AY19-AY18</f>
        <v>0</v>
      </c>
      <c r="BC19" s="21">
        <f t="shared" ref="BC19:BC20" si="56">AZ19-AZ18</f>
        <v>0</v>
      </c>
      <c r="BD19" s="21">
        <f t="shared" ref="BD19:BD20" si="57">BA19-BA18</f>
        <v>0</v>
      </c>
      <c r="BE19" s="24">
        <f t="shared" ref="BE19:BE20" si="58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615374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6716</v>
      </c>
      <c r="L20" s="83">
        <f t="shared" si="35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460</v>
      </c>
      <c r="W20" s="324">
        <f t="shared" si="18"/>
        <v>0</v>
      </c>
      <c r="X20" s="5">
        <f t="shared" si="17"/>
        <v>149807</v>
      </c>
      <c r="Y20" s="324">
        <f t="shared" si="36"/>
        <v>0</v>
      </c>
      <c r="Z20" s="5">
        <f t="shared" si="17"/>
        <v>98092</v>
      </c>
      <c r="AA20" s="83">
        <f t="shared" si="19"/>
        <v>0</v>
      </c>
      <c r="AB20" s="5">
        <f t="shared" si="17"/>
        <v>265</v>
      </c>
      <c r="AC20" s="5">
        <f t="shared" si="17"/>
        <v>731</v>
      </c>
      <c r="AD20" s="83">
        <f t="shared" si="32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3"/>
        <v>0</v>
      </c>
      <c r="AL20" s="327">
        <f t="shared" si="24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150</v>
      </c>
      <c r="AU20" s="425">
        <f t="shared" si="37"/>
        <v>1.1000000000000001</v>
      </c>
      <c r="AV20" s="201">
        <f t="shared" si="37"/>
        <v>148</v>
      </c>
      <c r="AW20" s="5">
        <v>2.9</v>
      </c>
      <c r="AX20" s="201">
        <f t="shared" ref="AX20" si="59">AX19</f>
        <v>165</v>
      </c>
      <c r="AY20" s="426">
        <f t="shared" si="52"/>
        <v>135</v>
      </c>
      <c r="AZ20" s="426">
        <f t="shared" si="53"/>
        <v>162.80000000000001</v>
      </c>
      <c r="BA20" s="426">
        <f t="shared" si="54"/>
        <v>478.5</v>
      </c>
      <c r="BB20" s="21">
        <f t="shared" si="55"/>
        <v>0</v>
      </c>
      <c r="BC20" s="21">
        <f t="shared" si="56"/>
        <v>0</v>
      </c>
      <c r="BD20" s="21">
        <f t="shared" si="57"/>
        <v>0</v>
      </c>
      <c r="BE20" s="24">
        <f t="shared" si="58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f t="shared" si="13"/>
        <v>615374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6716</v>
      </c>
      <c r="L21" s="83">
        <f t="shared" si="35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460</v>
      </c>
      <c r="W21" s="324">
        <f t="shared" si="18"/>
        <v>0</v>
      </c>
      <c r="X21" s="5">
        <f t="shared" si="17"/>
        <v>149807</v>
      </c>
      <c r="Y21" s="324">
        <f>SUM(X21-X20)</f>
        <v>0</v>
      </c>
      <c r="Z21" s="5">
        <f t="shared" si="17"/>
        <v>98092</v>
      </c>
      <c r="AA21" s="83">
        <f t="shared" si="19"/>
        <v>0</v>
      </c>
      <c r="AB21" s="5">
        <f t="shared" si="17"/>
        <v>265</v>
      </c>
      <c r="AC21" s="5">
        <f t="shared" si="17"/>
        <v>731</v>
      </c>
      <c r="AD21" s="83">
        <f t="shared" si="32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0</v>
      </c>
      <c r="AK21" s="327">
        <f>SUM(Y21-L21)</f>
        <v>0</v>
      </c>
      <c r="AL21" s="327">
        <f t="shared" si="24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150</v>
      </c>
      <c r="AU21" s="425">
        <f t="shared" si="37"/>
        <v>1.1000000000000001</v>
      </c>
      <c r="AV21" s="201">
        <f t="shared" si="37"/>
        <v>148</v>
      </c>
      <c r="AW21" s="5">
        <v>2.9</v>
      </c>
      <c r="AX21" s="201">
        <f t="shared" ref="AX21" si="60">AX20</f>
        <v>165</v>
      </c>
      <c r="AY21" s="426">
        <f t="shared" si="52"/>
        <v>135</v>
      </c>
      <c r="AZ21" s="426">
        <f t="shared" si="53"/>
        <v>162.80000000000001</v>
      </c>
      <c r="BA21" s="426">
        <f t="shared" si="54"/>
        <v>478.5</v>
      </c>
      <c r="BB21" s="21">
        <f t="shared" si="29"/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615374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6716</v>
      </c>
      <c r="L22" s="83">
        <f t="shared" si="35"/>
        <v>0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460</v>
      </c>
      <c r="W22" s="324">
        <f t="shared" si="18"/>
        <v>0</v>
      </c>
      <c r="X22" s="5">
        <f t="shared" si="17"/>
        <v>149807</v>
      </c>
      <c r="Y22" s="324">
        <f t="shared" si="36"/>
        <v>0</v>
      </c>
      <c r="Z22" s="5">
        <f t="shared" si="17"/>
        <v>98092</v>
      </c>
      <c r="AA22" s="83">
        <f t="shared" si="19"/>
        <v>0</v>
      </c>
      <c r="AB22" s="5">
        <f t="shared" si="17"/>
        <v>265</v>
      </c>
      <c r="AC22" s="5">
        <f t="shared" si="17"/>
        <v>731</v>
      </c>
      <c r="AD22" s="83">
        <f t="shared" si="32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3"/>
        <v>0</v>
      </c>
      <c r="AL22" s="327">
        <f t="shared" si="24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61">AS21</f>
        <v>0.9</v>
      </c>
      <c r="AT22" s="201">
        <f t="shared" si="61"/>
        <v>150</v>
      </c>
      <c r="AU22" s="425">
        <f t="shared" si="37"/>
        <v>1.1000000000000001</v>
      </c>
      <c r="AV22" s="201">
        <f t="shared" si="37"/>
        <v>148</v>
      </c>
      <c r="AW22" s="5">
        <v>2.9</v>
      </c>
      <c r="AX22" s="201">
        <f t="shared" ref="AX22" si="62">AX21</f>
        <v>165</v>
      </c>
      <c r="AY22" s="426">
        <f t="shared" si="7"/>
        <v>135</v>
      </c>
      <c r="AZ22" s="426">
        <f t="shared" si="27"/>
        <v>162.80000000000001</v>
      </c>
      <c r="BA22" s="426">
        <f t="shared" si="28"/>
        <v>478.5</v>
      </c>
      <c r="BB22" s="21">
        <f>AY22-AY21</f>
        <v>0</v>
      </c>
      <c r="BC22" s="21">
        <f t="shared" si="29"/>
        <v>0</v>
      </c>
      <c r="BD22" s="21">
        <f t="shared" si="29"/>
        <v>0</v>
      </c>
      <c r="BE22" s="24">
        <f t="shared" si="31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615374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6716</v>
      </c>
      <c r="L23" s="274">
        <f t="shared" si="35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460</v>
      </c>
      <c r="W23" s="324">
        <f t="shared" si="18"/>
        <v>0</v>
      </c>
      <c r="X23" s="5">
        <f t="shared" si="17"/>
        <v>149807</v>
      </c>
      <c r="Y23" s="324">
        <f t="shared" si="36"/>
        <v>0</v>
      </c>
      <c r="Z23" s="5">
        <f t="shared" si="17"/>
        <v>98092</v>
      </c>
      <c r="AA23" s="83">
        <f t="shared" si="19"/>
        <v>0</v>
      </c>
      <c r="AB23" s="5">
        <f t="shared" si="17"/>
        <v>265</v>
      </c>
      <c r="AC23" s="5">
        <f t="shared" si="17"/>
        <v>731</v>
      </c>
      <c r="AD23" s="83">
        <f t="shared" si="32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3"/>
        <v>0</v>
      </c>
      <c r="AL23" s="327">
        <f t="shared" si="24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61"/>
        <v>0.9</v>
      </c>
      <c r="AT23" s="201">
        <f t="shared" si="61"/>
        <v>150</v>
      </c>
      <c r="AU23" s="425">
        <f t="shared" si="37"/>
        <v>1.1000000000000001</v>
      </c>
      <c r="AV23" s="201">
        <f t="shared" si="37"/>
        <v>148</v>
      </c>
      <c r="AW23" s="5">
        <v>2.9</v>
      </c>
      <c r="AX23" s="201">
        <f t="shared" ref="AX23" si="63">AX22</f>
        <v>165</v>
      </c>
      <c r="AY23" s="426">
        <f t="shared" si="7"/>
        <v>135</v>
      </c>
      <c r="AZ23" s="426">
        <f t="shared" si="27"/>
        <v>162.80000000000001</v>
      </c>
      <c r="BA23" s="426">
        <f t="shared" si="28"/>
        <v>478.5</v>
      </c>
      <c r="BB23" s="21">
        <f t="shared" si="29"/>
        <v>0</v>
      </c>
      <c r="BC23" s="21">
        <f t="shared" si="29"/>
        <v>0</v>
      </c>
      <c r="BD23" s="21">
        <f t="shared" si="29"/>
        <v>0</v>
      </c>
      <c r="BE23" s="24">
        <f t="shared" si="31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615374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5"/>
        <v>-3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f t="shared" si="17"/>
        <v>5165</v>
      </c>
      <c r="U24" s="5">
        <f t="shared" si="4"/>
        <v>0</v>
      </c>
      <c r="V24" s="5">
        <f t="shared" si="17"/>
        <v>460</v>
      </c>
      <c r="W24" s="324">
        <f t="shared" si="18"/>
        <v>0</v>
      </c>
      <c r="X24" s="5">
        <f t="shared" si="17"/>
        <v>149807</v>
      </c>
      <c r="Y24" s="324">
        <f t="shared" si="36"/>
        <v>0</v>
      </c>
      <c r="Z24" s="5">
        <f t="shared" si="17"/>
        <v>98092</v>
      </c>
      <c r="AA24" s="83">
        <f t="shared" si="19"/>
        <v>0</v>
      </c>
      <c r="AB24" s="5">
        <f t="shared" si="17"/>
        <v>265</v>
      </c>
      <c r="AC24" s="5">
        <f t="shared" si="17"/>
        <v>731</v>
      </c>
      <c r="AD24" s="83">
        <f t="shared" si="32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3"/>
        <v>3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61"/>
        <v>0.9</v>
      </c>
      <c r="AT24" s="201">
        <f t="shared" si="61"/>
        <v>150</v>
      </c>
      <c r="AU24" s="425">
        <f t="shared" si="37"/>
        <v>1.1000000000000001</v>
      </c>
      <c r="AV24" s="201">
        <f t="shared" si="37"/>
        <v>148</v>
      </c>
      <c r="AW24" s="5">
        <v>2.9</v>
      </c>
      <c r="AX24" s="201">
        <f t="shared" ref="AX24" si="64">AX23</f>
        <v>165</v>
      </c>
      <c r="AY24" s="426">
        <f t="shared" si="7"/>
        <v>135</v>
      </c>
      <c r="AZ24" s="426">
        <f t="shared" si="27"/>
        <v>162.80000000000001</v>
      </c>
      <c r="BA24" s="426">
        <f t="shared" si="28"/>
        <v>478.5</v>
      </c>
      <c r="BB24" s="21">
        <f t="shared" si="29"/>
        <v>0</v>
      </c>
      <c r="BC24" s="21">
        <f t="shared" si="29"/>
        <v>0</v>
      </c>
      <c r="BD24" s="21">
        <f t="shared" si="29"/>
        <v>0</v>
      </c>
      <c r="BE24" s="24">
        <f t="shared" si="31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615374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6716</v>
      </c>
      <c r="L25" s="274">
        <f t="shared" si="35"/>
        <v>3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5165</v>
      </c>
      <c r="U25" s="5">
        <f t="shared" si="4"/>
        <v>0</v>
      </c>
      <c r="V25" s="5">
        <f t="shared" si="17"/>
        <v>460</v>
      </c>
      <c r="W25" s="324">
        <f t="shared" si="18"/>
        <v>0</v>
      </c>
      <c r="X25" s="5">
        <f t="shared" si="17"/>
        <v>149807</v>
      </c>
      <c r="Y25" s="324">
        <f t="shared" si="36"/>
        <v>0</v>
      </c>
      <c r="Z25" s="5">
        <f t="shared" si="17"/>
        <v>98092</v>
      </c>
      <c r="AA25" s="83">
        <f t="shared" si="19"/>
        <v>0</v>
      </c>
      <c r="AB25" s="5">
        <f t="shared" si="17"/>
        <v>265</v>
      </c>
      <c r="AC25" s="5">
        <f t="shared" si="17"/>
        <v>731</v>
      </c>
      <c r="AD25" s="83">
        <f t="shared" si="32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3"/>
        <v>-3</v>
      </c>
      <c r="AL25" s="327">
        <f t="shared" si="24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61"/>
        <v>0.9</v>
      </c>
      <c r="AT25" s="201">
        <f t="shared" si="61"/>
        <v>150</v>
      </c>
      <c r="AU25" s="425">
        <f t="shared" si="37"/>
        <v>1.1000000000000001</v>
      </c>
      <c r="AV25" s="201">
        <f t="shared" si="37"/>
        <v>148</v>
      </c>
      <c r="AW25" s="5">
        <v>2.9</v>
      </c>
      <c r="AX25" s="201">
        <f t="shared" ref="AX25" si="65">AX24</f>
        <v>165</v>
      </c>
      <c r="AY25" s="426">
        <f t="shared" si="7"/>
        <v>135</v>
      </c>
      <c r="AZ25" s="426">
        <f t="shared" si="27"/>
        <v>162.80000000000001</v>
      </c>
      <c r="BA25" s="426">
        <f t="shared" si="28"/>
        <v>478.5</v>
      </c>
      <c r="BB25" s="21">
        <f t="shared" si="29"/>
        <v>0</v>
      </c>
      <c r="BC25" s="21">
        <f t="shared" si="29"/>
        <v>0</v>
      </c>
      <c r="BD25" s="21">
        <f t="shared" si="29"/>
        <v>0</v>
      </c>
      <c r="BE25" s="24">
        <f t="shared" si="31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615374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6716</v>
      </c>
      <c r="L26" s="274">
        <f t="shared" si="35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5165</v>
      </c>
      <c r="U26" s="5">
        <f t="shared" si="4"/>
        <v>0</v>
      </c>
      <c r="V26" s="5">
        <f t="shared" si="17"/>
        <v>460</v>
      </c>
      <c r="W26" s="324">
        <f t="shared" si="18"/>
        <v>0</v>
      </c>
      <c r="X26" s="5">
        <f t="shared" si="17"/>
        <v>149807</v>
      </c>
      <c r="Y26" s="324">
        <f t="shared" si="36"/>
        <v>0</v>
      </c>
      <c r="Z26" s="5">
        <f t="shared" si="17"/>
        <v>98092</v>
      </c>
      <c r="AA26" s="83">
        <f t="shared" si="19"/>
        <v>0</v>
      </c>
      <c r="AB26" s="5">
        <f t="shared" si="17"/>
        <v>265</v>
      </c>
      <c r="AC26" s="5">
        <f t="shared" si="17"/>
        <v>731</v>
      </c>
      <c r="AD26" s="83">
        <f t="shared" si="32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61"/>
        <v>0.9</v>
      </c>
      <c r="AT26" s="201">
        <f t="shared" si="61"/>
        <v>150</v>
      </c>
      <c r="AU26" s="425">
        <f t="shared" si="37"/>
        <v>1.1000000000000001</v>
      </c>
      <c r="AV26" s="201">
        <f t="shared" si="37"/>
        <v>148</v>
      </c>
      <c r="AW26" s="5">
        <v>2.9</v>
      </c>
      <c r="AX26" s="201">
        <f t="shared" ref="AX26" si="66">AX25</f>
        <v>165</v>
      </c>
      <c r="AY26" s="426">
        <f t="shared" si="7"/>
        <v>135</v>
      </c>
      <c r="AZ26" s="426">
        <f t="shared" si="27"/>
        <v>162.80000000000001</v>
      </c>
      <c r="BA26" s="426">
        <f t="shared" si="28"/>
        <v>478.5</v>
      </c>
      <c r="BB26" s="21">
        <f t="shared" si="29"/>
        <v>0</v>
      </c>
      <c r="BC26" s="21">
        <f t="shared" si="29"/>
        <v>0</v>
      </c>
      <c r="BD26" s="21">
        <f t="shared" si="29"/>
        <v>0</v>
      </c>
      <c r="BE26" s="24">
        <f t="shared" si="31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f t="shared" si="13"/>
        <v>615374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6716</v>
      </c>
      <c r="L27" s="274">
        <f t="shared" si="35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5165</v>
      </c>
      <c r="U27" s="5">
        <f t="shared" si="4"/>
        <v>0</v>
      </c>
      <c r="V27" s="5">
        <f t="shared" si="17"/>
        <v>460</v>
      </c>
      <c r="W27" s="324">
        <f t="shared" si="18"/>
        <v>0</v>
      </c>
      <c r="X27" s="5">
        <f t="shared" si="17"/>
        <v>149807</v>
      </c>
      <c r="Y27" s="324">
        <f>SUM(X27-X26)</f>
        <v>0</v>
      </c>
      <c r="Z27" s="5">
        <f t="shared" si="17"/>
        <v>98092</v>
      </c>
      <c r="AA27" s="83">
        <f t="shared" si="19"/>
        <v>0</v>
      </c>
      <c r="AB27" s="5">
        <f t="shared" si="17"/>
        <v>265</v>
      </c>
      <c r="AC27" s="5">
        <f t="shared" si="17"/>
        <v>731</v>
      </c>
      <c r="AD27" s="83">
        <f t="shared" si="32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3"/>
        <v>0</v>
      </c>
      <c r="AL27" s="327">
        <f t="shared" si="24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61"/>
        <v>0.9</v>
      </c>
      <c r="AT27" s="201">
        <f t="shared" si="61"/>
        <v>150</v>
      </c>
      <c r="AU27" s="425">
        <f t="shared" si="37"/>
        <v>1.1000000000000001</v>
      </c>
      <c r="AV27" s="201">
        <f t="shared" si="37"/>
        <v>148</v>
      </c>
      <c r="AW27" s="5">
        <v>2.9</v>
      </c>
      <c r="AX27" s="201">
        <f t="shared" ref="AX27" si="67">AX26</f>
        <v>165</v>
      </c>
      <c r="AY27" s="426">
        <f t="shared" si="7"/>
        <v>135</v>
      </c>
      <c r="AZ27" s="426">
        <f t="shared" si="27"/>
        <v>162.80000000000001</v>
      </c>
      <c r="BA27" s="426">
        <f t="shared" si="28"/>
        <v>478.5</v>
      </c>
      <c r="BB27" s="21">
        <f t="shared" si="29"/>
        <v>0</v>
      </c>
      <c r="BC27" s="21">
        <f t="shared" si="29"/>
        <v>0</v>
      </c>
      <c r="BD27" s="21">
        <f t="shared" si="29"/>
        <v>0</v>
      </c>
      <c r="BE27" s="24">
        <f t="shared" si="31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615374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6716</v>
      </c>
      <c r="L28" s="274">
        <f t="shared" si="35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5165</v>
      </c>
      <c r="U28" s="5">
        <f t="shared" si="4"/>
        <v>0</v>
      </c>
      <c r="V28" s="5">
        <f t="shared" si="17"/>
        <v>460</v>
      </c>
      <c r="W28" s="324">
        <f t="shared" si="18"/>
        <v>0</v>
      </c>
      <c r="X28" s="5">
        <f t="shared" si="17"/>
        <v>149807</v>
      </c>
      <c r="Y28" s="324">
        <f t="shared" si="36"/>
        <v>0</v>
      </c>
      <c r="Z28" s="5">
        <f t="shared" si="17"/>
        <v>98092</v>
      </c>
      <c r="AA28" s="83">
        <f t="shared" si="19"/>
        <v>0</v>
      </c>
      <c r="AB28" s="5">
        <f t="shared" si="17"/>
        <v>265</v>
      </c>
      <c r="AC28" s="5">
        <f t="shared" si="17"/>
        <v>731</v>
      </c>
      <c r="AD28" s="83">
        <f t="shared" si="32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3"/>
        <v>0</v>
      </c>
      <c r="AL28" s="327">
        <f t="shared" si="24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61"/>
        <v>0.9</v>
      </c>
      <c r="AT28" s="201">
        <f t="shared" si="61"/>
        <v>150</v>
      </c>
      <c r="AU28" s="425">
        <f t="shared" si="37"/>
        <v>1.1000000000000001</v>
      </c>
      <c r="AV28" s="201">
        <f t="shared" si="37"/>
        <v>148</v>
      </c>
      <c r="AW28" s="5">
        <v>2.9</v>
      </c>
      <c r="AX28" s="201">
        <f t="shared" ref="AX28" si="68">AX27</f>
        <v>165</v>
      </c>
      <c r="AY28" s="426">
        <f t="shared" si="7"/>
        <v>135</v>
      </c>
      <c r="AZ28" s="426">
        <f t="shared" si="27"/>
        <v>162.80000000000001</v>
      </c>
      <c r="BA28" s="426">
        <f t="shared" si="28"/>
        <v>478.5</v>
      </c>
      <c r="BB28" s="21">
        <f t="shared" si="29"/>
        <v>0</v>
      </c>
      <c r="BC28" s="21">
        <f t="shared" si="29"/>
        <v>0</v>
      </c>
      <c r="BD28" s="21">
        <f t="shared" si="29"/>
        <v>0</v>
      </c>
      <c r="BE28" s="24">
        <f t="shared" si="31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615374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6716</v>
      </c>
      <c r="L29" s="274">
        <f t="shared" si="35"/>
        <v>0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5165</v>
      </c>
      <c r="U29" s="5">
        <f t="shared" si="4"/>
        <v>0</v>
      </c>
      <c r="V29" s="5">
        <f t="shared" si="17"/>
        <v>460</v>
      </c>
      <c r="W29" s="324">
        <f t="shared" si="18"/>
        <v>0</v>
      </c>
      <c r="X29" s="5">
        <f t="shared" si="17"/>
        <v>149807</v>
      </c>
      <c r="Y29" s="324">
        <f t="shared" si="36"/>
        <v>0</v>
      </c>
      <c r="Z29" s="5">
        <f t="shared" si="17"/>
        <v>98092</v>
      </c>
      <c r="AA29" s="83">
        <f t="shared" si="19"/>
        <v>0</v>
      </c>
      <c r="AB29" s="5">
        <f t="shared" si="17"/>
        <v>265</v>
      </c>
      <c r="AC29" s="5">
        <f t="shared" si="17"/>
        <v>731</v>
      </c>
      <c r="AD29" s="83">
        <f t="shared" si="32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3"/>
        <v>0</v>
      </c>
      <c r="AL29" s="327">
        <f t="shared" si="24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61"/>
        <v>0.9</v>
      </c>
      <c r="AT29" s="201">
        <f t="shared" si="61"/>
        <v>150</v>
      </c>
      <c r="AU29" s="425">
        <f t="shared" si="37"/>
        <v>1.1000000000000001</v>
      </c>
      <c r="AV29" s="201">
        <f t="shared" si="37"/>
        <v>148</v>
      </c>
      <c r="AW29" s="5">
        <v>2.9</v>
      </c>
      <c r="AX29" s="201">
        <f t="shared" ref="AX29" si="69">AX28</f>
        <v>165</v>
      </c>
      <c r="AY29" s="426">
        <f t="shared" si="7"/>
        <v>135</v>
      </c>
      <c r="AZ29" s="426">
        <f t="shared" si="27"/>
        <v>162.80000000000001</v>
      </c>
      <c r="BA29" s="426">
        <f t="shared" si="28"/>
        <v>478.5</v>
      </c>
      <c r="BB29" s="21">
        <f t="shared" si="29"/>
        <v>0</v>
      </c>
      <c r="BC29" s="21">
        <f t="shared" si="29"/>
        <v>0</v>
      </c>
      <c r="BD29" s="21">
        <f t="shared" si="29"/>
        <v>0</v>
      </c>
      <c r="BE29" s="24">
        <f t="shared" si="31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615374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6716</v>
      </c>
      <c r="L30" s="274">
        <f t="shared" si="35"/>
        <v>0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5165</v>
      </c>
      <c r="U30" s="5">
        <f t="shared" si="4"/>
        <v>0</v>
      </c>
      <c r="V30" s="5">
        <f t="shared" si="17"/>
        <v>460</v>
      </c>
      <c r="W30" s="324">
        <f t="shared" si="18"/>
        <v>0</v>
      </c>
      <c r="X30" s="5">
        <f t="shared" si="17"/>
        <v>149807</v>
      </c>
      <c r="Y30" s="324">
        <f t="shared" si="36"/>
        <v>0</v>
      </c>
      <c r="Z30" s="5">
        <f t="shared" si="17"/>
        <v>98092</v>
      </c>
      <c r="AA30" s="83">
        <f t="shared" si="19"/>
        <v>0</v>
      </c>
      <c r="AB30" s="5">
        <f t="shared" si="17"/>
        <v>265</v>
      </c>
      <c r="AC30" s="5">
        <f t="shared" si="17"/>
        <v>731</v>
      </c>
      <c r="AD30" s="83">
        <f t="shared" si="32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3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61"/>
        <v>0.9</v>
      </c>
      <c r="AT30" s="201">
        <f t="shared" si="61"/>
        <v>150</v>
      </c>
      <c r="AU30" s="425">
        <f t="shared" si="37"/>
        <v>1.1000000000000001</v>
      </c>
      <c r="AV30" s="201">
        <f t="shared" si="37"/>
        <v>148</v>
      </c>
      <c r="AW30" s="5">
        <v>2.9</v>
      </c>
      <c r="AX30" s="201">
        <f t="shared" ref="AX30" si="70">AX29</f>
        <v>165</v>
      </c>
      <c r="AY30" s="426">
        <f t="shared" si="7"/>
        <v>135</v>
      </c>
      <c r="AZ30" s="426">
        <f t="shared" si="27"/>
        <v>162.80000000000001</v>
      </c>
      <c r="BA30" s="426">
        <f t="shared" si="28"/>
        <v>478.5</v>
      </c>
      <c r="BB30" s="21">
        <f t="shared" si="29"/>
        <v>0</v>
      </c>
      <c r="BC30" s="21">
        <f t="shared" si="29"/>
        <v>0</v>
      </c>
      <c r="BD30" s="21">
        <f t="shared" si="29"/>
        <v>0</v>
      </c>
      <c r="BE30" s="24">
        <f t="shared" si="31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615374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6716</v>
      </c>
      <c r="L31" s="274">
        <f t="shared" si="35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5165</v>
      </c>
      <c r="U31" s="5">
        <f t="shared" si="4"/>
        <v>0</v>
      </c>
      <c r="V31" s="5">
        <f t="shared" si="17"/>
        <v>460</v>
      </c>
      <c r="W31" s="324">
        <f t="shared" si="18"/>
        <v>0</v>
      </c>
      <c r="X31" s="5">
        <f t="shared" si="17"/>
        <v>149807</v>
      </c>
      <c r="Y31" s="324">
        <f t="shared" si="36"/>
        <v>0</v>
      </c>
      <c r="Z31" s="5">
        <f t="shared" si="17"/>
        <v>98092</v>
      </c>
      <c r="AA31" s="83">
        <f t="shared" si="19"/>
        <v>0</v>
      </c>
      <c r="AB31" s="5">
        <f t="shared" si="17"/>
        <v>265</v>
      </c>
      <c r="AC31" s="5">
        <f t="shared" si="17"/>
        <v>731</v>
      </c>
      <c r="AD31" s="83">
        <f t="shared" si="32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3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61"/>
        <v>0.9</v>
      </c>
      <c r="AT31" s="201">
        <f t="shared" si="61"/>
        <v>150</v>
      </c>
      <c r="AU31" s="425">
        <f t="shared" si="37"/>
        <v>1.1000000000000001</v>
      </c>
      <c r="AV31" s="201">
        <f t="shared" si="37"/>
        <v>148</v>
      </c>
      <c r="AW31" s="5">
        <v>2.9</v>
      </c>
      <c r="AX31" s="201">
        <f t="shared" ref="AX31" si="71">AX30</f>
        <v>165</v>
      </c>
      <c r="AY31" s="426">
        <f t="shared" si="7"/>
        <v>135</v>
      </c>
      <c r="AZ31" s="426">
        <f t="shared" si="27"/>
        <v>162.80000000000001</v>
      </c>
      <c r="BA31" s="426">
        <f t="shared" si="28"/>
        <v>478.5</v>
      </c>
      <c r="BB31" s="21">
        <f t="shared" si="29"/>
        <v>0</v>
      </c>
      <c r="BC31" s="21">
        <f t="shared" si="29"/>
        <v>0</v>
      </c>
      <c r="BD31" s="21">
        <f t="shared" si="29"/>
        <v>0</v>
      </c>
      <c r="BE31" s="24">
        <f t="shared" si="31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615374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6716</v>
      </c>
      <c r="L32" s="274">
        <f t="shared" si="35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5165</v>
      </c>
      <c r="U32" s="5">
        <f t="shared" si="4"/>
        <v>0</v>
      </c>
      <c r="V32" s="5">
        <f t="shared" si="17"/>
        <v>460</v>
      </c>
      <c r="W32" s="324">
        <f t="shared" si="18"/>
        <v>0</v>
      </c>
      <c r="X32" s="5">
        <f t="shared" si="17"/>
        <v>149807</v>
      </c>
      <c r="Y32" s="324">
        <f t="shared" si="36"/>
        <v>0</v>
      </c>
      <c r="Z32" s="5">
        <f t="shared" si="17"/>
        <v>98092</v>
      </c>
      <c r="AA32" s="83">
        <f t="shared" si="19"/>
        <v>0</v>
      </c>
      <c r="AB32" s="5">
        <f t="shared" si="17"/>
        <v>265</v>
      </c>
      <c r="AC32" s="5">
        <f t="shared" si="17"/>
        <v>731</v>
      </c>
      <c r="AD32" s="83">
        <f t="shared" si="32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3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61"/>
        <v>0.9</v>
      </c>
      <c r="AT32" s="201">
        <f t="shared" si="61"/>
        <v>150</v>
      </c>
      <c r="AU32" s="425">
        <f t="shared" si="37"/>
        <v>1.1000000000000001</v>
      </c>
      <c r="AV32" s="201">
        <f t="shared" si="37"/>
        <v>148</v>
      </c>
      <c r="AW32" s="5">
        <v>2.9</v>
      </c>
      <c r="AX32" s="201">
        <f t="shared" ref="AX32" si="72">AX31</f>
        <v>165</v>
      </c>
      <c r="AY32" s="426">
        <f t="shared" si="7"/>
        <v>135</v>
      </c>
      <c r="AZ32" s="426">
        <f t="shared" si="27"/>
        <v>162.80000000000001</v>
      </c>
      <c r="BA32" s="426">
        <f t="shared" si="28"/>
        <v>478.5</v>
      </c>
      <c r="BB32" s="21">
        <f t="shared" si="29"/>
        <v>0</v>
      </c>
      <c r="BC32" s="21">
        <f t="shared" si="29"/>
        <v>0</v>
      </c>
      <c r="BD32" s="21">
        <f t="shared" si="29"/>
        <v>0</v>
      </c>
      <c r="BE32" s="24">
        <f t="shared" si="31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615374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6716</v>
      </c>
      <c r="L33" s="274">
        <f t="shared" si="35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5165</v>
      </c>
      <c r="U33" s="5">
        <f t="shared" si="4"/>
        <v>0</v>
      </c>
      <c r="V33" s="5">
        <f t="shared" si="17"/>
        <v>460</v>
      </c>
      <c r="W33" s="324">
        <f t="shared" si="18"/>
        <v>0</v>
      </c>
      <c r="X33" s="5">
        <f t="shared" si="17"/>
        <v>149807</v>
      </c>
      <c r="Y33" s="324">
        <f t="shared" si="36"/>
        <v>0</v>
      </c>
      <c r="Z33" s="5">
        <f t="shared" si="17"/>
        <v>98092</v>
      </c>
      <c r="AA33" s="83">
        <f t="shared" si="19"/>
        <v>0</v>
      </c>
      <c r="AB33" s="5">
        <f t="shared" si="17"/>
        <v>265</v>
      </c>
      <c r="AC33" s="5">
        <f t="shared" si="17"/>
        <v>731</v>
      </c>
      <c r="AD33" s="83">
        <f t="shared" si="32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3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61"/>
        <v>0.9</v>
      </c>
      <c r="AT33" s="201">
        <f t="shared" si="61"/>
        <v>150</v>
      </c>
      <c r="AU33" s="425">
        <f t="shared" si="37"/>
        <v>1.1000000000000001</v>
      </c>
      <c r="AV33" s="201">
        <f t="shared" si="37"/>
        <v>148</v>
      </c>
      <c r="AW33" s="5">
        <v>2.9</v>
      </c>
      <c r="AX33" s="201">
        <f t="shared" ref="AX33" si="73">AX32</f>
        <v>165</v>
      </c>
      <c r="AY33" s="426">
        <f t="shared" si="7"/>
        <v>135</v>
      </c>
      <c r="AZ33" s="426">
        <f t="shared" si="27"/>
        <v>162.80000000000001</v>
      </c>
      <c r="BA33" s="426">
        <f t="shared" si="28"/>
        <v>478.5</v>
      </c>
      <c r="BB33" s="21">
        <f t="shared" si="29"/>
        <v>0</v>
      </c>
      <c r="BC33" s="21">
        <f t="shared" si="29"/>
        <v>0</v>
      </c>
      <c r="BD33" s="21">
        <f t="shared" si="29"/>
        <v>0</v>
      </c>
      <c r="BE33" s="24">
        <f t="shared" si="31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836</v>
      </c>
      <c r="I34" s="412">
        <f>SUM(I6:I33)</f>
        <v>836</v>
      </c>
      <c r="L34" s="268">
        <f>SUM(L7:L33)</f>
        <v>0</v>
      </c>
      <c r="Q34" s="495">
        <f>SUM(Q5:Q33)</f>
        <v>0</v>
      </c>
      <c r="U34" s="409">
        <f>SUM(U6:U33)</f>
        <v>2</v>
      </c>
      <c r="X34" s="323"/>
      <c r="Y34" s="322" t="e">
        <f>SUM(#REF!,Y33,Y31,Y29,Y27,Y25,Y23,Y21,Y19,Y17,Y15,Y13,Y11,Y9,Y7,#REF!)</f>
        <v>#REF!</v>
      </c>
      <c r="AJ34" s="322">
        <f>SUM(AJ6:AJ33)</f>
        <v>0</v>
      </c>
      <c r="AK34" s="327" t="e">
        <f>SUM(Y34-L34)</f>
        <v>#REF!</v>
      </c>
      <c r="AL34" s="322">
        <f>SUM(AL6:AL33)</f>
        <v>-1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>
        <f>SUM('General information '!G34/WATER!I34)</f>
        <v>0</v>
      </c>
      <c r="L35" s="157"/>
      <c r="O35" s="492">
        <f>SUM(Q34+I34)</f>
        <v>836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836</v>
      </c>
      <c r="H36" s="1">
        <f>SUM(H35+C35)</f>
        <v>7500</v>
      </c>
      <c r="K36" s="1">
        <f>SUM(H36/G36)</f>
        <v>8.9712918660287073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7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zoomScaleNormal="100" workbookViewId="0">
      <pane ySplit="4" topLeftCell="A5" activePane="bottomLeft" state="frozen"/>
      <selection pane="bottomLeft" activeCell="E6" sqref="E6:F33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4" t="s">
        <v>193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ht="15.75" customHeight="1" thickBot="1">
      <c r="A2" s="62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9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/>
      <c r="C6" s="37"/>
      <c r="D6" s="26">
        <f t="shared" ref="D6:D12" si="0">(C6+B6)/2</f>
        <v>0</v>
      </c>
      <c r="E6" s="340"/>
      <c r="F6" s="343"/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/>
      <c r="C7" s="37"/>
      <c r="D7" s="26">
        <f t="shared" si="0"/>
        <v>0</v>
      </c>
      <c r="E7" s="340"/>
      <c r="F7" s="394"/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/>
      <c r="C8" s="37"/>
      <c r="D8" s="26">
        <f t="shared" si="0"/>
        <v>0</v>
      </c>
      <c r="E8" s="340"/>
      <c r="F8" s="340"/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/>
      <c r="C9" s="37"/>
      <c r="D9" s="26">
        <f>(C9+B9)/2</f>
        <v>0</v>
      </c>
      <c r="E9" s="394"/>
      <c r="F9" s="394"/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/>
      <c r="C10" s="37"/>
      <c r="D10" s="26">
        <f t="shared" si="0"/>
        <v>0</v>
      </c>
      <c r="E10" s="354"/>
      <c r="F10" s="340"/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/>
      <c r="C11" s="37"/>
      <c r="D11" s="26">
        <f t="shared" si="0"/>
        <v>0</v>
      </c>
      <c r="E11" s="394"/>
      <c r="F11" s="394"/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/>
      <c r="C12" s="37"/>
      <c r="D12" s="26">
        <f t="shared" si="0"/>
        <v>0</v>
      </c>
      <c r="E12" s="394"/>
      <c r="F12" s="394"/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/>
      <c r="C13" s="37"/>
      <c r="D13" s="26">
        <f>(C13+B13)/2</f>
        <v>0</v>
      </c>
      <c r="E13" s="354"/>
      <c r="F13" s="394"/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/>
      <c r="C14" s="37"/>
      <c r="D14" s="26">
        <f t="shared" ref="D14:D33" si="3">(C14+B14)/2</f>
        <v>0</v>
      </c>
      <c r="E14" s="340"/>
      <c r="F14" s="394"/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/>
      <c r="C15" s="37"/>
      <c r="D15" s="26">
        <f t="shared" si="3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/>
      <c r="C16" s="37"/>
      <c r="D16" s="26">
        <f t="shared" si="3"/>
        <v>0</v>
      </c>
      <c r="E16" s="340"/>
      <c r="F16" s="340"/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/>
      <c r="C17" s="37"/>
      <c r="D17" s="26">
        <f t="shared" si="3"/>
        <v>0</v>
      </c>
      <c r="E17" s="340"/>
      <c r="F17" s="340"/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 t="e">
        <f>AVERAGE(F6:F33)</f>
        <v>#DIV/0!</v>
      </c>
      <c r="G34" s="203">
        <f>SUM(G6:G33)</f>
        <v>0</v>
      </c>
    </row>
    <row r="35" spans="1:15">
      <c r="D35" s="261" t="e">
        <f>SUM(D6:D33)/'EDl log'!A32</f>
        <v>#DIV/0!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15" zoomScale="90" zoomScaleNormal="90" workbookViewId="0">
      <pane xSplit="1" topLeftCell="AH1" activePane="topRight" state="frozen"/>
      <selection pane="topRight" activeCell="AL33" sqref="AL3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233</v>
      </c>
      <c r="AT3" s="630" t="s">
        <v>301</v>
      </c>
      <c r="AU3" s="63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[1]tanks!B36</f>
        <v>244</v>
      </c>
      <c r="C5" s="532">
        <f>[1]tanks!C36</f>
        <v>5249.9354838709678</v>
      </c>
      <c r="D5" s="532">
        <f>[1]tanks!D36</f>
        <v>244</v>
      </c>
      <c r="E5" s="532">
        <f>[1]tanks!E36</f>
        <v>5249.9354838709678</v>
      </c>
      <c r="F5" s="532">
        <f>[1]tanks!F36</f>
        <v>244</v>
      </c>
      <c r="G5" s="532">
        <f>[1]tanks!G36</f>
        <v>5249.9354838709678</v>
      </c>
      <c r="H5" s="532">
        <f>[1]tanks!H36</f>
        <v>244</v>
      </c>
      <c r="I5" s="532">
        <f>[1]tanks!I36</f>
        <v>5249.9354838709678</v>
      </c>
      <c r="J5" s="532">
        <f>[1]tanks!J36</f>
        <v>244</v>
      </c>
      <c r="K5" s="532">
        <f>[1]tanks!K36</f>
        <v>5249.9354838709678</v>
      </c>
      <c r="L5" s="532">
        <f>[1]tanks!L36</f>
        <v>244</v>
      </c>
      <c r="M5" s="532">
        <f>[1]tanks!M36</f>
        <v>5249.9354838709678</v>
      </c>
      <c r="N5" s="532">
        <f>[1]tanks!N36</f>
        <v>244</v>
      </c>
      <c r="O5" s="532">
        <f>[1]tanks!O36</f>
        <v>5249.9354838709678</v>
      </c>
      <c r="P5" s="532">
        <f>[1]tanks!P36</f>
        <v>244</v>
      </c>
      <c r="Q5" s="532">
        <f>[1]tanks!Q36</f>
        <v>5249.9354838709678</v>
      </c>
      <c r="R5" s="532">
        <f>[1]tanks!R36</f>
        <v>244</v>
      </c>
      <c r="S5" s="532">
        <f>[1]tanks!S36</f>
        <v>5249.9354838709678</v>
      </c>
      <c r="T5" s="532">
        <f>[1]tanks!T36</f>
        <v>244</v>
      </c>
      <c r="U5" s="532">
        <f>[1]tanks!U36</f>
        <v>5249.9354838709678</v>
      </c>
      <c r="V5" s="532">
        <f>[1]tanks!V36</f>
        <v>244</v>
      </c>
      <c r="W5" s="532">
        <f>[1]tanks!W36</f>
        <v>5249.9354838709678</v>
      </c>
      <c r="X5" s="532">
        <f>[1]tanks!X36</f>
        <v>0.78709677419354862</v>
      </c>
      <c r="Y5" s="532">
        <f>[1]tanks!Y36</f>
        <v>57749.290322580659</v>
      </c>
      <c r="Z5" s="532">
        <f>[1]tanks!Z36</f>
        <v>249</v>
      </c>
      <c r="AA5" s="532">
        <f>[1]tanks!AA36</f>
        <v>2490</v>
      </c>
      <c r="AB5" s="532">
        <f>[1]tanks!AB36</f>
        <v>249</v>
      </c>
      <c r="AC5" s="532">
        <f>[1]tanks!AC36</f>
        <v>2490</v>
      </c>
      <c r="AD5" s="532">
        <f>[1]tanks!AD36</f>
        <v>249</v>
      </c>
      <c r="AE5" s="532">
        <f>[1]tanks!AE36</f>
        <v>2490</v>
      </c>
      <c r="AF5" s="532">
        <f>[1]tanks!AF36</f>
        <v>249</v>
      </c>
      <c r="AG5" s="532">
        <f>[1]tanks!AG36</f>
        <v>2490</v>
      </c>
      <c r="AH5" s="532">
        <f>[1]tanks!AH36</f>
        <v>249</v>
      </c>
      <c r="AI5" s="532">
        <f>[1]tanks!AI36</f>
        <v>2490</v>
      </c>
      <c r="AJ5" s="532">
        <f>[1]tanks!AJ36</f>
        <v>249</v>
      </c>
      <c r="AK5" s="532">
        <f>[1]tanks!AK36</f>
        <v>2490</v>
      </c>
      <c r="AL5" s="532">
        <f>[1]tanks!AL36</f>
        <v>249</v>
      </c>
      <c r="AM5" s="532">
        <f>[1]tanks!AM36</f>
        <v>2490</v>
      </c>
      <c r="AN5" s="505">
        <f>[1]tanks!AN36</f>
        <v>0.88928571428571423</v>
      </c>
      <c r="AO5" s="532">
        <f>[1]tanks!AO36</f>
        <v>17430</v>
      </c>
      <c r="AP5" s="532">
        <f>[1]tanks!AP36</f>
        <v>0</v>
      </c>
      <c r="AQ5" s="505">
        <f>[1]tanks!AQ36</f>
        <v>0.80864031754953924</v>
      </c>
      <c r="AR5" s="532">
        <f>[1]tanks!AR36</f>
        <v>75179.290322580666</v>
      </c>
      <c r="AS5" s="532">
        <f>[1]tanks!AS36</f>
        <v>-920.03225806448609</v>
      </c>
      <c r="AT5" s="532">
        <f>[1]tanks!AT36</f>
        <v>0</v>
      </c>
      <c r="AU5" s="532">
        <f>[1]tanks!AU36</f>
        <v>0</v>
      </c>
      <c r="AV5" s="532">
        <f>[1]tanks!AV36</f>
        <v>0.61</v>
      </c>
      <c r="AW5" s="532">
        <f>[1]tanks!AW36</f>
        <v>-279</v>
      </c>
      <c r="AX5" s="532">
        <f>[1]tanks!AX36</f>
        <v>-641.03225806448609</v>
      </c>
      <c r="AY5" s="532">
        <f>[1]tanks!AY36</f>
        <v>-920.03225806448609</v>
      </c>
      <c r="AZ5" s="505">
        <f>[1]tanks!AZ36</f>
        <v>0</v>
      </c>
      <c r="BA5" s="532">
        <f>[1]tanks!BA36</f>
        <v>18</v>
      </c>
      <c r="BB5" s="505">
        <f>[1]tanks!BB36</f>
        <v>0.55000000000000004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-3610.1290322580899</v>
      </c>
      <c r="AT6" s="355"/>
      <c r="AU6" s="436"/>
      <c r="AV6" s="518">
        <f>IF(AT6&gt;0,AU6,AV5)</f>
        <v>0.61</v>
      </c>
      <c r="AW6" s="290">
        <f>-SUM('B5'!AI5)</f>
        <v>-467.60000000000582</v>
      </c>
      <c r="AX6" s="290">
        <f>-SUM(AW6-AS6)</f>
        <v>-3142.529032258084</v>
      </c>
      <c r="AY6" s="37">
        <f>SUM(AX6+AW6)</f>
        <v>-3610.1290322580899</v>
      </c>
      <c r="AZ6" s="100">
        <f>ELEC!A3</f>
        <v>0</v>
      </c>
      <c r="BA6" s="118">
        <f>'General information '!D6</f>
        <v>0</v>
      </c>
      <c r="BB6" s="280">
        <f>SUM('General information '!E6)</f>
        <v>0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232</v>
      </c>
      <c r="C7" s="203">
        <f t="shared" ref="C7:E33" si="18">B7*$B$4</f>
        <v>4991.7419354838712</v>
      </c>
      <c r="D7">
        <f t="shared" ref="D7:D29" si="19">SUM(B7)</f>
        <v>232</v>
      </c>
      <c r="E7" s="203">
        <f t="shared" si="18"/>
        <v>4991.7419354838712</v>
      </c>
      <c r="F7">
        <f t="shared" ref="F7:F29" si="20">SUM(D7)</f>
        <v>232</v>
      </c>
      <c r="G7" s="203">
        <f t="shared" si="1"/>
        <v>4991.7419354838712</v>
      </c>
      <c r="H7" s="203">
        <f t="shared" ref="H7:H29" si="21">SUM(F7)</f>
        <v>232</v>
      </c>
      <c r="I7" s="203">
        <f t="shared" si="2"/>
        <v>4991.7419354838712</v>
      </c>
      <c r="J7" s="203">
        <f t="shared" ref="J7:J29" si="22">SUM(H7)</f>
        <v>232</v>
      </c>
      <c r="K7" s="203">
        <f t="shared" si="3"/>
        <v>4991.7419354838712</v>
      </c>
      <c r="L7" s="203">
        <f t="shared" ref="L7:L29" si="23">SUM(J7)</f>
        <v>232</v>
      </c>
      <c r="M7" s="203">
        <f t="shared" si="4"/>
        <v>4991.7419354838712</v>
      </c>
      <c r="N7" s="203">
        <f t="shared" ref="N7:N29" si="24">SUM(L7)</f>
        <v>232</v>
      </c>
      <c r="O7" s="203">
        <f t="shared" si="5"/>
        <v>4991.7419354838712</v>
      </c>
      <c r="P7" s="203">
        <f t="shared" ref="P7:P29" si="25">SUM(N7)</f>
        <v>232</v>
      </c>
      <c r="Q7" s="203">
        <f t="shared" si="6"/>
        <v>4991.7419354838712</v>
      </c>
      <c r="R7" s="203">
        <f t="shared" ref="R7:R29" si="26">SUM(P7)</f>
        <v>232</v>
      </c>
      <c r="S7" s="203">
        <f t="shared" si="7"/>
        <v>4991.7419354838712</v>
      </c>
      <c r="T7" s="203">
        <f t="shared" ref="T7:T29" si="27">SUM(R7)</f>
        <v>232</v>
      </c>
      <c r="U7" s="203">
        <f t="shared" si="8"/>
        <v>4991.7419354838712</v>
      </c>
      <c r="V7" s="203">
        <f t="shared" ref="V7:V29" si="28">SUM(T7)</f>
        <v>232</v>
      </c>
      <c r="W7" s="203">
        <f t="shared" si="9"/>
        <v>4991.7419354838712</v>
      </c>
      <c r="X7" s="35">
        <f t="shared" si="10"/>
        <v>0.74838709677419357</v>
      </c>
      <c r="Y7" s="36">
        <f t="shared" ref="Y7:Y29" si="29">SUM(C7+E7+G7+I7+K7+M7+O7+Q7+S7+U7+W7)</f>
        <v>54909.161290322583</v>
      </c>
      <c r="Z7" s="203">
        <f>'B5'!C6</f>
        <v>238</v>
      </c>
      <c r="AA7" s="203">
        <f t="shared" ref="AA7:AC33" si="30">SUM(Z7*$Z$4)</f>
        <v>2380</v>
      </c>
      <c r="AB7" s="203">
        <f t="shared" ref="AB7:AB29" si="31">SUM(Z7)</f>
        <v>238</v>
      </c>
      <c r="AC7" s="203">
        <f t="shared" si="30"/>
        <v>2380</v>
      </c>
      <c r="AD7" s="203">
        <f t="shared" ref="AD7:AD29" si="32">SUM(AB7)</f>
        <v>238</v>
      </c>
      <c r="AE7" s="203">
        <f t="shared" si="11"/>
        <v>2380</v>
      </c>
      <c r="AF7" s="203">
        <f t="shared" ref="AF7:AF29" si="33">SUM(AD7)</f>
        <v>238</v>
      </c>
      <c r="AG7" s="203">
        <f t="shared" si="12"/>
        <v>2380</v>
      </c>
      <c r="AH7" s="203">
        <f t="shared" ref="AH7:AH29" si="34">SUM(AF7)</f>
        <v>238</v>
      </c>
      <c r="AI7" s="203">
        <f t="shared" si="13"/>
        <v>2380</v>
      </c>
      <c r="AJ7" s="203">
        <f t="shared" ref="AJ7:AJ29" si="35">SUM(AH7)</f>
        <v>238</v>
      </c>
      <c r="AK7" s="203">
        <f t="shared" si="14"/>
        <v>2380</v>
      </c>
      <c r="AL7" s="203">
        <f t="shared" ref="AL7:AL29" si="36">SUM(AJ7)</f>
        <v>238</v>
      </c>
      <c r="AM7" s="203">
        <f t="shared" si="15"/>
        <v>2380</v>
      </c>
      <c r="AN7" s="35">
        <f t="shared" si="16"/>
        <v>0.85</v>
      </c>
      <c r="AO7" s="36">
        <f t="shared" si="17"/>
        <v>16660</v>
      </c>
      <c r="AQ7" s="223">
        <f t="shared" ref="AQ7:AQ33" si="37">SUM(AR7/92970)</f>
        <v>0.76980919963776029</v>
      </c>
      <c r="AR7" s="38">
        <f>SUM(AO7+Y7)</f>
        <v>71569.161290322576</v>
      </c>
      <c r="AS7" s="197">
        <f t="shared" ref="AS7:AS33" si="38">SUM(AR7-AR6-AT7)</f>
        <v>0</v>
      </c>
      <c r="AT7" s="271"/>
      <c r="AU7" s="491"/>
      <c r="AV7" s="518">
        <f>IF(AT7&gt;0,AU7,AV6)</f>
        <v>0.61</v>
      </c>
      <c r="AW7" s="290">
        <f>-SUM('B5'!AI6)</f>
        <v>0</v>
      </c>
      <c r="AX7" s="290">
        <f t="shared" ref="AX7:AX33" si="39">-SUM(AW7-AS7)</f>
        <v>0</v>
      </c>
      <c r="AY7" s="37">
        <f t="shared" ref="AY7:AY33" si="40">SUM(AX7+AW7)</f>
        <v>0</v>
      </c>
      <c r="AZ7" s="100">
        <f>ELEC!A4</f>
        <v>0</v>
      </c>
      <c r="BA7" s="118">
        <f>'General information '!D7</f>
        <v>0</v>
      </c>
      <c r="BB7" s="394">
        <f>SUM('General information '!E7)</f>
        <v>0</v>
      </c>
      <c r="BC7" s="3">
        <v>0</v>
      </c>
      <c r="BD7" s="102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232</v>
      </c>
      <c r="C8" s="203">
        <f t="shared" si="18"/>
        <v>4991.7419354838712</v>
      </c>
      <c r="D8">
        <f t="shared" si="19"/>
        <v>232</v>
      </c>
      <c r="E8" s="203">
        <f t="shared" si="18"/>
        <v>4991.7419354838712</v>
      </c>
      <c r="F8">
        <f t="shared" si="20"/>
        <v>232</v>
      </c>
      <c r="G8" s="203">
        <f t="shared" si="1"/>
        <v>4991.7419354838712</v>
      </c>
      <c r="H8" s="203">
        <f t="shared" si="21"/>
        <v>232</v>
      </c>
      <c r="I8" s="203">
        <f t="shared" si="2"/>
        <v>4991.7419354838712</v>
      </c>
      <c r="J8" s="203">
        <f t="shared" si="22"/>
        <v>232</v>
      </c>
      <c r="K8" s="203">
        <f t="shared" si="3"/>
        <v>4991.7419354838712</v>
      </c>
      <c r="L8" s="203">
        <f t="shared" si="23"/>
        <v>232</v>
      </c>
      <c r="M8" s="203">
        <f t="shared" si="4"/>
        <v>4991.7419354838712</v>
      </c>
      <c r="N8" s="203">
        <f t="shared" si="24"/>
        <v>232</v>
      </c>
      <c r="O8" s="203">
        <f t="shared" si="5"/>
        <v>4991.7419354838712</v>
      </c>
      <c r="P8" s="203">
        <f t="shared" si="25"/>
        <v>232</v>
      </c>
      <c r="Q8" s="203">
        <f t="shared" si="6"/>
        <v>4991.7419354838712</v>
      </c>
      <c r="R8" s="203">
        <f t="shared" si="26"/>
        <v>232</v>
      </c>
      <c r="S8" s="203">
        <f t="shared" si="7"/>
        <v>4991.7419354838712</v>
      </c>
      <c r="T8" s="203">
        <f t="shared" si="27"/>
        <v>232</v>
      </c>
      <c r="U8" s="203">
        <f t="shared" si="8"/>
        <v>4991.7419354838712</v>
      </c>
      <c r="V8" s="203">
        <f t="shared" si="28"/>
        <v>232</v>
      </c>
      <c r="W8" s="203">
        <f t="shared" si="9"/>
        <v>4991.7419354838712</v>
      </c>
      <c r="X8" s="35">
        <f t="shared" si="10"/>
        <v>0.74838709677419357</v>
      </c>
      <c r="Y8" s="36">
        <f t="shared" si="29"/>
        <v>54909.161290322583</v>
      </c>
      <c r="Z8" s="203">
        <f>'B5'!C7</f>
        <v>238</v>
      </c>
      <c r="AA8" s="203">
        <f t="shared" si="30"/>
        <v>2380</v>
      </c>
      <c r="AB8" s="203">
        <f t="shared" si="31"/>
        <v>238</v>
      </c>
      <c r="AC8" s="203">
        <f t="shared" si="30"/>
        <v>2380</v>
      </c>
      <c r="AD8" s="203">
        <f t="shared" si="32"/>
        <v>238</v>
      </c>
      <c r="AE8" s="203">
        <f t="shared" si="11"/>
        <v>2380</v>
      </c>
      <c r="AF8" s="203">
        <f t="shared" si="33"/>
        <v>238</v>
      </c>
      <c r="AG8" s="203">
        <f t="shared" si="12"/>
        <v>2380</v>
      </c>
      <c r="AH8" s="203">
        <f t="shared" si="34"/>
        <v>238</v>
      </c>
      <c r="AI8" s="203">
        <f t="shared" si="13"/>
        <v>2380</v>
      </c>
      <c r="AJ8" s="203">
        <f t="shared" si="35"/>
        <v>238</v>
      </c>
      <c r="AK8" s="203">
        <f t="shared" si="14"/>
        <v>2380</v>
      </c>
      <c r="AL8" s="203">
        <f t="shared" si="36"/>
        <v>238</v>
      </c>
      <c r="AM8" s="203">
        <f t="shared" si="15"/>
        <v>2380</v>
      </c>
      <c r="AN8" s="35">
        <f t="shared" si="16"/>
        <v>0.85</v>
      </c>
      <c r="AO8" s="36">
        <f t="shared" si="17"/>
        <v>16660</v>
      </c>
      <c r="AQ8" s="223">
        <f t="shared" si="37"/>
        <v>0.76980919963776029</v>
      </c>
      <c r="AR8" s="38">
        <f t="shared" ref="AR8:AR33" si="41">SUM(AO8+Y8)</f>
        <v>71569.161290322576</v>
      </c>
      <c r="AS8" s="197">
        <f t="shared" si="38"/>
        <v>0</v>
      </c>
      <c r="AT8" s="355"/>
      <c r="AU8" s="436"/>
      <c r="AV8" s="518">
        <f t="shared" ref="AV8:AV31" si="42">IF(AT8&gt;0,AU8,AV7)</f>
        <v>0.61</v>
      </c>
      <c r="AW8" s="290">
        <f>-SUM('B5'!AI7)</f>
        <v>0</v>
      </c>
      <c r="AX8" s="290">
        <f t="shared" si="39"/>
        <v>0</v>
      </c>
      <c r="AY8" s="37">
        <f t="shared" si="40"/>
        <v>0</v>
      </c>
      <c r="AZ8" s="100">
        <f>ELEC!A5</f>
        <v>0</v>
      </c>
      <c r="BA8" s="118">
        <f>'General information '!D8</f>
        <v>0</v>
      </c>
      <c r="BB8" s="394">
        <f>SUM('General information '!E8)</f>
        <v>0</v>
      </c>
      <c r="BC8" s="3">
        <f t="shared" ref="BC8:BC33" si="43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232</v>
      </c>
      <c r="C9" s="203">
        <f t="shared" si="18"/>
        <v>4991.7419354838712</v>
      </c>
      <c r="D9">
        <f t="shared" si="19"/>
        <v>232</v>
      </c>
      <c r="E9" s="203">
        <f t="shared" si="18"/>
        <v>4991.7419354838712</v>
      </c>
      <c r="F9">
        <f t="shared" si="20"/>
        <v>232</v>
      </c>
      <c r="G9" s="203">
        <f t="shared" si="1"/>
        <v>4991.7419354838712</v>
      </c>
      <c r="H9" s="203">
        <f t="shared" si="21"/>
        <v>232</v>
      </c>
      <c r="I9" s="203">
        <f t="shared" si="2"/>
        <v>4991.7419354838712</v>
      </c>
      <c r="J9" s="203">
        <f t="shared" si="22"/>
        <v>232</v>
      </c>
      <c r="K9" s="203">
        <f t="shared" si="3"/>
        <v>4991.7419354838712</v>
      </c>
      <c r="L9" s="203">
        <f t="shared" si="23"/>
        <v>232</v>
      </c>
      <c r="M9" s="203">
        <f t="shared" si="4"/>
        <v>4991.7419354838712</v>
      </c>
      <c r="N9" s="203">
        <f t="shared" si="24"/>
        <v>232</v>
      </c>
      <c r="O9" s="203">
        <f t="shared" si="5"/>
        <v>4991.7419354838712</v>
      </c>
      <c r="P9" s="203">
        <f t="shared" si="25"/>
        <v>232</v>
      </c>
      <c r="Q9" s="203">
        <f t="shared" si="6"/>
        <v>4991.7419354838712</v>
      </c>
      <c r="R9" s="203">
        <f t="shared" si="26"/>
        <v>232</v>
      </c>
      <c r="S9" s="203">
        <f t="shared" si="7"/>
        <v>4991.7419354838712</v>
      </c>
      <c r="T9" s="203">
        <f t="shared" si="27"/>
        <v>232</v>
      </c>
      <c r="U9" s="203">
        <f t="shared" si="8"/>
        <v>4991.7419354838712</v>
      </c>
      <c r="V9" s="203">
        <f t="shared" si="28"/>
        <v>232</v>
      </c>
      <c r="W9" s="203">
        <f t="shared" si="9"/>
        <v>4991.7419354838712</v>
      </c>
      <c r="X9" s="35">
        <f t="shared" si="10"/>
        <v>0.74838709677419357</v>
      </c>
      <c r="Y9" s="36">
        <f t="shared" si="29"/>
        <v>54909.161290322583</v>
      </c>
      <c r="Z9" s="203">
        <f>'B5'!C8</f>
        <v>238</v>
      </c>
      <c r="AA9" s="203">
        <f t="shared" si="30"/>
        <v>2380</v>
      </c>
      <c r="AB9" s="203">
        <f t="shared" si="31"/>
        <v>238</v>
      </c>
      <c r="AC9" s="203">
        <f t="shared" si="30"/>
        <v>2380</v>
      </c>
      <c r="AD9" s="203">
        <f t="shared" si="32"/>
        <v>238</v>
      </c>
      <c r="AE9" s="203">
        <f t="shared" si="11"/>
        <v>2380</v>
      </c>
      <c r="AF9" s="203">
        <f t="shared" si="33"/>
        <v>238</v>
      </c>
      <c r="AG9" s="203">
        <f t="shared" si="12"/>
        <v>2380</v>
      </c>
      <c r="AH9" s="203">
        <f t="shared" si="34"/>
        <v>238</v>
      </c>
      <c r="AI9" s="203">
        <f t="shared" si="13"/>
        <v>2380</v>
      </c>
      <c r="AJ9" s="203">
        <f t="shared" si="35"/>
        <v>238</v>
      </c>
      <c r="AK9" s="203">
        <f t="shared" si="14"/>
        <v>2380</v>
      </c>
      <c r="AL9" s="203">
        <f t="shared" si="36"/>
        <v>238</v>
      </c>
      <c r="AM9" s="203">
        <f t="shared" si="15"/>
        <v>2380</v>
      </c>
      <c r="AN9" s="35">
        <f t="shared" si="16"/>
        <v>0.85</v>
      </c>
      <c r="AO9" s="36">
        <f>SUM(AA9+AC9+AE9+AG9+AI9+AK9+AM9)</f>
        <v>16660</v>
      </c>
      <c r="AQ9" s="223">
        <f t="shared" si="37"/>
        <v>0.76980919963776029</v>
      </c>
      <c r="AR9" s="38">
        <f t="shared" si="41"/>
        <v>71569.161290322576</v>
      </c>
      <c r="AS9" s="197">
        <f t="shared" si="38"/>
        <v>0</v>
      </c>
      <c r="AT9" s="355"/>
      <c r="AU9" s="436"/>
      <c r="AV9" s="518">
        <f t="shared" si="42"/>
        <v>0.61</v>
      </c>
      <c r="AW9" s="290">
        <f>-SUM('B5'!AI8)</f>
        <v>0</v>
      </c>
      <c r="AX9" s="290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394">
        <f>SUM('General information '!E9)</f>
        <v>0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232</v>
      </c>
      <c r="C10" s="203">
        <f t="shared" si="18"/>
        <v>4991.7419354838712</v>
      </c>
      <c r="D10">
        <f t="shared" si="19"/>
        <v>232</v>
      </c>
      <c r="E10" s="203">
        <f t="shared" si="18"/>
        <v>4991.7419354838712</v>
      </c>
      <c r="F10">
        <f t="shared" si="20"/>
        <v>232</v>
      </c>
      <c r="G10" s="203">
        <f t="shared" si="1"/>
        <v>4991.7419354838712</v>
      </c>
      <c r="H10" s="203">
        <f t="shared" si="21"/>
        <v>232</v>
      </c>
      <c r="I10" s="203">
        <f t="shared" si="2"/>
        <v>4991.7419354838712</v>
      </c>
      <c r="J10" s="203">
        <f t="shared" si="22"/>
        <v>232</v>
      </c>
      <c r="K10" s="203">
        <f t="shared" si="3"/>
        <v>4991.7419354838712</v>
      </c>
      <c r="L10" s="203">
        <f t="shared" si="23"/>
        <v>232</v>
      </c>
      <c r="M10" s="203">
        <f t="shared" si="4"/>
        <v>4991.7419354838712</v>
      </c>
      <c r="N10" s="203">
        <f t="shared" si="24"/>
        <v>232</v>
      </c>
      <c r="O10" s="203">
        <f t="shared" si="5"/>
        <v>4991.7419354838712</v>
      </c>
      <c r="P10" s="203">
        <f t="shared" si="25"/>
        <v>232</v>
      </c>
      <c r="Q10" s="203">
        <f t="shared" si="6"/>
        <v>4991.7419354838712</v>
      </c>
      <c r="R10" s="203">
        <f t="shared" si="26"/>
        <v>232</v>
      </c>
      <c r="S10" s="203">
        <f t="shared" si="7"/>
        <v>4991.7419354838712</v>
      </c>
      <c r="T10" s="203">
        <f t="shared" si="27"/>
        <v>232</v>
      </c>
      <c r="U10" s="203">
        <f t="shared" si="8"/>
        <v>4991.7419354838712</v>
      </c>
      <c r="V10" s="203">
        <f t="shared" si="28"/>
        <v>232</v>
      </c>
      <c r="W10" s="203">
        <f t="shared" si="9"/>
        <v>4991.7419354838712</v>
      </c>
      <c r="X10" s="35">
        <f t="shared" si="10"/>
        <v>0.74838709677419357</v>
      </c>
      <c r="Y10" s="36">
        <f t="shared" si="29"/>
        <v>54909.161290322583</v>
      </c>
      <c r="Z10" s="203">
        <f>'B5'!C9</f>
        <v>238</v>
      </c>
      <c r="AA10" s="203">
        <f t="shared" si="30"/>
        <v>2380</v>
      </c>
      <c r="AB10" s="203">
        <f t="shared" si="31"/>
        <v>238</v>
      </c>
      <c r="AC10" s="203">
        <f t="shared" si="30"/>
        <v>2380</v>
      </c>
      <c r="AD10" s="203">
        <f t="shared" si="32"/>
        <v>238</v>
      </c>
      <c r="AE10" s="203">
        <f t="shared" si="11"/>
        <v>2380</v>
      </c>
      <c r="AF10" s="203">
        <f t="shared" si="33"/>
        <v>238</v>
      </c>
      <c r="AG10" s="203">
        <f t="shared" si="12"/>
        <v>2380</v>
      </c>
      <c r="AH10" s="203">
        <f t="shared" si="34"/>
        <v>238</v>
      </c>
      <c r="AI10" s="203">
        <f t="shared" si="13"/>
        <v>2380</v>
      </c>
      <c r="AJ10" s="203">
        <f t="shared" si="35"/>
        <v>238</v>
      </c>
      <c r="AK10" s="203">
        <f t="shared" si="14"/>
        <v>2380</v>
      </c>
      <c r="AL10" s="203">
        <f t="shared" si="36"/>
        <v>238</v>
      </c>
      <c r="AM10" s="203">
        <f t="shared" si="15"/>
        <v>2380</v>
      </c>
      <c r="AN10" s="35">
        <f t="shared" si="16"/>
        <v>0.85</v>
      </c>
      <c r="AO10" s="36">
        <f t="shared" si="17"/>
        <v>16660</v>
      </c>
      <c r="AQ10" s="223">
        <f t="shared" si="37"/>
        <v>0.76980919963776029</v>
      </c>
      <c r="AR10" s="38">
        <f t="shared" si="41"/>
        <v>71569.161290322576</v>
      </c>
      <c r="AS10" s="197">
        <f t="shared" si="38"/>
        <v>0</v>
      </c>
      <c r="AT10" s="355"/>
      <c r="AU10" s="436"/>
      <c r="AV10" s="518">
        <f>IF(AT10&gt;0,AU10,AV9)</f>
        <v>0.61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4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232</v>
      </c>
      <c r="C11" s="203">
        <f t="shared" si="18"/>
        <v>4991.7419354838712</v>
      </c>
      <c r="D11">
        <f>SUM(B11)</f>
        <v>232</v>
      </c>
      <c r="E11" s="203">
        <f t="shared" si="18"/>
        <v>4991.7419354838712</v>
      </c>
      <c r="F11">
        <f>SUM(D11)</f>
        <v>232</v>
      </c>
      <c r="G11" s="203">
        <f t="shared" si="1"/>
        <v>4991.7419354838712</v>
      </c>
      <c r="H11" s="203">
        <f>SUM(F11)</f>
        <v>232</v>
      </c>
      <c r="I11" s="203">
        <f t="shared" si="2"/>
        <v>4991.7419354838712</v>
      </c>
      <c r="J11" s="203">
        <f>SUM(H11)</f>
        <v>232</v>
      </c>
      <c r="K11" s="203">
        <f t="shared" si="3"/>
        <v>4991.7419354838712</v>
      </c>
      <c r="L11" s="203">
        <f>SUM(J11)</f>
        <v>232</v>
      </c>
      <c r="M11" s="203">
        <f t="shared" si="4"/>
        <v>4991.7419354838712</v>
      </c>
      <c r="N11" s="203">
        <f>SUM(L11)</f>
        <v>232</v>
      </c>
      <c r="O11" s="203">
        <f t="shared" si="5"/>
        <v>4991.7419354838712</v>
      </c>
      <c r="P11" s="203">
        <f>SUM(N11)</f>
        <v>232</v>
      </c>
      <c r="Q11" s="203">
        <f t="shared" si="6"/>
        <v>4991.7419354838712</v>
      </c>
      <c r="R11" s="203">
        <f>SUM(P11)</f>
        <v>232</v>
      </c>
      <c r="S11" s="203">
        <f t="shared" si="7"/>
        <v>4991.7419354838712</v>
      </c>
      <c r="T11" s="203">
        <f>SUM(R11)</f>
        <v>232</v>
      </c>
      <c r="U11" s="203">
        <f t="shared" si="8"/>
        <v>4991.7419354838712</v>
      </c>
      <c r="V11" s="203">
        <f>SUM(T11)</f>
        <v>232</v>
      </c>
      <c r="W11" s="203">
        <f t="shared" si="9"/>
        <v>4991.7419354838712</v>
      </c>
      <c r="X11" s="35">
        <f>SUM(Y11/73370)</f>
        <v>0.74838709677419357</v>
      </c>
      <c r="Y11" s="36">
        <f>SUM(C11+E11+G11+I11+K11+M11+O11+Q11+S11+U11+W11)</f>
        <v>54909.161290322583</v>
      </c>
      <c r="Z11" s="203">
        <f>'B5'!C10</f>
        <v>238</v>
      </c>
      <c r="AA11" s="203">
        <f t="shared" si="30"/>
        <v>2380</v>
      </c>
      <c r="AB11" s="203">
        <f>SUM(Z11)</f>
        <v>238</v>
      </c>
      <c r="AC11" s="203">
        <f t="shared" si="30"/>
        <v>2380</v>
      </c>
      <c r="AD11" s="203">
        <f>SUM(AB11)</f>
        <v>238</v>
      </c>
      <c r="AE11" s="203">
        <f t="shared" si="11"/>
        <v>2380</v>
      </c>
      <c r="AF11" s="203">
        <f>SUM(AD11)</f>
        <v>238</v>
      </c>
      <c r="AG11" s="203">
        <f t="shared" si="12"/>
        <v>2380</v>
      </c>
      <c r="AH11" s="203">
        <f>SUM(AF11)</f>
        <v>238</v>
      </c>
      <c r="AI11" s="203">
        <f t="shared" si="13"/>
        <v>2380</v>
      </c>
      <c r="AJ11" s="203">
        <f>SUM(AH11)</f>
        <v>238</v>
      </c>
      <c r="AK11" s="203">
        <f t="shared" si="14"/>
        <v>2380</v>
      </c>
      <c r="AL11" s="203">
        <f>SUM(AJ11)</f>
        <v>238</v>
      </c>
      <c r="AM11" s="203">
        <f t="shared" si="15"/>
        <v>2380</v>
      </c>
      <c r="AN11" s="35">
        <f>SUM(AO11/19600)</f>
        <v>0.85</v>
      </c>
      <c r="AO11" s="36">
        <f t="shared" si="17"/>
        <v>16660</v>
      </c>
      <c r="AP11" s="566"/>
      <c r="AQ11" s="223">
        <f t="shared" si="37"/>
        <v>0.76980919963776029</v>
      </c>
      <c r="AR11" s="38">
        <f t="shared" si="41"/>
        <v>71569.161290322576</v>
      </c>
      <c r="AS11" s="197">
        <f>SUM(AR11-AR10-AT11)</f>
        <v>0</v>
      </c>
      <c r="AT11" s="355"/>
      <c r="AU11" s="436"/>
      <c r="AV11" s="518">
        <f>IF(AT11&gt;0,AU11,AV10)</f>
        <v>0.61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232</v>
      </c>
      <c r="C12" s="203">
        <f t="shared" si="18"/>
        <v>4991.7419354838712</v>
      </c>
      <c r="D12">
        <f t="shared" si="19"/>
        <v>232</v>
      </c>
      <c r="E12" s="203">
        <f t="shared" si="18"/>
        <v>4991.7419354838712</v>
      </c>
      <c r="F12">
        <f t="shared" si="20"/>
        <v>232</v>
      </c>
      <c r="G12" s="203">
        <f t="shared" si="1"/>
        <v>4991.7419354838712</v>
      </c>
      <c r="H12" s="203">
        <f t="shared" si="21"/>
        <v>232</v>
      </c>
      <c r="I12" s="203">
        <f t="shared" si="2"/>
        <v>4991.7419354838712</v>
      </c>
      <c r="J12" s="203">
        <f t="shared" si="22"/>
        <v>232</v>
      </c>
      <c r="K12" s="203">
        <f t="shared" si="3"/>
        <v>4991.7419354838712</v>
      </c>
      <c r="L12" s="203">
        <f t="shared" si="23"/>
        <v>232</v>
      </c>
      <c r="M12" s="203">
        <f t="shared" si="4"/>
        <v>4991.7419354838712</v>
      </c>
      <c r="N12" s="203">
        <f t="shared" si="24"/>
        <v>232</v>
      </c>
      <c r="O12" s="203">
        <f t="shared" si="5"/>
        <v>4991.7419354838712</v>
      </c>
      <c r="P12" s="203">
        <f t="shared" si="25"/>
        <v>232</v>
      </c>
      <c r="Q12" s="203">
        <f t="shared" si="6"/>
        <v>4991.7419354838712</v>
      </c>
      <c r="R12" s="203">
        <f t="shared" si="26"/>
        <v>232</v>
      </c>
      <c r="S12" s="203">
        <f t="shared" si="7"/>
        <v>4991.7419354838712</v>
      </c>
      <c r="T12" s="203">
        <f t="shared" si="27"/>
        <v>232</v>
      </c>
      <c r="U12" s="203">
        <f t="shared" si="8"/>
        <v>4991.7419354838712</v>
      </c>
      <c r="V12" s="203">
        <f t="shared" si="28"/>
        <v>232</v>
      </c>
      <c r="W12" s="203">
        <f t="shared" si="9"/>
        <v>4991.7419354838712</v>
      </c>
      <c r="X12" s="35">
        <f t="shared" si="10"/>
        <v>0.74838709677419357</v>
      </c>
      <c r="Y12" s="36">
        <f t="shared" si="29"/>
        <v>54909.161290322583</v>
      </c>
      <c r="Z12" s="203">
        <f>'B5'!C11</f>
        <v>238</v>
      </c>
      <c r="AA12" s="203">
        <f t="shared" si="30"/>
        <v>2380</v>
      </c>
      <c r="AB12" s="203">
        <f t="shared" si="31"/>
        <v>238</v>
      </c>
      <c r="AC12" s="203">
        <f t="shared" si="30"/>
        <v>2380</v>
      </c>
      <c r="AD12" s="203">
        <f t="shared" si="32"/>
        <v>238</v>
      </c>
      <c r="AE12" s="203">
        <f t="shared" si="11"/>
        <v>2380</v>
      </c>
      <c r="AF12" s="203">
        <f t="shared" si="33"/>
        <v>238</v>
      </c>
      <c r="AG12" s="203">
        <f t="shared" si="12"/>
        <v>2380</v>
      </c>
      <c r="AH12" s="203">
        <f t="shared" si="34"/>
        <v>238</v>
      </c>
      <c r="AI12" s="203">
        <f t="shared" si="13"/>
        <v>2380</v>
      </c>
      <c r="AJ12" s="203">
        <f t="shared" si="35"/>
        <v>238</v>
      </c>
      <c r="AK12" s="203">
        <f t="shared" si="14"/>
        <v>2380</v>
      </c>
      <c r="AL12" s="203">
        <f t="shared" si="36"/>
        <v>238</v>
      </c>
      <c r="AM12" s="203">
        <f t="shared" si="15"/>
        <v>2380</v>
      </c>
      <c r="AN12" s="35">
        <f t="shared" si="16"/>
        <v>0.85</v>
      </c>
      <c r="AO12" s="36">
        <f t="shared" si="17"/>
        <v>16660</v>
      </c>
      <c r="AP12" s="566"/>
      <c r="AQ12" s="223">
        <f t="shared" si="37"/>
        <v>0.76980919963776029</v>
      </c>
      <c r="AR12" s="38">
        <f t="shared" si="41"/>
        <v>71569.161290322576</v>
      </c>
      <c r="AS12" s="197">
        <f>SUM(AR12-AR11-AT12)</f>
        <v>0</v>
      </c>
      <c r="AT12" s="271"/>
      <c r="AU12" s="478"/>
      <c r="AV12" s="518">
        <f t="shared" si="42"/>
        <v>0.61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232</v>
      </c>
      <c r="C13" s="203">
        <f t="shared" si="18"/>
        <v>4991.7419354838712</v>
      </c>
      <c r="D13">
        <f t="shared" si="19"/>
        <v>232</v>
      </c>
      <c r="E13" s="203">
        <f t="shared" si="18"/>
        <v>4991.7419354838712</v>
      </c>
      <c r="F13">
        <f t="shared" si="20"/>
        <v>232</v>
      </c>
      <c r="G13" s="203">
        <f t="shared" si="1"/>
        <v>4991.7419354838712</v>
      </c>
      <c r="H13" s="203">
        <f t="shared" si="21"/>
        <v>232</v>
      </c>
      <c r="I13" s="203">
        <f t="shared" si="2"/>
        <v>4991.7419354838712</v>
      </c>
      <c r="J13" s="203">
        <f t="shared" si="22"/>
        <v>232</v>
      </c>
      <c r="K13" s="203">
        <f t="shared" si="3"/>
        <v>4991.7419354838712</v>
      </c>
      <c r="L13" s="203">
        <f t="shared" si="23"/>
        <v>232</v>
      </c>
      <c r="M13" s="203">
        <f t="shared" si="4"/>
        <v>4991.7419354838712</v>
      </c>
      <c r="N13" s="203">
        <f t="shared" si="24"/>
        <v>232</v>
      </c>
      <c r="O13" s="203">
        <f t="shared" si="5"/>
        <v>4991.7419354838712</v>
      </c>
      <c r="P13" s="203">
        <f t="shared" si="25"/>
        <v>232</v>
      </c>
      <c r="Q13" s="203">
        <f t="shared" si="6"/>
        <v>4991.7419354838712</v>
      </c>
      <c r="R13" s="203">
        <f t="shared" si="26"/>
        <v>232</v>
      </c>
      <c r="S13" s="203">
        <f t="shared" si="7"/>
        <v>4991.7419354838712</v>
      </c>
      <c r="T13" s="203">
        <f t="shared" si="27"/>
        <v>232</v>
      </c>
      <c r="U13" s="203">
        <f t="shared" si="8"/>
        <v>4991.7419354838712</v>
      </c>
      <c r="V13" s="203">
        <f t="shared" si="28"/>
        <v>232</v>
      </c>
      <c r="W13" s="203">
        <f t="shared" si="9"/>
        <v>4991.7419354838712</v>
      </c>
      <c r="X13" s="35">
        <f t="shared" si="10"/>
        <v>0.74838709677419357</v>
      </c>
      <c r="Y13" s="36">
        <f t="shared" si="29"/>
        <v>54909.161290322583</v>
      </c>
      <c r="Z13" s="203">
        <f>'B5'!C12</f>
        <v>238</v>
      </c>
      <c r="AA13" s="203">
        <f t="shared" si="30"/>
        <v>2380</v>
      </c>
      <c r="AB13" s="203">
        <f t="shared" si="31"/>
        <v>238</v>
      </c>
      <c r="AC13" s="203">
        <f t="shared" si="30"/>
        <v>2380</v>
      </c>
      <c r="AD13" s="203">
        <f t="shared" si="32"/>
        <v>238</v>
      </c>
      <c r="AE13" s="203">
        <f t="shared" si="11"/>
        <v>2380</v>
      </c>
      <c r="AF13" s="203">
        <f t="shared" si="33"/>
        <v>238</v>
      </c>
      <c r="AG13" s="203">
        <f t="shared" si="12"/>
        <v>2380</v>
      </c>
      <c r="AH13" s="203">
        <f t="shared" si="34"/>
        <v>238</v>
      </c>
      <c r="AI13" s="203">
        <f t="shared" si="13"/>
        <v>2380</v>
      </c>
      <c r="AJ13" s="203">
        <f t="shared" si="35"/>
        <v>238</v>
      </c>
      <c r="AK13" s="203">
        <f t="shared" si="14"/>
        <v>2380</v>
      </c>
      <c r="AL13" s="203">
        <f t="shared" si="36"/>
        <v>238</v>
      </c>
      <c r="AM13" s="203">
        <f t="shared" si="15"/>
        <v>2380</v>
      </c>
      <c r="AN13" s="35">
        <f t="shared" si="16"/>
        <v>0.85</v>
      </c>
      <c r="AO13" s="36">
        <f t="shared" si="17"/>
        <v>16660</v>
      </c>
      <c r="AP13" s="566"/>
      <c r="AQ13" s="223">
        <f t="shared" si="37"/>
        <v>0.76980919963776029</v>
      </c>
      <c r="AR13" s="38">
        <f t="shared" si="41"/>
        <v>71569.161290322576</v>
      </c>
      <c r="AS13" s="197">
        <f t="shared" si="38"/>
        <v>0</v>
      </c>
      <c r="AT13" s="271"/>
      <c r="AU13" s="436"/>
      <c r="AV13" s="518">
        <f t="shared" si="42"/>
        <v>0.61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232</v>
      </c>
      <c r="C14" s="203">
        <f t="shared" si="18"/>
        <v>4991.7419354838712</v>
      </c>
      <c r="D14">
        <f t="shared" si="19"/>
        <v>232</v>
      </c>
      <c r="E14" s="203">
        <f t="shared" si="18"/>
        <v>4991.7419354838712</v>
      </c>
      <c r="F14">
        <f t="shared" si="20"/>
        <v>232</v>
      </c>
      <c r="G14" s="203">
        <f t="shared" si="1"/>
        <v>4991.7419354838712</v>
      </c>
      <c r="H14" s="203">
        <f t="shared" si="21"/>
        <v>232</v>
      </c>
      <c r="I14" s="203">
        <f t="shared" si="2"/>
        <v>4991.7419354838712</v>
      </c>
      <c r="J14" s="203">
        <f t="shared" si="22"/>
        <v>232</v>
      </c>
      <c r="K14" s="203">
        <f t="shared" si="3"/>
        <v>4991.7419354838712</v>
      </c>
      <c r="L14" s="203">
        <f t="shared" si="23"/>
        <v>232</v>
      </c>
      <c r="M14" s="203">
        <f t="shared" si="4"/>
        <v>4991.7419354838712</v>
      </c>
      <c r="N14" s="203">
        <f t="shared" si="24"/>
        <v>232</v>
      </c>
      <c r="O14" s="203">
        <f t="shared" si="5"/>
        <v>4991.7419354838712</v>
      </c>
      <c r="P14" s="203">
        <f t="shared" si="25"/>
        <v>232</v>
      </c>
      <c r="Q14" s="203">
        <f t="shared" si="6"/>
        <v>4991.7419354838712</v>
      </c>
      <c r="R14" s="203">
        <f t="shared" si="26"/>
        <v>232</v>
      </c>
      <c r="S14" s="203">
        <f t="shared" si="7"/>
        <v>4991.7419354838712</v>
      </c>
      <c r="T14" s="203">
        <f t="shared" si="27"/>
        <v>232</v>
      </c>
      <c r="U14" s="203">
        <f t="shared" si="8"/>
        <v>4991.7419354838712</v>
      </c>
      <c r="V14" s="203">
        <f t="shared" si="28"/>
        <v>232</v>
      </c>
      <c r="W14" s="203">
        <f t="shared" si="9"/>
        <v>4991.7419354838712</v>
      </c>
      <c r="X14" s="35">
        <f t="shared" si="10"/>
        <v>0.74838709677419357</v>
      </c>
      <c r="Y14" s="36">
        <f t="shared" si="29"/>
        <v>54909.161290322583</v>
      </c>
      <c r="Z14" s="203">
        <f>'B5'!C13</f>
        <v>238</v>
      </c>
      <c r="AA14" s="203">
        <f t="shared" si="30"/>
        <v>2380</v>
      </c>
      <c r="AB14" s="203">
        <f t="shared" si="31"/>
        <v>238</v>
      </c>
      <c r="AC14" s="203">
        <f t="shared" si="30"/>
        <v>2380</v>
      </c>
      <c r="AD14" s="203">
        <f t="shared" si="32"/>
        <v>238</v>
      </c>
      <c r="AE14" s="203">
        <f t="shared" si="11"/>
        <v>2380</v>
      </c>
      <c r="AF14" s="203">
        <f t="shared" si="33"/>
        <v>238</v>
      </c>
      <c r="AG14" s="203">
        <f t="shared" si="12"/>
        <v>2380</v>
      </c>
      <c r="AH14" s="203">
        <f t="shared" si="34"/>
        <v>238</v>
      </c>
      <c r="AI14" s="203">
        <f t="shared" si="13"/>
        <v>2380</v>
      </c>
      <c r="AJ14" s="203">
        <f t="shared" si="35"/>
        <v>238</v>
      </c>
      <c r="AK14" s="203">
        <f t="shared" si="14"/>
        <v>2380</v>
      </c>
      <c r="AL14" s="203">
        <f t="shared" si="36"/>
        <v>238</v>
      </c>
      <c r="AM14" s="203">
        <f t="shared" si="15"/>
        <v>2380</v>
      </c>
      <c r="AN14" s="35">
        <f t="shared" si="16"/>
        <v>0.85</v>
      </c>
      <c r="AO14" s="36">
        <f t="shared" si="17"/>
        <v>16660</v>
      </c>
      <c r="AQ14" s="223">
        <f t="shared" si="37"/>
        <v>0.76980919963776029</v>
      </c>
      <c r="AR14" s="38">
        <f t="shared" si="41"/>
        <v>71569.161290322576</v>
      </c>
      <c r="AS14" s="197">
        <f>SUM(AR14-AR13-AT14)</f>
        <v>0</v>
      </c>
      <c r="AT14" s="271"/>
      <c r="AU14" s="478"/>
      <c r="AV14" s="518">
        <f t="shared" si="42"/>
        <v>0.61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232</v>
      </c>
      <c r="C15" s="203">
        <f t="shared" si="18"/>
        <v>4991.7419354838712</v>
      </c>
      <c r="D15">
        <f t="shared" si="19"/>
        <v>232</v>
      </c>
      <c r="E15" s="203">
        <f t="shared" si="18"/>
        <v>4991.7419354838712</v>
      </c>
      <c r="F15">
        <f t="shared" si="20"/>
        <v>232</v>
      </c>
      <c r="G15" s="203">
        <f t="shared" si="1"/>
        <v>4991.7419354838712</v>
      </c>
      <c r="H15" s="203">
        <f t="shared" si="21"/>
        <v>232</v>
      </c>
      <c r="I15" s="203">
        <f t="shared" si="2"/>
        <v>4991.7419354838712</v>
      </c>
      <c r="J15" s="203">
        <f t="shared" si="22"/>
        <v>232</v>
      </c>
      <c r="K15" s="203">
        <f t="shared" si="3"/>
        <v>4991.7419354838712</v>
      </c>
      <c r="L15" s="203">
        <f t="shared" si="23"/>
        <v>232</v>
      </c>
      <c r="M15" s="203">
        <f t="shared" si="4"/>
        <v>4991.7419354838712</v>
      </c>
      <c r="N15" s="203">
        <f t="shared" si="24"/>
        <v>232</v>
      </c>
      <c r="O15" s="203">
        <f t="shared" si="5"/>
        <v>4991.7419354838712</v>
      </c>
      <c r="P15" s="203">
        <f t="shared" si="25"/>
        <v>232</v>
      </c>
      <c r="Q15" s="203">
        <f t="shared" si="6"/>
        <v>4991.7419354838712</v>
      </c>
      <c r="R15" s="203">
        <f t="shared" si="26"/>
        <v>232</v>
      </c>
      <c r="S15" s="203">
        <f t="shared" si="7"/>
        <v>4991.7419354838712</v>
      </c>
      <c r="T15" s="203">
        <f t="shared" si="27"/>
        <v>232</v>
      </c>
      <c r="U15" s="203">
        <f t="shared" si="8"/>
        <v>4991.7419354838712</v>
      </c>
      <c r="V15" s="203">
        <f t="shared" si="28"/>
        <v>232</v>
      </c>
      <c r="W15" s="203">
        <f t="shared" si="9"/>
        <v>4991.7419354838712</v>
      </c>
      <c r="X15" s="35">
        <f t="shared" si="10"/>
        <v>0.74838709677419357</v>
      </c>
      <c r="Y15" s="36">
        <f t="shared" si="29"/>
        <v>54909.161290322583</v>
      </c>
      <c r="Z15" s="203">
        <f>'B5'!C14</f>
        <v>238</v>
      </c>
      <c r="AA15" s="203">
        <f t="shared" si="30"/>
        <v>2380</v>
      </c>
      <c r="AB15" s="203">
        <f t="shared" si="31"/>
        <v>238</v>
      </c>
      <c r="AC15" s="203">
        <f t="shared" si="30"/>
        <v>2380</v>
      </c>
      <c r="AD15" s="203">
        <f t="shared" si="32"/>
        <v>238</v>
      </c>
      <c r="AE15" s="203">
        <f t="shared" si="11"/>
        <v>2380</v>
      </c>
      <c r="AF15" s="203">
        <f t="shared" si="33"/>
        <v>238</v>
      </c>
      <c r="AG15" s="203">
        <f t="shared" si="12"/>
        <v>2380</v>
      </c>
      <c r="AH15" s="203">
        <f t="shared" si="34"/>
        <v>238</v>
      </c>
      <c r="AI15" s="203">
        <f t="shared" si="13"/>
        <v>2380</v>
      </c>
      <c r="AJ15" s="203">
        <f t="shared" si="35"/>
        <v>238</v>
      </c>
      <c r="AK15" s="203">
        <f t="shared" si="14"/>
        <v>2380</v>
      </c>
      <c r="AL15" s="203">
        <f t="shared" si="36"/>
        <v>238</v>
      </c>
      <c r="AM15" s="203">
        <f t="shared" si="15"/>
        <v>2380</v>
      </c>
      <c r="AN15" s="35">
        <f t="shared" si="16"/>
        <v>0.85</v>
      </c>
      <c r="AO15" s="36">
        <f t="shared" si="17"/>
        <v>16660</v>
      </c>
      <c r="AQ15" s="223">
        <f t="shared" si="37"/>
        <v>0.76980919963776029</v>
      </c>
      <c r="AR15" s="38">
        <f t="shared" si="41"/>
        <v>71569.161290322576</v>
      </c>
      <c r="AS15" s="197">
        <f>SUM(AR15-AR14-AT15)</f>
        <v>0</v>
      </c>
      <c r="AT15" s="271"/>
      <c r="AU15" s="436"/>
      <c r="AV15" s="518">
        <f>IF(AT15&gt;0,AU15,AV14)</f>
        <v>0.61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203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17"/>
        <v>16660</v>
      </c>
      <c r="AQ16" s="223">
        <f t="shared" si="37"/>
        <v>0.76980919963776029</v>
      </c>
      <c r="AR16" s="38">
        <f t="shared" si="41"/>
        <v>71569.161290322576</v>
      </c>
      <c r="AS16" s="197">
        <f>SUM(AR16-AR15-AT16)</f>
        <v>0</v>
      </c>
      <c r="AT16" s="355"/>
      <c r="AU16" s="436"/>
      <c r="AV16" s="518">
        <f>IF(AT16&gt;0,AU16,AV15)</f>
        <v>0.61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203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37"/>
        <v>0.76980919963776029</v>
      </c>
      <c r="AR17" s="38">
        <f t="shared" si="41"/>
        <v>71569.161290322576</v>
      </c>
      <c r="AS17" s="197">
        <f t="shared" si="38"/>
        <v>0</v>
      </c>
      <c r="AT17" s="355"/>
      <c r="AU17" s="478"/>
      <c r="AV17" s="518">
        <f t="shared" si="42"/>
        <v>0.61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232</v>
      </c>
      <c r="C18" s="203">
        <f t="shared" si="18"/>
        <v>4991.7419354838712</v>
      </c>
      <c r="D18">
        <f t="shared" si="19"/>
        <v>232</v>
      </c>
      <c r="E18" s="203">
        <f t="shared" si="18"/>
        <v>4991.7419354838712</v>
      </c>
      <c r="F18">
        <f t="shared" si="20"/>
        <v>232</v>
      </c>
      <c r="G18" s="203">
        <f t="shared" si="1"/>
        <v>4991.7419354838712</v>
      </c>
      <c r="H18" s="203">
        <f t="shared" si="21"/>
        <v>232</v>
      </c>
      <c r="I18" s="203">
        <f t="shared" si="2"/>
        <v>4991.7419354838712</v>
      </c>
      <c r="J18" s="203">
        <f t="shared" si="22"/>
        <v>232</v>
      </c>
      <c r="K18" s="203">
        <f t="shared" si="3"/>
        <v>4991.7419354838712</v>
      </c>
      <c r="L18" s="203">
        <f t="shared" si="23"/>
        <v>232</v>
      </c>
      <c r="M18" s="203">
        <f t="shared" si="4"/>
        <v>4991.7419354838712</v>
      </c>
      <c r="N18" s="203">
        <f t="shared" si="24"/>
        <v>232</v>
      </c>
      <c r="O18" s="203">
        <f t="shared" si="5"/>
        <v>4991.7419354838712</v>
      </c>
      <c r="P18" s="203">
        <f t="shared" si="25"/>
        <v>232</v>
      </c>
      <c r="Q18" s="203">
        <f t="shared" si="6"/>
        <v>4991.7419354838712</v>
      </c>
      <c r="R18" s="203">
        <f t="shared" si="26"/>
        <v>232</v>
      </c>
      <c r="S18" s="203">
        <f t="shared" si="7"/>
        <v>4991.7419354838712</v>
      </c>
      <c r="T18" s="203">
        <f t="shared" si="27"/>
        <v>232</v>
      </c>
      <c r="U18" s="203">
        <f t="shared" si="8"/>
        <v>4991.7419354838712</v>
      </c>
      <c r="V18" s="203">
        <f t="shared" si="28"/>
        <v>232</v>
      </c>
      <c r="W18" s="203">
        <f t="shared" si="9"/>
        <v>4991.7419354838712</v>
      </c>
      <c r="X18" s="35">
        <f t="shared" si="10"/>
        <v>0.74838709677419357</v>
      </c>
      <c r="Y18" s="36">
        <f t="shared" si="29"/>
        <v>54909.161290322583</v>
      </c>
      <c r="Z18" s="203">
        <f>'B5'!C17</f>
        <v>238</v>
      </c>
      <c r="AA18" s="203">
        <f t="shared" si="30"/>
        <v>2380</v>
      </c>
      <c r="AB18" s="203">
        <f t="shared" si="31"/>
        <v>238</v>
      </c>
      <c r="AC18" s="203">
        <f t="shared" si="30"/>
        <v>2380</v>
      </c>
      <c r="AD18" s="203">
        <f t="shared" si="32"/>
        <v>238</v>
      </c>
      <c r="AE18" s="203">
        <f t="shared" si="11"/>
        <v>2380</v>
      </c>
      <c r="AF18" s="203">
        <f t="shared" si="33"/>
        <v>238</v>
      </c>
      <c r="AG18" s="203">
        <f t="shared" si="12"/>
        <v>2380</v>
      </c>
      <c r="AH18" s="203">
        <f t="shared" si="34"/>
        <v>238</v>
      </c>
      <c r="AI18" s="203">
        <f t="shared" si="13"/>
        <v>2380</v>
      </c>
      <c r="AJ18" s="203">
        <f t="shared" si="35"/>
        <v>238</v>
      </c>
      <c r="AK18" s="203">
        <f t="shared" si="14"/>
        <v>2380</v>
      </c>
      <c r="AL18" s="203">
        <f t="shared" si="36"/>
        <v>238</v>
      </c>
      <c r="AM18" s="203">
        <f t="shared" si="15"/>
        <v>2380</v>
      </c>
      <c r="AN18" s="35">
        <f t="shared" si="16"/>
        <v>0.85</v>
      </c>
      <c r="AO18" s="36">
        <f t="shared" si="17"/>
        <v>16660</v>
      </c>
      <c r="AQ18" s="223">
        <f t="shared" si="37"/>
        <v>0.76980919963776029</v>
      </c>
      <c r="AR18" s="38">
        <f t="shared" si="41"/>
        <v>71569.161290322576</v>
      </c>
      <c r="AS18" s="197">
        <f t="shared" si="38"/>
        <v>0</v>
      </c>
      <c r="AT18" s="271"/>
      <c r="AU18" s="436"/>
      <c r="AV18" s="518">
        <f>IF(AT18&gt;0,AU18,AV17)</f>
        <v>0.61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232</v>
      </c>
      <c r="C19" s="203">
        <f t="shared" si="18"/>
        <v>4991.7419354838712</v>
      </c>
      <c r="D19">
        <f t="shared" si="19"/>
        <v>232</v>
      </c>
      <c r="E19" s="203">
        <f t="shared" si="18"/>
        <v>4991.7419354838712</v>
      </c>
      <c r="F19">
        <f t="shared" si="20"/>
        <v>232</v>
      </c>
      <c r="G19" s="203">
        <f t="shared" si="1"/>
        <v>4991.7419354838712</v>
      </c>
      <c r="H19" s="203">
        <f t="shared" si="21"/>
        <v>232</v>
      </c>
      <c r="I19" s="203">
        <f t="shared" si="2"/>
        <v>4991.7419354838712</v>
      </c>
      <c r="J19" s="203">
        <f t="shared" si="22"/>
        <v>232</v>
      </c>
      <c r="K19" s="203">
        <f t="shared" si="3"/>
        <v>4991.7419354838712</v>
      </c>
      <c r="L19" s="203">
        <f t="shared" si="23"/>
        <v>232</v>
      </c>
      <c r="M19" s="203">
        <f t="shared" si="4"/>
        <v>4991.7419354838712</v>
      </c>
      <c r="N19" s="203">
        <f t="shared" si="24"/>
        <v>232</v>
      </c>
      <c r="O19" s="203">
        <f t="shared" si="5"/>
        <v>4991.7419354838712</v>
      </c>
      <c r="P19" s="203">
        <f t="shared" si="25"/>
        <v>232</v>
      </c>
      <c r="Q19" s="203">
        <f t="shared" si="6"/>
        <v>4991.7419354838712</v>
      </c>
      <c r="R19" s="203">
        <f t="shared" si="26"/>
        <v>232</v>
      </c>
      <c r="S19" s="203">
        <f t="shared" si="7"/>
        <v>4991.7419354838712</v>
      </c>
      <c r="T19" s="203">
        <f t="shared" si="27"/>
        <v>232</v>
      </c>
      <c r="U19" s="203">
        <f t="shared" si="8"/>
        <v>4991.7419354838712</v>
      </c>
      <c r="V19" s="203">
        <f t="shared" si="28"/>
        <v>232</v>
      </c>
      <c r="W19" s="203">
        <f t="shared" si="9"/>
        <v>4991.7419354838712</v>
      </c>
      <c r="X19" s="35">
        <f t="shared" si="10"/>
        <v>0.74838709677419357</v>
      </c>
      <c r="Y19" s="36">
        <f t="shared" si="29"/>
        <v>54909.161290322583</v>
      </c>
      <c r="Z19" s="203">
        <f>'B5'!C18</f>
        <v>238</v>
      </c>
      <c r="AA19" s="203">
        <f t="shared" si="30"/>
        <v>2380</v>
      </c>
      <c r="AB19" s="203">
        <f t="shared" si="31"/>
        <v>238</v>
      </c>
      <c r="AC19" s="203">
        <f t="shared" si="30"/>
        <v>2380</v>
      </c>
      <c r="AD19" s="203">
        <f t="shared" si="32"/>
        <v>238</v>
      </c>
      <c r="AE19" s="203">
        <f t="shared" si="11"/>
        <v>2380</v>
      </c>
      <c r="AF19" s="203">
        <f t="shared" si="33"/>
        <v>238</v>
      </c>
      <c r="AG19" s="203">
        <f t="shared" si="12"/>
        <v>2380</v>
      </c>
      <c r="AH19" s="203">
        <f t="shared" si="34"/>
        <v>238</v>
      </c>
      <c r="AI19" s="203">
        <f t="shared" si="13"/>
        <v>2380</v>
      </c>
      <c r="AJ19" s="203">
        <f t="shared" si="35"/>
        <v>238</v>
      </c>
      <c r="AK19" s="203">
        <f t="shared" si="14"/>
        <v>2380</v>
      </c>
      <c r="AL19" s="203">
        <f t="shared" si="36"/>
        <v>238</v>
      </c>
      <c r="AM19" s="203">
        <f t="shared" si="15"/>
        <v>2380</v>
      </c>
      <c r="AN19" s="35">
        <f t="shared" si="16"/>
        <v>0.85</v>
      </c>
      <c r="AO19" s="36">
        <f t="shared" si="17"/>
        <v>16660</v>
      </c>
      <c r="AQ19" s="223">
        <f t="shared" si="37"/>
        <v>0.76980919963776029</v>
      </c>
      <c r="AR19" s="38">
        <f t="shared" si="41"/>
        <v>71569.161290322576</v>
      </c>
      <c r="AS19" s="197">
        <f t="shared" si="38"/>
        <v>0</v>
      </c>
      <c r="AT19" s="271"/>
      <c r="AU19" s="436"/>
      <c r="AV19" s="518">
        <f t="shared" si="42"/>
        <v>0.61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232</v>
      </c>
      <c r="C20" s="203">
        <f t="shared" si="18"/>
        <v>4991.7419354838712</v>
      </c>
      <c r="D20">
        <f t="shared" si="19"/>
        <v>232</v>
      </c>
      <c r="E20" s="203">
        <f t="shared" si="18"/>
        <v>4991.7419354838712</v>
      </c>
      <c r="F20">
        <f t="shared" si="20"/>
        <v>232</v>
      </c>
      <c r="G20" s="203">
        <f t="shared" si="1"/>
        <v>4991.7419354838712</v>
      </c>
      <c r="H20" s="203">
        <f t="shared" si="21"/>
        <v>232</v>
      </c>
      <c r="I20" s="203">
        <f t="shared" si="2"/>
        <v>4991.7419354838712</v>
      </c>
      <c r="J20" s="203">
        <f t="shared" si="22"/>
        <v>232</v>
      </c>
      <c r="K20" s="203">
        <f t="shared" si="3"/>
        <v>4991.7419354838712</v>
      </c>
      <c r="L20" s="203">
        <f t="shared" si="23"/>
        <v>232</v>
      </c>
      <c r="M20" s="203">
        <f t="shared" si="4"/>
        <v>4991.7419354838712</v>
      </c>
      <c r="N20" s="203">
        <f t="shared" si="24"/>
        <v>232</v>
      </c>
      <c r="O20" s="203">
        <f t="shared" si="5"/>
        <v>4991.7419354838712</v>
      </c>
      <c r="P20" s="203">
        <f t="shared" si="25"/>
        <v>232</v>
      </c>
      <c r="Q20" s="203">
        <f t="shared" si="6"/>
        <v>4991.7419354838712</v>
      </c>
      <c r="R20" s="203">
        <f t="shared" si="26"/>
        <v>232</v>
      </c>
      <c r="S20" s="203">
        <f t="shared" si="7"/>
        <v>4991.7419354838712</v>
      </c>
      <c r="T20" s="203">
        <f t="shared" si="27"/>
        <v>232</v>
      </c>
      <c r="U20" s="203">
        <f t="shared" si="8"/>
        <v>4991.7419354838712</v>
      </c>
      <c r="V20" s="203">
        <f t="shared" si="28"/>
        <v>232</v>
      </c>
      <c r="W20" s="203">
        <f t="shared" si="9"/>
        <v>4991.7419354838712</v>
      </c>
      <c r="X20" s="35">
        <f t="shared" si="10"/>
        <v>0.74838709677419357</v>
      </c>
      <c r="Y20" s="36">
        <f t="shared" si="29"/>
        <v>54909.161290322583</v>
      </c>
      <c r="Z20" s="203">
        <f>'B5'!C19</f>
        <v>238</v>
      </c>
      <c r="AA20" s="203">
        <f t="shared" si="30"/>
        <v>2380</v>
      </c>
      <c r="AB20" s="203">
        <f t="shared" si="31"/>
        <v>238</v>
      </c>
      <c r="AC20" s="203">
        <f t="shared" si="30"/>
        <v>2380</v>
      </c>
      <c r="AD20" s="203">
        <f t="shared" si="32"/>
        <v>238</v>
      </c>
      <c r="AE20" s="203">
        <f t="shared" si="11"/>
        <v>2380</v>
      </c>
      <c r="AF20" s="203">
        <f t="shared" si="33"/>
        <v>238</v>
      </c>
      <c r="AG20" s="203">
        <f t="shared" si="12"/>
        <v>2380</v>
      </c>
      <c r="AH20" s="203">
        <f t="shared" si="34"/>
        <v>238</v>
      </c>
      <c r="AI20" s="203">
        <f t="shared" si="13"/>
        <v>2380</v>
      </c>
      <c r="AJ20" s="203">
        <f t="shared" si="35"/>
        <v>238</v>
      </c>
      <c r="AK20" s="203">
        <f t="shared" si="14"/>
        <v>2380</v>
      </c>
      <c r="AL20" s="203">
        <f t="shared" si="36"/>
        <v>238</v>
      </c>
      <c r="AM20" s="203">
        <f t="shared" si="15"/>
        <v>2380</v>
      </c>
      <c r="AN20" s="35">
        <f t="shared" si="16"/>
        <v>0.85</v>
      </c>
      <c r="AO20" s="36">
        <f t="shared" si="17"/>
        <v>16660</v>
      </c>
      <c r="AQ20" s="223">
        <f t="shared" si="37"/>
        <v>0.76980919963776029</v>
      </c>
      <c r="AR20" s="38">
        <f t="shared" si="41"/>
        <v>71569.161290322576</v>
      </c>
      <c r="AS20" s="197">
        <f t="shared" si="38"/>
        <v>0</v>
      </c>
      <c r="AT20" s="271"/>
      <c r="AU20" s="436"/>
      <c r="AV20" s="518">
        <f t="shared" si="42"/>
        <v>0.61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232</v>
      </c>
      <c r="C21" s="203">
        <f t="shared" si="18"/>
        <v>4991.7419354838712</v>
      </c>
      <c r="D21">
        <f t="shared" si="19"/>
        <v>232</v>
      </c>
      <c r="E21" s="203">
        <f t="shared" si="18"/>
        <v>4991.7419354838712</v>
      </c>
      <c r="F21">
        <f t="shared" si="20"/>
        <v>232</v>
      </c>
      <c r="G21" s="203">
        <f t="shared" si="1"/>
        <v>4991.7419354838712</v>
      </c>
      <c r="H21" s="203">
        <f t="shared" si="21"/>
        <v>232</v>
      </c>
      <c r="I21" s="203">
        <f t="shared" si="2"/>
        <v>4991.7419354838712</v>
      </c>
      <c r="J21" s="203">
        <f t="shared" si="22"/>
        <v>232</v>
      </c>
      <c r="K21" s="203">
        <f t="shared" si="3"/>
        <v>4991.7419354838712</v>
      </c>
      <c r="L21" s="203">
        <f t="shared" si="23"/>
        <v>232</v>
      </c>
      <c r="M21" s="203">
        <f t="shared" si="4"/>
        <v>4991.7419354838712</v>
      </c>
      <c r="N21" s="203">
        <f t="shared" si="24"/>
        <v>232</v>
      </c>
      <c r="O21" s="203">
        <f t="shared" si="5"/>
        <v>4991.7419354838712</v>
      </c>
      <c r="P21" s="203">
        <f t="shared" si="25"/>
        <v>232</v>
      </c>
      <c r="Q21" s="203">
        <f t="shared" si="6"/>
        <v>4991.7419354838712</v>
      </c>
      <c r="R21" s="203">
        <f t="shared" si="26"/>
        <v>232</v>
      </c>
      <c r="S21" s="203">
        <f t="shared" si="7"/>
        <v>4991.7419354838712</v>
      </c>
      <c r="T21" s="203">
        <f t="shared" si="27"/>
        <v>232</v>
      </c>
      <c r="U21" s="203">
        <f t="shared" si="8"/>
        <v>4991.7419354838712</v>
      </c>
      <c r="V21" s="203">
        <f t="shared" si="28"/>
        <v>232</v>
      </c>
      <c r="W21" s="203">
        <f t="shared" si="9"/>
        <v>4991.7419354838712</v>
      </c>
      <c r="X21" s="35">
        <f t="shared" si="10"/>
        <v>0.74838709677419357</v>
      </c>
      <c r="Y21" s="36">
        <f t="shared" si="29"/>
        <v>54909.161290322583</v>
      </c>
      <c r="Z21" s="203">
        <f>'B5'!C20</f>
        <v>238</v>
      </c>
      <c r="AA21" s="203">
        <f t="shared" si="30"/>
        <v>2380</v>
      </c>
      <c r="AB21" s="203">
        <f t="shared" si="31"/>
        <v>238</v>
      </c>
      <c r="AC21" s="203">
        <f t="shared" si="30"/>
        <v>2380</v>
      </c>
      <c r="AD21" s="203">
        <f t="shared" si="32"/>
        <v>238</v>
      </c>
      <c r="AE21" s="203">
        <f t="shared" si="11"/>
        <v>2380</v>
      </c>
      <c r="AF21" s="203">
        <f t="shared" si="33"/>
        <v>238</v>
      </c>
      <c r="AG21" s="203">
        <f t="shared" si="12"/>
        <v>2380</v>
      </c>
      <c r="AH21" s="203">
        <f t="shared" si="34"/>
        <v>238</v>
      </c>
      <c r="AI21" s="203">
        <f t="shared" si="13"/>
        <v>2380</v>
      </c>
      <c r="AJ21" s="203">
        <f t="shared" si="35"/>
        <v>238</v>
      </c>
      <c r="AK21" s="203">
        <f t="shared" si="14"/>
        <v>2380</v>
      </c>
      <c r="AL21" s="203">
        <f t="shared" si="36"/>
        <v>238</v>
      </c>
      <c r="AM21" s="203">
        <f t="shared" si="15"/>
        <v>2380</v>
      </c>
      <c r="AN21" s="35">
        <f t="shared" si="16"/>
        <v>0.85</v>
      </c>
      <c r="AO21" s="36">
        <f t="shared" si="17"/>
        <v>16660</v>
      </c>
      <c r="AQ21" s="223">
        <f t="shared" si="37"/>
        <v>0.76980919963776029</v>
      </c>
      <c r="AR21" s="38">
        <f t="shared" si="41"/>
        <v>71569.161290322576</v>
      </c>
      <c r="AS21" s="197">
        <f t="shared" si="38"/>
        <v>0</v>
      </c>
      <c r="AT21" s="271"/>
      <c r="AU21" s="436"/>
      <c r="AV21" s="518">
        <f t="shared" si="42"/>
        <v>0.61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232</v>
      </c>
      <c r="C22" s="203">
        <f t="shared" si="18"/>
        <v>4991.7419354838712</v>
      </c>
      <c r="D22">
        <f t="shared" si="19"/>
        <v>232</v>
      </c>
      <c r="E22" s="203">
        <f t="shared" si="18"/>
        <v>4991.7419354838712</v>
      </c>
      <c r="F22">
        <f t="shared" si="20"/>
        <v>232</v>
      </c>
      <c r="G22" s="203">
        <f t="shared" si="1"/>
        <v>4991.7419354838712</v>
      </c>
      <c r="H22" s="203">
        <f t="shared" si="21"/>
        <v>232</v>
      </c>
      <c r="I22" s="203">
        <f t="shared" si="2"/>
        <v>4991.7419354838712</v>
      </c>
      <c r="J22" s="203">
        <f t="shared" si="22"/>
        <v>232</v>
      </c>
      <c r="K22" s="203">
        <f t="shared" si="3"/>
        <v>4991.7419354838712</v>
      </c>
      <c r="L22" s="203">
        <f t="shared" si="23"/>
        <v>232</v>
      </c>
      <c r="M22" s="203">
        <f t="shared" si="4"/>
        <v>4991.7419354838712</v>
      </c>
      <c r="N22" s="203">
        <f t="shared" si="24"/>
        <v>232</v>
      </c>
      <c r="O22" s="203">
        <f t="shared" si="5"/>
        <v>4991.7419354838712</v>
      </c>
      <c r="P22" s="203">
        <f t="shared" si="25"/>
        <v>232</v>
      </c>
      <c r="Q22" s="203">
        <f t="shared" si="6"/>
        <v>4991.7419354838712</v>
      </c>
      <c r="R22" s="203">
        <f t="shared" si="26"/>
        <v>232</v>
      </c>
      <c r="S22" s="203">
        <f t="shared" si="7"/>
        <v>4991.7419354838712</v>
      </c>
      <c r="T22" s="203">
        <f t="shared" si="27"/>
        <v>232</v>
      </c>
      <c r="U22" s="203">
        <f t="shared" si="8"/>
        <v>4991.7419354838712</v>
      </c>
      <c r="V22" s="203">
        <f t="shared" si="28"/>
        <v>232</v>
      </c>
      <c r="W22" s="203">
        <f t="shared" si="9"/>
        <v>4991.7419354838712</v>
      </c>
      <c r="X22" s="35">
        <f t="shared" si="10"/>
        <v>0.74838709677419357</v>
      </c>
      <c r="Y22" s="36">
        <f t="shared" si="29"/>
        <v>54909.161290322583</v>
      </c>
      <c r="Z22" s="203">
        <f>'B5'!C21</f>
        <v>238</v>
      </c>
      <c r="AA22" s="203">
        <f t="shared" si="30"/>
        <v>2380</v>
      </c>
      <c r="AB22" s="203">
        <f t="shared" si="31"/>
        <v>238</v>
      </c>
      <c r="AC22" s="203">
        <f t="shared" si="30"/>
        <v>2380</v>
      </c>
      <c r="AD22" s="203">
        <f t="shared" si="32"/>
        <v>238</v>
      </c>
      <c r="AE22" s="203">
        <f t="shared" si="11"/>
        <v>2380</v>
      </c>
      <c r="AF22" s="203">
        <f t="shared" si="33"/>
        <v>238</v>
      </c>
      <c r="AG22" s="203">
        <f t="shared" si="12"/>
        <v>2380</v>
      </c>
      <c r="AH22" s="203">
        <f t="shared" si="34"/>
        <v>238</v>
      </c>
      <c r="AI22" s="203">
        <f t="shared" si="13"/>
        <v>2380</v>
      </c>
      <c r="AJ22" s="203">
        <f t="shared" si="35"/>
        <v>238</v>
      </c>
      <c r="AK22" s="203">
        <f t="shared" si="14"/>
        <v>2380</v>
      </c>
      <c r="AL22" s="203">
        <f t="shared" si="36"/>
        <v>238</v>
      </c>
      <c r="AM22" s="203">
        <f t="shared" si="15"/>
        <v>2380</v>
      </c>
      <c r="AN22" s="35">
        <f t="shared" si="16"/>
        <v>0.85</v>
      </c>
      <c r="AO22" s="36">
        <f t="shared" si="17"/>
        <v>16660</v>
      </c>
      <c r="AQ22" s="223">
        <f t="shared" si="37"/>
        <v>0.76980919963776029</v>
      </c>
      <c r="AR22" s="38">
        <f t="shared" si="41"/>
        <v>71569.161290322576</v>
      </c>
      <c r="AS22" s="197">
        <f t="shared" si="38"/>
        <v>0</v>
      </c>
      <c r="AT22" s="271"/>
      <c r="AU22" s="436"/>
      <c r="AV22" s="518">
        <f t="shared" si="42"/>
        <v>0.61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232</v>
      </c>
      <c r="C23" s="203">
        <f t="shared" si="18"/>
        <v>4991.7419354838712</v>
      </c>
      <c r="D23">
        <f t="shared" si="19"/>
        <v>232</v>
      </c>
      <c r="E23" s="203">
        <f t="shared" si="18"/>
        <v>4991.7419354838712</v>
      </c>
      <c r="F23">
        <f t="shared" si="20"/>
        <v>232</v>
      </c>
      <c r="G23" s="203">
        <f t="shared" si="1"/>
        <v>4991.7419354838712</v>
      </c>
      <c r="H23" s="203">
        <f t="shared" si="21"/>
        <v>232</v>
      </c>
      <c r="I23" s="203">
        <f t="shared" si="2"/>
        <v>4991.7419354838712</v>
      </c>
      <c r="J23" s="203">
        <f t="shared" si="22"/>
        <v>232</v>
      </c>
      <c r="K23" s="203">
        <f t="shared" si="3"/>
        <v>4991.7419354838712</v>
      </c>
      <c r="L23" s="203">
        <f t="shared" si="23"/>
        <v>232</v>
      </c>
      <c r="M23" s="203">
        <f t="shared" si="4"/>
        <v>4991.7419354838712</v>
      </c>
      <c r="N23" s="203">
        <f t="shared" si="24"/>
        <v>232</v>
      </c>
      <c r="O23" s="203">
        <f t="shared" si="5"/>
        <v>4991.7419354838712</v>
      </c>
      <c r="P23" s="203">
        <f t="shared" si="25"/>
        <v>232</v>
      </c>
      <c r="Q23" s="203">
        <f t="shared" si="6"/>
        <v>4991.7419354838712</v>
      </c>
      <c r="R23" s="203">
        <f t="shared" si="26"/>
        <v>232</v>
      </c>
      <c r="S23" s="203">
        <f t="shared" si="7"/>
        <v>4991.7419354838712</v>
      </c>
      <c r="T23" s="203">
        <f t="shared" si="27"/>
        <v>232</v>
      </c>
      <c r="U23" s="203">
        <f t="shared" si="8"/>
        <v>4991.7419354838712</v>
      </c>
      <c r="V23" s="203">
        <f t="shared" si="28"/>
        <v>232</v>
      </c>
      <c r="W23" s="203">
        <f t="shared" si="9"/>
        <v>4991.7419354838712</v>
      </c>
      <c r="X23" s="35">
        <f t="shared" si="10"/>
        <v>0.74838709677419357</v>
      </c>
      <c r="Y23" s="36">
        <f t="shared" si="29"/>
        <v>54909.161290322583</v>
      </c>
      <c r="Z23" s="203">
        <f>'B5'!C22</f>
        <v>238</v>
      </c>
      <c r="AA23" s="203">
        <f t="shared" si="30"/>
        <v>2380</v>
      </c>
      <c r="AB23" s="203">
        <f t="shared" si="31"/>
        <v>238</v>
      </c>
      <c r="AC23" s="203">
        <f t="shared" si="30"/>
        <v>2380</v>
      </c>
      <c r="AD23" s="203">
        <f t="shared" si="32"/>
        <v>238</v>
      </c>
      <c r="AE23" s="203">
        <f t="shared" si="11"/>
        <v>2380</v>
      </c>
      <c r="AF23" s="203">
        <f t="shared" si="33"/>
        <v>238</v>
      </c>
      <c r="AG23" s="203">
        <f t="shared" si="12"/>
        <v>2380</v>
      </c>
      <c r="AH23" s="203">
        <f t="shared" si="34"/>
        <v>238</v>
      </c>
      <c r="AI23" s="203">
        <f t="shared" si="13"/>
        <v>2380</v>
      </c>
      <c r="AJ23" s="203">
        <f t="shared" si="35"/>
        <v>238</v>
      </c>
      <c r="AK23" s="203">
        <f t="shared" si="14"/>
        <v>2380</v>
      </c>
      <c r="AL23" s="203">
        <f t="shared" si="36"/>
        <v>238</v>
      </c>
      <c r="AM23" s="203">
        <f t="shared" si="15"/>
        <v>2380</v>
      </c>
      <c r="AN23" s="35">
        <f t="shared" si="16"/>
        <v>0.85</v>
      </c>
      <c r="AO23" s="36">
        <f t="shared" si="17"/>
        <v>16660</v>
      </c>
      <c r="AQ23" s="223">
        <f t="shared" si="37"/>
        <v>0.76980919963776029</v>
      </c>
      <c r="AR23" s="38">
        <f t="shared" si="41"/>
        <v>71569.161290322576</v>
      </c>
      <c r="AS23" s="197">
        <f t="shared" si="38"/>
        <v>0</v>
      </c>
      <c r="AT23" s="271"/>
      <c r="AU23" s="436"/>
      <c r="AV23" s="518">
        <f t="shared" si="42"/>
        <v>0.61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232</v>
      </c>
      <c r="C24" s="203">
        <f t="shared" si="18"/>
        <v>4991.7419354838712</v>
      </c>
      <c r="D24">
        <f t="shared" si="19"/>
        <v>232</v>
      </c>
      <c r="E24" s="203">
        <f t="shared" si="18"/>
        <v>4991.7419354838712</v>
      </c>
      <c r="F24">
        <f t="shared" si="20"/>
        <v>232</v>
      </c>
      <c r="G24" s="203">
        <f t="shared" si="1"/>
        <v>4991.7419354838712</v>
      </c>
      <c r="H24" s="203">
        <f t="shared" si="21"/>
        <v>232</v>
      </c>
      <c r="I24" s="203">
        <f t="shared" si="2"/>
        <v>4991.7419354838712</v>
      </c>
      <c r="J24" s="203">
        <f t="shared" si="22"/>
        <v>232</v>
      </c>
      <c r="K24" s="203">
        <f t="shared" si="3"/>
        <v>4991.7419354838712</v>
      </c>
      <c r="L24" s="203">
        <f t="shared" si="23"/>
        <v>232</v>
      </c>
      <c r="M24" s="203">
        <f t="shared" si="4"/>
        <v>4991.7419354838712</v>
      </c>
      <c r="N24" s="203">
        <f t="shared" si="24"/>
        <v>232</v>
      </c>
      <c r="O24" s="203">
        <f t="shared" si="5"/>
        <v>4991.7419354838712</v>
      </c>
      <c r="P24" s="203">
        <f t="shared" si="25"/>
        <v>232</v>
      </c>
      <c r="Q24" s="203">
        <f t="shared" si="6"/>
        <v>4991.7419354838712</v>
      </c>
      <c r="R24" s="203">
        <f t="shared" si="26"/>
        <v>232</v>
      </c>
      <c r="S24" s="203">
        <f t="shared" si="7"/>
        <v>4991.7419354838712</v>
      </c>
      <c r="T24" s="203">
        <f t="shared" si="27"/>
        <v>232</v>
      </c>
      <c r="U24" s="203">
        <f t="shared" si="8"/>
        <v>4991.7419354838712</v>
      </c>
      <c r="V24" s="203">
        <f t="shared" si="28"/>
        <v>232</v>
      </c>
      <c r="W24" s="203">
        <f t="shared" si="9"/>
        <v>4991.7419354838712</v>
      </c>
      <c r="X24" s="35">
        <f t="shared" si="10"/>
        <v>0.74838709677419357</v>
      </c>
      <c r="Y24" s="36">
        <f t="shared" si="29"/>
        <v>54909.161290322583</v>
      </c>
      <c r="Z24" s="203">
        <f>'B5'!C23</f>
        <v>238</v>
      </c>
      <c r="AA24" s="203">
        <f t="shared" si="30"/>
        <v>2380</v>
      </c>
      <c r="AB24" s="203">
        <f t="shared" si="31"/>
        <v>238</v>
      </c>
      <c r="AC24" s="203">
        <f t="shared" si="30"/>
        <v>2380</v>
      </c>
      <c r="AD24" s="203">
        <f t="shared" si="32"/>
        <v>238</v>
      </c>
      <c r="AE24" s="203">
        <f t="shared" si="11"/>
        <v>2380</v>
      </c>
      <c r="AF24" s="203">
        <f t="shared" si="33"/>
        <v>238</v>
      </c>
      <c r="AG24" s="203">
        <f t="shared" si="12"/>
        <v>2380</v>
      </c>
      <c r="AH24" s="203">
        <f t="shared" si="34"/>
        <v>238</v>
      </c>
      <c r="AI24" s="203">
        <f t="shared" si="13"/>
        <v>2380</v>
      </c>
      <c r="AJ24" s="203">
        <f t="shared" si="35"/>
        <v>238</v>
      </c>
      <c r="AK24" s="203">
        <f t="shared" si="14"/>
        <v>2380</v>
      </c>
      <c r="AL24" s="203">
        <f t="shared" si="36"/>
        <v>238</v>
      </c>
      <c r="AM24" s="203">
        <f t="shared" si="15"/>
        <v>2380</v>
      </c>
      <c r="AN24" s="35">
        <f t="shared" si="16"/>
        <v>0.85</v>
      </c>
      <c r="AO24" s="36">
        <f t="shared" si="17"/>
        <v>16660</v>
      </c>
      <c r="AQ24" s="223">
        <f t="shared" si="37"/>
        <v>0.76980919963776029</v>
      </c>
      <c r="AR24" s="38">
        <f t="shared" si="41"/>
        <v>71569.161290322576</v>
      </c>
      <c r="AS24" s="197">
        <f t="shared" si="38"/>
        <v>0</v>
      </c>
      <c r="AT24" s="271"/>
      <c r="AU24" s="436"/>
      <c r="AV24" s="518">
        <f t="shared" si="42"/>
        <v>0.61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232</v>
      </c>
      <c r="C25" s="203">
        <f t="shared" si="18"/>
        <v>4991.7419354838712</v>
      </c>
      <c r="D25">
        <f t="shared" si="19"/>
        <v>232</v>
      </c>
      <c r="E25" s="203">
        <f t="shared" si="18"/>
        <v>4991.7419354838712</v>
      </c>
      <c r="F25">
        <f t="shared" si="20"/>
        <v>232</v>
      </c>
      <c r="G25" s="203">
        <f t="shared" si="1"/>
        <v>4991.7419354838712</v>
      </c>
      <c r="H25" s="203">
        <f t="shared" si="21"/>
        <v>232</v>
      </c>
      <c r="I25" s="203">
        <f t="shared" si="2"/>
        <v>4991.7419354838712</v>
      </c>
      <c r="J25" s="203">
        <f t="shared" si="22"/>
        <v>232</v>
      </c>
      <c r="K25" s="203">
        <f t="shared" si="3"/>
        <v>4991.7419354838712</v>
      </c>
      <c r="L25" s="203">
        <f t="shared" si="23"/>
        <v>232</v>
      </c>
      <c r="M25" s="203">
        <f t="shared" si="4"/>
        <v>4991.7419354838712</v>
      </c>
      <c r="N25" s="203">
        <f t="shared" si="24"/>
        <v>232</v>
      </c>
      <c r="O25" s="203">
        <f t="shared" si="5"/>
        <v>4991.7419354838712</v>
      </c>
      <c r="P25" s="203">
        <f t="shared" si="25"/>
        <v>232</v>
      </c>
      <c r="Q25" s="203">
        <f t="shared" si="6"/>
        <v>4991.7419354838712</v>
      </c>
      <c r="R25" s="203">
        <f t="shared" si="26"/>
        <v>232</v>
      </c>
      <c r="S25" s="203">
        <f t="shared" si="7"/>
        <v>4991.7419354838712</v>
      </c>
      <c r="T25" s="203">
        <f t="shared" si="27"/>
        <v>232</v>
      </c>
      <c r="U25" s="203">
        <f t="shared" si="8"/>
        <v>4991.7419354838712</v>
      </c>
      <c r="V25" s="203">
        <f t="shared" si="28"/>
        <v>232</v>
      </c>
      <c r="W25" s="203">
        <f t="shared" si="9"/>
        <v>4991.7419354838712</v>
      </c>
      <c r="X25" s="35">
        <f t="shared" si="10"/>
        <v>0.74838709677419357</v>
      </c>
      <c r="Y25" s="36">
        <f t="shared" si="29"/>
        <v>54909.161290322583</v>
      </c>
      <c r="Z25" s="203">
        <f>'B5'!C24</f>
        <v>238</v>
      </c>
      <c r="AA25" s="203">
        <f t="shared" si="30"/>
        <v>2380</v>
      </c>
      <c r="AB25" s="203">
        <f t="shared" si="31"/>
        <v>238</v>
      </c>
      <c r="AC25" s="203">
        <f t="shared" si="30"/>
        <v>2380</v>
      </c>
      <c r="AD25" s="203">
        <f t="shared" si="32"/>
        <v>238</v>
      </c>
      <c r="AE25" s="203">
        <f t="shared" si="11"/>
        <v>2380</v>
      </c>
      <c r="AF25" s="203">
        <f t="shared" si="33"/>
        <v>238</v>
      </c>
      <c r="AG25" s="203">
        <f t="shared" si="12"/>
        <v>2380</v>
      </c>
      <c r="AH25" s="203">
        <f t="shared" si="34"/>
        <v>238</v>
      </c>
      <c r="AI25" s="203">
        <f t="shared" si="13"/>
        <v>2380</v>
      </c>
      <c r="AJ25" s="203">
        <f t="shared" si="35"/>
        <v>238</v>
      </c>
      <c r="AK25" s="203">
        <f t="shared" si="14"/>
        <v>2380</v>
      </c>
      <c r="AL25" s="203">
        <f t="shared" si="36"/>
        <v>238</v>
      </c>
      <c r="AM25" s="203">
        <f t="shared" si="15"/>
        <v>2380</v>
      </c>
      <c r="AN25" s="35">
        <f t="shared" si="16"/>
        <v>0.85</v>
      </c>
      <c r="AO25" s="36">
        <f t="shared" si="17"/>
        <v>16660</v>
      </c>
      <c r="AQ25" s="223">
        <f t="shared" si="37"/>
        <v>0.76980919963776029</v>
      </c>
      <c r="AR25" s="38">
        <f t="shared" si="41"/>
        <v>71569.161290322576</v>
      </c>
      <c r="AS25" s="197">
        <f t="shared" si="38"/>
        <v>0</v>
      </c>
      <c r="AT25" s="271"/>
      <c r="AU25" s="436"/>
      <c r="AV25" s="518">
        <f t="shared" si="42"/>
        <v>0.61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232</v>
      </c>
      <c r="C26" s="203">
        <f t="shared" si="18"/>
        <v>4991.7419354838712</v>
      </c>
      <c r="D26">
        <f t="shared" si="19"/>
        <v>232</v>
      </c>
      <c r="E26" s="203">
        <f t="shared" si="18"/>
        <v>4991.7419354838712</v>
      </c>
      <c r="F26">
        <f t="shared" si="20"/>
        <v>232</v>
      </c>
      <c r="G26" s="203">
        <f t="shared" si="1"/>
        <v>4991.7419354838712</v>
      </c>
      <c r="H26" s="203">
        <f t="shared" si="21"/>
        <v>232</v>
      </c>
      <c r="I26" s="203">
        <f t="shared" si="2"/>
        <v>4991.7419354838712</v>
      </c>
      <c r="J26" s="203">
        <f t="shared" si="22"/>
        <v>232</v>
      </c>
      <c r="K26" s="203">
        <f t="shared" si="3"/>
        <v>4991.7419354838712</v>
      </c>
      <c r="L26" s="203">
        <f t="shared" si="23"/>
        <v>232</v>
      </c>
      <c r="M26" s="203">
        <f t="shared" si="4"/>
        <v>4991.7419354838712</v>
      </c>
      <c r="N26" s="203">
        <f t="shared" si="24"/>
        <v>232</v>
      </c>
      <c r="O26" s="203">
        <f t="shared" si="5"/>
        <v>4991.7419354838712</v>
      </c>
      <c r="P26" s="203">
        <f t="shared" si="25"/>
        <v>232</v>
      </c>
      <c r="Q26" s="203">
        <f t="shared" si="6"/>
        <v>4991.7419354838712</v>
      </c>
      <c r="R26" s="203">
        <f t="shared" si="26"/>
        <v>232</v>
      </c>
      <c r="S26" s="203">
        <f t="shared" si="7"/>
        <v>4991.7419354838712</v>
      </c>
      <c r="T26" s="203">
        <f t="shared" si="27"/>
        <v>232</v>
      </c>
      <c r="U26" s="203">
        <f t="shared" si="8"/>
        <v>4991.7419354838712</v>
      </c>
      <c r="V26" s="203">
        <f t="shared" si="28"/>
        <v>232</v>
      </c>
      <c r="W26" s="203">
        <f t="shared" si="9"/>
        <v>4991.7419354838712</v>
      </c>
      <c r="X26" s="35">
        <f t="shared" si="10"/>
        <v>0.74838709677419357</v>
      </c>
      <c r="Y26" s="36">
        <f t="shared" si="29"/>
        <v>54909.161290322583</v>
      </c>
      <c r="Z26" s="203">
        <f>'B5'!C25</f>
        <v>238</v>
      </c>
      <c r="AA26" s="203">
        <f t="shared" si="30"/>
        <v>2380</v>
      </c>
      <c r="AB26" s="203">
        <f t="shared" si="31"/>
        <v>238</v>
      </c>
      <c r="AC26" s="203">
        <f t="shared" si="30"/>
        <v>2380</v>
      </c>
      <c r="AD26" s="203">
        <f t="shared" si="32"/>
        <v>238</v>
      </c>
      <c r="AE26" s="203">
        <f t="shared" si="11"/>
        <v>2380</v>
      </c>
      <c r="AF26" s="203">
        <f t="shared" si="33"/>
        <v>238</v>
      </c>
      <c r="AG26" s="203">
        <f t="shared" si="12"/>
        <v>2380</v>
      </c>
      <c r="AH26" s="203">
        <f t="shared" si="34"/>
        <v>238</v>
      </c>
      <c r="AI26" s="203">
        <f t="shared" si="13"/>
        <v>2380</v>
      </c>
      <c r="AJ26" s="203">
        <f t="shared" si="35"/>
        <v>238</v>
      </c>
      <c r="AK26" s="203">
        <f t="shared" si="14"/>
        <v>2380</v>
      </c>
      <c r="AL26" s="203">
        <f t="shared" si="36"/>
        <v>238</v>
      </c>
      <c r="AM26" s="203">
        <f t="shared" si="15"/>
        <v>2380</v>
      </c>
      <c r="AN26" s="35">
        <f t="shared" si="16"/>
        <v>0.85</v>
      </c>
      <c r="AO26" s="36">
        <f t="shared" si="17"/>
        <v>16660</v>
      </c>
      <c r="AQ26" s="223">
        <f t="shared" si="37"/>
        <v>0.76980919963776029</v>
      </c>
      <c r="AR26" s="38">
        <f t="shared" si="41"/>
        <v>71569.161290322576</v>
      </c>
      <c r="AS26" s="197">
        <f t="shared" si="38"/>
        <v>0</v>
      </c>
      <c r="AT26" s="271"/>
      <c r="AU26" s="491"/>
      <c r="AV26" s="518">
        <f t="shared" si="42"/>
        <v>0.61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232</v>
      </c>
      <c r="C27" s="203">
        <f t="shared" si="18"/>
        <v>4991.7419354838712</v>
      </c>
      <c r="D27">
        <f t="shared" si="19"/>
        <v>232</v>
      </c>
      <c r="E27" s="203">
        <f t="shared" si="18"/>
        <v>4991.7419354838712</v>
      </c>
      <c r="F27">
        <f t="shared" si="20"/>
        <v>232</v>
      </c>
      <c r="G27" s="203">
        <f t="shared" si="1"/>
        <v>4991.7419354838712</v>
      </c>
      <c r="H27" s="203">
        <f t="shared" si="21"/>
        <v>232</v>
      </c>
      <c r="I27" s="203">
        <f t="shared" si="2"/>
        <v>4991.7419354838712</v>
      </c>
      <c r="J27" s="203">
        <f t="shared" si="22"/>
        <v>232</v>
      </c>
      <c r="K27" s="203">
        <f t="shared" si="3"/>
        <v>4991.7419354838712</v>
      </c>
      <c r="L27" s="203">
        <f t="shared" si="23"/>
        <v>232</v>
      </c>
      <c r="M27" s="203">
        <f t="shared" si="4"/>
        <v>4991.7419354838712</v>
      </c>
      <c r="N27" s="203">
        <f t="shared" si="24"/>
        <v>232</v>
      </c>
      <c r="O27" s="203">
        <f t="shared" si="5"/>
        <v>4991.7419354838712</v>
      </c>
      <c r="P27" s="203">
        <f t="shared" si="25"/>
        <v>232</v>
      </c>
      <c r="Q27" s="203">
        <f t="shared" si="6"/>
        <v>4991.7419354838712</v>
      </c>
      <c r="R27" s="203">
        <f t="shared" si="26"/>
        <v>232</v>
      </c>
      <c r="S27" s="203">
        <f t="shared" si="7"/>
        <v>4991.7419354838712</v>
      </c>
      <c r="T27" s="203">
        <f t="shared" si="27"/>
        <v>232</v>
      </c>
      <c r="U27" s="203">
        <f t="shared" si="8"/>
        <v>4991.7419354838712</v>
      </c>
      <c r="V27" s="203">
        <f t="shared" si="28"/>
        <v>232</v>
      </c>
      <c r="W27" s="203">
        <f t="shared" si="9"/>
        <v>4991.7419354838712</v>
      </c>
      <c r="X27" s="35">
        <f t="shared" si="10"/>
        <v>0.74838709677419357</v>
      </c>
      <c r="Y27" s="36">
        <f t="shared" si="29"/>
        <v>54909.161290322583</v>
      </c>
      <c r="Z27" s="203">
        <f>'B5'!C26</f>
        <v>238</v>
      </c>
      <c r="AA27" s="203">
        <f t="shared" si="30"/>
        <v>2380</v>
      </c>
      <c r="AB27" s="203">
        <f t="shared" si="31"/>
        <v>238</v>
      </c>
      <c r="AC27" s="203">
        <f t="shared" si="30"/>
        <v>2380</v>
      </c>
      <c r="AD27" s="203">
        <f t="shared" si="32"/>
        <v>238</v>
      </c>
      <c r="AE27" s="203">
        <f t="shared" si="11"/>
        <v>2380</v>
      </c>
      <c r="AF27" s="203">
        <f t="shared" si="33"/>
        <v>238</v>
      </c>
      <c r="AG27" s="203">
        <f t="shared" si="12"/>
        <v>2380</v>
      </c>
      <c r="AH27" s="203">
        <f t="shared" si="34"/>
        <v>238</v>
      </c>
      <c r="AI27" s="203">
        <f t="shared" si="13"/>
        <v>2380</v>
      </c>
      <c r="AJ27" s="203">
        <f t="shared" si="35"/>
        <v>238</v>
      </c>
      <c r="AK27" s="203">
        <f t="shared" si="14"/>
        <v>2380</v>
      </c>
      <c r="AL27" s="203">
        <f t="shared" si="36"/>
        <v>238</v>
      </c>
      <c r="AM27" s="203">
        <f t="shared" si="15"/>
        <v>2380</v>
      </c>
      <c r="AN27" s="35">
        <f t="shared" si="16"/>
        <v>0.85</v>
      </c>
      <c r="AO27" s="36">
        <f t="shared" si="17"/>
        <v>16660</v>
      </c>
      <c r="AQ27" s="223">
        <f t="shared" si="37"/>
        <v>0.76980919963776029</v>
      </c>
      <c r="AR27" s="38">
        <f t="shared" si="41"/>
        <v>71569.161290322576</v>
      </c>
      <c r="AS27" s="197">
        <f t="shared" si="38"/>
        <v>0</v>
      </c>
      <c r="AT27" s="271"/>
      <c r="AU27" s="436"/>
      <c r="AV27" s="518">
        <f t="shared" si="42"/>
        <v>0.61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232</v>
      </c>
      <c r="C28" s="203">
        <f t="shared" si="18"/>
        <v>4991.7419354838712</v>
      </c>
      <c r="D28">
        <f t="shared" si="19"/>
        <v>232</v>
      </c>
      <c r="E28" s="203">
        <f t="shared" si="18"/>
        <v>4991.7419354838712</v>
      </c>
      <c r="F28">
        <f t="shared" si="20"/>
        <v>232</v>
      </c>
      <c r="G28" s="203">
        <f t="shared" si="1"/>
        <v>4991.7419354838712</v>
      </c>
      <c r="H28" s="203">
        <f t="shared" si="21"/>
        <v>232</v>
      </c>
      <c r="I28" s="203">
        <f t="shared" si="2"/>
        <v>4991.7419354838712</v>
      </c>
      <c r="J28" s="203">
        <f t="shared" si="22"/>
        <v>232</v>
      </c>
      <c r="K28" s="203">
        <f t="shared" si="3"/>
        <v>4991.7419354838712</v>
      </c>
      <c r="L28" s="203">
        <f t="shared" si="23"/>
        <v>232</v>
      </c>
      <c r="M28" s="203">
        <f t="shared" si="4"/>
        <v>4991.7419354838712</v>
      </c>
      <c r="N28" s="203">
        <f t="shared" si="24"/>
        <v>232</v>
      </c>
      <c r="O28" s="203">
        <f t="shared" si="5"/>
        <v>4991.7419354838712</v>
      </c>
      <c r="P28" s="203">
        <f t="shared" si="25"/>
        <v>232</v>
      </c>
      <c r="Q28" s="203">
        <f t="shared" si="6"/>
        <v>4991.7419354838712</v>
      </c>
      <c r="R28" s="203">
        <f t="shared" si="26"/>
        <v>232</v>
      </c>
      <c r="S28" s="203">
        <f t="shared" si="7"/>
        <v>4991.7419354838712</v>
      </c>
      <c r="T28" s="203">
        <f t="shared" si="27"/>
        <v>232</v>
      </c>
      <c r="U28" s="203">
        <f t="shared" si="8"/>
        <v>4991.7419354838712</v>
      </c>
      <c r="V28" s="203">
        <f t="shared" si="28"/>
        <v>232</v>
      </c>
      <c r="W28" s="203">
        <f t="shared" si="9"/>
        <v>4991.7419354838712</v>
      </c>
      <c r="X28" s="35">
        <f t="shared" si="10"/>
        <v>0.74838709677419357</v>
      </c>
      <c r="Y28" s="36">
        <f t="shared" si="29"/>
        <v>54909.161290322583</v>
      </c>
      <c r="Z28" s="203">
        <f>'B5'!C27</f>
        <v>238</v>
      </c>
      <c r="AA28" s="203">
        <f t="shared" si="30"/>
        <v>2380</v>
      </c>
      <c r="AB28" s="203">
        <f t="shared" si="31"/>
        <v>238</v>
      </c>
      <c r="AC28" s="203">
        <f t="shared" si="30"/>
        <v>2380</v>
      </c>
      <c r="AD28" s="203">
        <f t="shared" si="32"/>
        <v>238</v>
      </c>
      <c r="AE28" s="203">
        <f t="shared" si="11"/>
        <v>2380</v>
      </c>
      <c r="AF28" s="203">
        <f t="shared" si="33"/>
        <v>238</v>
      </c>
      <c r="AG28" s="203">
        <f t="shared" si="12"/>
        <v>2380</v>
      </c>
      <c r="AH28" s="203">
        <f t="shared" si="34"/>
        <v>238</v>
      </c>
      <c r="AI28" s="203">
        <f t="shared" si="13"/>
        <v>2380</v>
      </c>
      <c r="AJ28" s="203">
        <f t="shared" si="35"/>
        <v>238</v>
      </c>
      <c r="AK28" s="203">
        <f t="shared" si="14"/>
        <v>2380</v>
      </c>
      <c r="AL28" s="203">
        <f t="shared" si="36"/>
        <v>238</v>
      </c>
      <c r="AM28" s="203">
        <f t="shared" si="15"/>
        <v>2380</v>
      </c>
      <c r="AN28" s="35">
        <f t="shared" si="16"/>
        <v>0.85</v>
      </c>
      <c r="AO28" s="36">
        <f t="shared" si="17"/>
        <v>16660</v>
      </c>
      <c r="AQ28" s="223">
        <f t="shared" si="37"/>
        <v>0.76980919963776029</v>
      </c>
      <c r="AR28" s="38">
        <f t="shared" si="41"/>
        <v>71569.161290322576</v>
      </c>
      <c r="AS28" s="197">
        <f t="shared" si="38"/>
        <v>0</v>
      </c>
      <c r="AT28" s="355"/>
      <c r="AU28" s="436"/>
      <c r="AV28" s="518">
        <f t="shared" si="42"/>
        <v>0.61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232</v>
      </c>
      <c r="C29" s="203">
        <f t="shared" si="18"/>
        <v>4991.7419354838712</v>
      </c>
      <c r="D29">
        <f t="shared" si="19"/>
        <v>232</v>
      </c>
      <c r="E29" s="203">
        <f t="shared" si="18"/>
        <v>4991.7419354838712</v>
      </c>
      <c r="F29">
        <f t="shared" si="20"/>
        <v>232</v>
      </c>
      <c r="G29" s="203">
        <f t="shared" si="1"/>
        <v>4991.7419354838712</v>
      </c>
      <c r="H29" s="203">
        <f t="shared" si="21"/>
        <v>232</v>
      </c>
      <c r="I29" s="203">
        <f t="shared" si="2"/>
        <v>4991.7419354838712</v>
      </c>
      <c r="J29" s="203">
        <f t="shared" si="22"/>
        <v>232</v>
      </c>
      <c r="K29" s="203">
        <f t="shared" si="3"/>
        <v>4991.7419354838712</v>
      </c>
      <c r="L29" s="203">
        <f t="shared" si="23"/>
        <v>232</v>
      </c>
      <c r="M29" s="203">
        <f t="shared" si="4"/>
        <v>4991.7419354838712</v>
      </c>
      <c r="N29" s="203">
        <f t="shared" si="24"/>
        <v>232</v>
      </c>
      <c r="O29" s="203">
        <f t="shared" si="5"/>
        <v>4991.7419354838712</v>
      </c>
      <c r="P29" s="203">
        <f t="shared" si="25"/>
        <v>232</v>
      </c>
      <c r="Q29" s="203">
        <f t="shared" si="6"/>
        <v>4991.7419354838712</v>
      </c>
      <c r="R29" s="203">
        <f t="shared" si="26"/>
        <v>232</v>
      </c>
      <c r="S29" s="203">
        <f t="shared" si="7"/>
        <v>4991.7419354838712</v>
      </c>
      <c r="T29" s="203">
        <f t="shared" si="27"/>
        <v>232</v>
      </c>
      <c r="U29" s="203">
        <f t="shared" si="8"/>
        <v>4991.7419354838712</v>
      </c>
      <c r="V29" s="203">
        <f t="shared" si="28"/>
        <v>232</v>
      </c>
      <c r="W29" s="203">
        <f t="shared" si="9"/>
        <v>4991.7419354838712</v>
      </c>
      <c r="X29" s="35">
        <f t="shared" si="10"/>
        <v>0.74838709677419357</v>
      </c>
      <c r="Y29" s="36">
        <f t="shared" si="29"/>
        <v>54909.161290322583</v>
      </c>
      <c r="Z29" s="203">
        <f>'B5'!C28</f>
        <v>238</v>
      </c>
      <c r="AA29" s="203">
        <f t="shared" si="30"/>
        <v>2380</v>
      </c>
      <c r="AB29" s="203">
        <f t="shared" si="31"/>
        <v>238</v>
      </c>
      <c r="AC29" s="203">
        <f t="shared" si="30"/>
        <v>2380</v>
      </c>
      <c r="AD29" s="203">
        <f t="shared" si="32"/>
        <v>238</v>
      </c>
      <c r="AE29" s="203">
        <f t="shared" si="11"/>
        <v>2380</v>
      </c>
      <c r="AF29" s="203">
        <f t="shared" si="33"/>
        <v>238</v>
      </c>
      <c r="AG29" s="203">
        <f t="shared" si="12"/>
        <v>2380</v>
      </c>
      <c r="AH29" s="203">
        <f t="shared" si="34"/>
        <v>238</v>
      </c>
      <c r="AI29" s="203">
        <f t="shared" si="13"/>
        <v>2380</v>
      </c>
      <c r="AJ29" s="203">
        <f t="shared" si="35"/>
        <v>238</v>
      </c>
      <c r="AK29" s="203">
        <f t="shared" si="14"/>
        <v>2380</v>
      </c>
      <c r="AL29" s="203">
        <f t="shared" si="36"/>
        <v>238</v>
      </c>
      <c r="AM29" s="203">
        <f t="shared" si="15"/>
        <v>2380</v>
      </c>
      <c r="AN29" s="35">
        <f t="shared" si="16"/>
        <v>0.85</v>
      </c>
      <c r="AO29" s="36">
        <f t="shared" si="17"/>
        <v>16660</v>
      </c>
      <c r="AQ29" s="223">
        <f t="shared" si="37"/>
        <v>0.76980919963776029</v>
      </c>
      <c r="AR29" s="38">
        <f t="shared" si="41"/>
        <v>71569.161290322576</v>
      </c>
      <c r="AS29" s="197">
        <f t="shared" si="38"/>
        <v>0</v>
      </c>
      <c r="AT29" s="355"/>
      <c r="AU29" s="436"/>
      <c r="AV29" s="518">
        <f t="shared" si="42"/>
        <v>0.61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232</v>
      </c>
      <c r="C30" s="203">
        <f t="shared" si="18"/>
        <v>4991.7419354838712</v>
      </c>
      <c r="D30">
        <f t="shared" ref="D30:D33" si="44">SUM(B30)</f>
        <v>232</v>
      </c>
      <c r="E30" s="203">
        <f t="shared" si="18"/>
        <v>4991.7419354838712</v>
      </c>
      <c r="F30">
        <f t="shared" ref="F30:F33" si="45">SUM(D30)</f>
        <v>232</v>
      </c>
      <c r="G30" s="203">
        <f t="shared" si="1"/>
        <v>4991.7419354838712</v>
      </c>
      <c r="H30" s="203">
        <f t="shared" ref="H30:H33" si="46">SUM(F30)</f>
        <v>232</v>
      </c>
      <c r="I30" s="203">
        <f t="shared" si="2"/>
        <v>4991.7419354838712</v>
      </c>
      <c r="J30" s="203">
        <f t="shared" ref="J30:J33" si="47">SUM(H30)</f>
        <v>232</v>
      </c>
      <c r="K30" s="203">
        <f t="shared" si="3"/>
        <v>4991.7419354838712</v>
      </c>
      <c r="L30" s="203">
        <f t="shared" ref="L30:L33" si="48">SUM(J30)</f>
        <v>232</v>
      </c>
      <c r="M30" s="203">
        <f t="shared" si="4"/>
        <v>4991.7419354838712</v>
      </c>
      <c r="N30" s="203">
        <f t="shared" ref="N30:N33" si="49">SUM(L30)</f>
        <v>232</v>
      </c>
      <c r="O30" s="203">
        <f t="shared" si="5"/>
        <v>4991.7419354838712</v>
      </c>
      <c r="P30" s="203">
        <f t="shared" ref="P30:P33" si="50">SUM(N30)</f>
        <v>232</v>
      </c>
      <c r="Q30" s="203">
        <f t="shared" si="6"/>
        <v>4991.7419354838712</v>
      </c>
      <c r="R30" s="203">
        <f t="shared" ref="R30:R33" si="51">SUM(P30)</f>
        <v>232</v>
      </c>
      <c r="S30" s="203">
        <f t="shared" si="7"/>
        <v>4991.7419354838712</v>
      </c>
      <c r="T30" s="203">
        <f t="shared" ref="T30:T33" si="52">SUM(R30)</f>
        <v>232</v>
      </c>
      <c r="U30" s="203">
        <f t="shared" si="8"/>
        <v>4991.7419354838712</v>
      </c>
      <c r="V30" s="203">
        <f t="shared" ref="V30:V33" si="53">SUM(T30)</f>
        <v>232</v>
      </c>
      <c r="W30" s="203">
        <f t="shared" si="9"/>
        <v>4991.7419354838712</v>
      </c>
      <c r="X30" s="35">
        <f t="shared" ref="X30:X33" si="54">SUM(Y30/73370)</f>
        <v>0.74838709677419357</v>
      </c>
      <c r="Y30" s="36">
        <f t="shared" ref="Y30:Y33" si="55">SUM(C30+E30+G30+I30+K30+M30+O30+Q30+S30+U30+W30)</f>
        <v>54909.161290322583</v>
      </c>
      <c r="Z30" s="203">
        <f>'B5'!C29</f>
        <v>238</v>
      </c>
      <c r="AA30" s="203">
        <f t="shared" si="30"/>
        <v>2380</v>
      </c>
      <c r="AB30" s="203">
        <f t="shared" ref="AB30:AB33" si="56">SUM(Z30)</f>
        <v>238</v>
      </c>
      <c r="AC30" s="203">
        <f t="shared" si="30"/>
        <v>2380</v>
      </c>
      <c r="AD30" s="203">
        <f t="shared" ref="AD30:AD33" si="57">SUM(AB30)</f>
        <v>238</v>
      </c>
      <c r="AE30" s="203">
        <f t="shared" si="11"/>
        <v>2380</v>
      </c>
      <c r="AF30" s="203">
        <f t="shared" ref="AF30:AF33" si="58">SUM(AD30)</f>
        <v>238</v>
      </c>
      <c r="AG30" s="203">
        <f t="shared" si="12"/>
        <v>2380</v>
      </c>
      <c r="AH30" s="203">
        <f t="shared" ref="AH30:AH33" si="59">SUM(AF30)</f>
        <v>238</v>
      </c>
      <c r="AI30" s="203">
        <f t="shared" si="13"/>
        <v>2380</v>
      </c>
      <c r="AJ30" s="203">
        <f t="shared" ref="AJ30:AJ33" si="60">SUM(AH30)</f>
        <v>238</v>
      </c>
      <c r="AK30" s="203">
        <f t="shared" si="14"/>
        <v>2380</v>
      </c>
      <c r="AL30" s="203">
        <f t="shared" ref="AL30:AL33" si="61">SUM(AJ30)</f>
        <v>238</v>
      </c>
      <c r="AM30" s="203">
        <f t="shared" si="15"/>
        <v>2380</v>
      </c>
      <c r="AN30" s="35">
        <f t="shared" ref="AN30:AN33" si="62">SUM(AO30/19600)</f>
        <v>0.85</v>
      </c>
      <c r="AO30" s="36">
        <f t="shared" ref="AO30:AO33" si="63">SUM(AA30+AC30+AE30+AG30+AI30+AK30+AM30)</f>
        <v>16660</v>
      </c>
      <c r="AQ30" s="223">
        <f t="shared" si="37"/>
        <v>0.76980919963776029</v>
      </c>
      <c r="AR30" s="38">
        <f t="shared" si="41"/>
        <v>71569.161290322576</v>
      </c>
      <c r="AS30" s="197">
        <f t="shared" si="38"/>
        <v>0</v>
      </c>
      <c r="AT30" s="355"/>
      <c r="AU30" s="436"/>
      <c r="AV30" s="518">
        <f t="shared" si="42"/>
        <v>0.61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232</v>
      </c>
      <c r="C31" s="203">
        <f t="shared" si="18"/>
        <v>4991.7419354838712</v>
      </c>
      <c r="D31">
        <f t="shared" si="44"/>
        <v>232</v>
      </c>
      <c r="E31" s="203">
        <f t="shared" si="18"/>
        <v>4991.7419354838712</v>
      </c>
      <c r="F31">
        <f t="shared" si="45"/>
        <v>232</v>
      </c>
      <c r="G31" s="203">
        <f t="shared" si="1"/>
        <v>4991.7419354838712</v>
      </c>
      <c r="H31" s="203">
        <f t="shared" si="46"/>
        <v>232</v>
      </c>
      <c r="I31" s="203">
        <f t="shared" si="2"/>
        <v>4991.7419354838712</v>
      </c>
      <c r="J31" s="203">
        <f t="shared" si="47"/>
        <v>232</v>
      </c>
      <c r="K31" s="203">
        <f t="shared" si="3"/>
        <v>4991.7419354838712</v>
      </c>
      <c r="L31" s="203">
        <f t="shared" si="48"/>
        <v>232</v>
      </c>
      <c r="M31" s="203">
        <f t="shared" si="4"/>
        <v>4991.7419354838712</v>
      </c>
      <c r="N31" s="203">
        <f t="shared" si="49"/>
        <v>232</v>
      </c>
      <c r="O31" s="203">
        <f t="shared" si="5"/>
        <v>4991.7419354838712</v>
      </c>
      <c r="P31" s="203">
        <f t="shared" si="50"/>
        <v>232</v>
      </c>
      <c r="Q31" s="203">
        <f t="shared" si="6"/>
        <v>4991.7419354838712</v>
      </c>
      <c r="R31" s="203">
        <f t="shared" si="51"/>
        <v>232</v>
      </c>
      <c r="S31" s="203">
        <f t="shared" si="7"/>
        <v>4991.7419354838712</v>
      </c>
      <c r="T31" s="203">
        <f t="shared" si="52"/>
        <v>232</v>
      </c>
      <c r="U31" s="203">
        <f t="shared" si="8"/>
        <v>4991.7419354838712</v>
      </c>
      <c r="V31" s="203">
        <f t="shared" si="53"/>
        <v>232</v>
      </c>
      <c r="W31" s="203">
        <f t="shared" si="9"/>
        <v>4991.7419354838712</v>
      </c>
      <c r="X31" s="35">
        <f t="shared" si="54"/>
        <v>0.74838709677419357</v>
      </c>
      <c r="Y31" s="36">
        <f t="shared" si="55"/>
        <v>54909.161290322583</v>
      </c>
      <c r="Z31" s="203">
        <f>'B5'!C30</f>
        <v>238</v>
      </c>
      <c r="AA31" s="203">
        <f t="shared" si="30"/>
        <v>2380</v>
      </c>
      <c r="AB31" s="203">
        <f t="shared" si="56"/>
        <v>238</v>
      </c>
      <c r="AC31" s="203">
        <f t="shared" si="30"/>
        <v>2380</v>
      </c>
      <c r="AD31" s="203">
        <f t="shared" si="57"/>
        <v>238</v>
      </c>
      <c r="AE31" s="203">
        <f t="shared" si="11"/>
        <v>2380</v>
      </c>
      <c r="AF31" s="203">
        <f t="shared" si="58"/>
        <v>238</v>
      </c>
      <c r="AG31" s="203">
        <f t="shared" si="12"/>
        <v>2380</v>
      </c>
      <c r="AH31" s="203">
        <f t="shared" si="59"/>
        <v>238</v>
      </c>
      <c r="AI31" s="203">
        <f t="shared" si="13"/>
        <v>2380</v>
      </c>
      <c r="AJ31" s="203">
        <f t="shared" si="60"/>
        <v>238</v>
      </c>
      <c r="AK31" s="203">
        <f t="shared" si="14"/>
        <v>2380</v>
      </c>
      <c r="AL31" s="203">
        <f t="shared" si="61"/>
        <v>238</v>
      </c>
      <c r="AM31" s="203">
        <f t="shared" si="15"/>
        <v>2380</v>
      </c>
      <c r="AN31" s="35">
        <f t="shared" si="62"/>
        <v>0.85</v>
      </c>
      <c r="AO31" s="36">
        <f t="shared" si="63"/>
        <v>16660</v>
      </c>
      <c r="AQ31" s="223">
        <f t="shared" si="37"/>
        <v>0.76980919963776029</v>
      </c>
      <c r="AR31" s="38">
        <f t="shared" si="41"/>
        <v>71569.161290322576</v>
      </c>
      <c r="AS31" s="197">
        <f>SUM(AR31-AR30-AT31)</f>
        <v>0</v>
      </c>
      <c r="AT31" s="355"/>
      <c r="AU31" s="436"/>
      <c r="AV31" s="518">
        <f t="shared" si="42"/>
        <v>0.61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232</v>
      </c>
      <c r="C32" s="203">
        <f t="shared" si="18"/>
        <v>4991.7419354838712</v>
      </c>
      <c r="D32">
        <f t="shared" si="44"/>
        <v>232</v>
      </c>
      <c r="E32" s="203">
        <f t="shared" si="18"/>
        <v>4991.7419354838712</v>
      </c>
      <c r="F32">
        <f t="shared" si="45"/>
        <v>232</v>
      </c>
      <c r="G32" s="203">
        <f t="shared" si="1"/>
        <v>4991.7419354838712</v>
      </c>
      <c r="H32" s="203">
        <f t="shared" si="46"/>
        <v>232</v>
      </c>
      <c r="I32" s="203">
        <f t="shared" si="2"/>
        <v>4991.7419354838712</v>
      </c>
      <c r="J32" s="203">
        <f t="shared" si="47"/>
        <v>232</v>
      </c>
      <c r="K32" s="203">
        <f t="shared" si="3"/>
        <v>4991.7419354838712</v>
      </c>
      <c r="L32" s="203">
        <f t="shared" si="48"/>
        <v>232</v>
      </c>
      <c r="M32" s="203">
        <f t="shared" si="4"/>
        <v>4991.7419354838712</v>
      </c>
      <c r="N32" s="203">
        <f t="shared" si="49"/>
        <v>232</v>
      </c>
      <c r="O32" s="203">
        <f t="shared" si="5"/>
        <v>4991.7419354838712</v>
      </c>
      <c r="P32" s="203">
        <f t="shared" si="50"/>
        <v>232</v>
      </c>
      <c r="Q32" s="203">
        <f t="shared" si="6"/>
        <v>4991.7419354838712</v>
      </c>
      <c r="R32" s="203">
        <f t="shared" si="51"/>
        <v>232</v>
      </c>
      <c r="S32" s="203">
        <f t="shared" si="7"/>
        <v>4991.7419354838712</v>
      </c>
      <c r="T32" s="203">
        <f t="shared" si="52"/>
        <v>232</v>
      </c>
      <c r="U32" s="203">
        <f t="shared" si="8"/>
        <v>4991.7419354838712</v>
      </c>
      <c r="V32" s="203">
        <f t="shared" si="53"/>
        <v>232</v>
      </c>
      <c r="W32" s="203">
        <f t="shared" si="9"/>
        <v>4991.7419354838712</v>
      </c>
      <c r="X32" s="35">
        <f t="shared" si="54"/>
        <v>0.74838709677419357</v>
      </c>
      <c r="Y32" s="36">
        <f t="shared" si="55"/>
        <v>54909.161290322583</v>
      </c>
      <c r="Z32" s="203">
        <f>'B5'!C31</f>
        <v>238</v>
      </c>
      <c r="AA32" s="203">
        <f t="shared" si="30"/>
        <v>2380</v>
      </c>
      <c r="AB32" s="203">
        <f t="shared" si="56"/>
        <v>238</v>
      </c>
      <c r="AC32" s="203">
        <f t="shared" si="30"/>
        <v>2380</v>
      </c>
      <c r="AD32" s="203">
        <f t="shared" si="57"/>
        <v>238</v>
      </c>
      <c r="AE32" s="203">
        <f t="shared" si="11"/>
        <v>2380</v>
      </c>
      <c r="AF32" s="203">
        <f t="shared" si="58"/>
        <v>238</v>
      </c>
      <c r="AG32" s="203">
        <f t="shared" si="12"/>
        <v>2380</v>
      </c>
      <c r="AH32" s="203">
        <f t="shared" si="59"/>
        <v>238</v>
      </c>
      <c r="AI32" s="203">
        <f t="shared" si="13"/>
        <v>2380</v>
      </c>
      <c r="AJ32" s="203">
        <f t="shared" si="60"/>
        <v>238</v>
      </c>
      <c r="AK32" s="203">
        <f t="shared" si="14"/>
        <v>2380</v>
      </c>
      <c r="AL32" s="203">
        <f t="shared" si="61"/>
        <v>238</v>
      </c>
      <c r="AM32" s="203">
        <f t="shared" si="15"/>
        <v>2380</v>
      </c>
      <c r="AN32" s="35">
        <f t="shared" si="62"/>
        <v>0.85</v>
      </c>
      <c r="AO32" s="36">
        <f t="shared" si="63"/>
        <v>16660</v>
      </c>
      <c r="AQ32" s="223">
        <f t="shared" si="37"/>
        <v>0.76980919963776029</v>
      </c>
      <c r="AR32" s="38">
        <f t="shared" si="41"/>
        <v>71569.161290322576</v>
      </c>
      <c r="AS32" s="197">
        <f t="shared" si="38"/>
        <v>0</v>
      </c>
      <c r="AT32" s="355"/>
      <c r="AU32" s="436"/>
      <c r="AV32" s="518">
        <f>IF(AT32&gt;0,AU32,AV31)</f>
        <v>0.61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232</v>
      </c>
      <c r="C33" s="203">
        <f t="shared" si="18"/>
        <v>4991.7419354838712</v>
      </c>
      <c r="D33">
        <f t="shared" si="44"/>
        <v>232</v>
      </c>
      <c r="E33" s="203">
        <f t="shared" si="18"/>
        <v>4991.7419354838712</v>
      </c>
      <c r="F33">
        <f t="shared" si="45"/>
        <v>232</v>
      </c>
      <c r="G33" s="203">
        <f t="shared" si="1"/>
        <v>4991.7419354838712</v>
      </c>
      <c r="H33" s="203">
        <f t="shared" si="46"/>
        <v>232</v>
      </c>
      <c r="I33" s="203">
        <f t="shared" si="2"/>
        <v>4991.7419354838712</v>
      </c>
      <c r="J33" s="203">
        <f t="shared" si="47"/>
        <v>232</v>
      </c>
      <c r="K33" s="203">
        <f t="shared" si="3"/>
        <v>4991.7419354838712</v>
      </c>
      <c r="L33" s="203">
        <f t="shared" si="48"/>
        <v>232</v>
      </c>
      <c r="M33" s="203">
        <f t="shared" si="4"/>
        <v>4991.7419354838712</v>
      </c>
      <c r="N33" s="203">
        <f t="shared" si="49"/>
        <v>232</v>
      </c>
      <c r="O33" s="203">
        <f t="shared" si="5"/>
        <v>4991.7419354838712</v>
      </c>
      <c r="P33" s="203">
        <f t="shared" si="50"/>
        <v>232</v>
      </c>
      <c r="Q33" s="203">
        <f t="shared" si="6"/>
        <v>4991.7419354838712</v>
      </c>
      <c r="R33" s="203">
        <f t="shared" si="51"/>
        <v>232</v>
      </c>
      <c r="S33" s="203">
        <f t="shared" si="7"/>
        <v>4991.7419354838712</v>
      </c>
      <c r="T33" s="203">
        <f t="shared" si="52"/>
        <v>232</v>
      </c>
      <c r="U33" s="203">
        <f t="shared" si="8"/>
        <v>4991.7419354838712</v>
      </c>
      <c r="V33" s="203">
        <f t="shared" si="53"/>
        <v>232</v>
      </c>
      <c r="W33" s="203">
        <f t="shared" si="9"/>
        <v>4991.7419354838712</v>
      </c>
      <c r="X33" s="35">
        <f t="shared" si="54"/>
        <v>0.74838709677419357</v>
      </c>
      <c r="Y33" s="36">
        <f t="shared" si="55"/>
        <v>54909.161290322583</v>
      </c>
      <c r="Z33" s="203">
        <f>'B5'!C32</f>
        <v>238</v>
      </c>
      <c r="AA33" s="203">
        <f t="shared" si="30"/>
        <v>2380</v>
      </c>
      <c r="AB33" s="203">
        <f t="shared" si="56"/>
        <v>238</v>
      </c>
      <c r="AC33" s="203">
        <f t="shared" si="30"/>
        <v>2380</v>
      </c>
      <c r="AD33" s="203">
        <f t="shared" si="57"/>
        <v>238</v>
      </c>
      <c r="AE33" s="203">
        <f t="shared" si="11"/>
        <v>2380</v>
      </c>
      <c r="AF33" s="203">
        <f t="shared" si="58"/>
        <v>238</v>
      </c>
      <c r="AG33" s="203">
        <f t="shared" si="12"/>
        <v>2380</v>
      </c>
      <c r="AH33" s="203">
        <f t="shared" si="59"/>
        <v>238</v>
      </c>
      <c r="AI33" s="203">
        <f t="shared" si="13"/>
        <v>2380</v>
      </c>
      <c r="AJ33" s="203">
        <f t="shared" si="60"/>
        <v>238</v>
      </c>
      <c r="AK33" s="203">
        <f t="shared" si="14"/>
        <v>2380</v>
      </c>
      <c r="AL33" s="203">
        <f t="shared" si="61"/>
        <v>238</v>
      </c>
      <c r="AM33" s="203">
        <f t="shared" si="15"/>
        <v>2380</v>
      </c>
      <c r="AN33" s="35">
        <f t="shared" si="62"/>
        <v>0.85</v>
      </c>
      <c r="AO33" s="36">
        <f t="shared" si="63"/>
        <v>16660</v>
      </c>
      <c r="AQ33" s="223">
        <f t="shared" si="37"/>
        <v>0.76980919963776029</v>
      </c>
      <c r="AR33" s="38">
        <f t="shared" si="41"/>
        <v>71569.161290322576</v>
      </c>
      <c r="AS33" s="197">
        <f t="shared" si="38"/>
        <v>0</v>
      </c>
      <c r="AT33" s="355"/>
      <c r="AU33" s="436"/>
      <c r="AV33" s="518">
        <f>IF(AT33&gt;0,AU33,AV32)</f>
        <v>0.61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0</v>
      </c>
      <c r="AT34" s="203">
        <f>SUM(AT6:AT33)</f>
        <v>0</v>
      </c>
      <c r="AU34" t="e">
        <f>SUM(AU6:AU33)/AS34</f>
        <v>#DIV/0!</v>
      </c>
      <c r="AX34" s="203">
        <f>SUM(AX6:AX33)</f>
        <v>-3142.529032258084</v>
      </c>
      <c r="AY34" s="203">
        <f>SUM(AY6:AY33)</f>
        <v>-3610.1290322580899</v>
      </c>
    </row>
    <row r="35" spans="1:60">
      <c r="AS35" s="206"/>
      <c r="AT35" t="e">
        <f>+AT34*AU34</f>
        <v>#DIV/0!</v>
      </c>
    </row>
    <row r="37" spans="1:60">
      <c r="AS37" s="165" t="e">
        <f>SUM(AS6:AS33)/'EDl log'!A32</f>
        <v>#DIV/0!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5" priority="4" stopIfTrue="1" operator="greaterThan">
      <formula>0</formula>
    </cfRule>
  </conditionalFormatting>
  <conditionalFormatting sqref="AT6:AU33">
    <cfRule type="cellIs" dxfId="4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249</v>
      </c>
      <c r="H2" s="3">
        <f>WATER!L5</f>
        <v>0</v>
      </c>
      <c r="I2" s="15">
        <f>WATER!BC5+WATER!BD5+WATER!BE6-Sheet1!G2</f>
        <v>-175.39999999999998</v>
      </c>
      <c r="J2" s="9">
        <f>'B5'!A4</f>
        <v>44227</v>
      </c>
    </row>
    <row r="3" spans="1:10">
      <c r="A3" s="3">
        <f>ELEC!T4+ELEC!X2+ELEC!AB4</f>
        <v>0</v>
      </c>
      <c r="B3" s="3">
        <f>ELEC!AF4</f>
        <v>0</v>
      </c>
      <c r="C3" s="3">
        <f>ELEC!N4</f>
        <v>0</v>
      </c>
      <c r="D3" s="3">
        <f t="shared" ref="D3:D30" si="0">C3-E3</f>
        <v>0</v>
      </c>
      <c r="E3" s="3">
        <f>ELEC!Q4</f>
        <v>0</v>
      </c>
      <c r="F3" s="3">
        <f>GEN!Z3</f>
        <v>3</v>
      </c>
      <c r="G3" s="3">
        <f>WATER!C6+WATER!H6</f>
        <v>836</v>
      </c>
      <c r="H3" s="3">
        <f>WATER!L6</f>
        <v>0</v>
      </c>
      <c r="I3" s="15">
        <f>WATER!BC6+WATER!BD6+WATER!BE7-Sheet1!G3</f>
        <v>-755.3</v>
      </c>
      <c r="J3" s="9">
        <f>'B5'!A5</f>
        <v>44228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44229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44230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44231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44232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44233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44234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44235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44236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44237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44238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44239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44240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44241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44242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44243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44244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44245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-3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3</v>
      </c>
      <c r="I22" s="15">
        <f>WATER!BC25+WATER!BD25+WATER!BE26-Sheet1!G22</f>
        <v>0</v>
      </c>
      <c r="J22" s="9">
        <f>'B5'!A24</f>
        <v>44247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44248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44249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7"/>
      <c r="B1" s="634" t="s">
        <v>119</v>
      </c>
      <c r="C1" s="634" t="s">
        <v>118</v>
      </c>
      <c r="D1" s="639" t="s">
        <v>113</v>
      </c>
      <c r="E1" s="639" t="s">
        <v>114</v>
      </c>
      <c r="F1" s="640" t="s">
        <v>120</v>
      </c>
      <c r="G1" s="641" t="s">
        <v>75</v>
      </c>
      <c r="H1" s="642" t="s">
        <v>115</v>
      </c>
      <c r="I1" s="643" t="s">
        <v>116</v>
      </c>
      <c r="J1" s="642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38"/>
      <c r="B2" s="635"/>
      <c r="C2" s="635"/>
      <c r="D2" s="639"/>
      <c r="E2" s="639"/>
      <c r="F2" s="640"/>
      <c r="G2" s="641"/>
      <c r="H2" s="642"/>
      <c r="I2" s="644"/>
      <c r="J2" s="642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58.599999999999966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0</v>
      </c>
      <c r="C6" s="76">
        <f>'B5'!AH6</f>
        <v>0</v>
      </c>
      <c r="D6" s="76">
        <f>GEN!AI4</f>
        <v>0</v>
      </c>
      <c r="E6" s="242">
        <f t="shared" si="0"/>
        <v>0</v>
      </c>
      <c r="F6" s="75">
        <f>WATER!L6</f>
        <v>0</v>
      </c>
      <c r="G6" s="78">
        <f>WATER!BG6</f>
        <v>53.700000000000045</v>
      </c>
      <c r="H6" s="79">
        <f>ELEC!AF4</f>
        <v>0</v>
      </c>
      <c r="I6" s="79">
        <f>ELEC!Q4</f>
        <v>0</v>
      </c>
      <c r="J6" s="79">
        <f>ELEC!R4</f>
        <v>0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0</v>
      </c>
      <c r="C7" s="76">
        <f>'B5'!AH7</f>
        <v>0</v>
      </c>
      <c r="D7" s="76">
        <f>GEN!AI5</f>
        <v>0</v>
      </c>
      <c r="E7" s="242">
        <f t="shared" si="0"/>
        <v>0</v>
      </c>
      <c r="F7" s="75">
        <f>WATER!L7</f>
        <v>0</v>
      </c>
      <c r="G7" s="78">
        <f>WATER!BG7</f>
        <v>0</v>
      </c>
      <c r="H7" s="79">
        <f>ELEC!AF5</f>
        <v>0</v>
      </c>
      <c r="I7" s="79">
        <f>ELEC!Q5</f>
        <v>0</v>
      </c>
      <c r="J7" s="79">
        <f>ELEC!R5</f>
        <v>0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0</v>
      </c>
      <c r="C8" s="76">
        <f>'B5'!AH8</f>
        <v>0</v>
      </c>
      <c r="D8" s="76">
        <f>GEN!AI6</f>
        <v>0</v>
      </c>
      <c r="E8" s="242">
        <f t="shared" si="0"/>
        <v>0</v>
      </c>
      <c r="F8" s="75">
        <f>WATER!L8</f>
        <v>0</v>
      </c>
      <c r="G8" s="78">
        <f>WATER!BG8</f>
        <v>0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-3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3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5" t="s">
        <v>151</v>
      </c>
      <c r="U3" s="64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zoomScale="112" zoomScaleNormal="112" workbookViewId="0">
      <pane ySplit="1" topLeftCell="A2" activePane="bottomLeft" state="frozen"/>
      <selection pane="bottomLeft" activeCell="E3" sqref="E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f>[2]GEN!H33</f>
        <v>9617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f>[2]GEN!X33</f>
        <v>12141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.7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9617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12141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.75" thickBot="1">
      <c r="A4" s="4">
        <f>ELEC!C4</f>
        <v>44229</v>
      </c>
      <c r="B4" s="541">
        <f t="shared" ref="B4:B30" si="11">B3</f>
        <v>9541</v>
      </c>
      <c r="C4" s="287">
        <f t="shared" ref="C4:C30" si="12">B4-B3</f>
        <v>0</v>
      </c>
      <c r="D4" s="542">
        <f t="shared" ref="D4:D30" si="13">D3</f>
        <v>311569</v>
      </c>
      <c r="E4" s="287">
        <f t="shared" ref="E4:E30" si="14">SUM(D4-D3)</f>
        <v>0</v>
      </c>
      <c r="F4" s="287">
        <f t="shared" si="0"/>
        <v>0</v>
      </c>
      <c r="G4" s="196"/>
      <c r="H4" s="270">
        <f t="shared" ref="H4:H30" si="15">H3</f>
        <v>9617</v>
      </c>
      <c r="I4" s="287" t="str">
        <f t="shared" si="1"/>
        <v>ok</v>
      </c>
      <c r="J4" s="542">
        <f t="shared" ref="J4:L30" si="16">J3</f>
        <v>10698</v>
      </c>
      <c r="K4" s="287">
        <f t="shared" si="2"/>
        <v>0</v>
      </c>
      <c r="L4" s="542">
        <f t="shared" si="16"/>
        <v>357691</v>
      </c>
      <c r="M4" s="287">
        <f t="shared" si="3"/>
        <v>0</v>
      </c>
      <c r="N4" s="287">
        <f t="shared" ref="N4:N30" si="17">IF(K4&gt;0,M4/K4,0)</f>
        <v>0</v>
      </c>
      <c r="O4" s="196"/>
      <c r="P4" s="288">
        <f t="shared" ref="P4:P30" si="18">P3</f>
        <v>10873</v>
      </c>
      <c r="Q4" s="287" t="str">
        <f t="shared" si="4"/>
        <v>ok</v>
      </c>
      <c r="R4" s="542">
        <f t="shared" ref="R4:R30" si="19">R3</f>
        <v>11798</v>
      </c>
      <c r="S4" s="287">
        <f t="shared" si="5"/>
        <v>0</v>
      </c>
      <c r="T4" s="542">
        <f t="shared" ref="T4:T30" si="20">T3</f>
        <v>379229</v>
      </c>
      <c r="U4" s="287">
        <f t="shared" si="6"/>
        <v>0</v>
      </c>
      <c r="V4" s="287">
        <f t="shared" ref="V4:V30" si="21">IF(S4&gt;0,U4/S4,0)</f>
        <v>0</v>
      </c>
      <c r="W4" s="196"/>
      <c r="X4" s="288">
        <f t="shared" ref="X4:X30" si="22">X3</f>
        <v>12141</v>
      </c>
      <c r="Y4" s="287" t="str">
        <f t="shared" si="7"/>
        <v>ok</v>
      </c>
      <c r="Z4" s="287">
        <f t="shared" si="8"/>
        <v>0</v>
      </c>
      <c r="AA4" s="287">
        <f t="shared" ref="AA4:AA30" si="23">U4+M4+E4</f>
        <v>0</v>
      </c>
      <c r="AB4" s="287">
        <f t="shared" ref="AB4:AB30" si="24">V4+N4+F4</f>
        <v>0</v>
      </c>
      <c r="AC4" s="287">
        <f t="shared" ref="AC4:AC30" si="25">IF(Z4&gt;0,AA4/Z4,0)</f>
        <v>0</v>
      </c>
      <c r="AD4" s="73">
        <f>ELEC!Q4</f>
        <v>0</v>
      </c>
      <c r="AE4" s="73" t="e">
        <f>SUM(AD4/Z4)</f>
        <v>#DIV/0!</v>
      </c>
      <c r="AF4" s="403" t="e">
        <f>SUM(AE4/1600)</f>
        <v>#DIV/0!</v>
      </c>
      <c r="AG4" s="404" t="e">
        <f>SUM(360*AF4)</f>
        <v>#DIV/0!</v>
      </c>
      <c r="AH4" s="404" t="e">
        <f t="shared" ref="AH4:AH30" si="26">SUM(AC4-AG4)</f>
        <v>#DIV/0!</v>
      </c>
      <c r="AI4" s="73">
        <f>AD4*AJ4</f>
        <v>0</v>
      </c>
      <c r="AJ4" s="289">
        <f t="shared" si="9"/>
        <v>0.25738396624472576</v>
      </c>
      <c r="AK4" s="289" t="e">
        <f t="shared" si="10"/>
        <v>#DIV/0!</v>
      </c>
    </row>
    <row r="5" spans="1:37" ht="15.75" thickBot="1">
      <c r="A5" s="4">
        <f>ELEC!C5</f>
        <v>44230</v>
      </c>
      <c r="B5" s="541">
        <f t="shared" si="11"/>
        <v>9541</v>
      </c>
      <c r="C5" s="287">
        <f t="shared" si="12"/>
        <v>0</v>
      </c>
      <c r="D5" s="542">
        <f t="shared" si="13"/>
        <v>311569</v>
      </c>
      <c r="E5" s="287">
        <f t="shared" si="14"/>
        <v>0</v>
      </c>
      <c r="F5" s="287">
        <f t="shared" si="0"/>
        <v>0</v>
      </c>
      <c r="G5" s="285"/>
      <c r="H5" s="270">
        <f t="shared" si="15"/>
        <v>9617</v>
      </c>
      <c r="I5" s="287" t="str">
        <f t="shared" si="1"/>
        <v>ok</v>
      </c>
      <c r="J5" s="542">
        <f t="shared" si="16"/>
        <v>10698</v>
      </c>
      <c r="K5" s="287">
        <f t="shared" si="2"/>
        <v>0</v>
      </c>
      <c r="L5" s="542">
        <f t="shared" si="16"/>
        <v>357691</v>
      </c>
      <c r="M5" s="287">
        <f t="shared" si="3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4"/>
        <v>ok</v>
      </c>
      <c r="R5" s="542">
        <f t="shared" si="19"/>
        <v>11798</v>
      </c>
      <c r="S5" s="287">
        <f t="shared" si="5"/>
        <v>0</v>
      </c>
      <c r="T5" s="542">
        <f t="shared" si="20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2"/>
        <v>12141</v>
      </c>
      <c r="Y5" s="287" t="str">
        <f t="shared" si="7"/>
        <v>ok</v>
      </c>
      <c r="Z5" s="287">
        <f t="shared" si="8"/>
        <v>0</v>
      </c>
      <c r="AA5" s="287">
        <f t="shared" si="23"/>
        <v>0</v>
      </c>
      <c r="AB5" s="287">
        <f t="shared" si="24"/>
        <v>0</v>
      </c>
      <c r="AC5" s="287">
        <f t="shared" si="25"/>
        <v>0</v>
      </c>
      <c r="AD5" s="73">
        <f>ELEC!Q5</f>
        <v>0</v>
      </c>
      <c r="AE5" s="73" t="e">
        <f t="shared" ref="AE5:AE30" si="27">SUM(AD5/Z5)</f>
        <v>#DIV/0!</v>
      </c>
      <c r="AF5" s="403" t="e">
        <f t="shared" ref="AF5:AF30" si="28">SUM(AE5/1600)</f>
        <v>#DIV/0!</v>
      </c>
      <c r="AG5" s="404" t="e">
        <f t="shared" ref="AG5:AG30" si="29">SUM(320*AF5)</f>
        <v>#DIV/0!</v>
      </c>
      <c r="AH5" s="404" t="e">
        <f t="shared" si="26"/>
        <v>#DIV/0!</v>
      </c>
      <c r="AI5" s="73">
        <f t="shared" ref="AI5:AI30" si="30">AD5*AJ5</f>
        <v>0</v>
      </c>
      <c r="AJ5" s="289">
        <f t="shared" si="9"/>
        <v>0.25738396624472576</v>
      </c>
      <c r="AK5" s="289" t="e">
        <f t="shared" si="10"/>
        <v>#DIV/0!</v>
      </c>
    </row>
    <row r="6" spans="1:37" ht="15.75" thickBot="1">
      <c r="A6" s="4">
        <f>ELEC!C6</f>
        <v>44231</v>
      </c>
      <c r="B6" s="541">
        <f t="shared" si="11"/>
        <v>9541</v>
      </c>
      <c r="C6" s="287">
        <f t="shared" si="12"/>
        <v>0</v>
      </c>
      <c r="D6" s="542">
        <f t="shared" si="13"/>
        <v>311569</v>
      </c>
      <c r="E6" s="287">
        <f t="shared" si="14"/>
        <v>0</v>
      </c>
      <c r="F6" s="287">
        <f t="shared" si="0"/>
        <v>0</v>
      </c>
      <c r="G6" s="196"/>
      <c r="H6" s="270">
        <f t="shared" si="15"/>
        <v>9617</v>
      </c>
      <c r="I6" s="287" t="str">
        <f t="shared" si="1"/>
        <v>ok</v>
      </c>
      <c r="J6" s="542">
        <f t="shared" si="16"/>
        <v>10698</v>
      </c>
      <c r="K6" s="287">
        <f t="shared" si="2"/>
        <v>0</v>
      </c>
      <c r="L6" s="542">
        <f t="shared" si="16"/>
        <v>357691</v>
      </c>
      <c r="M6" s="287">
        <f t="shared" si="3"/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4"/>
        <v>ok</v>
      </c>
      <c r="R6" s="542">
        <f t="shared" si="19"/>
        <v>11798</v>
      </c>
      <c r="S6" s="287">
        <f t="shared" si="5"/>
        <v>0</v>
      </c>
      <c r="T6" s="542">
        <f t="shared" si="20"/>
        <v>379229</v>
      </c>
      <c r="U6" s="287">
        <f t="shared" si="6"/>
        <v>0</v>
      </c>
      <c r="V6" s="287">
        <f t="shared" si="21"/>
        <v>0</v>
      </c>
      <c r="W6" s="307"/>
      <c r="X6" s="288">
        <f t="shared" si="22"/>
        <v>12141</v>
      </c>
      <c r="Y6" s="287" t="str">
        <f t="shared" si="7"/>
        <v>ok</v>
      </c>
      <c r="Z6" s="287">
        <f t="shared" si="8"/>
        <v>0</v>
      </c>
      <c r="AA6" s="287">
        <f t="shared" si="23"/>
        <v>0</v>
      </c>
      <c r="AB6" s="287">
        <f t="shared" si="24"/>
        <v>0</v>
      </c>
      <c r="AC6" s="287">
        <f t="shared" si="25"/>
        <v>0</v>
      </c>
      <c r="AD6" s="73">
        <f>ELEC!Q6</f>
        <v>0</v>
      </c>
      <c r="AE6" s="73" t="e">
        <f>SUM(AD6/Z6)</f>
        <v>#DIV/0!</v>
      </c>
      <c r="AF6" s="403" t="e">
        <f t="shared" si="28"/>
        <v>#DIV/0!</v>
      </c>
      <c r="AG6" s="404" t="e">
        <f>SUM(320*AF6)</f>
        <v>#DIV/0!</v>
      </c>
      <c r="AH6" s="404" t="e">
        <f t="shared" si="26"/>
        <v>#DIV/0!</v>
      </c>
      <c r="AI6" s="73">
        <f t="shared" si="30"/>
        <v>0</v>
      </c>
      <c r="AJ6" s="289">
        <f t="shared" si="9"/>
        <v>0.25738396624472576</v>
      </c>
      <c r="AK6" s="289" t="e">
        <f t="shared" si="10"/>
        <v>#DIV/0!</v>
      </c>
    </row>
    <row r="7" spans="1:37" ht="15.75" thickBot="1">
      <c r="A7" s="4">
        <f>ELEC!C7</f>
        <v>44232</v>
      </c>
      <c r="B7" s="541">
        <f t="shared" si="11"/>
        <v>9541</v>
      </c>
      <c r="C7" s="287">
        <f t="shared" si="12"/>
        <v>0</v>
      </c>
      <c r="D7" s="542">
        <f t="shared" si="13"/>
        <v>311569</v>
      </c>
      <c r="E7" s="287">
        <f t="shared" si="14"/>
        <v>0</v>
      </c>
      <c r="F7" s="287">
        <f t="shared" si="0"/>
        <v>0</v>
      </c>
      <c r="G7" s="196"/>
      <c r="H7" s="270">
        <f t="shared" si="15"/>
        <v>9617</v>
      </c>
      <c r="I7" s="287" t="str">
        <f t="shared" si="1"/>
        <v>ok</v>
      </c>
      <c r="J7" s="542">
        <f t="shared" si="16"/>
        <v>10698</v>
      </c>
      <c r="K7" s="287">
        <f t="shared" si="2"/>
        <v>0</v>
      </c>
      <c r="L7" s="542">
        <f t="shared" si="16"/>
        <v>357691</v>
      </c>
      <c r="M7" s="287">
        <f t="shared" si="3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4"/>
        <v>ok</v>
      </c>
      <c r="R7" s="542">
        <f t="shared" si="19"/>
        <v>11798</v>
      </c>
      <c r="S7" s="287">
        <f t="shared" si="5"/>
        <v>0</v>
      </c>
      <c r="T7" s="542">
        <f t="shared" si="20"/>
        <v>379229</v>
      </c>
      <c r="U7" s="287">
        <f t="shared" si="6"/>
        <v>0</v>
      </c>
      <c r="V7" s="287">
        <f t="shared" si="21"/>
        <v>0</v>
      </c>
      <c r="W7" s="196"/>
      <c r="X7" s="288">
        <f t="shared" si="22"/>
        <v>12141</v>
      </c>
      <c r="Y7" s="287" t="str">
        <f t="shared" si="7"/>
        <v>ok</v>
      </c>
      <c r="Z7" s="287">
        <f t="shared" si="8"/>
        <v>0</v>
      </c>
      <c r="AA7" s="287">
        <f>U7+M7+E7</f>
        <v>0</v>
      </c>
      <c r="AB7" s="287">
        <f t="shared" si="24"/>
        <v>0</v>
      </c>
      <c r="AC7" s="287">
        <f t="shared" si="25"/>
        <v>0</v>
      </c>
      <c r="AD7" s="73">
        <f>ELEC!Q7</f>
        <v>0</v>
      </c>
      <c r="AE7" s="73" t="e">
        <f t="shared" si="27"/>
        <v>#DIV/0!</v>
      </c>
      <c r="AF7" s="403" t="e">
        <f t="shared" si="28"/>
        <v>#DIV/0!</v>
      </c>
      <c r="AG7" s="504" t="s">
        <v>403</v>
      </c>
      <c r="AH7" s="404" t="e">
        <f t="shared" si="26"/>
        <v>#VALUE!</v>
      </c>
      <c r="AI7" s="73">
        <f t="shared" si="30"/>
        <v>0</v>
      </c>
      <c r="AJ7" s="289">
        <f t="shared" si="9"/>
        <v>0.25738396624472576</v>
      </c>
      <c r="AK7" s="289" t="e">
        <f t="shared" si="10"/>
        <v>#DIV/0!</v>
      </c>
    </row>
    <row r="8" spans="1:37" ht="15.75" thickBot="1">
      <c r="A8" s="4">
        <f>ELEC!C8</f>
        <v>44233</v>
      </c>
      <c r="B8" s="541">
        <f t="shared" si="11"/>
        <v>9541</v>
      </c>
      <c r="C8" s="287">
        <f t="shared" si="12"/>
        <v>0</v>
      </c>
      <c r="D8" s="542">
        <f t="shared" si="13"/>
        <v>311569</v>
      </c>
      <c r="E8" s="287">
        <f t="shared" si="14"/>
        <v>0</v>
      </c>
      <c r="F8" s="287">
        <f t="shared" si="0"/>
        <v>0</v>
      </c>
      <c r="G8" s="196"/>
      <c r="H8" s="270">
        <f t="shared" si="15"/>
        <v>9617</v>
      </c>
      <c r="I8" s="287" t="str">
        <f t="shared" si="1"/>
        <v>ok</v>
      </c>
      <c r="J8" s="542">
        <f t="shared" si="16"/>
        <v>10698</v>
      </c>
      <c r="K8" s="287">
        <f t="shared" si="2"/>
        <v>0</v>
      </c>
      <c r="L8" s="542">
        <f t="shared" si="16"/>
        <v>357691</v>
      </c>
      <c r="M8" s="287">
        <f t="shared" si="3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4"/>
        <v>ok</v>
      </c>
      <c r="R8" s="542">
        <f t="shared" si="19"/>
        <v>11798</v>
      </c>
      <c r="S8" s="287">
        <f t="shared" si="5"/>
        <v>0</v>
      </c>
      <c r="T8" s="542">
        <f t="shared" si="20"/>
        <v>379229</v>
      </c>
      <c r="U8" s="287">
        <f t="shared" si="6"/>
        <v>0</v>
      </c>
      <c r="V8" s="287">
        <f t="shared" si="21"/>
        <v>0</v>
      </c>
      <c r="W8" s="196"/>
      <c r="X8" s="288">
        <f t="shared" si="22"/>
        <v>12141</v>
      </c>
      <c r="Y8" s="287" t="str">
        <f t="shared" si="7"/>
        <v>ok</v>
      </c>
      <c r="Z8" s="287">
        <f t="shared" si="8"/>
        <v>0</v>
      </c>
      <c r="AA8" s="287">
        <f t="shared" si="23"/>
        <v>0</v>
      </c>
      <c r="AB8" s="287">
        <f t="shared" si="24"/>
        <v>0</v>
      </c>
      <c r="AC8" s="287">
        <f t="shared" si="25"/>
        <v>0</v>
      </c>
      <c r="AD8" s="73">
        <f>ELEC!Q8</f>
        <v>0</v>
      </c>
      <c r="AE8" s="73" t="e">
        <f t="shared" si="27"/>
        <v>#DIV/0!</v>
      </c>
      <c r="AF8" s="403" t="e">
        <f t="shared" si="28"/>
        <v>#DIV/0!</v>
      </c>
      <c r="AG8" s="404" t="e">
        <f t="shared" si="29"/>
        <v>#DIV/0!</v>
      </c>
      <c r="AH8" s="404" t="e">
        <f t="shared" si="26"/>
        <v>#DIV/0!</v>
      </c>
      <c r="AI8" s="73">
        <f t="shared" si="30"/>
        <v>0</v>
      </c>
      <c r="AJ8" s="289">
        <f t="shared" si="9"/>
        <v>0.25738396624472576</v>
      </c>
      <c r="AK8" s="289" t="e">
        <f t="shared" si="10"/>
        <v>#DIV/0!</v>
      </c>
    </row>
    <row r="9" spans="1:37" ht="15.75" thickBot="1">
      <c r="A9" s="4">
        <f>ELEC!C9</f>
        <v>44234</v>
      </c>
      <c r="B9" s="541">
        <f t="shared" si="11"/>
        <v>9541</v>
      </c>
      <c r="C9" s="287">
        <f t="shared" si="12"/>
        <v>0</v>
      </c>
      <c r="D9" s="542">
        <f t="shared" si="13"/>
        <v>311569</v>
      </c>
      <c r="E9" s="287">
        <f t="shared" si="14"/>
        <v>0</v>
      </c>
      <c r="F9" s="287">
        <f t="shared" si="0"/>
        <v>0</v>
      </c>
      <c r="G9" s="196"/>
      <c r="H9" s="270">
        <f t="shared" si="15"/>
        <v>9617</v>
      </c>
      <c r="I9" s="287" t="str">
        <f t="shared" si="1"/>
        <v>ok</v>
      </c>
      <c r="J9" s="542">
        <f t="shared" si="16"/>
        <v>10698</v>
      </c>
      <c r="K9" s="287">
        <f t="shared" si="2"/>
        <v>0</v>
      </c>
      <c r="L9" s="542">
        <f t="shared" si="16"/>
        <v>357691</v>
      </c>
      <c r="M9" s="287">
        <f t="shared" si="3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4"/>
        <v>ok</v>
      </c>
      <c r="R9" s="542">
        <f t="shared" si="19"/>
        <v>11798</v>
      </c>
      <c r="S9" s="287">
        <f t="shared" si="5"/>
        <v>0</v>
      </c>
      <c r="T9" s="542">
        <f t="shared" si="20"/>
        <v>379229</v>
      </c>
      <c r="U9" s="287">
        <f t="shared" si="6"/>
        <v>0</v>
      </c>
      <c r="V9" s="287">
        <f t="shared" si="21"/>
        <v>0</v>
      </c>
      <c r="W9" s="196"/>
      <c r="X9" s="288">
        <f t="shared" si="22"/>
        <v>12141</v>
      </c>
      <c r="Y9" s="287" t="str">
        <f t="shared" si="7"/>
        <v>ok</v>
      </c>
      <c r="Z9" s="287">
        <f t="shared" si="8"/>
        <v>0</v>
      </c>
      <c r="AA9" s="287">
        <f t="shared" si="23"/>
        <v>0</v>
      </c>
      <c r="AB9" s="287">
        <f t="shared" si="24"/>
        <v>0</v>
      </c>
      <c r="AC9" s="287">
        <f t="shared" si="25"/>
        <v>0</v>
      </c>
      <c r="AD9" s="73">
        <f>ELEC!Q9</f>
        <v>0</v>
      </c>
      <c r="AE9" s="73" t="e">
        <f t="shared" si="27"/>
        <v>#DIV/0!</v>
      </c>
      <c r="AF9" s="403" t="e">
        <f t="shared" si="28"/>
        <v>#DIV/0!</v>
      </c>
      <c r="AG9" s="404" t="e">
        <f t="shared" si="29"/>
        <v>#DIV/0!</v>
      </c>
      <c r="AH9" s="404" t="e">
        <f t="shared" si="26"/>
        <v>#DIV/0!</v>
      </c>
      <c r="AI9" s="73">
        <f t="shared" si="30"/>
        <v>0</v>
      </c>
      <c r="AJ9" s="289">
        <v>0.25738396624472576</v>
      </c>
      <c r="AK9" s="289">
        <f t="shared" ref="AK9:AK16" si="31">IF(Z9&gt;0,AI9/Z9,0)</f>
        <v>0</v>
      </c>
    </row>
    <row r="10" spans="1:37" ht="15.75" thickBot="1">
      <c r="A10" s="4">
        <f>ELEC!C10</f>
        <v>44235</v>
      </c>
      <c r="B10" s="541">
        <f t="shared" si="11"/>
        <v>9541</v>
      </c>
      <c r="C10" s="287">
        <f t="shared" si="12"/>
        <v>0</v>
      </c>
      <c r="D10" s="542">
        <f t="shared" si="13"/>
        <v>311569</v>
      </c>
      <c r="E10" s="287">
        <f t="shared" si="14"/>
        <v>0</v>
      </c>
      <c r="F10" s="287">
        <f t="shared" si="0"/>
        <v>0</v>
      </c>
      <c r="G10" s="196"/>
      <c r="H10" s="270">
        <f t="shared" si="15"/>
        <v>9617</v>
      </c>
      <c r="I10" s="287" t="str">
        <f t="shared" si="1"/>
        <v>ok</v>
      </c>
      <c r="J10" s="542">
        <f t="shared" si="16"/>
        <v>10698</v>
      </c>
      <c r="K10" s="287">
        <f t="shared" si="2"/>
        <v>0</v>
      </c>
      <c r="L10" s="542">
        <f t="shared" si="16"/>
        <v>357691</v>
      </c>
      <c r="M10" s="287">
        <f t="shared" si="3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4"/>
        <v>ok</v>
      </c>
      <c r="R10" s="542">
        <f t="shared" si="19"/>
        <v>11798</v>
      </c>
      <c r="S10" s="287">
        <f t="shared" si="5"/>
        <v>0</v>
      </c>
      <c r="T10" s="542">
        <f t="shared" si="20"/>
        <v>379229</v>
      </c>
      <c r="U10" s="287">
        <f t="shared" ref="U10:U20" si="32">SUM(T10-T9)</f>
        <v>0</v>
      </c>
      <c r="V10" s="287">
        <f t="shared" ref="V10:V20" si="33">IF(S10&gt;0,U10/S10,0)</f>
        <v>0</v>
      </c>
      <c r="W10" s="338"/>
      <c r="X10" s="288">
        <f t="shared" si="22"/>
        <v>12141</v>
      </c>
      <c r="Y10" s="287" t="str">
        <f t="shared" ref="Y10:Y20" si="34">IF(R10-X10&lt;=0,"ok","oil change")</f>
        <v>ok</v>
      </c>
      <c r="Z10" s="287">
        <f t="shared" si="8"/>
        <v>0</v>
      </c>
      <c r="AA10" s="287">
        <f t="shared" si="23"/>
        <v>0</v>
      </c>
      <c r="AB10" s="287">
        <f t="shared" si="24"/>
        <v>0</v>
      </c>
      <c r="AC10" s="287">
        <f t="shared" si="25"/>
        <v>0</v>
      </c>
      <c r="AD10" s="73">
        <f>ELEC!Q10</f>
        <v>0</v>
      </c>
      <c r="AE10" s="73" t="e">
        <f t="shared" si="27"/>
        <v>#DIV/0!</v>
      </c>
      <c r="AF10" s="403" t="e">
        <f t="shared" si="28"/>
        <v>#DIV/0!</v>
      </c>
      <c r="AG10" s="404" t="e">
        <f t="shared" si="29"/>
        <v>#DIV/0!</v>
      </c>
      <c r="AH10" s="404" t="e">
        <f t="shared" si="26"/>
        <v>#DIV/0!</v>
      </c>
      <c r="AI10" s="73">
        <f t="shared" si="30"/>
        <v>0</v>
      </c>
      <c r="AJ10" s="289">
        <f t="shared" si="9"/>
        <v>0.25738396624472576</v>
      </c>
      <c r="AK10" s="289">
        <f t="shared" si="31"/>
        <v>0</v>
      </c>
    </row>
    <row r="11" spans="1:37" ht="15.75" thickBot="1">
      <c r="A11" s="4">
        <f>ELEC!C11</f>
        <v>44236</v>
      </c>
      <c r="B11" s="541">
        <f t="shared" si="11"/>
        <v>9541</v>
      </c>
      <c r="C11" s="287">
        <f t="shared" si="12"/>
        <v>0</v>
      </c>
      <c r="D11" s="542">
        <f t="shared" si="13"/>
        <v>311569</v>
      </c>
      <c r="E11" s="287">
        <f t="shared" si="14"/>
        <v>0</v>
      </c>
      <c r="F11" s="287">
        <f t="shared" si="0"/>
        <v>0</v>
      </c>
      <c r="G11" s="196"/>
      <c r="H11" s="270">
        <f t="shared" si="15"/>
        <v>9617</v>
      </c>
      <c r="I11" s="287" t="str">
        <f t="shared" si="1"/>
        <v>ok</v>
      </c>
      <c r="J11" s="542">
        <f t="shared" si="16"/>
        <v>10698</v>
      </c>
      <c r="K11" s="287">
        <f t="shared" si="2"/>
        <v>0</v>
      </c>
      <c r="L11" s="542">
        <f t="shared" si="16"/>
        <v>357691</v>
      </c>
      <c r="M11" s="287">
        <f t="shared" si="3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4"/>
        <v>ok</v>
      </c>
      <c r="R11" s="542">
        <f t="shared" si="19"/>
        <v>11798</v>
      </c>
      <c r="S11" s="287">
        <f t="shared" si="5"/>
        <v>0</v>
      </c>
      <c r="T11" s="542">
        <f t="shared" si="20"/>
        <v>379229</v>
      </c>
      <c r="U11" s="287">
        <f t="shared" si="32"/>
        <v>0</v>
      </c>
      <c r="V11" s="287">
        <f t="shared" si="33"/>
        <v>0</v>
      </c>
      <c r="W11" s="338"/>
      <c r="X11" s="288">
        <f t="shared" si="22"/>
        <v>12141</v>
      </c>
      <c r="Y11" s="287" t="str">
        <f t="shared" si="34"/>
        <v>ok</v>
      </c>
      <c r="Z11" s="287">
        <f t="shared" si="8"/>
        <v>0</v>
      </c>
      <c r="AA11" s="287">
        <f t="shared" si="23"/>
        <v>0</v>
      </c>
      <c r="AB11" s="287">
        <f t="shared" si="24"/>
        <v>0</v>
      </c>
      <c r="AC11" s="287">
        <f t="shared" si="25"/>
        <v>0</v>
      </c>
      <c r="AD11" s="73">
        <f>ELEC!Q11</f>
        <v>0</v>
      </c>
      <c r="AE11" s="73" t="e">
        <f t="shared" si="27"/>
        <v>#DIV/0!</v>
      </c>
      <c r="AF11" s="403" t="e">
        <f t="shared" si="28"/>
        <v>#DIV/0!</v>
      </c>
      <c r="AG11" s="404" t="e">
        <f t="shared" si="29"/>
        <v>#DIV/0!</v>
      </c>
      <c r="AH11" s="404" t="e">
        <f t="shared" si="26"/>
        <v>#DIV/0!</v>
      </c>
      <c r="AI11" s="73">
        <f t="shared" si="30"/>
        <v>0</v>
      </c>
      <c r="AJ11" s="289">
        <f t="shared" si="9"/>
        <v>0.25738396624472576</v>
      </c>
      <c r="AK11" s="289">
        <f t="shared" si="31"/>
        <v>0</v>
      </c>
    </row>
    <row r="12" spans="1:37" ht="15.75" thickBot="1">
      <c r="A12" s="4">
        <f>ELEC!C12</f>
        <v>44237</v>
      </c>
      <c r="B12" s="541">
        <f t="shared" si="11"/>
        <v>9541</v>
      </c>
      <c r="C12" s="287">
        <f t="shared" si="12"/>
        <v>0</v>
      </c>
      <c r="D12" s="542">
        <f t="shared" si="13"/>
        <v>311569</v>
      </c>
      <c r="E12" s="287">
        <f t="shared" si="14"/>
        <v>0</v>
      </c>
      <c r="F12" s="287">
        <f t="shared" si="0"/>
        <v>0</v>
      </c>
      <c r="G12" s="196"/>
      <c r="H12" s="270">
        <f t="shared" si="15"/>
        <v>9617</v>
      </c>
      <c r="I12" s="287" t="str">
        <f t="shared" si="1"/>
        <v>ok</v>
      </c>
      <c r="J12" s="542">
        <f t="shared" si="16"/>
        <v>10698</v>
      </c>
      <c r="K12" s="287">
        <f t="shared" si="2"/>
        <v>0</v>
      </c>
      <c r="L12" s="542">
        <f t="shared" si="16"/>
        <v>357691</v>
      </c>
      <c r="M12" s="287">
        <f t="shared" si="3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4"/>
        <v>ok</v>
      </c>
      <c r="R12" s="542">
        <f t="shared" si="19"/>
        <v>11798</v>
      </c>
      <c r="S12" s="287">
        <f t="shared" si="5"/>
        <v>0</v>
      </c>
      <c r="T12" s="542">
        <f t="shared" si="20"/>
        <v>379229</v>
      </c>
      <c r="U12" s="287">
        <f t="shared" si="32"/>
        <v>0</v>
      </c>
      <c r="V12" s="287">
        <f t="shared" si="33"/>
        <v>0</v>
      </c>
      <c r="W12" s="338"/>
      <c r="X12" s="288">
        <f t="shared" si="22"/>
        <v>12141</v>
      </c>
      <c r="Y12" s="287" t="str">
        <f t="shared" si="34"/>
        <v>ok</v>
      </c>
      <c r="Z12" s="287">
        <f t="shared" si="8"/>
        <v>0</v>
      </c>
      <c r="AA12" s="287">
        <f t="shared" si="23"/>
        <v>0</v>
      </c>
      <c r="AB12" s="287">
        <f t="shared" si="24"/>
        <v>0</v>
      </c>
      <c r="AC12" s="287">
        <f t="shared" si="25"/>
        <v>0</v>
      </c>
      <c r="AD12" s="73">
        <f>ELEC!Q12</f>
        <v>0</v>
      </c>
      <c r="AE12" s="73" t="e">
        <f t="shared" si="27"/>
        <v>#DIV/0!</v>
      </c>
      <c r="AF12" s="403" t="e">
        <f t="shared" si="28"/>
        <v>#DIV/0!</v>
      </c>
      <c r="AG12" s="404" t="e">
        <f t="shared" si="29"/>
        <v>#DIV/0!</v>
      </c>
      <c r="AH12" s="404" t="e">
        <f t="shared" si="26"/>
        <v>#DIV/0!</v>
      </c>
      <c r="AI12" s="73">
        <f t="shared" si="30"/>
        <v>0</v>
      </c>
      <c r="AJ12" s="289">
        <f t="shared" si="9"/>
        <v>0.25738396624472576</v>
      </c>
      <c r="AK12" s="289">
        <f t="shared" si="31"/>
        <v>0</v>
      </c>
    </row>
    <row r="13" spans="1:37" ht="15.75" thickBot="1">
      <c r="A13" s="4">
        <f>ELEC!C13</f>
        <v>44238</v>
      </c>
      <c r="B13" s="541">
        <f t="shared" si="11"/>
        <v>9541</v>
      </c>
      <c r="C13" s="287">
        <f t="shared" si="12"/>
        <v>0</v>
      </c>
      <c r="D13" s="542">
        <f t="shared" si="13"/>
        <v>311569</v>
      </c>
      <c r="E13" s="287">
        <f t="shared" si="14"/>
        <v>0</v>
      </c>
      <c r="F13" s="287">
        <f t="shared" si="0"/>
        <v>0</v>
      </c>
      <c r="G13" s="196"/>
      <c r="H13" s="270">
        <f t="shared" si="15"/>
        <v>9617</v>
      </c>
      <c r="I13" s="287" t="str">
        <f t="shared" si="1"/>
        <v>ok</v>
      </c>
      <c r="J13" s="542">
        <f t="shared" si="16"/>
        <v>10698</v>
      </c>
      <c r="K13" s="287">
        <f t="shared" si="2"/>
        <v>0</v>
      </c>
      <c r="L13" s="542">
        <f t="shared" si="16"/>
        <v>357691</v>
      </c>
      <c r="M13" s="287">
        <f t="shared" si="3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4"/>
        <v>ok</v>
      </c>
      <c r="R13" s="542">
        <f t="shared" si="19"/>
        <v>11798</v>
      </c>
      <c r="S13" s="287">
        <f t="shared" si="5"/>
        <v>0</v>
      </c>
      <c r="T13" s="542">
        <f t="shared" si="20"/>
        <v>379229</v>
      </c>
      <c r="U13" s="287">
        <f t="shared" si="32"/>
        <v>0</v>
      </c>
      <c r="V13" s="287">
        <f t="shared" si="33"/>
        <v>0</v>
      </c>
      <c r="W13" s="338"/>
      <c r="X13" s="288">
        <f t="shared" si="22"/>
        <v>12141</v>
      </c>
      <c r="Y13" s="287" t="str">
        <f t="shared" si="34"/>
        <v>ok</v>
      </c>
      <c r="Z13" s="287">
        <f t="shared" si="8"/>
        <v>0</v>
      </c>
      <c r="AA13" s="287">
        <f t="shared" si="23"/>
        <v>0</v>
      </c>
      <c r="AB13" s="287">
        <f t="shared" si="24"/>
        <v>0</v>
      </c>
      <c r="AC13" s="287">
        <f t="shared" si="25"/>
        <v>0</v>
      </c>
      <c r="AD13" s="73">
        <f>ELEC!Q13</f>
        <v>0</v>
      </c>
      <c r="AE13" s="73" t="e">
        <f t="shared" si="27"/>
        <v>#DIV/0!</v>
      </c>
      <c r="AF13" s="403" t="e">
        <f t="shared" si="28"/>
        <v>#DIV/0!</v>
      </c>
      <c r="AG13" s="404" t="e">
        <f t="shared" si="29"/>
        <v>#DIV/0!</v>
      </c>
      <c r="AH13" s="404" t="e">
        <f t="shared" si="26"/>
        <v>#DIV/0!</v>
      </c>
      <c r="AI13" s="73">
        <f t="shared" si="30"/>
        <v>0</v>
      </c>
      <c r="AJ13" s="289">
        <f t="shared" si="9"/>
        <v>0.25738396624472576</v>
      </c>
      <c r="AK13" s="289">
        <f t="shared" si="31"/>
        <v>0</v>
      </c>
    </row>
    <row r="14" spans="1:37" ht="15.75" thickBot="1">
      <c r="A14" s="4">
        <f>ELEC!C14</f>
        <v>44239</v>
      </c>
      <c r="B14" s="541">
        <f t="shared" si="11"/>
        <v>9541</v>
      </c>
      <c r="C14" s="287">
        <f t="shared" si="12"/>
        <v>0</v>
      </c>
      <c r="D14" s="542">
        <f t="shared" si="13"/>
        <v>311569</v>
      </c>
      <c r="E14" s="287">
        <f t="shared" si="14"/>
        <v>0</v>
      </c>
      <c r="F14" s="287">
        <f t="shared" si="0"/>
        <v>0</v>
      </c>
      <c r="G14" s="196"/>
      <c r="H14" s="270">
        <f t="shared" si="15"/>
        <v>9617</v>
      </c>
      <c r="I14" s="287" t="str">
        <f t="shared" si="1"/>
        <v>ok</v>
      </c>
      <c r="J14" s="542">
        <f t="shared" si="16"/>
        <v>10698</v>
      </c>
      <c r="K14" s="287">
        <f t="shared" si="2"/>
        <v>0</v>
      </c>
      <c r="L14" s="542">
        <f t="shared" si="16"/>
        <v>357691</v>
      </c>
      <c r="M14" s="287">
        <f t="shared" si="3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4"/>
        <v>ok</v>
      </c>
      <c r="R14" s="542">
        <f t="shared" si="19"/>
        <v>11798</v>
      </c>
      <c r="S14" s="287">
        <f t="shared" si="5"/>
        <v>0</v>
      </c>
      <c r="T14" s="542">
        <f t="shared" si="20"/>
        <v>379229</v>
      </c>
      <c r="U14" s="287">
        <f t="shared" si="32"/>
        <v>0</v>
      </c>
      <c r="V14" s="287">
        <f t="shared" si="33"/>
        <v>0</v>
      </c>
      <c r="W14" s="338"/>
      <c r="X14" s="288">
        <f t="shared" si="22"/>
        <v>12141</v>
      </c>
      <c r="Y14" s="287" t="str">
        <f t="shared" si="34"/>
        <v>ok</v>
      </c>
      <c r="Z14" s="287">
        <f t="shared" si="8"/>
        <v>0</v>
      </c>
      <c r="AA14" s="287">
        <f t="shared" si="23"/>
        <v>0</v>
      </c>
      <c r="AB14" s="287">
        <f t="shared" si="24"/>
        <v>0</v>
      </c>
      <c r="AC14" s="287">
        <f t="shared" si="25"/>
        <v>0</v>
      </c>
      <c r="AD14" s="73">
        <f>ELEC!Q14</f>
        <v>0</v>
      </c>
      <c r="AE14" s="73" t="e">
        <f t="shared" si="27"/>
        <v>#DIV/0!</v>
      </c>
      <c r="AF14" s="403" t="e">
        <f t="shared" si="28"/>
        <v>#DIV/0!</v>
      </c>
      <c r="AG14" s="404" t="e">
        <f t="shared" si="29"/>
        <v>#DIV/0!</v>
      </c>
      <c r="AH14" s="404" t="e">
        <f t="shared" si="26"/>
        <v>#DIV/0!</v>
      </c>
      <c r="AI14" s="73">
        <f t="shared" si="30"/>
        <v>0</v>
      </c>
      <c r="AJ14" s="289">
        <f t="shared" si="9"/>
        <v>0.25738396624472576</v>
      </c>
      <c r="AK14" s="289">
        <f t="shared" si="31"/>
        <v>0</v>
      </c>
    </row>
    <row r="15" spans="1:37" ht="15.75" thickBot="1">
      <c r="A15" s="4">
        <f>ELEC!C15</f>
        <v>44240</v>
      </c>
      <c r="B15" s="541">
        <f t="shared" si="11"/>
        <v>9541</v>
      </c>
      <c r="C15" s="287">
        <f t="shared" si="12"/>
        <v>0</v>
      </c>
      <c r="D15" s="542">
        <f t="shared" si="13"/>
        <v>311569</v>
      </c>
      <c r="E15" s="287">
        <f t="shared" si="14"/>
        <v>0</v>
      </c>
      <c r="F15" s="287">
        <f t="shared" si="0"/>
        <v>0</v>
      </c>
      <c r="G15" s="196"/>
      <c r="H15" s="270">
        <f t="shared" si="15"/>
        <v>9617</v>
      </c>
      <c r="I15" s="287" t="str">
        <f t="shared" si="1"/>
        <v>ok</v>
      </c>
      <c r="J15" s="542">
        <f t="shared" si="16"/>
        <v>10698</v>
      </c>
      <c r="K15" s="287">
        <f t="shared" si="2"/>
        <v>0</v>
      </c>
      <c r="L15" s="542">
        <f t="shared" si="16"/>
        <v>357691</v>
      </c>
      <c r="M15" s="287">
        <f t="shared" si="3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4"/>
        <v>ok</v>
      </c>
      <c r="R15" s="542">
        <f t="shared" si="19"/>
        <v>11798</v>
      </c>
      <c r="S15" s="287">
        <f t="shared" si="5"/>
        <v>0</v>
      </c>
      <c r="T15" s="542">
        <f t="shared" si="20"/>
        <v>379229</v>
      </c>
      <c r="U15" s="287">
        <f t="shared" si="32"/>
        <v>0</v>
      </c>
      <c r="V15" s="287">
        <f t="shared" si="33"/>
        <v>0</v>
      </c>
      <c r="W15" s="338"/>
      <c r="X15" s="288">
        <f t="shared" si="22"/>
        <v>12141</v>
      </c>
      <c r="Y15" s="287" t="str">
        <f t="shared" si="34"/>
        <v>ok</v>
      </c>
      <c r="Z15" s="287">
        <f t="shared" si="8"/>
        <v>0</v>
      </c>
      <c r="AA15" s="287">
        <f t="shared" si="23"/>
        <v>0</v>
      </c>
      <c r="AB15" s="287">
        <f t="shared" si="24"/>
        <v>0</v>
      </c>
      <c r="AC15" s="287">
        <f t="shared" si="25"/>
        <v>0</v>
      </c>
      <c r="AD15" s="73">
        <f>ELEC!Q15</f>
        <v>0</v>
      </c>
      <c r="AE15" s="73" t="e">
        <f t="shared" si="27"/>
        <v>#DIV/0!</v>
      </c>
      <c r="AF15" s="403" t="e">
        <f t="shared" si="28"/>
        <v>#DIV/0!</v>
      </c>
      <c r="AG15" s="404" t="e">
        <f t="shared" si="29"/>
        <v>#DIV/0!</v>
      </c>
      <c r="AH15" s="404" t="e">
        <f t="shared" si="26"/>
        <v>#DIV/0!</v>
      </c>
      <c r="AI15" s="73">
        <f t="shared" si="30"/>
        <v>0</v>
      </c>
      <c r="AJ15" s="289">
        <f t="shared" si="9"/>
        <v>0.25738396624472576</v>
      </c>
      <c r="AK15" s="289">
        <f t="shared" si="31"/>
        <v>0</v>
      </c>
    </row>
    <row r="16" spans="1:37" ht="15.75" thickBot="1">
      <c r="A16" s="4">
        <f>ELEC!C16</f>
        <v>44241</v>
      </c>
      <c r="B16" s="541">
        <f t="shared" si="11"/>
        <v>9541</v>
      </c>
      <c r="C16" s="287">
        <f t="shared" si="12"/>
        <v>0</v>
      </c>
      <c r="D16" s="542">
        <f t="shared" si="13"/>
        <v>311569</v>
      </c>
      <c r="E16" s="287">
        <f t="shared" si="14"/>
        <v>0</v>
      </c>
      <c r="F16" s="287">
        <f t="shared" si="0"/>
        <v>0</v>
      </c>
      <c r="G16" s="196"/>
      <c r="H16" s="270">
        <f t="shared" si="15"/>
        <v>9617</v>
      </c>
      <c r="I16" s="287" t="str">
        <f t="shared" si="1"/>
        <v>ok</v>
      </c>
      <c r="J16" s="542">
        <f t="shared" si="16"/>
        <v>10698</v>
      </c>
      <c r="K16" s="287">
        <f t="shared" si="2"/>
        <v>0</v>
      </c>
      <c r="L16" s="542">
        <f t="shared" si="16"/>
        <v>357691</v>
      </c>
      <c r="M16" s="287">
        <f t="shared" si="3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4"/>
        <v>ok</v>
      </c>
      <c r="R16" s="542">
        <f t="shared" si="19"/>
        <v>11798</v>
      </c>
      <c r="S16" s="287">
        <f t="shared" si="5"/>
        <v>0</v>
      </c>
      <c r="T16" s="542">
        <f t="shared" si="20"/>
        <v>379229</v>
      </c>
      <c r="U16" s="287">
        <f t="shared" si="32"/>
        <v>0</v>
      </c>
      <c r="V16" s="287">
        <f t="shared" si="33"/>
        <v>0</v>
      </c>
      <c r="W16" s="338"/>
      <c r="X16" s="288">
        <f t="shared" si="22"/>
        <v>12141</v>
      </c>
      <c r="Y16" s="287" t="str">
        <f t="shared" si="34"/>
        <v>ok</v>
      </c>
      <c r="Z16" s="287">
        <f t="shared" si="8"/>
        <v>0</v>
      </c>
      <c r="AA16" s="287">
        <f t="shared" si="23"/>
        <v>0</v>
      </c>
      <c r="AB16" s="287">
        <f t="shared" si="24"/>
        <v>0</v>
      </c>
      <c r="AC16" s="287">
        <f t="shared" si="25"/>
        <v>0</v>
      </c>
      <c r="AD16" s="73">
        <f>ELEC!Q16</f>
        <v>0</v>
      </c>
      <c r="AE16" s="73" t="e">
        <f t="shared" si="27"/>
        <v>#DIV/0!</v>
      </c>
      <c r="AF16" s="403" t="e">
        <f t="shared" si="28"/>
        <v>#DIV/0!</v>
      </c>
      <c r="AG16" s="404" t="e">
        <f t="shared" si="29"/>
        <v>#DIV/0!</v>
      </c>
      <c r="AH16" s="404" t="e">
        <f t="shared" si="26"/>
        <v>#DIV/0!</v>
      </c>
      <c r="AI16" s="73">
        <f t="shared" si="30"/>
        <v>0</v>
      </c>
      <c r="AJ16" s="289">
        <f t="shared" si="9"/>
        <v>0.25738396624472576</v>
      </c>
      <c r="AK16" s="289">
        <f t="shared" si="31"/>
        <v>0</v>
      </c>
    </row>
    <row r="17" spans="1:37" ht="15.75" thickBot="1">
      <c r="A17" s="4">
        <f>ELEC!C17</f>
        <v>44242</v>
      </c>
      <c r="B17" s="541">
        <f t="shared" si="11"/>
        <v>9541</v>
      </c>
      <c r="C17" s="287">
        <f t="shared" si="12"/>
        <v>0</v>
      </c>
      <c r="D17" s="542">
        <f t="shared" si="13"/>
        <v>311569</v>
      </c>
      <c r="E17" s="287">
        <f t="shared" si="14"/>
        <v>0</v>
      </c>
      <c r="F17" s="287">
        <f t="shared" si="0"/>
        <v>0</v>
      </c>
      <c r="G17" s="196"/>
      <c r="H17" s="270">
        <f t="shared" si="15"/>
        <v>9617</v>
      </c>
      <c r="I17" s="287" t="str">
        <f t="shared" si="1"/>
        <v>ok</v>
      </c>
      <c r="J17" s="542">
        <f t="shared" si="16"/>
        <v>10698</v>
      </c>
      <c r="K17" s="287">
        <f t="shared" si="2"/>
        <v>0</v>
      </c>
      <c r="L17" s="542">
        <f t="shared" si="16"/>
        <v>357691</v>
      </c>
      <c r="M17" s="287">
        <f t="shared" si="3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4"/>
        <v>ok</v>
      </c>
      <c r="R17" s="542">
        <f t="shared" si="19"/>
        <v>11798</v>
      </c>
      <c r="S17" s="287">
        <f t="shared" si="5"/>
        <v>0</v>
      </c>
      <c r="T17" s="542">
        <f t="shared" si="20"/>
        <v>379229</v>
      </c>
      <c r="U17" s="287">
        <f t="shared" si="32"/>
        <v>0</v>
      </c>
      <c r="V17" s="287">
        <f t="shared" si="33"/>
        <v>0</v>
      </c>
      <c r="W17" s="338"/>
      <c r="X17" s="288">
        <f t="shared" si="22"/>
        <v>12141</v>
      </c>
      <c r="Y17" s="287" t="str">
        <f t="shared" si="34"/>
        <v>ok</v>
      </c>
      <c r="Z17" s="287">
        <f t="shared" si="8"/>
        <v>0</v>
      </c>
      <c r="AA17" s="287">
        <f t="shared" si="23"/>
        <v>0</v>
      </c>
      <c r="AB17" s="287">
        <f t="shared" si="24"/>
        <v>0</v>
      </c>
      <c r="AC17" s="287">
        <f t="shared" si="25"/>
        <v>0</v>
      </c>
      <c r="AD17" s="73">
        <f>ELEC!Q17</f>
        <v>0</v>
      </c>
      <c r="AE17" s="73" t="e">
        <f t="shared" si="27"/>
        <v>#DIV/0!</v>
      </c>
      <c r="AF17" s="403" t="e">
        <f t="shared" si="28"/>
        <v>#DIV/0!</v>
      </c>
      <c r="AG17" s="404" t="e">
        <f t="shared" si="29"/>
        <v>#DIV/0!</v>
      </c>
      <c r="AH17" s="404" t="e">
        <f t="shared" si="26"/>
        <v>#DIV/0!</v>
      </c>
      <c r="AI17" s="73">
        <f t="shared" si="30"/>
        <v>0</v>
      </c>
      <c r="AJ17" s="289">
        <f t="shared" si="9"/>
        <v>0.25738396624472576</v>
      </c>
      <c r="AK17" s="289">
        <f t="shared" ref="AK17:AK30" si="35">IF(Z17&gt;0,AI17/Z17,0)</f>
        <v>0</v>
      </c>
    </row>
    <row r="18" spans="1:37" ht="15.75" thickBot="1">
      <c r="A18" s="4">
        <f>ELEC!C18</f>
        <v>44243</v>
      </c>
      <c r="B18" s="541">
        <f t="shared" si="11"/>
        <v>9541</v>
      </c>
      <c r="C18" s="287">
        <f t="shared" si="12"/>
        <v>0</v>
      </c>
      <c r="D18" s="542">
        <f t="shared" si="13"/>
        <v>311569</v>
      </c>
      <c r="E18" s="287">
        <f t="shared" si="14"/>
        <v>0</v>
      </c>
      <c r="F18" s="287">
        <f t="shared" si="0"/>
        <v>0</v>
      </c>
      <c r="G18" s="196"/>
      <c r="H18" s="270">
        <f t="shared" si="15"/>
        <v>9617</v>
      </c>
      <c r="I18" s="287" t="str">
        <f t="shared" si="1"/>
        <v>ok</v>
      </c>
      <c r="J18" s="542">
        <f t="shared" si="16"/>
        <v>10698</v>
      </c>
      <c r="K18" s="287">
        <f t="shared" si="2"/>
        <v>0</v>
      </c>
      <c r="L18" s="542">
        <f t="shared" si="16"/>
        <v>357691</v>
      </c>
      <c r="M18" s="287">
        <f t="shared" si="3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2">
        <f t="shared" si="19"/>
        <v>11798</v>
      </c>
      <c r="S18" s="287">
        <f t="shared" si="5"/>
        <v>0</v>
      </c>
      <c r="T18" s="542">
        <f t="shared" si="20"/>
        <v>379229</v>
      </c>
      <c r="U18" s="287">
        <f t="shared" si="32"/>
        <v>0</v>
      </c>
      <c r="V18" s="287">
        <f t="shared" si="33"/>
        <v>0</v>
      </c>
      <c r="W18" s="338"/>
      <c r="X18" s="288">
        <f t="shared" si="22"/>
        <v>12141</v>
      </c>
      <c r="Y18" s="287" t="str">
        <f t="shared" si="34"/>
        <v>ok</v>
      </c>
      <c r="Z18" s="287">
        <f t="shared" si="8"/>
        <v>0</v>
      </c>
      <c r="AA18" s="287">
        <f t="shared" si="23"/>
        <v>0</v>
      </c>
      <c r="AB18" s="287">
        <f t="shared" si="24"/>
        <v>0</v>
      </c>
      <c r="AC18" s="287">
        <f t="shared" si="25"/>
        <v>0</v>
      </c>
      <c r="AD18" s="73">
        <f>ELEC!Q18</f>
        <v>0</v>
      </c>
      <c r="AE18" s="73" t="e">
        <f t="shared" si="27"/>
        <v>#DIV/0!</v>
      </c>
      <c r="AF18" s="403" t="e">
        <f t="shared" si="28"/>
        <v>#DIV/0!</v>
      </c>
      <c r="AG18" s="404" t="e">
        <f t="shared" si="29"/>
        <v>#DIV/0!</v>
      </c>
      <c r="AH18" s="404" t="e">
        <f t="shared" si="26"/>
        <v>#DIV/0!</v>
      </c>
      <c r="AI18" s="73">
        <f t="shared" si="30"/>
        <v>0</v>
      </c>
      <c r="AJ18" s="289">
        <f t="shared" si="9"/>
        <v>0.25738396624472576</v>
      </c>
      <c r="AK18" s="289">
        <f t="shared" si="35"/>
        <v>0</v>
      </c>
    </row>
    <row r="19" spans="1:37" ht="15.75" thickBot="1">
      <c r="A19" s="4">
        <f>ELEC!C19</f>
        <v>44244</v>
      </c>
      <c r="B19" s="541">
        <f t="shared" si="11"/>
        <v>9541</v>
      </c>
      <c r="C19" s="287">
        <f t="shared" si="12"/>
        <v>0</v>
      </c>
      <c r="D19" s="542">
        <f t="shared" si="13"/>
        <v>311569</v>
      </c>
      <c r="E19" s="287">
        <f t="shared" si="14"/>
        <v>0</v>
      </c>
      <c r="F19" s="287">
        <f t="shared" si="0"/>
        <v>0</v>
      </c>
      <c r="G19" s="196"/>
      <c r="H19" s="270">
        <f t="shared" si="15"/>
        <v>9617</v>
      </c>
      <c r="I19" s="287" t="str">
        <f t="shared" si="1"/>
        <v>ok</v>
      </c>
      <c r="J19" s="542">
        <f t="shared" si="16"/>
        <v>10698</v>
      </c>
      <c r="K19" s="287">
        <f t="shared" si="2"/>
        <v>0</v>
      </c>
      <c r="L19" s="542">
        <f t="shared" si="16"/>
        <v>357691</v>
      </c>
      <c r="M19" s="287">
        <f t="shared" si="3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6">IF(J19-P19&lt;=0,"ok","oil change")</f>
        <v>ok</v>
      </c>
      <c r="R19" s="542">
        <f t="shared" si="19"/>
        <v>11798</v>
      </c>
      <c r="S19" s="287">
        <f t="shared" si="5"/>
        <v>0</v>
      </c>
      <c r="T19" s="542">
        <f t="shared" si="20"/>
        <v>379229</v>
      </c>
      <c r="U19" s="287">
        <f t="shared" si="32"/>
        <v>0</v>
      </c>
      <c r="V19" s="287">
        <f t="shared" si="33"/>
        <v>0</v>
      </c>
      <c r="W19" s="338"/>
      <c r="X19" s="288">
        <f t="shared" si="22"/>
        <v>12141</v>
      </c>
      <c r="Y19" s="287" t="str">
        <f t="shared" si="34"/>
        <v>ok</v>
      </c>
      <c r="Z19" s="287">
        <f t="shared" si="8"/>
        <v>0</v>
      </c>
      <c r="AA19" s="287">
        <f t="shared" si="23"/>
        <v>0</v>
      </c>
      <c r="AB19" s="287">
        <f t="shared" si="24"/>
        <v>0</v>
      </c>
      <c r="AC19" s="287">
        <f t="shared" si="25"/>
        <v>0</v>
      </c>
      <c r="AD19" s="73">
        <f>ELEC!Q19</f>
        <v>0</v>
      </c>
      <c r="AE19" s="73" t="e">
        <f t="shared" si="27"/>
        <v>#DIV/0!</v>
      </c>
      <c r="AF19" s="403" t="e">
        <f t="shared" si="28"/>
        <v>#DIV/0!</v>
      </c>
      <c r="AG19" s="404" t="e">
        <f t="shared" si="29"/>
        <v>#DIV/0!</v>
      </c>
      <c r="AH19" s="404" t="e">
        <f t="shared" si="26"/>
        <v>#DIV/0!</v>
      </c>
      <c r="AI19" s="73">
        <f t="shared" si="30"/>
        <v>0</v>
      </c>
      <c r="AJ19" s="289">
        <f t="shared" si="9"/>
        <v>0.25738396624472576</v>
      </c>
      <c r="AK19" s="289">
        <f t="shared" si="35"/>
        <v>0</v>
      </c>
    </row>
    <row r="20" spans="1:37" ht="15.75" thickBot="1">
      <c r="A20" s="4">
        <f>ELEC!C20</f>
        <v>44245</v>
      </c>
      <c r="B20" s="541">
        <f t="shared" si="11"/>
        <v>9541</v>
      </c>
      <c r="C20" s="287">
        <f>B20-B19</f>
        <v>0</v>
      </c>
      <c r="D20" s="542">
        <f t="shared" si="13"/>
        <v>311569</v>
      </c>
      <c r="E20" s="287">
        <f t="shared" si="14"/>
        <v>0</v>
      </c>
      <c r="F20" s="287">
        <f t="shared" si="0"/>
        <v>0</v>
      </c>
      <c r="G20" s="196"/>
      <c r="H20" s="270">
        <f t="shared" si="15"/>
        <v>9617</v>
      </c>
      <c r="I20" s="287" t="str">
        <f t="shared" si="1"/>
        <v>ok</v>
      </c>
      <c r="J20" s="542">
        <f t="shared" si="16"/>
        <v>10698</v>
      </c>
      <c r="K20" s="287">
        <f t="shared" si="2"/>
        <v>0</v>
      </c>
      <c r="L20" s="542">
        <f t="shared" si="16"/>
        <v>357691</v>
      </c>
      <c r="M20" s="287">
        <f t="shared" si="3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6"/>
        <v>ok</v>
      </c>
      <c r="R20" s="542">
        <f t="shared" si="19"/>
        <v>11798</v>
      </c>
      <c r="S20" s="287">
        <f t="shared" si="5"/>
        <v>0</v>
      </c>
      <c r="T20" s="542">
        <f t="shared" si="20"/>
        <v>379229</v>
      </c>
      <c r="U20" s="287">
        <f t="shared" si="32"/>
        <v>0</v>
      </c>
      <c r="V20" s="287">
        <f t="shared" si="33"/>
        <v>0</v>
      </c>
      <c r="W20" s="338"/>
      <c r="X20" s="288">
        <f t="shared" si="22"/>
        <v>12141</v>
      </c>
      <c r="Y20" s="287" t="str">
        <f t="shared" si="34"/>
        <v>ok</v>
      </c>
      <c r="Z20" s="287">
        <f t="shared" si="8"/>
        <v>0</v>
      </c>
      <c r="AA20" s="287">
        <f t="shared" si="23"/>
        <v>0</v>
      </c>
      <c r="AB20" s="287">
        <f t="shared" si="24"/>
        <v>0</v>
      </c>
      <c r="AC20" s="287">
        <f t="shared" si="25"/>
        <v>0</v>
      </c>
      <c r="AD20" s="73">
        <f>ELEC!Q20</f>
        <v>0</v>
      </c>
      <c r="AE20" s="73" t="e">
        <f t="shared" si="27"/>
        <v>#DIV/0!</v>
      </c>
      <c r="AF20" s="403" t="e">
        <f t="shared" si="28"/>
        <v>#DIV/0!</v>
      </c>
      <c r="AG20" s="404" t="e">
        <f t="shared" si="29"/>
        <v>#DIV/0!</v>
      </c>
      <c r="AH20" s="404" t="e">
        <f t="shared" si="26"/>
        <v>#DIV/0!</v>
      </c>
      <c r="AI20" s="73">
        <f>AD20*AJ20</f>
        <v>0</v>
      </c>
      <c r="AJ20" s="289">
        <f t="shared" si="9"/>
        <v>0.25738396624472576</v>
      </c>
      <c r="AK20" s="289">
        <f t="shared" si="35"/>
        <v>0</v>
      </c>
    </row>
    <row r="21" spans="1:37" ht="15.75" thickBot="1">
      <c r="A21" s="4">
        <f>ELEC!C21</f>
        <v>44246</v>
      </c>
      <c r="B21" s="541">
        <f t="shared" si="11"/>
        <v>9541</v>
      </c>
      <c r="C21" s="287">
        <f t="shared" ref="C21" si="37">B21-B20</f>
        <v>0</v>
      </c>
      <c r="D21" s="542">
        <f t="shared" si="13"/>
        <v>311569</v>
      </c>
      <c r="E21" s="287">
        <f t="shared" si="14"/>
        <v>0</v>
      </c>
      <c r="F21" s="287">
        <f t="shared" si="0"/>
        <v>0</v>
      </c>
      <c r="G21" s="196"/>
      <c r="H21" s="270">
        <f t="shared" si="15"/>
        <v>9617</v>
      </c>
      <c r="I21" s="287" t="str">
        <f t="shared" si="1"/>
        <v>ok</v>
      </c>
      <c r="J21" s="542">
        <f t="shared" si="16"/>
        <v>10698</v>
      </c>
      <c r="K21" s="287">
        <f t="shared" si="2"/>
        <v>0</v>
      </c>
      <c r="L21" s="542">
        <f t="shared" si="16"/>
        <v>357691</v>
      </c>
      <c r="M21" s="287">
        <f t="shared" si="3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6"/>
        <v>ok</v>
      </c>
      <c r="R21" s="542">
        <f t="shared" si="19"/>
        <v>11798</v>
      </c>
      <c r="S21" s="287">
        <f t="shared" si="5"/>
        <v>0</v>
      </c>
      <c r="T21" s="542">
        <f t="shared" si="20"/>
        <v>379229</v>
      </c>
      <c r="U21" s="287">
        <f t="shared" ref="U21:U30" si="38">SUM(T21-T20)</f>
        <v>0</v>
      </c>
      <c r="V21" s="287">
        <f t="shared" si="21"/>
        <v>0</v>
      </c>
      <c r="W21" s="196"/>
      <c r="X21" s="288">
        <f t="shared" si="22"/>
        <v>12141</v>
      </c>
      <c r="Y21" s="287" t="str">
        <f>Y20</f>
        <v>ok</v>
      </c>
      <c r="Z21" s="287">
        <f t="shared" si="8"/>
        <v>0</v>
      </c>
      <c r="AA21" s="287">
        <f t="shared" si="23"/>
        <v>0</v>
      </c>
      <c r="AB21" s="287">
        <f t="shared" si="24"/>
        <v>0</v>
      </c>
      <c r="AC21" s="287">
        <f t="shared" si="25"/>
        <v>0</v>
      </c>
      <c r="AD21" s="73">
        <f>ELEC!Q21</f>
        <v>0</v>
      </c>
      <c r="AE21" s="73" t="e">
        <f t="shared" si="27"/>
        <v>#DIV/0!</v>
      </c>
      <c r="AF21" s="403" t="e">
        <f t="shared" si="28"/>
        <v>#DIV/0!</v>
      </c>
      <c r="AG21" s="404" t="e">
        <f t="shared" si="29"/>
        <v>#DIV/0!</v>
      </c>
      <c r="AH21" s="404" t="e">
        <f t="shared" si="26"/>
        <v>#DIV/0!</v>
      </c>
      <c r="AI21" s="73">
        <f t="shared" si="30"/>
        <v>0</v>
      </c>
      <c r="AJ21" s="289">
        <f t="shared" si="9"/>
        <v>0.25738396624472576</v>
      </c>
      <c r="AK21" s="289">
        <f t="shared" si="35"/>
        <v>0</v>
      </c>
    </row>
    <row r="22" spans="1:37" ht="15.75" thickBot="1">
      <c r="A22" s="4">
        <f>ELEC!C22</f>
        <v>44247</v>
      </c>
      <c r="B22" s="541">
        <f t="shared" si="11"/>
        <v>9541</v>
      </c>
      <c r="C22" s="287">
        <f t="shared" si="12"/>
        <v>0</v>
      </c>
      <c r="D22" s="542">
        <f t="shared" si="13"/>
        <v>311569</v>
      </c>
      <c r="E22" s="287">
        <f t="shared" si="14"/>
        <v>0</v>
      </c>
      <c r="F22" s="287">
        <f t="shared" si="0"/>
        <v>0</v>
      </c>
      <c r="G22" s="196"/>
      <c r="H22" s="270">
        <f t="shared" si="15"/>
        <v>9617</v>
      </c>
      <c r="I22" s="287" t="str">
        <f t="shared" si="1"/>
        <v>ok</v>
      </c>
      <c r="J22" s="542">
        <f t="shared" si="16"/>
        <v>10698</v>
      </c>
      <c r="K22" s="287">
        <f t="shared" si="2"/>
        <v>0</v>
      </c>
      <c r="L22" s="542">
        <f t="shared" si="16"/>
        <v>357691</v>
      </c>
      <c r="M22" s="287">
        <f t="shared" si="3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6"/>
        <v>ok</v>
      </c>
      <c r="R22" s="542">
        <f t="shared" si="19"/>
        <v>11798</v>
      </c>
      <c r="S22" s="287">
        <f t="shared" si="5"/>
        <v>0</v>
      </c>
      <c r="T22" s="542">
        <f t="shared" si="20"/>
        <v>379229</v>
      </c>
      <c r="U22" s="287">
        <f t="shared" si="38"/>
        <v>0</v>
      </c>
      <c r="V22" s="287">
        <f t="shared" si="21"/>
        <v>0</v>
      </c>
      <c r="W22" s="196"/>
      <c r="X22" s="288">
        <f t="shared" si="22"/>
        <v>12141</v>
      </c>
      <c r="Y22" s="287" t="str">
        <f t="shared" ref="Y22:Y30" si="39">IF(R22-X22&lt;=0,"ok","oil change")</f>
        <v>ok</v>
      </c>
      <c r="Z22" s="287">
        <f t="shared" si="8"/>
        <v>0</v>
      </c>
      <c r="AA22" s="287">
        <f t="shared" si="23"/>
        <v>0</v>
      </c>
      <c r="AB22" s="287">
        <f t="shared" si="24"/>
        <v>0</v>
      </c>
      <c r="AC22" s="287">
        <f t="shared" si="25"/>
        <v>0</v>
      </c>
      <c r="AD22" s="73">
        <f>ELEC!Q22</f>
        <v>0</v>
      </c>
      <c r="AE22" s="73" t="e">
        <f t="shared" si="27"/>
        <v>#DIV/0!</v>
      </c>
      <c r="AF22" s="403" t="e">
        <f t="shared" si="28"/>
        <v>#DIV/0!</v>
      </c>
      <c r="AG22" s="404" t="e">
        <f t="shared" si="29"/>
        <v>#DIV/0!</v>
      </c>
      <c r="AH22" s="404" t="e">
        <f t="shared" si="26"/>
        <v>#DIV/0!</v>
      </c>
      <c r="AI22" s="73">
        <f t="shared" si="30"/>
        <v>0</v>
      </c>
      <c r="AJ22" s="289">
        <f t="shared" si="9"/>
        <v>0.25738396624472576</v>
      </c>
      <c r="AK22" s="289">
        <f t="shared" si="35"/>
        <v>0</v>
      </c>
    </row>
    <row r="23" spans="1:37" ht="15.75" thickBot="1">
      <c r="A23" s="4">
        <f>ELEC!C23</f>
        <v>44248</v>
      </c>
      <c r="B23" s="541">
        <f t="shared" si="11"/>
        <v>9541</v>
      </c>
      <c r="C23" s="287">
        <f t="shared" si="12"/>
        <v>0</v>
      </c>
      <c r="D23" s="542">
        <f t="shared" si="13"/>
        <v>311569</v>
      </c>
      <c r="E23" s="287">
        <f t="shared" si="14"/>
        <v>0</v>
      </c>
      <c r="F23" s="287">
        <f t="shared" si="0"/>
        <v>0</v>
      </c>
      <c r="G23" s="196"/>
      <c r="H23" s="270">
        <f t="shared" si="15"/>
        <v>9617</v>
      </c>
      <c r="I23" s="287" t="str">
        <f t="shared" si="1"/>
        <v>ok</v>
      </c>
      <c r="J23" s="542">
        <f t="shared" si="16"/>
        <v>10698</v>
      </c>
      <c r="K23" s="287">
        <f t="shared" si="2"/>
        <v>0</v>
      </c>
      <c r="L23" s="542">
        <f t="shared" si="16"/>
        <v>357691</v>
      </c>
      <c r="M23" s="287">
        <f t="shared" si="3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6"/>
        <v>ok</v>
      </c>
      <c r="R23" s="542">
        <f t="shared" si="19"/>
        <v>11798</v>
      </c>
      <c r="S23" s="287">
        <f t="shared" si="5"/>
        <v>0</v>
      </c>
      <c r="T23" s="542">
        <f t="shared" si="20"/>
        <v>379229</v>
      </c>
      <c r="U23" s="287">
        <f t="shared" si="38"/>
        <v>0</v>
      </c>
      <c r="V23" s="287">
        <f t="shared" si="21"/>
        <v>0</v>
      </c>
      <c r="W23" s="196"/>
      <c r="X23" s="288">
        <f t="shared" si="22"/>
        <v>12141</v>
      </c>
      <c r="Y23" s="287" t="str">
        <f t="shared" si="39"/>
        <v>ok</v>
      </c>
      <c r="Z23" s="287">
        <f t="shared" si="8"/>
        <v>0</v>
      </c>
      <c r="AA23" s="287">
        <f t="shared" si="23"/>
        <v>0</v>
      </c>
      <c r="AB23" s="287">
        <f t="shared" si="24"/>
        <v>0</v>
      </c>
      <c r="AC23" s="287">
        <f t="shared" si="25"/>
        <v>0</v>
      </c>
      <c r="AD23" s="73">
        <f>ELEC!Q23</f>
        <v>0</v>
      </c>
      <c r="AE23" s="73" t="e">
        <f t="shared" si="27"/>
        <v>#DIV/0!</v>
      </c>
      <c r="AF23" s="403" t="e">
        <f t="shared" si="28"/>
        <v>#DIV/0!</v>
      </c>
      <c r="AG23" s="404" t="e">
        <f t="shared" si="29"/>
        <v>#DIV/0!</v>
      </c>
      <c r="AH23" s="404" t="e">
        <f t="shared" si="26"/>
        <v>#DIV/0!</v>
      </c>
      <c r="AI23" s="73">
        <f t="shared" si="30"/>
        <v>0</v>
      </c>
      <c r="AJ23" s="289">
        <f t="shared" si="9"/>
        <v>0.25738396624472576</v>
      </c>
      <c r="AK23" s="289">
        <f t="shared" si="35"/>
        <v>0</v>
      </c>
    </row>
    <row r="24" spans="1:37" ht="15.75" thickBot="1">
      <c r="A24" s="4">
        <f>ELEC!C24</f>
        <v>44249</v>
      </c>
      <c r="B24" s="541">
        <f t="shared" si="11"/>
        <v>9541</v>
      </c>
      <c r="C24" s="287">
        <f t="shared" si="12"/>
        <v>0</v>
      </c>
      <c r="D24" s="542">
        <f t="shared" si="13"/>
        <v>311569</v>
      </c>
      <c r="E24" s="287">
        <f t="shared" si="14"/>
        <v>0</v>
      </c>
      <c r="F24" s="287">
        <f t="shared" si="0"/>
        <v>0</v>
      </c>
      <c r="G24" s="196"/>
      <c r="H24" s="270">
        <f t="shared" si="15"/>
        <v>9617</v>
      </c>
      <c r="I24" s="287" t="str">
        <f t="shared" si="1"/>
        <v>ok</v>
      </c>
      <c r="J24" s="542">
        <f t="shared" si="16"/>
        <v>10698</v>
      </c>
      <c r="K24" s="287">
        <f t="shared" si="2"/>
        <v>0</v>
      </c>
      <c r="L24" s="542">
        <f t="shared" si="16"/>
        <v>357691</v>
      </c>
      <c r="M24" s="287">
        <f t="shared" si="3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6"/>
        <v>ok</v>
      </c>
      <c r="R24" s="542">
        <f t="shared" si="19"/>
        <v>11798</v>
      </c>
      <c r="S24" s="287">
        <f t="shared" si="5"/>
        <v>0</v>
      </c>
      <c r="T24" s="542">
        <f t="shared" si="20"/>
        <v>379229</v>
      </c>
      <c r="U24" s="287">
        <f t="shared" si="38"/>
        <v>0</v>
      </c>
      <c r="V24" s="287">
        <f t="shared" si="21"/>
        <v>0</v>
      </c>
      <c r="W24" s="196"/>
      <c r="X24" s="288">
        <f t="shared" si="22"/>
        <v>12141</v>
      </c>
      <c r="Y24" s="287" t="str">
        <f t="shared" si="39"/>
        <v>ok</v>
      </c>
      <c r="Z24" s="287">
        <f t="shared" si="8"/>
        <v>0</v>
      </c>
      <c r="AA24" s="287">
        <f t="shared" si="23"/>
        <v>0</v>
      </c>
      <c r="AB24" s="287">
        <f t="shared" si="24"/>
        <v>0</v>
      </c>
      <c r="AC24" s="287">
        <f t="shared" si="25"/>
        <v>0</v>
      </c>
      <c r="AD24" s="73">
        <f>ELEC!Q24</f>
        <v>0</v>
      </c>
      <c r="AE24" s="73" t="e">
        <f t="shared" si="27"/>
        <v>#DIV/0!</v>
      </c>
      <c r="AF24" s="403" t="e">
        <f t="shared" si="28"/>
        <v>#DIV/0!</v>
      </c>
      <c r="AG24" s="404" t="e">
        <f t="shared" si="29"/>
        <v>#DIV/0!</v>
      </c>
      <c r="AH24" s="404" t="e">
        <f t="shared" si="26"/>
        <v>#DIV/0!</v>
      </c>
      <c r="AI24" s="73">
        <f t="shared" si="30"/>
        <v>0</v>
      </c>
      <c r="AJ24" s="289">
        <f t="shared" si="9"/>
        <v>0.25738396624472576</v>
      </c>
      <c r="AK24" s="289">
        <f t="shared" si="35"/>
        <v>0</v>
      </c>
    </row>
    <row r="25" spans="1:37" ht="15.75" thickBot="1">
      <c r="A25" s="4">
        <f>ELEC!C25</f>
        <v>44250</v>
      </c>
      <c r="B25" s="541">
        <f t="shared" si="11"/>
        <v>9541</v>
      </c>
      <c r="C25" s="287">
        <f t="shared" si="12"/>
        <v>0</v>
      </c>
      <c r="D25" s="542">
        <f t="shared" si="13"/>
        <v>311569</v>
      </c>
      <c r="E25" s="287">
        <f t="shared" si="14"/>
        <v>0</v>
      </c>
      <c r="F25" s="287">
        <f t="shared" si="0"/>
        <v>0</v>
      </c>
      <c r="G25" s="196"/>
      <c r="H25" s="270">
        <f t="shared" si="15"/>
        <v>9617</v>
      </c>
      <c r="I25" s="287" t="str">
        <f t="shared" si="1"/>
        <v>ok</v>
      </c>
      <c r="J25" s="542">
        <f t="shared" si="16"/>
        <v>10698</v>
      </c>
      <c r="K25" s="287">
        <f t="shared" si="2"/>
        <v>0</v>
      </c>
      <c r="L25" s="542">
        <f t="shared" si="16"/>
        <v>357691</v>
      </c>
      <c r="M25" s="287">
        <f t="shared" si="3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6"/>
        <v>ok</v>
      </c>
      <c r="R25" s="542">
        <f t="shared" si="19"/>
        <v>11798</v>
      </c>
      <c r="S25" s="287">
        <f t="shared" si="5"/>
        <v>0</v>
      </c>
      <c r="T25" s="542">
        <f t="shared" si="20"/>
        <v>379229</v>
      </c>
      <c r="U25" s="287">
        <f t="shared" si="38"/>
        <v>0</v>
      </c>
      <c r="V25" s="287">
        <f t="shared" si="21"/>
        <v>0</v>
      </c>
      <c r="W25" s="196"/>
      <c r="X25" s="288">
        <f t="shared" si="22"/>
        <v>12141</v>
      </c>
      <c r="Y25" s="287" t="str">
        <f t="shared" si="39"/>
        <v>ok</v>
      </c>
      <c r="Z25" s="287">
        <f t="shared" si="8"/>
        <v>0</v>
      </c>
      <c r="AA25" s="287">
        <f t="shared" si="23"/>
        <v>0</v>
      </c>
      <c r="AB25" s="287">
        <f t="shared" si="24"/>
        <v>0</v>
      </c>
      <c r="AC25" s="287">
        <f t="shared" si="25"/>
        <v>0</v>
      </c>
      <c r="AD25" s="73">
        <f>ELEC!Q25</f>
        <v>0</v>
      </c>
      <c r="AE25" s="73" t="e">
        <f t="shared" si="27"/>
        <v>#DIV/0!</v>
      </c>
      <c r="AF25" s="403" t="e">
        <f t="shared" si="28"/>
        <v>#DIV/0!</v>
      </c>
      <c r="AG25" s="404" t="e">
        <f t="shared" si="29"/>
        <v>#DIV/0!</v>
      </c>
      <c r="AH25" s="404" t="e">
        <f t="shared" si="26"/>
        <v>#DIV/0!</v>
      </c>
      <c r="AI25" s="73">
        <f t="shared" si="30"/>
        <v>0</v>
      </c>
      <c r="AJ25" s="289">
        <f t="shared" si="9"/>
        <v>0.25738396624472576</v>
      </c>
      <c r="AK25" s="289">
        <f t="shared" si="35"/>
        <v>0</v>
      </c>
    </row>
    <row r="26" spans="1:37" ht="15.75" thickBot="1">
      <c r="A26" s="4">
        <f>ELEC!C26</f>
        <v>44251</v>
      </c>
      <c r="B26" s="541">
        <f t="shared" si="11"/>
        <v>9541</v>
      </c>
      <c r="C26" s="287">
        <f t="shared" si="12"/>
        <v>0</v>
      </c>
      <c r="D26" s="542">
        <f t="shared" si="13"/>
        <v>311569</v>
      </c>
      <c r="E26" s="287">
        <f t="shared" si="14"/>
        <v>0</v>
      </c>
      <c r="F26" s="287">
        <f t="shared" si="0"/>
        <v>0</v>
      </c>
      <c r="G26" s="196"/>
      <c r="H26" s="270">
        <f t="shared" si="15"/>
        <v>9617</v>
      </c>
      <c r="I26" s="287" t="str">
        <f t="shared" si="1"/>
        <v>ok</v>
      </c>
      <c r="J26" s="542">
        <f t="shared" si="16"/>
        <v>10698</v>
      </c>
      <c r="K26" s="287">
        <f t="shared" si="2"/>
        <v>0</v>
      </c>
      <c r="L26" s="542">
        <f t="shared" si="16"/>
        <v>357691</v>
      </c>
      <c r="M26" s="287">
        <f t="shared" si="3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6"/>
        <v>ok</v>
      </c>
      <c r="R26" s="542">
        <f t="shared" si="19"/>
        <v>11798</v>
      </c>
      <c r="S26" s="287">
        <f t="shared" si="5"/>
        <v>0</v>
      </c>
      <c r="T26" s="542">
        <f t="shared" si="20"/>
        <v>379229</v>
      </c>
      <c r="U26" s="287">
        <f t="shared" si="38"/>
        <v>0</v>
      </c>
      <c r="V26" s="287">
        <f t="shared" si="21"/>
        <v>0</v>
      </c>
      <c r="W26" s="196"/>
      <c r="X26" s="288">
        <f t="shared" si="22"/>
        <v>12141</v>
      </c>
      <c r="Y26" s="287" t="str">
        <f t="shared" si="39"/>
        <v>ok</v>
      </c>
      <c r="Z26" s="287">
        <f t="shared" si="8"/>
        <v>0</v>
      </c>
      <c r="AA26" s="287">
        <f t="shared" si="23"/>
        <v>0</v>
      </c>
      <c r="AB26" s="287">
        <f t="shared" si="24"/>
        <v>0</v>
      </c>
      <c r="AC26" s="287">
        <f t="shared" si="25"/>
        <v>0</v>
      </c>
      <c r="AD26" s="73">
        <f>ELEC!Q26</f>
        <v>0</v>
      </c>
      <c r="AE26" s="73" t="e">
        <f t="shared" si="27"/>
        <v>#DIV/0!</v>
      </c>
      <c r="AF26" s="403" t="e">
        <f t="shared" si="28"/>
        <v>#DIV/0!</v>
      </c>
      <c r="AG26" s="404" t="e">
        <f t="shared" si="29"/>
        <v>#DIV/0!</v>
      </c>
      <c r="AH26" s="404" t="e">
        <f t="shared" si="26"/>
        <v>#DIV/0!</v>
      </c>
      <c r="AI26" s="73">
        <f t="shared" si="30"/>
        <v>0</v>
      </c>
      <c r="AJ26" s="289">
        <f t="shared" si="9"/>
        <v>0.25738396624472576</v>
      </c>
      <c r="AK26" s="289">
        <f t="shared" si="35"/>
        <v>0</v>
      </c>
    </row>
    <row r="27" spans="1:37" ht="15.75" thickBot="1">
      <c r="A27" s="4">
        <f>ELEC!C27</f>
        <v>44252</v>
      </c>
      <c r="B27" s="541">
        <f t="shared" si="11"/>
        <v>9541</v>
      </c>
      <c r="C27" s="287">
        <f t="shared" si="12"/>
        <v>0</v>
      </c>
      <c r="D27" s="542">
        <f t="shared" si="13"/>
        <v>311569</v>
      </c>
      <c r="E27" s="287">
        <f t="shared" si="14"/>
        <v>0</v>
      </c>
      <c r="F27" s="287">
        <f t="shared" si="0"/>
        <v>0</v>
      </c>
      <c r="G27" s="196"/>
      <c r="H27" s="270">
        <f t="shared" si="15"/>
        <v>9617</v>
      </c>
      <c r="I27" s="287" t="str">
        <f>IF(B27-H27&lt;=0,"ok","oil change")</f>
        <v>ok</v>
      </c>
      <c r="J27" s="542">
        <f t="shared" si="16"/>
        <v>10698</v>
      </c>
      <c r="K27" s="287">
        <f t="shared" si="2"/>
        <v>0</v>
      </c>
      <c r="L27" s="542">
        <f t="shared" si="16"/>
        <v>357691</v>
      </c>
      <c r="M27" s="287">
        <f t="shared" si="3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6"/>
        <v>ok</v>
      </c>
      <c r="R27" s="542">
        <f t="shared" si="19"/>
        <v>11798</v>
      </c>
      <c r="S27" s="287">
        <f t="shared" si="5"/>
        <v>0</v>
      </c>
      <c r="T27" s="542">
        <f t="shared" si="20"/>
        <v>379229</v>
      </c>
      <c r="U27" s="287">
        <f t="shared" si="38"/>
        <v>0</v>
      </c>
      <c r="V27" s="287">
        <f t="shared" si="21"/>
        <v>0</v>
      </c>
      <c r="W27" s="196"/>
      <c r="X27" s="288">
        <f t="shared" si="22"/>
        <v>12141</v>
      </c>
      <c r="Y27" s="287" t="str">
        <f t="shared" si="39"/>
        <v>ok</v>
      </c>
      <c r="Z27" s="287">
        <f t="shared" si="8"/>
        <v>0</v>
      </c>
      <c r="AA27" s="287">
        <f t="shared" si="23"/>
        <v>0</v>
      </c>
      <c r="AB27" s="287">
        <f t="shared" si="24"/>
        <v>0</v>
      </c>
      <c r="AC27" s="287">
        <f t="shared" si="25"/>
        <v>0</v>
      </c>
      <c r="AD27" s="73">
        <f>ELEC!Q27</f>
        <v>0</v>
      </c>
      <c r="AE27" s="73" t="e">
        <f t="shared" si="27"/>
        <v>#DIV/0!</v>
      </c>
      <c r="AF27" s="403" t="e">
        <f t="shared" si="28"/>
        <v>#DIV/0!</v>
      </c>
      <c r="AG27" s="404" t="e">
        <f t="shared" si="29"/>
        <v>#DIV/0!</v>
      </c>
      <c r="AH27" s="404" t="e">
        <f t="shared" si="26"/>
        <v>#DIV/0!</v>
      </c>
      <c r="AI27" s="73">
        <f t="shared" si="30"/>
        <v>0</v>
      </c>
      <c r="AJ27" s="289">
        <f t="shared" si="9"/>
        <v>0.25738396624472576</v>
      </c>
      <c r="AK27" s="289">
        <f t="shared" si="35"/>
        <v>0</v>
      </c>
    </row>
    <row r="28" spans="1:37" ht="15.75" thickBot="1">
      <c r="A28" s="4">
        <f>ELEC!C28</f>
        <v>44253</v>
      </c>
      <c r="B28" s="541">
        <f t="shared" si="11"/>
        <v>9541</v>
      </c>
      <c r="C28" s="287">
        <f t="shared" si="12"/>
        <v>0</v>
      </c>
      <c r="D28" s="542">
        <f t="shared" si="13"/>
        <v>311569</v>
      </c>
      <c r="E28" s="287">
        <f t="shared" si="14"/>
        <v>0</v>
      </c>
      <c r="F28" s="287">
        <f t="shared" si="0"/>
        <v>0</v>
      </c>
      <c r="G28" s="285"/>
      <c r="H28" s="270">
        <f t="shared" si="15"/>
        <v>9617</v>
      </c>
      <c r="I28" s="287" t="str">
        <f t="shared" si="1"/>
        <v>ok</v>
      </c>
      <c r="J28" s="542">
        <f t="shared" si="16"/>
        <v>10698</v>
      </c>
      <c r="K28" s="287">
        <f t="shared" si="2"/>
        <v>0</v>
      </c>
      <c r="L28" s="542">
        <f t="shared" si="16"/>
        <v>357691</v>
      </c>
      <c r="M28" s="287">
        <f t="shared" si="3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6"/>
        <v>ok</v>
      </c>
      <c r="R28" s="542">
        <f t="shared" si="19"/>
        <v>11798</v>
      </c>
      <c r="S28" s="287">
        <f t="shared" si="5"/>
        <v>0</v>
      </c>
      <c r="T28" s="542">
        <f t="shared" si="20"/>
        <v>379229</v>
      </c>
      <c r="U28" s="287">
        <f t="shared" si="38"/>
        <v>0</v>
      </c>
      <c r="V28" s="287">
        <f t="shared" si="21"/>
        <v>0</v>
      </c>
      <c r="W28" s="196"/>
      <c r="X28" s="288">
        <f t="shared" si="22"/>
        <v>12141</v>
      </c>
      <c r="Y28" s="287" t="str">
        <f t="shared" si="39"/>
        <v>ok</v>
      </c>
      <c r="Z28" s="287">
        <f t="shared" si="8"/>
        <v>0</v>
      </c>
      <c r="AA28" s="287">
        <f t="shared" si="23"/>
        <v>0</v>
      </c>
      <c r="AB28" s="287">
        <f t="shared" si="24"/>
        <v>0</v>
      </c>
      <c r="AC28" s="287">
        <f t="shared" si="25"/>
        <v>0</v>
      </c>
      <c r="AD28" s="73">
        <f>ELEC!Q28</f>
        <v>0</v>
      </c>
      <c r="AE28" s="73" t="e">
        <f t="shared" si="27"/>
        <v>#DIV/0!</v>
      </c>
      <c r="AF28" s="403" t="e">
        <f t="shared" si="28"/>
        <v>#DIV/0!</v>
      </c>
      <c r="AG28" s="404" t="e">
        <f t="shared" si="29"/>
        <v>#DIV/0!</v>
      </c>
      <c r="AH28" s="404" t="e">
        <f t="shared" si="26"/>
        <v>#DIV/0!</v>
      </c>
      <c r="AI28" s="73">
        <f t="shared" si="30"/>
        <v>0</v>
      </c>
      <c r="AJ28" s="289">
        <f t="shared" si="9"/>
        <v>0.25738396624472576</v>
      </c>
      <c r="AK28" s="289">
        <f t="shared" si="35"/>
        <v>0</v>
      </c>
    </row>
    <row r="29" spans="1:37" ht="15.75" thickBot="1">
      <c r="A29" s="4">
        <f>ELEC!C29</f>
        <v>44254</v>
      </c>
      <c r="B29" s="541">
        <f t="shared" si="11"/>
        <v>9541</v>
      </c>
      <c r="C29" s="287">
        <f t="shared" si="12"/>
        <v>0</v>
      </c>
      <c r="D29" s="542">
        <f t="shared" si="13"/>
        <v>311569</v>
      </c>
      <c r="E29" s="287">
        <f>SUM(D29-D28)</f>
        <v>0</v>
      </c>
      <c r="F29" s="287">
        <f t="shared" si="0"/>
        <v>0</v>
      </c>
      <c r="G29" s="196"/>
      <c r="H29" s="270">
        <f t="shared" si="15"/>
        <v>9617</v>
      </c>
      <c r="I29" s="287" t="str">
        <f t="shared" si="1"/>
        <v>ok</v>
      </c>
      <c r="J29" s="542">
        <f t="shared" si="16"/>
        <v>10698</v>
      </c>
      <c r="K29" s="287">
        <f t="shared" si="2"/>
        <v>0</v>
      </c>
      <c r="L29" s="542">
        <f t="shared" si="16"/>
        <v>357691</v>
      </c>
      <c r="M29" s="287">
        <f t="shared" si="3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6"/>
        <v>ok</v>
      </c>
      <c r="R29" s="542">
        <f t="shared" si="19"/>
        <v>11798</v>
      </c>
      <c r="S29" s="287">
        <f t="shared" si="5"/>
        <v>0</v>
      </c>
      <c r="T29" s="542">
        <f t="shared" si="20"/>
        <v>379229</v>
      </c>
      <c r="U29" s="287">
        <f t="shared" si="38"/>
        <v>0</v>
      </c>
      <c r="V29" s="287">
        <f t="shared" si="21"/>
        <v>0</v>
      </c>
      <c r="W29" s="196"/>
      <c r="X29" s="288">
        <f t="shared" si="22"/>
        <v>12141</v>
      </c>
      <c r="Y29" s="287" t="str">
        <f t="shared" si="39"/>
        <v>ok</v>
      </c>
      <c r="Z29" s="287">
        <f t="shared" si="8"/>
        <v>0</v>
      </c>
      <c r="AA29" s="287">
        <f t="shared" si="23"/>
        <v>0</v>
      </c>
      <c r="AB29" s="287">
        <f t="shared" si="24"/>
        <v>0</v>
      </c>
      <c r="AC29" s="287">
        <f t="shared" si="25"/>
        <v>0</v>
      </c>
      <c r="AD29" s="73">
        <f>ELEC!Q29</f>
        <v>0</v>
      </c>
      <c r="AE29" s="73" t="e">
        <f t="shared" si="27"/>
        <v>#DIV/0!</v>
      </c>
      <c r="AF29" s="403" t="e">
        <f t="shared" si="28"/>
        <v>#DIV/0!</v>
      </c>
      <c r="AG29" s="404" t="e">
        <f t="shared" si="29"/>
        <v>#DIV/0!</v>
      </c>
      <c r="AH29" s="404" t="e">
        <f t="shared" si="26"/>
        <v>#DIV/0!</v>
      </c>
      <c r="AI29" s="73">
        <f t="shared" si="30"/>
        <v>0</v>
      </c>
      <c r="AJ29" s="289">
        <f t="shared" si="9"/>
        <v>0.25738396624472576</v>
      </c>
      <c r="AK29" s="289">
        <f t="shared" si="35"/>
        <v>0</v>
      </c>
    </row>
    <row r="30" spans="1:37">
      <c r="A30" s="4">
        <f>ELEC!C30</f>
        <v>44255</v>
      </c>
      <c r="B30" s="541">
        <f t="shared" si="11"/>
        <v>9541</v>
      </c>
      <c r="C30" s="287">
        <f t="shared" si="12"/>
        <v>0</v>
      </c>
      <c r="D30" s="542">
        <f t="shared" si="13"/>
        <v>311569</v>
      </c>
      <c r="E30" s="287">
        <f t="shared" si="14"/>
        <v>0</v>
      </c>
      <c r="F30" s="287">
        <f t="shared" si="0"/>
        <v>0</v>
      </c>
      <c r="G30" s="196"/>
      <c r="H30" s="270">
        <f t="shared" si="15"/>
        <v>9617</v>
      </c>
      <c r="I30" s="287" t="str">
        <f t="shared" si="1"/>
        <v>ok</v>
      </c>
      <c r="J30" s="542">
        <f t="shared" si="16"/>
        <v>10698</v>
      </c>
      <c r="K30" s="287">
        <f t="shared" si="2"/>
        <v>0</v>
      </c>
      <c r="L30" s="542">
        <f t="shared" si="16"/>
        <v>357691</v>
      </c>
      <c r="M30" s="287">
        <f t="shared" si="3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6"/>
        <v>ok</v>
      </c>
      <c r="R30" s="542">
        <f t="shared" si="19"/>
        <v>11798</v>
      </c>
      <c r="S30" s="287">
        <f t="shared" si="5"/>
        <v>0</v>
      </c>
      <c r="T30" s="542">
        <f t="shared" si="20"/>
        <v>379229</v>
      </c>
      <c r="U30" s="287">
        <f t="shared" si="38"/>
        <v>0</v>
      </c>
      <c r="V30" s="287">
        <f t="shared" si="21"/>
        <v>0</v>
      </c>
      <c r="W30" s="285"/>
      <c r="X30" s="288">
        <f t="shared" si="22"/>
        <v>12141</v>
      </c>
      <c r="Y30" s="287" t="str">
        <f t="shared" si="39"/>
        <v>ok</v>
      </c>
      <c r="Z30" s="287">
        <f t="shared" si="8"/>
        <v>0</v>
      </c>
      <c r="AA30" s="287">
        <f t="shared" si="23"/>
        <v>0</v>
      </c>
      <c r="AB30" s="287">
        <f t="shared" si="24"/>
        <v>0</v>
      </c>
      <c r="AC30" s="287">
        <f t="shared" si="25"/>
        <v>0</v>
      </c>
      <c r="AD30" s="73">
        <f>ELEC!Q30</f>
        <v>0</v>
      </c>
      <c r="AE30" s="73" t="e">
        <f t="shared" si="27"/>
        <v>#DIV/0!</v>
      </c>
      <c r="AF30" s="403" t="e">
        <f t="shared" si="28"/>
        <v>#DIV/0!</v>
      </c>
      <c r="AG30" s="404" t="e">
        <f t="shared" si="29"/>
        <v>#DIV/0!</v>
      </c>
      <c r="AH30" s="404" t="e">
        <f t="shared" si="26"/>
        <v>#DIV/0!</v>
      </c>
      <c r="AI30" s="73">
        <f t="shared" si="30"/>
        <v>0</v>
      </c>
      <c r="AJ30" s="289">
        <f t="shared" si="9"/>
        <v>0.25738396624472576</v>
      </c>
      <c r="AK30" s="289">
        <f t="shared" si="35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3</v>
      </c>
      <c r="V31" s="40"/>
      <c r="X31">
        <v>341</v>
      </c>
      <c r="Z31" s="421">
        <f>SUM(Z3:Z30)</f>
        <v>3</v>
      </c>
    </row>
    <row r="32" spans="1:37">
      <c r="C32" s="40">
        <f>SUM(C3:C30)</f>
        <v>3</v>
      </c>
      <c r="K32" s="40">
        <f>SUM(K3:K30)</f>
        <v>0</v>
      </c>
      <c r="S32" s="40">
        <f>SUM(S3:S30)</f>
        <v>0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zoomScale="80" zoomScaleNormal="80" workbookViewId="0">
      <selection activeCell="M3" sqref="M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44227</v>
      </c>
      <c r="B3" s="264">
        <v>856126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129225</v>
      </c>
      <c r="G3" s="264">
        <f>'[2]EDl log'!G34</f>
        <v>446</v>
      </c>
      <c r="H3" s="264">
        <v>427118</v>
      </c>
      <c r="I3" s="264">
        <f>'[2]EDl log'!I34</f>
        <v>935</v>
      </c>
      <c r="J3" s="264">
        <v>299782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.75" thickBot="1">
      <c r="A4" s="163">
        <f>ELEC!C3</f>
        <v>44228</v>
      </c>
      <c r="B4" s="540">
        <f>B3</f>
        <v>856126</v>
      </c>
      <c r="C4" s="264">
        <f t="shared" ref="C4:C31" si="0">SUM(B4-B3)</f>
        <v>0</v>
      </c>
      <c r="D4" s="308">
        <f>SUM(G4+I4+K4)</f>
        <v>0</v>
      </c>
      <c r="E4" s="308">
        <f>B3+D4</f>
        <v>856126</v>
      </c>
      <c r="F4" s="540">
        <f>F3</f>
        <v>129225</v>
      </c>
      <c r="G4" s="160">
        <f t="shared" ref="G4:G31" si="1">F4-F3</f>
        <v>0</v>
      </c>
      <c r="H4" s="540">
        <f>H3</f>
        <v>427118</v>
      </c>
      <c r="I4" s="161">
        <f t="shared" ref="I4:I31" si="2">H4-H3</f>
        <v>0</v>
      </c>
      <c r="J4" s="540">
        <f>J3</f>
        <v>299782</v>
      </c>
      <c r="K4" s="162">
        <f t="shared" ref="K4:K31" si="3">J4-J3</f>
        <v>0</v>
      </c>
      <c r="L4" s="296">
        <f t="shared" ref="L4:L13" si="4">SUM(G4*$Y$28)/1507.5</f>
        <v>0</v>
      </c>
      <c r="M4" s="296">
        <f t="shared" ref="M4:M13" si="5">SUM(I4*$Y$27)/1507.5</f>
        <v>0</v>
      </c>
      <c r="N4" s="296">
        <f t="shared" ref="N4:N13" si="6">SUM(K4*$Y$26)/1507.5</f>
        <v>0</v>
      </c>
      <c r="O4" s="296">
        <f t="shared" ref="O4:O31" si="7">($AC$31/$A$34)/1507.5</f>
        <v>0</v>
      </c>
      <c r="P4" s="297">
        <f>SUM(L4:O4)</f>
        <v>0</v>
      </c>
      <c r="Q4" s="297" t="e">
        <f>SUM(-tanks!AX6*tanks!$AU$34)</f>
        <v>#DIV/0!</v>
      </c>
      <c r="R4" s="297" t="e">
        <f>SUM(P4:Q4)</f>
        <v>#DIV/0!</v>
      </c>
      <c r="S4" s="299">
        <f>SUM(ELEC!N3)</f>
        <v>6404.3999999999069</v>
      </c>
      <c r="T4" s="336" t="e">
        <f>IF(S4&gt;0,R4/S4,0)</f>
        <v>#DIV/0!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9"/>
      <c r="AC4" s="660"/>
    </row>
    <row r="5" spans="1:32" ht="15.75" thickBot="1">
      <c r="A5" s="163">
        <f>ELEC!C4</f>
        <v>44229</v>
      </c>
      <c r="B5" s="540">
        <f t="shared" ref="B5:B31" si="8">B4</f>
        <v>856126</v>
      </c>
      <c r="C5" s="264">
        <f t="shared" si="0"/>
        <v>0</v>
      </c>
      <c r="D5" s="308">
        <f t="shared" ref="D5:D31" si="9">SUM(G5+I5+K5)</f>
        <v>0</v>
      </c>
      <c r="E5" s="308">
        <f>B4+D5</f>
        <v>856126</v>
      </c>
      <c r="F5" s="540">
        <f t="shared" ref="F5:J31" si="10">F4</f>
        <v>129225</v>
      </c>
      <c r="G5" s="160">
        <f t="shared" si="1"/>
        <v>0</v>
      </c>
      <c r="H5" s="540">
        <f t="shared" si="10"/>
        <v>427118</v>
      </c>
      <c r="I5" s="161">
        <f t="shared" si="2"/>
        <v>0</v>
      </c>
      <c r="J5" s="540">
        <f t="shared" si="10"/>
        <v>299782</v>
      </c>
      <c r="K5" s="162">
        <f t="shared" si="3"/>
        <v>0</v>
      </c>
      <c r="L5" s="296">
        <f t="shared" si="4"/>
        <v>0</v>
      </c>
      <c r="M5" s="296">
        <f t="shared" si="5"/>
        <v>0</v>
      </c>
      <c r="N5" s="296">
        <f t="shared" si="6"/>
        <v>0</v>
      </c>
      <c r="O5" s="296">
        <f t="shared" si="7"/>
        <v>0</v>
      </c>
      <c r="P5" s="297">
        <f t="shared" ref="P5:P31" si="11">SUM(L5:O5)</f>
        <v>0</v>
      </c>
      <c r="Q5" s="297" t="e">
        <f>SUM(-tanks!AX7*tanks!$AU$34)</f>
        <v>#DIV/0!</v>
      </c>
      <c r="R5" s="297" t="e">
        <f t="shared" ref="R5:R31" si="12">SUM(P5:Q5)</f>
        <v>#DIV/0!</v>
      </c>
      <c r="S5" s="299">
        <f>SUM(ELEC!N4)</f>
        <v>0</v>
      </c>
      <c r="T5" s="336">
        <f>IF(S5&gt;0,R5/S5,0)</f>
        <v>0</v>
      </c>
      <c r="U5" s="250"/>
      <c r="V5" s="653"/>
      <c r="W5" s="654"/>
      <c r="X5" s="654"/>
      <c r="Y5" s="655"/>
      <c r="Z5" s="26" t="s">
        <v>203</v>
      </c>
      <c r="AA5" s="264">
        <f>'[7]EDl log'!AA22</f>
        <v>5000</v>
      </c>
      <c r="AB5" s="661"/>
      <c r="AC5" s="662"/>
    </row>
    <row r="6" spans="1:32" ht="15.75" thickBot="1">
      <c r="A6" s="163">
        <f>ELEC!C5</f>
        <v>44230</v>
      </c>
      <c r="B6" s="540">
        <f t="shared" si="8"/>
        <v>856126</v>
      </c>
      <c r="C6" s="264">
        <f t="shared" si="0"/>
        <v>0</v>
      </c>
      <c r="D6" s="308">
        <f t="shared" si="9"/>
        <v>0</v>
      </c>
      <c r="E6" s="308">
        <f t="shared" ref="E6:E31" si="13">B5+D6</f>
        <v>856126</v>
      </c>
      <c r="F6" s="540">
        <f t="shared" si="10"/>
        <v>129225</v>
      </c>
      <c r="G6" s="160">
        <f t="shared" si="1"/>
        <v>0</v>
      </c>
      <c r="H6" s="540">
        <f t="shared" si="10"/>
        <v>427118</v>
      </c>
      <c r="I6" s="161">
        <f t="shared" si="2"/>
        <v>0</v>
      </c>
      <c r="J6" s="540">
        <f t="shared" si="10"/>
        <v>299782</v>
      </c>
      <c r="K6" s="162">
        <f t="shared" si="3"/>
        <v>0</v>
      </c>
      <c r="L6" s="296">
        <f t="shared" si="4"/>
        <v>0</v>
      </c>
      <c r="M6" s="296">
        <f t="shared" si="5"/>
        <v>0</v>
      </c>
      <c r="N6" s="296">
        <f t="shared" si="6"/>
        <v>0</v>
      </c>
      <c r="O6" s="296">
        <f t="shared" si="7"/>
        <v>0</v>
      </c>
      <c r="P6" s="297">
        <f t="shared" si="11"/>
        <v>0</v>
      </c>
      <c r="Q6" s="297" t="e">
        <f>SUM(-tanks!AX8*tanks!$AU$34)</f>
        <v>#DIV/0!</v>
      </c>
      <c r="R6" s="297" t="e">
        <f t="shared" si="12"/>
        <v>#DIV/0!</v>
      </c>
      <c r="S6" s="299">
        <f>SUM(ELEC!N5)</f>
        <v>0</v>
      </c>
      <c r="T6" s="336">
        <f t="shared" ref="T6:T31" si="14">IF(S6&gt;0,R6/S6,0)</f>
        <v>0</v>
      </c>
      <c r="V6" s="656"/>
      <c r="W6" s="657"/>
      <c r="X6" s="657"/>
      <c r="Y6" s="658"/>
      <c r="Z6" s="3"/>
      <c r="AA6" s="3"/>
      <c r="AB6" s="661"/>
      <c r="AC6" s="662"/>
    </row>
    <row r="7" spans="1:32" ht="15" customHeight="1" thickBot="1">
      <c r="A7" s="163">
        <f>ELEC!C6</f>
        <v>44231</v>
      </c>
      <c r="B7" s="540">
        <f t="shared" si="8"/>
        <v>856126</v>
      </c>
      <c r="C7" s="264">
        <f t="shared" si="0"/>
        <v>0</v>
      </c>
      <c r="D7" s="308">
        <f t="shared" si="9"/>
        <v>0</v>
      </c>
      <c r="E7" s="308">
        <f t="shared" si="13"/>
        <v>856126</v>
      </c>
      <c r="F7" s="540">
        <f t="shared" si="10"/>
        <v>129225</v>
      </c>
      <c r="G7" s="160">
        <f t="shared" si="1"/>
        <v>0</v>
      </c>
      <c r="H7" s="540">
        <f t="shared" si="10"/>
        <v>427118</v>
      </c>
      <c r="I7" s="161">
        <f t="shared" si="2"/>
        <v>0</v>
      </c>
      <c r="J7" s="540">
        <f t="shared" si="10"/>
        <v>299782</v>
      </c>
      <c r="K7" s="162">
        <f t="shared" si="3"/>
        <v>0</v>
      </c>
      <c r="L7" s="296">
        <f t="shared" si="4"/>
        <v>0</v>
      </c>
      <c r="M7" s="296">
        <f t="shared" si="5"/>
        <v>0</v>
      </c>
      <c r="N7" s="296">
        <f t="shared" si="6"/>
        <v>0</v>
      </c>
      <c r="O7" s="296">
        <f t="shared" si="7"/>
        <v>0</v>
      </c>
      <c r="P7" s="297">
        <f t="shared" si="11"/>
        <v>0</v>
      </c>
      <c r="Q7" s="297" t="e">
        <f>SUM(-tanks!AX9*tanks!$AU$34)</f>
        <v>#DIV/0!</v>
      </c>
      <c r="R7" s="297" t="e">
        <f t="shared" si="12"/>
        <v>#DIV/0!</v>
      </c>
      <c r="S7" s="299">
        <f>SUM(ELEC!N6)</f>
        <v>0</v>
      </c>
      <c r="T7" s="336">
        <f t="shared" si="14"/>
        <v>0</v>
      </c>
      <c r="V7" s="649" t="s">
        <v>204</v>
      </c>
      <c r="W7" s="650"/>
      <c r="X7" s="651" t="s">
        <v>205</v>
      </c>
      <c r="Y7" s="652"/>
      <c r="Z7" s="650"/>
      <c r="AA7" s="26"/>
      <c r="AB7" s="663"/>
      <c r="AC7" s="664"/>
    </row>
    <row r="8" spans="1:32" ht="15.75" customHeight="1" thickBot="1">
      <c r="A8" s="163">
        <f>ELEC!C7</f>
        <v>44232</v>
      </c>
      <c r="B8" s="540">
        <f t="shared" si="8"/>
        <v>856126</v>
      </c>
      <c r="C8" s="264">
        <f t="shared" si="0"/>
        <v>0</v>
      </c>
      <c r="D8" s="308">
        <f t="shared" si="9"/>
        <v>0</v>
      </c>
      <c r="E8" s="308">
        <f t="shared" si="13"/>
        <v>856126</v>
      </c>
      <c r="F8" s="540">
        <f t="shared" si="10"/>
        <v>129225</v>
      </c>
      <c r="G8" s="160">
        <f t="shared" si="1"/>
        <v>0</v>
      </c>
      <c r="H8" s="540">
        <f t="shared" si="10"/>
        <v>427118</v>
      </c>
      <c r="I8" s="161">
        <f t="shared" si="2"/>
        <v>0</v>
      </c>
      <c r="J8" s="540">
        <f t="shared" si="10"/>
        <v>299782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7"/>
        <v>0</v>
      </c>
      <c r="P8" s="297">
        <f t="shared" si="11"/>
        <v>0</v>
      </c>
      <c r="Q8" s="297" t="e">
        <f>SUM(-tanks!AX10*tanks!$AU$34)</f>
        <v>#DIV/0!</v>
      </c>
      <c r="R8" s="297" t="e">
        <f t="shared" si="12"/>
        <v>#DIV/0!</v>
      </c>
      <c r="S8" s="299">
        <f>SUM(ELEC!N7)</f>
        <v>0</v>
      </c>
      <c r="T8" s="336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44233</v>
      </c>
      <c r="B9" s="540">
        <f t="shared" si="8"/>
        <v>856126</v>
      </c>
      <c r="C9" s="264">
        <f t="shared" si="0"/>
        <v>0</v>
      </c>
      <c r="D9" s="308">
        <f t="shared" si="9"/>
        <v>0</v>
      </c>
      <c r="E9" s="308">
        <f t="shared" si="13"/>
        <v>856126</v>
      </c>
      <c r="F9" s="540">
        <f t="shared" si="10"/>
        <v>129225</v>
      </c>
      <c r="G9" s="160">
        <f t="shared" si="1"/>
        <v>0</v>
      </c>
      <c r="H9" s="540">
        <f t="shared" si="10"/>
        <v>427118</v>
      </c>
      <c r="I9" s="161">
        <f t="shared" si="2"/>
        <v>0</v>
      </c>
      <c r="J9" s="540">
        <f t="shared" si="10"/>
        <v>299782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7"/>
        <v>0</v>
      </c>
      <c r="P9" s="297">
        <f t="shared" si="11"/>
        <v>0</v>
      </c>
      <c r="Q9" s="297" t="e">
        <f>SUM(-tanks!AX11*tanks!$AU$34)</f>
        <v>#DIV/0!</v>
      </c>
      <c r="R9" s="297" t="e">
        <f>SUM(P9:Q9)</f>
        <v>#DIV/0!</v>
      </c>
      <c r="S9" s="299">
        <f>SUM(ELEC!N8)</f>
        <v>0</v>
      </c>
      <c r="T9" s="336">
        <f t="shared" si="14"/>
        <v>0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.75" thickBot="1">
      <c r="A10" s="163">
        <f>ELEC!C9</f>
        <v>44234</v>
      </c>
      <c r="B10" s="540">
        <f t="shared" si="8"/>
        <v>856126</v>
      </c>
      <c r="C10" s="264">
        <f t="shared" si="0"/>
        <v>0</v>
      </c>
      <c r="D10" s="308">
        <f t="shared" si="9"/>
        <v>0</v>
      </c>
      <c r="E10" s="308">
        <f t="shared" si="13"/>
        <v>856126</v>
      </c>
      <c r="F10" s="540">
        <f t="shared" si="10"/>
        <v>129225</v>
      </c>
      <c r="G10" s="160">
        <f t="shared" si="1"/>
        <v>0</v>
      </c>
      <c r="H10" s="540">
        <f t="shared" si="10"/>
        <v>427118</v>
      </c>
      <c r="I10" s="161">
        <f t="shared" si="2"/>
        <v>0</v>
      </c>
      <c r="J10" s="540">
        <f t="shared" si="10"/>
        <v>299782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7"/>
        <v>0</v>
      </c>
      <c r="P10" s="297">
        <f t="shared" si="11"/>
        <v>0</v>
      </c>
      <c r="Q10" s="297" t="e">
        <f>SUM(-tanks!AX12*tanks!$AU$34)</f>
        <v>#DIV/0!</v>
      </c>
      <c r="R10" s="297" t="e">
        <f t="shared" si="12"/>
        <v>#DIV/0!</v>
      </c>
      <c r="S10" s="299">
        <f>SUM(ELEC!N9)</f>
        <v>0</v>
      </c>
      <c r="T10" s="336">
        <f t="shared" si="14"/>
        <v>0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.75" thickBot="1">
      <c r="A11" s="163">
        <f>ELEC!C10</f>
        <v>44235</v>
      </c>
      <c r="B11" s="540">
        <f t="shared" si="8"/>
        <v>856126</v>
      </c>
      <c r="C11" s="264">
        <f t="shared" si="0"/>
        <v>0</v>
      </c>
      <c r="D11" s="308">
        <f>SUM(G11+I11+K11)</f>
        <v>0</v>
      </c>
      <c r="E11" s="308">
        <f t="shared" si="13"/>
        <v>856126</v>
      </c>
      <c r="F11" s="540">
        <f t="shared" si="10"/>
        <v>129225</v>
      </c>
      <c r="G11" s="160">
        <f t="shared" si="1"/>
        <v>0</v>
      </c>
      <c r="H11" s="540">
        <f t="shared" si="10"/>
        <v>427118</v>
      </c>
      <c r="I11" s="161">
        <f t="shared" si="2"/>
        <v>0</v>
      </c>
      <c r="J11" s="540">
        <f t="shared" si="10"/>
        <v>299782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7"/>
        <v>0</v>
      </c>
      <c r="P11" s="297">
        <f t="shared" si="11"/>
        <v>0</v>
      </c>
      <c r="Q11" s="297" t="e">
        <f>SUM(-tanks!AX13*tanks!$AU$34)</f>
        <v>#DIV/0!</v>
      </c>
      <c r="R11" s="297" t="e">
        <f t="shared" si="12"/>
        <v>#DIV/0!</v>
      </c>
      <c r="S11" s="299">
        <f>SUM(ELEC!N10)</f>
        <v>0</v>
      </c>
      <c r="T11" s="336">
        <f t="shared" si="14"/>
        <v>0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.75" thickBot="1">
      <c r="A12" s="163">
        <f>ELEC!C11</f>
        <v>44236</v>
      </c>
      <c r="B12" s="540">
        <f t="shared" si="8"/>
        <v>856126</v>
      </c>
      <c r="C12" s="264">
        <f t="shared" si="0"/>
        <v>0</v>
      </c>
      <c r="D12" s="308">
        <f t="shared" si="9"/>
        <v>0</v>
      </c>
      <c r="E12" s="308">
        <f t="shared" si="13"/>
        <v>856126</v>
      </c>
      <c r="F12" s="540">
        <f t="shared" si="10"/>
        <v>129225</v>
      </c>
      <c r="G12" s="160">
        <f t="shared" si="1"/>
        <v>0</v>
      </c>
      <c r="H12" s="540">
        <f t="shared" si="10"/>
        <v>427118</v>
      </c>
      <c r="I12" s="161">
        <f t="shared" si="2"/>
        <v>0</v>
      </c>
      <c r="J12" s="540">
        <f t="shared" si="10"/>
        <v>299782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7"/>
        <v>0</v>
      </c>
      <c r="P12" s="297">
        <f t="shared" si="11"/>
        <v>0</v>
      </c>
      <c r="Q12" s="297" t="e">
        <f>SUM(-tanks!AX14*tanks!$AU$34)</f>
        <v>#DIV/0!</v>
      </c>
      <c r="R12" s="297" t="e">
        <f t="shared" si="12"/>
        <v>#DIV/0!</v>
      </c>
      <c r="S12" s="299">
        <f>SUM(ELEC!N11)</f>
        <v>0</v>
      </c>
      <c r="T12" s="336">
        <f t="shared" si="14"/>
        <v>0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.75" thickBot="1">
      <c r="A13" s="163">
        <f>ELEC!C12</f>
        <v>44237</v>
      </c>
      <c r="B13" s="540">
        <f t="shared" si="8"/>
        <v>856126</v>
      </c>
      <c r="C13" s="264">
        <f t="shared" si="0"/>
        <v>0</v>
      </c>
      <c r="D13" s="308">
        <f t="shared" si="9"/>
        <v>0</v>
      </c>
      <c r="E13" s="308">
        <f t="shared" si="13"/>
        <v>856126</v>
      </c>
      <c r="F13" s="540">
        <f t="shared" si="10"/>
        <v>129225</v>
      </c>
      <c r="G13" s="160">
        <f t="shared" si="1"/>
        <v>0</v>
      </c>
      <c r="H13" s="540">
        <f t="shared" si="10"/>
        <v>427118</v>
      </c>
      <c r="I13" s="161">
        <f t="shared" si="2"/>
        <v>0</v>
      </c>
      <c r="J13" s="540">
        <f t="shared" si="10"/>
        <v>299782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7"/>
        <v>0</v>
      </c>
      <c r="P13" s="297">
        <f t="shared" si="11"/>
        <v>0</v>
      </c>
      <c r="Q13" s="297" t="e">
        <f>SUM(-tanks!AX15*tanks!$AU$34)</f>
        <v>#DIV/0!</v>
      </c>
      <c r="R13" s="297" t="e">
        <f t="shared" si="12"/>
        <v>#DIV/0!</v>
      </c>
      <c r="S13" s="299">
        <f>SUM(ELEC!N12)</f>
        <v>0</v>
      </c>
      <c r="T13" s="336">
        <f>IF(S13&gt;0,R13/S13,0)</f>
        <v>0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.75" thickBot="1">
      <c r="A14" s="163">
        <f>ELEC!C13</f>
        <v>44238</v>
      </c>
      <c r="B14" s="540">
        <f t="shared" si="8"/>
        <v>856126</v>
      </c>
      <c r="C14" s="264">
        <f t="shared" si="0"/>
        <v>0</v>
      </c>
      <c r="D14" s="308">
        <f t="shared" si="9"/>
        <v>0</v>
      </c>
      <c r="E14" s="308">
        <f t="shared" si="13"/>
        <v>856126</v>
      </c>
      <c r="F14" s="540">
        <f t="shared" si="10"/>
        <v>129225</v>
      </c>
      <c r="G14" s="160">
        <f t="shared" si="1"/>
        <v>0</v>
      </c>
      <c r="H14" s="540">
        <f t="shared" si="10"/>
        <v>427118</v>
      </c>
      <c r="I14" s="161">
        <f t="shared" si="2"/>
        <v>0</v>
      </c>
      <c r="J14" s="540">
        <f t="shared" si="10"/>
        <v>299782</v>
      </c>
      <c r="K14" s="162">
        <f t="shared" ref="K14:K17" si="15">J14-J13</f>
        <v>0</v>
      </c>
      <c r="L14" s="296">
        <f t="shared" ref="L14:L17" si="16">SUM(G14*$Y$28)/1507.5</f>
        <v>0</v>
      </c>
      <c r="M14" s="296">
        <f t="shared" ref="M14:M17" si="17">SUM(I14*$Y$27)/1507.5</f>
        <v>0</v>
      </c>
      <c r="N14" s="296">
        <f t="shared" ref="N14:N17" si="18">SUM(K14*$Y$26)/1507.5</f>
        <v>0</v>
      </c>
      <c r="O14" s="296">
        <f t="shared" si="7"/>
        <v>0</v>
      </c>
      <c r="P14" s="297">
        <f t="shared" ref="P14:P17" si="19">SUM(L14:O14)</f>
        <v>0</v>
      </c>
      <c r="Q14" s="297" t="e">
        <f>SUM(-tanks!AX16*tanks!$AU$34)</f>
        <v>#DIV/0!</v>
      </c>
      <c r="R14" s="297" t="e">
        <f t="shared" ref="R14:R17" si="20">SUM(P14:Q14)</f>
        <v>#DIV/0!</v>
      </c>
      <c r="S14" s="299">
        <f>SUM(ELEC!N13)</f>
        <v>0</v>
      </c>
      <c r="T14" s="336">
        <f t="shared" ref="T14:T17" si="21">IF(S14&gt;0,R14/S14,0)</f>
        <v>0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.75" thickBot="1">
      <c r="A15" s="163">
        <f>ELEC!C14</f>
        <v>44239</v>
      </c>
      <c r="B15" s="540">
        <f t="shared" si="8"/>
        <v>856126</v>
      </c>
      <c r="C15" s="264">
        <f t="shared" si="0"/>
        <v>0</v>
      </c>
      <c r="D15" s="308">
        <f t="shared" si="9"/>
        <v>0</v>
      </c>
      <c r="E15" s="308">
        <f t="shared" si="13"/>
        <v>856126</v>
      </c>
      <c r="F15" s="540">
        <f t="shared" si="10"/>
        <v>129225</v>
      </c>
      <c r="G15" s="160">
        <f t="shared" si="1"/>
        <v>0</v>
      </c>
      <c r="H15" s="540">
        <f t="shared" si="10"/>
        <v>427118</v>
      </c>
      <c r="I15" s="161">
        <f t="shared" si="2"/>
        <v>0</v>
      </c>
      <c r="J15" s="540">
        <f t="shared" si="10"/>
        <v>299782</v>
      </c>
      <c r="K15" s="162">
        <f t="shared" si="15"/>
        <v>0</v>
      </c>
      <c r="L15" s="296">
        <f t="shared" si="16"/>
        <v>0</v>
      </c>
      <c r="M15" s="296">
        <f t="shared" si="17"/>
        <v>0</v>
      </c>
      <c r="N15" s="296">
        <f t="shared" si="18"/>
        <v>0</v>
      </c>
      <c r="O15" s="296">
        <f t="shared" si="7"/>
        <v>0</v>
      </c>
      <c r="P15" s="297">
        <f t="shared" si="19"/>
        <v>0</v>
      </c>
      <c r="Q15" s="297" t="e">
        <f>SUM(-tanks!AX17*tanks!$AU$34)</f>
        <v>#DIV/0!</v>
      </c>
      <c r="R15" s="297" t="e">
        <f t="shared" si="20"/>
        <v>#DIV/0!</v>
      </c>
      <c r="S15" s="299">
        <f>SUM(ELEC!N14)</f>
        <v>0</v>
      </c>
      <c r="T15" s="336">
        <f t="shared" si="21"/>
        <v>0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.75" thickBot="1">
      <c r="A16" s="163">
        <f>ELEC!C15</f>
        <v>44240</v>
      </c>
      <c r="B16" s="540">
        <f t="shared" si="8"/>
        <v>856126</v>
      </c>
      <c r="C16" s="264">
        <f t="shared" si="0"/>
        <v>0</v>
      </c>
      <c r="D16" s="308">
        <f t="shared" si="9"/>
        <v>0</v>
      </c>
      <c r="E16" s="308">
        <f t="shared" si="13"/>
        <v>856126</v>
      </c>
      <c r="F16" s="540">
        <f t="shared" si="10"/>
        <v>129225</v>
      </c>
      <c r="G16" s="160">
        <f t="shared" si="1"/>
        <v>0</v>
      </c>
      <c r="H16" s="540">
        <f t="shared" si="10"/>
        <v>427118</v>
      </c>
      <c r="I16" s="161">
        <f t="shared" si="2"/>
        <v>0</v>
      </c>
      <c r="J16" s="540">
        <f t="shared" si="10"/>
        <v>299782</v>
      </c>
      <c r="K16" s="162">
        <f t="shared" si="15"/>
        <v>0</v>
      </c>
      <c r="L16" s="296">
        <f t="shared" si="16"/>
        <v>0</v>
      </c>
      <c r="M16" s="296">
        <f t="shared" si="17"/>
        <v>0</v>
      </c>
      <c r="N16" s="296">
        <f t="shared" si="18"/>
        <v>0</v>
      </c>
      <c r="O16" s="296">
        <f t="shared" si="7"/>
        <v>0</v>
      </c>
      <c r="P16" s="297">
        <f t="shared" si="19"/>
        <v>0</v>
      </c>
      <c r="Q16" s="297" t="e">
        <f>SUM(-tanks!AX18*tanks!$AU$34)</f>
        <v>#DIV/0!</v>
      </c>
      <c r="R16" s="297" t="e">
        <f t="shared" si="20"/>
        <v>#DIV/0!</v>
      </c>
      <c r="S16" s="299">
        <f>SUM(ELEC!N15)</f>
        <v>0</v>
      </c>
      <c r="T16" s="336">
        <f t="shared" si="21"/>
        <v>0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.75" thickBot="1">
      <c r="A17" s="163">
        <f>ELEC!C16</f>
        <v>44241</v>
      </c>
      <c r="B17" s="540">
        <f t="shared" si="8"/>
        <v>856126</v>
      </c>
      <c r="C17" s="264">
        <f t="shared" si="0"/>
        <v>0</v>
      </c>
      <c r="D17" s="308">
        <f t="shared" si="9"/>
        <v>0</v>
      </c>
      <c r="E17" s="308">
        <f t="shared" si="13"/>
        <v>856126</v>
      </c>
      <c r="F17" s="540">
        <f t="shared" si="10"/>
        <v>129225</v>
      </c>
      <c r="G17" s="160">
        <f t="shared" si="1"/>
        <v>0</v>
      </c>
      <c r="H17" s="540">
        <f t="shared" si="10"/>
        <v>427118</v>
      </c>
      <c r="I17" s="161">
        <f t="shared" si="2"/>
        <v>0</v>
      </c>
      <c r="J17" s="540">
        <f t="shared" si="10"/>
        <v>299782</v>
      </c>
      <c r="K17" s="162">
        <f t="shared" si="15"/>
        <v>0</v>
      </c>
      <c r="L17" s="296">
        <f t="shared" si="16"/>
        <v>0</v>
      </c>
      <c r="M17" s="296">
        <f t="shared" si="17"/>
        <v>0</v>
      </c>
      <c r="N17" s="296">
        <f t="shared" si="18"/>
        <v>0</v>
      </c>
      <c r="O17" s="296">
        <f t="shared" si="7"/>
        <v>0</v>
      </c>
      <c r="P17" s="297">
        <f t="shared" si="19"/>
        <v>0</v>
      </c>
      <c r="Q17" s="297" t="e">
        <f>SUM(-tanks!AX19*tanks!$AU$34)</f>
        <v>#DIV/0!</v>
      </c>
      <c r="R17" s="297" t="e">
        <f t="shared" si="20"/>
        <v>#DIV/0!</v>
      </c>
      <c r="S17" s="299">
        <f>SUM(ELEC!N16)</f>
        <v>0</v>
      </c>
      <c r="T17" s="336">
        <f t="shared" si="21"/>
        <v>0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.75" thickBot="1">
      <c r="A18" s="163">
        <f>ELEC!C17</f>
        <v>44242</v>
      </c>
      <c r="B18" s="540">
        <f t="shared" si="8"/>
        <v>856126</v>
      </c>
      <c r="C18" s="264">
        <f t="shared" si="0"/>
        <v>0</v>
      </c>
      <c r="D18" s="308">
        <f t="shared" si="9"/>
        <v>0</v>
      </c>
      <c r="E18" s="308">
        <f t="shared" si="13"/>
        <v>856126</v>
      </c>
      <c r="F18" s="540">
        <f t="shared" si="10"/>
        <v>129225</v>
      </c>
      <c r="G18" s="160">
        <f t="shared" si="1"/>
        <v>0</v>
      </c>
      <c r="H18" s="540">
        <f t="shared" si="10"/>
        <v>427118</v>
      </c>
      <c r="I18" s="161">
        <f t="shared" si="2"/>
        <v>0</v>
      </c>
      <c r="J18" s="540">
        <f t="shared" si="10"/>
        <v>299782</v>
      </c>
      <c r="K18" s="162">
        <f t="shared" si="3"/>
        <v>0</v>
      </c>
      <c r="L18" s="296">
        <f t="shared" ref="L18:L31" si="22">SUM(G18*$Y$28)/1507.5</f>
        <v>0</v>
      </c>
      <c r="M18" s="296">
        <f t="shared" ref="M18:M31" si="23">SUM(I18*$Y$27)/1507.5</f>
        <v>0</v>
      </c>
      <c r="N18" s="296">
        <f t="shared" ref="N18:N31" si="24">SUM(K18*$Y$26)/1507.5</f>
        <v>0</v>
      </c>
      <c r="O18" s="296">
        <f t="shared" si="7"/>
        <v>0</v>
      </c>
      <c r="P18" s="297">
        <f t="shared" si="11"/>
        <v>0</v>
      </c>
      <c r="Q18" s="297" t="e">
        <f>SUM(-tanks!AX20*tanks!$AU$34)</f>
        <v>#DIV/0!</v>
      </c>
      <c r="R18" s="297" t="e">
        <f t="shared" si="12"/>
        <v>#DIV/0!</v>
      </c>
      <c r="S18" s="299">
        <f>SUM(ELEC!N17)</f>
        <v>0</v>
      </c>
      <c r="T18" s="336">
        <f t="shared" si="14"/>
        <v>0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.75" thickBot="1">
      <c r="A19" s="163">
        <f>ELEC!C18</f>
        <v>44243</v>
      </c>
      <c r="B19" s="540">
        <f t="shared" si="8"/>
        <v>856126</v>
      </c>
      <c r="C19" s="264">
        <f t="shared" si="0"/>
        <v>0</v>
      </c>
      <c r="D19" s="308">
        <f t="shared" si="9"/>
        <v>0</v>
      </c>
      <c r="E19" s="308">
        <f t="shared" si="13"/>
        <v>856126</v>
      </c>
      <c r="F19" s="540">
        <f t="shared" si="10"/>
        <v>129225</v>
      </c>
      <c r="G19" s="160">
        <f t="shared" si="1"/>
        <v>0</v>
      </c>
      <c r="H19" s="540">
        <f t="shared" si="10"/>
        <v>427118</v>
      </c>
      <c r="I19" s="161">
        <f t="shared" si="2"/>
        <v>0</v>
      </c>
      <c r="J19" s="540">
        <f t="shared" si="10"/>
        <v>299782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7"/>
        <v>0</v>
      </c>
      <c r="P19" s="297">
        <f t="shared" si="11"/>
        <v>0</v>
      </c>
      <c r="Q19" s="297" t="e">
        <f>SUM(-tanks!AX21*tanks!$AU$34)</f>
        <v>#DIV/0!</v>
      </c>
      <c r="R19" s="297" t="e">
        <f t="shared" si="12"/>
        <v>#DIV/0!</v>
      </c>
      <c r="S19" s="299">
        <f>SUM(ELEC!N18)</f>
        <v>0</v>
      </c>
      <c r="T19" s="336">
        <f t="shared" si="14"/>
        <v>0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.75" thickBot="1">
      <c r="A20" s="163">
        <f>ELEC!C19</f>
        <v>44244</v>
      </c>
      <c r="B20" s="540">
        <f t="shared" si="8"/>
        <v>856126</v>
      </c>
      <c r="C20" s="264">
        <f t="shared" si="0"/>
        <v>0</v>
      </c>
      <c r="D20" s="308">
        <f t="shared" si="9"/>
        <v>0</v>
      </c>
      <c r="E20" s="308">
        <f t="shared" si="13"/>
        <v>856126</v>
      </c>
      <c r="F20" s="540">
        <f t="shared" si="10"/>
        <v>129225</v>
      </c>
      <c r="G20" s="160">
        <f t="shared" si="1"/>
        <v>0</v>
      </c>
      <c r="H20" s="540">
        <f t="shared" si="10"/>
        <v>427118</v>
      </c>
      <c r="I20" s="161">
        <f t="shared" si="2"/>
        <v>0</v>
      </c>
      <c r="J20" s="540">
        <f t="shared" si="10"/>
        <v>299782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7"/>
        <v>0</v>
      </c>
      <c r="P20" s="297">
        <f t="shared" si="11"/>
        <v>0</v>
      </c>
      <c r="Q20" s="297" t="e">
        <f>SUM(-tanks!AX22*tanks!$AU$34)</f>
        <v>#DIV/0!</v>
      </c>
      <c r="R20" s="297" t="e">
        <f t="shared" si="12"/>
        <v>#DIV/0!</v>
      </c>
      <c r="S20" s="299">
        <f>SUM(ELEC!N19)</f>
        <v>0</v>
      </c>
      <c r="T20" s="336">
        <f t="shared" si="14"/>
        <v>0</v>
      </c>
      <c r="V20" t="s">
        <v>412</v>
      </c>
      <c r="AB20" s="571"/>
    </row>
    <row r="21" spans="1:32" ht="15.75" thickBot="1">
      <c r="A21" s="163">
        <f>ELEC!C20</f>
        <v>44245</v>
      </c>
      <c r="B21" s="540">
        <f t="shared" si="8"/>
        <v>856126</v>
      </c>
      <c r="C21" s="264">
        <f t="shared" si="0"/>
        <v>0</v>
      </c>
      <c r="D21" s="308">
        <f t="shared" si="9"/>
        <v>0</v>
      </c>
      <c r="E21" s="308">
        <f t="shared" si="13"/>
        <v>856126</v>
      </c>
      <c r="F21" s="540">
        <f t="shared" si="10"/>
        <v>129225</v>
      </c>
      <c r="G21" s="160">
        <f t="shared" si="1"/>
        <v>0</v>
      </c>
      <c r="H21" s="540">
        <f t="shared" si="10"/>
        <v>427118</v>
      </c>
      <c r="I21" s="161">
        <f t="shared" si="2"/>
        <v>0</v>
      </c>
      <c r="J21" s="540">
        <f t="shared" si="10"/>
        <v>299782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7"/>
        <v>0</v>
      </c>
      <c r="P21" s="297">
        <f t="shared" si="11"/>
        <v>0</v>
      </c>
      <c r="Q21" s="297" t="e">
        <f>SUM(-tanks!AX23*tanks!$AU$34)</f>
        <v>#DIV/0!</v>
      </c>
      <c r="R21" s="297" t="e">
        <f t="shared" si="12"/>
        <v>#DIV/0!</v>
      </c>
      <c r="S21" s="299">
        <f>SUM(ELEC!N20)</f>
        <v>0</v>
      </c>
      <c r="T21" s="336">
        <f t="shared" si="14"/>
        <v>0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9"/>
      <c r="AC21" s="660"/>
    </row>
    <row r="22" spans="1:32" ht="15.75" thickBot="1">
      <c r="A22" s="163">
        <f>ELEC!C21</f>
        <v>44246</v>
      </c>
      <c r="B22" s="540">
        <f t="shared" si="8"/>
        <v>856126</v>
      </c>
      <c r="C22" s="264">
        <f t="shared" si="0"/>
        <v>0</v>
      </c>
      <c r="D22" s="308">
        <f t="shared" si="9"/>
        <v>0</v>
      </c>
      <c r="E22" s="308">
        <f t="shared" si="13"/>
        <v>856126</v>
      </c>
      <c r="F22" s="540">
        <f t="shared" si="10"/>
        <v>129225</v>
      </c>
      <c r="G22" s="160">
        <f t="shared" si="1"/>
        <v>0</v>
      </c>
      <c r="H22" s="540">
        <f t="shared" si="10"/>
        <v>427118</v>
      </c>
      <c r="I22" s="161">
        <f t="shared" si="2"/>
        <v>0</v>
      </c>
      <c r="J22" s="540">
        <f t="shared" si="10"/>
        <v>299782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7"/>
        <v>0</v>
      </c>
      <c r="P22" s="297">
        <f t="shared" si="11"/>
        <v>0</v>
      </c>
      <c r="Q22" s="297" t="e">
        <f>SUM(-tanks!AX24*tanks!$AU$34)</f>
        <v>#DIV/0!</v>
      </c>
      <c r="R22" s="297" t="e">
        <f t="shared" si="12"/>
        <v>#DIV/0!</v>
      </c>
      <c r="S22" s="299">
        <f>SUM(ELEC!N21)</f>
        <v>0</v>
      </c>
      <c r="T22" s="336">
        <f t="shared" si="14"/>
        <v>0</v>
      </c>
      <c r="V22" s="665"/>
      <c r="W22" s="666"/>
      <c r="X22" s="666"/>
      <c r="Y22" s="667"/>
      <c r="Z22" s="26" t="s">
        <v>203</v>
      </c>
      <c r="AA22" s="26">
        <v>5000</v>
      </c>
      <c r="AB22" s="661"/>
      <c r="AC22" s="662"/>
    </row>
    <row r="23" spans="1:32" ht="15.75" thickBot="1">
      <c r="A23" s="163">
        <f>ELEC!C22</f>
        <v>44247</v>
      </c>
      <c r="B23" s="540">
        <f t="shared" si="8"/>
        <v>856126</v>
      </c>
      <c r="C23" s="264">
        <f t="shared" si="0"/>
        <v>0</v>
      </c>
      <c r="D23" s="308">
        <f t="shared" si="9"/>
        <v>0</v>
      </c>
      <c r="E23" s="308">
        <f t="shared" si="13"/>
        <v>856126</v>
      </c>
      <c r="F23" s="540">
        <f t="shared" si="10"/>
        <v>129225</v>
      </c>
      <c r="G23" s="160">
        <f t="shared" si="1"/>
        <v>0</v>
      </c>
      <c r="H23" s="540">
        <f t="shared" si="10"/>
        <v>427118</v>
      </c>
      <c r="I23" s="161">
        <f t="shared" si="2"/>
        <v>0</v>
      </c>
      <c r="J23" s="540">
        <f t="shared" si="10"/>
        <v>299782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7"/>
        <v>0</v>
      </c>
      <c r="P23" s="297">
        <f t="shared" si="11"/>
        <v>0</v>
      </c>
      <c r="Q23" s="297" t="e">
        <f>SUM(-tanks!AX25*tanks!$AU$34)</f>
        <v>#DIV/0!</v>
      </c>
      <c r="R23" s="297" t="e">
        <f t="shared" si="12"/>
        <v>#DIV/0!</v>
      </c>
      <c r="S23" s="299">
        <f>SUM(ELEC!N22)</f>
        <v>0</v>
      </c>
      <c r="T23" s="336">
        <f t="shared" si="14"/>
        <v>0</v>
      </c>
      <c r="V23" s="668"/>
      <c r="W23" s="669"/>
      <c r="X23" s="669"/>
      <c r="Y23" s="670"/>
      <c r="Z23" s="671"/>
      <c r="AA23" s="672"/>
      <c r="AB23" s="661"/>
      <c r="AC23" s="662"/>
    </row>
    <row r="24" spans="1:32" ht="15" customHeight="1" thickBot="1">
      <c r="A24" s="163">
        <f>ELEC!C23</f>
        <v>44248</v>
      </c>
      <c r="B24" s="540">
        <f t="shared" si="8"/>
        <v>856126</v>
      </c>
      <c r="C24" s="264">
        <f t="shared" si="0"/>
        <v>0</v>
      </c>
      <c r="D24" s="308">
        <f t="shared" si="9"/>
        <v>0</v>
      </c>
      <c r="E24" s="308">
        <f t="shared" si="13"/>
        <v>856126</v>
      </c>
      <c r="F24" s="540">
        <f t="shared" si="10"/>
        <v>129225</v>
      </c>
      <c r="G24" s="160">
        <f t="shared" si="1"/>
        <v>0</v>
      </c>
      <c r="H24" s="540">
        <f t="shared" si="10"/>
        <v>427118</v>
      </c>
      <c r="I24" s="161">
        <f t="shared" si="2"/>
        <v>0</v>
      </c>
      <c r="J24" s="540">
        <f t="shared" si="10"/>
        <v>299782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7"/>
        <v>0</v>
      </c>
      <c r="P24" s="297">
        <f t="shared" si="11"/>
        <v>0</v>
      </c>
      <c r="Q24" s="297" t="e">
        <f>SUM(-tanks!AX26*tanks!$AU$34)</f>
        <v>#DIV/0!</v>
      </c>
      <c r="R24" s="297" t="e">
        <f t="shared" si="12"/>
        <v>#DIV/0!</v>
      </c>
      <c r="S24" s="299">
        <f>SUM(ELEC!N23)</f>
        <v>0</v>
      </c>
      <c r="T24" s="336">
        <f t="shared" si="14"/>
        <v>0</v>
      </c>
      <c r="V24" s="673" t="s">
        <v>204</v>
      </c>
      <c r="W24" s="674"/>
      <c r="X24" s="675" t="s">
        <v>205</v>
      </c>
      <c r="Y24" s="676"/>
      <c r="Z24" s="677"/>
      <c r="AA24" s="170"/>
      <c r="AB24" s="663"/>
      <c r="AC24" s="664"/>
    </row>
    <row r="25" spans="1:32" ht="17.25" customHeight="1" thickBot="1">
      <c r="A25" s="163">
        <f>ELEC!C24</f>
        <v>44249</v>
      </c>
      <c r="B25" s="540">
        <f t="shared" si="8"/>
        <v>856126</v>
      </c>
      <c r="C25" s="264">
        <f t="shared" si="0"/>
        <v>0</v>
      </c>
      <c r="D25" s="308">
        <f t="shared" si="9"/>
        <v>0</v>
      </c>
      <c r="E25" s="308">
        <f t="shared" si="13"/>
        <v>856126</v>
      </c>
      <c r="F25" s="540">
        <f t="shared" si="10"/>
        <v>129225</v>
      </c>
      <c r="G25" s="160">
        <f t="shared" si="1"/>
        <v>0</v>
      </c>
      <c r="H25" s="540">
        <f t="shared" si="10"/>
        <v>427118</v>
      </c>
      <c r="I25" s="161">
        <f t="shared" si="2"/>
        <v>0</v>
      </c>
      <c r="J25" s="540">
        <f t="shared" si="10"/>
        <v>299782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7"/>
        <v>0</v>
      </c>
      <c r="P25" s="297">
        <f t="shared" si="11"/>
        <v>0</v>
      </c>
      <c r="Q25" s="297" t="e">
        <f>SUM(-tanks!AX27*tanks!$AU$34)</f>
        <v>#DIV/0!</v>
      </c>
      <c r="R25" s="297" t="e">
        <f t="shared" si="12"/>
        <v>#DIV/0!</v>
      </c>
      <c r="S25" s="299">
        <f>SUM(ELEC!N24)</f>
        <v>0</v>
      </c>
      <c r="T25" s="336">
        <f t="shared" si="14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44250</v>
      </c>
      <c r="B26" s="540">
        <f t="shared" si="8"/>
        <v>856126</v>
      </c>
      <c r="C26" s="264">
        <f t="shared" si="0"/>
        <v>0</v>
      </c>
      <c r="D26" s="308">
        <f t="shared" si="9"/>
        <v>0</v>
      </c>
      <c r="E26" s="308">
        <f t="shared" si="13"/>
        <v>856126</v>
      </c>
      <c r="F26" s="540">
        <f t="shared" si="10"/>
        <v>129225</v>
      </c>
      <c r="G26" s="160">
        <f t="shared" si="1"/>
        <v>0</v>
      </c>
      <c r="H26" s="540">
        <f t="shared" si="10"/>
        <v>427118</v>
      </c>
      <c r="I26" s="161">
        <f t="shared" si="2"/>
        <v>0</v>
      </c>
      <c r="J26" s="540">
        <f t="shared" si="10"/>
        <v>299782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7"/>
        <v>0</v>
      </c>
      <c r="P26" s="297">
        <f t="shared" si="11"/>
        <v>0</v>
      </c>
      <c r="Q26" s="297" t="e">
        <f>SUM(-tanks!AX28*tanks!$AU$34)</f>
        <v>#DIV/0!</v>
      </c>
      <c r="R26" s="297" t="e">
        <f t="shared" si="12"/>
        <v>#DIV/0!</v>
      </c>
      <c r="S26" s="299">
        <f>SUM(ELEC!N25)</f>
        <v>0</v>
      </c>
      <c r="T26" s="336">
        <f t="shared" si="14"/>
        <v>0</v>
      </c>
      <c r="V26" s="254">
        <f>W9</f>
        <v>297890</v>
      </c>
      <c r="W26" s="170" t="e">
        <f>#REF!</f>
        <v>#REF!</v>
      </c>
      <c r="X26" s="172" t="s">
        <v>199</v>
      </c>
      <c r="Y26" s="172">
        <v>80</v>
      </c>
      <c r="Z26" s="172">
        <v>1</v>
      </c>
      <c r="AA26" s="338" t="e">
        <f>(W26-V26)*Z26</f>
        <v>#REF!</v>
      </c>
      <c r="AB26" s="338" t="e">
        <f>AA26*Y26</f>
        <v>#REF!</v>
      </c>
      <c r="AC26" s="249">
        <f>AC9</f>
        <v>1033333</v>
      </c>
      <c r="AD26" s="212" t="e">
        <f>SUM(K33)</f>
        <v>#DIV/0!</v>
      </c>
    </row>
    <row r="27" spans="1:32" ht="15.75" thickBot="1">
      <c r="A27" s="163">
        <f>ELEC!C26</f>
        <v>44251</v>
      </c>
      <c r="B27" s="540">
        <f t="shared" si="8"/>
        <v>856126</v>
      </c>
      <c r="C27" s="264">
        <f t="shared" si="0"/>
        <v>0</v>
      </c>
      <c r="D27" s="308">
        <f t="shared" si="9"/>
        <v>0</v>
      </c>
      <c r="E27" s="308">
        <f t="shared" si="13"/>
        <v>856126</v>
      </c>
      <c r="F27" s="540">
        <f t="shared" si="10"/>
        <v>129225</v>
      </c>
      <c r="G27" s="160">
        <f t="shared" si="1"/>
        <v>0</v>
      </c>
      <c r="H27" s="540">
        <f t="shared" si="10"/>
        <v>427118</v>
      </c>
      <c r="I27" s="161">
        <f t="shared" si="2"/>
        <v>0</v>
      </c>
      <c r="J27" s="540">
        <f t="shared" si="10"/>
        <v>299782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7"/>
        <v>0</v>
      </c>
      <c r="P27" s="297">
        <f t="shared" si="11"/>
        <v>0</v>
      </c>
      <c r="Q27" s="297" t="e">
        <f>SUM(-tanks!AX29*tanks!$AU$34)</f>
        <v>#DIV/0!</v>
      </c>
      <c r="R27" s="297" t="e">
        <f t="shared" si="12"/>
        <v>#DIV/0!</v>
      </c>
      <c r="S27" s="299">
        <f>SUM(ELEC!N26)</f>
        <v>0</v>
      </c>
      <c r="T27" s="336">
        <f t="shared" si="14"/>
        <v>0</v>
      </c>
      <c r="V27" s="254">
        <f t="shared" ref="V27:V28" si="25">W10</f>
        <v>425107</v>
      </c>
      <c r="W27" s="170" t="e">
        <f>#REF!</f>
        <v>#REF!</v>
      </c>
      <c r="X27" s="172" t="s">
        <v>213</v>
      </c>
      <c r="Y27" s="172">
        <v>112</v>
      </c>
      <c r="Z27" s="172">
        <v>1</v>
      </c>
      <c r="AA27" s="338" t="e">
        <f>(W27-V27)*Z27</f>
        <v>#REF!</v>
      </c>
      <c r="AB27" s="338" t="e">
        <f>SUM(AA27*Y27)</f>
        <v>#REF!</v>
      </c>
      <c r="AC27" s="249">
        <f>AC10</f>
        <v>6200000</v>
      </c>
      <c r="AD27" s="212" t="e">
        <f>SUM(I33)</f>
        <v>#DIV/0!</v>
      </c>
    </row>
    <row r="28" spans="1:32" ht="15.75" thickBot="1">
      <c r="A28" s="163">
        <f>ELEC!C27</f>
        <v>44252</v>
      </c>
      <c r="B28" s="540">
        <f t="shared" si="8"/>
        <v>856126</v>
      </c>
      <c r="C28" s="264">
        <f t="shared" si="0"/>
        <v>0</v>
      </c>
      <c r="D28" s="308">
        <f t="shared" si="9"/>
        <v>0</v>
      </c>
      <c r="E28" s="308">
        <f t="shared" si="13"/>
        <v>856126</v>
      </c>
      <c r="F28" s="540">
        <f t="shared" si="10"/>
        <v>129225</v>
      </c>
      <c r="G28" s="160">
        <f t="shared" si="1"/>
        <v>0</v>
      </c>
      <c r="H28" s="540">
        <f t="shared" si="10"/>
        <v>427118</v>
      </c>
      <c r="I28" s="161">
        <f t="shared" si="2"/>
        <v>0</v>
      </c>
      <c r="J28" s="540">
        <f t="shared" si="10"/>
        <v>299782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7"/>
        <v>0</v>
      </c>
      <c r="P28" s="297">
        <f t="shared" si="11"/>
        <v>0</v>
      </c>
      <c r="Q28" s="297" t="e">
        <f>SUM(-tanks!AX30*tanks!$AU$34)</f>
        <v>#DIV/0!</v>
      </c>
      <c r="R28" s="297" t="e">
        <f t="shared" si="12"/>
        <v>#DIV/0!</v>
      </c>
      <c r="S28" s="299">
        <f>SUM(ELEC!N27)</f>
        <v>0</v>
      </c>
      <c r="T28" s="336">
        <f t="shared" si="14"/>
        <v>0</v>
      </c>
      <c r="V28" s="254">
        <f t="shared" si="25"/>
        <v>128283</v>
      </c>
      <c r="W28" s="170" t="e">
        <f>#REF!</f>
        <v>#REF!</v>
      </c>
      <c r="X28" s="172" t="s">
        <v>197</v>
      </c>
      <c r="Y28" s="172">
        <v>320</v>
      </c>
      <c r="Z28" s="172">
        <v>1</v>
      </c>
      <c r="AA28" s="338" t="e">
        <f>(W28-V28)*Z28</f>
        <v>#REF!</v>
      </c>
      <c r="AB28" s="338" t="e">
        <f>SUM(AA28*Y28)</f>
        <v>#REF!</v>
      </c>
      <c r="AC28" s="249">
        <f>AC11</f>
        <v>1000</v>
      </c>
      <c r="AD28" s="212" t="e">
        <f>SUM(G33)</f>
        <v>#DIV/0!</v>
      </c>
      <c r="AE28" s="40" t="e">
        <f>SUM(AB28*5%)</f>
        <v>#REF!</v>
      </c>
      <c r="AF28" s="82" t="e">
        <f>SUM(AE28/7)*31</f>
        <v>#REF!</v>
      </c>
    </row>
    <row r="29" spans="1:32" ht="15.75" thickBot="1">
      <c r="A29" s="163">
        <f>ELEC!C28</f>
        <v>44253</v>
      </c>
      <c r="B29" s="540">
        <f t="shared" si="8"/>
        <v>856126</v>
      </c>
      <c r="C29" s="264">
        <f t="shared" si="0"/>
        <v>0</v>
      </c>
      <c r="D29" s="308">
        <f t="shared" si="9"/>
        <v>0</v>
      </c>
      <c r="E29" s="308">
        <f t="shared" si="13"/>
        <v>856126</v>
      </c>
      <c r="F29" s="540">
        <f t="shared" si="10"/>
        <v>129225</v>
      </c>
      <c r="G29" s="160">
        <f t="shared" si="1"/>
        <v>0</v>
      </c>
      <c r="H29" s="540">
        <f t="shared" si="10"/>
        <v>427118</v>
      </c>
      <c r="I29" s="161">
        <f t="shared" si="2"/>
        <v>0</v>
      </c>
      <c r="J29" s="540">
        <f t="shared" si="10"/>
        <v>299782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7"/>
        <v>0</v>
      </c>
      <c r="P29" s="297">
        <f t="shared" si="11"/>
        <v>0</v>
      </c>
      <c r="Q29" s="297" t="e">
        <f>SUM(-tanks!AX31*tanks!$AU$34)</f>
        <v>#DIV/0!</v>
      </c>
      <c r="R29" s="297" t="e">
        <f t="shared" si="12"/>
        <v>#DIV/0!</v>
      </c>
      <c r="S29" s="299">
        <f>SUM(ELEC!N28)</f>
        <v>0</v>
      </c>
      <c r="T29" s="336">
        <f t="shared" si="14"/>
        <v>0</v>
      </c>
      <c r="V29" s="213"/>
      <c r="W29" s="214"/>
      <c r="X29" s="214"/>
      <c r="Y29" s="215"/>
      <c r="Z29" s="3"/>
      <c r="AA29" s="338" t="e">
        <f>SUM(AA26:AA28)</f>
        <v>#REF!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8"/>
        <v>856126</v>
      </c>
      <c r="C30" s="264">
        <f t="shared" si="0"/>
        <v>0</v>
      </c>
      <c r="D30" s="308">
        <f t="shared" si="9"/>
        <v>0</v>
      </c>
      <c r="E30" s="308">
        <f t="shared" si="13"/>
        <v>856126</v>
      </c>
      <c r="F30" s="540">
        <f t="shared" si="10"/>
        <v>129225</v>
      </c>
      <c r="G30" s="160">
        <f t="shared" si="1"/>
        <v>0</v>
      </c>
      <c r="H30" s="540">
        <f t="shared" si="10"/>
        <v>427118</v>
      </c>
      <c r="I30" s="161">
        <f t="shared" si="2"/>
        <v>0</v>
      </c>
      <c r="J30" s="540">
        <f t="shared" si="10"/>
        <v>299782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7"/>
        <v>0</v>
      </c>
      <c r="P30" s="297">
        <f t="shared" si="11"/>
        <v>0</v>
      </c>
      <c r="Q30" s="297" t="e">
        <f>SUM(-tanks!AX32*tanks!$AU$34)</f>
        <v>#DIV/0!</v>
      </c>
      <c r="R30" s="297" t="e">
        <f t="shared" si="12"/>
        <v>#DIV/0!</v>
      </c>
      <c r="S30" s="299">
        <f>SUM(ELEC!N29)</f>
        <v>0</v>
      </c>
      <c r="T30" s="336">
        <f t="shared" si="14"/>
        <v>0</v>
      </c>
      <c r="V30" s="216" t="s">
        <v>316</v>
      </c>
      <c r="W30" s="443" t="e">
        <f>'General information '!F34</f>
        <v>#DIV/0!</v>
      </c>
      <c r="X30" s="217"/>
      <c r="Y30" s="218" t="s">
        <v>330</v>
      </c>
      <c r="Z30" s="3"/>
      <c r="AA30" s="338"/>
      <c r="AB30" s="338" t="e">
        <f>SUM(AB26:AB29)</f>
        <v>#REF!</v>
      </c>
      <c r="AC30" s="249">
        <f>SUM(AC26:AC29)/A34*A32</f>
        <v>0</v>
      </c>
    </row>
    <row r="31" spans="1:32">
      <c r="A31" s="163">
        <f>ELEC!C30</f>
        <v>44255</v>
      </c>
      <c r="B31" s="540">
        <f t="shared" si="8"/>
        <v>856126</v>
      </c>
      <c r="C31" s="264">
        <f t="shared" si="0"/>
        <v>0</v>
      </c>
      <c r="D31" s="308">
        <f t="shared" si="9"/>
        <v>0</v>
      </c>
      <c r="E31" s="308">
        <f t="shared" si="13"/>
        <v>856126</v>
      </c>
      <c r="F31" s="540">
        <f t="shared" si="10"/>
        <v>129225</v>
      </c>
      <c r="G31" s="160">
        <f t="shared" si="1"/>
        <v>0</v>
      </c>
      <c r="H31" s="540">
        <f t="shared" si="10"/>
        <v>427118</v>
      </c>
      <c r="I31" s="161">
        <f t="shared" si="2"/>
        <v>0</v>
      </c>
      <c r="J31" s="540">
        <f t="shared" si="10"/>
        <v>299782</v>
      </c>
      <c r="K31" s="162">
        <f t="shared" si="3"/>
        <v>0</v>
      </c>
      <c r="L31" s="296">
        <f t="shared" si="22"/>
        <v>0</v>
      </c>
      <c r="M31" s="296">
        <f t="shared" si="23"/>
        <v>0</v>
      </c>
      <c r="N31" s="296">
        <f t="shared" si="24"/>
        <v>0</v>
      </c>
      <c r="O31" s="296">
        <f t="shared" si="7"/>
        <v>0</v>
      </c>
      <c r="P31" s="297">
        <f t="shared" si="11"/>
        <v>0</v>
      </c>
      <c r="Q31" s="297" t="e">
        <f>SUM(-tanks!AX33*tanks!$AU$34)</f>
        <v>#DIV/0!</v>
      </c>
      <c r="R31" s="297" t="e">
        <f t="shared" si="12"/>
        <v>#DIV/0!</v>
      </c>
      <c r="S31" s="299">
        <f>SUM(ELEC!N30)</f>
        <v>0</v>
      </c>
      <c r="T31" s="336">
        <f t="shared" si="14"/>
        <v>0</v>
      </c>
      <c r="V31" s="216" t="s">
        <v>317</v>
      </c>
      <c r="W31" s="217">
        <f>SUM(GEN!U31)</f>
        <v>3</v>
      </c>
      <c r="X31" s="222" t="e">
        <f>SUM(W31/A32)</f>
        <v>#DIV/0!</v>
      </c>
      <c r="Y31" s="260" t="e">
        <f>SUM(X31/2)</f>
        <v>#DIV/0!</v>
      </c>
      <c r="Z31" s="3"/>
      <c r="AA31" s="3"/>
      <c r="AB31" s="543" t="e">
        <f>SUM(AB30+AC31)</f>
        <v>#REF!</v>
      </c>
      <c r="AC31" s="249">
        <f>SUM(AC30)</f>
        <v>0</v>
      </c>
    </row>
    <row r="32" spans="1:32" ht="15.75" thickBot="1">
      <c r="A32" s="539">
        <f>A34-COUNTIF(C4:C31,0)</f>
        <v>0</v>
      </c>
      <c r="C32" s="173" t="e">
        <f>SUM(C4:C31)/A32</f>
        <v>#DIV/0!</v>
      </c>
      <c r="D32" s="173"/>
      <c r="E32" s="173"/>
      <c r="G32" s="173" t="e">
        <f>SUM(G4:G31)/A32</f>
        <v>#DIV/0!</v>
      </c>
      <c r="I32" s="173" t="e">
        <f>SUM(I4:I31)/A32</f>
        <v>#DIV/0!</v>
      </c>
      <c r="K32" s="173" t="e">
        <f>SUM(K4:K31)/A32</f>
        <v>#DIV/0!</v>
      </c>
      <c r="L32" s="173" t="e">
        <f>SUM(#REF!*1507.5)</f>
        <v>#REF!</v>
      </c>
      <c r="M32" s="173" t="e">
        <f>SUM(#REF!*1507.5)</f>
        <v>#REF!</v>
      </c>
      <c r="N32" s="173" t="e">
        <f>SUM(#REF!*1507.5)</f>
        <v>#REF!</v>
      </c>
      <c r="O32" s="173" t="e">
        <f>SUM(#REF!*1507.5)</f>
        <v>#REF!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 t="e">
        <f>SUM(AB31+#REF!)</f>
        <v>#REF!</v>
      </c>
      <c r="AC32" s="577"/>
    </row>
    <row r="33" spans="1:32" ht="15.75" thickBot="1">
      <c r="A33" s="210"/>
      <c r="C33" s="212" t="e">
        <f>SUM(G33:K33)</f>
        <v>#DIV/0!</v>
      </c>
      <c r="G33" s="225" t="e">
        <f>IF(C32&gt;0,G32/C32,0)</f>
        <v>#DIV/0!</v>
      </c>
      <c r="H33" s="212"/>
      <c r="I33" s="225" t="e">
        <f>SUM(I32/C32)</f>
        <v>#DIV/0!</v>
      </c>
      <c r="J33" s="212"/>
      <c r="K33" s="225" t="e">
        <f>SUM(K32/C32)</f>
        <v>#DIV/0!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 t="e">
        <f>SUM(AB31/1507.5)</f>
        <v>#REF!</v>
      </c>
      <c r="AC33" s="579"/>
    </row>
    <row r="34" spans="1:32" ht="15.7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0</v>
      </c>
      <c r="Z35" s="40"/>
      <c r="AA35" s="292" t="s">
        <v>215</v>
      </c>
      <c r="AB35" s="293" t="e">
        <f>SUM(AB33)</f>
        <v>#REF!</v>
      </c>
    </row>
    <row r="36" spans="1:32">
      <c r="V36" s="217"/>
      <c r="W36" s="82" t="e">
        <f>(AB30+AB51)/1507.5</f>
        <v>#REF!</v>
      </c>
      <c r="X36" s="544"/>
      <c r="Z36" s="294" t="e">
        <f>SUM(AB35)</f>
        <v>#REF!</v>
      </c>
      <c r="AA36" s="293"/>
      <c r="AB36" s="293"/>
    </row>
    <row r="37" spans="1:32">
      <c r="V37" s="17"/>
      <c r="W37" s="82" t="e">
        <f>SUM(W35:W36)</f>
        <v>#REF!</v>
      </c>
      <c r="X37" s="544"/>
      <c r="Y37" s="82"/>
      <c r="Z37" s="294" t="e">
        <f>SUM(-tanks!AX34)*tanks!AU34</f>
        <v>#DIV/0!</v>
      </c>
      <c r="AA37" s="101" t="e">
        <f>SUM(AB31/A32)</f>
        <v>#REF!</v>
      </c>
      <c r="AB37" s="348" t="e">
        <f>SUM(AA37*A34)</f>
        <v>#REF!</v>
      </c>
    </row>
    <row r="38" spans="1:32" ht="18.75">
      <c r="W38" s="82" t="e">
        <f>(AB30+AB51)/1507.5</f>
        <v>#REF!</v>
      </c>
      <c r="Z38" s="276" t="e">
        <f>SUM(Z36:Z37)</f>
        <v>#REF!</v>
      </c>
      <c r="AA38" s="293" t="e">
        <f>SUM(AA37/1507.5)</f>
        <v>#REF!</v>
      </c>
      <c r="AB38" s="347" t="e">
        <f>SUM(AB37/1507.5)</f>
        <v>#REF!</v>
      </c>
    </row>
    <row r="39" spans="1:32">
      <c r="D39" s="519"/>
      <c r="E39" s="519"/>
      <c r="F39" s="519"/>
      <c r="W39" s="82" t="e">
        <f>SUM(W37:W38)</f>
        <v>#REF!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46"/>
      <c r="AC42" s="646"/>
      <c r="AD42" s="17"/>
      <c r="AE42" s="17"/>
      <c r="AF42" s="17"/>
    </row>
    <row r="43" spans="1:32">
      <c r="V43" s="646"/>
      <c r="W43" s="646"/>
      <c r="X43" s="646"/>
      <c r="Y43" s="646"/>
      <c r="Z43" s="548"/>
      <c r="AA43" s="548"/>
      <c r="AB43" s="646"/>
      <c r="AC43" s="646"/>
      <c r="AD43" s="17"/>
      <c r="AE43" s="17"/>
      <c r="AF43" s="17"/>
    </row>
    <row r="44" spans="1:32">
      <c r="V44" s="646"/>
      <c r="W44" s="646"/>
      <c r="X44" s="646"/>
      <c r="Y44" s="646"/>
      <c r="Z44" s="646"/>
      <c r="AA44" s="646"/>
      <c r="AB44" s="646"/>
      <c r="AC44" s="646"/>
      <c r="AD44" s="17"/>
      <c r="AE44" s="17"/>
      <c r="AF44" s="17"/>
    </row>
    <row r="45" spans="1:32">
      <c r="V45" s="647"/>
      <c r="W45" s="647"/>
      <c r="X45" s="648"/>
      <c r="Y45" s="648"/>
      <c r="Z45" s="648"/>
      <c r="AA45" s="549"/>
      <c r="AB45" s="646"/>
      <c r="AC45" s="646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7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2:AC45"/>
    <mergeCell ref="V43:Y44"/>
    <mergeCell ref="Z44:AA44"/>
    <mergeCell ref="V45:W45"/>
    <mergeCell ref="X45:Z45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>
      <pane ySplit="1" topLeftCell="A2" activePane="bottomLeft" state="frozen"/>
      <selection pane="bottomLeft" activeCell="K6" sqref="K6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78" t="s">
        <v>51</v>
      </c>
      <c r="B1" s="690" t="s">
        <v>318</v>
      </c>
      <c r="C1" s="691"/>
      <c r="D1" s="693"/>
      <c r="E1" s="690" t="s">
        <v>319</v>
      </c>
      <c r="F1" s="691"/>
      <c r="G1" s="692"/>
      <c r="H1" s="687" t="s">
        <v>324</v>
      </c>
      <c r="I1" s="684" t="s">
        <v>325</v>
      </c>
      <c r="J1" s="681" t="s">
        <v>43</v>
      </c>
    </row>
    <row r="2" spans="1:18" ht="38.25" thickBot="1">
      <c r="A2" s="67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88"/>
      <c r="I2" s="685"/>
      <c r="J2" s="682"/>
    </row>
    <row r="3" spans="1:18" ht="24" customHeight="1" thickBot="1">
      <c r="A3" s="68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89"/>
      <c r="I3" s="686"/>
      <c r="J3" s="683"/>
    </row>
    <row r="4" spans="1:18" ht="19.5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44229</v>
      </c>
      <c r="B7" s="598"/>
      <c r="C7" s="597"/>
      <c r="D7" s="597"/>
      <c r="E7" s="597"/>
      <c r="F7" s="597"/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44230</v>
      </c>
      <c r="B8" s="598"/>
      <c r="C8" s="597"/>
      <c r="D8" s="597"/>
      <c r="E8" s="597"/>
      <c r="F8" s="597"/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44231</v>
      </c>
      <c r="B9" s="599"/>
      <c r="C9" s="597"/>
      <c r="D9" s="45"/>
      <c r="E9" s="45"/>
      <c r="F9" s="45"/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44232</v>
      </c>
      <c r="B10" s="587"/>
      <c r="C10" s="586"/>
      <c r="D10" s="586"/>
      <c r="E10" s="586"/>
      <c r="F10" s="586"/>
      <c r="G10" s="586"/>
      <c r="H10" s="597">
        <f t="shared" si="2"/>
        <v>6716</v>
      </c>
      <c r="I10" s="509">
        <f t="shared" si="3"/>
        <v>0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44233</v>
      </c>
      <c r="B11" s="537"/>
      <c r="C11" s="537"/>
      <c r="D11" s="537"/>
      <c r="E11" s="537"/>
      <c r="F11" s="537"/>
      <c r="G11" s="537"/>
      <c r="H11" s="597">
        <f t="shared" si="2"/>
        <v>6716</v>
      </c>
      <c r="I11" s="509">
        <f t="shared" si="3"/>
        <v>0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44234</v>
      </c>
      <c r="B12" s="537"/>
      <c r="C12" s="537"/>
      <c r="D12" s="537"/>
      <c r="E12" s="537"/>
      <c r="F12" s="537"/>
      <c r="G12" s="537"/>
      <c r="H12" s="597">
        <f t="shared" si="2"/>
        <v>6716</v>
      </c>
      <c r="I12" s="509">
        <f t="shared" si="3"/>
        <v>0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44235</v>
      </c>
      <c r="B13" s="537"/>
      <c r="C13" s="537"/>
      <c r="D13" s="537"/>
      <c r="E13" s="537"/>
      <c r="F13" s="537"/>
      <c r="G13" s="537"/>
      <c r="H13" s="597">
        <f t="shared" si="2"/>
        <v>6716</v>
      </c>
      <c r="I13" s="509">
        <f t="shared" si="3"/>
        <v>0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44236</v>
      </c>
      <c r="B14" s="537"/>
      <c r="C14" s="590"/>
      <c r="D14" s="170"/>
      <c r="E14" s="170"/>
      <c r="F14" s="170"/>
      <c r="G14" s="170"/>
      <c r="H14" s="597">
        <f t="shared" si="2"/>
        <v>6716</v>
      </c>
      <c r="I14" s="509">
        <f t="shared" si="3"/>
        <v>0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44237</v>
      </c>
      <c r="B15" s="537"/>
      <c r="C15" s="591"/>
      <c r="D15" s="591"/>
      <c r="E15" s="591"/>
      <c r="F15" s="591"/>
      <c r="G15" s="591"/>
      <c r="H15" s="597">
        <f t="shared" si="2"/>
        <v>6716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44238</v>
      </c>
      <c r="B16" s="537"/>
      <c r="C16" s="591"/>
      <c r="D16" s="591"/>
      <c r="E16" s="591"/>
      <c r="F16" s="591"/>
      <c r="G16" s="591"/>
      <c r="H16" s="597">
        <f t="shared" si="2"/>
        <v>6716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44239</v>
      </c>
      <c r="B17" s="537"/>
      <c r="C17" s="537"/>
      <c r="D17" s="537"/>
      <c r="E17" s="537"/>
      <c r="F17" s="537"/>
      <c r="G17" s="537"/>
      <c r="H17" s="597">
        <f t="shared" si="2"/>
        <v>6716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44240</v>
      </c>
      <c r="B18" s="537"/>
      <c r="C18" s="592"/>
      <c r="D18" s="170"/>
      <c r="E18" s="170"/>
      <c r="F18" s="170"/>
      <c r="G18" s="537"/>
      <c r="H18" s="597">
        <f t="shared" si="2"/>
        <v>6716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44241</v>
      </c>
      <c r="B19" s="537"/>
      <c r="C19" s="593"/>
      <c r="D19" s="170"/>
      <c r="E19" s="170"/>
      <c r="F19" s="170"/>
      <c r="G19" s="537"/>
      <c r="H19" s="597">
        <f t="shared" si="2"/>
        <v>6716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44242</v>
      </c>
      <c r="B20" s="537"/>
      <c r="C20" s="537"/>
      <c r="D20" s="537"/>
      <c r="E20" s="537"/>
      <c r="F20" s="537"/>
      <c r="G20" s="537"/>
      <c r="H20" s="597">
        <f t="shared" si="2"/>
        <v>6716</v>
      </c>
      <c r="I20" s="509">
        <f t="shared" si="3"/>
        <v>0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44243</v>
      </c>
      <c r="B21" s="537"/>
      <c r="C21" s="594"/>
      <c r="D21" s="170"/>
      <c r="E21" s="170"/>
      <c r="F21" s="170"/>
      <c r="G21" s="537"/>
      <c r="H21" s="597">
        <f t="shared" si="2"/>
        <v>6716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44244</v>
      </c>
      <c r="B22" s="537"/>
      <c r="C22" s="537"/>
      <c r="D22" s="537"/>
      <c r="E22" s="537"/>
      <c r="F22" s="537"/>
      <c r="G22" s="537"/>
      <c r="H22" s="597">
        <f t="shared" si="2"/>
        <v>6716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44245</v>
      </c>
      <c r="B23" s="537"/>
      <c r="C23" s="537"/>
      <c r="D23" s="537"/>
      <c r="E23" s="537"/>
      <c r="F23" s="537"/>
      <c r="G23" s="537"/>
      <c r="H23" s="597">
        <f t="shared" si="2"/>
        <v>6716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44246</v>
      </c>
      <c r="B24" s="537"/>
      <c r="C24" s="600"/>
      <c r="D24" s="170"/>
      <c r="E24" s="170"/>
      <c r="F24" s="170"/>
      <c r="G24" s="170"/>
      <c r="H24" s="597">
        <f t="shared" si="2"/>
        <v>6716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44247</v>
      </c>
      <c r="B25" s="583"/>
      <c r="C25" s="582"/>
      <c r="D25" s="170"/>
      <c r="E25" s="170"/>
      <c r="F25" s="170"/>
      <c r="G25" s="170"/>
      <c r="H25" s="597">
        <f t="shared" si="2"/>
        <v>6716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44248</v>
      </c>
      <c r="B26" s="583"/>
      <c r="C26" s="584"/>
      <c r="D26" s="170"/>
      <c r="E26" s="170"/>
      <c r="F26" s="170"/>
      <c r="G26" s="170"/>
      <c r="H26" s="597">
        <f t="shared" si="2"/>
        <v>6716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44249</v>
      </c>
      <c r="B27" s="170"/>
      <c r="C27" s="170"/>
      <c r="D27" s="170"/>
      <c r="E27" s="170"/>
      <c r="F27" s="170"/>
      <c r="G27" s="170"/>
      <c r="H27" s="597">
        <f t="shared" si="2"/>
        <v>6716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44250</v>
      </c>
      <c r="B28" s="254"/>
      <c r="C28" s="585"/>
      <c r="D28" s="170"/>
      <c r="E28" s="170"/>
      <c r="F28" s="170"/>
      <c r="G28" s="170"/>
      <c r="H28" s="597">
        <f t="shared" si="2"/>
        <v>6716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44251</v>
      </c>
      <c r="B29" s="537"/>
      <c r="C29" s="537"/>
      <c r="D29" s="537"/>
      <c r="E29" s="170"/>
      <c r="F29" s="170"/>
      <c r="G29" s="537"/>
      <c r="H29" s="597">
        <f t="shared" si="2"/>
        <v>6716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6716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6716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6716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6716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694" t="s">
        <v>161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</row>
    <row r="2" spans="1:28" ht="19.5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  <c r="Q2" s="695"/>
      <c r="R2" s="695"/>
      <c r="S2" s="695"/>
      <c r="T2" s="695"/>
      <c r="U2" s="695"/>
      <c r="V2" s="695"/>
      <c r="W2" s="695"/>
      <c r="X2" s="695"/>
    </row>
    <row r="3" spans="1:28" ht="19.5">
      <c r="A3" s="695" t="s">
        <v>162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695"/>
      <c r="N3" s="695"/>
      <c r="O3" s="695"/>
      <c r="P3" s="695"/>
      <c r="Q3" s="695"/>
      <c r="R3" s="695"/>
      <c r="S3" s="695"/>
      <c r="T3" s="695"/>
      <c r="U3" s="695"/>
      <c r="V3" s="695"/>
      <c r="W3" s="695"/>
      <c r="X3" s="69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5" t="s">
        <v>409</v>
      </c>
      <c r="B5" s="695"/>
      <c r="C5" s="695"/>
      <c r="D5" s="695"/>
      <c r="E5" s="695"/>
      <c r="F5" s="695"/>
      <c r="G5" s="695"/>
      <c r="H5" s="695"/>
      <c r="I5" s="695"/>
      <c r="J5" s="695"/>
      <c r="K5" s="695"/>
      <c r="L5" s="695"/>
      <c r="M5" s="695"/>
      <c r="N5" s="695"/>
      <c r="O5" s="695"/>
      <c r="P5" s="695"/>
      <c r="Q5" s="695"/>
      <c r="R5" s="695"/>
      <c r="S5" s="695"/>
      <c r="T5" s="695"/>
      <c r="U5" s="695"/>
      <c r="V5" s="695"/>
      <c r="W5" s="695"/>
      <c r="X5" s="695"/>
    </row>
    <row r="6" spans="1:28" ht="15.75" thickBot="1">
      <c r="A6" s="696"/>
      <c r="B6" s="696"/>
      <c r="C6" s="696"/>
      <c r="D6" s="696"/>
      <c r="E6" s="696"/>
      <c r="F6" s="696"/>
      <c r="G6" s="696"/>
      <c r="H6" s="696"/>
      <c r="I6" s="696"/>
      <c r="J6" s="696"/>
      <c r="K6" s="696"/>
      <c r="L6" s="696"/>
      <c r="M6" s="696"/>
      <c r="N6" s="696"/>
      <c r="O6" s="696"/>
      <c r="P6" s="696"/>
      <c r="Q6" s="696"/>
      <c r="R6" s="696"/>
      <c r="S6" s="696"/>
      <c r="T6" s="696"/>
      <c r="U6" s="696"/>
      <c r="V6" s="696"/>
      <c r="W6" s="696"/>
      <c r="X6" s="696"/>
    </row>
    <row r="7" spans="1:28" ht="15.75" thickBot="1">
      <c r="A7" s="698" t="s">
        <v>163</v>
      </c>
      <c r="B7" s="699"/>
      <c r="C7" s="700" t="s">
        <v>164</v>
      </c>
      <c r="D7" s="701"/>
      <c r="E7" s="701"/>
      <c r="F7" s="701"/>
      <c r="G7" s="701"/>
      <c r="H7" s="701"/>
      <c r="I7" s="701"/>
      <c r="J7" s="701"/>
      <c r="K7" s="70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0</v>
      </c>
      <c r="G10" s="272">
        <f>'General information '!C6</f>
        <v>0</v>
      </c>
      <c r="H10" s="272">
        <f>(F10+G10)/2-18.3</f>
        <v>-18.3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0</v>
      </c>
      <c r="G11" s="272">
        <f>'General information '!C7</f>
        <v>0</v>
      </c>
      <c r="H11" s="272">
        <f t="shared" ref="H11:H37" si="0">(F11+G11)/2-18.3</f>
        <v>-18.3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0</v>
      </c>
      <c r="G12" s="272">
        <f>'General information '!C8</f>
        <v>0</v>
      </c>
      <c r="H12" s="272">
        <f t="shared" si="0"/>
        <v>-18.3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0</v>
      </c>
      <c r="G13" s="272">
        <f>'General information '!C9</f>
        <v>0</v>
      </c>
      <c r="H13" s="272">
        <f t="shared" si="0"/>
        <v>-18.3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0</v>
      </c>
      <c r="G14" s="272">
        <f>'General information '!C10</f>
        <v>0</v>
      </c>
      <c r="H14" s="272">
        <f t="shared" si="0"/>
        <v>-18.3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0</v>
      </c>
      <c r="G15" s="272">
        <f>'General information '!C11</f>
        <v>0</v>
      </c>
      <c r="H15" s="272">
        <f t="shared" si="0"/>
        <v>-18.3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0</v>
      </c>
      <c r="G16" s="272">
        <f>'General information '!C12</f>
        <v>0</v>
      </c>
      <c r="H16" s="272">
        <f t="shared" si="0"/>
        <v>-18.3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0</v>
      </c>
      <c r="G17" s="272">
        <f>'General information '!C13</f>
        <v>0</v>
      </c>
      <c r="H17" s="272">
        <f t="shared" si="0"/>
        <v>-18.3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0</v>
      </c>
      <c r="G18" s="272">
        <f>'General information '!C14</f>
        <v>0</v>
      </c>
      <c r="H18" s="272">
        <f t="shared" si="0"/>
        <v>-18.3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0</v>
      </c>
      <c r="G19" s="272">
        <f>'General information '!C15</f>
        <v>0</v>
      </c>
      <c r="H19" s="272">
        <f t="shared" si="0"/>
        <v>-18.3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0</v>
      </c>
      <c r="G20" s="272">
        <f>'General information '!C16</f>
        <v>0</v>
      </c>
      <c r="H20" s="272">
        <f t="shared" si="0"/>
        <v>-18.3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0</v>
      </c>
      <c r="G21" s="272">
        <f>'General information '!C17</f>
        <v>0</v>
      </c>
      <c r="H21" s="272">
        <f t="shared" si="0"/>
        <v>-18.3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0</v>
      </c>
      <c r="G22" s="272">
        <f>'General information '!C18</f>
        <v>0</v>
      </c>
      <c r="H22" s="272">
        <f t="shared" si="0"/>
        <v>-18.3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0</v>
      </c>
      <c r="G23" s="272">
        <f>'General information '!C19</f>
        <v>0</v>
      </c>
      <c r="H23" s="272">
        <f t="shared" si="0"/>
        <v>-18.3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0</v>
      </c>
      <c r="G24" s="272">
        <f>'General information '!C20</f>
        <v>0</v>
      </c>
      <c r="H24" s="272">
        <f t="shared" si="0"/>
        <v>-18.3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0</v>
      </c>
      <c r="G25" s="272">
        <f>'General information '!C21</f>
        <v>0</v>
      </c>
      <c r="H25" s="272">
        <f t="shared" si="0"/>
        <v>-18.3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0</v>
      </c>
      <c r="G26" s="272">
        <f>'General information '!C22</f>
        <v>0</v>
      </c>
      <c r="H26" s="272">
        <f t="shared" si="0"/>
        <v>-18.3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0</v>
      </c>
      <c r="G27" s="272">
        <f>'General information '!C23</f>
        <v>0</v>
      </c>
      <c r="H27" s="272">
        <f t="shared" si="0"/>
        <v>-18.3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0</v>
      </c>
      <c r="G28" s="272">
        <f>'General information '!C24</f>
        <v>0</v>
      </c>
      <c r="H28" s="272">
        <f t="shared" si="0"/>
        <v>-18.3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0</v>
      </c>
      <c r="G29" s="272">
        <f>'General information '!C25</f>
        <v>0</v>
      </c>
      <c r="H29" s="272">
        <f t="shared" si="0"/>
        <v>-18.3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0</v>
      </c>
      <c r="G30" s="272">
        <f>'General information '!C26</f>
        <v>0</v>
      </c>
      <c r="H30" s="272">
        <f t="shared" si="0"/>
        <v>-18.3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0</v>
      </c>
      <c r="G31" s="272">
        <f>'General information '!C27</f>
        <v>0</v>
      </c>
      <c r="H31" s="272">
        <f t="shared" si="0"/>
        <v>-18.3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0</v>
      </c>
      <c r="G32" s="272">
        <f>'General information '!C28</f>
        <v>0</v>
      </c>
      <c r="H32" s="272">
        <f t="shared" si="0"/>
        <v>-18.3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0</v>
      </c>
      <c r="G33" s="272">
        <f>'General information '!C29</f>
        <v>0</v>
      </c>
      <c r="H33" s="272">
        <f t="shared" si="0"/>
        <v>-18.3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-512.4000000000002</v>
      </c>
      <c r="G43" s="119">
        <f>SUMIF(H10:H37,"&gt;0")</f>
        <v>0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3" t="s">
        <v>174</v>
      </c>
      <c r="O84" s="703" t="s">
        <v>175</v>
      </c>
      <c r="P84" s="134"/>
      <c r="T84" s="134"/>
      <c r="X84" s="134"/>
    </row>
    <row r="85" spans="1:24" ht="20.25" thickBot="1">
      <c r="D85" s="134"/>
      <c r="I85" s="705" t="s">
        <v>182</v>
      </c>
      <c r="J85" s="706"/>
      <c r="K85" s="706"/>
      <c r="L85" s="706"/>
      <c r="N85" s="704"/>
      <c r="O85" s="704"/>
      <c r="P85" s="134"/>
      <c r="R85" s="17"/>
      <c r="S85" s="17"/>
      <c r="T85" s="140"/>
      <c r="U85" s="141"/>
      <c r="X85" s="134"/>
    </row>
    <row r="86" spans="1:24" ht="18.75" thickBot="1">
      <c r="D86" s="134"/>
      <c r="I86" s="707" t="s">
        <v>183</v>
      </c>
      <c r="J86" s="707"/>
      <c r="K86" s="707"/>
      <c r="L86" s="707"/>
      <c r="N86" s="142">
        <f>B43+F43+J43+N43+R43+V43+B81+F81+J81+N81+R81+V81</f>
        <v>-6021.800000000002</v>
      </c>
      <c r="O86" s="142">
        <f>C43+G43+K43+O43+S43+W43+C81+G81+K81+O81+S81+W81</f>
        <v>2.7999999999999936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C8" sqref="C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8" t="s">
        <v>216</v>
      </c>
      <c r="B2" s="708"/>
      <c r="C2" s="708"/>
      <c r="D2" s="708"/>
      <c r="E2" s="708"/>
      <c r="F2" s="708"/>
      <c r="G2" s="708"/>
      <c r="H2" s="708"/>
      <c r="I2" s="708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0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 t="e">
        <f>SUM(D6/D4)/F4</f>
        <v>#DIV/0!</v>
      </c>
      <c r="F6" s="185" t="e">
        <f>SUM(E6*F4)</f>
        <v>#DIV/0!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836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0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0</v>
      </c>
      <c r="C8" s="493" t="e">
        <f>SUM(tanks!AU34)</f>
        <v>#DIV/0!</v>
      </c>
      <c r="D8" s="191" t="e">
        <f>SUM(B8*C8)*D4</f>
        <v>#DIV/0!</v>
      </c>
      <c r="E8" s="192" t="e">
        <f>SUM(D8/D4/F4)</f>
        <v>#DIV/0!</v>
      </c>
      <c r="F8" s="192" t="e">
        <f>SUM(E8*F4)</f>
        <v>#DIV/0!</v>
      </c>
      <c r="G8" s="510" t="e">
        <f>E8*$F$4</f>
        <v>#DIV/0!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 t="e">
        <f>SUM(C9*B9)/F4</f>
        <v>#DIV/0!</v>
      </c>
      <c r="F9" s="189" t="e">
        <f>SUM(E9*F4)</f>
        <v>#DIV/0!</v>
      </c>
      <c r="G9" s="510" t="e">
        <f>E9*$G$4</f>
        <v>#DIV/0!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 t="e">
        <f>SUM('EDl log'!AB31)</f>
        <v>#REF!</v>
      </c>
      <c r="E10" s="182" t="e">
        <f>SUM(D10/D4/F4)</f>
        <v>#REF!</v>
      </c>
      <c r="F10" s="182" t="e">
        <f>SUM(E10*F4)</f>
        <v>#REF!</v>
      </c>
      <c r="G10" s="510" t="e">
        <f>E10*$G$4</f>
        <v>#REF!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 t="e">
        <f>SUM(E6:E11)</f>
        <v>#DIV/0!</v>
      </c>
      <c r="F12" s="180" t="e">
        <f>SUM(F6:F10)</f>
        <v>#DIV/0!</v>
      </c>
      <c r="G12" s="179" t="e">
        <f>SUM(G6:G10)</f>
        <v>#DIV/0!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2">
        <f>'[13]Utility Cost '!C14</f>
        <v>0</v>
      </c>
      <c r="D14" s="170"/>
      <c r="E14" s="170">
        <f t="shared" ref="E14:E18" si="0">B14-C14</f>
        <v>0</v>
      </c>
      <c r="F14" s="509">
        <v>0</v>
      </c>
      <c r="G14" s="422"/>
      <c r="H14" s="423" t="e">
        <f>SUM(G12-H12)</f>
        <v>#DIV/0!</v>
      </c>
      <c r="I14" s="423" t="e">
        <f>SUM(G12-I12)</f>
        <v>#DIV/0!</v>
      </c>
    </row>
    <row r="15" spans="1:11">
      <c r="A15" s="449" t="s">
        <v>303</v>
      </c>
      <c r="B15" s="97">
        <f>'Degree Days 2020'!AA19</f>
        <v>0</v>
      </c>
      <c r="C15" s="432">
        <f>'[13]Utility Cost '!C15</f>
        <v>-155.6</v>
      </c>
      <c r="D15" s="170"/>
      <c r="E15" s="170">
        <f t="shared" si="0"/>
        <v>155.6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 t="e">
        <f>'General information '!D35</f>
        <v>#DIV/0!</v>
      </c>
      <c r="C16" s="432">
        <f>'[13]Utility Cost '!C16</f>
        <v>14.785714285714286</v>
      </c>
      <c r="D16" s="432"/>
      <c r="E16" s="433" t="e">
        <f t="shared" si="0"/>
        <v>#DIV/0!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 t="e">
        <f>'General information '!F34</f>
        <v>#DIV/0!</v>
      </c>
      <c r="C17" s="432">
        <f>'[13]Utility Cost '!C17</f>
        <v>0.58866785714285708</v>
      </c>
      <c r="D17" s="477">
        <f>'[14]Other Fuel Calculation 2020'!$K$62</f>
        <v>0.61470000000000002</v>
      </c>
      <c r="E17" s="523" t="e">
        <f t="shared" si="0"/>
        <v>#DIV/0!</v>
      </c>
      <c r="F17" s="527" t="e">
        <f>B17-D17</f>
        <v>#DIV/0!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3</v>
      </c>
      <c r="C18" s="432">
        <f>'[13]Utility Cost '!C18</f>
        <v>165</v>
      </c>
      <c r="D18" s="430">
        <f>'[14]Other Fuel Calculation 2020'!$M$60</f>
        <v>277.85866666666664</v>
      </c>
      <c r="E18" s="525">
        <f t="shared" si="0"/>
        <v>-162</v>
      </c>
      <c r="F18" s="528">
        <f>B18-D18</f>
        <v>-274.85866666666664</v>
      </c>
    </row>
    <row r="19" spans="1:10">
      <c r="A19" s="522" t="s">
        <v>411</v>
      </c>
      <c r="B19" s="520" t="e">
        <f>SUM(B18/$F$4)</f>
        <v>#DIV/0!</v>
      </c>
      <c r="C19" s="432">
        <f>'[13]Utility Cost '!C19</f>
        <v>5.6896551724137927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0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2021-02-02T06:04:51Z</dcterms:modified>
</cp:coreProperties>
</file>