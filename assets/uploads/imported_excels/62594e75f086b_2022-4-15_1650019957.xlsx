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bookViews>
    <workbookView xWindow="0" yWindow="0" windowWidth="20490" windowHeight="7755" tabRatio="620" firstSheet="1" activeTab="3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16" l="1"/>
  <c r="L40" i="106" l="1"/>
  <c r="J40" i="106"/>
  <c r="I40" i="106"/>
  <c r="G40" i="106"/>
  <c r="D40" i="106"/>
  <c r="C40" i="106"/>
  <c r="H40" i="116"/>
  <c r="D40" i="116"/>
  <c r="C40" i="116"/>
  <c r="M39" i="102"/>
  <c r="L39" i="102"/>
  <c r="I39" i="102"/>
  <c r="F39" i="102"/>
  <c r="D39" i="102"/>
  <c r="C39" i="102"/>
  <c r="R40" i="109"/>
  <c r="O40" i="109"/>
  <c r="F40" i="109"/>
  <c r="C40" i="109"/>
  <c r="D40" i="109"/>
  <c r="E32" i="117" l="1"/>
  <c r="F32" i="117" s="1"/>
  <c r="G32" i="117"/>
  <c r="I32" i="117"/>
  <c r="J32" i="117"/>
  <c r="K32" i="117"/>
  <c r="L32" i="117" s="1"/>
  <c r="M32" i="117"/>
  <c r="N32" i="117"/>
  <c r="B32" i="117"/>
  <c r="B31" i="117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L10" i="106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H10" i="11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9" i="116"/>
  <c r="M9" i="102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8" i="102"/>
  <c r="C39" i="116" l="1"/>
  <c r="D39" i="116"/>
  <c r="G39" i="116"/>
  <c r="C39" i="109"/>
  <c r="D39" i="109"/>
  <c r="G39" i="109"/>
  <c r="C39" i="106"/>
  <c r="D39" i="106"/>
  <c r="H39" i="106"/>
  <c r="J39" i="106"/>
  <c r="K39" i="106" s="1"/>
  <c r="F38" i="102"/>
  <c r="G38" i="102" s="1"/>
  <c r="I38" i="102"/>
  <c r="J38" i="102" s="1"/>
  <c r="K38" i="102" l="1"/>
  <c r="L38" i="102" s="1"/>
  <c r="H20" i="106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G38" i="116"/>
  <c r="I30" i="117"/>
  <c r="I29" i="117"/>
  <c r="I28" i="117"/>
  <c r="G35" i="116"/>
  <c r="I27" i="117"/>
  <c r="I26" i="117"/>
  <c r="I25" i="117"/>
  <c r="G31" i="116"/>
  <c r="I23" i="117"/>
  <c r="G30" i="116"/>
  <c r="I22" i="117"/>
  <c r="G29" i="116"/>
  <c r="I21" i="117"/>
  <c r="G28" i="116"/>
  <c r="I20" i="117"/>
  <c r="I19" i="117"/>
  <c r="G26" i="116"/>
  <c r="I18" i="117"/>
  <c r="G25" i="116"/>
  <c r="G24" i="116"/>
  <c r="I16" i="117"/>
  <c r="G23" i="116"/>
  <c r="I15" i="117"/>
  <c r="G22" i="116"/>
  <c r="I14" i="117"/>
  <c r="G20" i="116"/>
  <c r="I12" i="117"/>
  <c r="I11" i="117"/>
  <c r="G18" i="116"/>
  <c r="G17" i="116"/>
  <c r="I9" i="117"/>
  <c r="I8" i="117"/>
  <c r="G15" i="116"/>
  <c r="G14" i="116"/>
  <c r="I6" i="117"/>
  <c r="I5" i="117"/>
  <c r="G12" i="116"/>
  <c r="I4" i="117"/>
  <c r="G11" i="116"/>
  <c r="G10" i="116"/>
  <c r="I2" i="117"/>
  <c r="J2" i="117"/>
  <c r="J8" i="109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I8" i="102"/>
  <c r="G9" i="102"/>
  <c r="I9" i="102"/>
  <c r="G10" i="102"/>
  <c r="I10" i="102"/>
  <c r="I11" i="102"/>
  <c r="I12" i="102"/>
  <c r="G13" i="102"/>
  <c r="I13" i="102"/>
  <c r="I14" i="102"/>
  <c r="I15" i="102"/>
  <c r="G10" i="109"/>
  <c r="Q44" i="109"/>
  <c r="J19" i="109" l="1"/>
  <c r="J39" i="109"/>
  <c r="J30" i="102"/>
  <c r="E24" i="117"/>
  <c r="J29" i="102"/>
  <c r="E23" i="117"/>
  <c r="J28" i="102"/>
  <c r="K28" i="102" s="1"/>
  <c r="L28" i="102" s="1"/>
  <c r="E22" i="117"/>
  <c r="J27" i="102"/>
  <c r="E21" i="117"/>
  <c r="J26" i="102"/>
  <c r="E20" i="117"/>
  <c r="J37" i="102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E17" i="117"/>
  <c r="J12" i="102"/>
  <c r="E6" i="117"/>
  <c r="J10" i="102"/>
  <c r="K10" i="102" s="1"/>
  <c r="L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E3" i="117"/>
  <c r="J8" i="102"/>
  <c r="E2" i="117"/>
  <c r="J15" i="102"/>
  <c r="E9" i="117"/>
  <c r="J14" i="102"/>
  <c r="E8" i="117"/>
  <c r="J13" i="102"/>
  <c r="K13" i="102" s="1"/>
  <c r="L13" i="102" s="1"/>
  <c r="E7" i="117"/>
  <c r="J21" i="102"/>
  <c r="E15" i="117"/>
  <c r="J11" i="102"/>
  <c r="E5" i="117"/>
  <c r="J17" i="102"/>
  <c r="E11" i="117"/>
  <c r="J24" i="102"/>
  <c r="E18" i="117"/>
  <c r="J20" i="102"/>
  <c r="E14" i="117"/>
  <c r="K30" i="106"/>
  <c r="K18" i="106"/>
  <c r="I41" i="106"/>
  <c r="K10" i="106"/>
  <c r="K15" i="106"/>
  <c r="K27" i="106"/>
  <c r="K38" i="106"/>
  <c r="K31" i="106"/>
  <c r="K32" i="106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K33" i="106"/>
  <c r="K35" i="106"/>
  <c r="K11" i="106"/>
  <c r="K17" i="106"/>
  <c r="K9" i="106"/>
  <c r="K28" i="106"/>
  <c r="K16" i="106"/>
  <c r="K13" i="106"/>
  <c r="K23" i="106"/>
  <c r="K29" i="106"/>
  <c r="K36" i="106"/>
  <c r="K25" i="106"/>
  <c r="K37" i="106"/>
  <c r="K12" i="106"/>
  <c r="G16" i="116"/>
  <c r="G13" i="116"/>
  <c r="G19" i="116"/>
  <c r="G21" i="116"/>
  <c r="G27" i="116"/>
  <c r="K37" i="102"/>
  <c r="L37" i="102" s="1"/>
  <c r="G22" i="102"/>
  <c r="J33" i="109"/>
  <c r="J11" i="109"/>
  <c r="J27" i="109"/>
  <c r="J28" i="109"/>
  <c r="J13" i="109"/>
  <c r="M8" i="109"/>
  <c r="J26" i="109"/>
  <c r="K25" i="102"/>
  <c r="L25" i="102" s="1"/>
  <c r="K34" i="102"/>
  <c r="L34" i="102" s="1"/>
  <c r="G26" i="102"/>
  <c r="G20" i="102"/>
  <c r="J14" i="109"/>
  <c r="J12" i="109"/>
  <c r="K22" i="106"/>
  <c r="G32" i="116"/>
  <c r="G36" i="116"/>
  <c r="G35" i="102"/>
  <c r="K35" i="102" s="1"/>
  <c r="L35" i="102" s="1"/>
  <c r="G33" i="102"/>
  <c r="K33" i="102" s="1"/>
  <c r="L33" i="102" s="1"/>
  <c r="K30" i="102"/>
  <c r="L30" i="102" s="1"/>
  <c r="K34" i="106"/>
  <c r="K26" i="106"/>
  <c r="J20" i="109"/>
  <c r="J24" i="109"/>
  <c r="J16" i="109"/>
  <c r="J31" i="109"/>
  <c r="J9" i="109"/>
  <c r="J38" i="109"/>
  <c r="J32" i="109"/>
  <c r="J37" i="109"/>
  <c r="J10" i="109"/>
  <c r="J17" i="109"/>
  <c r="J30" i="109"/>
  <c r="K19" i="106"/>
  <c r="K24" i="106"/>
  <c r="G33" i="116"/>
  <c r="G37" i="116"/>
  <c r="G24" i="102"/>
  <c r="K17" i="102"/>
  <c r="L17" i="102" s="1"/>
  <c r="P8" i="109"/>
  <c r="P39" i="109" s="1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K14" i="106"/>
  <c r="K20" i="106"/>
  <c r="G34" i="116"/>
  <c r="G29" i="102"/>
  <c r="G27" i="102"/>
  <c r="G19" i="102"/>
  <c r="G18" i="102"/>
  <c r="G14" i="102"/>
  <c r="G12" i="102"/>
  <c r="K12" i="102" s="1"/>
  <c r="L12" i="102" s="1"/>
  <c r="G36" i="102"/>
  <c r="K36" i="102" s="1"/>
  <c r="L36" i="102" s="1"/>
  <c r="G32" i="102"/>
  <c r="G31" i="102"/>
  <c r="K31" i="102" s="1"/>
  <c r="L31" i="102" s="1"/>
  <c r="G21" i="102"/>
  <c r="G16" i="102"/>
  <c r="K32" i="102" l="1"/>
  <c r="L32" i="102" s="1"/>
  <c r="K15" i="102"/>
  <c r="L15" i="102" s="1"/>
  <c r="K29" i="102"/>
  <c r="L29" i="102" s="1"/>
  <c r="K22" i="102"/>
  <c r="L22" i="102" s="1"/>
  <c r="K24" i="102"/>
  <c r="L24" i="102" s="1"/>
  <c r="K20" i="102"/>
  <c r="L20" i="102" s="1"/>
  <c r="K8" i="102"/>
  <c r="L8" i="102" s="1"/>
  <c r="K26" i="102"/>
  <c r="L26" i="102" s="1"/>
  <c r="M13" i="109"/>
  <c r="M39" i="109"/>
  <c r="Q39" i="109" s="1"/>
  <c r="K27" i="102"/>
  <c r="L27" i="102" s="1"/>
  <c r="K16" i="102"/>
  <c r="L16" i="102" s="1"/>
  <c r="K14" i="102"/>
  <c r="L14" i="102" s="1"/>
  <c r="K18" i="102"/>
  <c r="L18" i="102" s="1"/>
  <c r="K19" i="102"/>
  <c r="L19" i="102" s="1"/>
  <c r="K21" i="102"/>
  <c r="L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O40" i="106"/>
  <c r="L7" i="117"/>
  <c r="L18" i="117"/>
  <c r="J12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J29" i="117"/>
  <c r="J26" i="117"/>
  <c r="F11" i="117"/>
  <c r="P35" i="109"/>
  <c r="P20" i="109"/>
  <c r="P34" i="109"/>
  <c r="J30" i="117"/>
  <c r="J25" i="117"/>
  <c r="F2" i="117"/>
  <c r="F26" i="117"/>
  <c r="F30" i="117"/>
  <c r="F6" i="117"/>
  <c r="K40" i="102"/>
  <c r="F25" i="117"/>
  <c r="F22" i="117"/>
  <c r="R39" i="109" l="1"/>
  <c r="H32" i="117"/>
  <c r="Q24" i="109"/>
  <c r="Q13" i="109"/>
  <c r="H6" i="117"/>
  <c r="R13" i="109"/>
  <c r="R24" i="109"/>
  <c r="H17" i="117"/>
  <c r="F23" i="117"/>
  <c r="F8" i="117"/>
  <c r="F10" i="117"/>
  <c r="F18" i="117"/>
  <c r="F21" i="117"/>
  <c r="F12" i="117"/>
  <c r="F13" i="117"/>
  <c r="F15" i="117"/>
  <c r="Q32" i="109"/>
  <c r="Q29" i="109"/>
  <c r="Q21" i="109"/>
  <c r="Q28" i="109"/>
  <c r="Q9" i="109"/>
  <c r="Q31" i="109"/>
  <c r="Q20" i="109"/>
  <c r="Q17" i="109"/>
  <c r="Q35" i="109"/>
  <c r="Q14" i="109"/>
  <c r="Q38" i="109"/>
  <c r="Q34" i="109"/>
  <c r="Q19" i="109"/>
  <c r="Q26" i="109"/>
  <c r="Q16" i="109"/>
  <c r="Q12" i="109"/>
  <c r="Q36" i="109"/>
  <c r="Q18" i="109"/>
  <c r="Q22" i="109"/>
  <c r="Q33" i="109"/>
  <c r="Q15" i="109"/>
  <c r="Q27" i="109"/>
  <c r="Q25" i="109"/>
  <c r="Q30" i="109"/>
  <c r="Q23" i="109"/>
  <c r="Q11" i="109"/>
  <c r="Q10" i="109"/>
  <c r="Q37" i="109"/>
  <c r="P39" i="102"/>
  <c r="R32" i="109" l="1"/>
  <c r="H25" i="117"/>
  <c r="H27" i="117"/>
  <c r="R34" i="109"/>
  <c r="R38" i="109"/>
  <c r="H31" i="117"/>
  <c r="R14" i="109"/>
  <c r="H7" i="117"/>
  <c r="H26" i="117"/>
  <c r="R33" i="109"/>
  <c r="R20" i="109"/>
  <c r="H13" i="117"/>
  <c r="H2" i="117"/>
  <c r="R9" i="109"/>
  <c r="H12" i="117"/>
  <c r="R19" i="109"/>
  <c r="R30" i="109"/>
  <c r="H23" i="117"/>
  <c r="H18" i="117"/>
  <c r="R25" i="109"/>
  <c r="R15" i="109"/>
  <c r="H8" i="117"/>
  <c r="R18" i="109"/>
  <c r="H11" i="117"/>
  <c r="H5" i="117"/>
  <c r="R12" i="109"/>
  <c r="R28" i="109"/>
  <c r="H21" i="117"/>
  <c r="H28" i="117"/>
  <c r="R35" i="109"/>
  <c r="H15" i="117"/>
  <c r="R22" i="109"/>
  <c r="H29" i="117"/>
  <c r="R36" i="109"/>
  <c r="H3" i="117"/>
  <c r="R10" i="109"/>
  <c r="R16" i="109"/>
  <c r="H9" i="117"/>
  <c r="H14" i="117"/>
  <c r="R21" i="109"/>
  <c r="H16" i="117"/>
  <c r="R23" i="109"/>
  <c r="R27" i="109"/>
  <c r="H20" i="117"/>
  <c r="R17" i="109"/>
  <c r="H10" i="117"/>
  <c r="R31" i="109"/>
  <c r="H24" i="117"/>
  <c r="R37" i="109"/>
  <c r="H30" i="117"/>
  <c r="H4" i="117"/>
  <c r="R11" i="109"/>
  <c r="R26" i="109"/>
  <c r="H19" i="117"/>
  <c r="R29" i="109"/>
  <c r="H22" i="117"/>
</calcChain>
</file>

<file path=xl/sharedStrings.xml><?xml version="1.0" encoding="utf-8"?>
<sst xmlns="http://schemas.openxmlformats.org/spreadsheetml/2006/main" count="119" uniqueCount="59">
  <si>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</si>
  <si>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</si>
  <si>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</si>
  <si>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</si>
  <si>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</si>
  <si>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</si>
  <si>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</si>
  <si>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</si>
  <si>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</si>
  <si>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</si>
  <si>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</si>
  <si>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</si>
  <si>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</si>
  <si>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</si>
  <si>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</si>
  <si>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</si>
  <si>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</si>
  <si>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</si>
  <si>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</si>
  <si>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</si>
  <si>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</si>
  <si>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</si>
  <si>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</si>
  <si>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</si>
  <si>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</si>
  <si>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</si>
  <si>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</si>
  <si>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</si>
  <si>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</si>
  <si>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</si>
  <si>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</si>
  <si>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</si>
  <si>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</si>
  <si>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</si>
  <si>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</si>
  <si>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</si>
  <si>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</si>
  <si>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</si>
  <si>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</si>
  <si>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</si>
  <si>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</si>
  <si>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</si>
  <si>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</si>
  <si>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</si>
  <si>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</si>
  <si>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</si>
  <si>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</si>
  <si>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</si>
  <si>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</si>
  <si>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</si>
  <si>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</si>
  <si>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</si>
  <si>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</si>
  <si>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</si>
  <si>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</si>
  <si>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</si>
  <si>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</si>
  <si>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</si>
  <si>
    <t>Total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</si>
</sst>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43" fontId="4" fillId="0" borderId="1" xfId="1" applyNumberFormat="1" applyFont="1" applyFill="1" applyBorder="1" applyAlignment="1">
      <alignment horizontal="center"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 applyBorder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41" fontId="0" fillId="0" borderId="0" xfId="0" applyNumberFormat="1" applyAlignment="1"/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165" fontId="3" fillId="11" borderId="0" xfId="1" applyNumberFormat="1" applyFont="1" applyFill="1" applyBorder="1" applyAlignment="1">
      <alignment horizontal="center" vertical="center" shrinkToFit="1"/>
    </xf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16" workbookViewId="0">
      <selection activeCell="E33" sqref="E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7" t="s">
        <v>43</v>
      </c>
      <c r="B1" s="57" t="s">
        <v>44</v>
      </c>
      <c r="C1" s="58" t="s">
        <v>45</v>
      </c>
      <c r="D1" s="57" t="s">
        <v>46</v>
      </c>
      <c r="E1" s="59" t="s">
        <v>47</v>
      </c>
      <c r="F1" s="60" t="s">
        <v>48</v>
      </c>
      <c r="G1" s="59" t="s">
        <v>49</v>
      </c>
      <c r="H1" s="60" t="s">
        <v>50</v>
      </c>
      <c r="I1" s="59" t="s">
        <v>51</v>
      </c>
      <c r="J1" s="60" t="s">
        <v>52</v>
      </c>
      <c r="K1" s="59" t="s">
        <v>53</v>
      </c>
      <c r="L1" s="61" t="s">
        <v>54</v>
      </c>
      <c r="M1" s="59" t="s">
        <v>55</v>
      </c>
      <c r="N1" s="59" t="s">
        <v>39</v>
      </c>
    </row>
    <row r="2" spans="1:14" ht="15" x14ac:dyDescent="0.25">
      <c r="A2" s="62" t="s">
        <v>56</v>
      </c>
      <c r="B2" s="63">
        <v>1</v>
      </c>
      <c r="C2" s="64">
        <v>5</v>
      </c>
      <c r="D2" s="63">
        <v>2021</v>
      </c>
      <c r="E2" s="65">
        <f>Electricity!F8+Electricity!I8</f>
        <v>7019.9999999998681</v>
      </c>
      <c r="F2" s="66">
        <f>Electricity!L8/TOTAL!E2</f>
        <v>1233.1595441595434</v>
      </c>
      <c r="G2" s="65">
        <f>Gas!F9+Gas!I9+Gas!L9+Gas!O9</f>
        <v>72.474159999997354</v>
      </c>
      <c r="H2" s="66">
        <f>Gas!Q9/TOTAL!G2</f>
        <v>12560</v>
      </c>
      <c r="I2" s="65">
        <f>'Fuel Diesel'!F9</f>
        <v>638</v>
      </c>
      <c r="J2" s="67">
        <f>'Fuel Diesel'!G9/'Fuel Diesel'!F9</f>
        <v>10700</v>
      </c>
      <c r="K2" s="65">
        <f>Water!E9+Water!G9+Water!I9</f>
        <v>423</v>
      </c>
      <c r="L2" s="66">
        <f>Water!K9/TOTAL!K2</f>
        <v>4000</v>
      </c>
      <c r="M2" s="65">
        <f>Electricity!C8</f>
        <v>7</v>
      </c>
      <c r="N2" s="65">
        <f>Electricity!D8</f>
        <v>53</v>
      </c>
    </row>
    <row r="3" spans="1:14" ht="15" x14ac:dyDescent="0.25">
      <c r="A3" s="62" t="s">
        <v>56</v>
      </c>
      <c r="B3" s="63">
        <f>B2+1</f>
        <v>2</v>
      </c>
      <c r="C3" s="64">
        <v>5</v>
      </c>
      <c r="D3" s="63">
        <v>2021</v>
      </c>
      <c r="E3" s="65">
        <f>Electricity!F9+Electricity!I9</f>
        <v>7080.0000000000409</v>
      </c>
      <c r="F3" s="66">
        <f>Electricity!L9/TOTAL!E3</f>
        <v>1229.1443502824859</v>
      </c>
      <c r="G3" s="65">
        <f>Gas!F10+Gas!I10+Gas!L10+Gas!O10</f>
        <v>26.152160000001025</v>
      </c>
      <c r="H3" s="66">
        <f>Gas!Q10/TOTAL!G3</f>
        <v>12560.000000000002</v>
      </c>
      <c r="I3" s="65">
        <f>'Fuel Diesel'!F10</f>
        <v>0</v>
      </c>
      <c r="J3" s="67" t="e">
        <f>'Fuel Diesel'!G10/'Fuel Diesel'!F10</f>
        <v>#DIV/0!</v>
      </c>
      <c r="K3" s="65">
        <f>Water!E10+Water!G10+Water!I10</f>
        <v>393</v>
      </c>
      <c r="L3" s="66">
        <f>Water!K10/TOTAL!K3</f>
        <v>4000</v>
      </c>
      <c r="M3" s="65">
        <f>Electricity!C9</f>
        <v>9</v>
      </c>
      <c r="N3" s="65">
        <f>Electricity!D9</f>
        <v>50</v>
      </c>
    </row>
    <row r="4" spans="1:14" ht="15" x14ac:dyDescent="0.25">
      <c r="A4" s="62" t="s">
        <v>56</v>
      </c>
      <c r="B4" s="63">
        <f t="shared" ref="B4:B30" si="0">B3+1</f>
        <v>3</v>
      </c>
      <c r="C4" s="64">
        <v>5</v>
      </c>
      <c r="D4" s="63">
        <v>2021</v>
      </c>
      <c r="E4" s="65">
        <f>Electricity!F10+Electricity!I10</f>
        <v>6820.0000000001073</v>
      </c>
      <c r="F4" s="66">
        <f>Electricity!L10/TOTAL!E4</f>
        <v>1235.9193548387104</v>
      </c>
      <c r="G4" s="65">
        <f>Gas!F11+Gas!I11+Gas!L11+Gas!O11</f>
        <v>55.999640000000433</v>
      </c>
      <c r="H4" s="66">
        <f>Gas!Q11/TOTAL!G4</f>
        <v>12560.000000000002</v>
      </c>
      <c r="I4" s="65">
        <f>'Fuel Diesel'!F11</f>
        <v>751</v>
      </c>
      <c r="J4" s="67">
        <f>'Fuel Diesel'!G11/'Fuel Diesel'!F11</f>
        <v>10700</v>
      </c>
      <c r="K4" s="65">
        <f>Water!E11+Water!G11+Water!I11</f>
        <v>283</v>
      </c>
      <c r="L4" s="66">
        <f>Water!K11/TOTAL!K4</f>
        <v>4000</v>
      </c>
      <c r="M4" s="65">
        <f>Electricity!C10</f>
        <v>10</v>
      </c>
      <c r="N4" s="65">
        <f>Electricity!D10</f>
        <v>37</v>
      </c>
    </row>
    <row r="5" spans="1:14" ht="15" x14ac:dyDescent="0.25">
      <c r="A5" s="62" t="s">
        <v>56</v>
      </c>
      <c r="B5" s="63">
        <f t="shared" si="0"/>
        <v>4</v>
      </c>
      <c r="C5" s="64">
        <v>5</v>
      </c>
      <c r="D5" s="63">
        <v>2021</v>
      </c>
      <c r="E5" s="65">
        <f>Electricity!F11+Electricity!I11</f>
        <v>6459.999999999809</v>
      </c>
      <c r="F5" s="66">
        <f>Electricity!L11/TOTAL!E5</f>
        <v>1250.1338235294145</v>
      </c>
      <c r="G5" s="65">
        <f>Gas!F12+Gas!I12+Gas!L12+Gas!O12</f>
        <v>59.302599999999259</v>
      </c>
      <c r="H5" s="66">
        <f>Gas!Q12/TOTAL!G5</f>
        <v>12560.000000000002</v>
      </c>
      <c r="I5" s="65">
        <f>'Fuel Diesel'!F12</f>
        <v>0</v>
      </c>
      <c r="J5" s="67" t="e">
        <f>'Fuel Diesel'!G12/'Fuel Diesel'!F12</f>
        <v>#DIV/0!</v>
      </c>
      <c r="K5" s="65">
        <f>Water!E12+Water!G12+Water!I12</f>
        <v>284</v>
      </c>
      <c r="L5" s="66">
        <f>Water!K12/TOTAL!K5</f>
        <v>4000</v>
      </c>
      <c r="M5" s="65">
        <f>Electricity!C11</f>
        <v>9</v>
      </c>
      <c r="N5" s="65">
        <f>Electricity!D11</f>
        <v>49</v>
      </c>
    </row>
    <row r="6" spans="1:14" ht="15" x14ac:dyDescent="0.25">
      <c r="A6" s="62" t="s">
        <v>56</v>
      </c>
      <c r="B6" s="63">
        <f t="shared" si="0"/>
        <v>5</v>
      </c>
      <c r="C6" s="64">
        <v>5</v>
      </c>
      <c r="D6" s="63">
        <v>2021</v>
      </c>
      <c r="E6" s="65">
        <f>Electricity!F12+Electricity!I12</f>
        <v>6920.0000000001864</v>
      </c>
      <c r="F6" s="66">
        <f>Electricity!L12/TOTAL!E6</f>
        <v>1231.2274566473968</v>
      </c>
      <c r="G6" s="65">
        <f>Gas!F13+Gas!I13+Gas!L13+Gas!O13</f>
        <v>42.989200000002192</v>
      </c>
      <c r="H6" s="66">
        <f>Gas!Q13/TOTAL!G6</f>
        <v>12560</v>
      </c>
      <c r="I6" s="65">
        <f>'Fuel Diesel'!F13</f>
        <v>0</v>
      </c>
      <c r="J6" s="67" t="e">
        <f>'Fuel Diesel'!G13/'Fuel Diesel'!F13</f>
        <v>#DIV/0!</v>
      </c>
      <c r="K6" s="65">
        <f>Water!E13+Water!G13+Water!I13</f>
        <v>321</v>
      </c>
      <c r="L6" s="66">
        <f>Water!K13/TOTAL!K6</f>
        <v>4000</v>
      </c>
      <c r="M6" s="65">
        <f>Electricity!C12</f>
        <v>10</v>
      </c>
      <c r="N6" s="65">
        <f>Electricity!D12</f>
        <v>37</v>
      </c>
    </row>
    <row r="7" spans="1:14" ht="15" x14ac:dyDescent="0.25">
      <c r="A7" s="62" t="s">
        <v>56</v>
      </c>
      <c r="B7" s="63">
        <f t="shared" si="0"/>
        <v>6</v>
      </c>
      <c r="C7" s="64">
        <v>5</v>
      </c>
      <c r="D7" s="63">
        <v>2021</v>
      </c>
      <c r="E7" s="65">
        <f>Electricity!F13+Electricity!I13</f>
        <v>7339.9999999999181</v>
      </c>
      <c r="F7" s="66">
        <f>Electricity!L13/TOTAL!E7</f>
        <v>1236.8158719346054</v>
      </c>
      <c r="G7" s="65">
        <f>Gas!F14+Gas!I14+Gas!L14+Gas!O14</f>
        <v>51.528559999998087</v>
      </c>
      <c r="H7" s="66">
        <f>Gas!Q14/TOTAL!G7</f>
        <v>12560.000000000002</v>
      </c>
      <c r="I7" s="65">
        <f>'Fuel Diesel'!F14</f>
        <v>0</v>
      </c>
      <c r="J7" s="67" t="e">
        <f>'Fuel Diesel'!G14/'Fuel Diesel'!F14</f>
        <v>#DIV/0!</v>
      </c>
      <c r="K7" s="65">
        <f>Water!E14+Water!G14+Water!I14</f>
        <v>305</v>
      </c>
      <c r="L7" s="66">
        <f>Water!K14/TOTAL!K7</f>
        <v>4000</v>
      </c>
      <c r="M7" s="65">
        <f>Electricity!C13</f>
        <v>7</v>
      </c>
      <c r="N7" s="65">
        <f>Electricity!D13</f>
        <v>51</v>
      </c>
    </row>
    <row r="8" spans="1:14" ht="15" x14ac:dyDescent="0.25">
      <c r="A8" s="62" t="s">
        <v>56</v>
      </c>
      <c r="B8" s="63">
        <f t="shared" si="0"/>
        <v>7</v>
      </c>
      <c r="C8" s="64">
        <v>5</v>
      </c>
      <c r="D8" s="63">
        <v>2021</v>
      </c>
      <c r="E8" s="65">
        <f>Electricity!F14+Electricity!I14</f>
        <v>7540.00000000002</v>
      </c>
      <c r="F8" s="66">
        <f>Electricity!L14/TOTAL!E8</f>
        <v>1237.243965517242</v>
      </c>
      <c r="G8" s="65">
        <f>Gas!F15+Gas!I15+Gas!L15+Gas!O15</f>
        <v>60.470719999999119</v>
      </c>
      <c r="H8" s="66">
        <f>Gas!Q15/TOTAL!G8</f>
        <v>12560</v>
      </c>
      <c r="I8" s="65">
        <f>'Fuel Diesel'!F15</f>
        <v>0</v>
      </c>
      <c r="J8" s="67" t="e">
        <f>'Fuel Diesel'!G15/'Fuel Diesel'!F15</f>
        <v>#DIV/0!</v>
      </c>
      <c r="K8" s="65">
        <f>Water!E15+Water!G15+Water!I15</f>
        <v>299</v>
      </c>
      <c r="L8" s="66">
        <f>Water!K15/TOTAL!K8</f>
        <v>4000</v>
      </c>
      <c r="M8" s="65">
        <f>Electricity!C14</f>
        <v>12</v>
      </c>
      <c r="N8" s="65">
        <f>Electricity!D14</f>
        <v>61</v>
      </c>
    </row>
    <row r="9" spans="1:14" ht="15" x14ac:dyDescent="0.25">
      <c r="A9" s="62" t="s">
        <v>56</v>
      </c>
      <c r="B9" s="63">
        <f t="shared" si="0"/>
        <v>8</v>
      </c>
      <c r="C9" s="64">
        <v>5</v>
      </c>
      <c r="D9" s="63">
        <v>2021</v>
      </c>
      <c r="E9" s="65">
        <f>Electricity!F15+Electricity!I15</f>
        <v>7339.9999999999745</v>
      </c>
      <c r="F9" s="66">
        <f>Electricity!L15/TOTAL!E9</f>
        <v>1241.4713896457765</v>
      </c>
      <c r="G9" s="65">
        <f>Gas!F16+Gas!I16+Gas!L16+Gas!O16</f>
        <v>56.080200000002193</v>
      </c>
      <c r="H9" s="66">
        <f>Gas!Q16/TOTAL!G9</f>
        <v>12560</v>
      </c>
      <c r="I9" s="65">
        <f>'Fuel Diesel'!F16</f>
        <v>0</v>
      </c>
      <c r="J9" s="67" t="e">
        <f>'Fuel Diesel'!G16/'Fuel Diesel'!F16</f>
        <v>#DIV/0!</v>
      </c>
      <c r="K9" s="65">
        <f>Water!E16+Water!G16+Water!I16</f>
        <v>314</v>
      </c>
      <c r="L9" s="66">
        <f>Water!K16/TOTAL!K9</f>
        <v>4000</v>
      </c>
      <c r="M9" s="65">
        <f>Electricity!C15</f>
        <v>9</v>
      </c>
      <c r="N9" s="65">
        <f>Electricity!D15</f>
        <v>66</v>
      </c>
    </row>
    <row r="10" spans="1:14" ht="15" x14ac:dyDescent="0.25">
      <c r="A10" s="62" t="s">
        <v>56</v>
      </c>
      <c r="B10" s="63">
        <f t="shared" si="0"/>
        <v>9</v>
      </c>
      <c r="C10" s="64">
        <v>5</v>
      </c>
      <c r="D10" s="63">
        <v>2021</v>
      </c>
      <c r="E10" s="65">
        <f>Electricity!F16+Electricity!I16</f>
        <v>8439.9999999999418</v>
      </c>
      <c r="F10" s="66">
        <f>Electricity!L16/TOTAL!E10</f>
        <v>1233.5209715639803</v>
      </c>
      <c r="G10" s="65">
        <f>Gas!F17+Gas!I17+Gas!L17+Gas!O17</f>
        <v>56.281599999999266</v>
      </c>
      <c r="H10" s="66">
        <f>Gas!Q17/TOTAL!G10</f>
        <v>12560</v>
      </c>
      <c r="I10" s="65">
        <f>'Fuel Diesel'!F17</f>
        <v>0</v>
      </c>
      <c r="J10" s="67" t="e">
        <f>'Fuel Diesel'!G17/'Fuel Diesel'!F17</f>
        <v>#DIV/0!</v>
      </c>
      <c r="K10" s="65">
        <f>Water!E17+Water!G17+Water!I17</f>
        <v>400</v>
      </c>
      <c r="L10" s="66">
        <f>Water!K17/TOTAL!K10</f>
        <v>4000</v>
      </c>
      <c r="M10" s="65">
        <f>Electricity!C16</f>
        <v>18</v>
      </c>
      <c r="N10" s="65">
        <f>Electricity!D16</f>
        <v>66</v>
      </c>
    </row>
    <row r="11" spans="1:14" ht="15" x14ac:dyDescent="0.25">
      <c r="A11" s="62" t="s">
        <v>56</v>
      </c>
      <c r="B11" s="63">
        <f t="shared" si="0"/>
        <v>10</v>
      </c>
      <c r="C11" s="64">
        <v>5</v>
      </c>
      <c r="D11" s="63">
        <v>2021</v>
      </c>
      <c r="E11" s="65">
        <f>Electricity!F17+Electricity!I17</f>
        <v>8440.0000000001673</v>
      </c>
      <c r="F11" s="66">
        <f>Electricity!L17/TOTAL!E11</f>
        <v>1229.4722156398109</v>
      </c>
      <c r="G11" s="65">
        <f>Gas!F18+Gas!I18+Gas!L18+Gas!O18</f>
        <v>59.020640000000434</v>
      </c>
      <c r="H11" s="66">
        <f>Gas!Q18/TOTAL!G11</f>
        <v>12560.000000000002</v>
      </c>
      <c r="I11" s="65">
        <f>'Fuel Diesel'!F18</f>
        <v>0</v>
      </c>
      <c r="J11" s="67" t="e">
        <f>'Fuel Diesel'!G18/'Fuel Diesel'!F18</f>
        <v>#DIV/0!</v>
      </c>
      <c r="K11" s="65">
        <f>Water!E18+Water!G18+Water!I18</f>
        <v>323</v>
      </c>
      <c r="L11" s="66">
        <f>Water!K18/TOTAL!K11</f>
        <v>4000</v>
      </c>
      <c r="M11" s="65">
        <f>Electricity!C17</f>
        <v>14</v>
      </c>
      <c r="N11" s="65">
        <f>Electricity!D17</f>
        <v>78</v>
      </c>
    </row>
    <row r="12" spans="1:14" ht="15" x14ac:dyDescent="0.25">
      <c r="A12" s="62" t="s">
        <v>56</v>
      </c>
      <c r="B12" s="63">
        <f t="shared" si="0"/>
        <v>11</v>
      </c>
      <c r="C12" s="64">
        <v>5</v>
      </c>
      <c r="D12" s="63">
        <v>2021</v>
      </c>
      <c r="E12" s="65">
        <f>Electricity!F18+Electricity!I18</f>
        <v>7859.9999999999563</v>
      </c>
      <c r="F12" s="66">
        <f>Electricity!L18/TOTAL!E12</f>
        <v>1233.2462468193398</v>
      </c>
      <c r="G12" s="65">
        <f>Gas!F19+Gas!I19+Gas!L19+Gas!O19</f>
        <v>50.803520000000582</v>
      </c>
      <c r="H12" s="66">
        <f>Gas!Q19/TOTAL!G12</f>
        <v>12560.000000000002</v>
      </c>
      <c r="I12" s="65">
        <f>'Fuel Diesel'!F19</f>
        <v>0</v>
      </c>
      <c r="J12" s="67" t="e">
        <f>'Fuel Diesel'!G19/'Fuel Diesel'!F19</f>
        <v>#DIV/0!</v>
      </c>
      <c r="K12" s="65">
        <f>Water!E19+Water!G19+Water!I19</f>
        <v>354</v>
      </c>
      <c r="L12" s="66">
        <f>Water!K19/TOTAL!K12</f>
        <v>4000</v>
      </c>
      <c r="M12" s="65">
        <f>Electricity!C18</f>
        <v>16</v>
      </c>
      <c r="N12" s="65">
        <f>Electricity!D18</f>
        <v>42</v>
      </c>
    </row>
    <row r="13" spans="1:14" ht="15" x14ac:dyDescent="0.25">
      <c r="A13" s="62" t="s">
        <v>56</v>
      </c>
      <c r="B13" s="63">
        <f t="shared" si="0"/>
        <v>12</v>
      </c>
      <c r="C13" s="64">
        <v>5</v>
      </c>
      <c r="D13" s="63">
        <v>2021</v>
      </c>
      <c r="E13" s="65">
        <f>Electricity!F19+Electricity!I19</f>
        <v>8080.0000000000409</v>
      </c>
      <c r="F13" s="66">
        <f>Electricity!L19/TOTAL!E13</f>
        <v>1236.3203589108905</v>
      </c>
      <c r="G13" s="65">
        <f>Gas!F20+Gas!I20+Gas!L20+Gas!O20</f>
        <v>67.841959999998821</v>
      </c>
      <c r="H13" s="66">
        <f>Gas!Q20/TOTAL!G13</f>
        <v>12560</v>
      </c>
      <c r="I13" s="65">
        <f>'Fuel Diesel'!F20</f>
        <v>7</v>
      </c>
      <c r="J13" s="67">
        <f>'Fuel Diesel'!G20/'Fuel Diesel'!F20</f>
        <v>10700</v>
      </c>
      <c r="K13" s="65">
        <f>Water!E20+Water!G20+Water!I20</f>
        <v>344</v>
      </c>
      <c r="L13" s="66">
        <f>Water!K20/TOTAL!K13</f>
        <v>4194.9825581395353</v>
      </c>
      <c r="M13" s="65">
        <f>Electricity!C19</f>
        <v>26</v>
      </c>
      <c r="N13" s="65">
        <f>Electricity!D19</f>
        <v>61</v>
      </c>
    </row>
    <row r="14" spans="1:14" ht="15" x14ac:dyDescent="0.25">
      <c r="A14" s="62" t="s">
        <v>56</v>
      </c>
      <c r="B14" s="63">
        <f t="shared" si="0"/>
        <v>13</v>
      </c>
      <c r="C14" s="64">
        <v>5</v>
      </c>
      <c r="D14" s="63">
        <v>2021</v>
      </c>
      <c r="E14" s="65">
        <f>Electricity!F20+Electricity!I20</f>
        <v>8179.99999999995</v>
      </c>
      <c r="F14" s="66">
        <f>Electricity!L20/TOTAL!E14</f>
        <v>1236.5237163814172</v>
      </c>
      <c r="G14" s="65">
        <f>Gas!F21+Gas!I21+Gas!L21+Gas!O21</f>
        <v>57.933079999998675</v>
      </c>
      <c r="H14" s="66">
        <f>Gas!Q21/TOTAL!G14</f>
        <v>12560</v>
      </c>
      <c r="I14" s="65">
        <f>'Fuel Diesel'!F21</f>
        <v>0</v>
      </c>
      <c r="J14" s="67" t="e">
        <f>'Fuel Diesel'!G21/'Fuel Diesel'!F21</f>
        <v>#DIV/0!</v>
      </c>
      <c r="K14" s="65">
        <f>Water!E21+Water!G21+Water!I21</f>
        <v>357</v>
      </c>
      <c r="L14" s="66">
        <f>Water!K21/TOTAL!K14</f>
        <v>4134.2016806722686</v>
      </c>
      <c r="M14" s="65">
        <f>Electricity!C20</f>
        <v>25</v>
      </c>
      <c r="N14" s="65">
        <f>Electricity!D20</f>
        <v>115</v>
      </c>
    </row>
    <row r="15" spans="1:14" ht="15" x14ac:dyDescent="0.25">
      <c r="A15" s="62" t="s">
        <v>56</v>
      </c>
      <c r="B15" s="63">
        <f t="shared" si="0"/>
        <v>14</v>
      </c>
      <c r="C15" s="64">
        <v>5</v>
      </c>
      <c r="D15" s="63">
        <v>2021</v>
      </c>
      <c r="E15" s="65">
        <f>Electricity!F21+Electricity!I21</f>
        <v>8099.9999999999654</v>
      </c>
      <c r="F15" s="66">
        <f>Electricity!L21/TOTAL!E15</f>
        <v>1233.2677160493815</v>
      </c>
      <c r="G15" s="65">
        <f>Gas!F22+Gas!I22+Gas!L22+Gas!O22</f>
        <v>58.17476000000029</v>
      </c>
      <c r="H15" s="66">
        <f>Gas!Q22/TOTAL!G15</f>
        <v>12560</v>
      </c>
      <c r="I15" s="65">
        <f>'Fuel Diesel'!F22</f>
        <v>0</v>
      </c>
      <c r="J15" s="67" t="e">
        <f>'Fuel Diesel'!G22/'Fuel Diesel'!F22</f>
        <v>#DIV/0!</v>
      </c>
      <c r="K15" s="65">
        <f>Water!E22+Water!G22+Water!I22</f>
        <v>300</v>
      </c>
      <c r="L15" s="66">
        <f>Water!K22/TOTAL!K15</f>
        <v>4031.94</v>
      </c>
      <c r="M15" s="65">
        <f>Electricity!C21</f>
        <v>16</v>
      </c>
      <c r="N15" s="65">
        <f>Electricity!D21</f>
        <v>91</v>
      </c>
    </row>
    <row r="16" spans="1:14" ht="15" x14ac:dyDescent="0.25">
      <c r="A16" s="62" t="s">
        <v>56</v>
      </c>
      <c r="B16" s="63">
        <f t="shared" si="0"/>
        <v>15</v>
      </c>
      <c r="C16" s="64">
        <v>5</v>
      </c>
      <c r="D16" s="63">
        <v>2021</v>
      </c>
      <c r="E16" s="65">
        <f>Electricity!F22+Electricity!I22</f>
        <v>8399.9999999999782</v>
      </c>
      <c r="F16" s="66">
        <f>Electricity!L22/TOTAL!E16</f>
        <v>1231.2588095238109</v>
      </c>
      <c r="G16" s="65">
        <f>Gas!F23+Gas!I23+Gas!L23+Gas!O23</f>
        <v>72.554719999999108</v>
      </c>
      <c r="H16" s="66">
        <f>Gas!Q23/TOTAL!G16</f>
        <v>12560</v>
      </c>
      <c r="I16" s="65">
        <f>'Fuel Diesel'!F23</f>
        <v>0</v>
      </c>
      <c r="J16" s="67" t="e">
        <f>'Fuel Diesel'!G23/'Fuel Diesel'!F23</f>
        <v>#DIV/0!</v>
      </c>
      <c r="K16" s="65">
        <f>Water!E23+Water!G23+Water!I23</f>
        <v>341</v>
      </c>
      <c r="L16" s="66">
        <f>Water!K23/TOTAL!K16</f>
        <v>4056.1994134897359</v>
      </c>
      <c r="M16" s="65">
        <f>Electricity!C22</f>
        <v>17</v>
      </c>
      <c r="N16" s="65">
        <f>Electricity!D22</f>
        <v>84</v>
      </c>
    </row>
    <row r="17" spans="1:14" ht="15" x14ac:dyDescent="0.25">
      <c r="A17" s="62" t="s">
        <v>56</v>
      </c>
      <c r="B17" s="63">
        <f t="shared" si="0"/>
        <v>16</v>
      </c>
      <c r="C17" s="64">
        <v>5</v>
      </c>
      <c r="D17" s="63">
        <v>2021</v>
      </c>
      <c r="E17" s="65">
        <f>Electricity!F23+Electricity!I23</f>
        <v>7880.0000000000528</v>
      </c>
      <c r="F17" s="66">
        <f>Electricity!L23/TOTAL!E17</f>
        <v>1225.7796954314708</v>
      </c>
      <c r="G17" s="65">
        <f>Gas!F24+Gas!I24+Gas!L24+Gas!O24</f>
        <v>49.31316000000102</v>
      </c>
      <c r="H17" s="66">
        <f>Gas!Q24/TOTAL!G17</f>
        <v>12560</v>
      </c>
      <c r="I17" s="65">
        <f>'Fuel Diesel'!F24</f>
        <v>0</v>
      </c>
      <c r="J17" s="67" t="e">
        <f>'Fuel Diesel'!G24/'Fuel Diesel'!F24</f>
        <v>#DIV/0!</v>
      </c>
      <c r="K17" s="65">
        <f>Water!E24+Water!G24+Water!I24</f>
        <v>299</v>
      </c>
      <c r="L17" s="66">
        <f>Water!K24/TOTAL!K17</f>
        <v>4064.0936454849498</v>
      </c>
      <c r="M17" s="65">
        <f>Electricity!C23</f>
        <v>8</v>
      </c>
      <c r="N17" s="65">
        <f>Electricity!D23</f>
        <v>69</v>
      </c>
    </row>
    <row r="18" spans="1:14" ht="15" x14ac:dyDescent="0.25">
      <c r="A18" s="62" t="s">
        <v>56</v>
      </c>
      <c r="B18" s="63">
        <f t="shared" si="0"/>
        <v>17</v>
      </c>
      <c r="C18" s="64">
        <v>5</v>
      </c>
      <c r="D18" s="63">
        <v>2021</v>
      </c>
      <c r="E18" s="65">
        <f>Electricity!F24+Electricity!I24</f>
        <v>7339.9999999998618</v>
      </c>
      <c r="F18" s="66">
        <f>Electricity!L24/TOTAL!E18</f>
        <v>1230.6085149863784</v>
      </c>
      <c r="G18" s="65">
        <f>Gas!F25+Gas!I25+Gas!L25+Gas!O25</f>
        <v>51.206320000002044</v>
      </c>
      <c r="H18" s="66">
        <f>Gas!Q25/TOTAL!G18</f>
        <v>12560</v>
      </c>
      <c r="I18" s="65">
        <f>'Fuel Diesel'!F25</f>
        <v>0</v>
      </c>
      <c r="J18" s="67" t="e">
        <f>'Fuel Diesel'!G25/'Fuel Diesel'!F25</f>
        <v>#DIV/0!</v>
      </c>
      <c r="K18" s="65">
        <f>Water!E25+Water!G25+Water!I25</f>
        <v>332</v>
      </c>
      <c r="L18" s="66">
        <f>Water!K25/TOTAL!K18</f>
        <v>4028.8614457831327</v>
      </c>
      <c r="M18" s="65">
        <f>Electricity!C24</f>
        <v>5</v>
      </c>
      <c r="N18" s="65">
        <f>Electricity!D24</f>
        <v>36</v>
      </c>
    </row>
    <row r="19" spans="1:14" ht="15" x14ac:dyDescent="0.25">
      <c r="A19" s="62" t="s">
        <v>56</v>
      </c>
      <c r="B19" s="63">
        <f t="shared" si="0"/>
        <v>18</v>
      </c>
      <c r="C19" s="64">
        <v>5</v>
      </c>
      <c r="D19" s="63">
        <v>2021</v>
      </c>
      <c r="E19" s="65">
        <f>Electricity!F25+Electricity!I25</f>
        <v>7120.0000000000618</v>
      </c>
      <c r="F19" s="66">
        <f>Electricity!L25/TOTAL!E19</f>
        <v>1235.03735955056</v>
      </c>
      <c r="G19" s="65">
        <f>Gas!F26+Gas!I26+Gas!L26+Gas!O26</f>
        <v>53.260599999999265</v>
      </c>
      <c r="H19" s="66">
        <f>Gas!Q26/TOTAL!G19</f>
        <v>12560</v>
      </c>
      <c r="I19" s="65">
        <f>'Fuel Diesel'!F26</f>
        <v>19</v>
      </c>
      <c r="J19" s="67">
        <f>'Fuel Diesel'!G26/'Fuel Diesel'!F26</f>
        <v>10700</v>
      </c>
      <c r="K19" s="65">
        <f>Water!E26+Water!G26+Water!I26</f>
        <v>329</v>
      </c>
      <c r="L19" s="66">
        <f>Water!K26/TOTAL!K19</f>
        <v>4000</v>
      </c>
      <c r="M19" s="65">
        <f>Electricity!C25</f>
        <v>6</v>
      </c>
      <c r="N19" s="65">
        <f>Electricity!D25</f>
        <v>30</v>
      </c>
    </row>
    <row r="20" spans="1:14" ht="15" x14ac:dyDescent="0.25">
      <c r="A20" s="62" t="s">
        <v>56</v>
      </c>
      <c r="B20" s="63">
        <f t="shared" si="0"/>
        <v>19</v>
      </c>
      <c r="C20" s="64">
        <v>5</v>
      </c>
      <c r="D20" s="63">
        <v>2021</v>
      </c>
      <c r="E20" s="65">
        <f>Electricity!F26+Electricity!I26</f>
        <v>6899.9999999999773</v>
      </c>
      <c r="F20" s="66">
        <f>Electricity!L26/TOTAL!E20</f>
        <v>1228.1930434782646</v>
      </c>
      <c r="G20" s="65">
        <f>Gas!F27+Gas!I27+Gas!L27+Gas!O27</f>
        <v>52.65640000000073</v>
      </c>
      <c r="H20" s="66">
        <f>Gas!Q27/TOTAL!G20</f>
        <v>12560</v>
      </c>
      <c r="I20" s="65">
        <f>'Fuel Diesel'!F27</f>
        <v>0</v>
      </c>
      <c r="J20" s="67" t="e">
        <f>'Fuel Diesel'!G27/'Fuel Diesel'!F27</f>
        <v>#DIV/0!</v>
      </c>
      <c r="K20" s="65">
        <f>Water!E27+Water!G27+Water!I27</f>
        <v>299</v>
      </c>
      <c r="L20" s="66">
        <f>Water!K27/TOTAL!K20</f>
        <v>4128.1872909698995</v>
      </c>
      <c r="M20" s="65">
        <f>Electricity!C26</f>
        <v>5</v>
      </c>
      <c r="N20" s="65">
        <f>Electricity!D26</f>
        <v>32</v>
      </c>
    </row>
    <row r="21" spans="1:14" ht="15" x14ac:dyDescent="0.25">
      <c r="A21" s="62" t="s">
        <v>56</v>
      </c>
      <c r="B21" s="63">
        <f t="shared" si="0"/>
        <v>20</v>
      </c>
      <c r="C21" s="64">
        <v>5</v>
      </c>
      <c r="D21" s="63">
        <v>2021</v>
      </c>
      <c r="E21" s="65">
        <f>Electricity!F27+Electricity!I27</f>
        <v>7260.0000000000473</v>
      </c>
      <c r="F21" s="66">
        <f>Electricity!L27/TOTAL!E21</f>
        <v>1241.0310606060609</v>
      </c>
      <c r="G21" s="65">
        <f>Gas!F28+Gas!I28+Gas!L28+Gas!O28</f>
        <v>54.066199999998531</v>
      </c>
      <c r="H21" s="66">
        <f>Gas!Q28/TOTAL!G21</f>
        <v>12560</v>
      </c>
      <c r="I21" s="65">
        <f>'Fuel Diesel'!F28</f>
        <v>0</v>
      </c>
      <c r="J21" s="67" t="e">
        <f>'Fuel Diesel'!G28/'Fuel Diesel'!F28</f>
        <v>#DIV/0!</v>
      </c>
      <c r="K21" s="65">
        <f>Water!E28+Water!G28+Water!I28</f>
        <v>324</v>
      </c>
      <c r="L21" s="66">
        <f>Water!K28/TOTAL!K21</f>
        <v>4059.1481481481483</v>
      </c>
      <c r="M21" s="65">
        <f>Electricity!C27</f>
        <v>8</v>
      </c>
      <c r="N21" s="65">
        <f>Electricity!D27</f>
        <v>41</v>
      </c>
    </row>
    <row r="22" spans="1:14" ht="15" x14ac:dyDescent="0.25">
      <c r="A22" s="62" t="s">
        <v>56</v>
      </c>
      <c r="B22" s="63">
        <f t="shared" si="0"/>
        <v>21</v>
      </c>
      <c r="C22" s="64">
        <v>5</v>
      </c>
      <c r="D22" s="63">
        <v>2021</v>
      </c>
      <c r="E22" s="65">
        <f>Electricity!F28+Electricity!I28</f>
        <v>7539.9999999999636</v>
      </c>
      <c r="F22" s="66">
        <f>Electricity!L28/TOTAL!E22</f>
        <v>1234.2226127320953</v>
      </c>
      <c r="G22" s="65">
        <f>Gas!F29+Gas!I29+Gas!L29+Gas!O29</f>
        <v>55.637119999999847</v>
      </c>
      <c r="H22" s="66">
        <f>Gas!Q29/TOTAL!G22</f>
        <v>12560</v>
      </c>
      <c r="I22" s="65">
        <f>'Fuel Diesel'!F29</f>
        <v>0</v>
      </c>
      <c r="J22" s="67" t="e">
        <f>'Fuel Diesel'!G29/'Fuel Diesel'!F29</f>
        <v>#DIV/0!</v>
      </c>
      <c r="K22" s="65">
        <f>Water!E29+Water!G29+Water!I29</f>
        <v>320</v>
      </c>
      <c r="L22" s="66">
        <f>Water!K29/TOTAL!K22</f>
        <v>4029.9437499999999</v>
      </c>
      <c r="M22" s="65">
        <f>Electricity!C28</f>
        <v>7</v>
      </c>
      <c r="N22" s="65">
        <f>Electricity!D28</f>
        <v>36</v>
      </c>
    </row>
    <row r="23" spans="1:14" ht="15" x14ac:dyDescent="0.25">
      <c r="A23" s="62" t="s">
        <v>56</v>
      </c>
      <c r="B23" s="63">
        <f t="shared" si="0"/>
        <v>22</v>
      </c>
      <c r="C23" s="64">
        <v>5</v>
      </c>
      <c r="D23" s="63">
        <v>2021</v>
      </c>
      <c r="E23" s="65">
        <f>Electricity!F29+Electricity!I29</f>
        <v>7819.9999999999927</v>
      </c>
      <c r="F23" s="66">
        <f>Electricity!L29/TOTAL!E23</f>
        <v>1236.6412404092055</v>
      </c>
      <c r="G23" s="65">
        <f>Gas!F30+Gas!I30+Gas!L30+Gas!O30</f>
        <v>55.838520000000578</v>
      </c>
      <c r="H23" s="66">
        <f>Gas!Q30/TOTAL!G23</f>
        <v>12560.000000000002</v>
      </c>
      <c r="I23" s="65">
        <f>'Fuel Diesel'!F30</f>
        <v>0</v>
      </c>
      <c r="J23" s="67" t="e">
        <f>'Fuel Diesel'!G30/'Fuel Diesel'!F30</f>
        <v>#DIV/0!</v>
      </c>
      <c r="K23" s="65">
        <f>Water!E30+Water!G30+Water!I30</f>
        <v>301</v>
      </c>
      <c r="L23" s="66">
        <f>Water!K30/TOTAL!K23</f>
        <v>4063.6677740863788</v>
      </c>
      <c r="M23" s="65">
        <f>Electricity!C29</f>
        <v>9</v>
      </c>
      <c r="N23" s="65">
        <f>Electricity!D29</f>
        <v>53</v>
      </c>
    </row>
    <row r="24" spans="1:14" ht="15" x14ac:dyDescent="0.25">
      <c r="A24" s="62" t="s">
        <v>56</v>
      </c>
      <c r="B24" s="63">
        <f t="shared" si="0"/>
        <v>23</v>
      </c>
      <c r="C24" s="64">
        <v>5</v>
      </c>
      <c r="D24" s="63">
        <v>2021</v>
      </c>
      <c r="E24" s="65">
        <f>Electricity!F30+Electricity!I30</f>
        <v>6460.0000000000364</v>
      </c>
      <c r="F24" s="66">
        <f>Electricity!L30/TOTAL!E24</f>
        <v>1246.6073529411783</v>
      </c>
      <c r="G24" s="65">
        <f>Gas!F31+Gas!I31+Gas!L31+Gas!O31</f>
        <v>51.447999999999993</v>
      </c>
      <c r="H24" s="66">
        <f>Gas!Q31/TOTAL!G24</f>
        <v>12560</v>
      </c>
      <c r="I24" s="65">
        <f>'Fuel Diesel'!F31</f>
        <v>0</v>
      </c>
      <c r="J24" s="67" t="e">
        <f>'Fuel Diesel'!G31/'Fuel Diesel'!F31</f>
        <v>#DIV/0!</v>
      </c>
      <c r="K24" s="65">
        <f>Water!E31+Water!G31+Water!I31</f>
        <v>334</v>
      </c>
      <c r="L24" s="66">
        <f>Water!K31/TOTAL!K24</f>
        <v>4057.377245508982</v>
      </c>
      <c r="M24" s="65">
        <f>Electricity!C30</f>
        <v>5</v>
      </c>
      <c r="N24" s="65">
        <f>Electricity!D30</f>
        <v>43</v>
      </c>
    </row>
    <row r="25" spans="1:14" ht="15" x14ac:dyDescent="0.25">
      <c r="A25" s="62" t="s">
        <v>56</v>
      </c>
      <c r="B25" s="63">
        <f t="shared" si="0"/>
        <v>24</v>
      </c>
      <c r="C25" s="64">
        <v>5</v>
      </c>
      <c r="D25" s="63">
        <v>2021</v>
      </c>
      <c r="E25" s="65">
        <f>Electricity!F31+Electricity!I31</f>
        <v>8420.0000000000164</v>
      </c>
      <c r="F25" s="66">
        <f>Electricity!L31/TOTAL!E25</f>
        <v>1218.8646674584329</v>
      </c>
      <c r="G25" s="65">
        <f>Gas!F32+Gas!I32+Gas!L32+Gas!O32</f>
        <v>53.985640000000437</v>
      </c>
      <c r="H25" s="66">
        <f>Gas!Q32/TOTAL!G25</f>
        <v>12560</v>
      </c>
      <c r="I25" s="65">
        <f>'Fuel Diesel'!F32</f>
        <v>0</v>
      </c>
      <c r="J25" s="67" t="e">
        <f>'Fuel Diesel'!G32/'Fuel Diesel'!F32</f>
        <v>#DIV/0!</v>
      </c>
      <c r="K25" s="65">
        <f>Water!E32+Water!G32+Water!I32</f>
        <v>301</v>
      </c>
      <c r="L25" s="66">
        <f>Water!K32/TOTAL!K25</f>
        <v>4031.8338870431894</v>
      </c>
      <c r="M25" s="65">
        <f>Electricity!C31</f>
        <v>4</v>
      </c>
      <c r="N25" s="65">
        <f>Electricity!D31</f>
        <v>23</v>
      </c>
    </row>
    <row r="26" spans="1:14" ht="15" x14ac:dyDescent="0.25">
      <c r="A26" s="62" t="s">
        <v>56</v>
      </c>
      <c r="B26" s="63">
        <f>B25+1</f>
        <v>25</v>
      </c>
      <c r="C26" s="64">
        <v>5</v>
      </c>
      <c r="D26" s="63">
        <v>2021</v>
      </c>
      <c r="E26" s="65">
        <f>Electricity!F32+Electricity!I32</f>
        <v>7440.0000000000546</v>
      </c>
      <c r="F26" s="66">
        <f>Electricity!L32/TOTAL!E26</f>
        <v>1238.5637768817164</v>
      </c>
      <c r="G26" s="65">
        <f>Gas!F33+Gas!I33+Gas!L33+Gas!O33</f>
        <v>47.017199999998532</v>
      </c>
      <c r="H26" s="66">
        <f>Gas!Q33/TOTAL!G26</f>
        <v>12559.999999999998</v>
      </c>
      <c r="I26" s="65">
        <f>'Fuel Diesel'!F33</f>
        <v>0</v>
      </c>
      <c r="J26" s="67" t="e">
        <f>'Fuel Diesel'!G33/'Fuel Diesel'!F33</f>
        <v>#DIV/0!</v>
      </c>
      <c r="K26" s="65">
        <f>Water!E33+Water!G33+Water!I33</f>
        <v>312</v>
      </c>
      <c r="L26" s="66">
        <f>Water!K33/TOTAL!K26</f>
        <v>4061.4230769230771</v>
      </c>
      <c r="M26" s="65">
        <f>Electricity!C32</f>
        <v>5</v>
      </c>
      <c r="N26" s="65">
        <f>Electricity!D32</f>
        <v>14</v>
      </c>
    </row>
    <row r="27" spans="1:14" ht="15" x14ac:dyDescent="0.25">
      <c r="A27" s="62" t="s">
        <v>56</v>
      </c>
      <c r="B27" s="63">
        <f t="shared" si="0"/>
        <v>26</v>
      </c>
      <c r="C27" s="64">
        <v>5</v>
      </c>
      <c r="D27" s="63">
        <v>2021</v>
      </c>
      <c r="E27" s="65">
        <f>Electricity!F33+Electricity!I33</f>
        <v>7399.9999999998636</v>
      </c>
      <c r="F27" s="66">
        <f>Electricity!L33/TOTAL!E27</f>
        <v>1234.4839189189215</v>
      </c>
      <c r="G27" s="65">
        <f>Gas!F34+Gas!I34+Gas!L34+Gas!O34</f>
        <v>45.889359999999556</v>
      </c>
      <c r="H27" s="66">
        <f>Gas!Q34/TOTAL!G27</f>
        <v>12559.999999999998</v>
      </c>
      <c r="I27" s="65">
        <f>'Fuel Diesel'!F34</f>
        <v>0</v>
      </c>
      <c r="J27" s="67" t="e">
        <f>'Fuel Diesel'!G34/'Fuel Diesel'!F34</f>
        <v>#DIV/0!</v>
      </c>
      <c r="K27" s="65">
        <f>Water!E34+Water!G34+Water!I34</f>
        <v>313</v>
      </c>
      <c r="L27" s="66">
        <f>Water!K34/TOTAL!K27</f>
        <v>4061.226837060703</v>
      </c>
      <c r="M27" s="65">
        <f>Electricity!C33</f>
        <v>5</v>
      </c>
      <c r="N27" s="65">
        <f>Electricity!D33</f>
        <v>16</v>
      </c>
    </row>
    <row r="28" spans="1:14" ht="15" x14ac:dyDescent="0.25">
      <c r="A28" s="62" t="s">
        <v>56</v>
      </c>
      <c r="B28" s="63">
        <f t="shared" si="0"/>
        <v>27</v>
      </c>
      <c r="C28" s="64">
        <v>5</v>
      </c>
      <c r="D28" s="63">
        <v>2021</v>
      </c>
      <c r="E28" s="65">
        <f>Electricity!F34+Electricity!I34</f>
        <v>7580.0000000000409</v>
      </c>
      <c r="F28" s="66">
        <f>Electricity!L34/TOTAL!E28</f>
        <v>1241.233905013193</v>
      </c>
      <c r="G28" s="65">
        <f>Gas!F35+Gas!I35+Gas!L35+Gas!O35</f>
        <v>54.146760000000292</v>
      </c>
      <c r="H28" s="66">
        <f>Gas!Q35/TOTAL!G28</f>
        <v>12560</v>
      </c>
      <c r="I28" s="65">
        <f>'Fuel Diesel'!F35</f>
        <v>0</v>
      </c>
      <c r="J28" s="67" t="e">
        <f>'Fuel Diesel'!G35/'Fuel Diesel'!F35</f>
        <v>#DIV/0!</v>
      </c>
      <c r="K28" s="65">
        <f>Water!E35+Water!G35+Water!I35</f>
        <v>330</v>
      </c>
      <c r="L28" s="66">
        <f>Water!K35/TOTAL!K28</f>
        <v>4058.0727272727272</v>
      </c>
      <c r="M28" s="65">
        <f>Electricity!C34</f>
        <v>8</v>
      </c>
      <c r="N28" s="65">
        <f>Electricity!D34</f>
        <v>24</v>
      </c>
    </row>
    <row r="29" spans="1:14" ht="15" x14ac:dyDescent="0.25">
      <c r="A29" s="62" t="s">
        <v>56</v>
      </c>
      <c r="B29" s="63">
        <f t="shared" si="0"/>
        <v>28</v>
      </c>
      <c r="C29" s="64">
        <v>5</v>
      </c>
      <c r="D29" s="63">
        <v>2021</v>
      </c>
      <c r="E29" s="65">
        <f>Electricity!F35+Electricity!I35</f>
        <v>7799.9999999999545</v>
      </c>
      <c r="F29" s="66">
        <f>Electricity!L35/TOTAL!E29</f>
        <v>1229.589871794873</v>
      </c>
      <c r="G29" s="65">
        <f>Gas!F36+Gas!I36+Gas!L36+Gas!O36</f>
        <v>56.281599999999266</v>
      </c>
      <c r="H29" s="66">
        <f>Gas!Q36/TOTAL!G29</f>
        <v>12560</v>
      </c>
      <c r="I29" s="65">
        <f>'Fuel Diesel'!F36</f>
        <v>0</v>
      </c>
      <c r="J29" s="67" t="e">
        <f>'Fuel Diesel'!G36/'Fuel Diesel'!F36</f>
        <v>#DIV/0!</v>
      </c>
      <c r="K29" s="65">
        <f>Water!E36+Water!G36+Water!I36</f>
        <v>338</v>
      </c>
      <c r="L29" s="66">
        <f>Water!K36/TOTAL!K29</f>
        <v>4028.3491124260354</v>
      </c>
      <c r="M29" s="65">
        <f>Electricity!C35</f>
        <v>11</v>
      </c>
      <c r="N29" s="65">
        <f>Electricity!D35</f>
        <v>43</v>
      </c>
    </row>
    <row r="30" spans="1:14" ht="15" x14ac:dyDescent="0.25">
      <c r="A30" s="62" t="s">
        <v>56</v>
      </c>
      <c r="B30" s="63">
        <f t="shared" si="0"/>
        <v>29</v>
      </c>
      <c r="C30" s="64">
        <v>5</v>
      </c>
      <c r="D30" s="63">
        <v>2021</v>
      </c>
      <c r="E30" s="65">
        <f>Electricity!F36+Electricity!I36</f>
        <v>7620.0000000000045</v>
      </c>
      <c r="F30" s="66">
        <f>Electricity!L36/TOTAL!E30</f>
        <v>1242.1923228346454</v>
      </c>
      <c r="G30" s="65">
        <f>Gas!F37+Gas!I37+Gas!L37+Gas!O37</f>
        <v>55.475999999999999</v>
      </c>
      <c r="H30" s="66">
        <f>Gas!Q37/TOTAL!G30</f>
        <v>12560.000000000002</v>
      </c>
      <c r="I30" s="65">
        <f>'Fuel Diesel'!F37</f>
        <v>0</v>
      </c>
      <c r="J30" s="67" t="e">
        <f>'Fuel Diesel'!G37/'Fuel Diesel'!F37</f>
        <v>#DIV/0!</v>
      </c>
      <c r="K30" s="65">
        <f>Water!E37+Water!G37+Water!I37</f>
        <v>357</v>
      </c>
      <c r="L30" s="66">
        <f>Water!K37/TOTAL!K30</f>
        <v>4053.6806722689075</v>
      </c>
      <c r="M30" s="65">
        <f>Electricity!C36</f>
        <v>14</v>
      </c>
      <c r="N30" s="65">
        <f>Electricity!D36</f>
        <v>68</v>
      </c>
    </row>
    <row r="31" spans="1:14" ht="15" x14ac:dyDescent="0.25">
      <c r="A31" s="62" t="s">
        <v>56</v>
      </c>
      <c r="B31" s="63">
        <f>B30+1</f>
        <v>30</v>
      </c>
      <c r="C31" s="64">
        <v>5</v>
      </c>
      <c r="D31" s="63">
        <v>2021</v>
      </c>
      <c r="E31" s="65">
        <f>Electricity!F37+Electricity!I37</f>
        <v>7520.0000000001528</v>
      </c>
      <c r="F31" s="66">
        <f>Electricity!L37/TOTAL!E31</f>
        <v>1229.9316489361677</v>
      </c>
      <c r="G31" s="65">
        <f>Gas!F38+Gas!I38+Gas!L38+Gas!O38</f>
        <v>54.871800000001464</v>
      </c>
      <c r="H31" s="66">
        <f>Gas!Q38/TOTAL!G31</f>
        <v>12560</v>
      </c>
      <c r="I31" s="65">
        <f>'Fuel Diesel'!F38</f>
        <v>0</v>
      </c>
      <c r="J31" s="67" t="e">
        <f>'Fuel Diesel'!G38/'Fuel Diesel'!F38</f>
        <v>#DIV/0!</v>
      </c>
      <c r="K31" s="65">
        <f>Water!E38+Water!G38+Water!I38</f>
        <v>356</v>
      </c>
      <c r="L31" s="66">
        <f>Water!K38/TOTAL!K31</f>
        <v>4000</v>
      </c>
      <c r="M31" s="65">
        <f>Electricity!C37</f>
        <v>8</v>
      </c>
      <c r="N31" s="65">
        <f>Electricity!D37</f>
        <v>55</v>
      </c>
    </row>
    <row r="32" spans="1:14" ht="15" x14ac:dyDescent="0.25">
      <c r="A32" s="62" t="s">
        <v>56</v>
      </c>
      <c r="B32" s="63">
        <f>B31+1</f>
        <v>31</v>
      </c>
      <c r="C32" s="64">
        <v>5</v>
      </c>
      <c r="D32" s="63">
        <v>2021</v>
      </c>
      <c r="E32" s="65">
        <f>Electricity!F38+Electricity!I38</f>
        <v>7099.9999999998527</v>
      </c>
      <c r="F32" s="66">
        <f>Electricity!L38/TOTAL!E32</f>
        <v>1232.0991549295816</v>
      </c>
      <c r="G32" s="65">
        <f>Gas!F39+Gas!I39+Gas!L39+Gas!O39</f>
        <v>45.969920000001316</v>
      </c>
      <c r="H32" s="66">
        <f>Gas!Q39/TOTAL!G32</f>
        <v>12559.999999999998</v>
      </c>
      <c r="I32" s="65">
        <f>'Fuel Diesel'!F39</f>
        <v>15</v>
      </c>
      <c r="J32" s="67">
        <f>'Fuel Diesel'!G39/'Fuel Diesel'!F39</f>
        <v>10700</v>
      </c>
      <c r="K32" s="65">
        <f>Water!E39+Water!G39+Water!I39</f>
        <v>356</v>
      </c>
      <c r="L32" s="66">
        <f>Water!K39/TOTAL!K32</f>
        <v>4000</v>
      </c>
      <c r="M32" s="65">
        <f>Electricity!C38</f>
        <v>7</v>
      </c>
      <c r="N32" s="65">
        <f>Electricity!D38</f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H32" activePane="bottomRight" state="frozen"/>
      <selection pane="topRight" activeCell="C1" sqref="C1"/>
      <selection pane="bottomLeft" activeCell="A9" sqref="A9"/>
      <selection pane="bottomRight" activeCell="H40" sqref="H40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6.7109375" customWidth="1"/>
    <col min="14" max="14" width="2.5703125" style="1" customWidth="1"/>
    <col min="16" max="16" width="16.7109375" customWidth="1"/>
  </cols>
  <sheetData>
    <row r="1" spans="1:14" ht="15.75" x14ac:dyDescent="0.25">
      <c r="B1" s="86" t="s">
        <v>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55"/>
      <c r="N1" s="56"/>
    </row>
    <row r="2" spans="1:14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55"/>
      <c r="N2" s="56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5"/>
      <c r="N3" s="56"/>
    </row>
    <row r="4" spans="1:14" x14ac:dyDescent="0.2">
      <c r="A4" s="8"/>
      <c r="B4" s="88">
        <v>44317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"/>
    </row>
    <row r="5" spans="1:14" ht="23.25" customHeight="1" x14ac:dyDescent="0.2">
      <c r="A5" s="78"/>
      <c r="B5" s="85" t="s">
        <v>1</v>
      </c>
      <c r="C5" s="85" t="s">
        <v>38</v>
      </c>
      <c r="D5" s="85" t="s">
        <v>39</v>
      </c>
      <c r="E5" s="89" t="s">
        <v>34</v>
      </c>
      <c r="F5" s="89"/>
      <c r="G5" s="89"/>
      <c r="H5" s="87" t="s">
        <v>35</v>
      </c>
      <c r="I5" s="87"/>
      <c r="J5" s="87"/>
      <c r="K5" s="85" t="s">
        <v>11</v>
      </c>
      <c r="L5" s="85" t="s">
        <v>6</v>
      </c>
      <c r="M5" s="85" t="s">
        <v>9</v>
      </c>
      <c r="N5" s="68"/>
    </row>
    <row r="6" spans="1:14" s="7" customFormat="1" ht="48" customHeight="1" x14ac:dyDescent="0.2">
      <c r="A6" s="78"/>
      <c r="B6" s="85"/>
      <c r="C6" s="85"/>
      <c r="D6" s="85"/>
      <c r="E6" s="85" t="s">
        <v>37</v>
      </c>
      <c r="F6" s="85" t="s">
        <v>4</v>
      </c>
      <c r="G6" s="85" t="s">
        <v>8</v>
      </c>
      <c r="H6" s="85" t="s">
        <v>37</v>
      </c>
      <c r="I6" s="85" t="s">
        <v>4</v>
      </c>
      <c r="J6" s="85" t="s">
        <v>7</v>
      </c>
      <c r="K6" s="85"/>
      <c r="L6" s="85"/>
      <c r="M6" s="85"/>
      <c r="N6" s="68"/>
    </row>
    <row r="7" spans="1:14" ht="15.75" customHeight="1" x14ac:dyDescent="0.2">
      <c r="A7" s="79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69"/>
    </row>
    <row r="8" spans="1:14" ht="15.75" customHeight="1" x14ac:dyDescent="0.25">
      <c r="A8" s="79"/>
      <c r="B8" s="76">
        <v>1</v>
      </c>
      <c r="C8" s="37">
        <v>7</v>
      </c>
      <c r="D8" s="37">
        <v>53</v>
      </c>
      <c r="E8" s="11">
        <v>2.92999999999995</v>
      </c>
      <c r="F8" s="12">
        <f t="shared" ref="F8:F37" si="0">E8*2000</f>
        <v>5859.9999999999</v>
      </c>
      <c r="G8" s="4">
        <f t="shared" ref="G8:G37" si="1">F8*1035.5</f>
        <v>6068029.9999998966</v>
      </c>
      <c r="H8" s="11">
        <v>0.57999999999998408</v>
      </c>
      <c r="I8" s="12">
        <f t="shared" ref="I8:I15" si="2">H8*2000</f>
        <v>1159.9999999999682</v>
      </c>
      <c r="J8" s="4">
        <f t="shared" ref="J8:J15" si="3">I8*1553.25</f>
        <v>1801769.9999999506</v>
      </c>
      <c r="K8" s="11">
        <f t="shared" ref="K8:K15" si="4">G8+J8</f>
        <v>7869799.9999998473</v>
      </c>
      <c r="L8" s="13">
        <f t="shared" ref="L8:L15" si="5">K8*1.1</f>
        <v>8656779.9999998324</v>
      </c>
      <c r="M8" s="84">
        <f>L8/14292</f>
        <v>605.70808844107421</v>
      </c>
      <c r="N8" s="83"/>
    </row>
    <row r="9" spans="1:14" ht="17.100000000000001" customHeight="1" x14ac:dyDescent="0.25">
      <c r="A9" s="79"/>
      <c r="B9" s="76">
        <v>2</v>
      </c>
      <c r="C9" s="37">
        <v>9</v>
      </c>
      <c r="D9" s="37">
        <v>50</v>
      </c>
      <c r="E9" s="11">
        <v>2.9800000000000182</v>
      </c>
      <c r="F9" s="12">
        <f t="shared" si="0"/>
        <v>5960.0000000000364</v>
      </c>
      <c r="G9" s="4">
        <f t="shared" si="1"/>
        <v>6171580.0000000373</v>
      </c>
      <c r="H9" s="11">
        <v>0.56000000000000227</v>
      </c>
      <c r="I9" s="12">
        <f t="shared" si="2"/>
        <v>1120.0000000000045</v>
      </c>
      <c r="J9" s="4">
        <f t="shared" si="3"/>
        <v>1739640.000000007</v>
      </c>
      <c r="K9" s="11">
        <f t="shared" si="4"/>
        <v>7911220.0000000447</v>
      </c>
      <c r="L9" s="13">
        <f t="shared" si="5"/>
        <v>8702342.0000000503</v>
      </c>
      <c r="M9" s="84">
        <f t="shared" ref="M9:M38" si="6">L9/14292</f>
        <v>608.89602574867411</v>
      </c>
      <c r="N9" s="83"/>
    </row>
    <row r="10" spans="1:14" ht="17.100000000000001" customHeight="1" x14ac:dyDescent="0.25">
      <c r="A10" s="79"/>
      <c r="B10" s="76">
        <v>3</v>
      </c>
      <c r="C10" s="37">
        <v>10</v>
      </c>
      <c r="D10" s="37">
        <v>37</v>
      </c>
      <c r="E10" s="11">
        <v>2.8300000000000409</v>
      </c>
      <c r="F10" s="12">
        <f t="shared" si="0"/>
        <v>5660.0000000000819</v>
      </c>
      <c r="G10" s="4">
        <f t="shared" si="1"/>
        <v>5860930.0000000848</v>
      </c>
      <c r="H10" s="11">
        <v>0.58000000000001251</v>
      </c>
      <c r="I10" s="12">
        <f t="shared" si="2"/>
        <v>1160.000000000025</v>
      </c>
      <c r="J10" s="4">
        <f t="shared" si="3"/>
        <v>1801770.0000000389</v>
      </c>
      <c r="K10" s="11">
        <f t="shared" si="4"/>
        <v>7662700.0000001239</v>
      </c>
      <c r="L10" s="13">
        <f t="shared" si="5"/>
        <v>8428970.0000001378</v>
      </c>
      <c r="M10" s="84">
        <f t="shared" si="6"/>
        <v>589.76840190317228</v>
      </c>
      <c r="N10" s="83"/>
    </row>
    <row r="11" spans="1:14" ht="17.100000000000001" customHeight="1" x14ac:dyDescent="0.25">
      <c r="A11" s="79"/>
      <c r="B11" s="76">
        <v>4</v>
      </c>
      <c r="C11" s="37">
        <v>9</v>
      </c>
      <c r="D11" s="37">
        <v>49</v>
      </c>
      <c r="E11" s="11">
        <v>2.5999999999999091</v>
      </c>
      <c r="F11" s="12">
        <f t="shared" si="0"/>
        <v>5199.9999999998181</v>
      </c>
      <c r="G11" s="4">
        <f t="shared" si="1"/>
        <v>5384599.9999998119</v>
      </c>
      <c r="H11" s="11">
        <v>0.62999999999999545</v>
      </c>
      <c r="I11" s="12">
        <f t="shared" si="2"/>
        <v>1259.9999999999909</v>
      </c>
      <c r="J11" s="4">
        <f t="shared" si="3"/>
        <v>1957094.9999999858</v>
      </c>
      <c r="K11" s="11">
        <f t="shared" si="4"/>
        <v>7341694.9999997979</v>
      </c>
      <c r="L11" s="13">
        <f t="shared" si="5"/>
        <v>8075864.4999997783</v>
      </c>
      <c r="M11" s="84">
        <f t="shared" si="6"/>
        <v>565.06188776936597</v>
      </c>
      <c r="N11" s="83"/>
    </row>
    <row r="12" spans="1:14" ht="17.100000000000001" customHeight="1" x14ac:dyDescent="0.25">
      <c r="A12" s="79"/>
      <c r="B12" s="76">
        <v>5</v>
      </c>
      <c r="C12" s="37">
        <v>10</v>
      </c>
      <c r="D12" s="37">
        <v>37</v>
      </c>
      <c r="E12" s="11">
        <v>2.9000000000000909</v>
      </c>
      <c r="F12" s="12">
        <f t="shared" si="0"/>
        <v>5800.0000000001819</v>
      </c>
      <c r="G12" s="4">
        <f t="shared" si="1"/>
        <v>6005900.0000001881</v>
      </c>
      <c r="H12" s="11">
        <v>0.56000000000000227</v>
      </c>
      <c r="I12" s="12">
        <f t="shared" si="2"/>
        <v>1120.0000000000045</v>
      </c>
      <c r="J12" s="4">
        <f t="shared" si="3"/>
        <v>1739640.000000007</v>
      </c>
      <c r="K12" s="11">
        <f t="shared" si="4"/>
        <v>7745540.0000001956</v>
      </c>
      <c r="L12" s="13">
        <f t="shared" si="5"/>
        <v>8520094.0000002161</v>
      </c>
      <c r="M12" s="84">
        <f t="shared" si="6"/>
        <v>596.14427651834706</v>
      </c>
      <c r="N12" s="83"/>
    </row>
    <row r="13" spans="1:14" ht="17.100000000000001" customHeight="1" x14ac:dyDescent="0.25">
      <c r="A13" s="79"/>
      <c r="B13" s="76">
        <v>6</v>
      </c>
      <c r="C13" s="37">
        <v>7</v>
      </c>
      <c r="D13" s="37">
        <v>51</v>
      </c>
      <c r="E13" s="11">
        <v>3.0399999999999636</v>
      </c>
      <c r="F13" s="12">
        <f t="shared" si="0"/>
        <v>6079.9999999999272</v>
      </c>
      <c r="G13" s="4">
        <f t="shared" si="1"/>
        <v>6295839.9999999246</v>
      </c>
      <c r="H13" s="11">
        <v>0.62999999999999545</v>
      </c>
      <c r="I13" s="12">
        <f t="shared" si="2"/>
        <v>1259.9999999999909</v>
      </c>
      <c r="J13" s="4">
        <f t="shared" si="3"/>
        <v>1957094.9999999858</v>
      </c>
      <c r="K13" s="11">
        <f t="shared" si="4"/>
        <v>8252934.9999999106</v>
      </c>
      <c r="L13" s="13">
        <f t="shared" si="5"/>
        <v>9078228.4999999031</v>
      </c>
      <c r="M13" s="84">
        <f t="shared" si="6"/>
        <v>635.19650853623727</v>
      </c>
      <c r="N13" s="83"/>
    </row>
    <row r="14" spans="1:14" ht="17.100000000000001" customHeight="1" x14ac:dyDescent="0.25">
      <c r="A14" s="79"/>
      <c r="B14" s="76">
        <v>7</v>
      </c>
      <c r="C14" s="37">
        <v>12</v>
      </c>
      <c r="D14" s="37">
        <v>61</v>
      </c>
      <c r="E14" s="11">
        <v>3.1200000000000045</v>
      </c>
      <c r="F14" s="12">
        <f t="shared" si="0"/>
        <v>6240.0000000000091</v>
      </c>
      <c r="G14" s="4">
        <f t="shared" si="1"/>
        <v>6461520.0000000093</v>
      </c>
      <c r="H14" s="11">
        <v>0.65000000000000568</v>
      </c>
      <c r="I14" s="12">
        <f t="shared" si="2"/>
        <v>1300.0000000000114</v>
      </c>
      <c r="J14" s="4">
        <f t="shared" si="3"/>
        <v>2019225.0000000177</v>
      </c>
      <c r="K14" s="11">
        <f t="shared" si="4"/>
        <v>8480745.0000000261</v>
      </c>
      <c r="L14" s="13">
        <f t="shared" si="5"/>
        <v>9328819.5000000298</v>
      </c>
      <c r="M14" s="84">
        <f t="shared" si="6"/>
        <v>652.73016372796178</v>
      </c>
      <c r="N14" s="83"/>
    </row>
    <row r="15" spans="1:14" ht="17.100000000000001" customHeight="1" x14ac:dyDescent="0.25">
      <c r="A15" s="79"/>
      <c r="B15" s="76">
        <v>8</v>
      </c>
      <c r="C15" s="37">
        <v>9</v>
      </c>
      <c r="D15" s="37">
        <v>66</v>
      </c>
      <c r="E15" s="11">
        <v>3.0099999999999909</v>
      </c>
      <c r="F15" s="12">
        <f t="shared" si="0"/>
        <v>6019.9999999999818</v>
      </c>
      <c r="G15" s="4">
        <f t="shared" si="1"/>
        <v>6233709.9999999814</v>
      </c>
      <c r="H15" s="11">
        <v>0.65999999999999659</v>
      </c>
      <c r="I15" s="12">
        <f t="shared" si="2"/>
        <v>1319.9999999999932</v>
      </c>
      <c r="J15" s="4">
        <f t="shared" si="3"/>
        <v>2050289.9999999893</v>
      </c>
      <c r="K15" s="11">
        <f t="shared" si="4"/>
        <v>8283999.9999999702</v>
      </c>
      <c r="L15" s="13">
        <f t="shared" si="5"/>
        <v>9112399.9999999683</v>
      </c>
      <c r="M15" s="84">
        <f t="shared" si="6"/>
        <v>637.58746151693038</v>
      </c>
      <c r="N15" s="83"/>
    </row>
    <row r="16" spans="1:14" ht="17.100000000000001" customHeight="1" x14ac:dyDescent="0.25">
      <c r="A16" s="79"/>
      <c r="B16" s="76">
        <v>9</v>
      </c>
      <c r="C16" s="37">
        <v>18</v>
      </c>
      <c r="D16" s="37">
        <v>66</v>
      </c>
      <c r="E16" s="11">
        <v>3.5199999999999818</v>
      </c>
      <c r="F16" s="12">
        <f t="shared" si="0"/>
        <v>7039.9999999999636</v>
      </c>
      <c r="G16" s="4">
        <f t="shared" si="1"/>
        <v>7289919.9999999627</v>
      </c>
      <c r="H16" s="11">
        <v>0.69999999999998863</v>
      </c>
      <c r="I16" s="12">
        <f t="shared" ref="I16:I37" si="7">H16*2000</f>
        <v>1399.9999999999773</v>
      </c>
      <c r="J16" s="4">
        <f t="shared" ref="J16:J37" si="8">I16*1553.25</f>
        <v>2174549.9999999646</v>
      </c>
      <c r="K16" s="11">
        <f t="shared" ref="K16:K37" si="9">G16+J16</f>
        <v>9464469.9999999274</v>
      </c>
      <c r="L16" s="13">
        <f t="shared" ref="L16:L37" si="10">K16*1.1</f>
        <v>10410916.999999922</v>
      </c>
      <c r="M16" s="84">
        <f t="shared" si="6"/>
        <v>728.44367478308993</v>
      </c>
      <c r="N16" s="83"/>
    </row>
    <row r="17" spans="1:14" ht="17.100000000000001" customHeight="1" x14ac:dyDescent="0.25">
      <c r="A17" s="79"/>
      <c r="B17" s="76">
        <v>10</v>
      </c>
      <c r="C17" s="37">
        <v>14</v>
      </c>
      <c r="D17" s="37">
        <v>78</v>
      </c>
      <c r="E17" s="11">
        <v>3.5500000000000682</v>
      </c>
      <c r="F17" s="12">
        <f t="shared" si="0"/>
        <v>7100.0000000001364</v>
      </c>
      <c r="G17" s="4">
        <f t="shared" si="1"/>
        <v>7352050.0000001416</v>
      </c>
      <c r="H17" s="11">
        <v>0.67000000000001592</v>
      </c>
      <c r="I17" s="12">
        <f t="shared" si="7"/>
        <v>1340.0000000000318</v>
      </c>
      <c r="J17" s="4">
        <f t="shared" si="8"/>
        <v>2081355.0000000494</v>
      </c>
      <c r="K17" s="11">
        <f t="shared" si="9"/>
        <v>9433405.00000019</v>
      </c>
      <c r="L17" s="13">
        <f t="shared" si="10"/>
        <v>10376745.50000021</v>
      </c>
      <c r="M17" s="84">
        <f t="shared" si="6"/>
        <v>726.05272180242162</v>
      </c>
      <c r="N17" s="83"/>
    </row>
    <row r="18" spans="1:14" ht="17.100000000000001" customHeight="1" x14ac:dyDescent="0.25">
      <c r="A18" s="79"/>
      <c r="B18" s="76">
        <v>11</v>
      </c>
      <c r="C18" s="37">
        <v>16</v>
      </c>
      <c r="D18" s="37">
        <v>42</v>
      </c>
      <c r="E18" s="11">
        <v>3.2799999999999727</v>
      </c>
      <c r="F18" s="12">
        <f t="shared" si="0"/>
        <v>6559.9999999999454</v>
      </c>
      <c r="G18" s="4">
        <f t="shared" si="1"/>
        <v>6792879.9999999432</v>
      </c>
      <c r="H18" s="11">
        <v>0.65000000000000568</v>
      </c>
      <c r="I18" s="12">
        <f t="shared" si="7"/>
        <v>1300.0000000000114</v>
      </c>
      <c r="J18" s="4">
        <f t="shared" si="8"/>
        <v>2019225.0000000177</v>
      </c>
      <c r="K18" s="11">
        <f t="shared" si="9"/>
        <v>8812104.9999999609</v>
      </c>
      <c r="L18" s="13">
        <f t="shared" si="10"/>
        <v>9693315.4999999572</v>
      </c>
      <c r="M18" s="84">
        <f t="shared" si="6"/>
        <v>678.23366218863396</v>
      </c>
      <c r="N18" s="83"/>
    </row>
    <row r="19" spans="1:14" ht="17.100000000000001" customHeight="1" x14ac:dyDescent="0.25">
      <c r="A19" s="79"/>
      <c r="B19" s="76">
        <v>12</v>
      </c>
      <c r="C19" s="37">
        <v>26</v>
      </c>
      <c r="D19" s="37">
        <v>61</v>
      </c>
      <c r="E19" s="11">
        <v>3.3500000000000227</v>
      </c>
      <c r="F19" s="12">
        <f t="shared" si="0"/>
        <v>6700.0000000000455</v>
      </c>
      <c r="G19" s="4">
        <f t="shared" si="1"/>
        <v>6937850.0000000475</v>
      </c>
      <c r="H19" s="11">
        <v>0.68999999999999773</v>
      </c>
      <c r="I19" s="12">
        <f t="shared" si="7"/>
        <v>1379.9999999999955</v>
      </c>
      <c r="J19" s="4">
        <f t="shared" si="8"/>
        <v>2143484.999999993</v>
      </c>
      <c r="K19" s="11">
        <f t="shared" si="9"/>
        <v>9081335.000000041</v>
      </c>
      <c r="L19" s="13">
        <f t="shared" si="10"/>
        <v>9989468.5000000466</v>
      </c>
      <c r="M19" s="84">
        <f t="shared" si="6"/>
        <v>698.95525468794051</v>
      </c>
      <c r="N19" s="83"/>
    </row>
    <row r="20" spans="1:14" ht="17.100000000000001" customHeight="1" x14ac:dyDescent="0.25">
      <c r="A20" s="79"/>
      <c r="B20" s="76">
        <v>13</v>
      </c>
      <c r="C20" s="37">
        <v>25</v>
      </c>
      <c r="D20" s="37">
        <v>115</v>
      </c>
      <c r="E20" s="11">
        <v>3.3899999999999864</v>
      </c>
      <c r="F20" s="12">
        <f t="shared" si="0"/>
        <v>6779.9999999999727</v>
      </c>
      <c r="G20" s="4">
        <f t="shared" si="1"/>
        <v>7020689.9999999721</v>
      </c>
      <c r="H20" s="11">
        <v>0.69999999999998863</v>
      </c>
      <c r="I20" s="12">
        <f t="shared" si="7"/>
        <v>1399.9999999999773</v>
      </c>
      <c r="J20" s="4">
        <f t="shared" si="8"/>
        <v>2174549.9999999646</v>
      </c>
      <c r="K20" s="11">
        <f t="shared" si="9"/>
        <v>9195239.9999999367</v>
      </c>
      <c r="L20" s="13">
        <f t="shared" si="10"/>
        <v>10114763.999999931</v>
      </c>
      <c r="M20" s="84">
        <f t="shared" si="6"/>
        <v>707.72208228379031</v>
      </c>
      <c r="N20" s="83"/>
    </row>
    <row r="21" spans="1:14" ht="17.100000000000001" customHeight="1" x14ac:dyDescent="0.25">
      <c r="A21" s="79"/>
      <c r="B21" s="76">
        <v>14</v>
      </c>
      <c r="C21" s="37">
        <v>16</v>
      </c>
      <c r="D21" s="37">
        <v>91</v>
      </c>
      <c r="E21" s="11">
        <v>3.3799999999999955</v>
      </c>
      <c r="F21" s="12">
        <f t="shared" si="0"/>
        <v>6759.9999999999909</v>
      </c>
      <c r="G21" s="4">
        <f t="shared" si="1"/>
        <v>6999979.9999999907</v>
      </c>
      <c r="H21" s="11">
        <v>0.66999999999998749</v>
      </c>
      <c r="I21" s="12">
        <f t="shared" si="7"/>
        <v>1339.999999999975</v>
      </c>
      <c r="J21" s="4">
        <f t="shared" si="8"/>
        <v>2081354.9999999611</v>
      </c>
      <c r="K21" s="11">
        <f t="shared" si="9"/>
        <v>9081334.9999999516</v>
      </c>
      <c r="L21" s="13">
        <f t="shared" si="10"/>
        <v>9989468.4999999478</v>
      </c>
      <c r="M21" s="84">
        <f t="shared" si="6"/>
        <v>698.95525468793369</v>
      </c>
      <c r="N21" s="83"/>
    </row>
    <row r="22" spans="1:14" ht="17.100000000000001" customHeight="1" x14ac:dyDescent="0.25">
      <c r="A22" s="79"/>
      <c r="B22" s="76">
        <v>15</v>
      </c>
      <c r="C22" s="37">
        <v>17</v>
      </c>
      <c r="D22" s="37">
        <v>84</v>
      </c>
      <c r="E22" s="11">
        <v>3.5199999999999818</v>
      </c>
      <c r="F22" s="12">
        <f t="shared" si="0"/>
        <v>7039.9999999999636</v>
      </c>
      <c r="G22" s="4">
        <f t="shared" si="1"/>
        <v>7289919.9999999627</v>
      </c>
      <c r="H22" s="11">
        <v>0.68000000000000682</v>
      </c>
      <c r="I22" s="12">
        <f t="shared" si="7"/>
        <v>1360.0000000000136</v>
      </c>
      <c r="J22" s="4">
        <f t="shared" si="8"/>
        <v>2112420.0000000214</v>
      </c>
      <c r="K22" s="11">
        <f t="shared" si="9"/>
        <v>9402339.9999999851</v>
      </c>
      <c r="L22" s="13">
        <f t="shared" si="10"/>
        <v>10342573.999999985</v>
      </c>
      <c r="M22" s="84">
        <f t="shared" si="6"/>
        <v>723.66176882171737</v>
      </c>
      <c r="N22" s="83"/>
    </row>
    <row r="23" spans="1:14" ht="17.100000000000001" customHeight="1" x14ac:dyDescent="0.25">
      <c r="A23" s="79"/>
      <c r="B23" s="76">
        <v>16</v>
      </c>
      <c r="C23" s="37">
        <v>8</v>
      </c>
      <c r="D23" s="37">
        <v>69</v>
      </c>
      <c r="E23" s="11">
        <v>3.3400000000000318</v>
      </c>
      <c r="F23" s="12">
        <f t="shared" si="0"/>
        <v>6680.0000000000637</v>
      </c>
      <c r="G23" s="4">
        <f t="shared" si="1"/>
        <v>6917140.0000000661</v>
      </c>
      <c r="H23" s="11">
        <v>0.59999999999999432</v>
      </c>
      <c r="I23" s="12">
        <f t="shared" si="7"/>
        <v>1199.9999999999886</v>
      </c>
      <c r="J23" s="4">
        <f t="shared" si="8"/>
        <v>1863899.9999999823</v>
      </c>
      <c r="K23" s="11">
        <f t="shared" si="9"/>
        <v>8781040.0000000484</v>
      </c>
      <c r="L23" s="13">
        <f t="shared" si="10"/>
        <v>9659144.000000054</v>
      </c>
      <c r="M23" s="84">
        <f t="shared" si="6"/>
        <v>675.84270920795223</v>
      </c>
      <c r="N23" s="83"/>
    </row>
    <row r="24" spans="1:14" ht="17.100000000000001" customHeight="1" x14ac:dyDescent="0.25">
      <c r="A24" s="79"/>
      <c r="B24" s="76">
        <v>17</v>
      </c>
      <c r="C24" s="37">
        <v>5</v>
      </c>
      <c r="D24" s="37">
        <v>36</v>
      </c>
      <c r="E24" s="11">
        <v>3.0799999999999272</v>
      </c>
      <c r="F24" s="12">
        <f t="shared" si="0"/>
        <v>6159.9999999998545</v>
      </c>
      <c r="G24" s="4">
        <f t="shared" si="1"/>
        <v>6378679.9999998491</v>
      </c>
      <c r="H24" s="11">
        <v>0.59000000000000341</v>
      </c>
      <c r="I24" s="12">
        <f t="shared" si="7"/>
        <v>1180.0000000000068</v>
      </c>
      <c r="J24" s="4">
        <f t="shared" si="8"/>
        <v>1832835.0000000107</v>
      </c>
      <c r="K24" s="11">
        <f t="shared" si="9"/>
        <v>8211514.9999998603</v>
      </c>
      <c r="L24" s="13">
        <f t="shared" si="10"/>
        <v>9032666.4999998473</v>
      </c>
      <c r="M24" s="84">
        <f t="shared" si="6"/>
        <v>632.00857122864875</v>
      </c>
      <c r="N24" s="83"/>
    </row>
    <row r="25" spans="1:14" ht="17.100000000000001" customHeight="1" x14ac:dyDescent="0.25">
      <c r="A25" s="79"/>
      <c r="B25" s="76">
        <v>18</v>
      </c>
      <c r="C25" s="37">
        <v>6</v>
      </c>
      <c r="D25" s="37">
        <v>30</v>
      </c>
      <c r="E25" s="11">
        <v>2.9600000000000364</v>
      </c>
      <c r="F25" s="12">
        <f t="shared" si="0"/>
        <v>5920.0000000000728</v>
      </c>
      <c r="G25" s="4">
        <f t="shared" si="1"/>
        <v>6130160.0000000754</v>
      </c>
      <c r="H25" s="11">
        <v>0.59999999999999432</v>
      </c>
      <c r="I25" s="12">
        <f t="shared" si="7"/>
        <v>1199.9999999999886</v>
      </c>
      <c r="J25" s="4">
        <f t="shared" si="8"/>
        <v>1863899.9999999823</v>
      </c>
      <c r="K25" s="11">
        <f t="shared" si="9"/>
        <v>7994060.0000000577</v>
      </c>
      <c r="L25" s="13">
        <f t="shared" si="10"/>
        <v>8793466.0000000633</v>
      </c>
      <c r="M25" s="84">
        <f t="shared" si="6"/>
        <v>615.27190036384434</v>
      </c>
      <c r="N25" s="83"/>
    </row>
    <row r="26" spans="1:14" ht="17.100000000000001" customHeight="1" x14ac:dyDescent="0.25">
      <c r="A26" s="79"/>
      <c r="B26" s="76">
        <v>19</v>
      </c>
      <c r="C26" s="37">
        <v>5</v>
      </c>
      <c r="D26" s="37">
        <v>32</v>
      </c>
      <c r="E26" s="11">
        <v>2.9099999999999682</v>
      </c>
      <c r="F26" s="12">
        <f t="shared" si="0"/>
        <v>5819.9999999999363</v>
      </c>
      <c r="G26" s="4">
        <f t="shared" si="1"/>
        <v>6026609.9999999339</v>
      </c>
      <c r="H26" s="11">
        <v>0.54000000000002046</v>
      </c>
      <c r="I26" s="12">
        <f t="shared" si="7"/>
        <v>1080.0000000000409</v>
      </c>
      <c r="J26" s="4">
        <f t="shared" si="8"/>
        <v>1677510.0000000636</v>
      </c>
      <c r="K26" s="11">
        <f t="shared" si="9"/>
        <v>7704119.9999999972</v>
      </c>
      <c r="L26" s="13">
        <f t="shared" si="10"/>
        <v>8474531.9999999981</v>
      </c>
      <c r="M26" s="84">
        <f t="shared" si="6"/>
        <v>592.95633921074716</v>
      </c>
      <c r="N26" s="83"/>
    </row>
    <row r="27" spans="1:14" ht="17.100000000000001" customHeight="1" x14ac:dyDescent="0.25">
      <c r="A27" s="79"/>
      <c r="B27" s="76">
        <v>20</v>
      </c>
      <c r="C27" s="37">
        <v>8</v>
      </c>
      <c r="D27" s="37">
        <v>41</v>
      </c>
      <c r="E27" s="11">
        <v>2.9800000000000182</v>
      </c>
      <c r="F27" s="12">
        <f t="shared" si="0"/>
        <v>5960.0000000000364</v>
      </c>
      <c r="G27" s="4">
        <f t="shared" si="1"/>
        <v>6171580.0000000373</v>
      </c>
      <c r="H27" s="11">
        <v>0.65000000000000568</v>
      </c>
      <c r="I27" s="12">
        <f t="shared" si="7"/>
        <v>1300.0000000000114</v>
      </c>
      <c r="J27" s="4">
        <f t="shared" si="8"/>
        <v>2019225.0000000177</v>
      </c>
      <c r="K27" s="11">
        <f t="shared" si="9"/>
        <v>8190805.0000000549</v>
      </c>
      <c r="L27" s="13">
        <f t="shared" si="10"/>
        <v>9009885.5000000615</v>
      </c>
      <c r="M27" s="84">
        <f t="shared" si="6"/>
        <v>630.41460257487131</v>
      </c>
      <c r="N27" s="83"/>
    </row>
    <row r="28" spans="1:14" ht="17.100000000000001" customHeight="1" x14ac:dyDescent="0.25">
      <c r="A28" s="79"/>
      <c r="B28" s="76">
        <v>21</v>
      </c>
      <c r="C28" s="37">
        <v>7</v>
      </c>
      <c r="D28" s="37">
        <v>36</v>
      </c>
      <c r="E28" s="11">
        <v>3.1399999999999864</v>
      </c>
      <c r="F28" s="12">
        <f t="shared" si="0"/>
        <v>6279.9999999999727</v>
      </c>
      <c r="G28" s="4">
        <f t="shared" si="1"/>
        <v>6502939.9999999721</v>
      </c>
      <c r="H28" s="11">
        <v>0.62999999999999545</v>
      </c>
      <c r="I28" s="12">
        <f t="shared" si="7"/>
        <v>1259.9999999999909</v>
      </c>
      <c r="J28" s="4">
        <f t="shared" si="8"/>
        <v>1957094.9999999858</v>
      </c>
      <c r="K28" s="11">
        <f t="shared" si="9"/>
        <v>8460034.9999999572</v>
      </c>
      <c r="L28" s="13">
        <f t="shared" si="10"/>
        <v>9306038.4999999534</v>
      </c>
      <c r="M28" s="84">
        <f t="shared" si="6"/>
        <v>651.13619507416411</v>
      </c>
      <c r="N28" s="83"/>
    </row>
    <row r="29" spans="1:14" ht="17.100000000000001" customHeight="1" x14ac:dyDescent="0.25">
      <c r="A29" s="79"/>
      <c r="B29" s="76">
        <v>22</v>
      </c>
      <c r="C29" s="37">
        <v>9</v>
      </c>
      <c r="D29" s="37">
        <v>53</v>
      </c>
      <c r="E29" s="11">
        <v>3.2400000000000091</v>
      </c>
      <c r="F29" s="12">
        <f t="shared" si="0"/>
        <v>6480.0000000000182</v>
      </c>
      <c r="G29" s="4">
        <f t="shared" si="1"/>
        <v>6710040.0000000186</v>
      </c>
      <c r="H29" s="11">
        <v>0.66999999999998749</v>
      </c>
      <c r="I29" s="12">
        <f t="shared" si="7"/>
        <v>1339.999999999975</v>
      </c>
      <c r="J29" s="4">
        <f t="shared" si="8"/>
        <v>2081354.9999999611</v>
      </c>
      <c r="K29" s="11">
        <f t="shared" si="9"/>
        <v>8791394.9999999795</v>
      </c>
      <c r="L29" s="13">
        <f t="shared" si="10"/>
        <v>9670534.4999999776</v>
      </c>
      <c r="M29" s="84">
        <f t="shared" si="6"/>
        <v>676.6396935348431</v>
      </c>
      <c r="N29" s="83"/>
    </row>
    <row r="30" spans="1:14" ht="17.100000000000001" customHeight="1" x14ac:dyDescent="0.25">
      <c r="A30" s="79"/>
      <c r="B30" s="76">
        <v>23</v>
      </c>
      <c r="C30" s="37">
        <v>5</v>
      </c>
      <c r="D30" s="37">
        <v>43</v>
      </c>
      <c r="E30" s="11">
        <v>2.6200000000000045</v>
      </c>
      <c r="F30" s="12">
        <f t="shared" si="0"/>
        <v>5240.0000000000091</v>
      </c>
      <c r="G30" s="4">
        <f t="shared" si="1"/>
        <v>5426020.0000000093</v>
      </c>
      <c r="H30" s="11">
        <v>0.61000000000001364</v>
      </c>
      <c r="I30" s="12">
        <f t="shared" si="7"/>
        <v>1220.0000000000273</v>
      </c>
      <c r="J30" s="4">
        <f t="shared" si="8"/>
        <v>1894965.0000000424</v>
      </c>
      <c r="K30" s="11">
        <f t="shared" si="9"/>
        <v>7320985.0000000522</v>
      </c>
      <c r="L30" s="13">
        <f t="shared" si="10"/>
        <v>8053083.5000000577</v>
      </c>
      <c r="M30" s="84">
        <f t="shared" si="6"/>
        <v>563.46791911559319</v>
      </c>
      <c r="N30" s="83"/>
    </row>
    <row r="31" spans="1:14" ht="17.100000000000001" customHeight="1" x14ac:dyDescent="0.25">
      <c r="A31" s="79"/>
      <c r="B31" s="76">
        <v>24</v>
      </c>
      <c r="C31" s="37">
        <v>4</v>
      </c>
      <c r="D31" s="37">
        <v>23</v>
      </c>
      <c r="E31" s="11">
        <v>3.6200000000000045</v>
      </c>
      <c r="F31" s="12">
        <f t="shared" si="0"/>
        <v>7240.0000000000091</v>
      </c>
      <c r="G31" s="4">
        <f t="shared" si="1"/>
        <v>7497020.0000000093</v>
      </c>
      <c r="H31" s="11">
        <v>0.59000000000000341</v>
      </c>
      <c r="I31" s="12">
        <f t="shared" si="7"/>
        <v>1180.0000000000068</v>
      </c>
      <c r="J31" s="4">
        <f t="shared" si="8"/>
        <v>1832835.0000000107</v>
      </c>
      <c r="K31" s="11">
        <f t="shared" si="9"/>
        <v>9329855.0000000205</v>
      </c>
      <c r="L31" s="13">
        <f t="shared" si="10"/>
        <v>10262840.500000024</v>
      </c>
      <c r="M31" s="84">
        <f t="shared" si="6"/>
        <v>718.082878533447</v>
      </c>
      <c r="N31" s="83"/>
    </row>
    <row r="32" spans="1:14" ht="17.100000000000001" customHeight="1" x14ac:dyDescent="0.25">
      <c r="A32" s="79"/>
      <c r="B32" s="76">
        <v>25</v>
      </c>
      <c r="C32" s="37">
        <v>5</v>
      </c>
      <c r="D32" s="37">
        <v>14</v>
      </c>
      <c r="E32" s="11">
        <v>3.07000000000005</v>
      </c>
      <c r="F32" s="12">
        <f t="shared" si="0"/>
        <v>6140.0000000001</v>
      </c>
      <c r="G32" s="4">
        <f t="shared" si="1"/>
        <v>6357970.0000001034</v>
      </c>
      <c r="H32" s="11">
        <v>0.64999999999997726</v>
      </c>
      <c r="I32" s="12">
        <f t="shared" si="7"/>
        <v>1299.9999999999545</v>
      </c>
      <c r="J32" s="4">
        <f t="shared" si="8"/>
        <v>2019224.9999999295</v>
      </c>
      <c r="K32" s="11">
        <f t="shared" si="9"/>
        <v>8377195.0000000326</v>
      </c>
      <c r="L32" s="13">
        <f t="shared" si="10"/>
        <v>9214914.5000000373</v>
      </c>
      <c r="M32" s="84">
        <f t="shared" si="6"/>
        <v>644.7603204590007</v>
      </c>
      <c r="N32" s="83"/>
    </row>
    <row r="33" spans="1:16" ht="17.100000000000001" customHeight="1" x14ac:dyDescent="0.25">
      <c r="A33" s="79"/>
      <c r="B33" s="76">
        <v>26</v>
      </c>
      <c r="C33" s="37">
        <v>5</v>
      </c>
      <c r="D33" s="37">
        <v>16</v>
      </c>
      <c r="E33" s="11">
        <v>3.0799999999999272</v>
      </c>
      <c r="F33" s="12">
        <f t="shared" si="0"/>
        <v>6159.9999999998545</v>
      </c>
      <c r="G33" s="4">
        <f t="shared" si="1"/>
        <v>6378679.9999998491</v>
      </c>
      <c r="H33" s="11">
        <v>0.62000000000000455</v>
      </c>
      <c r="I33" s="12">
        <f t="shared" si="7"/>
        <v>1240.0000000000091</v>
      </c>
      <c r="J33" s="4">
        <f t="shared" si="8"/>
        <v>1926030.0000000142</v>
      </c>
      <c r="K33" s="11">
        <f t="shared" si="9"/>
        <v>8304709.9999998631</v>
      </c>
      <c r="L33" s="13">
        <f t="shared" si="10"/>
        <v>9135180.999999851</v>
      </c>
      <c r="M33" s="84">
        <f t="shared" si="6"/>
        <v>639.18143017071441</v>
      </c>
      <c r="N33" s="83"/>
    </row>
    <row r="34" spans="1:16" ht="17.100000000000001" customHeight="1" x14ac:dyDescent="0.25">
      <c r="A34" s="79"/>
      <c r="B34" s="76">
        <v>27</v>
      </c>
      <c r="C34" s="37">
        <v>8</v>
      </c>
      <c r="D34" s="37">
        <v>24</v>
      </c>
      <c r="E34" s="11">
        <v>3.1100000000000136</v>
      </c>
      <c r="F34" s="12">
        <f t="shared" si="0"/>
        <v>6220.0000000000273</v>
      </c>
      <c r="G34" s="4">
        <f t="shared" si="1"/>
        <v>6440810.0000000279</v>
      </c>
      <c r="H34" s="11">
        <v>0.68000000000000682</v>
      </c>
      <c r="I34" s="12">
        <f t="shared" si="7"/>
        <v>1360.0000000000136</v>
      </c>
      <c r="J34" s="4">
        <f t="shared" si="8"/>
        <v>2112420.0000000214</v>
      </c>
      <c r="K34" s="11">
        <f t="shared" si="9"/>
        <v>8553230.0000000484</v>
      </c>
      <c r="L34" s="13">
        <f t="shared" si="10"/>
        <v>9408553.000000054</v>
      </c>
      <c r="M34" s="84">
        <f t="shared" si="6"/>
        <v>658.30905401623659</v>
      </c>
      <c r="N34" s="83"/>
    </row>
    <row r="35" spans="1:16" ht="17.100000000000001" customHeight="1" x14ac:dyDescent="0.25">
      <c r="A35" s="79"/>
      <c r="B35" s="76">
        <v>28</v>
      </c>
      <c r="C35" s="37">
        <v>11</v>
      </c>
      <c r="D35" s="37">
        <v>43</v>
      </c>
      <c r="E35" s="11">
        <v>3.2799999999999727</v>
      </c>
      <c r="F35" s="12">
        <f t="shared" si="0"/>
        <v>6559.9999999999454</v>
      </c>
      <c r="G35" s="4">
        <f t="shared" si="1"/>
        <v>6792879.9999999432</v>
      </c>
      <c r="H35" s="11">
        <v>0.62000000000000455</v>
      </c>
      <c r="I35" s="12">
        <f t="shared" si="7"/>
        <v>1240.0000000000091</v>
      </c>
      <c r="J35" s="4">
        <f t="shared" si="8"/>
        <v>1926030.0000000142</v>
      </c>
      <c r="K35" s="11">
        <f t="shared" si="9"/>
        <v>8718909.9999999572</v>
      </c>
      <c r="L35" s="13">
        <f t="shared" si="10"/>
        <v>9590800.9999999534</v>
      </c>
      <c r="M35" s="84">
        <f t="shared" si="6"/>
        <v>671.0608032465683</v>
      </c>
      <c r="N35" s="83"/>
    </row>
    <row r="36" spans="1:16" ht="17.100000000000001" customHeight="1" x14ac:dyDescent="0.25">
      <c r="A36" s="79"/>
      <c r="B36" s="76">
        <v>29</v>
      </c>
      <c r="C36" s="37">
        <v>14</v>
      </c>
      <c r="D36" s="37">
        <v>68</v>
      </c>
      <c r="E36" s="11">
        <v>3.1200000000000045</v>
      </c>
      <c r="F36" s="12">
        <f t="shared" si="0"/>
        <v>6240.0000000000091</v>
      </c>
      <c r="G36" s="4">
        <f t="shared" si="1"/>
        <v>6461520.0000000093</v>
      </c>
      <c r="H36" s="11">
        <v>0.68999999999999773</v>
      </c>
      <c r="I36" s="12">
        <f t="shared" si="7"/>
        <v>1379.9999999999955</v>
      </c>
      <c r="J36" s="4">
        <f t="shared" si="8"/>
        <v>2143484.999999993</v>
      </c>
      <c r="K36" s="11">
        <f t="shared" si="9"/>
        <v>8605005.0000000019</v>
      </c>
      <c r="L36" s="13">
        <f t="shared" si="10"/>
        <v>9465505.5000000037</v>
      </c>
      <c r="M36" s="84">
        <f t="shared" si="6"/>
        <v>662.29397565071395</v>
      </c>
      <c r="N36" s="83"/>
    </row>
    <row r="37" spans="1:16" ht="17.100000000000001" customHeight="1" x14ac:dyDescent="0.25">
      <c r="A37" s="79"/>
      <c r="B37" s="76">
        <v>30</v>
      </c>
      <c r="C37" s="37">
        <v>8</v>
      </c>
      <c r="D37" s="37">
        <v>55</v>
      </c>
      <c r="E37" s="11">
        <v>3.1600000000000819</v>
      </c>
      <c r="F37" s="12">
        <f t="shared" si="0"/>
        <v>6320.0000000001637</v>
      </c>
      <c r="G37" s="4">
        <f t="shared" si="1"/>
        <v>6544360.0000001695</v>
      </c>
      <c r="H37" s="11">
        <v>0.59999999999999432</v>
      </c>
      <c r="I37" s="12">
        <f t="shared" si="7"/>
        <v>1199.9999999999886</v>
      </c>
      <c r="J37" s="4">
        <f t="shared" si="8"/>
        <v>1863899.9999999823</v>
      </c>
      <c r="K37" s="11">
        <f t="shared" si="9"/>
        <v>8408260.0000001527</v>
      </c>
      <c r="L37" s="13">
        <f t="shared" si="10"/>
        <v>9249086.0000001695</v>
      </c>
      <c r="M37" s="84">
        <f t="shared" si="6"/>
        <v>647.15127343969834</v>
      </c>
      <c r="N37" s="83"/>
    </row>
    <row r="38" spans="1:16" ht="17.100000000000001" customHeight="1" x14ac:dyDescent="0.25">
      <c r="B38" s="76">
        <v>31</v>
      </c>
      <c r="C38" s="37">
        <v>7</v>
      </c>
      <c r="D38" s="37">
        <v>28</v>
      </c>
      <c r="E38" s="11">
        <v>2.9699999999999136</v>
      </c>
      <c r="F38" s="12">
        <f t="shared" ref="F38" si="11">E38*2000</f>
        <v>5939.9999999998272</v>
      </c>
      <c r="G38" s="4">
        <f t="shared" ref="G38" si="12">F38*1035.5</f>
        <v>6150869.9999998212</v>
      </c>
      <c r="H38" s="11">
        <v>0.58000000000001251</v>
      </c>
      <c r="I38" s="12">
        <f t="shared" ref="I38" si="13">H38*2000</f>
        <v>1160.000000000025</v>
      </c>
      <c r="J38" s="4">
        <f t="shared" ref="J38" si="14">I38*1553.25</f>
        <v>1801770.0000000389</v>
      </c>
      <c r="K38" s="11">
        <f t="shared" ref="K38" si="15">G38+J38</f>
        <v>7952639.9999998603</v>
      </c>
      <c r="L38" s="13">
        <f t="shared" ref="L38" si="16">K38*1.1</f>
        <v>8747903.9999998473</v>
      </c>
      <c r="M38" s="84">
        <f t="shared" si="6"/>
        <v>612.08396305624456</v>
      </c>
      <c r="N38" s="46"/>
    </row>
    <row r="39" spans="1:16" ht="15" x14ac:dyDescent="0.25">
      <c r="C39" s="19">
        <f>SUM(C8:C38)</f>
        <v>320</v>
      </c>
      <c r="D39" s="19">
        <f>SUM(D8:D38)</f>
        <v>1552</v>
      </c>
      <c r="F39" s="19">
        <f>SUM(F8:F38)</f>
        <v>194159.99999999983</v>
      </c>
      <c r="I39" s="19">
        <f>SUM(I8:I38)</f>
        <v>39059.999999999993</v>
      </c>
      <c r="K39" s="2" t="s">
        <v>42</v>
      </c>
      <c r="L39" s="53">
        <f>SUM(L8:L38)</f>
        <v>287894887.49999982</v>
      </c>
      <c r="M39" s="54">
        <f>SUM(M8:M38)</f>
        <v>20143.77886230058</v>
      </c>
      <c r="N39" s="46"/>
      <c r="P39" s="40" t="e">
        <f>#REF!+#REF!+#REF!+#REF!+#REF!+#REF!+#REF!+#REF!+#REF!+#REF!+M39+#REF!</f>
        <v>#REF!</v>
      </c>
    </row>
    <row r="40" spans="1:16" x14ac:dyDescent="0.2">
      <c r="K40" s="52">
        <f>F39+I39</f>
        <v>233219.99999999983</v>
      </c>
    </row>
    <row r="41" spans="1:16" x14ac:dyDescent="0.2">
      <c r="C41" t="s">
        <v>41</v>
      </c>
      <c r="M41" s="41"/>
      <c r="P41" s="38"/>
    </row>
    <row r="42" spans="1:16" x14ac:dyDescent="0.2">
      <c r="M42" s="44"/>
    </row>
  </sheetData>
  <mergeCells count="17"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N36" activePane="bottomRight" state="frozen"/>
      <selection activeCell="A3" sqref="A3"/>
      <selection pane="topRight" activeCell="C3" sqref="C3"/>
      <selection pane="bottomLeft" activeCell="A9" sqref="A9"/>
      <selection pane="bottomRight" activeCell="Q44" sqref="Q44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86" t="s">
        <v>17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1:19" ht="15.75" x14ac:dyDescent="0.25">
      <c r="B2" s="86" t="s">
        <v>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93">
        <v>44317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8"/>
    </row>
    <row r="5" spans="1:19" ht="23.25" customHeight="1" x14ac:dyDescent="0.2">
      <c r="A5" s="78"/>
      <c r="B5" s="85" t="s">
        <v>1</v>
      </c>
      <c r="C5" s="85" t="s">
        <v>38</v>
      </c>
      <c r="D5" s="85" t="s">
        <v>39</v>
      </c>
      <c r="E5" s="95" t="s">
        <v>19</v>
      </c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4" t="s">
        <v>20</v>
      </c>
      <c r="R5" s="94"/>
      <c r="S5" s="68"/>
    </row>
    <row r="6" spans="1:19" s="7" customFormat="1" ht="48" customHeight="1" x14ac:dyDescent="0.2">
      <c r="A6" s="78"/>
      <c r="B6" s="85"/>
      <c r="C6" s="85"/>
      <c r="D6" s="85"/>
      <c r="E6" s="95" t="s">
        <v>21</v>
      </c>
      <c r="F6" s="95"/>
      <c r="G6" s="95"/>
      <c r="H6" s="95" t="s">
        <v>22</v>
      </c>
      <c r="I6" s="95"/>
      <c r="J6" s="95"/>
      <c r="K6" s="95" t="s">
        <v>23</v>
      </c>
      <c r="L6" s="95"/>
      <c r="M6" s="95"/>
      <c r="N6" s="96" t="s">
        <v>24</v>
      </c>
      <c r="O6" s="96"/>
      <c r="P6" s="96"/>
      <c r="Q6" s="94"/>
      <c r="R6" s="94"/>
      <c r="S6" s="68"/>
    </row>
    <row r="7" spans="1:19" ht="36" customHeight="1" x14ac:dyDescent="0.2">
      <c r="A7" s="79"/>
      <c r="B7" s="85"/>
      <c r="C7" s="85"/>
      <c r="D7" s="85"/>
      <c r="E7" s="85" t="s">
        <v>10</v>
      </c>
      <c r="F7" s="90" t="s">
        <v>29</v>
      </c>
      <c r="G7" s="72" t="s">
        <v>57</v>
      </c>
      <c r="H7" s="85" t="s">
        <v>27</v>
      </c>
      <c r="I7" s="85" t="s">
        <v>29</v>
      </c>
      <c r="J7" s="72" t="s">
        <v>57</v>
      </c>
      <c r="K7" s="85" t="s">
        <v>10</v>
      </c>
      <c r="L7" s="85" t="s">
        <v>29</v>
      </c>
      <c r="M7" s="72" t="s">
        <v>26</v>
      </c>
      <c r="N7" s="85" t="s">
        <v>28</v>
      </c>
      <c r="O7" s="85" t="s">
        <v>29</v>
      </c>
      <c r="P7" s="72" t="s">
        <v>26</v>
      </c>
      <c r="Q7" s="94"/>
      <c r="R7" s="94"/>
      <c r="S7" s="69"/>
    </row>
    <row r="8" spans="1:19" ht="15.75" customHeight="1" x14ac:dyDescent="0.2">
      <c r="A8" s="79"/>
      <c r="B8" s="85"/>
      <c r="C8" s="85"/>
      <c r="D8" s="85"/>
      <c r="E8" s="85"/>
      <c r="F8" s="91"/>
      <c r="G8" s="81">
        <v>12560</v>
      </c>
      <c r="H8" s="85"/>
      <c r="I8" s="85"/>
      <c r="J8" s="81">
        <f>G8</f>
        <v>12560</v>
      </c>
      <c r="K8" s="85"/>
      <c r="L8" s="85"/>
      <c r="M8" s="81">
        <f>J8</f>
        <v>12560</v>
      </c>
      <c r="N8" s="85"/>
      <c r="O8" s="85"/>
      <c r="P8" s="81">
        <f>J8</f>
        <v>12560</v>
      </c>
      <c r="Q8" s="82" t="s">
        <v>30</v>
      </c>
      <c r="R8" s="72" t="s">
        <v>9</v>
      </c>
      <c r="S8" s="69"/>
    </row>
    <row r="9" spans="1:19" ht="17.100000000000001" customHeight="1" x14ac:dyDescent="0.25">
      <c r="A9" s="79"/>
      <c r="B9" s="76">
        <v>1</v>
      </c>
      <c r="C9" s="16">
        <f>Electricity!C8</f>
        <v>7</v>
      </c>
      <c r="D9" s="16">
        <f>Electricity!D8</f>
        <v>53</v>
      </c>
      <c r="E9" s="3">
        <v>8</v>
      </c>
      <c r="F9" s="11">
        <v>65.334159999997354</v>
      </c>
      <c r="G9" s="25">
        <f>F9*$G$8</f>
        <v>820597.04959996673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89678.399999999994</v>
      </c>
      <c r="Q9" s="17">
        <f>P9+G9+J9+M9</f>
        <v>910275.44959996676</v>
      </c>
      <c r="R9" s="77">
        <f>Q9/14292</f>
        <v>63.69125731877741</v>
      </c>
      <c r="S9" s="69"/>
    </row>
    <row r="10" spans="1:19" ht="17.100000000000001" customHeight="1" x14ac:dyDescent="0.25">
      <c r="A10" s="79"/>
      <c r="B10" s="76">
        <v>2</v>
      </c>
      <c r="C10" s="16">
        <f>Electricity!C9</f>
        <v>9</v>
      </c>
      <c r="D10" s="16">
        <f>Electricity!D9</f>
        <v>50</v>
      </c>
      <c r="E10" s="3">
        <v>8</v>
      </c>
      <c r="F10" s="11">
        <v>19.012160000001025</v>
      </c>
      <c r="G10" s="25">
        <f>F10*$G$8</f>
        <v>238792.72960001288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89678.399999999994</v>
      </c>
      <c r="Q10" s="17">
        <f>J10+M10+G10+P10</f>
        <v>328471.12960001291</v>
      </c>
      <c r="R10" s="77">
        <f t="shared" ref="R10:R39" si="1">Q10/14292</f>
        <v>22.982866610692199</v>
      </c>
      <c r="S10" s="69"/>
    </row>
    <row r="11" spans="1:19" ht="17.100000000000001" customHeight="1" x14ac:dyDescent="0.25">
      <c r="A11" s="79"/>
      <c r="B11" s="76">
        <v>3</v>
      </c>
      <c r="C11" s="16">
        <f>Electricity!C10</f>
        <v>10</v>
      </c>
      <c r="D11" s="16">
        <f>Electricity!D10</f>
        <v>37</v>
      </c>
      <c r="E11" s="3">
        <v>8</v>
      </c>
      <c r="F11" s="11">
        <v>48.859640000000432</v>
      </c>
      <c r="G11" s="25">
        <f t="shared" ref="G11:G38" si="2">F11*$G$8</f>
        <v>613677.07840000547</v>
      </c>
      <c r="H11" s="3"/>
      <c r="I11" s="25"/>
      <c r="J11" s="25">
        <f t="shared" ref="J11:J38" si="3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8" si="4">O11*$P$8</f>
        <v>89678.399999999994</v>
      </c>
      <c r="Q11" s="17">
        <f t="shared" ref="Q11:Q38" si="5">J11+M11+G11+P11</f>
        <v>703355.47840000549</v>
      </c>
      <c r="R11" s="77">
        <f t="shared" si="1"/>
        <v>49.21322966694693</v>
      </c>
      <c r="S11" s="69"/>
    </row>
    <row r="12" spans="1:19" ht="17.100000000000001" customHeight="1" x14ac:dyDescent="0.25">
      <c r="A12" s="79"/>
      <c r="B12" s="76">
        <v>4</v>
      </c>
      <c r="C12" s="16">
        <f>Electricity!C11</f>
        <v>9</v>
      </c>
      <c r="D12" s="16">
        <f>Electricity!D11</f>
        <v>49</v>
      </c>
      <c r="E12" s="3">
        <v>8</v>
      </c>
      <c r="F12" s="11">
        <v>52.162599999999259</v>
      </c>
      <c r="G12" s="25">
        <f t="shared" si="2"/>
        <v>655162.25599999074</v>
      </c>
      <c r="H12" s="3"/>
      <c r="I12" s="25"/>
      <c r="J12" s="25">
        <f t="shared" si="3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4"/>
        <v>89678.399999999994</v>
      </c>
      <c r="Q12" s="17">
        <f t="shared" si="5"/>
        <v>744840.65599999076</v>
      </c>
      <c r="R12" s="77">
        <f t="shared" si="1"/>
        <v>52.115914917435681</v>
      </c>
      <c r="S12" s="69"/>
    </row>
    <row r="13" spans="1:19" ht="17.100000000000001" customHeight="1" x14ac:dyDescent="0.25">
      <c r="A13" s="79"/>
      <c r="B13" s="76">
        <v>5</v>
      </c>
      <c r="C13" s="16">
        <f>Electricity!C12</f>
        <v>10</v>
      </c>
      <c r="D13" s="16">
        <f>Electricity!D12</f>
        <v>37</v>
      </c>
      <c r="E13" s="3">
        <v>8</v>
      </c>
      <c r="F13" s="11">
        <v>35.849200000002192</v>
      </c>
      <c r="G13" s="25">
        <f t="shared" si="2"/>
        <v>450265.95200002752</v>
      </c>
      <c r="H13" s="3"/>
      <c r="I13" s="25"/>
      <c r="J13" s="25">
        <f t="shared" si="3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4"/>
        <v>89678.399999999994</v>
      </c>
      <c r="Q13" s="17">
        <f t="shared" si="5"/>
        <v>539944.35200002755</v>
      </c>
      <c r="R13" s="77">
        <f t="shared" si="1"/>
        <v>37.77948166806798</v>
      </c>
      <c r="S13" s="69"/>
    </row>
    <row r="14" spans="1:19" ht="17.100000000000001" customHeight="1" x14ac:dyDescent="0.25">
      <c r="A14" s="79"/>
      <c r="B14" s="76">
        <v>6</v>
      </c>
      <c r="C14" s="16">
        <f>Electricity!C13</f>
        <v>7</v>
      </c>
      <c r="D14" s="16">
        <f>Electricity!D13</f>
        <v>51</v>
      </c>
      <c r="E14" s="3">
        <v>8</v>
      </c>
      <c r="F14" s="11">
        <v>44.388559999998087</v>
      </c>
      <c r="G14" s="25">
        <f t="shared" si="2"/>
        <v>557520.31359997601</v>
      </c>
      <c r="H14" s="3"/>
      <c r="I14" s="25"/>
      <c r="J14" s="25">
        <f t="shared" si="3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4"/>
        <v>89678.399999999994</v>
      </c>
      <c r="Q14" s="17">
        <f t="shared" si="5"/>
        <v>647198.71359997604</v>
      </c>
      <c r="R14" s="77">
        <f t="shared" si="1"/>
        <v>45.283984998598939</v>
      </c>
      <c r="S14" s="69"/>
    </row>
    <row r="15" spans="1:19" ht="17.100000000000001" customHeight="1" x14ac:dyDescent="0.25">
      <c r="A15" s="79"/>
      <c r="B15" s="76">
        <v>7</v>
      </c>
      <c r="C15" s="16">
        <f>Electricity!C14</f>
        <v>12</v>
      </c>
      <c r="D15" s="16">
        <f>Electricity!D14</f>
        <v>61</v>
      </c>
      <c r="E15" s="3">
        <v>8</v>
      </c>
      <c r="F15" s="11">
        <v>53.330719999999118</v>
      </c>
      <c r="G15" s="25">
        <f t="shared" si="2"/>
        <v>669833.84319998894</v>
      </c>
      <c r="H15" s="3"/>
      <c r="I15" s="25"/>
      <c r="J15" s="25">
        <f t="shared" si="3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4"/>
        <v>89678.399999999994</v>
      </c>
      <c r="Q15" s="17">
        <f t="shared" si="5"/>
        <v>759512.24319998897</v>
      </c>
      <c r="R15" s="77">
        <f t="shared" si="1"/>
        <v>53.142474335291702</v>
      </c>
      <c r="S15" s="69"/>
    </row>
    <row r="16" spans="1:19" ht="17.100000000000001" customHeight="1" x14ac:dyDescent="0.25">
      <c r="A16" s="79"/>
      <c r="B16" s="76">
        <v>8</v>
      </c>
      <c r="C16" s="16">
        <f>Electricity!C15</f>
        <v>9</v>
      </c>
      <c r="D16" s="16">
        <f>Electricity!D15</f>
        <v>66</v>
      </c>
      <c r="E16" s="3">
        <v>8</v>
      </c>
      <c r="F16" s="11">
        <v>48.940200000002193</v>
      </c>
      <c r="G16" s="25">
        <f t="shared" si="2"/>
        <v>614688.91200002749</v>
      </c>
      <c r="H16" s="3"/>
      <c r="I16" s="25"/>
      <c r="J16" s="25">
        <f t="shared" si="3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4"/>
        <v>89678.399999999994</v>
      </c>
      <c r="Q16" s="17">
        <f t="shared" si="5"/>
        <v>704367.31200002751</v>
      </c>
      <c r="R16" s="77">
        <f t="shared" si="1"/>
        <v>49.284026868179929</v>
      </c>
      <c r="S16" s="69"/>
    </row>
    <row r="17" spans="1:19" ht="17.100000000000001" customHeight="1" x14ac:dyDescent="0.25">
      <c r="A17" s="79"/>
      <c r="B17" s="76">
        <v>9</v>
      </c>
      <c r="C17" s="16">
        <f>Electricity!C16</f>
        <v>18</v>
      </c>
      <c r="D17" s="16">
        <f>Electricity!D16</f>
        <v>66</v>
      </c>
      <c r="E17" s="3">
        <v>8</v>
      </c>
      <c r="F17" s="11">
        <v>49.141599999999265</v>
      </c>
      <c r="G17" s="25">
        <f t="shared" si="2"/>
        <v>617218.49599999073</v>
      </c>
      <c r="H17" s="3"/>
      <c r="I17" s="25"/>
      <c r="J17" s="25">
        <f t="shared" si="3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4"/>
        <v>89678.399999999994</v>
      </c>
      <c r="Q17" s="17">
        <f t="shared" si="5"/>
        <v>706896.89599999075</v>
      </c>
      <c r="R17" s="77">
        <f t="shared" si="1"/>
        <v>49.461019871255999</v>
      </c>
      <c r="S17" s="69"/>
    </row>
    <row r="18" spans="1:19" ht="17.100000000000001" customHeight="1" x14ac:dyDescent="0.25">
      <c r="A18" s="79"/>
      <c r="B18" s="76">
        <v>10</v>
      </c>
      <c r="C18" s="16">
        <f>Electricity!C17</f>
        <v>14</v>
      </c>
      <c r="D18" s="16">
        <f>Electricity!D17</f>
        <v>78</v>
      </c>
      <c r="E18" s="3">
        <v>8</v>
      </c>
      <c r="F18" s="11">
        <v>51.880640000000433</v>
      </c>
      <c r="G18" s="25">
        <f t="shared" si="2"/>
        <v>651620.83840000548</v>
      </c>
      <c r="H18" s="3"/>
      <c r="I18" s="25"/>
      <c r="J18" s="25">
        <f t="shared" si="3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4"/>
        <v>89678.399999999994</v>
      </c>
      <c r="Q18" s="17">
        <f t="shared" si="5"/>
        <v>741299.2384000055</v>
      </c>
      <c r="R18" s="77">
        <f t="shared" si="1"/>
        <v>51.868124713126612</v>
      </c>
      <c r="S18" s="69"/>
    </row>
    <row r="19" spans="1:19" ht="17.100000000000001" customHeight="1" x14ac:dyDescent="0.25">
      <c r="A19" s="79"/>
      <c r="B19" s="76">
        <v>11</v>
      </c>
      <c r="C19" s="16">
        <f>Electricity!C18</f>
        <v>16</v>
      </c>
      <c r="D19" s="16">
        <f>Electricity!D18</f>
        <v>42</v>
      </c>
      <c r="E19" s="3">
        <v>8</v>
      </c>
      <c r="F19" s="11">
        <v>43.663520000000581</v>
      </c>
      <c r="G19" s="25">
        <f t="shared" si="2"/>
        <v>548413.81120000733</v>
      </c>
      <c r="H19" s="3"/>
      <c r="I19" s="25"/>
      <c r="J19" s="25">
        <f t="shared" si="3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4"/>
        <v>89678.399999999994</v>
      </c>
      <c r="Q19" s="17">
        <f t="shared" si="5"/>
        <v>638092.21120000735</v>
      </c>
      <c r="R19" s="77">
        <f t="shared" si="1"/>
        <v>44.646810187518007</v>
      </c>
      <c r="S19" s="69"/>
    </row>
    <row r="20" spans="1:19" ht="17.100000000000001" customHeight="1" x14ac:dyDescent="0.25">
      <c r="A20" s="79"/>
      <c r="B20" s="76">
        <v>12</v>
      </c>
      <c r="C20" s="16">
        <f>Electricity!C19</f>
        <v>26</v>
      </c>
      <c r="D20" s="16">
        <f>Electricity!D19</f>
        <v>61</v>
      </c>
      <c r="E20" s="3">
        <v>8</v>
      </c>
      <c r="F20" s="11">
        <v>60.70195999999882</v>
      </c>
      <c r="G20" s="25">
        <f t="shared" si="2"/>
        <v>762416.61759998521</v>
      </c>
      <c r="H20" s="3"/>
      <c r="I20" s="25"/>
      <c r="J20" s="25">
        <f t="shared" si="3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4"/>
        <v>89678.399999999994</v>
      </c>
      <c r="Q20" s="17">
        <f t="shared" si="5"/>
        <v>852095.01759998524</v>
      </c>
      <c r="R20" s="77">
        <f t="shared" si="1"/>
        <v>59.620418247969859</v>
      </c>
      <c r="S20" s="69"/>
    </row>
    <row r="21" spans="1:19" ht="17.100000000000001" customHeight="1" x14ac:dyDescent="0.25">
      <c r="A21" s="79"/>
      <c r="B21" s="76">
        <v>13</v>
      </c>
      <c r="C21" s="16">
        <f>Electricity!C20</f>
        <v>25</v>
      </c>
      <c r="D21" s="16">
        <f>Electricity!D20</f>
        <v>115</v>
      </c>
      <c r="E21" s="3">
        <v>8</v>
      </c>
      <c r="F21" s="11">
        <v>50.793079999998675</v>
      </c>
      <c r="G21" s="25">
        <f t="shared" si="2"/>
        <v>637961.08479998331</v>
      </c>
      <c r="H21" s="3"/>
      <c r="I21" s="25"/>
      <c r="J21" s="25">
        <f t="shared" si="3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4"/>
        <v>89678.399999999994</v>
      </c>
      <c r="Q21" s="17">
        <f t="shared" si="5"/>
        <v>727639.48479998333</v>
      </c>
      <c r="R21" s="77">
        <f t="shared" si="1"/>
        <v>50.912362496500371</v>
      </c>
      <c r="S21" s="69"/>
    </row>
    <row r="22" spans="1:19" ht="17.100000000000001" customHeight="1" x14ac:dyDescent="0.25">
      <c r="A22" s="79"/>
      <c r="B22" s="76">
        <v>14</v>
      </c>
      <c r="C22" s="16">
        <f>Electricity!C21</f>
        <v>16</v>
      </c>
      <c r="D22" s="16">
        <f>Electricity!D21</f>
        <v>91</v>
      </c>
      <c r="E22" s="3">
        <v>8</v>
      </c>
      <c r="F22" s="11">
        <v>51.03476000000029</v>
      </c>
      <c r="G22" s="25">
        <f t="shared" si="2"/>
        <v>640996.5856000036</v>
      </c>
      <c r="H22" s="3"/>
      <c r="I22" s="25"/>
      <c r="J22" s="25">
        <f t="shared" si="3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4"/>
        <v>89678.399999999994</v>
      </c>
      <c r="Q22" s="17">
        <f t="shared" si="5"/>
        <v>730674.98560000362</v>
      </c>
      <c r="R22" s="77">
        <f t="shared" si="1"/>
        <v>51.124754100196171</v>
      </c>
      <c r="S22" s="69"/>
    </row>
    <row r="23" spans="1:19" ht="17.100000000000001" customHeight="1" x14ac:dyDescent="0.25">
      <c r="A23" s="79"/>
      <c r="B23" s="76">
        <v>15</v>
      </c>
      <c r="C23" s="16">
        <f>Electricity!C22</f>
        <v>17</v>
      </c>
      <c r="D23" s="16">
        <f>Electricity!D22</f>
        <v>84</v>
      </c>
      <c r="E23" s="3">
        <v>8</v>
      </c>
      <c r="F23" s="11">
        <v>65.414719999999107</v>
      </c>
      <c r="G23" s="25">
        <f t="shared" si="2"/>
        <v>821608.88319998875</v>
      </c>
      <c r="H23" s="3"/>
      <c r="I23" s="25"/>
      <c r="J23" s="25">
        <f t="shared" si="3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4"/>
        <v>89678.399999999994</v>
      </c>
      <c r="Q23" s="17">
        <f t="shared" si="5"/>
        <v>911287.28319998877</v>
      </c>
      <c r="R23" s="77">
        <f t="shared" si="1"/>
        <v>63.762054520010409</v>
      </c>
      <c r="S23" s="69"/>
    </row>
    <row r="24" spans="1:19" ht="17.100000000000001" customHeight="1" x14ac:dyDescent="0.25">
      <c r="A24" s="79"/>
      <c r="B24" s="76">
        <v>16</v>
      </c>
      <c r="C24" s="16">
        <f>Electricity!C23</f>
        <v>8</v>
      </c>
      <c r="D24" s="16">
        <f>Electricity!D23</f>
        <v>69</v>
      </c>
      <c r="E24" s="3">
        <v>8</v>
      </c>
      <c r="F24" s="11">
        <v>42.173160000001019</v>
      </c>
      <c r="G24" s="25">
        <f t="shared" si="2"/>
        <v>529694.8896000128</v>
      </c>
      <c r="H24" s="3"/>
      <c r="I24" s="25"/>
      <c r="J24" s="25">
        <f t="shared" si="3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4"/>
        <v>89678.399999999994</v>
      </c>
      <c r="Q24" s="17">
        <f t="shared" si="5"/>
        <v>619373.28960001282</v>
      </c>
      <c r="R24" s="77">
        <f t="shared" si="1"/>
        <v>43.337061964736414</v>
      </c>
      <c r="S24" s="69"/>
    </row>
    <row r="25" spans="1:19" ht="17.100000000000001" customHeight="1" x14ac:dyDescent="0.25">
      <c r="A25" s="79"/>
      <c r="B25" s="76">
        <v>17</v>
      </c>
      <c r="C25" s="16">
        <f>Electricity!C24</f>
        <v>5</v>
      </c>
      <c r="D25" s="16">
        <f>Electricity!D24</f>
        <v>36</v>
      </c>
      <c r="E25" s="3">
        <v>8</v>
      </c>
      <c r="F25" s="11">
        <v>44.066320000002044</v>
      </c>
      <c r="G25" s="25">
        <f t="shared" si="2"/>
        <v>553472.97920002567</v>
      </c>
      <c r="H25" s="3"/>
      <c r="I25" s="25"/>
      <c r="J25" s="25">
        <f t="shared" si="3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4"/>
        <v>89678.399999999994</v>
      </c>
      <c r="Q25" s="17">
        <f t="shared" si="5"/>
        <v>643151.37920002569</v>
      </c>
      <c r="R25" s="77">
        <f t="shared" si="1"/>
        <v>45.000796193676578</v>
      </c>
      <c r="S25" s="69"/>
    </row>
    <row r="26" spans="1:19" ht="17.100000000000001" customHeight="1" x14ac:dyDescent="0.25">
      <c r="A26" s="79"/>
      <c r="B26" s="76">
        <v>18</v>
      </c>
      <c r="C26" s="16">
        <f>Electricity!C25</f>
        <v>6</v>
      </c>
      <c r="D26" s="16">
        <f>Electricity!D25</f>
        <v>30</v>
      </c>
      <c r="E26" s="3">
        <v>8</v>
      </c>
      <c r="F26" s="11">
        <v>46.120599999999264</v>
      </c>
      <c r="G26" s="25">
        <f t="shared" si="2"/>
        <v>579274.73599999072</v>
      </c>
      <c r="H26" s="3"/>
      <c r="I26" s="25"/>
      <c r="J26" s="25">
        <f t="shared" si="3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4"/>
        <v>89678.399999999994</v>
      </c>
      <c r="Q26" s="17">
        <f t="shared" si="5"/>
        <v>668953.13599999074</v>
      </c>
      <c r="R26" s="77">
        <f t="shared" si="1"/>
        <v>46.806124825076317</v>
      </c>
      <c r="S26" s="69"/>
    </row>
    <row r="27" spans="1:19" ht="17.100000000000001" customHeight="1" x14ac:dyDescent="0.25">
      <c r="A27" s="79"/>
      <c r="B27" s="76">
        <v>19</v>
      </c>
      <c r="C27" s="16">
        <f>Electricity!C26</f>
        <v>5</v>
      </c>
      <c r="D27" s="16">
        <f>Electricity!D26</f>
        <v>32</v>
      </c>
      <c r="E27" s="3">
        <v>8</v>
      </c>
      <c r="F27" s="11">
        <v>45.516400000000729</v>
      </c>
      <c r="G27" s="25">
        <f t="shared" si="2"/>
        <v>571685.98400000914</v>
      </c>
      <c r="H27" s="3"/>
      <c r="I27" s="25"/>
      <c r="J27" s="25">
        <f t="shared" si="3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4"/>
        <v>89678.399999999994</v>
      </c>
      <c r="Q27" s="17">
        <f t="shared" si="5"/>
        <v>661364.38400000916</v>
      </c>
      <c r="R27" s="77">
        <f t="shared" si="1"/>
        <v>46.275145815841668</v>
      </c>
      <c r="S27" s="69"/>
    </row>
    <row r="28" spans="1:19" ht="17.100000000000001" customHeight="1" x14ac:dyDescent="0.25">
      <c r="A28" s="79"/>
      <c r="B28" s="76">
        <v>20</v>
      </c>
      <c r="C28" s="16">
        <f>Electricity!C27</f>
        <v>8</v>
      </c>
      <c r="D28" s="16">
        <f>Electricity!D27</f>
        <v>41</v>
      </c>
      <c r="E28" s="3">
        <v>8</v>
      </c>
      <c r="F28" s="11">
        <v>46.926199999998531</v>
      </c>
      <c r="G28" s="25">
        <f t="shared" si="2"/>
        <v>589393.07199998153</v>
      </c>
      <c r="H28" s="3"/>
      <c r="I28" s="25"/>
      <c r="J28" s="25">
        <f t="shared" si="3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4"/>
        <v>89678.399999999994</v>
      </c>
      <c r="Q28" s="17">
        <f t="shared" si="5"/>
        <v>679071.47199998156</v>
      </c>
      <c r="R28" s="77">
        <f t="shared" si="1"/>
        <v>47.514096837390255</v>
      </c>
      <c r="S28" s="69"/>
    </row>
    <row r="29" spans="1:19" ht="17.100000000000001" customHeight="1" x14ac:dyDescent="0.25">
      <c r="A29" s="79"/>
      <c r="B29" s="76">
        <v>21</v>
      </c>
      <c r="C29" s="16">
        <f>Electricity!C28</f>
        <v>7</v>
      </c>
      <c r="D29" s="16">
        <f>Electricity!D28</f>
        <v>36</v>
      </c>
      <c r="E29" s="3">
        <v>8</v>
      </c>
      <c r="F29" s="11">
        <v>48.497119999999846</v>
      </c>
      <c r="G29" s="25">
        <f t="shared" si="2"/>
        <v>609123.82719999808</v>
      </c>
      <c r="H29" s="3"/>
      <c r="I29" s="25"/>
      <c r="J29" s="25">
        <f t="shared" si="3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4"/>
        <v>89678.399999999994</v>
      </c>
      <c r="Q29" s="17">
        <f t="shared" si="5"/>
        <v>698802.2271999981</v>
      </c>
      <c r="R29" s="77">
        <f t="shared" si="1"/>
        <v>48.894642261404847</v>
      </c>
      <c r="S29" s="69"/>
    </row>
    <row r="30" spans="1:19" ht="17.100000000000001" customHeight="1" x14ac:dyDescent="0.25">
      <c r="A30" s="79"/>
      <c r="B30" s="76">
        <v>22</v>
      </c>
      <c r="C30" s="16">
        <f>Electricity!C29</f>
        <v>9</v>
      </c>
      <c r="D30" s="16">
        <f>Electricity!D29</f>
        <v>53</v>
      </c>
      <c r="E30" s="3">
        <v>8</v>
      </c>
      <c r="F30" s="11">
        <v>48.698520000000578</v>
      </c>
      <c r="G30" s="25">
        <f t="shared" si="2"/>
        <v>611653.41120000731</v>
      </c>
      <c r="H30" s="3"/>
      <c r="I30" s="25"/>
      <c r="J30" s="25">
        <f t="shared" si="3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4"/>
        <v>89678.399999999994</v>
      </c>
      <c r="Q30" s="17">
        <f t="shared" si="5"/>
        <v>701331.81120000733</v>
      </c>
      <c r="R30" s="77">
        <f t="shared" si="1"/>
        <v>49.071635264484144</v>
      </c>
      <c r="S30" s="69"/>
    </row>
    <row r="31" spans="1:19" ht="17.100000000000001" customHeight="1" x14ac:dyDescent="0.25">
      <c r="A31" s="79"/>
      <c r="B31" s="76">
        <v>23</v>
      </c>
      <c r="C31" s="16">
        <f>Electricity!C30</f>
        <v>5</v>
      </c>
      <c r="D31" s="16">
        <f>Electricity!D30</f>
        <v>43</v>
      </c>
      <c r="E31" s="3">
        <v>8</v>
      </c>
      <c r="F31" s="11">
        <v>44.307999999999993</v>
      </c>
      <c r="G31" s="25">
        <f t="shared" si="2"/>
        <v>556508.47999999986</v>
      </c>
      <c r="H31" s="3"/>
      <c r="I31" s="25"/>
      <c r="J31" s="25">
        <f t="shared" si="3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4"/>
        <v>89678.399999999994</v>
      </c>
      <c r="Q31" s="17">
        <f t="shared" si="5"/>
        <v>646186.87999999989</v>
      </c>
      <c r="R31" s="77">
        <f t="shared" si="1"/>
        <v>45.213187797369152</v>
      </c>
      <c r="S31" s="69"/>
    </row>
    <row r="32" spans="1:19" ht="17.100000000000001" customHeight="1" x14ac:dyDescent="0.25">
      <c r="A32" s="79"/>
      <c r="B32" s="76">
        <v>24</v>
      </c>
      <c r="C32" s="16">
        <f>Electricity!C31</f>
        <v>4</v>
      </c>
      <c r="D32" s="16">
        <f>Electricity!D31</f>
        <v>23</v>
      </c>
      <c r="E32" s="3">
        <v>8</v>
      </c>
      <c r="F32" s="11">
        <v>46.845640000000436</v>
      </c>
      <c r="G32" s="25">
        <f t="shared" si="2"/>
        <v>588381.2384000055</v>
      </c>
      <c r="H32" s="3"/>
      <c r="I32" s="25"/>
      <c r="J32" s="25">
        <f t="shared" si="3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4"/>
        <v>89678.399999999994</v>
      </c>
      <c r="Q32" s="17">
        <f t="shared" si="5"/>
        <v>678059.63840000553</v>
      </c>
      <c r="R32" s="77">
        <f t="shared" si="1"/>
        <v>47.443299636160475</v>
      </c>
      <c r="S32" s="69"/>
    </row>
    <row r="33" spans="1:21" ht="17.100000000000001" customHeight="1" x14ac:dyDescent="0.25">
      <c r="A33" s="79"/>
      <c r="B33" s="76">
        <v>25</v>
      </c>
      <c r="C33" s="16">
        <f>Electricity!C32</f>
        <v>5</v>
      </c>
      <c r="D33" s="16">
        <f>Electricity!D32</f>
        <v>14</v>
      </c>
      <c r="E33" s="3">
        <v>8</v>
      </c>
      <c r="F33" s="11">
        <v>39.877199999998531</v>
      </c>
      <c r="G33" s="25">
        <f t="shared" si="2"/>
        <v>500857.63199998153</v>
      </c>
      <c r="H33" s="3"/>
      <c r="I33" s="25"/>
      <c r="J33" s="25">
        <f t="shared" si="3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4"/>
        <v>89678.399999999994</v>
      </c>
      <c r="Q33" s="17">
        <f t="shared" si="5"/>
        <v>590536.0319999815</v>
      </c>
      <c r="R33" s="77">
        <f t="shared" si="1"/>
        <v>41.319341729637664</v>
      </c>
      <c r="S33" s="69"/>
    </row>
    <row r="34" spans="1:21" ht="17.100000000000001" customHeight="1" x14ac:dyDescent="0.25">
      <c r="A34" s="79"/>
      <c r="B34" s="76">
        <v>26</v>
      </c>
      <c r="C34" s="16">
        <f>Electricity!C33</f>
        <v>5</v>
      </c>
      <c r="D34" s="16">
        <f>Electricity!D33</f>
        <v>16</v>
      </c>
      <c r="E34" s="3">
        <v>8</v>
      </c>
      <c r="F34" s="11">
        <v>38.749359999999555</v>
      </c>
      <c r="G34" s="25">
        <f t="shared" si="2"/>
        <v>486691.96159999439</v>
      </c>
      <c r="H34" s="3"/>
      <c r="I34" s="25"/>
      <c r="J34" s="25">
        <f t="shared" si="3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4"/>
        <v>89678.399999999994</v>
      </c>
      <c r="Q34" s="17">
        <f t="shared" si="5"/>
        <v>576370.36159999436</v>
      </c>
      <c r="R34" s="77">
        <f t="shared" si="1"/>
        <v>40.328180912398153</v>
      </c>
      <c r="S34" s="69"/>
    </row>
    <row r="35" spans="1:21" ht="17.100000000000001" customHeight="1" x14ac:dyDescent="0.25">
      <c r="A35" s="79"/>
      <c r="B35" s="76">
        <v>27</v>
      </c>
      <c r="C35" s="16">
        <f>Electricity!C34</f>
        <v>8</v>
      </c>
      <c r="D35" s="16">
        <f>Electricity!D34</f>
        <v>24</v>
      </c>
      <c r="E35" s="3">
        <v>8</v>
      </c>
      <c r="F35" s="11">
        <v>47.006760000000291</v>
      </c>
      <c r="G35" s="25">
        <f t="shared" si="2"/>
        <v>590404.90560000367</v>
      </c>
      <c r="H35" s="3"/>
      <c r="I35" s="25"/>
      <c r="J35" s="25">
        <f t="shared" si="3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4"/>
        <v>89678.399999999994</v>
      </c>
      <c r="Q35" s="17">
        <f t="shared" si="5"/>
        <v>680083.30560000369</v>
      </c>
      <c r="R35" s="77">
        <f t="shared" si="1"/>
        <v>47.584894038623261</v>
      </c>
      <c r="S35" s="69"/>
    </row>
    <row r="36" spans="1:21" ht="17.100000000000001" customHeight="1" x14ac:dyDescent="0.25">
      <c r="A36" s="79"/>
      <c r="B36" s="76">
        <v>28</v>
      </c>
      <c r="C36" s="16">
        <f>Electricity!C35</f>
        <v>11</v>
      </c>
      <c r="D36" s="16">
        <f>Electricity!D35</f>
        <v>43</v>
      </c>
      <c r="E36" s="3">
        <v>8</v>
      </c>
      <c r="F36" s="11">
        <v>49.141599999999265</v>
      </c>
      <c r="G36" s="25">
        <f t="shared" si="2"/>
        <v>617218.49599999073</v>
      </c>
      <c r="H36" s="3"/>
      <c r="I36" s="25"/>
      <c r="J36" s="25">
        <f t="shared" si="3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4"/>
        <v>89678.399999999994</v>
      </c>
      <c r="Q36" s="17">
        <f t="shared" si="5"/>
        <v>706896.89599999075</v>
      </c>
      <c r="R36" s="77">
        <f t="shared" si="1"/>
        <v>49.461019871255999</v>
      </c>
      <c r="S36" s="69"/>
    </row>
    <row r="37" spans="1:21" ht="17.100000000000001" customHeight="1" x14ac:dyDescent="0.25">
      <c r="A37" s="79"/>
      <c r="B37" s="76">
        <v>29</v>
      </c>
      <c r="C37" s="16">
        <f>Electricity!C36</f>
        <v>14</v>
      </c>
      <c r="D37" s="16">
        <f>Electricity!D36</f>
        <v>68</v>
      </c>
      <c r="E37" s="3">
        <v>8</v>
      </c>
      <c r="F37" s="11">
        <v>48.335999999999999</v>
      </c>
      <c r="G37" s="25">
        <f t="shared" si="2"/>
        <v>607100.16000000003</v>
      </c>
      <c r="H37" s="3"/>
      <c r="I37" s="25"/>
      <c r="J37" s="25">
        <f t="shared" si="3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4"/>
        <v>89678.399999999994</v>
      </c>
      <c r="Q37" s="17">
        <f t="shared" si="5"/>
        <v>696778.56</v>
      </c>
      <c r="R37" s="77">
        <f t="shared" si="1"/>
        <v>48.753047858942068</v>
      </c>
      <c r="S37" s="69"/>
    </row>
    <row r="38" spans="1:21" ht="17.100000000000001" customHeight="1" x14ac:dyDescent="0.25">
      <c r="A38" s="79"/>
      <c r="B38" s="76">
        <v>30</v>
      </c>
      <c r="C38" s="16">
        <f>Electricity!C37</f>
        <v>8</v>
      </c>
      <c r="D38" s="16">
        <f>Electricity!D37</f>
        <v>55</v>
      </c>
      <c r="E38" s="3">
        <v>8</v>
      </c>
      <c r="F38" s="11">
        <v>47.731800000001464</v>
      </c>
      <c r="G38" s="25">
        <f t="shared" si="2"/>
        <v>599511.40800001833</v>
      </c>
      <c r="H38" s="3"/>
      <c r="I38" s="25"/>
      <c r="J38" s="25">
        <f t="shared" si="3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4"/>
        <v>89678.399999999994</v>
      </c>
      <c r="Q38" s="17">
        <f t="shared" si="5"/>
        <v>689189.80800001835</v>
      </c>
      <c r="R38" s="77">
        <f t="shared" si="1"/>
        <v>48.222068849707412</v>
      </c>
      <c r="S38" s="69"/>
    </row>
    <row r="39" spans="1:21" ht="17.100000000000001" customHeight="1" x14ac:dyDescent="0.25">
      <c r="B39" s="76">
        <v>31</v>
      </c>
      <c r="C39" s="16">
        <f>Electricity!C38</f>
        <v>7</v>
      </c>
      <c r="D39" s="16">
        <f>Electricity!D38</f>
        <v>28</v>
      </c>
      <c r="E39" s="3">
        <v>8</v>
      </c>
      <c r="F39" s="11">
        <v>38.829920000001316</v>
      </c>
      <c r="G39" s="25">
        <f t="shared" ref="G39" si="6">F39*$G$8</f>
        <v>487703.79520001652</v>
      </c>
      <c r="H39" s="3"/>
      <c r="I39" s="25"/>
      <c r="J39" s="25">
        <f t="shared" ref="J39" si="7">I39*$J$8</f>
        <v>0</v>
      </c>
      <c r="K39" s="3"/>
      <c r="L39" s="11"/>
      <c r="M39" s="12">
        <f t="shared" ref="M39" si="8">L39*$M$8</f>
        <v>0</v>
      </c>
      <c r="N39" s="3"/>
      <c r="O39" s="11">
        <v>7.14</v>
      </c>
      <c r="P39" s="24">
        <f t="shared" ref="P39" si="9">O39*$P$8</f>
        <v>89678.399999999994</v>
      </c>
      <c r="Q39" s="17">
        <f t="shared" ref="Q39" si="10">J39+M39+G39+P39</f>
        <v>577382.19520001649</v>
      </c>
      <c r="R39" s="77">
        <f t="shared" si="1"/>
        <v>40.398978113631159</v>
      </c>
    </row>
    <row r="40" spans="1:21" s="1" customFormat="1" ht="15.75" x14ac:dyDescent="0.25">
      <c r="C40" s="48">
        <f>SUM(C9:C39)</f>
        <v>320</v>
      </c>
      <c r="D40" s="48">
        <f>SUM(D9:D39)</f>
        <v>1552</v>
      </c>
      <c r="E40" s="19"/>
      <c r="F40" s="19">
        <f>SUM(F9:F39)</f>
        <v>1463.3321199999996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R40" s="51">
        <f>SUM(R9:R39)</f>
        <v>1480.5123024909042</v>
      </c>
      <c r="U40" s="40"/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49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2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92" t="s">
        <v>58</v>
      </c>
      <c r="Q43" s="92"/>
      <c r="R43" s="43"/>
    </row>
    <row r="44" spans="1:21" x14ac:dyDescent="0.2">
      <c r="Q44" s="99">
        <f>F40+O40</f>
        <v>1684.6721199999993</v>
      </c>
      <c r="R44" s="43"/>
    </row>
  </sheetData>
  <mergeCells count="21">
    <mergeCell ref="P43:Q43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workbookViewId="0">
      <pane xSplit="2" ySplit="8" topLeftCell="C24" activePane="bottomRight" state="frozen"/>
      <selection pane="topRight" activeCell="C1" sqref="C1"/>
      <selection pane="bottomLeft" activeCell="A9" sqref="A9"/>
      <selection pane="bottomRight" activeCell="F44" sqref="F44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86" t="s">
        <v>36</v>
      </c>
      <c r="C1" s="86"/>
      <c r="D1" s="86"/>
      <c r="E1" s="86"/>
      <c r="F1" s="86"/>
      <c r="G1" s="86"/>
      <c r="H1" s="86"/>
    </row>
    <row r="2" spans="1:9" ht="15.75" x14ac:dyDescent="0.25">
      <c r="B2" s="86" t="s">
        <v>2</v>
      </c>
      <c r="C2" s="86"/>
      <c r="D2" s="86"/>
      <c r="E2" s="86"/>
      <c r="F2" s="86"/>
      <c r="G2" s="86"/>
      <c r="H2" s="86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0"/>
      <c r="B4" s="93">
        <v>44317</v>
      </c>
      <c r="C4" s="93"/>
      <c r="D4" s="93"/>
      <c r="E4" s="93"/>
      <c r="F4" s="93"/>
      <c r="G4" s="93"/>
      <c r="H4" s="93"/>
      <c r="I4" s="8"/>
    </row>
    <row r="5" spans="1:9" ht="12.75" customHeight="1" x14ac:dyDescent="0.2">
      <c r="A5" s="71"/>
      <c r="B5" s="85" t="s">
        <v>1</v>
      </c>
      <c r="C5" s="85" t="s">
        <v>38</v>
      </c>
      <c r="D5" s="85" t="s">
        <v>39</v>
      </c>
      <c r="E5" s="85" t="s">
        <v>18</v>
      </c>
      <c r="F5" s="85"/>
      <c r="G5" s="85"/>
      <c r="H5" s="85" t="s">
        <v>9</v>
      </c>
      <c r="I5" s="68"/>
    </row>
    <row r="6" spans="1:9" x14ac:dyDescent="0.2">
      <c r="A6" s="71"/>
      <c r="B6" s="85"/>
      <c r="C6" s="85"/>
      <c r="D6" s="85"/>
      <c r="E6" s="85"/>
      <c r="F6" s="85"/>
      <c r="G6" s="85"/>
      <c r="H6" s="85"/>
      <c r="I6" s="68"/>
    </row>
    <row r="7" spans="1:9" s="7" customFormat="1" ht="31.5" customHeight="1" x14ac:dyDescent="0.2">
      <c r="A7" s="71"/>
      <c r="B7" s="85"/>
      <c r="C7" s="85"/>
      <c r="D7" s="85"/>
      <c r="E7" s="72" t="s">
        <v>10</v>
      </c>
      <c r="F7" s="97" t="s">
        <v>25</v>
      </c>
      <c r="G7" s="73" t="s">
        <v>26</v>
      </c>
      <c r="H7" s="85"/>
      <c r="I7" s="68"/>
    </row>
    <row r="8" spans="1:9" s="7" customFormat="1" x14ac:dyDescent="0.2">
      <c r="A8" s="71"/>
      <c r="B8" s="85"/>
      <c r="C8" s="85"/>
      <c r="D8" s="85"/>
      <c r="E8" s="74"/>
      <c r="F8" s="97"/>
      <c r="G8" s="73">
        <v>10700</v>
      </c>
      <c r="H8" s="85"/>
      <c r="I8" s="68"/>
    </row>
    <row r="9" spans="1:9" ht="17.100000000000001" customHeight="1" x14ac:dyDescent="0.25">
      <c r="A9" s="75"/>
      <c r="B9" s="76">
        <v>1</v>
      </c>
      <c r="C9" s="37">
        <f>Electricity!C8</f>
        <v>7</v>
      </c>
      <c r="D9" s="37">
        <f>Electricity!D8</f>
        <v>53</v>
      </c>
      <c r="E9" s="15"/>
      <c r="F9" s="28">
        <v>638</v>
      </c>
      <c r="G9" s="28">
        <f t="shared" ref="G9:G38" si="0">F9*$G$8</f>
        <v>6826600</v>
      </c>
      <c r="H9" s="77">
        <f>G9/14292</f>
        <v>477.65183319339491</v>
      </c>
      <c r="I9" s="69"/>
    </row>
    <row r="10" spans="1:9" ht="17.100000000000001" customHeight="1" x14ac:dyDescent="0.25">
      <c r="A10" s="75"/>
      <c r="B10" s="76">
        <v>2</v>
      </c>
      <c r="C10" s="37">
        <f>Electricity!C9</f>
        <v>9</v>
      </c>
      <c r="D10" s="37">
        <f>Electricity!D9</f>
        <v>50</v>
      </c>
      <c r="E10" s="15"/>
      <c r="F10" s="28">
        <v>0</v>
      </c>
      <c r="G10" s="28">
        <f>F10*$G$8</f>
        <v>0</v>
      </c>
      <c r="H10" s="77">
        <f t="shared" ref="H10:H39" si="1">G10/14292</f>
        <v>0</v>
      </c>
      <c r="I10" s="69"/>
    </row>
    <row r="11" spans="1:9" ht="17.100000000000001" customHeight="1" x14ac:dyDescent="0.25">
      <c r="A11" s="75"/>
      <c r="B11" s="76">
        <v>3</v>
      </c>
      <c r="C11" s="37">
        <f>Electricity!C10</f>
        <v>10</v>
      </c>
      <c r="D11" s="37">
        <f>Electricity!D10</f>
        <v>37</v>
      </c>
      <c r="E11" s="15"/>
      <c r="F11" s="28">
        <v>751</v>
      </c>
      <c r="G11" s="28">
        <f t="shared" si="0"/>
        <v>8035700</v>
      </c>
      <c r="H11" s="77">
        <f t="shared" si="1"/>
        <v>562.25160929191156</v>
      </c>
      <c r="I11" s="69"/>
    </row>
    <row r="12" spans="1:9" ht="17.100000000000001" customHeight="1" x14ac:dyDescent="0.25">
      <c r="A12" s="75"/>
      <c r="B12" s="76">
        <v>4</v>
      </c>
      <c r="C12" s="37">
        <f>Electricity!C11</f>
        <v>9</v>
      </c>
      <c r="D12" s="37">
        <f>Electricity!D11</f>
        <v>49</v>
      </c>
      <c r="E12" s="15"/>
      <c r="F12" s="28">
        <v>0</v>
      </c>
      <c r="G12" s="28">
        <f t="shared" si="0"/>
        <v>0</v>
      </c>
      <c r="H12" s="77">
        <f t="shared" si="1"/>
        <v>0</v>
      </c>
      <c r="I12" s="69"/>
    </row>
    <row r="13" spans="1:9" ht="17.100000000000001" customHeight="1" x14ac:dyDescent="0.25">
      <c r="A13" s="75"/>
      <c r="B13" s="76">
        <v>5</v>
      </c>
      <c r="C13" s="37">
        <f>Electricity!C12</f>
        <v>10</v>
      </c>
      <c r="D13" s="37">
        <f>Electricity!D12</f>
        <v>37</v>
      </c>
      <c r="E13" s="15"/>
      <c r="F13" s="28">
        <v>0</v>
      </c>
      <c r="G13" s="28">
        <f t="shared" si="0"/>
        <v>0</v>
      </c>
      <c r="H13" s="77">
        <f t="shared" si="1"/>
        <v>0</v>
      </c>
      <c r="I13" s="69"/>
    </row>
    <row r="14" spans="1:9" ht="17.100000000000001" customHeight="1" x14ac:dyDescent="0.25">
      <c r="A14" s="75"/>
      <c r="B14" s="76">
        <v>6</v>
      </c>
      <c r="C14" s="37">
        <f>Electricity!C13</f>
        <v>7</v>
      </c>
      <c r="D14" s="37">
        <f>Electricity!D13</f>
        <v>51</v>
      </c>
      <c r="E14" s="15"/>
      <c r="F14" s="28">
        <v>0</v>
      </c>
      <c r="G14" s="28">
        <f t="shared" si="0"/>
        <v>0</v>
      </c>
      <c r="H14" s="77">
        <f t="shared" si="1"/>
        <v>0</v>
      </c>
      <c r="I14" s="69"/>
    </row>
    <row r="15" spans="1:9" ht="17.100000000000001" customHeight="1" x14ac:dyDescent="0.25">
      <c r="A15" s="75"/>
      <c r="B15" s="76">
        <v>7</v>
      </c>
      <c r="C15" s="37">
        <f>Electricity!C14</f>
        <v>12</v>
      </c>
      <c r="D15" s="37">
        <f>Electricity!D14</f>
        <v>61</v>
      </c>
      <c r="E15" s="15"/>
      <c r="F15" s="28">
        <v>0</v>
      </c>
      <c r="G15" s="28">
        <f t="shared" si="0"/>
        <v>0</v>
      </c>
      <c r="H15" s="77">
        <f t="shared" si="1"/>
        <v>0</v>
      </c>
      <c r="I15" s="69"/>
    </row>
    <row r="16" spans="1:9" ht="17.100000000000001" customHeight="1" x14ac:dyDescent="0.25">
      <c r="A16" s="75"/>
      <c r="B16" s="76">
        <v>8</v>
      </c>
      <c r="C16" s="37">
        <f>Electricity!C15</f>
        <v>9</v>
      </c>
      <c r="D16" s="37">
        <f>Electricity!D15</f>
        <v>66</v>
      </c>
      <c r="E16" s="15"/>
      <c r="F16" s="28">
        <v>0</v>
      </c>
      <c r="G16" s="28">
        <f t="shared" si="0"/>
        <v>0</v>
      </c>
      <c r="H16" s="77">
        <f t="shared" si="1"/>
        <v>0</v>
      </c>
      <c r="I16" s="69"/>
    </row>
    <row r="17" spans="1:9" ht="17.100000000000001" customHeight="1" x14ac:dyDescent="0.25">
      <c r="A17" s="75"/>
      <c r="B17" s="76">
        <v>9</v>
      </c>
      <c r="C17" s="37">
        <f>Electricity!C16</f>
        <v>18</v>
      </c>
      <c r="D17" s="37">
        <f>Electricity!D16</f>
        <v>66</v>
      </c>
      <c r="E17" s="15"/>
      <c r="F17" s="28">
        <v>0</v>
      </c>
      <c r="G17" s="28">
        <f t="shared" si="0"/>
        <v>0</v>
      </c>
      <c r="H17" s="77">
        <f t="shared" si="1"/>
        <v>0</v>
      </c>
      <c r="I17" s="69"/>
    </row>
    <row r="18" spans="1:9" ht="17.100000000000001" customHeight="1" x14ac:dyDescent="0.25">
      <c r="A18" s="75"/>
      <c r="B18" s="76">
        <v>10</v>
      </c>
      <c r="C18" s="37">
        <f>Electricity!C17</f>
        <v>14</v>
      </c>
      <c r="D18" s="37">
        <f>Electricity!D17</f>
        <v>78</v>
      </c>
      <c r="E18" s="15"/>
      <c r="F18" s="28">
        <v>0</v>
      </c>
      <c r="G18" s="28">
        <f t="shared" si="0"/>
        <v>0</v>
      </c>
      <c r="H18" s="77">
        <f t="shared" si="1"/>
        <v>0</v>
      </c>
      <c r="I18" s="69"/>
    </row>
    <row r="19" spans="1:9" ht="17.100000000000001" customHeight="1" x14ac:dyDescent="0.25">
      <c r="A19" s="75"/>
      <c r="B19" s="76">
        <v>11</v>
      </c>
      <c r="C19" s="37">
        <f>Electricity!C18</f>
        <v>16</v>
      </c>
      <c r="D19" s="37">
        <f>Electricity!D18</f>
        <v>42</v>
      </c>
      <c r="E19" s="15"/>
      <c r="F19" s="28">
        <v>0</v>
      </c>
      <c r="G19" s="28">
        <f t="shared" si="0"/>
        <v>0</v>
      </c>
      <c r="H19" s="77">
        <f t="shared" si="1"/>
        <v>0</v>
      </c>
      <c r="I19" s="69"/>
    </row>
    <row r="20" spans="1:9" ht="17.100000000000001" customHeight="1" x14ac:dyDescent="0.25">
      <c r="A20" s="75"/>
      <c r="B20" s="76">
        <v>12</v>
      </c>
      <c r="C20" s="37">
        <f>Electricity!C19</f>
        <v>26</v>
      </c>
      <c r="D20" s="37">
        <f>Electricity!D19</f>
        <v>61</v>
      </c>
      <c r="E20" s="15"/>
      <c r="F20" s="28">
        <v>7</v>
      </c>
      <c r="G20" s="28">
        <f t="shared" si="0"/>
        <v>74900</v>
      </c>
      <c r="H20" s="77">
        <f t="shared" si="1"/>
        <v>5.2406940945983767</v>
      </c>
      <c r="I20" s="69"/>
    </row>
    <row r="21" spans="1:9" ht="17.100000000000001" customHeight="1" x14ac:dyDescent="0.25">
      <c r="A21" s="75"/>
      <c r="B21" s="76">
        <v>13</v>
      </c>
      <c r="C21" s="37">
        <f>Electricity!C20</f>
        <v>25</v>
      </c>
      <c r="D21" s="37">
        <f>Electricity!D20</f>
        <v>115</v>
      </c>
      <c r="E21" s="15"/>
      <c r="F21" s="28">
        <v>0</v>
      </c>
      <c r="G21" s="28">
        <f t="shared" si="0"/>
        <v>0</v>
      </c>
      <c r="H21" s="77">
        <f t="shared" si="1"/>
        <v>0</v>
      </c>
      <c r="I21" s="69"/>
    </row>
    <row r="22" spans="1:9" ht="17.100000000000001" customHeight="1" x14ac:dyDescent="0.25">
      <c r="A22" s="75"/>
      <c r="B22" s="76">
        <v>14</v>
      </c>
      <c r="C22" s="37">
        <f>Electricity!C21</f>
        <v>16</v>
      </c>
      <c r="D22" s="37">
        <f>Electricity!D21</f>
        <v>91</v>
      </c>
      <c r="E22" s="15"/>
      <c r="F22" s="28">
        <v>0</v>
      </c>
      <c r="G22" s="28">
        <f t="shared" si="0"/>
        <v>0</v>
      </c>
      <c r="H22" s="77">
        <f t="shared" si="1"/>
        <v>0</v>
      </c>
      <c r="I22" s="69"/>
    </row>
    <row r="23" spans="1:9" ht="17.100000000000001" customHeight="1" x14ac:dyDescent="0.25">
      <c r="A23" s="75"/>
      <c r="B23" s="76">
        <v>15</v>
      </c>
      <c r="C23" s="37">
        <f>Electricity!C22</f>
        <v>17</v>
      </c>
      <c r="D23" s="37">
        <f>Electricity!D22</f>
        <v>84</v>
      </c>
      <c r="E23" s="15"/>
      <c r="F23" s="28">
        <v>0</v>
      </c>
      <c r="G23" s="28">
        <f t="shared" si="0"/>
        <v>0</v>
      </c>
      <c r="H23" s="77">
        <f t="shared" si="1"/>
        <v>0</v>
      </c>
      <c r="I23" s="69"/>
    </row>
    <row r="24" spans="1:9" ht="17.100000000000001" customHeight="1" x14ac:dyDescent="0.25">
      <c r="A24" s="75"/>
      <c r="B24" s="76">
        <v>16</v>
      </c>
      <c r="C24" s="37">
        <f>Electricity!C23</f>
        <v>8</v>
      </c>
      <c r="D24" s="37">
        <f>Electricity!D23</f>
        <v>69</v>
      </c>
      <c r="E24" s="15"/>
      <c r="F24" s="28">
        <v>0</v>
      </c>
      <c r="G24" s="28">
        <f t="shared" si="0"/>
        <v>0</v>
      </c>
      <c r="H24" s="77">
        <f t="shared" si="1"/>
        <v>0</v>
      </c>
      <c r="I24" s="69"/>
    </row>
    <row r="25" spans="1:9" ht="17.100000000000001" customHeight="1" x14ac:dyDescent="0.25">
      <c r="A25" s="75"/>
      <c r="B25" s="76">
        <v>17</v>
      </c>
      <c r="C25" s="37">
        <f>Electricity!C24</f>
        <v>5</v>
      </c>
      <c r="D25" s="37">
        <f>Electricity!D24</f>
        <v>36</v>
      </c>
      <c r="E25" s="15"/>
      <c r="F25" s="28">
        <v>0</v>
      </c>
      <c r="G25" s="28">
        <f t="shared" si="0"/>
        <v>0</v>
      </c>
      <c r="H25" s="77">
        <f t="shared" si="1"/>
        <v>0</v>
      </c>
      <c r="I25" s="69"/>
    </row>
    <row r="26" spans="1:9" ht="17.100000000000001" customHeight="1" x14ac:dyDescent="0.25">
      <c r="A26" s="75"/>
      <c r="B26" s="76">
        <v>18</v>
      </c>
      <c r="C26" s="37">
        <f>Electricity!C25</f>
        <v>6</v>
      </c>
      <c r="D26" s="37">
        <f>Electricity!D25</f>
        <v>30</v>
      </c>
      <c r="E26" s="15"/>
      <c r="F26" s="28">
        <v>19</v>
      </c>
      <c r="G26" s="28">
        <f t="shared" si="0"/>
        <v>203300</v>
      </c>
      <c r="H26" s="77">
        <f t="shared" si="1"/>
        <v>14.22474111390988</v>
      </c>
      <c r="I26" s="69"/>
    </row>
    <row r="27" spans="1:9" ht="17.100000000000001" customHeight="1" x14ac:dyDescent="0.25">
      <c r="A27" s="75"/>
      <c r="B27" s="76">
        <v>19</v>
      </c>
      <c r="C27" s="37">
        <f>Electricity!C26</f>
        <v>5</v>
      </c>
      <c r="D27" s="37">
        <f>Electricity!D26</f>
        <v>32</v>
      </c>
      <c r="E27" s="15"/>
      <c r="F27" s="28">
        <v>0</v>
      </c>
      <c r="G27" s="28">
        <f t="shared" si="0"/>
        <v>0</v>
      </c>
      <c r="H27" s="77">
        <f t="shared" si="1"/>
        <v>0</v>
      </c>
      <c r="I27" s="69"/>
    </row>
    <row r="28" spans="1:9" ht="17.100000000000001" customHeight="1" x14ac:dyDescent="0.25">
      <c r="A28" s="75"/>
      <c r="B28" s="76">
        <v>20</v>
      </c>
      <c r="C28" s="37">
        <f>Electricity!C27</f>
        <v>8</v>
      </c>
      <c r="D28" s="37">
        <f>Electricity!D27</f>
        <v>41</v>
      </c>
      <c r="E28" s="15"/>
      <c r="F28" s="28">
        <v>0</v>
      </c>
      <c r="G28" s="28">
        <f t="shared" si="0"/>
        <v>0</v>
      </c>
      <c r="H28" s="77">
        <f t="shared" si="1"/>
        <v>0</v>
      </c>
      <c r="I28" s="69"/>
    </row>
    <row r="29" spans="1:9" ht="17.100000000000001" customHeight="1" x14ac:dyDescent="0.25">
      <c r="A29" s="75"/>
      <c r="B29" s="76">
        <v>21</v>
      </c>
      <c r="C29" s="37">
        <f>Electricity!C28</f>
        <v>7</v>
      </c>
      <c r="D29" s="37">
        <f>Electricity!D28</f>
        <v>36</v>
      </c>
      <c r="E29" s="15"/>
      <c r="F29" s="28">
        <v>0</v>
      </c>
      <c r="G29" s="28">
        <f t="shared" si="0"/>
        <v>0</v>
      </c>
      <c r="H29" s="77">
        <f t="shared" si="1"/>
        <v>0</v>
      </c>
      <c r="I29" s="69"/>
    </row>
    <row r="30" spans="1:9" ht="17.100000000000001" customHeight="1" x14ac:dyDescent="0.25">
      <c r="A30" s="75"/>
      <c r="B30" s="76">
        <v>22</v>
      </c>
      <c r="C30" s="37">
        <f>Electricity!C29</f>
        <v>9</v>
      </c>
      <c r="D30" s="37">
        <f>Electricity!D29</f>
        <v>53</v>
      </c>
      <c r="E30" s="15"/>
      <c r="F30" s="28">
        <v>0</v>
      </c>
      <c r="G30" s="28">
        <f t="shared" si="0"/>
        <v>0</v>
      </c>
      <c r="H30" s="77">
        <f t="shared" si="1"/>
        <v>0</v>
      </c>
      <c r="I30" s="69"/>
    </row>
    <row r="31" spans="1:9" ht="17.100000000000001" customHeight="1" x14ac:dyDescent="0.25">
      <c r="A31" s="75"/>
      <c r="B31" s="76">
        <v>23</v>
      </c>
      <c r="C31" s="37">
        <f>Electricity!C30</f>
        <v>5</v>
      </c>
      <c r="D31" s="37">
        <f>Electricity!D30</f>
        <v>43</v>
      </c>
      <c r="E31" s="15"/>
      <c r="F31" s="28">
        <v>0</v>
      </c>
      <c r="G31" s="28">
        <f t="shared" si="0"/>
        <v>0</v>
      </c>
      <c r="H31" s="77">
        <f t="shared" si="1"/>
        <v>0</v>
      </c>
      <c r="I31" s="69"/>
    </row>
    <row r="32" spans="1:9" ht="17.100000000000001" customHeight="1" x14ac:dyDescent="0.25">
      <c r="A32" s="75"/>
      <c r="B32" s="76">
        <v>24</v>
      </c>
      <c r="C32" s="37">
        <f>Electricity!C31</f>
        <v>4</v>
      </c>
      <c r="D32" s="37">
        <f>Electricity!D31</f>
        <v>23</v>
      </c>
      <c r="E32" s="15"/>
      <c r="F32" s="28">
        <v>0</v>
      </c>
      <c r="G32" s="28">
        <f t="shared" si="0"/>
        <v>0</v>
      </c>
      <c r="H32" s="77">
        <f t="shared" si="1"/>
        <v>0</v>
      </c>
      <c r="I32" s="69"/>
    </row>
    <row r="33" spans="1:11" ht="17.100000000000001" customHeight="1" x14ac:dyDescent="0.25">
      <c r="A33" s="75"/>
      <c r="B33" s="76">
        <v>25</v>
      </c>
      <c r="C33" s="37">
        <f>Electricity!C32</f>
        <v>5</v>
      </c>
      <c r="D33" s="37">
        <f>Electricity!D32</f>
        <v>14</v>
      </c>
      <c r="E33" s="15"/>
      <c r="F33" s="28">
        <v>0</v>
      </c>
      <c r="G33" s="28">
        <f t="shared" si="0"/>
        <v>0</v>
      </c>
      <c r="H33" s="77">
        <f t="shared" si="1"/>
        <v>0</v>
      </c>
      <c r="I33" s="69"/>
    </row>
    <row r="34" spans="1:11" ht="17.100000000000001" customHeight="1" x14ac:dyDescent="0.25">
      <c r="A34" s="75"/>
      <c r="B34" s="76">
        <v>26</v>
      </c>
      <c r="C34" s="37">
        <f>Electricity!C33</f>
        <v>5</v>
      </c>
      <c r="D34" s="37">
        <f>Electricity!D33</f>
        <v>16</v>
      </c>
      <c r="E34" s="15"/>
      <c r="F34" s="28">
        <v>0</v>
      </c>
      <c r="G34" s="28">
        <f t="shared" si="0"/>
        <v>0</v>
      </c>
      <c r="H34" s="77">
        <f t="shared" si="1"/>
        <v>0</v>
      </c>
      <c r="I34" s="69"/>
    </row>
    <row r="35" spans="1:11" ht="17.100000000000001" customHeight="1" x14ac:dyDescent="0.25">
      <c r="A35" s="75"/>
      <c r="B35" s="76">
        <v>27</v>
      </c>
      <c r="C35" s="37">
        <f>Electricity!C34</f>
        <v>8</v>
      </c>
      <c r="D35" s="37">
        <f>Electricity!D34</f>
        <v>24</v>
      </c>
      <c r="E35" s="15"/>
      <c r="F35" s="28">
        <v>0</v>
      </c>
      <c r="G35" s="28">
        <f t="shared" si="0"/>
        <v>0</v>
      </c>
      <c r="H35" s="77">
        <f t="shared" si="1"/>
        <v>0</v>
      </c>
      <c r="I35" s="69"/>
    </row>
    <row r="36" spans="1:11" ht="17.100000000000001" customHeight="1" x14ac:dyDescent="0.25">
      <c r="A36" s="75"/>
      <c r="B36" s="76">
        <v>28</v>
      </c>
      <c r="C36" s="37">
        <f>Electricity!C35</f>
        <v>11</v>
      </c>
      <c r="D36" s="37">
        <f>Electricity!D35</f>
        <v>43</v>
      </c>
      <c r="E36" s="15"/>
      <c r="F36" s="28">
        <v>0</v>
      </c>
      <c r="G36" s="28">
        <f t="shared" si="0"/>
        <v>0</v>
      </c>
      <c r="H36" s="77">
        <f t="shared" si="1"/>
        <v>0</v>
      </c>
      <c r="I36" s="69"/>
    </row>
    <row r="37" spans="1:11" ht="17.100000000000001" customHeight="1" x14ac:dyDescent="0.25">
      <c r="A37" s="75"/>
      <c r="B37" s="76">
        <v>29</v>
      </c>
      <c r="C37" s="37">
        <f>Electricity!C36</f>
        <v>14</v>
      </c>
      <c r="D37" s="37">
        <f>Electricity!D36</f>
        <v>68</v>
      </c>
      <c r="E37" s="15"/>
      <c r="F37" s="28">
        <v>0</v>
      </c>
      <c r="G37" s="28">
        <f t="shared" si="0"/>
        <v>0</v>
      </c>
      <c r="H37" s="77">
        <f t="shared" si="1"/>
        <v>0</v>
      </c>
      <c r="I37" s="69"/>
    </row>
    <row r="38" spans="1:11" ht="17.100000000000001" customHeight="1" x14ac:dyDescent="0.25">
      <c r="A38" s="75"/>
      <c r="B38" s="76">
        <v>30</v>
      </c>
      <c r="C38" s="37">
        <f>Electricity!C37</f>
        <v>8</v>
      </c>
      <c r="D38" s="37">
        <f>Electricity!D37</f>
        <v>55</v>
      </c>
      <c r="E38" s="15"/>
      <c r="F38" s="28">
        <v>0</v>
      </c>
      <c r="G38" s="28">
        <f t="shared" si="0"/>
        <v>0</v>
      </c>
      <c r="H38" s="77">
        <f t="shared" si="1"/>
        <v>0</v>
      </c>
      <c r="I38" s="69"/>
    </row>
    <row r="39" spans="1:11" ht="17.100000000000001" customHeight="1" x14ac:dyDescent="0.25">
      <c r="A39" s="75"/>
      <c r="B39" s="76">
        <v>31</v>
      </c>
      <c r="C39" s="37">
        <f>Electricity!C38</f>
        <v>7</v>
      </c>
      <c r="D39" s="37">
        <f>Electricity!D38</f>
        <v>28</v>
      </c>
      <c r="E39" s="15"/>
      <c r="F39" s="28">
        <v>15</v>
      </c>
      <c r="G39" s="28">
        <f t="shared" ref="G39" si="2">F39*$G$8</f>
        <v>160500</v>
      </c>
      <c r="H39" s="77">
        <f t="shared" si="1"/>
        <v>11.230058774139378</v>
      </c>
    </row>
    <row r="40" spans="1:11" s="1" customFormat="1" ht="21.6" customHeight="1" x14ac:dyDescent="0.2">
      <c r="C40" s="19">
        <f>SUM(C9:C39)</f>
        <v>320</v>
      </c>
      <c r="D40" s="19">
        <f>SUM(D9:D39)</f>
        <v>1552</v>
      </c>
      <c r="E40" s="19"/>
      <c r="F40" s="19">
        <f>SUM(F9:F39)</f>
        <v>1430</v>
      </c>
      <c r="G40" s="19"/>
      <c r="H40" s="47">
        <f>SUM(H9:H39)</f>
        <v>1070.5989364679542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opLeftCell="A10" zoomScaleNormal="100" workbookViewId="0">
      <selection activeCell="L41" sqref="L41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86" t="s">
        <v>16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3" ht="15.75" x14ac:dyDescent="0.25">
      <c r="B3" s="86" t="s">
        <v>2</v>
      </c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88">
        <v>44317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8"/>
    </row>
    <row r="6" spans="1:13" ht="23.25" customHeight="1" x14ac:dyDescent="0.2">
      <c r="A6" s="78"/>
      <c r="B6" s="85" t="s">
        <v>1</v>
      </c>
      <c r="C6" s="85" t="s">
        <v>5</v>
      </c>
      <c r="D6" s="85" t="s">
        <v>39</v>
      </c>
      <c r="E6" s="95" t="s">
        <v>32</v>
      </c>
      <c r="F6" s="95"/>
      <c r="G6" s="96" t="s">
        <v>33</v>
      </c>
      <c r="H6" s="96"/>
      <c r="I6" s="96"/>
      <c r="J6" s="96"/>
      <c r="K6" s="85" t="s">
        <v>15</v>
      </c>
      <c r="L6" s="85" t="s">
        <v>31</v>
      </c>
      <c r="M6" s="68"/>
    </row>
    <row r="7" spans="1:13" s="7" customFormat="1" ht="48" customHeight="1" x14ac:dyDescent="0.2">
      <c r="A7" s="78"/>
      <c r="B7" s="85"/>
      <c r="C7" s="85"/>
      <c r="D7" s="85"/>
      <c r="E7" s="85" t="s">
        <v>0</v>
      </c>
      <c r="F7" s="85" t="s">
        <v>13</v>
      </c>
      <c r="G7" s="85" t="s">
        <v>0</v>
      </c>
      <c r="H7" s="85" t="s">
        <v>12</v>
      </c>
      <c r="I7" s="85" t="s">
        <v>0</v>
      </c>
      <c r="J7" s="85" t="s">
        <v>14</v>
      </c>
      <c r="K7" s="85"/>
      <c r="L7" s="85"/>
      <c r="M7" s="68"/>
    </row>
    <row r="8" spans="1:13" ht="15.75" customHeight="1" x14ac:dyDescent="0.2">
      <c r="A8" s="79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69"/>
    </row>
    <row r="9" spans="1:13" ht="15.75" customHeight="1" x14ac:dyDescent="0.25">
      <c r="A9" s="79"/>
      <c r="B9" s="76">
        <v>1</v>
      </c>
      <c r="C9" s="37">
        <f>Electricity!C8</f>
        <v>7</v>
      </c>
      <c r="D9" s="37">
        <f>Electricity!D8</f>
        <v>53</v>
      </c>
      <c r="E9" s="11">
        <v>0</v>
      </c>
      <c r="F9" s="4">
        <f>E9*13582</f>
        <v>0</v>
      </c>
      <c r="G9" s="11">
        <v>171</v>
      </c>
      <c r="H9" s="4">
        <f>G9*4000</f>
        <v>684000</v>
      </c>
      <c r="I9" s="11">
        <v>252</v>
      </c>
      <c r="J9" s="4">
        <f>I9*4000</f>
        <v>1008000</v>
      </c>
      <c r="K9" s="11">
        <f t="shared" ref="K9:K38" si="0">F9+H9+J9</f>
        <v>1692000</v>
      </c>
      <c r="L9" s="80">
        <f>K9/14292</f>
        <v>118.38790931989925</v>
      </c>
      <c r="M9" s="69"/>
    </row>
    <row r="10" spans="1:13" ht="17.100000000000001" customHeight="1" x14ac:dyDescent="0.25">
      <c r="A10" s="79"/>
      <c r="B10" s="76">
        <v>2</v>
      </c>
      <c r="C10" s="37">
        <f>Electricity!C9</f>
        <v>9</v>
      </c>
      <c r="D10" s="37">
        <f>Electricity!D9</f>
        <v>50</v>
      </c>
      <c r="E10" s="11">
        <v>0</v>
      </c>
      <c r="F10" s="4">
        <f>E10*13582</f>
        <v>0</v>
      </c>
      <c r="G10" s="11">
        <v>161</v>
      </c>
      <c r="H10" s="4">
        <f>G10*4000</f>
        <v>644000</v>
      </c>
      <c r="I10" s="11">
        <v>232</v>
      </c>
      <c r="J10" s="4">
        <f>I10*4000</f>
        <v>928000</v>
      </c>
      <c r="K10" s="11">
        <f t="shared" si="0"/>
        <v>1572000</v>
      </c>
      <c r="L10" s="80">
        <f t="shared" ref="L10:L39" si="1">K10/14292</f>
        <v>109.99160369437448</v>
      </c>
      <c r="M10" s="69"/>
    </row>
    <row r="11" spans="1:13" ht="17.100000000000001" customHeight="1" x14ac:dyDescent="0.25">
      <c r="A11" s="79"/>
      <c r="B11" s="76">
        <v>3</v>
      </c>
      <c r="C11" s="37">
        <f>Electricity!C10</f>
        <v>10</v>
      </c>
      <c r="D11" s="37">
        <f>Electricity!D10</f>
        <v>37</v>
      </c>
      <c r="E11" s="11">
        <v>0</v>
      </c>
      <c r="F11" s="4">
        <f t="shared" ref="F11:F38" si="2">E11*13582</f>
        <v>0</v>
      </c>
      <c r="G11" s="11">
        <v>116</v>
      </c>
      <c r="H11" s="4">
        <f t="shared" ref="H11:H38" si="3">G11*4000</f>
        <v>464000</v>
      </c>
      <c r="I11" s="11">
        <v>167</v>
      </c>
      <c r="J11" s="4">
        <f t="shared" ref="J11:J38" si="4">I11*4000</f>
        <v>668000</v>
      </c>
      <c r="K11" s="11">
        <f t="shared" si="0"/>
        <v>1132000</v>
      </c>
      <c r="L11" s="80">
        <f t="shared" si="1"/>
        <v>79.205149734116986</v>
      </c>
      <c r="M11" s="69"/>
    </row>
    <row r="12" spans="1:13" ht="17.100000000000001" customHeight="1" x14ac:dyDescent="0.25">
      <c r="A12" s="79"/>
      <c r="B12" s="76">
        <v>4</v>
      </c>
      <c r="C12" s="37">
        <f>Electricity!C11</f>
        <v>9</v>
      </c>
      <c r="D12" s="37">
        <f>Electricity!D11</f>
        <v>49</v>
      </c>
      <c r="E12" s="11">
        <v>0</v>
      </c>
      <c r="F12" s="4">
        <f t="shared" si="2"/>
        <v>0</v>
      </c>
      <c r="G12" s="11">
        <v>65</v>
      </c>
      <c r="H12" s="4">
        <f t="shared" si="3"/>
        <v>260000</v>
      </c>
      <c r="I12" s="11">
        <v>219</v>
      </c>
      <c r="J12" s="4">
        <f t="shared" si="4"/>
        <v>876000</v>
      </c>
      <c r="K12" s="11">
        <f t="shared" si="0"/>
        <v>1136000</v>
      </c>
      <c r="L12" s="80">
        <f t="shared" si="1"/>
        <v>79.485026588301153</v>
      </c>
      <c r="M12" s="69"/>
    </row>
    <row r="13" spans="1:13" ht="17.100000000000001" customHeight="1" x14ac:dyDescent="0.25">
      <c r="A13" s="79"/>
      <c r="B13" s="76">
        <v>5</v>
      </c>
      <c r="C13" s="37">
        <f>Electricity!C12</f>
        <v>10</v>
      </c>
      <c r="D13" s="37">
        <f>Electricity!D12</f>
        <v>37</v>
      </c>
      <c r="E13" s="11">
        <v>0</v>
      </c>
      <c r="F13" s="4">
        <f t="shared" si="2"/>
        <v>0</v>
      </c>
      <c r="G13" s="11">
        <v>75</v>
      </c>
      <c r="H13" s="4">
        <f t="shared" si="3"/>
        <v>300000</v>
      </c>
      <c r="I13" s="11">
        <v>246</v>
      </c>
      <c r="J13" s="4">
        <f t="shared" si="4"/>
        <v>984000</v>
      </c>
      <c r="K13" s="11">
        <f t="shared" si="0"/>
        <v>1284000</v>
      </c>
      <c r="L13" s="80">
        <f t="shared" si="1"/>
        <v>89.840470193115024</v>
      </c>
      <c r="M13" s="69"/>
    </row>
    <row r="14" spans="1:13" ht="17.100000000000001" customHeight="1" x14ac:dyDescent="0.25">
      <c r="A14" s="79"/>
      <c r="B14" s="76">
        <v>6</v>
      </c>
      <c r="C14" s="37">
        <f>Electricity!C13</f>
        <v>7</v>
      </c>
      <c r="D14" s="37">
        <f>Electricity!D13</f>
        <v>51</v>
      </c>
      <c r="E14" s="11">
        <v>0</v>
      </c>
      <c r="F14" s="4">
        <f t="shared" si="2"/>
        <v>0</v>
      </c>
      <c r="G14" s="11">
        <v>121</v>
      </c>
      <c r="H14" s="4">
        <f t="shared" si="3"/>
        <v>484000</v>
      </c>
      <c r="I14" s="11">
        <v>184</v>
      </c>
      <c r="J14" s="4">
        <f t="shared" si="4"/>
        <v>736000</v>
      </c>
      <c r="K14" s="11">
        <f t="shared" si="0"/>
        <v>1220000</v>
      </c>
      <c r="L14" s="80">
        <f t="shared" si="1"/>
        <v>85.362440526168484</v>
      </c>
      <c r="M14" s="69"/>
    </row>
    <row r="15" spans="1:13" ht="17.100000000000001" customHeight="1" x14ac:dyDescent="0.25">
      <c r="A15" s="79"/>
      <c r="B15" s="76">
        <v>7</v>
      </c>
      <c r="C15" s="37">
        <f>Electricity!C14</f>
        <v>12</v>
      </c>
      <c r="D15" s="37">
        <f>Electricity!D14</f>
        <v>61</v>
      </c>
      <c r="E15" s="11">
        <v>0</v>
      </c>
      <c r="F15" s="4">
        <f t="shared" si="2"/>
        <v>0</v>
      </c>
      <c r="G15" s="11">
        <v>67</v>
      </c>
      <c r="H15" s="4">
        <f t="shared" si="3"/>
        <v>268000</v>
      </c>
      <c r="I15" s="11">
        <v>232</v>
      </c>
      <c r="J15" s="4">
        <f t="shared" si="4"/>
        <v>928000</v>
      </c>
      <c r="K15" s="11">
        <f t="shared" si="0"/>
        <v>1196000</v>
      </c>
      <c r="L15" s="80">
        <f t="shared" si="1"/>
        <v>83.683179401063526</v>
      </c>
      <c r="M15" s="69"/>
    </row>
    <row r="16" spans="1:13" ht="17.100000000000001" customHeight="1" x14ac:dyDescent="0.25">
      <c r="A16" s="79"/>
      <c r="B16" s="76">
        <v>8</v>
      </c>
      <c r="C16" s="37">
        <f>Electricity!C15</f>
        <v>9</v>
      </c>
      <c r="D16" s="37">
        <f>Electricity!D15</f>
        <v>66</v>
      </c>
      <c r="E16" s="11">
        <v>0</v>
      </c>
      <c r="F16" s="4">
        <f t="shared" si="2"/>
        <v>0</v>
      </c>
      <c r="G16" s="11">
        <v>107</v>
      </c>
      <c r="H16" s="4">
        <f t="shared" si="3"/>
        <v>428000</v>
      </c>
      <c r="I16" s="11">
        <v>207</v>
      </c>
      <c r="J16" s="4">
        <f t="shared" si="4"/>
        <v>828000</v>
      </c>
      <c r="K16" s="11">
        <f t="shared" si="0"/>
        <v>1256000</v>
      </c>
      <c r="L16" s="80">
        <f t="shared" si="1"/>
        <v>87.881332213825914</v>
      </c>
      <c r="M16" s="69"/>
    </row>
    <row r="17" spans="1:13" ht="17.100000000000001" customHeight="1" x14ac:dyDescent="0.25">
      <c r="A17" s="79"/>
      <c r="B17" s="76">
        <v>9</v>
      </c>
      <c r="C17" s="37">
        <f>Electricity!C16</f>
        <v>18</v>
      </c>
      <c r="D17" s="37">
        <f>Electricity!D16</f>
        <v>66</v>
      </c>
      <c r="E17" s="11">
        <v>0</v>
      </c>
      <c r="F17" s="4">
        <f t="shared" si="2"/>
        <v>0</v>
      </c>
      <c r="G17" s="11">
        <v>164</v>
      </c>
      <c r="H17" s="4">
        <f t="shared" si="3"/>
        <v>656000</v>
      </c>
      <c r="I17" s="11">
        <v>236</v>
      </c>
      <c r="J17" s="4">
        <f t="shared" si="4"/>
        <v>944000</v>
      </c>
      <c r="K17" s="11">
        <f t="shared" si="0"/>
        <v>1600000</v>
      </c>
      <c r="L17" s="80">
        <f t="shared" si="1"/>
        <v>111.95074167366359</v>
      </c>
      <c r="M17" s="69"/>
    </row>
    <row r="18" spans="1:13" ht="17.100000000000001" customHeight="1" x14ac:dyDescent="0.25">
      <c r="A18" s="79"/>
      <c r="B18" s="76">
        <v>10</v>
      </c>
      <c r="C18" s="37">
        <f>Electricity!C17</f>
        <v>14</v>
      </c>
      <c r="D18" s="37">
        <f>Electricity!D17</f>
        <v>78</v>
      </c>
      <c r="E18" s="11">
        <v>0</v>
      </c>
      <c r="F18" s="4">
        <f t="shared" si="2"/>
        <v>0</v>
      </c>
      <c r="G18" s="11">
        <v>113</v>
      </c>
      <c r="H18" s="4">
        <f t="shared" si="3"/>
        <v>452000</v>
      </c>
      <c r="I18" s="11">
        <v>210</v>
      </c>
      <c r="J18" s="4">
        <f t="shared" si="4"/>
        <v>840000</v>
      </c>
      <c r="K18" s="11">
        <f t="shared" si="0"/>
        <v>1292000</v>
      </c>
      <c r="L18" s="80">
        <f t="shared" si="1"/>
        <v>90.400223901483344</v>
      </c>
      <c r="M18" s="69"/>
    </row>
    <row r="19" spans="1:13" ht="17.100000000000001" customHeight="1" x14ac:dyDescent="0.25">
      <c r="A19" s="79"/>
      <c r="B19" s="76">
        <v>11</v>
      </c>
      <c r="C19" s="37">
        <f>Electricity!C18</f>
        <v>16</v>
      </c>
      <c r="D19" s="37">
        <f>Electricity!D18</f>
        <v>42</v>
      </c>
      <c r="E19" s="11">
        <v>0</v>
      </c>
      <c r="F19" s="4">
        <f t="shared" si="2"/>
        <v>0</v>
      </c>
      <c r="G19" s="11">
        <v>135</v>
      </c>
      <c r="H19" s="4">
        <f t="shared" si="3"/>
        <v>540000</v>
      </c>
      <c r="I19" s="11">
        <v>219</v>
      </c>
      <c r="J19" s="4">
        <f t="shared" si="4"/>
        <v>876000</v>
      </c>
      <c r="K19" s="11">
        <f t="shared" si="0"/>
        <v>1416000</v>
      </c>
      <c r="L19" s="80">
        <f t="shared" si="1"/>
        <v>99.076406381192271</v>
      </c>
      <c r="M19" s="69"/>
    </row>
    <row r="20" spans="1:13" ht="17.100000000000001" customHeight="1" x14ac:dyDescent="0.25">
      <c r="A20" s="79"/>
      <c r="B20" s="76">
        <v>12</v>
      </c>
      <c r="C20" s="37">
        <f>Electricity!C19</f>
        <v>26</v>
      </c>
      <c r="D20" s="37">
        <f>Electricity!D19</f>
        <v>61</v>
      </c>
      <c r="E20" s="11">
        <v>7</v>
      </c>
      <c r="F20" s="4">
        <f t="shared" si="2"/>
        <v>95074</v>
      </c>
      <c r="G20" s="11">
        <v>108</v>
      </c>
      <c r="H20" s="4">
        <f>G20*4000</f>
        <v>432000</v>
      </c>
      <c r="I20" s="11">
        <v>229</v>
      </c>
      <c r="J20" s="4">
        <f t="shared" si="4"/>
        <v>916000</v>
      </c>
      <c r="K20" s="11">
        <f t="shared" si="0"/>
        <v>1443074</v>
      </c>
      <c r="L20" s="80">
        <f t="shared" si="1"/>
        <v>100.97075286873776</v>
      </c>
      <c r="M20" s="69"/>
    </row>
    <row r="21" spans="1:13" ht="17.100000000000001" customHeight="1" x14ac:dyDescent="0.25">
      <c r="A21" s="79"/>
      <c r="B21" s="76">
        <v>13</v>
      </c>
      <c r="C21" s="37">
        <f>Electricity!C20</f>
        <v>25</v>
      </c>
      <c r="D21" s="37">
        <f>Electricity!D20</f>
        <v>115</v>
      </c>
      <c r="E21" s="11">
        <v>5</v>
      </c>
      <c r="F21" s="4">
        <f t="shared" si="2"/>
        <v>67910</v>
      </c>
      <c r="G21" s="11">
        <v>144</v>
      </c>
      <c r="H21" s="4">
        <f t="shared" si="3"/>
        <v>576000</v>
      </c>
      <c r="I21" s="11">
        <v>208</v>
      </c>
      <c r="J21" s="4">
        <f t="shared" si="4"/>
        <v>832000</v>
      </c>
      <c r="K21" s="11">
        <f t="shared" si="0"/>
        <v>1475910</v>
      </c>
      <c r="L21" s="80">
        <f t="shared" si="1"/>
        <v>103.26826196473552</v>
      </c>
      <c r="M21" s="69"/>
    </row>
    <row r="22" spans="1:13" ht="17.100000000000001" customHeight="1" x14ac:dyDescent="0.25">
      <c r="A22" s="79"/>
      <c r="B22" s="76">
        <v>14</v>
      </c>
      <c r="C22" s="37">
        <f>Electricity!C21</f>
        <v>16</v>
      </c>
      <c r="D22" s="37">
        <f>Electricity!D21</f>
        <v>91</v>
      </c>
      <c r="E22" s="11">
        <v>1</v>
      </c>
      <c r="F22" s="4">
        <f t="shared" si="2"/>
        <v>13582</v>
      </c>
      <c r="G22" s="11">
        <v>86</v>
      </c>
      <c r="H22" s="4">
        <f t="shared" si="3"/>
        <v>344000</v>
      </c>
      <c r="I22" s="11">
        <v>213</v>
      </c>
      <c r="J22" s="4">
        <f t="shared" si="4"/>
        <v>852000</v>
      </c>
      <c r="K22" s="11">
        <f t="shared" si="0"/>
        <v>1209582</v>
      </c>
      <c r="L22" s="80">
        <f t="shared" si="1"/>
        <v>84.63350125944585</v>
      </c>
      <c r="M22" s="69"/>
    </row>
    <row r="23" spans="1:13" ht="17.100000000000001" customHeight="1" x14ac:dyDescent="0.25">
      <c r="A23" s="79"/>
      <c r="B23" s="76">
        <v>15</v>
      </c>
      <c r="C23" s="37">
        <f>Electricity!C22</f>
        <v>17</v>
      </c>
      <c r="D23" s="37">
        <f>Electricity!D22</f>
        <v>84</v>
      </c>
      <c r="E23" s="11">
        <v>2</v>
      </c>
      <c r="F23" s="4">
        <f t="shared" si="2"/>
        <v>27164</v>
      </c>
      <c r="G23" s="11">
        <v>139</v>
      </c>
      <c r="H23" s="4">
        <f t="shared" si="3"/>
        <v>556000</v>
      </c>
      <c r="I23" s="11">
        <v>200</v>
      </c>
      <c r="J23" s="4">
        <f t="shared" si="4"/>
        <v>800000</v>
      </c>
      <c r="K23" s="11">
        <f t="shared" si="0"/>
        <v>1383164</v>
      </c>
      <c r="L23" s="80">
        <f t="shared" si="1"/>
        <v>96.778897285194518</v>
      </c>
      <c r="M23" s="69"/>
    </row>
    <row r="24" spans="1:13" ht="17.100000000000001" customHeight="1" x14ac:dyDescent="0.25">
      <c r="A24" s="79"/>
      <c r="B24" s="76">
        <v>16</v>
      </c>
      <c r="C24" s="37">
        <f>Electricity!C23</f>
        <v>8</v>
      </c>
      <c r="D24" s="37">
        <f>Electricity!D23</f>
        <v>69</v>
      </c>
      <c r="E24" s="11">
        <v>2</v>
      </c>
      <c r="F24" s="4">
        <f t="shared" si="2"/>
        <v>27164</v>
      </c>
      <c r="G24" s="11">
        <v>120</v>
      </c>
      <c r="H24" s="4">
        <f t="shared" si="3"/>
        <v>480000</v>
      </c>
      <c r="I24" s="11">
        <v>177</v>
      </c>
      <c r="J24" s="4">
        <f t="shared" si="4"/>
        <v>708000</v>
      </c>
      <c r="K24" s="11">
        <f t="shared" si="0"/>
        <v>1215164</v>
      </c>
      <c r="L24" s="80">
        <f t="shared" si="1"/>
        <v>85.024069409459841</v>
      </c>
      <c r="M24" s="69"/>
    </row>
    <row r="25" spans="1:13" ht="17.100000000000001" customHeight="1" x14ac:dyDescent="0.25">
      <c r="A25" s="79"/>
      <c r="B25" s="76">
        <v>17</v>
      </c>
      <c r="C25" s="37">
        <f>Electricity!C24</f>
        <v>5</v>
      </c>
      <c r="D25" s="37">
        <f>Electricity!D24</f>
        <v>36</v>
      </c>
      <c r="E25" s="11">
        <v>1</v>
      </c>
      <c r="F25" s="4">
        <f t="shared" si="2"/>
        <v>13582</v>
      </c>
      <c r="G25" s="11">
        <v>130</v>
      </c>
      <c r="H25" s="4">
        <f t="shared" si="3"/>
        <v>520000</v>
      </c>
      <c r="I25" s="11">
        <v>201</v>
      </c>
      <c r="J25" s="4">
        <f t="shared" si="4"/>
        <v>804000</v>
      </c>
      <c r="K25" s="11">
        <f t="shared" si="0"/>
        <v>1337582</v>
      </c>
      <c r="L25" s="80">
        <f t="shared" si="1"/>
        <v>93.589560593338931</v>
      </c>
      <c r="M25" s="69"/>
    </row>
    <row r="26" spans="1:13" ht="17.100000000000001" customHeight="1" x14ac:dyDescent="0.25">
      <c r="A26" s="79"/>
      <c r="B26" s="76">
        <v>18</v>
      </c>
      <c r="C26" s="37">
        <f>Electricity!C25</f>
        <v>6</v>
      </c>
      <c r="D26" s="37">
        <f>Electricity!D25</f>
        <v>30</v>
      </c>
      <c r="E26" s="11">
        <v>0</v>
      </c>
      <c r="F26" s="4">
        <f t="shared" si="2"/>
        <v>0</v>
      </c>
      <c r="G26" s="11">
        <v>83</v>
      </c>
      <c r="H26" s="4">
        <f t="shared" si="3"/>
        <v>332000</v>
      </c>
      <c r="I26" s="11">
        <v>246</v>
      </c>
      <c r="J26" s="4">
        <f t="shared" si="4"/>
        <v>984000</v>
      </c>
      <c r="K26" s="11">
        <f t="shared" si="0"/>
        <v>1316000</v>
      </c>
      <c r="L26" s="80">
        <f t="shared" si="1"/>
        <v>92.079485026588301</v>
      </c>
      <c r="M26" s="69"/>
    </row>
    <row r="27" spans="1:13" ht="17.100000000000001" customHeight="1" x14ac:dyDescent="0.25">
      <c r="A27" s="79"/>
      <c r="B27" s="76">
        <v>19</v>
      </c>
      <c r="C27" s="37">
        <f>Electricity!C26</f>
        <v>5</v>
      </c>
      <c r="D27" s="37">
        <f>Electricity!D26</f>
        <v>32</v>
      </c>
      <c r="E27" s="11">
        <v>4</v>
      </c>
      <c r="F27" s="4">
        <f t="shared" si="2"/>
        <v>54328</v>
      </c>
      <c r="G27" s="11">
        <v>68</v>
      </c>
      <c r="H27" s="4">
        <f t="shared" si="3"/>
        <v>272000</v>
      </c>
      <c r="I27" s="11">
        <v>227</v>
      </c>
      <c r="J27" s="4">
        <f t="shared" si="4"/>
        <v>908000</v>
      </c>
      <c r="K27" s="11">
        <f t="shared" si="0"/>
        <v>1234328</v>
      </c>
      <c r="L27" s="80">
        <f t="shared" si="1"/>
        <v>86.364959417856141</v>
      </c>
      <c r="M27" s="69"/>
    </row>
    <row r="28" spans="1:13" ht="17.100000000000001" customHeight="1" x14ac:dyDescent="0.25">
      <c r="A28" s="79"/>
      <c r="B28" s="76">
        <v>20</v>
      </c>
      <c r="C28" s="37">
        <f>Electricity!C27</f>
        <v>8</v>
      </c>
      <c r="D28" s="37">
        <f>Electricity!D27</f>
        <v>41</v>
      </c>
      <c r="E28" s="11">
        <v>2</v>
      </c>
      <c r="F28" s="4">
        <f t="shared" si="2"/>
        <v>27164</v>
      </c>
      <c r="G28" s="11">
        <v>96</v>
      </c>
      <c r="H28" s="4">
        <f t="shared" si="3"/>
        <v>384000</v>
      </c>
      <c r="I28" s="11">
        <v>226</v>
      </c>
      <c r="J28" s="4">
        <f t="shared" si="4"/>
        <v>904000</v>
      </c>
      <c r="K28" s="11">
        <f t="shared" si="0"/>
        <v>1315164</v>
      </c>
      <c r="L28" s="80">
        <f t="shared" si="1"/>
        <v>92.020990764063811</v>
      </c>
      <c r="M28" s="69"/>
    </row>
    <row r="29" spans="1:13" ht="17.100000000000001" customHeight="1" x14ac:dyDescent="0.25">
      <c r="A29" s="79"/>
      <c r="B29" s="76">
        <v>21</v>
      </c>
      <c r="C29" s="37">
        <f>Electricity!C28</f>
        <v>7</v>
      </c>
      <c r="D29" s="37">
        <f>Electricity!D28</f>
        <v>36</v>
      </c>
      <c r="E29" s="11">
        <v>1</v>
      </c>
      <c r="F29" s="4">
        <f t="shared" si="2"/>
        <v>13582</v>
      </c>
      <c r="G29" s="11">
        <v>101</v>
      </c>
      <c r="H29" s="4">
        <f t="shared" si="3"/>
        <v>404000</v>
      </c>
      <c r="I29" s="11">
        <v>218</v>
      </c>
      <c r="J29" s="4">
        <f t="shared" si="4"/>
        <v>872000</v>
      </c>
      <c r="K29" s="11">
        <f t="shared" si="0"/>
        <v>1289582</v>
      </c>
      <c r="L29" s="80">
        <f t="shared" si="1"/>
        <v>90.231038343129029</v>
      </c>
      <c r="M29" s="69"/>
    </row>
    <row r="30" spans="1:13" ht="17.100000000000001" customHeight="1" x14ac:dyDescent="0.25">
      <c r="A30" s="79"/>
      <c r="B30" s="76">
        <v>22</v>
      </c>
      <c r="C30" s="37">
        <f>Electricity!C29</f>
        <v>9</v>
      </c>
      <c r="D30" s="37">
        <f>Electricity!D29</f>
        <v>53</v>
      </c>
      <c r="E30" s="11">
        <v>2</v>
      </c>
      <c r="F30" s="4">
        <f t="shared" si="2"/>
        <v>27164</v>
      </c>
      <c r="G30" s="11">
        <v>123</v>
      </c>
      <c r="H30" s="4">
        <f t="shared" si="3"/>
        <v>492000</v>
      </c>
      <c r="I30" s="11">
        <v>176</v>
      </c>
      <c r="J30" s="4">
        <f t="shared" si="4"/>
        <v>704000</v>
      </c>
      <c r="K30" s="11">
        <f t="shared" si="0"/>
        <v>1223164</v>
      </c>
      <c r="L30" s="80">
        <f t="shared" si="1"/>
        <v>85.58382311782816</v>
      </c>
      <c r="M30" s="69"/>
    </row>
    <row r="31" spans="1:13" ht="17.100000000000001" customHeight="1" x14ac:dyDescent="0.25">
      <c r="A31" s="79"/>
      <c r="B31" s="76">
        <v>23</v>
      </c>
      <c r="C31" s="37">
        <f>Electricity!C30</f>
        <v>5</v>
      </c>
      <c r="D31" s="37">
        <f>Electricity!D30</f>
        <v>43</v>
      </c>
      <c r="E31" s="11">
        <v>2</v>
      </c>
      <c r="F31" s="4">
        <f t="shared" si="2"/>
        <v>27164</v>
      </c>
      <c r="G31" s="11">
        <v>93</v>
      </c>
      <c r="H31" s="4">
        <f t="shared" si="3"/>
        <v>372000</v>
      </c>
      <c r="I31" s="11">
        <v>239</v>
      </c>
      <c r="J31" s="4">
        <f t="shared" si="4"/>
        <v>956000</v>
      </c>
      <c r="K31" s="11">
        <f t="shared" si="0"/>
        <v>1355164</v>
      </c>
      <c r="L31" s="80">
        <f t="shared" si="1"/>
        <v>94.819759305905407</v>
      </c>
      <c r="M31" s="69"/>
    </row>
    <row r="32" spans="1:13" ht="17.100000000000001" customHeight="1" x14ac:dyDescent="0.25">
      <c r="A32" s="79"/>
      <c r="B32" s="76">
        <v>24</v>
      </c>
      <c r="C32" s="37">
        <f>Electricity!C31</f>
        <v>4</v>
      </c>
      <c r="D32" s="37">
        <f>Electricity!D31</f>
        <v>23</v>
      </c>
      <c r="E32" s="11">
        <v>1</v>
      </c>
      <c r="F32" s="4">
        <f t="shared" si="2"/>
        <v>13582</v>
      </c>
      <c r="G32" s="11">
        <v>111</v>
      </c>
      <c r="H32" s="4">
        <f t="shared" si="3"/>
        <v>444000</v>
      </c>
      <c r="I32" s="11">
        <v>189</v>
      </c>
      <c r="J32" s="4">
        <f t="shared" si="4"/>
        <v>756000</v>
      </c>
      <c r="K32" s="11">
        <f t="shared" si="0"/>
        <v>1213582</v>
      </c>
      <c r="L32" s="80">
        <f t="shared" si="1"/>
        <v>84.913378113630003</v>
      </c>
      <c r="M32" s="69"/>
    </row>
    <row r="33" spans="1:15" ht="17.100000000000001" customHeight="1" x14ac:dyDescent="0.25">
      <c r="A33" s="79"/>
      <c r="B33" s="76">
        <v>25</v>
      </c>
      <c r="C33" s="37">
        <f>Electricity!C32</f>
        <v>5</v>
      </c>
      <c r="D33" s="37">
        <f>Electricity!D32</f>
        <v>14</v>
      </c>
      <c r="E33" s="11">
        <v>2</v>
      </c>
      <c r="F33" s="4">
        <f t="shared" si="2"/>
        <v>27164</v>
      </c>
      <c r="G33" s="11">
        <v>73</v>
      </c>
      <c r="H33" s="4">
        <f t="shared" si="3"/>
        <v>292000</v>
      </c>
      <c r="I33" s="11">
        <v>237</v>
      </c>
      <c r="J33" s="4">
        <f t="shared" si="4"/>
        <v>948000</v>
      </c>
      <c r="K33" s="11">
        <f t="shared" si="0"/>
        <v>1267164</v>
      </c>
      <c r="L33" s="80">
        <f t="shared" si="1"/>
        <v>88.662468513853909</v>
      </c>
      <c r="M33" s="69"/>
    </row>
    <row r="34" spans="1:15" ht="17.100000000000001" customHeight="1" x14ac:dyDescent="0.25">
      <c r="A34" s="79"/>
      <c r="B34" s="76">
        <v>26</v>
      </c>
      <c r="C34" s="37">
        <f>Electricity!C33</f>
        <v>5</v>
      </c>
      <c r="D34" s="37">
        <f>Electricity!D33</f>
        <v>16</v>
      </c>
      <c r="E34" s="11">
        <v>2</v>
      </c>
      <c r="F34" s="4">
        <f t="shared" si="2"/>
        <v>27164</v>
      </c>
      <c r="G34" s="11">
        <v>124</v>
      </c>
      <c r="H34" s="4">
        <f t="shared" si="3"/>
        <v>496000</v>
      </c>
      <c r="I34" s="11">
        <v>187</v>
      </c>
      <c r="J34" s="4">
        <f t="shared" si="4"/>
        <v>748000</v>
      </c>
      <c r="K34" s="11">
        <f t="shared" si="0"/>
        <v>1271164</v>
      </c>
      <c r="L34" s="80">
        <f t="shared" si="1"/>
        <v>88.942345368038062</v>
      </c>
      <c r="M34" s="69"/>
    </row>
    <row r="35" spans="1:15" ht="17.100000000000001" customHeight="1" x14ac:dyDescent="0.25">
      <c r="A35" s="79"/>
      <c r="B35" s="76">
        <v>27</v>
      </c>
      <c r="C35" s="37">
        <f>Electricity!C34</f>
        <v>8</v>
      </c>
      <c r="D35" s="37">
        <f>Electricity!D34</f>
        <v>24</v>
      </c>
      <c r="E35" s="11">
        <v>2</v>
      </c>
      <c r="F35" s="4">
        <f t="shared" si="2"/>
        <v>27164</v>
      </c>
      <c r="G35" s="11">
        <v>108</v>
      </c>
      <c r="H35" s="4">
        <f t="shared" si="3"/>
        <v>432000</v>
      </c>
      <c r="I35" s="11">
        <v>220</v>
      </c>
      <c r="J35" s="4">
        <f t="shared" si="4"/>
        <v>880000</v>
      </c>
      <c r="K35" s="11">
        <f t="shared" si="0"/>
        <v>1339164</v>
      </c>
      <c r="L35" s="80">
        <f t="shared" si="1"/>
        <v>93.700251889168769</v>
      </c>
      <c r="M35" s="69"/>
    </row>
    <row r="36" spans="1:15" ht="17.100000000000001" customHeight="1" x14ac:dyDescent="0.25">
      <c r="A36" s="79"/>
      <c r="B36" s="76">
        <v>28</v>
      </c>
      <c r="C36" s="37">
        <f>Electricity!C35</f>
        <v>11</v>
      </c>
      <c r="D36" s="37">
        <f>Electricity!D35</f>
        <v>43</v>
      </c>
      <c r="E36" s="11">
        <v>1</v>
      </c>
      <c r="F36" s="4">
        <f t="shared" si="2"/>
        <v>13582</v>
      </c>
      <c r="G36" s="11">
        <v>110</v>
      </c>
      <c r="H36" s="4">
        <f t="shared" si="3"/>
        <v>440000</v>
      </c>
      <c r="I36" s="11">
        <v>227</v>
      </c>
      <c r="J36" s="4">
        <f t="shared" si="4"/>
        <v>908000</v>
      </c>
      <c r="K36" s="11">
        <f t="shared" si="0"/>
        <v>1361582</v>
      </c>
      <c r="L36" s="80">
        <f t="shared" si="1"/>
        <v>95.268821718443888</v>
      </c>
      <c r="M36" s="69"/>
    </row>
    <row r="37" spans="1:15" ht="17.100000000000001" customHeight="1" x14ac:dyDescent="0.25">
      <c r="A37" s="79"/>
      <c r="B37" s="76">
        <v>29</v>
      </c>
      <c r="C37" s="37">
        <f>Electricity!C36</f>
        <v>14</v>
      </c>
      <c r="D37" s="37">
        <f>Electricity!D36</f>
        <v>68</v>
      </c>
      <c r="E37" s="11">
        <v>2</v>
      </c>
      <c r="F37" s="4">
        <f t="shared" si="2"/>
        <v>27164</v>
      </c>
      <c r="G37" s="11">
        <v>144</v>
      </c>
      <c r="H37" s="4">
        <f t="shared" si="3"/>
        <v>576000</v>
      </c>
      <c r="I37" s="11">
        <v>211</v>
      </c>
      <c r="J37" s="4">
        <f t="shared" si="4"/>
        <v>844000</v>
      </c>
      <c r="K37" s="11">
        <f t="shared" si="0"/>
        <v>1447164</v>
      </c>
      <c r="L37" s="80">
        <f t="shared" si="1"/>
        <v>101.25692695214106</v>
      </c>
      <c r="M37" s="69"/>
    </row>
    <row r="38" spans="1:15" ht="17.100000000000001" customHeight="1" x14ac:dyDescent="0.25">
      <c r="A38" s="79"/>
      <c r="B38" s="76">
        <v>30</v>
      </c>
      <c r="C38" s="37">
        <f>Electricity!C37</f>
        <v>8</v>
      </c>
      <c r="D38" s="37">
        <f>Electricity!D37</f>
        <v>55</v>
      </c>
      <c r="E38" s="11">
        <v>0</v>
      </c>
      <c r="F38" s="4">
        <f t="shared" si="2"/>
        <v>0</v>
      </c>
      <c r="G38" s="11">
        <v>144</v>
      </c>
      <c r="H38" s="4">
        <f t="shared" si="3"/>
        <v>576000</v>
      </c>
      <c r="I38" s="11">
        <v>212</v>
      </c>
      <c r="J38" s="4">
        <f t="shared" si="4"/>
        <v>848000</v>
      </c>
      <c r="K38" s="11">
        <f t="shared" si="0"/>
        <v>1424000</v>
      </c>
      <c r="L38" s="80">
        <f t="shared" si="1"/>
        <v>99.63616008956059</v>
      </c>
      <c r="M38" s="69"/>
    </row>
    <row r="39" spans="1:15" ht="17.100000000000001" customHeight="1" x14ac:dyDescent="0.25">
      <c r="B39" s="76">
        <v>31</v>
      </c>
      <c r="C39" s="37">
        <f>Electricity!C38</f>
        <v>7</v>
      </c>
      <c r="D39" s="37">
        <f>Electricity!D38</f>
        <v>28</v>
      </c>
      <c r="E39" s="11">
        <v>0</v>
      </c>
      <c r="F39" s="4"/>
      <c r="G39" s="11">
        <v>116</v>
      </c>
      <c r="H39" s="4">
        <f t="shared" ref="H39" si="5">G39*4000</f>
        <v>464000</v>
      </c>
      <c r="I39" s="11">
        <v>240</v>
      </c>
      <c r="J39" s="4">
        <f t="shared" ref="J39" si="6">I39*4000</f>
        <v>960000</v>
      </c>
      <c r="K39" s="11">
        <f t="shared" ref="K39" si="7">F39+H39+J39</f>
        <v>1424000</v>
      </c>
      <c r="L39" s="80">
        <f t="shared" si="1"/>
        <v>99.63616008956059</v>
      </c>
    </row>
    <row r="40" spans="1:15" ht="15.75" x14ac:dyDescent="0.25">
      <c r="C40" s="19">
        <f>SUM(C9:C39)</f>
        <v>320</v>
      </c>
      <c r="D40" s="19">
        <f>SUM(D9:D39)</f>
        <v>1552</v>
      </c>
      <c r="E40" s="19">
        <v>0</v>
      </c>
      <c r="G40" s="19">
        <f>SUM(G9:G39)</f>
        <v>3516</v>
      </c>
      <c r="I40" s="19">
        <f>SUM(I9:I39)</f>
        <v>6687</v>
      </c>
      <c r="J40" s="39">
        <f>G40+I40</f>
        <v>10203</v>
      </c>
      <c r="K40" s="45"/>
      <c r="L40" s="50">
        <f>SUM(L9:L39)</f>
        <v>2892.6460957178847</v>
      </c>
      <c r="O40" s="40" t="e">
        <f>#REF!+#REF!+#REF!+#REF!+#REF!+#REF!+#REF!+#REF!+#REF!+#REF!+L40+#REF!</f>
        <v>#REF!</v>
      </c>
    </row>
    <row r="41" spans="1:15" x14ac:dyDescent="0.2">
      <c r="I41" s="42">
        <f>G40+I40</f>
        <v>10203</v>
      </c>
      <c r="L41" s="41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4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Bagus Supardana</cp:lastModifiedBy>
  <cp:lastPrinted>2020-10-01T03:34:29Z</cp:lastPrinted>
  <dcterms:created xsi:type="dcterms:W3CDTF">2009-02-11T09:03:59Z</dcterms:created>
  <dcterms:modified xsi:type="dcterms:W3CDTF">2022-01-17T11:37:39Z</dcterms:modified>
</cp:coreProperties>
</file>