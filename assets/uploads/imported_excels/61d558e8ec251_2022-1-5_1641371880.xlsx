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D4FF4F4C-41A9-46EC-B15D-18B8D79C11E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2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I5" i="2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J5" i="2"/>
  <c r="J6" i="2" s="1"/>
  <c r="J7" i="2" s="1"/>
  <c r="J8" i="2" s="1"/>
  <c r="J9" i="2" s="1"/>
  <c r="K5" i="2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O5" i="2"/>
  <c r="O6" i="2"/>
  <c r="AA16" i="2"/>
  <c r="O25" i="2"/>
  <c r="R29" i="2"/>
  <c r="R31" i="2"/>
  <c r="R32" i="2"/>
  <c r="R33" i="2" s="1"/>
  <c r="R34" i="2" s="1"/>
  <c r="R35" i="2" s="1"/>
  <c r="J10" i="2" l="1"/>
  <c r="J11" i="2" s="1"/>
  <c r="J12" i="2" s="1"/>
  <c r="J13" i="2" s="1"/>
  <c r="J14" i="2" s="1"/>
  <c r="J15" i="2" s="1"/>
  <c r="L6" i="2"/>
  <c r="L7" i="2" s="1"/>
  <c r="L8" i="2" s="1"/>
  <c r="L9" i="2" s="1"/>
  <c r="J16" i="2" l="1"/>
  <c r="J17" i="2" s="1"/>
  <c r="J18" i="2" s="1"/>
  <c r="J19" i="2" s="1"/>
  <c r="J20" i="2" s="1"/>
  <c r="J21" i="2" s="1"/>
  <c r="J22" i="2" s="1"/>
  <c r="J23" i="2" s="1"/>
  <c r="J24" i="2" s="1"/>
  <c r="J25" i="2" s="1"/>
  <c r="L12" i="2"/>
  <c r="L13" i="2" s="1"/>
  <c r="L14" i="2" s="1"/>
  <c r="L15" i="2" s="1"/>
  <c r="E32" i="3"/>
  <c r="F32" i="3"/>
  <c r="E32" i="1" s="1"/>
  <c r="G32" i="3"/>
  <c r="H32" i="3"/>
  <c r="J32" i="3"/>
  <c r="L32" i="3"/>
  <c r="M32" i="3"/>
  <c r="G32" i="1" s="1"/>
  <c r="N32" i="3"/>
  <c r="I32" i="1" s="1"/>
  <c r="O32" i="3"/>
  <c r="P32" i="3"/>
  <c r="Q32" i="3"/>
  <c r="R32" i="3"/>
  <c r="S32" i="3"/>
  <c r="T32" i="3"/>
  <c r="U32" i="3"/>
  <c r="V32" i="3"/>
  <c r="W32" i="3"/>
  <c r="X32" i="3"/>
  <c r="K31" i="1"/>
  <c r="L31" i="1"/>
  <c r="K32" i="1"/>
  <c r="L32" i="1"/>
  <c r="L19" i="2" l="1"/>
  <c r="L20" i="2"/>
  <c r="L21" i="2" s="1"/>
  <c r="L22" i="2" s="1"/>
  <c r="L23" i="2" s="1"/>
  <c r="L24" i="2" s="1"/>
  <c r="L25" i="2" s="1"/>
  <c r="J26" i="2"/>
  <c r="J27" i="2" s="1"/>
  <c r="J28" i="2" s="1"/>
  <c r="J29" i="2" s="1"/>
  <c r="J30" i="2" s="1"/>
  <c r="K29" i="1"/>
  <c r="L29" i="1"/>
  <c r="K30" i="1"/>
  <c r="L30" i="1"/>
  <c r="F7" i="3"/>
  <c r="F8" i="3"/>
  <c r="F9" i="3"/>
  <c r="J31" i="2" l="1"/>
  <c r="J32" i="2" s="1"/>
  <c r="J33" i="2" s="1"/>
  <c r="J34" i="2" s="1"/>
  <c r="L32" i="2"/>
  <c r="L33" i="2" s="1"/>
  <c r="L34" i="2" s="1"/>
  <c r="L35" i="2" s="1"/>
  <c r="I32" i="3"/>
  <c r="K32" i="3"/>
  <c r="V2" i="3"/>
  <c r="W2" i="3"/>
  <c r="V3" i="3"/>
  <c r="W3" i="3"/>
  <c r="V4" i="3"/>
  <c r="W4" i="3"/>
  <c r="V5" i="3"/>
  <c r="W5" i="3"/>
  <c r="V6" i="3"/>
  <c r="W6" i="3"/>
  <c r="V7" i="3"/>
  <c r="W7" i="3"/>
  <c r="V8" i="3"/>
  <c r="W8" i="3"/>
  <c r="V9" i="3"/>
  <c r="W9" i="3"/>
  <c r="V10" i="3"/>
  <c r="W10" i="3"/>
  <c r="V11" i="3"/>
  <c r="W11" i="3"/>
  <c r="V12" i="3"/>
  <c r="W12" i="3"/>
  <c r="V13" i="3"/>
  <c r="W13" i="3"/>
  <c r="V14" i="3"/>
  <c r="W14" i="3"/>
  <c r="V15" i="3"/>
  <c r="W15" i="3"/>
  <c r="V16" i="3"/>
  <c r="W16" i="3"/>
  <c r="V17" i="3"/>
  <c r="W17" i="3"/>
  <c r="V18" i="3"/>
  <c r="W18" i="3"/>
  <c r="V19" i="3"/>
  <c r="W19" i="3"/>
  <c r="V20" i="3"/>
  <c r="W20" i="3"/>
  <c r="V21" i="3"/>
  <c r="W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J31" i="3"/>
  <c r="L31" i="3"/>
  <c r="M31" i="3"/>
  <c r="G31" i="1" s="1"/>
  <c r="N31" i="3"/>
  <c r="I31" i="1" s="1"/>
  <c r="O31" i="3"/>
  <c r="P31" i="3"/>
  <c r="Q31" i="3"/>
  <c r="R31" i="3"/>
  <c r="S31" i="3"/>
  <c r="K31" i="3" l="1"/>
  <c r="I31" i="3"/>
  <c r="E31" i="1"/>
  <c r="E30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22" i="3"/>
  <c r="G23" i="3"/>
  <c r="G24" i="3"/>
  <c r="G25" i="3"/>
  <c r="G26" i="3"/>
  <c r="G27" i="3"/>
  <c r="G28" i="3"/>
  <c r="G29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<sst xmlns="http://schemas.openxmlformats.org/spreadsheetml/2006/main" count="135" uniqueCount="61">
  <si>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</si>
  <si>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</si>
  <si>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</si>
  <si>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</si>
  <si>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</si>
  <si>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</si>
  <si>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</si>
  <si>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</si>
  <si>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</si>
  <si>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</si>
  <si>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</si>
  <si>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</si>
  <si>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</si>
  <si>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</si>
  <si>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</si>
  <si>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</si>
  <si>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</si>
  <si>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</si>
  <si>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</si>
  <si>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</si>
  <si>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</si>
  <si>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</si>
  <si>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</si>
  <si>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</si>
  <si>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</si>
  <si>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</si>
  <si>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</si>
  <si>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</si>
  <si>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</si>
  <si>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</si>
  <si>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</si>
  <si>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</si>
  <si>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</si>
  <si>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</si>
  <si>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</si>
  <si>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</si>
  <si>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</si>
  <si>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</si>
  <si>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</si>
  <si>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</si>
  <si>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</si>
  <si>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</si>
  <si>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</si>
  <si>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</si>
  <si>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</si>
  <si>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</si>
  <si>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</si>
  <si>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</si>
  <si>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</si>
  <si>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</si>
  <si>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</si>
  <si>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</si>
  <si>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</si>
  <si>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</si>
  <si>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</si>
  <si>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</si>
  <si>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</si>
  <si>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</si>
  <si>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</si>
  <si>
    <t>957..858</t>
  </si>
  <si>
    <t>490.331.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</si>
</sst>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444444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7" xfId="0" applyBorder="1"/>
    <xf numFmtId="1" fontId="0" fillId="0" borderId="7" xfId="0" applyNumberFormat="1" applyBorder="1"/>
    <xf numFmtId="1" fontId="10" fillId="0" borderId="0" xfId="0" applyNumberFormat="1" applyFont="1"/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8" fillId="0" borderId="7" xfId="0" applyFont="1" applyBorder="1"/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topLeftCell="A12" workbookViewId="0">
      <selection activeCell="L20" sqref="L20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10</v>
      </c>
      <c r="D2" s="2">
        <v>2021</v>
      </c>
      <c r="E2" s="4">
        <f>(Submetering!E2+Submetering!F2)</f>
        <v>8657</v>
      </c>
      <c r="F2" s="12">
        <v>0.14000000000000001</v>
      </c>
      <c r="G2" s="4" t="str">
        <f>Submetering!M2</f>
        <v>0</v>
      </c>
      <c r="H2" s="12">
        <v>0.25</v>
      </c>
      <c r="I2" s="4">
        <f>Submetering!N2</f>
        <v>117</v>
      </c>
      <c r="J2" s="13">
        <v>2.06</v>
      </c>
      <c r="K2" s="4">
        <f>'Hampshire Daily'!B5</f>
        <v>57</v>
      </c>
      <c r="L2" s="4">
        <f>'Hampshire Daily'!D5</f>
        <v>1012097</v>
      </c>
    </row>
    <row r="3" spans="1:24" x14ac:dyDescent="0.25">
      <c r="A3" s="3" t="s">
        <v>40</v>
      </c>
      <c r="B3" s="2">
        <f>B2+1</f>
        <v>2</v>
      </c>
      <c r="C3" s="2">
        <v>10</v>
      </c>
      <c r="D3" s="2">
        <v>2021</v>
      </c>
      <c r="E3" s="4">
        <f>Submetering!E3+Submetering!F3</f>
        <v>8380</v>
      </c>
      <c r="F3" s="12">
        <v>0.14000000000000001</v>
      </c>
      <c r="G3" s="4">
        <f>Submetering!M3</f>
        <v>79.333333333313931</v>
      </c>
      <c r="H3" s="12">
        <v>0.25</v>
      </c>
      <c r="I3" s="4">
        <f>Submetering!N3</f>
        <v>0</v>
      </c>
      <c r="J3" s="13">
        <v>2.06</v>
      </c>
      <c r="K3" s="4">
        <f>'Hampshire Daily'!B6</f>
        <v>62</v>
      </c>
      <c r="L3" s="4">
        <f>'Hampshire Daily'!D6</f>
        <v>1024010</v>
      </c>
    </row>
    <row r="4" spans="1:24" x14ac:dyDescent="0.25">
      <c r="A4" s="3" t="s">
        <v>40</v>
      </c>
      <c r="B4" s="2">
        <f t="shared" ref="B4:B31" si="0">B3+1</f>
        <v>3</v>
      </c>
      <c r="C4" s="2">
        <v>10</v>
      </c>
      <c r="D4" s="2">
        <v>2021</v>
      </c>
      <c r="E4" s="4">
        <f>Submetering!E4+Submetering!F4</f>
        <v>8157</v>
      </c>
      <c r="F4" s="12">
        <v>0.14000000000000001</v>
      </c>
      <c r="G4" s="4">
        <f>Submetering!M4</f>
        <v>79.333333333372138</v>
      </c>
      <c r="H4" s="12">
        <v>0.25</v>
      </c>
      <c r="I4" s="4">
        <f>Submetering!N4</f>
        <v>0</v>
      </c>
      <c r="J4" s="13">
        <v>2.06</v>
      </c>
      <c r="K4" s="4">
        <f>'Hampshire Daily'!B7</f>
        <v>196</v>
      </c>
      <c r="L4" s="4">
        <f>'Hampshire Daily'!D7</f>
        <v>1027039</v>
      </c>
    </row>
    <row r="5" spans="1:24" x14ac:dyDescent="0.25">
      <c r="A5" s="3" t="s">
        <v>40</v>
      </c>
      <c r="B5" s="2">
        <f t="shared" si="0"/>
        <v>4</v>
      </c>
      <c r="C5" s="2">
        <v>10</v>
      </c>
      <c r="D5" s="2">
        <v>2021</v>
      </c>
      <c r="E5" s="4">
        <f>Submetering!E5+Submetering!F5</f>
        <v>8046</v>
      </c>
      <c r="F5" s="12">
        <v>0.14000000000000001</v>
      </c>
      <c r="G5" s="4">
        <f>Submetering!M5</f>
        <v>105</v>
      </c>
      <c r="H5" s="12">
        <v>0.25</v>
      </c>
      <c r="I5" s="4">
        <f>Submetering!N5</f>
        <v>0</v>
      </c>
      <c r="J5" s="13">
        <v>2.06</v>
      </c>
      <c r="K5" s="4">
        <f>'Hampshire Daily'!B8</f>
        <v>146</v>
      </c>
      <c r="L5" s="4">
        <f>'Hampshire Daily'!D8</f>
        <v>1030058</v>
      </c>
    </row>
    <row r="6" spans="1:24" x14ac:dyDescent="0.25">
      <c r="A6" s="3" t="s">
        <v>40</v>
      </c>
      <c r="B6" s="2">
        <f t="shared" si="0"/>
        <v>5</v>
      </c>
      <c r="C6" s="2">
        <v>10</v>
      </c>
      <c r="D6" s="2">
        <v>2021</v>
      </c>
      <c r="E6" s="4">
        <f>Submetering!E6+Submetering!F6</f>
        <v>8448</v>
      </c>
      <c r="F6" s="12">
        <v>0.14000000000000001</v>
      </c>
      <c r="G6" s="4">
        <f>Submetering!M6</f>
        <v>97</v>
      </c>
      <c r="H6" s="12">
        <v>0.25</v>
      </c>
      <c r="I6" s="4">
        <f>Submetering!N6</f>
        <v>0</v>
      </c>
      <c r="J6" s="13">
        <v>2.06</v>
      </c>
      <c r="K6" s="4">
        <f>'Hampshire Daily'!B9</f>
        <v>74</v>
      </c>
      <c r="L6" s="4">
        <f>'Hampshire Daily'!D9</f>
        <v>1032995</v>
      </c>
    </row>
    <row r="7" spans="1:24" x14ac:dyDescent="0.25">
      <c r="A7" s="3" t="s">
        <v>40</v>
      </c>
      <c r="B7" s="2">
        <f t="shared" si="0"/>
        <v>6</v>
      </c>
      <c r="C7" s="2">
        <v>10</v>
      </c>
      <c r="D7" s="2">
        <v>2021</v>
      </c>
      <c r="E7" s="4">
        <f>Submetering!E7+Submetering!F7</f>
        <v>7909</v>
      </c>
      <c r="F7" s="12">
        <v>0.14000000000000001</v>
      </c>
      <c r="G7" s="4">
        <f>Submetering!M7</f>
        <v>103</v>
      </c>
      <c r="H7" s="12">
        <v>0.25</v>
      </c>
      <c r="I7" s="4">
        <f>Submetering!N7</f>
        <v>0</v>
      </c>
      <c r="J7" s="13">
        <v>2.06</v>
      </c>
      <c r="K7" s="4">
        <f>'Hampshire Daily'!B10</f>
        <v>73</v>
      </c>
      <c r="L7" s="4">
        <f>'Hampshire Daily'!D10</f>
        <v>1035888</v>
      </c>
    </row>
    <row r="8" spans="1:24" x14ac:dyDescent="0.25">
      <c r="A8" s="3" t="s">
        <v>40</v>
      </c>
      <c r="B8" s="2">
        <f t="shared" si="0"/>
        <v>7</v>
      </c>
      <c r="C8" s="2">
        <v>10</v>
      </c>
      <c r="D8" s="2">
        <v>2021</v>
      </c>
      <c r="E8" s="4">
        <f>Submetering!E8+Submetering!F8</f>
        <v>7815</v>
      </c>
      <c r="F8" s="12">
        <v>0.14000000000000001</v>
      </c>
      <c r="G8" s="4">
        <f>Submetering!M8</f>
        <v>88</v>
      </c>
      <c r="H8" s="12">
        <v>0.25</v>
      </c>
      <c r="I8" s="4">
        <f>Submetering!N8</f>
        <v>0</v>
      </c>
      <c r="J8" s="13">
        <v>2.06</v>
      </c>
      <c r="K8" s="4">
        <f>'Hampshire Daily'!B11</f>
        <v>65</v>
      </c>
      <c r="L8" s="4">
        <f>'Hampshire Daily'!D11</f>
        <v>1038828</v>
      </c>
    </row>
    <row r="9" spans="1:24" x14ac:dyDescent="0.25">
      <c r="A9" s="3" t="s">
        <v>40</v>
      </c>
      <c r="B9" s="2">
        <f t="shared" si="0"/>
        <v>8</v>
      </c>
      <c r="C9" s="2">
        <v>10</v>
      </c>
      <c r="D9" s="2">
        <v>2021</v>
      </c>
      <c r="E9" s="4">
        <f>Submetering!E9+Submetering!F9</f>
        <v>10623</v>
      </c>
      <c r="F9" s="12">
        <v>0.14000000000000001</v>
      </c>
      <c r="G9" s="4">
        <f>Submetering!M9</f>
        <v>80</v>
      </c>
      <c r="H9" s="12">
        <v>0.25</v>
      </c>
      <c r="I9" s="4">
        <f>Submetering!N9</f>
        <v>0</v>
      </c>
      <c r="J9" s="13">
        <v>2.06</v>
      </c>
      <c r="K9" s="4">
        <f>'Hampshire Daily'!B12</f>
        <v>58</v>
      </c>
      <c r="L9" s="4">
        <f>'Hampshire Daily'!D12</f>
        <v>1044422</v>
      </c>
    </row>
    <row r="10" spans="1:24" x14ac:dyDescent="0.25">
      <c r="A10" s="3" t="s">
        <v>40</v>
      </c>
      <c r="B10" s="2">
        <f t="shared" si="0"/>
        <v>9</v>
      </c>
      <c r="C10" s="2">
        <v>10</v>
      </c>
      <c r="D10" s="2">
        <v>2021</v>
      </c>
      <c r="E10" s="4">
        <f>Submetering!E10+Submetering!F10</f>
        <v>8292</v>
      </c>
      <c r="F10" s="12">
        <v>0.14000000000000001</v>
      </c>
      <c r="G10" s="4">
        <f>Submetering!M10</f>
        <v>113</v>
      </c>
      <c r="H10" s="12">
        <v>0.25</v>
      </c>
      <c r="I10" s="4">
        <f>Submetering!N10</f>
        <v>0</v>
      </c>
      <c r="J10" s="13">
        <v>2.06</v>
      </c>
      <c r="K10" s="4">
        <f>'Hampshire Daily'!B13</f>
        <v>80</v>
      </c>
      <c r="L10" s="4">
        <f>'Hampshire Daily'!D13</f>
        <v>1047736</v>
      </c>
    </row>
    <row r="11" spans="1:24" x14ac:dyDescent="0.25">
      <c r="A11" s="3" t="s">
        <v>40</v>
      </c>
      <c r="B11" s="2">
        <f t="shared" si="0"/>
        <v>10</v>
      </c>
      <c r="C11" s="2">
        <v>10</v>
      </c>
      <c r="D11" s="2">
        <v>2021</v>
      </c>
      <c r="E11" s="4">
        <f>Submetering!E11+Submetering!F11</f>
        <v>9855</v>
      </c>
      <c r="F11" s="12">
        <v>0.14000000000000001</v>
      </c>
      <c r="G11" s="4">
        <f>Submetering!M11</f>
        <v>85</v>
      </c>
      <c r="H11" s="12">
        <v>0.25</v>
      </c>
      <c r="I11" s="4">
        <f>Submetering!N11</f>
        <v>0</v>
      </c>
      <c r="J11" s="13">
        <v>2.06</v>
      </c>
      <c r="K11" s="4">
        <f>'Hampshire Daily'!B14</f>
        <v>136</v>
      </c>
      <c r="L11" s="4">
        <f>'Hampshire Daily'!D14</f>
        <v>1052381</v>
      </c>
    </row>
    <row r="12" spans="1:24" x14ac:dyDescent="0.25">
      <c r="A12" s="3" t="s">
        <v>40</v>
      </c>
      <c r="B12" s="2">
        <f t="shared" si="0"/>
        <v>11</v>
      </c>
      <c r="C12" s="2">
        <v>10</v>
      </c>
      <c r="D12" s="2">
        <v>2021</v>
      </c>
      <c r="E12" s="4">
        <f>Submetering!E12+Submetering!F12</f>
        <v>6753</v>
      </c>
      <c r="F12" s="12">
        <v>0.14000000000000001</v>
      </c>
      <c r="G12" s="4">
        <f>Submetering!M12</f>
        <v>125</v>
      </c>
      <c r="H12" s="12">
        <v>0.25</v>
      </c>
      <c r="I12" s="4">
        <f>Submetering!N12</f>
        <v>0</v>
      </c>
      <c r="J12" s="13">
        <v>2.06</v>
      </c>
      <c r="K12" s="4">
        <f>'Hampshire Daily'!B15</f>
        <v>149</v>
      </c>
      <c r="L12" s="4">
        <f>'Hampshire Daily'!D15</f>
        <v>1056266</v>
      </c>
    </row>
    <row r="13" spans="1:24" x14ac:dyDescent="0.25">
      <c r="A13" s="3" t="s">
        <v>40</v>
      </c>
      <c r="B13" s="2">
        <f t="shared" si="0"/>
        <v>12</v>
      </c>
      <c r="C13" s="2">
        <v>10</v>
      </c>
      <c r="D13" s="2">
        <v>2021</v>
      </c>
      <c r="E13" s="4">
        <f>Submetering!E13+Submetering!F13</f>
        <v>4642</v>
      </c>
      <c r="F13" s="12">
        <v>0.14000000000000001</v>
      </c>
      <c r="G13" s="4">
        <f>Submetering!M13</f>
        <v>98</v>
      </c>
      <c r="H13" s="12">
        <v>0.25</v>
      </c>
      <c r="I13" s="4">
        <f>Submetering!N13</f>
        <v>0</v>
      </c>
      <c r="J13" s="13">
        <v>2.06</v>
      </c>
      <c r="K13" s="4">
        <f>'Hampshire Daily'!B16</f>
        <v>128</v>
      </c>
      <c r="L13" s="4">
        <f>'Hampshire Daily'!D16</f>
        <v>1058994</v>
      </c>
    </row>
    <row r="14" spans="1:24" x14ac:dyDescent="0.25">
      <c r="A14" s="3" t="s">
        <v>40</v>
      </c>
      <c r="B14" s="2">
        <f t="shared" si="0"/>
        <v>13</v>
      </c>
      <c r="C14" s="2">
        <v>10</v>
      </c>
      <c r="D14" s="2">
        <v>2021</v>
      </c>
      <c r="E14" s="4">
        <f>Submetering!E14+Submetering!F14</f>
        <v>5039</v>
      </c>
      <c r="F14" s="12">
        <v>0.14000000000000001</v>
      </c>
      <c r="G14" s="4">
        <f>Submetering!M14</f>
        <v>99</v>
      </c>
      <c r="H14" s="12">
        <v>0.25</v>
      </c>
      <c r="I14" s="4">
        <f>Submetering!N14</f>
        <v>0</v>
      </c>
      <c r="J14" s="13">
        <v>2.06</v>
      </c>
      <c r="K14" s="4">
        <f>'Hampshire Daily'!B17</f>
        <v>110</v>
      </c>
      <c r="L14" s="4">
        <f>'Hampshire Daily'!D17</f>
        <v>1061771</v>
      </c>
    </row>
    <row r="15" spans="1:24" x14ac:dyDescent="0.25">
      <c r="A15" s="3" t="s">
        <v>40</v>
      </c>
      <c r="B15" s="2">
        <f t="shared" si="0"/>
        <v>14</v>
      </c>
      <c r="C15" s="2">
        <v>10</v>
      </c>
      <c r="D15" s="2">
        <v>2021</v>
      </c>
      <c r="E15" s="4">
        <f>Submetering!E15+Submetering!F15</f>
        <v>8250</v>
      </c>
      <c r="F15" s="12">
        <v>0.14000000000000001</v>
      </c>
      <c r="G15" s="4">
        <f>Submetering!M15</f>
        <v>98</v>
      </c>
      <c r="H15" s="12">
        <v>0.25</v>
      </c>
      <c r="I15" s="4">
        <f>Submetering!N15</f>
        <v>0</v>
      </c>
      <c r="J15" s="13">
        <v>2.06</v>
      </c>
      <c r="K15" s="4">
        <f>'Hampshire Daily'!B18</f>
        <v>131</v>
      </c>
      <c r="L15" s="4">
        <f>'Hampshire Daily'!D18</f>
        <v>1064599</v>
      </c>
    </row>
    <row r="16" spans="1:24" x14ac:dyDescent="0.25">
      <c r="A16" s="3" t="s">
        <v>40</v>
      </c>
      <c r="B16" s="2">
        <f t="shared" si="0"/>
        <v>15</v>
      </c>
      <c r="C16" s="2">
        <v>10</v>
      </c>
      <c r="D16" s="2">
        <v>2021</v>
      </c>
      <c r="E16" s="4">
        <f>Submetering!E16+Submetering!F16</f>
        <v>8225</v>
      </c>
      <c r="F16" s="12">
        <v>0.14000000000000001</v>
      </c>
      <c r="G16" s="4">
        <f>Submetering!M16</f>
        <v>92</v>
      </c>
      <c r="H16" s="12">
        <v>0.25</v>
      </c>
      <c r="I16" s="4">
        <f>Submetering!N16</f>
        <v>0</v>
      </c>
      <c r="J16" s="13">
        <v>2.06</v>
      </c>
      <c r="K16" s="4">
        <f>'Hampshire Daily'!B19</f>
        <v>145</v>
      </c>
      <c r="L16" s="4">
        <f>'Hampshire Daily'!D19</f>
        <v>1067479</v>
      </c>
    </row>
    <row r="17" spans="1:12" x14ac:dyDescent="0.25">
      <c r="A17" s="3" t="s">
        <v>40</v>
      </c>
      <c r="B17" s="2">
        <f t="shared" si="0"/>
        <v>16</v>
      </c>
      <c r="C17" s="2">
        <v>10</v>
      </c>
      <c r="D17" s="2">
        <v>2021</v>
      </c>
      <c r="E17" s="4">
        <f>Submetering!E17+Submetering!F17</f>
        <v>8226</v>
      </c>
      <c r="F17" s="12">
        <v>0.14000000000000001</v>
      </c>
      <c r="G17" s="4">
        <f>Submetering!M17</f>
        <v>107</v>
      </c>
      <c r="H17" s="12">
        <v>0.25</v>
      </c>
      <c r="I17" s="4">
        <f>Submetering!N17</f>
        <v>0</v>
      </c>
      <c r="J17" s="13">
        <v>2.06</v>
      </c>
      <c r="K17" s="4">
        <f>'Hampshire Daily'!B20</f>
        <v>147</v>
      </c>
      <c r="L17" s="4">
        <f>'Hampshire Daily'!D20</f>
        <v>1070493</v>
      </c>
    </row>
    <row r="18" spans="1:12" x14ac:dyDescent="0.25">
      <c r="A18" s="3" t="s">
        <v>40</v>
      </c>
      <c r="B18" s="2">
        <f t="shared" si="0"/>
        <v>17</v>
      </c>
      <c r="C18" s="2">
        <v>10</v>
      </c>
      <c r="D18" s="2">
        <v>2021</v>
      </c>
      <c r="E18" s="4">
        <f>Submetering!E18+Submetering!F18</f>
        <v>8663</v>
      </c>
      <c r="F18" s="12">
        <v>0.14000000000000001</v>
      </c>
      <c r="G18" s="4">
        <f>Submetering!M18</f>
        <v>103</v>
      </c>
      <c r="H18" s="12">
        <v>0.25</v>
      </c>
      <c r="I18" s="4">
        <f>Submetering!N18</f>
        <v>0</v>
      </c>
      <c r="J18" s="13">
        <v>2.06</v>
      </c>
      <c r="K18" s="4">
        <f>'Hampshire Daily'!B21</f>
        <v>161</v>
      </c>
      <c r="L18" s="4">
        <f>'Hampshire Daily'!D21</f>
        <v>1073626</v>
      </c>
    </row>
    <row r="19" spans="1:12" x14ac:dyDescent="0.25">
      <c r="A19" s="3" t="s">
        <v>40</v>
      </c>
      <c r="B19" s="2">
        <f t="shared" si="0"/>
        <v>18</v>
      </c>
      <c r="C19" s="2">
        <v>10</v>
      </c>
      <c r="D19" s="2">
        <v>2021</v>
      </c>
      <c r="E19" s="4">
        <f>Submetering!E19+Submetering!F19</f>
        <v>8574</v>
      </c>
      <c r="F19" s="12">
        <v>0.14000000000000001</v>
      </c>
      <c r="G19" s="4">
        <f>Submetering!M19</f>
        <v>126</v>
      </c>
      <c r="H19" s="12">
        <v>0.25</v>
      </c>
      <c r="I19" s="4">
        <f>Submetering!N19</f>
        <v>0</v>
      </c>
      <c r="J19" s="13">
        <v>2.06</v>
      </c>
      <c r="K19" s="4">
        <f>'Hampshire Daily'!B22</f>
        <v>205</v>
      </c>
      <c r="L19" s="4">
        <f>'Hampshire Daily'!D22</f>
        <v>1076690</v>
      </c>
    </row>
    <row r="20" spans="1:12" x14ac:dyDescent="0.25">
      <c r="A20" s="3" t="s">
        <v>40</v>
      </c>
      <c r="B20" s="2">
        <f t="shared" si="0"/>
        <v>19</v>
      </c>
      <c r="C20" s="2">
        <v>10</v>
      </c>
      <c r="D20" s="2">
        <v>2021</v>
      </c>
      <c r="E20" s="4">
        <f>Submetering!E20+Submetering!F20</f>
        <v>8912</v>
      </c>
      <c r="F20" s="12">
        <v>0.14000000000000001</v>
      </c>
      <c r="G20" s="4">
        <f>Submetering!M20</f>
        <v>128</v>
      </c>
      <c r="H20" s="12">
        <v>0.25</v>
      </c>
      <c r="I20" s="4">
        <f>Submetering!N20</f>
        <v>435</v>
      </c>
      <c r="J20" s="13">
        <v>2.06</v>
      </c>
      <c r="K20" s="4">
        <f>'Hampshire Daily'!B23</f>
        <v>195</v>
      </c>
      <c r="L20" s="4">
        <f>'Hampshire Daily'!D23</f>
        <v>1079348</v>
      </c>
    </row>
    <row r="21" spans="1:12" x14ac:dyDescent="0.25">
      <c r="A21" s="3" t="s">
        <v>40</v>
      </c>
      <c r="B21" s="2">
        <f t="shared" si="0"/>
        <v>20</v>
      </c>
      <c r="C21" s="2">
        <v>10</v>
      </c>
      <c r="D21" s="2">
        <v>2021</v>
      </c>
      <c r="E21" s="4">
        <f>Submetering!E21+Submetering!F21</f>
        <v>7969</v>
      </c>
      <c r="F21" s="12">
        <v>0.14000000000000001</v>
      </c>
      <c r="G21" s="4">
        <f>Submetering!M21</f>
        <v>128</v>
      </c>
      <c r="H21" s="12">
        <v>0.25</v>
      </c>
      <c r="I21" s="4" t="str">
        <f>Submetering!N21</f>
        <v>0</v>
      </c>
      <c r="J21" s="13">
        <v>2.06</v>
      </c>
      <c r="K21" s="4">
        <f>'Hampshire Daily'!B24</f>
        <v>206</v>
      </c>
      <c r="L21" s="4">
        <f>'Hampshire Daily'!C24</f>
        <v>69</v>
      </c>
    </row>
    <row r="22" spans="1:12" x14ac:dyDescent="0.25">
      <c r="A22" s="3" t="s">
        <v>40</v>
      </c>
      <c r="B22" s="2">
        <f t="shared" si="0"/>
        <v>21</v>
      </c>
      <c r="C22" s="2">
        <v>10</v>
      </c>
      <c r="D22" s="2">
        <v>2021</v>
      </c>
      <c r="E22" s="4">
        <f>Submetering!E22+Submetering!F22</f>
        <v>9468</v>
      </c>
      <c r="F22" s="12">
        <v>0.14000000000000001</v>
      </c>
      <c r="G22" s="4">
        <f>Submetering!M22</f>
        <v>2716</v>
      </c>
      <c r="H22" s="12">
        <v>0.25</v>
      </c>
      <c r="I22" s="4">
        <f>Submetering!N22</f>
        <v>116.5</v>
      </c>
      <c r="J22" s="13">
        <v>2.06</v>
      </c>
      <c r="K22" s="4">
        <f>'Hampshire Daily'!B25</f>
        <v>208</v>
      </c>
      <c r="L22" s="4">
        <f>'Hampshire Daily'!C25</f>
        <v>70</v>
      </c>
    </row>
    <row r="23" spans="1:12" x14ac:dyDescent="0.25">
      <c r="A23" s="3" t="s">
        <v>40</v>
      </c>
      <c r="B23" s="2">
        <f t="shared" si="0"/>
        <v>22</v>
      </c>
      <c r="C23" s="2">
        <v>10</v>
      </c>
      <c r="D23" s="2">
        <v>2021</v>
      </c>
      <c r="E23" s="4">
        <f>Submetering!E23+Submetering!F23</f>
        <v>8251</v>
      </c>
      <c r="F23" s="12">
        <v>0.14000000000000001</v>
      </c>
      <c r="G23" s="4">
        <f>Submetering!M23</f>
        <v>2687</v>
      </c>
      <c r="H23" s="12">
        <v>0.25</v>
      </c>
      <c r="I23" s="4">
        <f>Submetering!N23</f>
        <v>116.5</v>
      </c>
      <c r="J23" s="13">
        <v>2.06</v>
      </c>
      <c r="K23" s="4">
        <f>'Hampshire Daily'!B26</f>
        <v>185</v>
      </c>
      <c r="L23" s="4">
        <f>'Hampshire Daily'!C26</f>
        <v>64</v>
      </c>
    </row>
    <row r="24" spans="1:12" x14ac:dyDescent="0.25">
      <c r="A24" s="3" t="s">
        <v>40</v>
      </c>
      <c r="B24" s="2">
        <f t="shared" si="0"/>
        <v>23</v>
      </c>
      <c r="C24" s="2">
        <v>10</v>
      </c>
      <c r="D24" s="2">
        <v>2021</v>
      </c>
      <c r="E24" s="4">
        <f>Submetering!E24+Submetering!F24</f>
        <v>8433</v>
      </c>
      <c r="F24" s="12">
        <v>0.14000000000000001</v>
      </c>
      <c r="G24" s="4">
        <f>Submetering!M24</f>
        <v>2703</v>
      </c>
      <c r="H24" s="12">
        <v>0.25</v>
      </c>
      <c r="I24" s="4">
        <f>Submetering!N24</f>
        <v>124</v>
      </c>
      <c r="J24" s="13">
        <v>2.06</v>
      </c>
      <c r="K24" s="4">
        <f>'Hampshire Daily'!B27</f>
        <v>194</v>
      </c>
      <c r="L24" s="4">
        <f>'Hampshire Daily'!C27</f>
        <v>77</v>
      </c>
    </row>
    <row r="25" spans="1:12" x14ac:dyDescent="0.25">
      <c r="A25" s="3" t="s">
        <v>40</v>
      </c>
      <c r="B25" s="2">
        <f t="shared" si="0"/>
        <v>24</v>
      </c>
      <c r="C25" s="2">
        <v>10</v>
      </c>
      <c r="D25" s="2">
        <v>2021</v>
      </c>
      <c r="E25" s="4">
        <f>Submetering!E25+Submetering!F25</f>
        <v>5800</v>
      </c>
      <c r="F25" s="12">
        <v>0.14000000000000001</v>
      </c>
      <c r="G25" s="4">
        <f>Submetering!M25</f>
        <v>2909</v>
      </c>
      <c r="H25" s="12">
        <v>0.25</v>
      </c>
      <c r="I25" s="4">
        <f>Submetering!N25</f>
        <v>123</v>
      </c>
      <c r="J25" s="13">
        <v>2.06</v>
      </c>
      <c r="K25" s="4">
        <f>'Hampshire Daily'!B28</f>
        <v>233</v>
      </c>
      <c r="L25" s="4">
        <f>'Hampshire Daily'!C28</f>
        <v>96</v>
      </c>
    </row>
    <row r="26" spans="1:12" x14ac:dyDescent="0.25">
      <c r="A26" s="3" t="s">
        <v>40</v>
      </c>
      <c r="B26" s="2">
        <f>B25+1</f>
        <v>25</v>
      </c>
      <c r="C26" s="2">
        <v>10</v>
      </c>
      <c r="D26" s="2">
        <v>2021</v>
      </c>
      <c r="E26" s="4">
        <f>Submetering!E26+Submetering!F26</f>
        <v>5335</v>
      </c>
      <c r="F26" s="12">
        <v>0.14000000000000001</v>
      </c>
      <c r="G26" s="4">
        <f>Submetering!M26</f>
        <v>2812</v>
      </c>
      <c r="H26" s="12">
        <v>0.25</v>
      </c>
      <c r="I26" s="4">
        <f>Submetering!N26</f>
        <v>156</v>
      </c>
      <c r="J26" s="13">
        <v>2.06</v>
      </c>
      <c r="K26" s="4">
        <f>'Hampshire Daily'!B29</f>
        <v>233</v>
      </c>
      <c r="L26" s="4">
        <f>'Hampshire Daily'!C29</f>
        <v>99</v>
      </c>
    </row>
    <row r="27" spans="1:12" x14ac:dyDescent="0.25">
      <c r="A27" s="3" t="s">
        <v>40</v>
      </c>
      <c r="B27" s="2">
        <f t="shared" si="0"/>
        <v>26</v>
      </c>
      <c r="C27" s="2">
        <v>10</v>
      </c>
      <c r="D27" s="2">
        <v>2021</v>
      </c>
      <c r="E27" s="4">
        <f>Submetering!E27+Submetering!F27</f>
        <v>5030</v>
      </c>
      <c r="F27" s="12">
        <v>0.14000000000000001</v>
      </c>
      <c r="G27" s="4">
        <f>Submetering!M27</f>
        <v>2857</v>
      </c>
      <c r="H27" s="12">
        <v>0.25</v>
      </c>
      <c r="I27" s="4">
        <f>Submetering!N27</f>
        <v>110</v>
      </c>
      <c r="J27" s="13">
        <v>2.06</v>
      </c>
      <c r="K27" s="4">
        <f>'Hampshire Daily'!B30</f>
        <v>217</v>
      </c>
      <c r="L27" s="4">
        <f>'Hampshire Daily'!C30</f>
        <v>89</v>
      </c>
    </row>
    <row r="28" spans="1:12" x14ac:dyDescent="0.25">
      <c r="A28" s="3" t="s">
        <v>40</v>
      </c>
      <c r="B28" s="2">
        <f t="shared" si="0"/>
        <v>27</v>
      </c>
      <c r="C28" s="2">
        <v>10</v>
      </c>
      <c r="D28" s="2">
        <v>2021</v>
      </c>
      <c r="E28" s="4">
        <f>Submetering!E28+Submetering!F28</f>
        <v>4802</v>
      </c>
      <c r="F28" s="12">
        <v>0.14000000000000001</v>
      </c>
      <c r="G28" s="4">
        <f>Submetering!M28</f>
        <v>2730</v>
      </c>
      <c r="H28" s="12">
        <v>0.25</v>
      </c>
      <c r="I28" s="4">
        <f>Submetering!N28</f>
        <v>186</v>
      </c>
      <c r="J28" s="13">
        <v>2.06</v>
      </c>
      <c r="K28" s="4">
        <f>'Hampshire Daily'!B31</f>
        <v>198</v>
      </c>
      <c r="L28" s="4">
        <f>'Hampshire Daily'!C31</f>
        <v>75</v>
      </c>
    </row>
    <row r="29" spans="1:12" x14ac:dyDescent="0.25">
      <c r="A29" s="3" t="s">
        <v>40</v>
      </c>
      <c r="B29" s="2">
        <f t="shared" si="0"/>
        <v>28</v>
      </c>
      <c r="C29" s="2">
        <v>10</v>
      </c>
      <c r="D29" s="2">
        <v>2021</v>
      </c>
      <c r="E29" s="4">
        <f>Submetering!E29+Submetering!F29</f>
        <v>5554</v>
      </c>
      <c r="F29" s="12">
        <v>0.14000000000000001</v>
      </c>
      <c r="G29" s="4">
        <f>Submetering!M29</f>
        <v>2760</v>
      </c>
      <c r="H29" s="12">
        <v>0.25</v>
      </c>
      <c r="I29" s="4">
        <f>Submetering!N29</f>
        <v>124</v>
      </c>
      <c r="J29" s="13">
        <v>2.06</v>
      </c>
      <c r="K29" s="4">
        <f>'Hampshire Daily'!B32</f>
        <v>206</v>
      </c>
      <c r="L29" s="4">
        <f>'Hampshire Daily'!C32</f>
        <v>78</v>
      </c>
    </row>
    <row r="30" spans="1:12" x14ac:dyDescent="0.25">
      <c r="A30" s="3" t="s">
        <v>40</v>
      </c>
      <c r="B30" s="2">
        <f t="shared" si="0"/>
        <v>29</v>
      </c>
      <c r="C30" s="2">
        <v>10</v>
      </c>
      <c r="D30" s="2">
        <v>2021</v>
      </c>
      <c r="E30" s="4">
        <f>Submetering!E30+Submetering!F30</f>
        <v>5574</v>
      </c>
      <c r="F30" s="12">
        <v>0.14000000000000001</v>
      </c>
      <c r="G30" s="4">
        <f>Submetering!M30</f>
        <v>2850</v>
      </c>
      <c r="H30" s="12">
        <v>0.25</v>
      </c>
      <c r="I30" s="4">
        <f>Submetering!N30</f>
        <v>112</v>
      </c>
      <c r="J30" s="13">
        <v>2.06</v>
      </c>
      <c r="K30" s="4">
        <f>'Hampshire Daily'!B33</f>
        <v>209</v>
      </c>
      <c r="L30" s="4">
        <f>'Hampshire Daily'!C33</f>
        <v>75</v>
      </c>
    </row>
    <row r="31" spans="1:12" x14ac:dyDescent="0.25">
      <c r="A31" s="3" t="s">
        <v>40</v>
      </c>
      <c r="B31" s="2">
        <f t="shared" si="0"/>
        <v>30</v>
      </c>
      <c r="C31" s="2">
        <v>10</v>
      </c>
      <c r="D31" s="2">
        <v>2021</v>
      </c>
      <c r="E31" s="4">
        <f>Submetering!E31+Submetering!F31</f>
        <v>5295</v>
      </c>
      <c r="F31" s="12">
        <v>0.14000000000000001</v>
      </c>
      <c r="G31" s="4">
        <f>Submetering!M31</f>
        <v>2522</v>
      </c>
      <c r="H31" s="12">
        <v>0.25</v>
      </c>
      <c r="I31" s="4">
        <f>Submetering!N31</f>
        <v>110</v>
      </c>
      <c r="J31" s="13">
        <v>2.06</v>
      </c>
      <c r="K31" s="4">
        <f>'Hampshire Daily'!B34</f>
        <v>224</v>
      </c>
      <c r="L31" s="4">
        <f>'Hampshire Daily'!C34</f>
        <v>80</v>
      </c>
    </row>
    <row r="32" spans="1:12" x14ac:dyDescent="0.25">
      <c r="A32" s="3" t="s">
        <v>40</v>
      </c>
      <c r="B32" s="2">
        <v>31</v>
      </c>
      <c r="C32" s="2">
        <v>10</v>
      </c>
      <c r="D32" s="2">
        <v>2021</v>
      </c>
      <c r="E32" s="4">
        <f>Submetering!E32+Submetering!F32</f>
        <v>5706</v>
      </c>
      <c r="F32" s="12">
        <v>0.14000000000000001</v>
      </c>
      <c r="G32" s="4">
        <f>Submetering!M32</f>
        <v>2575</v>
      </c>
      <c r="H32" s="12">
        <v>0.25</v>
      </c>
      <c r="I32" s="4">
        <f>Submetering!N32</f>
        <v>131</v>
      </c>
      <c r="J32" s="13">
        <v>2.06</v>
      </c>
      <c r="K32" s="4">
        <f>'Hampshire Daily'!B35</f>
        <v>217</v>
      </c>
      <c r="L32" s="4">
        <f>'Hampshire Daily'!C35</f>
        <v>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D32"/>
  <sheetViews>
    <sheetView tabSelected="1" zoomScale="85" zoomScaleNormal="85" workbookViewId="0">
      <pane xSplit="2" ySplit="1" topLeftCell="C4" activePane="bottomRight" state="frozen"/>
      <selection pane="topRight" activeCell="C1" sqref="C1"/>
      <selection pane="bottomLeft" activeCell="A2" sqref="A2"/>
      <selection pane="bottomRight" activeCell="Z2" sqref="Z2:Z32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10</v>
      </c>
      <c r="D2" s="1">
        <v>2021</v>
      </c>
      <c r="E2" s="4">
        <f>IF(('Hampshire Daily'!E5-'Hampshire Daily'!D4&lt;0),"0",('Hampshire Daily'!E5-'Hampshire Daily'!D4))</f>
        <v>4557</v>
      </c>
      <c r="F2" s="4">
        <f>IF(('Hampshire Daily'!G5-'Hampshire Daily'!F4&lt;0),"0",('Hampshire Daily'!G5-'Hampshire Daily'!F4))</f>
        <v>4100</v>
      </c>
      <c r="G2" s="4">
        <f>IF(('Hampshire Daily'!H5-'Hampshire Daily'!H4&lt;0),"0",('Hampshire Daily'!H5-'Hampshire Daily'!H4))</f>
        <v>786</v>
      </c>
      <c r="H2" s="4">
        <f>IF(('Hampshire Daily'!I5-'Hampshire Daily'!I4&lt;0),"0",('Hampshire Daily'!I5-'Hampshire Daily'!I4))</f>
        <v>2367.0967741934583</v>
      </c>
      <c r="I2" s="4">
        <f>IF(('Hampshire Daily'!J5-'Hampshire Daily'!J4&lt;0),"0",('Hampshire Daily'!J5-'Hampshire Daily'!J4))</f>
        <v>0.12903225806803675</v>
      </c>
      <c r="J2" s="4" t="str">
        <f>IF(('Hampshire Daily'!L5-'Hampshire Daily'!K4&lt;0),"0",('Hampshire Daily'!L5-'Hampshire Daily'!K4))</f>
        <v>0</v>
      </c>
      <c r="K2" s="4">
        <f>IF(('Hampshire Daily'!M5-'Hampshire Daily'!L4&lt;0),"0",('Hampshire Daily'!M5-'Hampshire Daily'!L4))</f>
        <v>1752971</v>
      </c>
      <c r="L2" s="4" t="str">
        <f>IF(('Hampshire Daily'!N5-'Hampshire Daily'!M4&lt;0),"0",('Hampshire Daily'!N5-'Hampshire Daily'!M4))</f>
        <v>0</v>
      </c>
      <c r="M2" s="4" t="str">
        <f>IF(('Hampshire Daily'!O5-'Hampshire Daily'!N4&lt;0),"0",('Hampshire Daily'!O5-'Hampshire Daily'!N4))</f>
        <v>0</v>
      </c>
      <c r="N2" s="4">
        <v>117</v>
      </c>
      <c r="O2" s="4" t="str">
        <f>IF(('Hampshire Daily'!Q5-'Hampshire Daily'!P4&lt;0),"0",('Hampshire Daily'!Q5-'Hampshire Daily'!P4))</f>
        <v>0</v>
      </c>
      <c r="P2" s="4" t="str">
        <f>IF(('Hampshire Daily'!R5-'Hampshire Daily'!Q4&lt;0),"0",('Hampshire Daily'!R5-'Hampshire Daily'!Q4))</f>
        <v>0</v>
      </c>
      <c r="Q2" s="4">
        <f>IF(('Hampshire Daily'!S5-'Hampshire Daily'!R4&lt;0),"0",('Hampshire Daily'!S5-'Hampshire Daily'!R4))</f>
        <v>343198</v>
      </c>
      <c r="R2" s="4" t="str">
        <f>IF(('Hampshire Daily'!V5-'Hampshire Daily'!U4&lt;0),"0",('Hampshire Daily'!V5-'Hampshire Daily'!U4))</f>
        <v>0</v>
      </c>
      <c r="S2" s="4" t="str">
        <f>IF(('Hampshire Daily'!W5-'Hampshire Daily'!V4&lt;0),"0",('Hampshire Daily'!W5-'Hampshire Daily'!V4))</f>
        <v>0</v>
      </c>
      <c r="T2" s="4">
        <f>IF(('Hampshire Daily'!X5-'Hampshire Daily'!W4&lt;0),"0",('Hampshire Daily'!X5-'Hampshire Daily'!W4))</f>
        <v>464.48099999999994</v>
      </c>
      <c r="U2" s="4">
        <f>IF(('Hampshire Daily'!Y5-'Hampshire Daily'!X4&lt;0),"0",('Hampshire Daily'!Y5-'Hampshire Daily'!X4))</f>
        <v>2934.7890000000002</v>
      </c>
      <c r="V2" s="4">
        <f>IF(('Hampshire Daily'!Z5-'Hampshire Daily'!Y4&lt;0),"0",('Hampshire Daily'!Z5-'Hampshire Daily'!Y4))</f>
        <v>508.41300000000001</v>
      </c>
      <c r="W2" s="4" t="str">
        <f>IF(('Hampshire Daily'!AA5-'Hampshire Daily'!Z4&lt;0),"0",('Hampshire Daily'!AA5-'Hampshire Daily'!Z4))</f>
        <v>0</v>
      </c>
      <c r="X2" s="4">
        <f>IF(('Hampshire Daily'!AA5-'Hampshire Daily'!AA4&lt;0),"0",('Hampshire Daily'!AA5-'Hampshire Daily'!AA4))</f>
        <v>4</v>
      </c>
      <c r="Y2" s="4">
        <f>'Hampshire Daily'!B5</f>
        <v>57</v>
      </c>
      <c r="Z2" s="4">
        <f>'Hampshire Daily'!C5</f>
        <v>29</v>
      </c>
    </row>
    <row r="3" spans="1:30" x14ac:dyDescent="0.25">
      <c r="A3" s="3" t="s">
        <v>40</v>
      </c>
      <c r="B3" s="1">
        <f>B2+1</f>
        <v>2</v>
      </c>
      <c r="C3" s="17">
        <v>10</v>
      </c>
      <c r="D3" s="1">
        <v>2021</v>
      </c>
      <c r="E3" s="4">
        <f>IF(('Hampshire Daily'!E6-'Hampshire Daily'!E5&lt;0),"0",('Hampshire Daily'!E6-'Hampshire Daily'!E5))</f>
        <v>3055</v>
      </c>
      <c r="F3" s="4">
        <f>IF(('Hampshire Daily'!G6-'Hampshire Daily'!G5&lt;0),"0",('Hampshire Daily'!G6-'Hampshire Daily'!G5))</f>
        <v>5325</v>
      </c>
      <c r="G3" s="4">
        <f>IF(('Hampshire Daily'!H6-'Hampshire Daily'!H5&lt;0),"0",('Hampshire Daily'!H6-'Hampshire Daily'!H5))</f>
        <v>831</v>
      </c>
      <c r="H3" s="4">
        <f>IF(('Hampshire Daily'!I6-'Hampshire Daily'!I5&lt;0),"0",('Hampshire Daily'!I6-'Hampshire Daily'!I5))</f>
        <v>2367.0967741934583</v>
      </c>
      <c r="I3" s="4">
        <f>IF(('Hampshire Daily'!J6-'Hampshire Daily'!J5&lt;0),"0",('Hampshire Daily'!J6-'Hampshire Daily'!J5))</f>
        <v>0.12903225806803675</v>
      </c>
      <c r="J3" s="4" t="str">
        <f>IF(('Hampshire Daily'!L6-'Hampshire Daily'!L5&lt;0),"0",('Hampshire Daily'!L6-'Hampshire Daily'!L5))</f>
        <v>0</v>
      </c>
      <c r="K3" s="4" t="str">
        <f>IF(('Hampshire Daily'!M6-'Hampshire Daily'!M5&lt;0),"0",('Hampshire Daily'!M6-'Hampshire Daily'!M5))</f>
        <v>0</v>
      </c>
      <c r="L3" s="4">
        <f>IF(('Hampshire Daily'!N6-'Hampshire Daily'!N5&lt;0),"0",('Hampshire Daily'!N6-'Hampshire Daily'!N5))</f>
        <v>2761</v>
      </c>
      <c r="M3" s="4">
        <f>IF(('Hampshire Daily'!O6-'Hampshire Daily'!O5&lt;0),"0",('Hampshire Daily'!O6-'Hampshire Daily'!O5))</f>
        <v>79.333333333313931</v>
      </c>
      <c r="N3" s="4">
        <f>IF(('Hampshire Daily'!P6-'Hampshire Daily'!P5&lt;0),"0",('Hampshire Daily'!P6-'Hampshire Daily'!P5))</f>
        <v>0</v>
      </c>
      <c r="O3" s="4">
        <f>IF(('Hampshire Daily'!Q6-'Hampshire Daily'!Q5&lt;0),"0",('Hampshire Daily'!Q6-'Hampshire Daily'!Q5))</f>
        <v>0</v>
      </c>
      <c r="P3" s="4">
        <f>IF(('Hampshire Daily'!R6-'Hampshire Daily'!R5&lt;0),"0",('Hampshire Daily'!R6-'Hampshire Daily'!R5))</f>
        <v>52</v>
      </c>
      <c r="Q3" s="4">
        <f>IF(('Hampshire Daily'!S6-'Hampshire Daily'!S5&lt;0),"0",('Hampshire Daily'!S6-'Hampshire Daily'!S5))</f>
        <v>45</v>
      </c>
      <c r="R3" s="4">
        <f>IF(('Hampshire Daily'!V6-'Hampshire Daily'!V5&lt;0),"0",('Hampshire Daily'!V6-'Hampshire Daily'!V5))</f>
        <v>2</v>
      </c>
      <c r="S3" s="4">
        <f>IF(('Hampshire Daily'!W6-'Hampshire Daily'!W5&lt;0),"0",('Hampshire Daily'!W6-'Hampshire Daily'!W5))</f>
        <v>0</v>
      </c>
      <c r="T3" s="4">
        <f>IF(('Hampshire Daily'!X6-'Hampshire Daily'!X5&lt;0),"0",('Hampshire Daily'!X6-'Hampshire Daily'!X5))</f>
        <v>0.24400000000002819</v>
      </c>
      <c r="U3" s="4">
        <f>IF(('Hampshire Daily'!Y6-'Hampshire Daily'!Y5&lt;0),"0",('Hampshire Daily'!Y6-'Hampshire Daily'!Y5))</f>
        <v>9.0000000000145519E-3</v>
      </c>
      <c r="V3" s="4">
        <f>IF(('Hampshire Daily'!Z6-'Hampshire Daily'!Z5&lt;0),"0",('Hampshire Daily'!Z6-'Hampshire Daily'!Z5))</f>
        <v>0</v>
      </c>
      <c r="W3" s="4">
        <f>IF(('Hampshire Daily'!AA6-'Hampshire Daily'!AA5&lt;0),"0",('Hampshire Daily'!AA6-'Hampshire Daily'!AA5))</f>
        <v>4</v>
      </c>
      <c r="X3" s="4">
        <f>IF(('Hampshire Daily'!AA6-'Hampshire Daily'!AA5&lt;0),"0",('Hampshire Daily'!AA6-'Hampshire Daily'!AA5))</f>
        <v>4</v>
      </c>
      <c r="Y3" s="4">
        <f>'Hampshire Daily'!B6</f>
        <v>62</v>
      </c>
      <c r="Z3" s="4">
        <f>'Hampshire Daily'!C6</f>
        <v>37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1" si="0">B3+1</f>
        <v>3</v>
      </c>
      <c r="C4" s="17">
        <v>10</v>
      </c>
      <c r="D4" s="1">
        <v>2021</v>
      </c>
      <c r="E4" s="4">
        <f>IF(('Hampshire Daily'!E7-'Hampshire Daily'!E6&lt;0),"0",('Hampshire Daily'!E7-'Hampshire Daily'!E6))</f>
        <v>3035</v>
      </c>
      <c r="F4" s="4">
        <f>IF(('Hampshire Daily'!G7-'Hampshire Daily'!G6&lt;0),"0",('Hampshire Daily'!G7-'Hampshire Daily'!G6))</f>
        <v>5122</v>
      </c>
      <c r="G4" s="4">
        <f>IF(('Hampshire Daily'!H7-'Hampshire Daily'!H6&lt;0),"0",('Hampshire Daily'!H7-'Hampshire Daily'!H6))</f>
        <v>844</v>
      </c>
      <c r="H4" s="4">
        <f>IF(('Hampshire Daily'!I7-'Hampshire Daily'!I6&lt;0),"0",('Hampshire Daily'!I7-'Hampshire Daily'!I6))</f>
        <v>2367.0967741934583</v>
      </c>
      <c r="I4" s="4">
        <f>IF(('Hampshire Daily'!J7-'Hampshire Daily'!J6&lt;0),"0",('Hampshire Daily'!J7-'Hampshire Daily'!J6))</f>
        <v>0.12903225806803675</v>
      </c>
      <c r="J4" s="4" t="str">
        <f>IF(('Hampshire Daily'!L7-'Hampshire Daily'!L6&lt;0),"0",('Hampshire Daily'!L7-'Hampshire Daily'!L6))</f>
        <v>0</v>
      </c>
      <c r="K4" s="4">
        <f>IF(('Hampshire Daily'!M7-'Hampshire Daily'!M6&lt;0),"0",('Hampshire Daily'!M7-'Hampshire Daily'!M6))</f>
        <v>200003</v>
      </c>
      <c r="L4" s="4">
        <f>IF(('Hampshire Daily'!N7-'Hampshire Daily'!N6&lt;0),"0",('Hampshire Daily'!N7-'Hampshire Daily'!N6))</f>
        <v>2847</v>
      </c>
      <c r="M4" s="4">
        <f>IF(('Hampshire Daily'!O7-'Hampshire Daily'!O6&lt;0),"0",('Hampshire Daily'!O7-'Hampshire Daily'!O6))</f>
        <v>79.333333333372138</v>
      </c>
      <c r="N4" s="4">
        <f>IF(('Hampshire Daily'!P7-'Hampshire Daily'!P6&lt;0),"0",('Hampshire Daily'!P7-'Hampshire Daily'!P6))</f>
        <v>0</v>
      </c>
      <c r="O4" s="4">
        <f>IF(('Hampshire Daily'!Q7-'Hampshire Daily'!Q6&lt;0),"0",('Hampshire Daily'!Q7-'Hampshire Daily'!Q6))</f>
        <v>0</v>
      </c>
      <c r="P4" s="4">
        <f>IF(('Hampshire Daily'!R7-'Hampshire Daily'!R6&lt;0),"0",('Hampshire Daily'!R7-'Hampshire Daily'!R6))</f>
        <v>48</v>
      </c>
      <c r="Q4" s="4">
        <f>IF(('Hampshire Daily'!S7-'Hampshire Daily'!S6&lt;0),"0",('Hampshire Daily'!S7-'Hampshire Daily'!S6))</f>
        <v>48</v>
      </c>
      <c r="R4" s="4">
        <f>IF(('Hampshire Daily'!V7-'Hampshire Daily'!V6&lt;0),"0",('Hampshire Daily'!V7-'Hampshire Daily'!V6))</f>
        <v>1</v>
      </c>
      <c r="S4" s="4">
        <f>IF(('Hampshire Daily'!W7-'Hampshire Daily'!W6&lt;0),"0",('Hampshire Daily'!W7-'Hampshire Daily'!W6))</f>
        <v>0</v>
      </c>
      <c r="T4" s="4">
        <f>IF(('Hampshire Daily'!X7-'Hampshire Daily'!X6&lt;0),"0",('Hampshire Daily'!X7-'Hampshire Daily'!X6))</f>
        <v>0.53800000000001091</v>
      </c>
      <c r="U4" s="4">
        <f>IF(('Hampshire Daily'!Y7-'Hampshire Daily'!Y6&lt;0),"0",('Hampshire Daily'!Y7-'Hampshire Daily'!Y6))</f>
        <v>1.0999999999967258E-2</v>
      </c>
      <c r="V4" s="4">
        <f>IF(('Hampshire Daily'!Z7-'Hampshire Daily'!Z6&lt;0),"0",('Hampshire Daily'!Z7-'Hampshire Daily'!Z6))</f>
        <v>0</v>
      </c>
      <c r="W4" s="4">
        <f>IF(('Hampshire Daily'!AA7-'Hampshire Daily'!AA6&lt;0),"0",('Hampshire Daily'!AA7-'Hampshire Daily'!AA6))</f>
        <v>4</v>
      </c>
      <c r="X4" s="4">
        <f>IF(('Hampshire Daily'!AA7-'Hampshire Daily'!AA6&lt;0),"0",('Hampshire Daily'!AA7-'Hampshire Daily'!AA6))</f>
        <v>4</v>
      </c>
      <c r="Y4" s="4">
        <f>'Hampshire Daily'!B7</f>
        <v>196</v>
      </c>
      <c r="Z4" s="4">
        <f>'Hampshire Daily'!C7</f>
        <v>108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10</v>
      </c>
      <c r="D5" s="1">
        <v>2021</v>
      </c>
      <c r="E5" s="4">
        <f>IF(('Hampshire Daily'!E8-'Hampshire Daily'!E7&lt;0),"0",('Hampshire Daily'!E8-'Hampshire Daily'!E7))</f>
        <v>3024</v>
      </c>
      <c r="F5" s="4">
        <f>IF(('Hampshire Daily'!G8-'Hampshire Daily'!G7&lt;0),"0",('Hampshire Daily'!G8-'Hampshire Daily'!G7))</f>
        <v>5022</v>
      </c>
      <c r="G5" s="4">
        <f>IF(('Hampshire Daily'!H8-'Hampshire Daily'!H7&lt;0),"0",('Hampshire Daily'!H8-'Hampshire Daily'!H7))</f>
        <v>811</v>
      </c>
      <c r="H5" s="4">
        <f>IF(('Hampshire Daily'!I8-'Hampshire Daily'!I7&lt;0),"0",('Hampshire Daily'!I8-'Hampshire Daily'!I7))</f>
        <v>2367.0967741934583</v>
      </c>
      <c r="I5" s="4">
        <f>IF(('Hampshire Daily'!J8-'Hampshire Daily'!J7&lt;0),"0",('Hampshire Daily'!J8-'Hampshire Daily'!J7))</f>
        <v>0.12903225806803675</v>
      </c>
      <c r="J5" s="4" t="str">
        <f>IF(('Hampshire Daily'!L8-'Hampshire Daily'!L7&lt;0),"0",('Hampshire Daily'!L8-'Hampshire Daily'!L7))</f>
        <v>0</v>
      </c>
      <c r="K5" s="4">
        <f>IF(('Hampshire Daily'!M8-'Hampshire Daily'!M7&lt;0),"0",('Hampshire Daily'!M8-'Hampshire Daily'!M7))</f>
        <v>3</v>
      </c>
      <c r="L5" s="4">
        <f>IF(('Hampshire Daily'!N8-'Hampshire Daily'!N7&lt;0),"0",('Hampshire Daily'!N8-'Hampshire Daily'!N7))</f>
        <v>2365</v>
      </c>
      <c r="M5" s="4">
        <f>IF(('Hampshire Daily'!O8-'Hampshire Daily'!O7&lt;0),"0",('Hampshire Daily'!O8-'Hampshire Daily'!O7))</f>
        <v>105</v>
      </c>
      <c r="N5" s="4">
        <f>IF(('Hampshire Daily'!P8-'Hampshire Daily'!P7&lt;0),"0",('Hampshire Daily'!P8-'Hampshire Daily'!P7))</f>
        <v>0</v>
      </c>
      <c r="O5" s="4">
        <f>IF(('Hampshire Daily'!Q8-'Hampshire Daily'!Q7&lt;0),"0",('Hampshire Daily'!Q8-'Hampshire Daily'!Q7))</f>
        <v>0</v>
      </c>
      <c r="P5" s="4">
        <f>IF(('Hampshire Daily'!R8-'Hampshire Daily'!R7&lt;0),"0",('Hampshire Daily'!R8-'Hampshire Daily'!R7))</f>
        <v>56</v>
      </c>
      <c r="Q5" s="4">
        <f>IF(('Hampshire Daily'!S8-'Hampshire Daily'!S7&lt;0),"0",('Hampshire Daily'!S8-'Hampshire Daily'!S7))</f>
        <v>70</v>
      </c>
      <c r="R5" s="4">
        <f>IF(('Hampshire Daily'!V8-'Hampshire Daily'!V7&lt;0),"0",('Hampshire Daily'!V8-'Hampshire Daily'!V7))</f>
        <v>1</v>
      </c>
      <c r="S5" s="4">
        <f>IF(('Hampshire Daily'!W8-'Hampshire Daily'!W7&lt;0),"0",('Hampshire Daily'!W8-'Hampshire Daily'!W7))</f>
        <v>0</v>
      </c>
      <c r="T5" s="4">
        <f>IF(('Hampshire Daily'!X8-'Hampshire Daily'!X7&lt;0),"0",('Hampshire Daily'!X8-'Hampshire Daily'!X7))</f>
        <v>0.23599999999999</v>
      </c>
      <c r="U5" s="4">
        <f>IF(('Hampshire Daily'!Y8-'Hampshire Daily'!Y7&lt;0),"0",('Hampshire Daily'!Y8-'Hampshire Daily'!Y7))</f>
        <v>9.9999999997635314E-3</v>
      </c>
      <c r="V5" s="4">
        <f>IF(('Hampshire Daily'!Z8-'Hampshire Daily'!Z7&lt;0),"0",('Hampshire Daily'!Z8-'Hampshire Daily'!Z7))</f>
        <v>0</v>
      </c>
      <c r="W5" s="4">
        <f>IF(('Hampshire Daily'!AA8-'Hampshire Daily'!AA7&lt;0),"0",('Hampshire Daily'!AA8-'Hampshire Daily'!AA7))</f>
        <v>4</v>
      </c>
      <c r="X5" s="4">
        <f>IF(('Hampshire Daily'!AA8-'Hampshire Daily'!AA7&lt;0),"0",('Hampshire Daily'!AA8-'Hampshire Daily'!AA7))</f>
        <v>4</v>
      </c>
      <c r="Y5" s="4">
        <f>'Hampshire Daily'!B8</f>
        <v>146</v>
      </c>
      <c r="Z5" s="4">
        <f>'Hampshire Daily'!C8</f>
        <v>63</v>
      </c>
    </row>
    <row r="6" spans="1:30" x14ac:dyDescent="0.25">
      <c r="A6" s="3" t="s">
        <v>40</v>
      </c>
      <c r="B6" s="1">
        <f t="shared" si="0"/>
        <v>5</v>
      </c>
      <c r="C6" s="17">
        <v>10</v>
      </c>
      <c r="D6" s="1">
        <v>2021</v>
      </c>
      <c r="E6" s="4">
        <f>IF(('Hampshire Daily'!E9-'Hampshire Daily'!E8&lt;0),"0",('Hampshire Daily'!E9-'Hampshire Daily'!E8))</f>
        <v>2942</v>
      </c>
      <c r="F6" s="4">
        <f>IF(('Hampshire Daily'!G9-'Hampshire Daily'!G8&lt;0),"0",('Hampshire Daily'!G9-'Hampshire Daily'!G8))</f>
        <v>5506</v>
      </c>
      <c r="G6" s="4">
        <f>IF(('Hampshire Daily'!H9-'Hampshire Daily'!H8&lt;0),"0",('Hampshire Daily'!H9-'Hampshire Daily'!H8))</f>
        <v>770</v>
      </c>
      <c r="H6" s="4">
        <f>IF(('Hampshire Daily'!I9-'Hampshire Daily'!I8&lt;0),"0",('Hampshire Daily'!I9-'Hampshire Daily'!I8))</f>
        <v>2367.0967741934583</v>
      </c>
      <c r="I6" s="4">
        <f>IF(('Hampshire Daily'!J9-'Hampshire Daily'!J8&lt;0),"0",('Hampshire Daily'!J9-'Hampshire Daily'!J8))</f>
        <v>0.12903225806803675</v>
      </c>
      <c r="J6" s="4" t="str">
        <f>IF(('Hampshire Daily'!L9-'Hampshire Daily'!L8&lt;0),"0",('Hampshire Daily'!L9-'Hampshire Daily'!L8))</f>
        <v>0</v>
      </c>
      <c r="K6" s="4">
        <f>IF(('Hampshire Daily'!M9-'Hampshire Daily'!M8&lt;0),"0",('Hampshire Daily'!M9-'Hampshire Daily'!M8))</f>
        <v>7</v>
      </c>
      <c r="L6" s="4">
        <f>IF(('Hampshire Daily'!N9-'Hampshire Daily'!N8&lt;0),"0",('Hampshire Daily'!N9-'Hampshire Daily'!N8))</f>
        <v>2799</v>
      </c>
      <c r="M6" s="4">
        <f>IF(('Hampshire Daily'!O9-'Hampshire Daily'!O8&lt;0),"0",('Hampshire Daily'!O9-'Hampshire Daily'!O8))</f>
        <v>97</v>
      </c>
      <c r="N6" s="4">
        <f>IF(('Hampshire Daily'!P9-'Hampshire Daily'!P8&lt;0),"0",('Hampshire Daily'!P9-'Hampshire Daily'!P8))</f>
        <v>0</v>
      </c>
      <c r="O6" s="4">
        <f>IF(('Hampshire Daily'!Q9-'Hampshire Daily'!Q8&lt;0),"0",('Hampshire Daily'!Q9-'Hampshire Daily'!Q8))</f>
        <v>0</v>
      </c>
      <c r="P6" s="4">
        <f>IF(('Hampshire Daily'!R9-'Hampshire Daily'!R8&lt;0),"0",('Hampshire Daily'!R9-'Hampshire Daily'!R8))</f>
        <v>55</v>
      </c>
      <c r="Q6" s="4">
        <f>IF(('Hampshire Daily'!S9-'Hampshire Daily'!S8&lt;0),"0",('Hampshire Daily'!S9-'Hampshire Daily'!S8))</f>
        <v>66</v>
      </c>
      <c r="R6" s="4">
        <f>IF(('Hampshire Daily'!V9-'Hampshire Daily'!V8&lt;0),"0",('Hampshire Daily'!V9-'Hampshire Daily'!V8))</f>
        <v>1</v>
      </c>
      <c r="S6" s="4">
        <f>IF(('Hampshire Daily'!W9-'Hampshire Daily'!W8&lt;0),"0",('Hampshire Daily'!W9-'Hampshire Daily'!W8))</f>
        <v>0</v>
      </c>
      <c r="T6" s="4">
        <f>IF(('Hampshire Daily'!X9-'Hampshire Daily'!X8&lt;0),"0",('Hampshire Daily'!X9-'Hampshire Daily'!X8))</f>
        <v>0.16399999999998727</v>
      </c>
      <c r="U6" s="4">
        <f>IF(('Hampshire Daily'!Y9-'Hampshire Daily'!Y8&lt;0),"0",('Hampshire Daily'!Y9-'Hampshire Daily'!Y8))</f>
        <v>9.0000000000145519E-3</v>
      </c>
      <c r="V6" s="4">
        <f>IF(('Hampshire Daily'!Z9-'Hampshire Daily'!Z8&lt;0),"0",('Hampshire Daily'!Z9-'Hampshire Daily'!Z8))</f>
        <v>0</v>
      </c>
      <c r="W6" s="4">
        <f>IF(('Hampshire Daily'!AA9-'Hampshire Daily'!AA8&lt;0),"0",('Hampshire Daily'!AA9-'Hampshire Daily'!AA8))</f>
        <v>6</v>
      </c>
      <c r="X6" s="4">
        <f>IF(('Hampshire Daily'!AA9-'Hampshire Daily'!AA8&lt;0),"0",('Hampshire Daily'!AA9-'Hampshire Daily'!AA8))</f>
        <v>6</v>
      </c>
      <c r="Y6" s="4">
        <f>'Hampshire Daily'!B9</f>
        <v>74</v>
      </c>
      <c r="Z6" s="4">
        <f>'Hampshire Daily'!C9</f>
        <v>29</v>
      </c>
    </row>
    <row r="7" spans="1:30" x14ac:dyDescent="0.25">
      <c r="A7" s="3" t="s">
        <v>40</v>
      </c>
      <c r="B7" s="1">
        <f t="shared" si="0"/>
        <v>6</v>
      </c>
      <c r="C7" s="17">
        <v>10</v>
      </c>
      <c r="D7" s="1">
        <v>2021</v>
      </c>
      <c r="E7" s="4">
        <f>IF(('Hampshire Daily'!E10-'Hampshire Daily'!E9&lt;0),"0",('Hampshire Daily'!E10-'Hampshire Daily'!E9))</f>
        <v>2898</v>
      </c>
      <c r="F7" s="4">
        <f>IF(('Hampshire Daily'!G10-'Hampshire Daily'!G9&lt;0),"0",('Hampshire Daily'!G10-'Hampshire Daily'!G9))</f>
        <v>5011</v>
      </c>
      <c r="G7" s="4">
        <f>IF(('Hampshire Daily'!H10-'Hampshire Daily'!H9&lt;0),"0",('Hampshire Daily'!H10-'Hampshire Daily'!H9))</f>
        <v>810</v>
      </c>
      <c r="H7" s="4">
        <f>IF(('Hampshire Daily'!I10-'Hampshire Daily'!I9&lt;0),"0",('Hampshire Daily'!I10-'Hampshire Daily'!I9))</f>
        <v>2367.0967741934583</v>
      </c>
      <c r="I7" s="4">
        <f>IF(('Hampshire Daily'!J10-'Hampshire Daily'!J9&lt;0),"0",('Hampshire Daily'!J10-'Hampshire Daily'!J9))</f>
        <v>0.12903225806803675</v>
      </c>
      <c r="J7" s="4">
        <f>IF(('Hampshire Daily'!L10-'Hampshire Daily'!L9&lt;0),"0",('Hampshire Daily'!L10-'Hampshire Daily'!L9))</f>
        <v>694229.28387096792</v>
      </c>
      <c r="K7" s="4">
        <f>IF(('Hampshire Daily'!M10-'Hampshire Daily'!M9&lt;0),"0",('Hampshire Daily'!M10-'Hampshire Daily'!M9))</f>
        <v>9</v>
      </c>
      <c r="L7" s="4">
        <f>IF(('Hampshire Daily'!N10-'Hampshire Daily'!N9&lt;0),"0",('Hampshire Daily'!N10-'Hampshire Daily'!N9))</f>
        <v>2678</v>
      </c>
      <c r="M7" s="4">
        <f>IF(('Hampshire Daily'!O10-'Hampshire Daily'!O9&lt;0),"0",('Hampshire Daily'!O10-'Hampshire Daily'!O9))</f>
        <v>103</v>
      </c>
      <c r="N7" s="4">
        <f>IF(('Hampshire Daily'!P10-'Hampshire Daily'!P9&lt;0),"0",('Hampshire Daily'!P10-'Hampshire Daily'!P9))</f>
        <v>0</v>
      </c>
      <c r="O7" s="4">
        <f>IF(('Hampshire Daily'!Q10-'Hampshire Daily'!Q9&lt;0),"0",('Hampshire Daily'!Q10-'Hampshire Daily'!Q9))</f>
        <v>0</v>
      </c>
      <c r="P7" s="4">
        <f>IF(('Hampshire Daily'!R10-'Hampshire Daily'!R9&lt;0),"0",('Hampshire Daily'!R10-'Hampshire Daily'!R9))</f>
        <v>620333</v>
      </c>
      <c r="Q7" s="4">
        <f>IF(('Hampshire Daily'!S10-'Hampshire Daily'!S9&lt;0),"0",('Hampshire Daily'!S10-'Hampshire Daily'!S9))</f>
        <v>106</v>
      </c>
      <c r="R7" s="4">
        <f>IF(('Hampshire Daily'!V10-'Hampshire Daily'!V9&lt;0),"0",('Hampshire Daily'!V10-'Hampshire Daily'!V9))</f>
        <v>6</v>
      </c>
      <c r="S7" s="4">
        <f>IF(('Hampshire Daily'!W10-'Hampshire Daily'!W9&lt;0),"0",('Hampshire Daily'!W10-'Hampshire Daily'!W9))</f>
        <v>0</v>
      </c>
      <c r="T7" s="4">
        <f>IF(('Hampshire Daily'!X10-'Hampshire Daily'!X9&lt;0),"0",('Hampshire Daily'!X10-'Hampshire Daily'!X9))</f>
        <v>2.5000000000090949E-2</v>
      </c>
      <c r="U7" s="4">
        <f>IF(('Hampshire Daily'!Y10-'Hampshire Daily'!Y9&lt;0),"0",('Hampshire Daily'!Y10-'Hampshire Daily'!Y9))</f>
        <v>1.0999999999967258E-2</v>
      </c>
      <c r="V7" s="4">
        <f>IF(('Hampshire Daily'!Z10-'Hampshire Daily'!Z9&lt;0),"0",('Hampshire Daily'!Z10-'Hampshire Daily'!Z9))</f>
        <v>0</v>
      </c>
      <c r="W7" s="4">
        <f>IF(('Hampshire Daily'!AA10-'Hampshire Daily'!AA9&lt;0),"0",('Hampshire Daily'!AA10-'Hampshire Daily'!AA9))</f>
        <v>6</v>
      </c>
      <c r="X7" s="4">
        <f>IF(('Hampshire Daily'!AA10-'Hampshire Daily'!AA9&lt;0),"0",('Hampshire Daily'!AA10-'Hampshire Daily'!AA9))</f>
        <v>6</v>
      </c>
      <c r="Y7" s="4">
        <f>'Hampshire Daily'!B10</f>
        <v>73</v>
      </c>
      <c r="Z7" s="4">
        <f>'Hampshire Daily'!C10</f>
        <v>35</v>
      </c>
    </row>
    <row r="8" spans="1:30" x14ac:dyDescent="0.25">
      <c r="A8" s="3" t="s">
        <v>40</v>
      </c>
      <c r="B8" s="1">
        <f t="shared" si="0"/>
        <v>7</v>
      </c>
      <c r="C8" s="17">
        <v>10</v>
      </c>
      <c r="D8" s="1">
        <v>2021</v>
      </c>
      <c r="E8" s="4">
        <f>IF(('Hampshire Daily'!E11-'Hampshire Daily'!E10&lt;0),"0",('Hampshire Daily'!E11-'Hampshire Daily'!E10))</f>
        <v>2946</v>
      </c>
      <c r="F8" s="4">
        <f>IF(('Hampshire Daily'!G11-'Hampshire Daily'!G10&lt;0),"0",('Hampshire Daily'!G11-'Hampshire Daily'!G10))</f>
        <v>4869</v>
      </c>
      <c r="G8" s="4">
        <f>IF(('Hampshire Daily'!H11-'Hampshire Daily'!H10&lt;0),"0",('Hampshire Daily'!H11-'Hampshire Daily'!H10))</f>
        <v>794</v>
      </c>
      <c r="H8" s="4">
        <f>IF(('Hampshire Daily'!I11-'Hampshire Daily'!I10&lt;0),"0",('Hampshire Daily'!I11-'Hampshire Daily'!I10))</f>
        <v>2367.0967741934583</v>
      </c>
      <c r="I8" s="4">
        <f>IF(('Hampshire Daily'!J11-'Hampshire Daily'!J10&lt;0),"0",('Hampshire Daily'!J11-'Hampshire Daily'!J10))</f>
        <v>0.12903225806803675</v>
      </c>
      <c r="J8" s="4">
        <f>IF(('Hampshire Daily'!L11-'Hampshire Daily'!L10&lt;0),"0",('Hampshire Daily'!L11-'Hampshire Daily'!L10))</f>
        <v>939</v>
      </c>
      <c r="K8" s="4">
        <f>IF(('Hampshire Daily'!M11-'Hampshire Daily'!M10&lt;0),"0",('Hampshire Daily'!M11-'Hampshire Daily'!M10))</f>
        <v>8</v>
      </c>
      <c r="L8" s="4">
        <f>IF(('Hampshire Daily'!N11-'Hampshire Daily'!N10&lt;0),"0",('Hampshire Daily'!N11-'Hampshire Daily'!N10))</f>
        <v>2691</v>
      </c>
      <c r="M8" s="4">
        <f>IF(('Hampshire Daily'!O11-'Hampshire Daily'!O10&lt;0),"0",('Hampshire Daily'!O11-'Hampshire Daily'!O10))</f>
        <v>88</v>
      </c>
      <c r="N8" s="4">
        <f>IF(('Hampshire Daily'!P11-'Hampshire Daily'!P10&lt;0),"0",('Hampshire Daily'!P11-'Hampshire Daily'!P10))</f>
        <v>0</v>
      </c>
      <c r="O8" s="4">
        <f>IF(('Hampshire Daily'!Q11-'Hampshire Daily'!Q10&lt;0),"0",('Hampshire Daily'!Q11-'Hampshire Daily'!Q10))</f>
        <v>0</v>
      </c>
      <c r="P8" s="4">
        <f>IF(('Hampshire Daily'!R11-'Hampshire Daily'!R10&lt;0),"0",('Hampshire Daily'!R11-'Hampshire Daily'!R10))</f>
        <v>489</v>
      </c>
      <c r="Q8" s="4">
        <f>IF(('Hampshire Daily'!S11-'Hampshire Daily'!S10&lt;0),"0",('Hampshire Daily'!S11-'Hampshire Daily'!S10))</f>
        <v>2</v>
      </c>
      <c r="R8" s="4">
        <f>IF(('Hampshire Daily'!V11-'Hampshire Daily'!V10&lt;0),"0",('Hampshire Daily'!V11-'Hampshire Daily'!V10))</f>
        <v>1</v>
      </c>
      <c r="S8" s="4">
        <f>IF(('Hampshire Daily'!W11-'Hampshire Daily'!W10&lt;0),"0",('Hampshire Daily'!W11-'Hampshire Daily'!W10))</f>
        <v>0</v>
      </c>
      <c r="T8" s="4">
        <f>IF(('Hampshire Daily'!X11-'Hampshire Daily'!X10&lt;0),"0",('Hampshire Daily'!X11-'Hampshire Daily'!X10))</f>
        <v>0.25599999999997181</v>
      </c>
      <c r="U8" s="4">
        <f>IF(('Hampshire Daily'!Y11-'Hampshire Daily'!Y10&lt;0),"0",('Hampshire Daily'!Y11-'Hampshire Daily'!Y10))</f>
        <v>1.0000000000218279E-2</v>
      </c>
      <c r="V8" s="4">
        <f>IF(('Hampshire Daily'!Z11-'Hampshire Daily'!Z10&lt;0),"0",('Hampshire Daily'!Z11-'Hampshire Daily'!Z10))</f>
        <v>0</v>
      </c>
      <c r="W8" s="4">
        <f>IF(('Hampshire Daily'!AA11-'Hampshire Daily'!AA10&lt;0),"0",('Hampshire Daily'!AA11-'Hampshire Daily'!AA10))</f>
        <v>4</v>
      </c>
      <c r="X8" s="4">
        <f>IF(('Hampshire Daily'!AA11-'Hampshire Daily'!AA10&lt;0),"0",('Hampshire Daily'!AA11-'Hampshire Daily'!AA10))</f>
        <v>4</v>
      </c>
      <c r="Y8" s="4">
        <f>'Hampshire Daily'!B11</f>
        <v>65</v>
      </c>
      <c r="Z8" s="4">
        <f>'Hampshire Daily'!C11</f>
        <v>31</v>
      </c>
    </row>
    <row r="9" spans="1:30" x14ac:dyDescent="0.25">
      <c r="A9" s="3" t="s">
        <v>40</v>
      </c>
      <c r="B9" s="1">
        <f t="shared" si="0"/>
        <v>8</v>
      </c>
      <c r="C9" s="17">
        <v>10</v>
      </c>
      <c r="D9" s="1">
        <v>2021</v>
      </c>
      <c r="E9" s="4">
        <f>IF(('Hampshire Daily'!E12-'Hampshire Daily'!E11&lt;0),"0",('Hampshire Daily'!E12-'Hampshire Daily'!E11))</f>
        <v>5603</v>
      </c>
      <c r="F9" s="4">
        <f>IF(('Hampshire Daily'!G12-'Hampshire Daily'!G11&lt;0),"0",('Hampshire Daily'!G12-'Hampshire Daily'!G11))</f>
        <v>5020</v>
      </c>
      <c r="G9" s="4">
        <f>IF(('Hampshire Daily'!H12-'Hampshire Daily'!H11&lt;0),"0",('Hampshire Daily'!H12-'Hampshire Daily'!H11))</f>
        <v>897</v>
      </c>
      <c r="H9" s="4">
        <f>IF(('Hampshire Daily'!I12-'Hampshire Daily'!I11&lt;0),"0",('Hampshire Daily'!I12-'Hampshire Daily'!I11))</f>
        <v>2367.0967741934583</v>
      </c>
      <c r="I9" s="4">
        <f>IF(('Hampshire Daily'!J12-'Hampshire Daily'!J11&lt;0),"0",('Hampshire Daily'!J12-'Hampshire Daily'!J11))</f>
        <v>0.12903225806803675</v>
      </c>
      <c r="J9" s="4">
        <f>IF(('Hampshire Daily'!L12-'Hampshire Daily'!L11&lt;0),"0",('Hampshire Daily'!L12-'Hampshire Daily'!L11))</f>
        <v>0.1290322580607608</v>
      </c>
      <c r="K9" s="4">
        <f>IF(('Hampshire Daily'!M12-'Hampshire Daily'!M11&lt;0),"0",('Hampshire Daily'!M12-'Hampshire Daily'!M11))</f>
        <v>829</v>
      </c>
      <c r="L9" s="4" t="str">
        <f>IF(('Hampshire Daily'!N12-'Hampshire Daily'!N11&lt;0),"0",('Hampshire Daily'!N12-'Hampshire Daily'!N11))</f>
        <v>0</v>
      </c>
      <c r="M9" s="4">
        <f>IF(('Hampshire Daily'!O12-'Hampshire Daily'!O11&lt;0),"0",('Hampshire Daily'!O12-'Hampshire Daily'!O11))</f>
        <v>80</v>
      </c>
      <c r="N9" s="4">
        <f>IF(('Hampshire Daily'!P12-'Hampshire Daily'!P11&lt;0),"0",('Hampshire Daily'!P12-'Hampshire Daily'!P11))</f>
        <v>0</v>
      </c>
      <c r="O9" s="4">
        <f>IF(('Hampshire Daily'!Q12-'Hampshire Daily'!Q11&lt;0),"0",('Hampshire Daily'!Q12-'Hampshire Daily'!Q11))</f>
        <v>0</v>
      </c>
      <c r="P9" s="4">
        <f>IF(('Hampshire Daily'!R12-'Hampshire Daily'!R11&lt;0),"0",('Hampshire Daily'!R12-'Hampshire Daily'!R11))</f>
        <v>461</v>
      </c>
      <c r="Q9" s="4">
        <f>IF(('Hampshire Daily'!S12-'Hampshire Daily'!S11&lt;0),"0",('Hampshire Daily'!S12-'Hampshire Daily'!S11))</f>
        <v>53</v>
      </c>
      <c r="R9" s="4">
        <f>IF(('Hampshire Daily'!V12-'Hampshire Daily'!V11&lt;0),"0",('Hampshire Daily'!V12-'Hampshire Daily'!V11))</f>
        <v>0</v>
      </c>
      <c r="S9" s="4">
        <f>IF(('Hampshire Daily'!W12-'Hampshire Daily'!W11&lt;0),"0",('Hampshire Daily'!W12-'Hampshire Daily'!W11))</f>
        <v>0</v>
      </c>
      <c r="T9" s="4">
        <f>IF(('Hampshire Daily'!X12-'Hampshire Daily'!X11&lt;0),"0",('Hampshire Daily'!X12-'Hampshire Daily'!X11))</f>
        <v>0.19600000000002638</v>
      </c>
      <c r="U9" s="4">
        <f>IF(('Hampshire Daily'!Y12-'Hampshire Daily'!Y11&lt;0),"0",('Hampshire Daily'!Y12-'Hampshire Daily'!Y11))</f>
        <v>1.3999999999668944E-2</v>
      </c>
      <c r="V9" s="4">
        <f>IF(('Hampshire Daily'!Z12-'Hampshire Daily'!Z11&lt;0),"0",('Hampshire Daily'!Z12-'Hampshire Daily'!Z11))</f>
        <v>0</v>
      </c>
      <c r="W9" s="4">
        <f>IF(('Hampshire Daily'!AA12-'Hampshire Daily'!AA11&lt;0),"0",('Hampshire Daily'!AA12-'Hampshire Daily'!AA11))</f>
        <v>4</v>
      </c>
      <c r="X9" s="4">
        <f>IF(('Hampshire Daily'!AA12-'Hampshire Daily'!AA11&lt;0),"0",('Hampshire Daily'!AA12-'Hampshire Daily'!AA11))</f>
        <v>4</v>
      </c>
      <c r="Y9" s="4">
        <f>'Hampshire Daily'!B12</f>
        <v>58</v>
      </c>
      <c r="Z9" s="4">
        <f>'Hampshire Daily'!C12</f>
        <v>24</v>
      </c>
    </row>
    <row r="10" spans="1:30" x14ac:dyDescent="0.25">
      <c r="A10" s="3" t="s">
        <v>40</v>
      </c>
      <c r="B10" s="1">
        <f t="shared" si="0"/>
        <v>9</v>
      </c>
      <c r="C10" s="17">
        <v>10</v>
      </c>
      <c r="D10" s="1">
        <v>2021</v>
      </c>
      <c r="E10" s="4">
        <f>IF(('Hampshire Daily'!E13-'Hampshire Daily'!E12&lt;0),"0",('Hampshire Daily'!E13-'Hampshire Daily'!E12))</f>
        <v>3320</v>
      </c>
      <c r="F10" s="4">
        <f>IF(('Hampshire Daily'!G13-'Hampshire Daily'!G12&lt;0),"0",('Hampshire Daily'!G13-'Hampshire Daily'!G12))</f>
        <v>4972</v>
      </c>
      <c r="G10" s="4">
        <f>IF(('Hampshire Daily'!H13-'Hampshire Daily'!H12&lt;0),"0",('Hampshire Daily'!H13-'Hampshire Daily'!H12))</f>
        <v>796</v>
      </c>
      <c r="H10" s="4">
        <f>IF(('Hampshire Daily'!I13-'Hampshire Daily'!I12&lt;0),"0",('Hampshire Daily'!I13-'Hampshire Daily'!I12))</f>
        <v>2367.0967741934583</v>
      </c>
      <c r="I10" s="4">
        <f>IF(('Hampshire Daily'!J13-'Hampshire Daily'!J12&lt;0),"0",('Hampshire Daily'!J13-'Hampshire Daily'!J12))</f>
        <v>0.12903225806803675</v>
      </c>
      <c r="J10" s="4">
        <f>IF(('Hampshire Daily'!L13-'Hampshire Daily'!L12&lt;0),"0",('Hampshire Daily'!L13-'Hampshire Daily'!L12))</f>
        <v>0.1290322580607608</v>
      </c>
      <c r="K10" s="4">
        <f>IF(('Hampshire Daily'!M13-'Hampshire Daily'!M12&lt;0),"0",('Hampshire Daily'!M13-'Hampshire Daily'!M12))</f>
        <v>97</v>
      </c>
      <c r="L10" s="4">
        <f>IF(('Hampshire Daily'!N13-'Hampshire Daily'!N12&lt;0),"0",('Hampshire Daily'!N13-'Hampshire Daily'!N12))</f>
        <v>6342</v>
      </c>
      <c r="M10" s="4">
        <f>IF(('Hampshire Daily'!O13-'Hampshire Daily'!O12&lt;0),"0",('Hampshire Daily'!O13-'Hampshire Daily'!O12))</f>
        <v>113</v>
      </c>
      <c r="N10" s="4">
        <f>IF(('Hampshire Daily'!P13-'Hampshire Daily'!P12&lt;0),"0",('Hampshire Daily'!P13-'Hampshire Daily'!P12))</f>
        <v>0</v>
      </c>
      <c r="O10" s="4">
        <f>IF(('Hampshire Daily'!Q13-'Hampshire Daily'!Q12&lt;0),"0",('Hampshire Daily'!Q13-'Hampshire Daily'!Q12))</f>
        <v>0</v>
      </c>
      <c r="P10" s="4">
        <f>IF(('Hampshire Daily'!R13-'Hampshire Daily'!R12&lt;0),"0",('Hampshire Daily'!R13-'Hampshire Daily'!R12))</f>
        <v>503</v>
      </c>
      <c r="Q10" s="4">
        <f>IF(('Hampshire Daily'!S13-'Hampshire Daily'!S12&lt;0),"0",('Hampshire Daily'!S13-'Hampshire Daily'!S12))</f>
        <v>49</v>
      </c>
      <c r="R10" s="4">
        <f>IF(('Hampshire Daily'!V13-'Hampshire Daily'!V12&lt;0),"0",('Hampshire Daily'!V13-'Hampshire Daily'!V12))</f>
        <v>2</v>
      </c>
      <c r="S10" s="4">
        <f>IF(('Hampshire Daily'!W13-'Hampshire Daily'!W12&lt;0),"0",('Hampshire Daily'!W13-'Hampshire Daily'!W12))</f>
        <v>0</v>
      </c>
      <c r="T10" s="4">
        <f>IF(('Hampshire Daily'!X13-'Hampshire Daily'!X12&lt;0),"0",('Hampshire Daily'!X13-'Hampshire Daily'!X12))</f>
        <v>0.28899999999998727</v>
      </c>
      <c r="U10" s="4">
        <f>IF(('Hampshire Daily'!Y13-'Hampshire Daily'!Y12&lt;0),"0",('Hampshire Daily'!Y13-'Hampshire Daily'!Y12))</f>
        <v>1.3000000000374712E-2</v>
      </c>
      <c r="V10" s="4">
        <f>IF(('Hampshire Daily'!Z13-'Hampshire Daily'!Z12&lt;0),"0",('Hampshire Daily'!Z13-'Hampshire Daily'!Z12))</f>
        <v>0</v>
      </c>
      <c r="W10" s="4">
        <f>IF(('Hampshire Daily'!AA13-'Hampshire Daily'!AA12&lt;0),"0",('Hampshire Daily'!AA13-'Hampshire Daily'!AA12))</f>
        <v>4</v>
      </c>
      <c r="X10" s="4">
        <f>IF(('Hampshire Daily'!AA13-'Hampshire Daily'!AA12&lt;0),"0",('Hampshire Daily'!AA13-'Hampshire Daily'!AA12))</f>
        <v>4</v>
      </c>
      <c r="Y10" s="4">
        <f>'Hampshire Daily'!B13</f>
        <v>80</v>
      </c>
      <c r="Z10" s="4">
        <f>'Hampshire Daily'!C13</f>
        <v>45</v>
      </c>
    </row>
    <row r="11" spans="1:30" x14ac:dyDescent="0.25">
      <c r="A11" s="3" t="s">
        <v>40</v>
      </c>
      <c r="B11" s="1">
        <f t="shared" si="0"/>
        <v>10</v>
      </c>
      <c r="C11" s="17">
        <v>10</v>
      </c>
      <c r="D11" s="1">
        <v>2021</v>
      </c>
      <c r="E11" s="4">
        <f>IF(('Hampshire Daily'!E14-'Hampshire Daily'!E13&lt;0),"0",('Hampshire Daily'!E14-'Hampshire Daily'!E13))</f>
        <v>4653</v>
      </c>
      <c r="F11" s="4">
        <f>IF(('Hampshire Daily'!G14-'Hampshire Daily'!G13&lt;0),"0",('Hampshire Daily'!G14-'Hampshire Daily'!G13))</f>
        <v>5202</v>
      </c>
      <c r="G11" s="4">
        <f>IF(('Hampshire Daily'!H14-'Hampshire Daily'!H13&lt;0),"0",('Hampshire Daily'!H14-'Hampshire Daily'!H13))</f>
        <v>838</v>
      </c>
      <c r="H11" s="4">
        <f>IF(('Hampshire Daily'!I14-'Hampshire Daily'!I13&lt;0),"0",('Hampshire Daily'!I14-'Hampshire Daily'!I13))</f>
        <v>2367.0967741934583</v>
      </c>
      <c r="I11" s="4">
        <f>IF(('Hampshire Daily'!J14-'Hampshire Daily'!J13&lt;0),"0",('Hampshire Daily'!J14-'Hampshire Daily'!J13))</f>
        <v>0.12903225806803675</v>
      </c>
      <c r="J11" s="4">
        <f>IF(('Hampshire Daily'!L14-'Hampshire Daily'!L13&lt;0),"0",('Hampshire Daily'!L14-'Hampshire Daily'!L13))</f>
        <v>0.1290322580607608</v>
      </c>
      <c r="K11" s="4">
        <f>IF(('Hampshire Daily'!M14-'Hampshire Daily'!M13&lt;0),"0",('Hampshire Daily'!M14-'Hampshire Daily'!M13))</f>
        <v>391</v>
      </c>
      <c r="L11" s="4">
        <f>IF(('Hampshire Daily'!N14-'Hampshire Daily'!N13&lt;0),"0",('Hampshire Daily'!N14-'Hampshire Daily'!N13))</f>
        <v>2432</v>
      </c>
      <c r="M11" s="4">
        <f>IF(('Hampshire Daily'!O14-'Hampshire Daily'!O13&lt;0),"0",('Hampshire Daily'!O14-'Hampshire Daily'!O13))</f>
        <v>85</v>
      </c>
      <c r="N11" s="4">
        <f>IF(('Hampshire Daily'!P14-'Hampshire Daily'!P13&lt;0),"0",('Hampshire Daily'!P14-'Hampshire Daily'!P13))</f>
        <v>0</v>
      </c>
      <c r="O11" s="4">
        <f>IF(('Hampshire Daily'!Q14-'Hampshire Daily'!Q13&lt;0),"0",('Hampshire Daily'!Q14-'Hampshire Daily'!Q13))</f>
        <v>0</v>
      </c>
      <c r="P11" s="4">
        <f>IF(('Hampshire Daily'!R14-'Hampshire Daily'!R13&lt;0),"0",('Hampshire Daily'!R14-'Hampshire Daily'!R13))</f>
        <v>527</v>
      </c>
      <c r="Q11" s="4">
        <f>IF(('Hampshire Daily'!S14-'Hampshire Daily'!S13&lt;0),"0",('Hampshire Daily'!S14-'Hampshire Daily'!S13))</f>
        <v>65</v>
      </c>
      <c r="R11" s="4">
        <f>IF(('Hampshire Daily'!V14-'Hampshire Daily'!V13&lt;0),"0",('Hampshire Daily'!V14-'Hampshire Daily'!V13))</f>
        <v>1</v>
      </c>
      <c r="S11" s="4">
        <f>IF(('Hampshire Daily'!W14-'Hampshire Daily'!W13&lt;0),"0",('Hampshire Daily'!W14-'Hampshire Daily'!W13))</f>
        <v>9.9999999997635314E-4</v>
      </c>
      <c r="T11" s="4">
        <f>IF(('Hampshire Daily'!X14-'Hampshire Daily'!X13&lt;0),"0",('Hampshire Daily'!X14-'Hampshire Daily'!X13))</f>
        <v>5.4999999999949978E-2</v>
      </c>
      <c r="U11" s="4">
        <f>IF(('Hampshire Daily'!Y14-'Hampshire Daily'!Y13&lt;0),"0",('Hampshire Daily'!Y14-'Hampshire Daily'!Y13))</f>
        <v>1.3999999999668944E-2</v>
      </c>
      <c r="V11" s="4">
        <f>IF(('Hampshire Daily'!Z14-'Hampshire Daily'!Z13&lt;0),"0",('Hampshire Daily'!Z14-'Hampshire Daily'!Z13))</f>
        <v>0</v>
      </c>
      <c r="W11" s="4">
        <f>IF(('Hampshire Daily'!AA14-'Hampshire Daily'!AA13&lt;0),"0",('Hampshire Daily'!AA14-'Hampshire Daily'!AA13))</f>
        <v>4</v>
      </c>
      <c r="X11" s="4">
        <f>IF(('Hampshire Daily'!AA14-'Hampshire Daily'!AA13&lt;0),"0",('Hampshire Daily'!AA14-'Hampshire Daily'!AA13))</f>
        <v>4</v>
      </c>
      <c r="Y11" s="4">
        <f>'Hampshire Daily'!B14</f>
        <v>136</v>
      </c>
      <c r="Z11" s="4">
        <f>'Hampshire Daily'!C14</f>
        <v>54</v>
      </c>
    </row>
    <row r="12" spans="1:30" x14ac:dyDescent="0.25">
      <c r="A12" s="3" t="s">
        <v>40</v>
      </c>
      <c r="B12" s="1">
        <f t="shared" si="0"/>
        <v>11</v>
      </c>
      <c r="C12" s="17">
        <v>10</v>
      </c>
      <c r="D12" s="1">
        <v>2021</v>
      </c>
      <c r="E12" s="4">
        <f>IF(('Hampshire Daily'!E15-'Hampshire Daily'!E14&lt;0),"0",('Hampshire Daily'!E15-'Hampshire Daily'!E14))</f>
        <v>3891</v>
      </c>
      <c r="F12" s="4">
        <f>IF(('Hampshire Daily'!G15-'Hampshire Daily'!G14&lt;0),"0",('Hampshire Daily'!G15-'Hampshire Daily'!G14))</f>
        <v>2862</v>
      </c>
      <c r="G12" s="4">
        <f>IF(('Hampshire Daily'!H15-'Hampshire Daily'!H14&lt;0),"0",('Hampshire Daily'!H15-'Hampshire Daily'!H14))</f>
        <v>203</v>
      </c>
      <c r="H12" s="4">
        <f>IF(('Hampshire Daily'!I15-'Hampshire Daily'!I14&lt;0),"0",('Hampshire Daily'!I15-'Hampshire Daily'!I14))</f>
        <v>2367.0967741934583</v>
      </c>
      <c r="I12" s="4">
        <f>IF(('Hampshire Daily'!J15-'Hampshire Daily'!J14&lt;0),"0",('Hampshire Daily'!J15-'Hampshire Daily'!J14))</f>
        <v>0.12903225806803675</v>
      </c>
      <c r="J12" s="4">
        <f>IF(('Hampshire Daily'!L15-'Hampshire Daily'!L14&lt;0),"0",('Hampshire Daily'!L15-'Hampshire Daily'!L14))</f>
        <v>0.1290322580607608</v>
      </c>
      <c r="K12" s="4">
        <f>IF(('Hampshire Daily'!M15-'Hampshire Daily'!M14&lt;0),"0",('Hampshire Daily'!M15-'Hampshire Daily'!M14))</f>
        <v>256</v>
      </c>
      <c r="L12" s="4" t="str">
        <f>IF(('Hampshire Daily'!N15-'Hampshire Daily'!N14&lt;0),"0",('Hampshire Daily'!N15-'Hampshire Daily'!N14))</f>
        <v>0</v>
      </c>
      <c r="M12" s="4">
        <f>IF(('Hampshire Daily'!O15-'Hampshire Daily'!O14&lt;0),"0",('Hampshire Daily'!O15-'Hampshire Daily'!O14))</f>
        <v>125</v>
      </c>
      <c r="N12" s="4">
        <f>IF(('Hampshire Daily'!P15-'Hampshire Daily'!P14&lt;0),"0",('Hampshire Daily'!P15-'Hampshire Daily'!P14))</f>
        <v>0</v>
      </c>
      <c r="O12" s="4">
        <f>IF(('Hampshire Daily'!Q15-'Hampshire Daily'!Q14&lt;0),"0",('Hampshire Daily'!Q15-'Hampshire Daily'!Q14))</f>
        <v>0</v>
      </c>
      <c r="P12" s="4">
        <f>IF(('Hampshire Daily'!R15-'Hampshire Daily'!R14&lt;0),"0",('Hampshire Daily'!R15-'Hampshire Daily'!R14))</f>
        <v>495</v>
      </c>
      <c r="Q12" s="4">
        <f>IF(('Hampshire Daily'!S15-'Hampshire Daily'!S14&lt;0),"0",('Hampshire Daily'!S15-'Hampshire Daily'!S14))</f>
        <v>66</v>
      </c>
      <c r="R12" s="4">
        <f>IF(('Hampshire Daily'!V15-'Hampshire Daily'!V14&lt;0),"0",('Hampshire Daily'!V15-'Hampshire Daily'!V14))</f>
        <v>1</v>
      </c>
      <c r="S12" s="4">
        <f>IF(('Hampshire Daily'!W15-'Hampshire Daily'!W14&lt;0),"0",('Hampshire Daily'!W15-'Hampshire Daily'!W14))</f>
        <v>0</v>
      </c>
      <c r="T12" s="4">
        <f>IF(('Hampshire Daily'!X15-'Hampshire Daily'!X14&lt;0),"0",('Hampshire Daily'!X15-'Hampshire Daily'!X14))</f>
        <v>0.36500000000000909</v>
      </c>
      <c r="U12" s="4">
        <f>IF(('Hampshire Daily'!Y15-'Hampshire Daily'!Y14&lt;0),"0",('Hampshire Daily'!Y15-'Hampshire Daily'!Y14))</f>
        <v>1.0999999999967258E-2</v>
      </c>
      <c r="V12" s="4">
        <f>IF(('Hampshire Daily'!Z15-'Hampshire Daily'!Z14&lt;0),"0",('Hampshire Daily'!Z15-'Hampshire Daily'!Z14))</f>
        <v>0</v>
      </c>
      <c r="W12" s="4">
        <f>IF(('Hampshire Daily'!AA15-'Hampshire Daily'!AA14&lt;0),"0",('Hampshire Daily'!AA15-'Hampshire Daily'!AA14))</f>
        <v>7</v>
      </c>
      <c r="X12" s="4">
        <f>IF(('Hampshire Daily'!AA15-'Hampshire Daily'!AA14&lt;0),"0",('Hampshire Daily'!AA15-'Hampshire Daily'!AA14))</f>
        <v>7</v>
      </c>
      <c r="Y12" s="4">
        <f>'Hampshire Daily'!B15</f>
        <v>149</v>
      </c>
      <c r="Z12" s="4">
        <f>'Hampshire Daily'!C15</f>
        <v>58</v>
      </c>
    </row>
    <row r="13" spans="1:30" x14ac:dyDescent="0.25">
      <c r="A13" s="3" t="s">
        <v>40</v>
      </c>
      <c r="B13" s="1">
        <f t="shared" si="0"/>
        <v>12</v>
      </c>
      <c r="C13" s="17">
        <v>10</v>
      </c>
      <c r="D13" s="1">
        <v>2021</v>
      </c>
      <c r="E13" s="4">
        <f>IF(('Hampshire Daily'!E16-'Hampshire Daily'!E15&lt;0),"0",('Hampshire Daily'!E16-'Hampshire Daily'!E15))</f>
        <v>2733</v>
      </c>
      <c r="F13" s="4">
        <f>IF(('Hampshire Daily'!G16-'Hampshire Daily'!G15&lt;0),"0",('Hampshire Daily'!G16-'Hampshire Daily'!G15))</f>
        <v>1909</v>
      </c>
      <c r="G13" s="4">
        <f>IF(('Hampshire Daily'!H16-'Hampshire Daily'!H15&lt;0),"0",('Hampshire Daily'!H16-'Hampshire Daily'!H15))</f>
        <v>0</v>
      </c>
      <c r="H13" s="4">
        <f>IF(('Hampshire Daily'!I16-'Hampshire Daily'!I15&lt;0),"0",('Hampshire Daily'!I16-'Hampshire Daily'!I15))</f>
        <v>2367.0967741934583</v>
      </c>
      <c r="I13" s="4">
        <f>IF(('Hampshire Daily'!J16-'Hampshire Daily'!J15&lt;0),"0",('Hampshire Daily'!J16-'Hampshire Daily'!J15))</f>
        <v>0.12903225806803675</v>
      </c>
      <c r="J13" s="4">
        <f>IF(('Hampshire Daily'!L16-'Hampshire Daily'!L15&lt;0),"0",('Hampshire Daily'!L16-'Hampshire Daily'!L15))</f>
        <v>5488.483870967757</v>
      </c>
      <c r="K13" s="4">
        <f>IF(('Hampshire Daily'!M16-'Hampshire Daily'!M15&lt;0),"0",('Hampshire Daily'!M16-'Hampshire Daily'!M15))</f>
        <v>4</v>
      </c>
      <c r="L13" s="4">
        <f>IF(('Hampshire Daily'!N16-'Hampshire Daily'!N15&lt;0),"0",('Hampshire Daily'!N16-'Hampshire Daily'!N15))</f>
        <v>360816</v>
      </c>
      <c r="M13" s="4">
        <f>IF(('Hampshire Daily'!O16-'Hampshire Daily'!O15&lt;0),"0",('Hampshire Daily'!O16-'Hampshire Daily'!O15))</f>
        <v>98</v>
      </c>
      <c r="N13" s="4">
        <f>IF(('Hampshire Daily'!P16-'Hampshire Daily'!P15&lt;0),"0",('Hampshire Daily'!P16-'Hampshire Daily'!P15))</f>
        <v>0</v>
      </c>
      <c r="O13" s="4">
        <f>IF(('Hampshire Daily'!Q16-'Hampshire Daily'!Q15&lt;0),"0",('Hampshire Daily'!Q16-'Hampshire Daily'!Q15))</f>
        <v>0</v>
      </c>
      <c r="P13" s="4">
        <f>IF(('Hampshire Daily'!R16-'Hampshire Daily'!R15&lt;0),"0",('Hampshire Daily'!R16-'Hampshire Daily'!R15))</f>
        <v>555</v>
      </c>
      <c r="Q13" s="4">
        <f>IF(('Hampshire Daily'!S16-'Hampshire Daily'!S15&lt;0),"0",('Hampshire Daily'!S16-'Hampshire Daily'!S15))</f>
        <v>68</v>
      </c>
      <c r="R13" s="4">
        <f>IF(('Hampshire Daily'!V16-'Hampshire Daily'!V15&lt;0),"0",('Hampshire Daily'!V16-'Hampshire Daily'!V15))</f>
        <v>1</v>
      </c>
      <c r="S13" s="4">
        <f>IF(('Hampshire Daily'!W16-'Hampshire Daily'!W15&lt;0),"0",('Hampshire Daily'!W16-'Hampshire Daily'!W15))</f>
        <v>0</v>
      </c>
      <c r="T13" s="4">
        <f>IF(('Hampshire Daily'!X16-'Hampshire Daily'!X15&lt;0),"0",('Hampshire Daily'!X16-'Hampshire Daily'!X15))</f>
        <v>9.1000000000008185E-2</v>
      </c>
      <c r="U13" s="4">
        <f>IF(('Hampshire Daily'!Y16-'Hampshire Daily'!Y15&lt;0),"0",('Hampshire Daily'!Y16-'Hampshire Daily'!Y15))</f>
        <v>1.0000000000218279E-2</v>
      </c>
      <c r="V13" s="4">
        <f>IF(('Hampshire Daily'!Z16-'Hampshire Daily'!Z15&lt;0),"0",('Hampshire Daily'!Z16-'Hampshire Daily'!Z15))</f>
        <v>0</v>
      </c>
      <c r="W13" s="4">
        <f>IF(('Hampshire Daily'!AA16-'Hampshire Daily'!AA15&lt;0),"0",('Hampshire Daily'!AA16-'Hampshire Daily'!AA15))</f>
        <v>6.5</v>
      </c>
      <c r="X13" s="4">
        <f>IF(('Hampshire Daily'!AA16-'Hampshire Daily'!AA15&lt;0),"0",('Hampshire Daily'!AA16-'Hampshire Daily'!AA15))</f>
        <v>6.5</v>
      </c>
      <c r="Y13" s="4">
        <f>'Hampshire Daily'!B16</f>
        <v>128</v>
      </c>
      <c r="Z13" s="4">
        <f>'Hampshire Daily'!C16</f>
        <v>50</v>
      </c>
    </row>
    <row r="14" spans="1:30" x14ac:dyDescent="0.25">
      <c r="A14" s="3" t="s">
        <v>40</v>
      </c>
      <c r="B14" s="1">
        <f t="shared" si="0"/>
        <v>13</v>
      </c>
      <c r="C14" s="17">
        <v>10</v>
      </c>
      <c r="D14" s="1">
        <v>2021</v>
      </c>
      <c r="E14" s="4">
        <f>IF(('Hampshire Daily'!E17-'Hampshire Daily'!E16&lt;0),"0",('Hampshire Daily'!E17-'Hampshire Daily'!E16))</f>
        <v>2781</v>
      </c>
      <c r="F14" s="4">
        <f>IF(('Hampshire Daily'!G17-'Hampshire Daily'!G16&lt;0),"0",('Hampshire Daily'!G17-'Hampshire Daily'!G16))</f>
        <v>2258</v>
      </c>
      <c r="G14" s="4">
        <f>IF(('Hampshire Daily'!H17-'Hampshire Daily'!H16&lt;0),"0",('Hampshire Daily'!H17-'Hampshire Daily'!H16))</f>
        <v>90</v>
      </c>
      <c r="H14" s="4">
        <f>IF(('Hampshire Daily'!I17-'Hampshire Daily'!I16&lt;0),"0",('Hampshire Daily'!I17-'Hampshire Daily'!I16))</f>
        <v>2367.0967741934583</v>
      </c>
      <c r="I14" s="4">
        <f>IF(('Hampshire Daily'!J17-'Hampshire Daily'!J16&lt;0),"0",('Hampshire Daily'!J17-'Hampshire Daily'!J16))</f>
        <v>0.12903225806803675</v>
      </c>
      <c r="J14" s="4">
        <f>IF(('Hampshire Daily'!L17-'Hampshire Daily'!L16&lt;0),"0",('Hampshire Daily'!L17-'Hampshire Daily'!L16))</f>
        <v>966</v>
      </c>
      <c r="K14" s="4">
        <f>IF(('Hampshire Daily'!M17-'Hampshire Daily'!M16&lt;0),"0",('Hampshire Daily'!M17-'Hampshire Daily'!M16))</f>
        <v>1</v>
      </c>
      <c r="L14" s="4">
        <f>IF(('Hampshire Daily'!N17-'Hampshire Daily'!N16&lt;0),"0",('Hampshire Daily'!N17-'Hampshire Daily'!N16))</f>
        <v>2512</v>
      </c>
      <c r="M14" s="4">
        <f>IF(('Hampshire Daily'!O17-'Hampshire Daily'!O16&lt;0),"0",('Hampshire Daily'!O17-'Hampshire Daily'!O16))</f>
        <v>99</v>
      </c>
      <c r="N14" s="4">
        <f>IF(('Hampshire Daily'!P17-'Hampshire Daily'!P16&lt;0),"0",('Hampshire Daily'!P17-'Hampshire Daily'!P16))</f>
        <v>0</v>
      </c>
      <c r="O14" s="4">
        <f>IF(('Hampshire Daily'!Q17-'Hampshire Daily'!Q16&lt;0),"0",('Hampshire Daily'!Q17-'Hampshire Daily'!Q16))</f>
        <v>0</v>
      </c>
      <c r="P14" s="4">
        <f>IF(('Hampshire Daily'!R17-'Hampshire Daily'!R16&lt;0),"0",('Hampshire Daily'!R17-'Hampshire Daily'!R16))</f>
        <v>674</v>
      </c>
      <c r="Q14" s="4">
        <f>IF(('Hampshire Daily'!S17-'Hampshire Daily'!S16&lt;0),"0",('Hampshire Daily'!S17-'Hampshire Daily'!S16))</f>
        <v>73</v>
      </c>
      <c r="R14" s="4">
        <f>IF(('Hampshire Daily'!V17-'Hampshire Daily'!V16&lt;0),"0",('Hampshire Daily'!V17-'Hampshire Daily'!V16))</f>
        <v>7</v>
      </c>
      <c r="S14" s="4">
        <f>IF(('Hampshire Daily'!W17-'Hampshire Daily'!W16&lt;0),"0",('Hampshire Daily'!W17-'Hampshire Daily'!W16))</f>
        <v>0</v>
      </c>
      <c r="T14" s="4">
        <f>IF(('Hampshire Daily'!X17-'Hampshire Daily'!X16&lt;0),"0",('Hampshire Daily'!X17-'Hampshire Daily'!X16))</f>
        <v>0.11000000000001364</v>
      </c>
      <c r="U14" s="4">
        <f>IF(('Hampshire Daily'!Y17-'Hampshire Daily'!Y16&lt;0),"0",('Hampshire Daily'!Y17-'Hampshire Daily'!Y16))</f>
        <v>1.0999999999967258E-2</v>
      </c>
      <c r="V14" s="4">
        <f>IF(('Hampshire Daily'!Z17-'Hampshire Daily'!Z16&lt;0),"0",('Hampshire Daily'!Z17-'Hampshire Daily'!Z16))</f>
        <v>0</v>
      </c>
      <c r="W14" s="4">
        <f>IF(('Hampshire Daily'!AA17-'Hampshire Daily'!AA16&lt;0),"0",('Hampshire Daily'!AA17-'Hampshire Daily'!AA16))</f>
        <v>6.5</v>
      </c>
      <c r="X14" s="4">
        <f>IF(('Hampshire Daily'!AA17-'Hampshire Daily'!AA16&lt;0),"0",('Hampshire Daily'!AA17-'Hampshire Daily'!AA16))</f>
        <v>6.5</v>
      </c>
      <c r="Y14" s="4">
        <f>'Hampshire Daily'!B17</f>
        <v>110</v>
      </c>
      <c r="Z14" s="4">
        <f>'Hampshire Daily'!C17</f>
        <v>39</v>
      </c>
    </row>
    <row r="15" spans="1:30" x14ac:dyDescent="0.25">
      <c r="A15" s="3" t="s">
        <v>40</v>
      </c>
      <c r="B15" s="1">
        <f t="shared" si="0"/>
        <v>14</v>
      </c>
      <c r="C15" s="17">
        <v>10</v>
      </c>
      <c r="D15" s="1">
        <v>2021</v>
      </c>
      <c r="E15" s="4">
        <f>IF(('Hampshire Daily'!E18-'Hampshire Daily'!E17&lt;0),"0",('Hampshire Daily'!E18-'Hampshire Daily'!E17))</f>
        <v>2832</v>
      </c>
      <c r="F15" s="4">
        <f>IF(('Hampshire Daily'!G18-'Hampshire Daily'!G17&lt;0),"0",('Hampshire Daily'!G18-'Hampshire Daily'!G17))</f>
        <v>5418</v>
      </c>
      <c r="G15" s="4">
        <f>IF(('Hampshire Daily'!H18-'Hampshire Daily'!H17&lt;0),"0",('Hampshire Daily'!H18-'Hampshire Daily'!H17))</f>
        <v>828</v>
      </c>
      <c r="H15" s="4">
        <f>IF(('Hampshire Daily'!I18-'Hampshire Daily'!I17&lt;0),"0",('Hampshire Daily'!I18-'Hampshire Daily'!I17))</f>
        <v>2367.0967741934583</v>
      </c>
      <c r="I15" s="4">
        <f>IF(('Hampshire Daily'!J18-'Hampshire Daily'!J17&lt;0),"0",('Hampshire Daily'!J18-'Hampshire Daily'!J17))</f>
        <v>0.12903225806803675</v>
      </c>
      <c r="J15" s="4">
        <f>IF(('Hampshire Daily'!L18-'Hampshire Daily'!L17&lt;0),"0",('Hampshire Daily'!L18-'Hampshire Daily'!L17))</f>
        <v>1219</v>
      </c>
      <c r="K15" s="4" t="str">
        <f>IF(('Hampshire Daily'!M18-'Hampshire Daily'!M17&lt;0),"0",('Hampshire Daily'!M18-'Hampshire Daily'!M17))</f>
        <v>0</v>
      </c>
      <c r="L15" s="4">
        <f>IF(('Hampshire Daily'!N18-'Hampshire Daily'!N17&lt;0),"0",('Hampshire Daily'!N18-'Hampshire Daily'!N17))</f>
        <v>2210</v>
      </c>
      <c r="M15" s="4">
        <f>IF(('Hampshire Daily'!O18-'Hampshire Daily'!O17&lt;0),"0",('Hampshire Daily'!O18-'Hampshire Daily'!O17))</f>
        <v>98</v>
      </c>
      <c r="N15" s="4">
        <f>IF(('Hampshire Daily'!P18-'Hampshire Daily'!P17&lt;0),"0",('Hampshire Daily'!P18-'Hampshire Daily'!P17))</f>
        <v>0</v>
      </c>
      <c r="O15" s="4">
        <f>IF(('Hampshire Daily'!Q18-'Hampshire Daily'!Q17&lt;0),"0",('Hampshire Daily'!Q18-'Hampshire Daily'!Q17))</f>
        <v>0</v>
      </c>
      <c r="P15" s="4">
        <f>IF(('Hampshire Daily'!R18-'Hampshire Daily'!R17&lt;0),"0",('Hampshire Daily'!R18-'Hampshire Daily'!R17))</f>
        <v>672</v>
      </c>
      <c r="Q15" s="4">
        <f>IF(('Hampshire Daily'!S18-'Hampshire Daily'!S17&lt;0),"0",('Hampshire Daily'!S18-'Hampshire Daily'!S17))</f>
        <v>72</v>
      </c>
      <c r="R15" s="4">
        <f>IF(('Hampshire Daily'!V18-'Hampshire Daily'!V17&lt;0),"0",('Hampshire Daily'!V18-'Hampshire Daily'!V17))</f>
        <v>1</v>
      </c>
      <c r="S15" s="4">
        <f>IF(('Hampshire Daily'!W18-'Hampshire Daily'!W17&lt;0),"0",('Hampshire Daily'!W18-'Hampshire Daily'!W17))</f>
        <v>0</v>
      </c>
      <c r="T15" s="4">
        <f>IF(('Hampshire Daily'!X18-'Hampshire Daily'!X17&lt;0),"0",('Hampshire Daily'!X18-'Hampshire Daily'!X17))</f>
        <v>0.2540000000000191</v>
      </c>
      <c r="U15" s="4">
        <f>IF(('Hampshire Daily'!Y18-'Hampshire Daily'!Y17&lt;0),"0",('Hampshire Daily'!Y18-'Hampshire Daily'!Y17))</f>
        <v>1.0000000000218279E-2</v>
      </c>
      <c r="V15" s="4">
        <f>IF(('Hampshire Daily'!Z18-'Hampshire Daily'!Z17&lt;0),"0",('Hampshire Daily'!Z18-'Hampshire Daily'!Z17))</f>
        <v>0</v>
      </c>
      <c r="W15" s="4">
        <f>IF(('Hampshire Daily'!AA18-'Hampshire Daily'!AA17&lt;0),"0",('Hampshire Daily'!AA18-'Hampshire Daily'!AA17))</f>
        <v>6</v>
      </c>
      <c r="X15" s="4">
        <f>IF(('Hampshire Daily'!AA18-'Hampshire Daily'!AA17&lt;0),"0",('Hampshire Daily'!AA18-'Hampshire Daily'!AA17))</f>
        <v>6</v>
      </c>
      <c r="Y15" s="4">
        <f>'Hampshire Daily'!B18</f>
        <v>131</v>
      </c>
      <c r="Z15" s="4">
        <f>'Hampshire Daily'!C18</f>
        <v>50</v>
      </c>
    </row>
    <row r="16" spans="1:30" x14ac:dyDescent="0.25">
      <c r="A16" s="3" t="s">
        <v>40</v>
      </c>
      <c r="B16" s="1">
        <f t="shared" si="0"/>
        <v>15</v>
      </c>
      <c r="C16" s="17">
        <v>10</v>
      </c>
      <c r="D16" s="1">
        <v>2021</v>
      </c>
      <c r="E16" s="4">
        <f>IF(('Hampshire Daily'!E19-'Hampshire Daily'!E18&lt;0),"0",('Hampshire Daily'!E19-'Hampshire Daily'!E18))</f>
        <v>2886</v>
      </c>
      <c r="F16" s="4">
        <f>IF(('Hampshire Daily'!G19-'Hampshire Daily'!G18&lt;0),"0",('Hampshire Daily'!G19-'Hampshire Daily'!G18))</f>
        <v>5339</v>
      </c>
      <c r="G16" s="4">
        <f>IF(('Hampshire Daily'!H19-'Hampshire Daily'!H18&lt;0),"0",('Hampshire Daily'!H19-'Hampshire Daily'!H18))</f>
        <v>844</v>
      </c>
      <c r="H16" s="4">
        <f>IF(('Hampshire Daily'!I19-'Hampshire Daily'!I18&lt;0),"0",('Hampshire Daily'!I19-'Hampshire Daily'!I18))</f>
        <v>2367.0967741934583</v>
      </c>
      <c r="I16" s="4">
        <f>IF(('Hampshire Daily'!J19-'Hampshire Daily'!J18&lt;0),"0",('Hampshire Daily'!J19-'Hampshire Daily'!J18))</f>
        <v>0.12903225806803675</v>
      </c>
      <c r="J16" s="4">
        <f>IF(('Hampshire Daily'!L19-'Hampshire Daily'!L18&lt;0),"0",('Hampshire Daily'!L19-'Hampshire Daily'!L18))</f>
        <v>0.1290322580607608</v>
      </c>
      <c r="K16" s="4">
        <f>IF(('Hampshire Daily'!M19-'Hampshire Daily'!M18&lt;0),"0",('Hampshire Daily'!M19-'Hampshire Daily'!M18))</f>
        <v>303</v>
      </c>
      <c r="L16" s="4">
        <f>IF(('Hampshire Daily'!N19-'Hampshire Daily'!N18&lt;0),"0",('Hampshire Daily'!N19-'Hampshire Daily'!N18))</f>
        <v>2072</v>
      </c>
      <c r="M16" s="4">
        <f>IF(('Hampshire Daily'!O19-'Hampshire Daily'!O18&lt;0),"0",('Hampshire Daily'!O19-'Hampshire Daily'!O18))</f>
        <v>92</v>
      </c>
      <c r="N16" s="4">
        <f>IF(('Hampshire Daily'!P19-'Hampshire Daily'!P18&lt;0),"0",('Hampshire Daily'!P19-'Hampshire Daily'!P18))</f>
        <v>0</v>
      </c>
      <c r="O16" s="4">
        <f>IF(('Hampshire Daily'!Q19-'Hampshire Daily'!Q18&lt;0),"0",('Hampshire Daily'!Q19-'Hampshire Daily'!Q18))</f>
        <v>0</v>
      </c>
      <c r="P16" s="4">
        <f>IF(('Hampshire Daily'!R19-'Hampshire Daily'!R18&lt;0),"0",('Hampshire Daily'!R19-'Hampshire Daily'!R18))</f>
        <v>696</v>
      </c>
      <c r="Q16" s="4">
        <f>IF(('Hampshire Daily'!S19-'Hampshire Daily'!S18&lt;0),"0",('Hampshire Daily'!S19-'Hampshire Daily'!S18))</f>
        <v>73</v>
      </c>
      <c r="R16" s="4">
        <f>IF(('Hampshire Daily'!V19-'Hampshire Daily'!V18&lt;0),"0",('Hampshire Daily'!V19-'Hampshire Daily'!V18))</f>
        <v>1</v>
      </c>
      <c r="S16" s="4">
        <f>IF(('Hampshire Daily'!W19-'Hampshire Daily'!W18&lt;0),"0",('Hampshire Daily'!W19-'Hampshire Daily'!W18))</f>
        <v>0</v>
      </c>
      <c r="T16" s="4" t="e">
        <f>IF(('Hampshire Daily'!X19-'Hampshire Daily'!X18&lt;0),"0",('Hampshire Daily'!X19-'Hampshire Daily'!X18))</f>
        <v>#VALUE!</v>
      </c>
      <c r="U16" s="4">
        <f>IF(('Hampshire Daily'!Y19-'Hampshire Daily'!Y18&lt;0),"0",('Hampshire Daily'!Y19-'Hampshire Daily'!Y18))</f>
        <v>1.8000000000029104E-2</v>
      </c>
      <c r="V16" s="4">
        <f>IF(('Hampshire Daily'!Z19-'Hampshire Daily'!Z18&lt;0),"0",('Hampshire Daily'!Z19-'Hampshire Daily'!Z18))</f>
        <v>0</v>
      </c>
      <c r="W16" s="4">
        <f>IF(('Hampshire Daily'!AA19-'Hampshire Daily'!AA18&lt;0),"0",('Hampshire Daily'!AA19-'Hampshire Daily'!AA18))</f>
        <v>5</v>
      </c>
      <c r="X16" s="4">
        <f>IF(('Hampshire Daily'!AA19-'Hampshire Daily'!AA18&lt;0),"0",('Hampshire Daily'!AA19-'Hampshire Daily'!AA18))</f>
        <v>5</v>
      </c>
      <c r="Y16" s="4">
        <f>'Hampshire Daily'!B19</f>
        <v>145</v>
      </c>
      <c r="Z16" s="4">
        <f>'Hampshire Daily'!C19</f>
        <v>52</v>
      </c>
    </row>
    <row r="17" spans="1:26" x14ac:dyDescent="0.25">
      <c r="A17" s="3" t="s">
        <v>40</v>
      </c>
      <c r="B17" s="1">
        <f t="shared" si="0"/>
        <v>16</v>
      </c>
      <c r="C17" s="17">
        <v>10</v>
      </c>
      <c r="D17" s="1">
        <v>2021</v>
      </c>
      <c r="E17" s="4">
        <f>IF(('Hampshire Daily'!E20-'Hampshire Daily'!E19&lt;0),"0",('Hampshire Daily'!E20-'Hampshire Daily'!E19))</f>
        <v>3017</v>
      </c>
      <c r="F17" s="4">
        <f>IF(('Hampshire Daily'!G20-'Hampshire Daily'!G19&lt;0),"0",('Hampshire Daily'!G20-'Hampshire Daily'!G19))</f>
        <v>5209</v>
      </c>
      <c r="G17" s="4">
        <f>IF(('Hampshire Daily'!H20-'Hampshire Daily'!H19&lt;0),"0",('Hampshire Daily'!H20-'Hampshire Daily'!H19))</f>
        <v>798</v>
      </c>
      <c r="H17" s="4">
        <f>IF(('Hampshire Daily'!I20-'Hampshire Daily'!I19&lt;0),"0",('Hampshire Daily'!I20-'Hampshire Daily'!I19))</f>
        <v>2367.0967741934583</v>
      </c>
      <c r="I17" s="4">
        <f>IF(('Hampshire Daily'!J20-'Hampshire Daily'!J19&lt;0),"0",('Hampshire Daily'!J20-'Hampshire Daily'!J19))</f>
        <v>0.12903225806803675</v>
      </c>
      <c r="J17" s="4">
        <f>IF(('Hampshire Daily'!L20-'Hampshire Daily'!L19&lt;0),"0",('Hampshire Daily'!L20-'Hampshire Daily'!L19))</f>
        <v>0.1290322580607608</v>
      </c>
      <c r="K17" s="4">
        <f>IF(('Hampshire Daily'!M20-'Hampshire Daily'!M19&lt;0),"0",('Hampshire Daily'!M20-'Hampshire Daily'!M19))</f>
        <v>1</v>
      </c>
      <c r="L17" s="4">
        <f>IF(('Hampshire Daily'!N20-'Hampshire Daily'!N19&lt;0),"0",('Hampshire Daily'!N20-'Hampshire Daily'!N19))</f>
        <v>2070</v>
      </c>
      <c r="M17" s="4">
        <f>IF(('Hampshire Daily'!O20-'Hampshire Daily'!O19&lt;0),"0",('Hampshire Daily'!O20-'Hampshire Daily'!O19))</f>
        <v>107</v>
      </c>
      <c r="N17" s="4">
        <f>IF(('Hampshire Daily'!P20-'Hampshire Daily'!P19&lt;0),"0",('Hampshire Daily'!P20-'Hampshire Daily'!P19))</f>
        <v>0</v>
      </c>
      <c r="O17" s="4">
        <f>IF(('Hampshire Daily'!Q20-'Hampshire Daily'!Q19&lt;0),"0",('Hampshire Daily'!Q20-'Hampshire Daily'!Q19))</f>
        <v>0</v>
      </c>
      <c r="P17" s="4">
        <f>IF(('Hampshire Daily'!R20-'Hampshire Daily'!R19&lt;0),"0",('Hampshire Daily'!R20-'Hampshire Daily'!R19))</f>
        <v>777</v>
      </c>
      <c r="Q17" s="4">
        <f>IF(('Hampshire Daily'!S20-'Hampshire Daily'!S19&lt;0),"0",('Hampshire Daily'!S20-'Hampshire Daily'!S19))</f>
        <v>66</v>
      </c>
      <c r="R17" s="4">
        <f>IF(('Hampshire Daily'!V20-'Hampshire Daily'!V19&lt;0),"0",('Hampshire Daily'!V20-'Hampshire Daily'!V19))</f>
        <v>1</v>
      </c>
      <c r="S17" s="4">
        <f>IF(('Hampshire Daily'!W20-'Hampshire Daily'!W19&lt;0),"0",('Hampshire Daily'!W20-'Hampshire Daily'!W19))</f>
        <v>0</v>
      </c>
      <c r="T17" s="4" t="e">
        <f>IF(('Hampshire Daily'!X20-'Hampshire Daily'!X19&lt;0),"0",('Hampshire Daily'!X20-'Hampshire Daily'!X19))</f>
        <v>#VALUE!</v>
      </c>
      <c r="U17" s="4">
        <f>IF(('Hampshire Daily'!Y20-'Hampshire Daily'!Y19&lt;0),"0",('Hampshire Daily'!Y20-'Hampshire Daily'!Y19))</f>
        <v>1.999999999998181E-2</v>
      </c>
      <c r="V17" s="4">
        <f>IF(('Hampshire Daily'!Z20-'Hampshire Daily'!Z19&lt;0),"0",('Hampshire Daily'!Z20-'Hampshire Daily'!Z19))</f>
        <v>0</v>
      </c>
      <c r="W17" s="4">
        <f>IF(('Hampshire Daily'!AA20-'Hampshire Daily'!AA19&lt;0),"0",('Hampshire Daily'!AA20-'Hampshire Daily'!AA19))</f>
        <v>4</v>
      </c>
      <c r="X17" s="4">
        <f>IF(('Hampshire Daily'!AA20-'Hampshire Daily'!AA19&lt;0),"0",('Hampshire Daily'!AA20-'Hampshire Daily'!AA19))</f>
        <v>4</v>
      </c>
      <c r="Y17" s="4">
        <f>'Hampshire Daily'!B20</f>
        <v>147</v>
      </c>
      <c r="Z17" s="4">
        <f>'Hampshire Daily'!C20</f>
        <v>58</v>
      </c>
    </row>
    <row r="18" spans="1:26" x14ac:dyDescent="0.25">
      <c r="A18" s="3" t="s">
        <v>40</v>
      </c>
      <c r="B18" s="1">
        <f t="shared" si="0"/>
        <v>17</v>
      </c>
      <c r="C18" s="17">
        <v>10</v>
      </c>
      <c r="D18" s="1">
        <v>2021</v>
      </c>
      <c r="E18" s="4">
        <f>IF(('Hampshire Daily'!E21-'Hampshire Daily'!E20&lt;0),"0",('Hampshire Daily'!E21-'Hampshire Daily'!E20))</f>
        <v>3138</v>
      </c>
      <c r="F18" s="4">
        <f>IF(('Hampshire Daily'!G21-'Hampshire Daily'!G20&lt;0),"0",('Hampshire Daily'!G21-'Hampshire Daily'!G20))</f>
        <v>5525</v>
      </c>
      <c r="G18" s="4">
        <f>IF(('Hampshire Daily'!H21-'Hampshire Daily'!H20&lt;0),"0",('Hampshire Daily'!H21-'Hampshire Daily'!H20))</f>
        <v>841</v>
      </c>
      <c r="H18" s="4">
        <f>IF(('Hampshire Daily'!I21-'Hampshire Daily'!I20&lt;0),"0",('Hampshire Daily'!I21-'Hampshire Daily'!I20))</f>
        <v>2367.0967741934583</v>
      </c>
      <c r="I18" s="4">
        <f>IF(('Hampshire Daily'!J21-'Hampshire Daily'!J20&lt;0),"0",('Hampshire Daily'!J21-'Hampshire Daily'!J20))</f>
        <v>0.12903225806803675</v>
      </c>
      <c r="J18" s="4">
        <f>IF(('Hampshire Daily'!L21-'Hampshire Daily'!L20&lt;0),"0",('Hampshire Daily'!L21-'Hampshire Daily'!L20))</f>
        <v>0.1290322580607608</v>
      </c>
      <c r="K18" s="4">
        <f>IF(('Hampshire Daily'!M21-'Hampshire Daily'!M20&lt;0),"0",('Hampshire Daily'!M21-'Hampshire Daily'!M20))</f>
        <v>2</v>
      </c>
      <c r="L18" s="4">
        <f>IF(('Hampshire Daily'!N21-'Hampshire Daily'!N20&lt;0),"0",('Hampshire Daily'!N21-'Hampshire Daily'!N20))</f>
        <v>2258</v>
      </c>
      <c r="M18" s="4">
        <f>IF(('Hampshire Daily'!O21-'Hampshire Daily'!O20&lt;0),"0",('Hampshire Daily'!O21-'Hampshire Daily'!O20))</f>
        <v>103</v>
      </c>
      <c r="N18" s="4">
        <f>IF(('Hampshire Daily'!P21-'Hampshire Daily'!P20&lt;0),"0",('Hampshire Daily'!P21-'Hampshire Daily'!P20))</f>
        <v>0</v>
      </c>
      <c r="O18" s="4">
        <f>IF(('Hampshire Daily'!Q21-'Hampshire Daily'!Q20&lt;0),"0",('Hampshire Daily'!Q21-'Hampshire Daily'!Q20))</f>
        <v>0</v>
      </c>
      <c r="P18" s="4">
        <f>IF(('Hampshire Daily'!R21-'Hampshire Daily'!R20&lt;0),"0",('Hampshire Daily'!R21-'Hampshire Daily'!R20))</f>
        <v>773</v>
      </c>
      <c r="Q18" s="4">
        <f>IF(('Hampshire Daily'!S21-'Hampshire Daily'!S20&lt;0),"0",('Hampshire Daily'!S21-'Hampshire Daily'!S20))</f>
        <v>73</v>
      </c>
      <c r="R18" s="4">
        <f>IF(('Hampshire Daily'!V21-'Hampshire Daily'!V20&lt;0),"0",('Hampshire Daily'!V21-'Hampshire Daily'!V20))</f>
        <v>1</v>
      </c>
      <c r="S18" s="4">
        <f>IF(('Hampshire Daily'!W21-'Hampshire Daily'!W20&lt;0),"0",('Hampshire Daily'!W21-'Hampshire Daily'!W20))</f>
        <v>48542.67</v>
      </c>
      <c r="T18" s="4">
        <f>IF(('Hampshire Daily'!X21-'Hampshire Daily'!X20&lt;0),"0",('Hampshire Daily'!X21-'Hampshire Daily'!X20))</f>
        <v>0.32100000000002638</v>
      </c>
      <c r="U18" s="4">
        <f>IF(('Hampshire Daily'!Y21-'Hampshire Daily'!Y20&lt;0),"0",('Hampshire Daily'!Y21-'Hampshire Daily'!Y20))</f>
        <v>1.4999999999872671E-2</v>
      </c>
      <c r="V18" s="4">
        <f>IF(('Hampshire Daily'!Z21-'Hampshire Daily'!Z20&lt;0),"0",('Hampshire Daily'!Z21-'Hampshire Daily'!Z20))</f>
        <v>0</v>
      </c>
      <c r="W18" s="4">
        <f>IF(('Hampshire Daily'!AA21-'Hampshire Daily'!AA20&lt;0),"0",('Hampshire Daily'!AA21-'Hampshire Daily'!AA20))</f>
        <v>4</v>
      </c>
      <c r="X18" s="4">
        <f>IF(('Hampshire Daily'!AA21-'Hampshire Daily'!AA20&lt;0),"0",('Hampshire Daily'!AA21-'Hampshire Daily'!AA20))</f>
        <v>4</v>
      </c>
      <c r="Y18" s="4">
        <f>'Hampshire Daily'!B21</f>
        <v>161</v>
      </c>
      <c r="Z18" s="4">
        <f>'Hampshire Daily'!C21</f>
        <v>58</v>
      </c>
    </row>
    <row r="19" spans="1:26" x14ac:dyDescent="0.25">
      <c r="A19" s="3" t="s">
        <v>40</v>
      </c>
      <c r="B19" s="1">
        <f t="shared" si="0"/>
        <v>18</v>
      </c>
      <c r="C19" s="17">
        <v>10</v>
      </c>
      <c r="D19" s="1">
        <v>2021</v>
      </c>
      <c r="E19" s="4">
        <f>IF(('Hampshire Daily'!E22-'Hampshire Daily'!E21&lt;0),"0",('Hampshire Daily'!E22-'Hampshire Daily'!E21))</f>
        <v>3070</v>
      </c>
      <c r="F19" s="4">
        <f>IF(('Hampshire Daily'!G22-'Hampshire Daily'!G21&lt;0),"0",('Hampshire Daily'!G22-'Hampshire Daily'!G21))</f>
        <v>5504</v>
      </c>
      <c r="G19" s="4">
        <f>IF(('Hampshire Daily'!H22-'Hampshire Daily'!H21&lt;0),"0",('Hampshire Daily'!H22-'Hampshire Daily'!H21))</f>
        <v>760</v>
      </c>
      <c r="H19" s="4">
        <f>IF(('Hampshire Daily'!I22-'Hampshire Daily'!I21&lt;0),"0",('Hampshire Daily'!I22-'Hampshire Daily'!I21))</f>
        <v>2367.0967741934583</v>
      </c>
      <c r="I19" s="4">
        <f>IF(('Hampshire Daily'!J22-'Hampshire Daily'!J21&lt;0),"0",('Hampshire Daily'!J22-'Hampshire Daily'!J21))</f>
        <v>0.12903225806803675</v>
      </c>
      <c r="J19" s="4">
        <f>IF(('Hampshire Daily'!L22-'Hampshire Daily'!L21&lt;0),"0",('Hampshire Daily'!L22-'Hampshire Daily'!L21))</f>
        <v>0.1290322580607608</v>
      </c>
      <c r="K19" s="4">
        <f>IF(('Hampshire Daily'!M22-'Hampshire Daily'!M21&lt;0),"0",('Hampshire Daily'!M22-'Hampshire Daily'!M21))</f>
        <v>3</v>
      </c>
      <c r="L19" s="4">
        <f>IF(('Hampshire Daily'!N22-'Hampshire Daily'!N21&lt;0),"0",('Hampshire Daily'!N22-'Hampshire Daily'!N21))</f>
        <v>2377</v>
      </c>
      <c r="M19" s="4">
        <f>IF(('Hampshire Daily'!O22-'Hampshire Daily'!O21&lt;0),"0",('Hampshire Daily'!O22-'Hampshire Daily'!O21))</f>
        <v>126</v>
      </c>
      <c r="N19" s="4">
        <f>IF(('Hampshire Daily'!P22-'Hampshire Daily'!P21&lt;0),"0",('Hampshire Daily'!P22-'Hampshire Daily'!P21))</f>
        <v>0</v>
      </c>
      <c r="O19" s="4">
        <f>IF(('Hampshire Daily'!Q22-'Hampshire Daily'!Q21&lt;0),"0",('Hampshire Daily'!Q22-'Hampshire Daily'!Q21))</f>
        <v>0</v>
      </c>
      <c r="P19" s="4">
        <f>IF(('Hampshire Daily'!R22-'Hampshire Daily'!R21&lt;0),"0",('Hampshire Daily'!R22-'Hampshire Daily'!R21))</f>
        <v>693</v>
      </c>
      <c r="Q19" s="4">
        <f>IF(('Hampshire Daily'!S22-'Hampshire Daily'!S21&lt;0),"0",('Hampshire Daily'!S22-'Hampshire Daily'!S21))</f>
        <v>75</v>
      </c>
      <c r="R19" s="4">
        <f>IF(('Hampshire Daily'!V22-'Hampshire Daily'!V21&lt;0),"0",('Hampshire Daily'!V22-'Hampshire Daily'!V21))</f>
        <v>1</v>
      </c>
      <c r="S19" s="4" t="str">
        <f>IF(('Hampshire Daily'!W22-'Hampshire Daily'!W21&lt;0),"0",('Hampshire Daily'!W22-'Hampshire Daily'!W21))</f>
        <v>0</v>
      </c>
      <c r="T19" s="4">
        <f>IF(('Hampshire Daily'!X22-'Hampshire Daily'!X21&lt;0),"0",('Hampshire Daily'!X22-'Hampshire Daily'!X21))</f>
        <v>0.30499999999994998</v>
      </c>
      <c r="U19" s="4">
        <f>IF(('Hampshire Daily'!Y22-'Hampshire Daily'!Y21&lt;0),"0",('Hampshire Daily'!Y22-'Hampshire Daily'!Y21))</f>
        <v>1.2999999999919964E-2</v>
      </c>
      <c r="V19" s="4">
        <f>IF(('Hampshire Daily'!Z22-'Hampshire Daily'!Z21&lt;0),"0",('Hampshire Daily'!Z22-'Hampshire Daily'!Z21))</f>
        <v>0</v>
      </c>
      <c r="W19" s="4">
        <f>IF(('Hampshire Daily'!AA22-'Hampshire Daily'!AA21&lt;0),"0",('Hampshire Daily'!AA22-'Hampshire Daily'!AA21))</f>
        <v>5</v>
      </c>
      <c r="X19" s="4">
        <f>IF(('Hampshire Daily'!AA22-'Hampshire Daily'!AA21&lt;0),"0",('Hampshire Daily'!AA22-'Hampshire Daily'!AA21))</f>
        <v>5</v>
      </c>
      <c r="Y19" s="4">
        <f>'Hampshire Daily'!B22</f>
        <v>205</v>
      </c>
      <c r="Z19" s="4">
        <f>'Hampshire Daily'!C22</f>
        <v>72</v>
      </c>
    </row>
    <row r="20" spans="1:26" x14ac:dyDescent="0.25">
      <c r="A20" s="3" t="s">
        <v>40</v>
      </c>
      <c r="B20" s="1">
        <f t="shared" si="0"/>
        <v>19</v>
      </c>
      <c r="C20" s="17">
        <v>10</v>
      </c>
      <c r="D20" s="1">
        <v>2021</v>
      </c>
      <c r="E20" s="4">
        <f>IF(('Hampshire Daily'!E23-'Hampshire Daily'!E22&lt;0),"0",('Hampshire Daily'!E23-'Hampshire Daily'!E22))</f>
        <v>2662</v>
      </c>
      <c r="F20" s="4">
        <f>IF(('Hampshire Daily'!G23-'Hampshire Daily'!G22&lt;0),"0",('Hampshire Daily'!G23-'Hampshire Daily'!G22))</f>
        <v>6250</v>
      </c>
      <c r="G20" s="4">
        <f>IF(('Hampshire Daily'!H23-'Hampshire Daily'!H22&lt;0),"0",('Hampshire Daily'!H23-'Hampshire Daily'!H22))</f>
        <v>791</v>
      </c>
      <c r="H20" s="4">
        <f>IF(('Hampshire Daily'!I23-'Hampshire Daily'!I22&lt;0),"0",('Hampshire Daily'!I23-'Hampshire Daily'!I22))</f>
        <v>2367.0967741934583</v>
      </c>
      <c r="I20" s="4">
        <f>IF(('Hampshire Daily'!J23-'Hampshire Daily'!J22&lt;0),"0",('Hampshire Daily'!J23-'Hampshire Daily'!J22))</f>
        <v>0.12903225806803675</v>
      </c>
      <c r="J20" s="4">
        <f>IF(('Hampshire Daily'!L23-'Hampshire Daily'!L22&lt;0),"0",('Hampshire Daily'!L23-'Hampshire Daily'!L22))</f>
        <v>0.1290322580607608</v>
      </c>
      <c r="K20" s="4">
        <f>IF(('Hampshire Daily'!M23-'Hampshire Daily'!M22&lt;0),"0",('Hampshire Daily'!M23-'Hampshire Daily'!M22))</f>
        <v>4</v>
      </c>
      <c r="L20" s="4">
        <f>IF(('Hampshire Daily'!N23-'Hampshire Daily'!N22&lt;0),"0",('Hampshire Daily'!N23-'Hampshire Daily'!N22))</f>
        <v>2430</v>
      </c>
      <c r="M20" s="4">
        <f>IF(('Hampshire Daily'!O23-'Hampshire Daily'!O22&lt;0),"0",('Hampshire Daily'!O23-'Hampshire Daily'!O22))</f>
        <v>128</v>
      </c>
      <c r="N20" s="4">
        <f>IF(('Hampshire Daily'!P23-'Hampshire Daily'!P22&lt;0),"0",('Hampshire Daily'!P23-'Hampshire Daily'!P22))</f>
        <v>435</v>
      </c>
      <c r="O20" s="4">
        <f>IF(('Hampshire Daily'!Q23-'Hampshire Daily'!Q22&lt;0),"0",('Hampshire Daily'!Q23-'Hampshire Daily'!Q22))</f>
        <v>0</v>
      </c>
      <c r="P20" s="4">
        <f>IF(('Hampshire Daily'!R23-'Hampshire Daily'!R22&lt;0),"0",('Hampshire Daily'!R23-'Hampshire Daily'!R22))</f>
        <v>315</v>
      </c>
      <c r="Q20" s="4">
        <f>IF(('Hampshire Daily'!S23-'Hampshire Daily'!S22&lt;0),"0",('Hampshire Daily'!S23-'Hampshire Daily'!S22))</f>
        <v>82</v>
      </c>
      <c r="R20" s="4">
        <f>IF(('Hampshire Daily'!V23-'Hampshire Daily'!V22&lt;0),"0",('Hampshire Daily'!V23-'Hampshire Daily'!V22))</f>
        <v>1</v>
      </c>
      <c r="S20" s="4">
        <f>IF(('Hampshire Daily'!W23-'Hampshire Daily'!W22&lt;0),"0",('Hampshire Daily'!W23-'Hampshire Daily'!W22))</f>
        <v>0</v>
      </c>
      <c r="T20" s="4">
        <f>IF(('Hampshire Daily'!X23-'Hampshire Daily'!X22&lt;0),"0",('Hampshire Daily'!X23-'Hampshire Daily'!X22))</f>
        <v>0.19200000000000728</v>
      </c>
      <c r="U20" s="4">
        <f>IF(('Hampshire Daily'!Y23-'Hampshire Daily'!Y22&lt;0),"0",('Hampshire Daily'!Y23-'Hampshire Daily'!Y22))</f>
        <v>1.6999999999825377E-2</v>
      </c>
      <c r="V20" s="4">
        <f>IF(('Hampshire Daily'!Z23-'Hampshire Daily'!Z22&lt;0),"0",('Hampshire Daily'!Z23-'Hampshire Daily'!Z22))</f>
        <v>0</v>
      </c>
      <c r="W20" s="4">
        <f>IF(('Hampshire Daily'!AA23-'Hampshire Daily'!AA22&lt;0),"0",('Hampshire Daily'!AA23-'Hampshire Daily'!AA22))</f>
        <v>6</v>
      </c>
      <c r="X20" s="4">
        <f>IF(('Hampshire Daily'!AA23-'Hampshire Daily'!AA22&lt;0),"0",('Hampshire Daily'!AA23-'Hampshire Daily'!AA22))</f>
        <v>6</v>
      </c>
      <c r="Y20" s="4">
        <f>'Hampshire Daily'!B23</f>
        <v>195</v>
      </c>
      <c r="Z20" s="4">
        <f>'Hampshire Daily'!C23</f>
        <v>66</v>
      </c>
    </row>
    <row r="21" spans="1:26" x14ac:dyDescent="0.25">
      <c r="A21" s="3" t="s">
        <v>40</v>
      </c>
      <c r="B21" s="1">
        <f t="shared" si="0"/>
        <v>20</v>
      </c>
      <c r="C21" s="17">
        <v>10</v>
      </c>
      <c r="D21" s="1">
        <v>2021</v>
      </c>
      <c r="E21" s="4">
        <f>IF(('Hampshire Daily'!D24-'Hampshire Daily'!E23&lt;0),"0",('Hampshire Daily'!D24-'Hampshire Daily'!E23))</f>
        <v>957</v>
      </c>
      <c r="F21" s="4">
        <f>IF(('Hampshire Daily'!F24-'Hampshire Daily'!G23&lt;0),"0",('Hampshire Daily'!F24-'Hampshire Daily'!G23))</f>
        <v>7012</v>
      </c>
      <c r="G21" s="4">
        <f>IF(('Hampshire Daily'!H24-'Hampshire Daily'!H23&lt;0),"0",('Hampshire Daily'!H24-'Hampshire Daily'!H23))</f>
        <v>818</v>
      </c>
      <c r="H21" s="4">
        <f>IF(('Hampshire Daily'!I24-'Hampshire Daily'!I23&lt;0),"0",('Hampshire Daily'!I24-'Hampshire Daily'!I23))</f>
        <v>2367.0967741934583</v>
      </c>
      <c r="I21" s="4">
        <f>IF(('Hampshire Daily'!J24-'Hampshire Daily'!J23&lt;0),"0",('Hampshire Daily'!J24-'Hampshire Daily'!J23))</f>
        <v>0.12903225806803675</v>
      </c>
      <c r="J21" s="4">
        <f>IF(('Hampshire Daily'!K24-'Hampshire Daily'!L23&lt;0),"0",('Hampshire Daily'!K24-'Hampshire Daily'!L23))</f>
        <v>3910828.7419354818</v>
      </c>
      <c r="K21" s="4" t="str">
        <f>IF(('Hampshire Daily'!L24-'Hampshire Daily'!M23&lt;0),"0",('Hampshire Daily'!L24-'Hampshire Daily'!M23))</f>
        <v>0</v>
      </c>
      <c r="L21" s="4">
        <f>IF(('Hampshire Daily'!M24-'Hampshire Daily'!N23&lt;0),"0",('Hampshire Daily'!M24-'Hampshire Daily'!N23))</f>
        <v>1213770</v>
      </c>
      <c r="M21" s="4">
        <v>128</v>
      </c>
      <c r="N21" s="4" t="str">
        <f>IF(('Hampshire Daily'!O24-'Hampshire Daily'!P23&lt;0),"0",('Hampshire Daily'!O24-'Hampshire Daily'!P23))</f>
        <v>0</v>
      </c>
      <c r="O21" s="4">
        <f>IF(('Hampshire Daily'!P24-'Hampshire Daily'!Q23&lt;0),"0",('Hampshire Daily'!P24-'Hampshire Daily'!Q23))</f>
        <v>1528349</v>
      </c>
      <c r="P21" s="4" t="str">
        <f>IF(('Hampshire Daily'!Q24-'Hampshire Daily'!R23&lt;0),"0",('Hampshire Daily'!Q24-'Hampshire Daily'!R23))</f>
        <v>0</v>
      </c>
      <c r="Q21" s="4">
        <f>IF(('Hampshire Daily'!R24-'Hampshire Daily'!S23&lt;0),"0",('Hampshire Daily'!R24-'Hampshire Daily'!S23))</f>
        <v>351728</v>
      </c>
      <c r="R21" s="4">
        <f>IF(('Hampshire Daily'!U24-'Hampshire Daily'!V23&lt;0),"0",('Hampshire Daily'!U24-'Hampshire Daily'!V23))</f>
        <v>21739</v>
      </c>
      <c r="S21" s="4">
        <f>IF(('Hampshire Daily'!V24-'Hampshire Daily'!W23&lt;0),"0",('Hampshire Daily'!V24-'Hampshire Daily'!W23))</f>
        <v>30558.669000000002</v>
      </c>
      <c r="T21" s="4" t="str">
        <f>IF(('Hampshire Daily'!W24-'Hampshire Daily'!X23&lt;0),"0",('Hampshire Daily'!W24-'Hampshire Daily'!X23))</f>
        <v>0</v>
      </c>
      <c r="U21" s="4" t="str">
        <f>IF(('Hampshire Daily'!X24-'Hampshire Daily'!Y23&lt;0),"0",('Hampshire Daily'!X24-'Hampshire Daily'!Y23))</f>
        <v>0</v>
      </c>
      <c r="V21" s="4" t="str">
        <f>IF(('Hampshire Daily'!Y24-'Hampshire Daily'!Z23&lt;0),"0",('Hampshire Daily'!Y24-'Hampshire Daily'!Z23))</f>
        <v>0</v>
      </c>
      <c r="W21" s="4">
        <f>IF(('Hampshire Daily'!Z24-'Hampshire Daily'!AA23&lt;0),"0",('Hampshire Daily'!Z24-'Hampshire Daily'!AA23))</f>
        <v>1667</v>
      </c>
      <c r="X21" s="4">
        <f>IF(('Hampshire Daily'!AA24-'Hampshire Daily'!AA23&lt;0),"0",('Hampshire Daily'!AA24-'Hampshire Daily'!AA23))</f>
        <v>6</v>
      </c>
      <c r="Y21" s="4">
        <f>'Hampshire Daily'!B24</f>
        <v>206</v>
      </c>
      <c r="Z21" s="4">
        <f>'Hampshire Daily'!C24</f>
        <v>69</v>
      </c>
    </row>
    <row r="22" spans="1:26" x14ac:dyDescent="0.25">
      <c r="A22" s="3" t="s">
        <v>40</v>
      </c>
      <c r="B22" s="1">
        <f t="shared" si="0"/>
        <v>21</v>
      </c>
      <c r="C22" s="17">
        <v>10</v>
      </c>
      <c r="D22" s="1">
        <v>2021</v>
      </c>
      <c r="E22" s="4">
        <f>IF(('Hampshire Daily'!D25-'Hampshire Daily'!D24&lt;0),"0",('Hampshire Daily'!D25-'Hampshire Daily'!D24))</f>
        <v>3123</v>
      </c>
      <c r="F22" s="4">
        <f>IF(('Hampshire Daily'!F25-'Hampshire Daily'!F24&lt;0),"0",('Hampshire Daily'!F25-'Hampshire Daily'!F24))</f>
        <v>6345</v>
      </c>
      <c r="G22" s="4">
        <f>IF(('Hampshire Daily'!H25-'Hampshire Daily'!H24&lt;0),"0",('Hampshire Daily'!H25-'Hampshire Daily'!H24))</f>
        <v>841</v>
      </c>
      <c r="H22" s="4">
        <f>IF(('Hampshire Daily'!I25-'Hampshire Daily'!I24&lt;0),"0",('Hampshire Daily'!I25-'Hampshire Daily'!I24))</f>
        <v>2367.0967741934583</v>
      </c>
      <c r="I22" s="4">
        <f>IF(('Hampshire Daily'!J25-'Hampshire Daily'!J24&lt;0),"0",('Hampshire Daily'!J25-'Hampshire Daily'!J24))</f>
        <v>0.12903225806803675</v>
      </c>
      <c r="J22" s="4">
        <f>IF(('Hampshire Daily'!K25-'Hampshire Daily'!K24&lt;0),"0",('Hampshire Daily'!K25-'Hampshire Daily'!K24))</f>
        <v>69539.419354838319</v>
      </c>
      <c r="K22" s="4">
        <f>IF(('Hampshire Daily'!L25-'Hampshire Daily'!L24&lt;0),"0",('Hampshire Daily'!L25-'Hampshire Daily'!L24))</f>
        <v>0.1290322580607608</v>
      </c>
      <c r="L22" s="4">
        <f>IF(('Hampshire Daily'!M25-'Hampshire Daily'!M24&lt;0),"0",('Hampshire Daily'!M25-'Hampshire Daily'!M24))</f>
        <v>7</v>
      </c>
      <c r="M22" s="4">
        <f>IF(('Hampshire Daily'!N25-'Hampshire Daily'!N24&lt;0),"0",('Hampshire Daily'!N25-'Hampshire Daily'!N24))</f>
        <v>2716</v>
      </c>
      <c r="N22" s="4">
        <f>IF(('Hampshire Daily'!O25-'Hampshire Daily'!O24&lt;0),"0",('Hampshire Daily'!O25-'Hampshire Daily'!O24))</f>
        <v>116.5</v>
      </c>
      <c r="O22" s="4" t="str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402</v>
      </c>
      <c r="R22" s="4">
        <f>IF(('Hampshire Daily'!U25-'Hampshire Daily'!U24&lt;0),"0",('Hampshire Daily'!U25-'Hampshire Daily'!U24))</f>
        <v>14</v>
      </c>
      <c r="S22" s="4">
        <f>IF(('Hampshire Daily'!V25-'Hampshire Daily'!V24&lt;0),"0",('Hampshire Daily'!V25-'Hampshire Daily'!V24))</f>
        <v>0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5.2999999999997272E-2</v>
      </c>
      <c r="V22" s="4">
        <f>IF(('Hampshire Daily'!Y25-'Hampshire Daily'!Y24&lt;0),"0",('Hampshire Daily'!Y25-'Hampshire Daily'!Y24))</f>
        <v>1.2999999999919964E-2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5</v>
      </c>
      <c r="Y22" s="4">
        <f>'Hampshire Daily'!B25</f>
        <v>208</v>
      </c>
      <c r="Z22" s="4">
        <f>'Hampshire Daily'!C25</f>
        <v>70</v>
      </c>
    </row>
    <row r="23" spans="1:26" x14ac:dyDescent="0.25">
      <c r="A23" s="3" t="s">
        <v>40</v>
      </c>
      <c r="B23" s="1">
        <f t="shared" si="0"/>
        <v>22</v>
      </c>
      <c r="C23" s="17">
        <v>10</v>
      </c>
      <c r="D23" s="1">
        <v>2021</v>
      </c>
      <c r="E23" s="4">
        <f>IF(('Hampshire Daily'!D26-'Hampshire Daily'!D25&lt;0),"0",('Hampshire Daily'!D26-'Hampshire Daily'!D25))</f>
        <v>2937</v>
      </c>
      <c r="F23" s="4">
        <f>IF(('Hampshire Daily'!F26-'Hampshire Daily'!F25&lt;0),"0",('Hampshire Daily'!F26-'Hampshire Daily'!F25))</f>
        <v>5314</v>
      </c>
      <c r="G23" s="4">
        <f>IF(('Hampshire Daily'!H26-'Hampshire Daily'!H25&lt;0),"0",('Hampshire Daily'!H26-'Hampshire Daily'!H25))</f>
        <v>845</v>
      </c>
      <c r="H23" s="4">
        <f>IF(('Hampshire Daily'!I26-'Hampshire Daily'!I25&lt;0),"0",('Hampshire Daily'!I26-'Hampshire Daily'!I25))</f>
        <v>2367.0967741934583</v>
      </c>
      <c r="I23" s="4">
        <f>IF(('Hampshire Daily'!J26-'Hampshire Daily'!J25&lt;0),"0",('Hampshire Daily'!J26-'Hampshire Daily'!J25))</f>
        <v>0.12903225806803675</v>
      </c>
      <c r="J23" s="4">
        <f>IF(('Hampshire Daily'!K26-'Hampshire Daily'!K25&lt;0),"0",('Hampshire Daily'!K26-'Hampshire Daily'!K25))</f>
        <v>69539.419354838319</v>
      </c>
      <c r="K23" s="4">
        <f>IF(('Hampshire Daily'!L26-'Hampshire Daily'!L25&lt;0),"0",('Hampshire Daily'!L26-'Hampshire Daily'!L25))</f>
        <v>9935.0967741935747</v>
      </c>
      <c r="L23" s="4" t="str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2687</v>
      </c>
      <c r="N23" s="4">
        <f>IF(('Hampshire Daily'!O26-'Hampshire Daily'!O25&lt;0),"0",('Hampshire Daily'!O26-'Hampshire Daily'!O25))</f>
        <v>116.5</v>
      </c>
      <c r="O23" s="4">
        <f>IF(('Hampshire Daily'!P26-'Hampshire Daily'!P25&lt;0),"0",('Hampshire Daily'!P26-'Hampshire Daily'!P25))</f>
        <v>1376818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569</v>
      </c>
      <c r="R23" s="4">
        <f>IF(('Hampshire Daily'!U26-'Hampshire Daily'!U25&lt;0),"0",('Hampshire Daily'!U26-'Hampshire Daily'!U25))</f>
        <v>10</v>
      </c>
      <c r="S23" s="4">
        <f>IF(('Hampshire Daily'!V26-'Hampshire Daily'!V25&lt;0),"0",('Hampshire Daily'!V26-'Hampshire Daily'!V25))</f>
        <v>2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0.42700000000002092</v>
      </c>
      <c r="V23" s="4">
        <f>IF(('Hampshire Daily'!Y26-'Hampshire Daily'!Y25&lt;0),"0",('Hampshire Daily'!Y26-'Hampshire Daily'!Y25))</f>
        <v>1.0000000000218279E-2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6</v>
      </c>
      <c r="Y23" s="4">
        <f>'Hampshire Daily'!B26</f>
        <v>185</v>
      </c>
      <c r="Z23" s="4">
        <f>'Hampshire Daily'!C26</f>
        <v>64</v>
      </c>
    </row>
    <row r="24" spans="1:26" x14ac:dyDescent="0.25">
      <c r="A24" s="3" t="s">
        <v>40</v>
      </c>
      <c r="B24" s="1">
        <f t="shared" si="0"/>
        <v>23</v>
      </c>
      <c r="C24" s="17">
        <v>10</v>
      </c>
      <c r="D24" s="1">
        <v>2021</v>
      </c>
      <c r="E24" s="4">
        <f>IF(('Hampshire Daily'!D27-'Hampshire Daily'!D26&lt;0),"0",('Hampshire Daily'!D27-'Hampshire Daily'!D26))</f>
        <v>3022</v>
      </c>
      <c r="F24" s="4">
        <f>IF(('Hampshire Daily'!F27-'Hampshire Daily'!F26&lt;0),"0",('Hampshire Daily'!F27-'Hampshire Daily'!F26))</f>
        <v>5411</v>
      </c>
      <c r="G24" s="4">
        <f>IF(('Hampshire Daily'!H27-'Hampshire Daily'!H26&lt;0),"0",('Hampshire Daily'!H27-'Hampshire Daily'!H26))</f>
        <v>813</v>
      </c>
      <c r="H24" s="4">
        <f>IF(('Hampshire Daily'!I27-'Hampshire Daily'!I26&lt;0),"0",('Hampshire Daily'!I27-'Hampshire Daily'!I26))</f>
        <v>2367.0967741934583</v>
      </c>
      <c r="I24" s="4">
        <f>IF(('Hampshire Daily'!J27-'Hampshire Daily'!J26&lt;0),"0",('Hampshire Daily'!J27-'Hampshire Daily'!J26))</f>
        <v>0.12903225806803675</v>
      </c>
      <c r="J24" s="4">
        <f>IF(('Hampshire Daily'!K27-'Hampshire Daily'!K26&lt;0),"0",('Hampshire Daily'!K27-'Hampshire Daily'!K26))</f>
        <v>69539.419354838319</v>
      </c>
      <c r="K24" s="4">
        <f>IF(('Hampshire Daily'!L27-'Hampshire Daily'!L26&lt;0),"0",('Hampshire Daily'!L27-'Hampshire Daily'!L26))</f>
        <v>1297</v>
      </c>
      <c r="L24" s="4">
        <f>IF(('Hampshire Daily'!M27-'Hampshire Daily'!M26&lt;0),"0",('Hampshire Daily'!M27-'Hampshire Daily'!M26))</f>
        <v>2009</v>
      </c>
      <c r="M24" s="4">
        <f>IF(('Hampshire Daily'!N27-'Hampshire Daily'!N26&lt;0),"0",('Hampshire Daily'!N27-'Hampshire Daily'!N26))</f>
        <v>2703</v>
      </c>
      <c r="N24" s="4">
        <f>IF(('Hampshire Daily'!O27-'Hampshire Daily'!O26&lt;0),"0",('Hampshire Daily'!O27-'Hampshire Daily'!O26))</f>
        <v>124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605</v>
      </c>
      <c r="R24" s="4">
        <f>IF(('Hampshire Daily'!U27-'Hampshire Daily'!U26&lt;0),"0",('Hampshire Daily'!U27-'Hampshire Daily'!U26))</f>
        <v>10</v>
      </c>
      <c r="S24" s="4">
        <f>IF(('Hampshire Daily'!V27-'Hampshire Daily'!V26&lt;0),"0",('Hampshire Daily'!V27-'Hampshire Daily'!V26))</f>
        <v>1</v>
      </c>
      <c r="T24" s="4" t="e">
        <f>IF(('Hampshire Daily'!W27-'Hampshire Daily'!W26&lt;0),"0",('Hampshire Daily'!W27-'Hampshire Daily'!W26))</f>
        <v>#VALUE!</v>
      </c>
      <c r="U24" s="4">
        <f>IF(('Hampshire Daily'!X27-'Hampshire Daily'!X26&lt;0),"0",('Hampshire Daily'!X27-'Hampshire Daily'!X26))</f>
        <v>0.24000000000000909</v>
      </c>
      <c r="V24" s="4">
        <f>IF(('Hampshire Daily'!Y27-'Hampshire Daily'!Y26&lt;0),"0",('Hampshire Daily'!Y27-'Hampshire Daily'!Y26))</f>
        <v>3.2999999999901775E-2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5</v>
      </c>
      <c r="Y24" s="4">
        <f>'Hampshire Daily'!B27</f>
        <v>194</v>
      </c>
      <c r="Z24" s="4">
        <f>'Hampshire Daily'!C27</f>
        <v>77</v>
      </c>
    </row>
    <row r="25" spans="1:26" x14ac:dyDescent="0.25">
      <c r="A25" s="3" t="s">
        <v>40</v>
      </c>
      <c r="B25" s="1">
        <f t="shared" si="0"/>
        <v>24</v>
      </c>
      <c r="C25" s="17">
        <v>10</v>
      </c>
      <c r="D25" s="1">
        <v>2021</v>
      </c>
      <c r="E25" s="4">
        <f>IF(('Hampshire Daily'!D28-'Hampshire Daily'!D27&lt;0),"0",('Hampshire Daily'!D28-'Hampshire Daily'!D27))</f>
        <v>3296</v>
      </c>
      <c r="F25" s="4">
        <f>IF(('Hampshire Daily'!F28-'Hampshire Daily'!F27&lt;0),"0",('Hampshire Daily'!F28-'Hampshire Daily'!F27))</f>
        <v>2504</v>
      </c>
      <c r="G25" s="4">
        <f>IF(('Hampshire Daily'!H28-'Hampshire Daily'!H27&lt;0),"0",('Hampshire Daily'!H28-'Hampshire Daily'!H27))</f>
        <v>82</v>
      </c>
      <c r="H25" s="4">
        <f>IF(('Hampshire Daily'!I28-'Hampshire Daily'!I27&lt;0),"0",('Hampshire Daily'!I28-'Hampshire Daily'!I27))</f>
        <v>2367.0967741934583</v>
      </c>
      <c r="I25" s="4">
        <f>IF(('Hampshire Daily'!J28-'Hampshire Daily'!J27&lt;0),"0",('Hampshire Daily'!J28-'Hampshire Daily'!J27))</f>
        <v>0.12903225806803675</v>
      </c>
      <c r="J25" s="4">
        <f>IF(('Hampshire Daily'!K28-'Hampshire Daily'!K27&lt;0),"0",('Hampshire Daily'!K28-'Hampshire Daily'!K27))</f>
        <v>69539.419354838319</v>
      </c>
      <c r="K25" s="4">
        <f>IF(('Hampshire Daily'!L28-'Hampshire Daily'!L27&lt;0),"0",('Hampshire Daily'!L28-'Hampshire Daily'!L27))</f>
        <v>1410</v>
      </c>
      <c r="L25" s="4">
        <f>IF(('Hampshire Daily'!M28-'Hampshire Daily'!M27&lt;0),"0",('Hampshire Daily'!M28-'Hampshire Daily'!M27))</f>
        <v>3</v>
      </c>
      <c r="M25" s="4">
        <f>IF(('Hampshire Daily'!N28-'Hampshire Daily'!N27&lt;0),"0",('Hampshire Daily'!N28-'Hampshire Daily'!N27))</f>
        <v>2909</v>
      </c>
      <c r="N25" s="4">
        <f>IF(('Hampshire Daily'!O28-'Hampshire Daily'!O27&lt;0),"0",('Hampshire Daily'!O28-'Hampshire Daily'!O27))</f>
        <v>123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696</v>
      </c>
      <c r="R25" s="4">
        <f>IF(('Hampshire Daily'!U28-'Hampshire Daily'!U27&lt;0),"0",('Hampshire Daily'!U28-'Hampshire Daily'!U27))</f>
        <v>11</v>
      </c>
      <c r="S25" s="4">
        <f>IF(('Hampshire Daily'!V28-'Hampshire Daily'!V27&lt;0),"0",('Hampshire Daily'!V28-'Hampshire Daily'!V27))</f>
        <v>1</v>
      </c>
      <c r="T25" s="4" t="e">
        <f>IF(('Hampshire Daily'!W28-'Hampshire Daily'!W27&lt;0),"0",('Hampshire Daily'!W28-'Hampshire Daily'!W27))</f>
        <v>#VALUE!</v>
      </c>
      <c r="U25" s="4">
        <f>IF(('Hampshire Daily'!X28-'Hampshire Daily'!X27&lt;0),"0",('Hampshire Daily'!X28-'Hampshire Daily'!X27))</f>
        <v>0.16500000000007731</v>
      </c>
      <c r="V25" s="4" t="str">
        <f>IF(('Hampshire Daily'!Y28-'Hampshire Daily'!Y27&lt;0),"0",('Hampshire Daily'!Y28-'Hampshire Daily'!Y27))</f>
        <v>0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5</v>
      </c>
      <c r="Y25" s="4">
        <f>'Hampshire Daily'!B28</f>
        <v>233</v>
      </c>
      <c r="Z25" s="4">
        <f>'Hampshire Daily'!C28</f>
        <v>96</v>
      </c>
    </row>
    <row r="26" spans="1:26" x14ac:dyDescent="0.25">
      <c r="A26" s="3" t="s">
        <v>40</v>
      </c>
      <c r="B26" s="28">
        <f>B25+1</f>
        <v>25</v>
      </c>
      <c r="C26" s="17">
        <v>10</v>
      </c>
      <c r="D26" s="1">
        <v>2021</v>
      </c>
      <c r="E26" s="4">
        <f>IF(('Hampshire Daily'!D29-'Hampshire Daily'!D28&lt;0),"0",('Hampshire Daily'!D29-'Hampshire Daily'!D28))</f>
        <v>3140</v>
      </c>
      <c r="F26" s="4">
        <f>IF(('Hampshire Daily'!F29-'Hampshire Daily'!F28&lt;0),"0",('Hampshire Daily'!F29-'Hampshire Daily'!F28))</f>
        <v>2195</v>
      </c>
      <c r="G26" s="4">
        <f>IF(('Hampshire Daily'!H29-'Hampshire Daily'!H28&lt;0),"0",('Hampshire Daily'!H29-'Hampshire Daily'!H28))</f>
        <v>0</v>
      </c>
      <c r="H26" s="4">
        <f>IF(('Hampshire Daily'!I29-'Hampshire Daily'!I28&lt;0),"0",('Hampshire Daily'!I29-'Hampshire Daily'!I28))</f>
        <v>2367.0967741934583</v>
      </c>
      <c r="I26" s="4">
        <f>IF(('Hampshire Daily'!J29-'Hampshire Daily'!J28&lt;0),"0",('Hampshire Daily'!J29-'Hampshire Daily'!J28))</f>
        <v>0.12903225806803675</v>
      </c>
      <c r="J26" s="4">
        <f>IF(('Hampshire Daily'!K29-'Hampshire Daily'!K28&lt;0),"0",('Hampshire Daily'!K29-'Hampshire Daily'!K28))</f>
        <v>69539.419354838319</v>
      </c>
      <c r="K26" s="4">
        <f>IF(('Hampshire Daily'!L29-'Hampshire Daily'!L28&lt;0),"0",('Hampshire Daily'!L29-'Hampshire Daily'!L28))</f>
        <v>1489</v>
      </c>
      <c r="L26" s="4">
        <f>IF(('Hampshire Daily'!M29-'Hampshire Daily'!M28&lt;0),"0",('Hampshire Daily'!M29-'Hampshire Daily'!M28))</f>
        <v>3</v>
      </c>
      <c r="M26" s="4">
        <f>IF(('Hampshire Daily'!N29-'Hampshire Daily'!N28&lt;0),"0",('Hampshire Daily'!N29-'Hampshire Daily'!N28))</f>
        <v>2812</v>
      </c>
      <c r="N26" s="4">
        <f>IF(('Hampshire Daily'!O29-'Hampshire Daily'!O28&lt;0),"0",('Hampshire Daily'!O29-'Hampshire Daily'!O28))</f>
        <v>156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176.5</v>
      </c>
      <c r="R26" s="4">
        <f>IF(('Hampshire Daily'!U29-'Hampshire Daily'!U28&lt;0),"0",('Hampshire Daily'!U29-'Hampshire Daily'!U28))</f>
        <v>12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0.19299999999998363</v>
      </c>
      <c r="V26" s="4">
        <f>IF(('Hampshire Daily'!Y29-'Hampshire Daily'!Y28&lt;0),"0",('Hampshire Daily'!Y29-'Hampshire Daily'!Y28))</f>
        <v>1.0999999999967258E-2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6</v>
      </c>
      <c r="Y26" s="4">
        <f>'Hampshire Daily'!B29</f>
        <v>233</v>
      </c>
      <c r="Z26" s="4">
        <f>'Hampshire Daily'!C29</f>
        <v>99</v>
      </c>
    </row>
    <row r="27" spans="1:26" x14ac:dyDescent="0.25">
      <c r="A27" s="3" t="s">
        <v>40</v>
      </c>
      <c r="B27" s="1">
        <f t="shared" si="0"/>
        <v>26</v>
      </c>
      <c r="C27" s="17">
        <v>10</v>
      </c>
      <c r="D27" s="1">
        <v>2021</v>
      </c>
      <c r="E27" s="4">
        <f>IF(('Hampshire Daily'!D30-'Hampshire Daily'!D29&lt;0),"0",('Hampshire Daily'!D30-'Hampshire Daily'!D29))</f>
        <v>2904</v>
      </c>
      <c r="F27" s="4">
        <f>IF(('Hampshire Daily'!F30-'Hampshire Daily'!F29&lt;0),"0",('Hampshire Daily'!F30-'Hampshire Daily'!F29))</f>
        <v>2126</v>
      </c>
      <c r="G27" s="4">
        <f>IF(('Hampshire Daily'!H30-'Hampshire Daily'!H29&lt;0),"0",('Hampshire Daily'!H30-'Hampshire Daily'!H29))</f>
        <v>0</v>
      </c>
      <c r="H27" s="4">
        <f>IF(('Hampshire Daily'!I30-'Hampshire Daily'!I29&lt;0),"0",('Hampshire Daily'!I30-'Hampshire Daily'!I29))</f>
        <v>2367.0967741934583</v>
      </c>
      <c r="I27" s="4">
        <f>IF(('Hampshire Daily'!J30-'Hampshire Daily'!J29&lt;0),"0",('Hampshire Daily'!J30-'Hampshire Daily'!J29))</f>
        <v>0.12903225806803675</v>
      </c>
      <c r="J27" s="4">
        <f>IF(('Hampshire Daily'!K30-'Hampshire Daily'!K29&lt;0),"0",('Hampshire Daily'!K30-'Hampshire Daily'!K29))</f>
        <v>69539.419354838319</v>
      </c>
      <c r="K27" s="4">
        <f>IF(('Hampshire Daily'!L30-'Hampshire Daily'!L29&lt;0),"0",('Hampshire Daily'!L30-'Hampshire Daily'!L29))</f>
        <v>1434</v>
      </c>
      <c r="L27" s="4">
        <f>IF(('Hampshire Daily'!M30-'Hampshire Daily'!M29&lt;0),"0",('Hampshire Daily'!M30-'Hampshire Daily'!M29))</f>
        <v>1</v>
      </c>
      <c r="M27" s="4">
        <f>IF(('Hampshire Daily'!N30-'Hampshire Daily'!N29&lt;0),"0",('Hampshire Daily'!N30-'Hampshire Daily'!N29))</f>
        <v>2857</v>
      </c>
      <c r="N27" s="4">
        <f>IF(('Hampshire Daily'!O30-'Hampshire Daily'!O29&lt;0),"0",('Hampshire Daily'!O30-'Hampshire Daily'!O29))</f>
        <v>110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176.5</v>
      </c>
      <c r="R27" s="4">
        <f>IF(('Hampshire Daily'!U30-'Hampshire Daily'!U29&lt;0),"0",('Hampshire Daily'!U30-'Hampshire Daily'!U29))</f>
        <v>11</v>
      </c>
      <c r="S27" s="4">
        <f>IF(('Hampshire Daily'!V30-'Hampshire Daily'!V29&lt;0),"0",('Hampshire Daily'!V30-'Hampshire Daily'!V29))</f>
        <v>1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0.2299999999999045</v>
      </c>
      <c r="V27" s="4">
        <f>IF(('Hampshire Daily'!Y30-'Hampshire Daily'!Y29&lt;0),"0",('Hampshire Daily'!Y30-'Hampshire Daily'!Y29))</f>
        <v>9.9999999997635314E-3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8</v>
      </c>
      <c r="Y27" s="4">
        <f>'Hampshire Daily'!B30</f>
        <v>217</v>
      </c>
      <c r="Z27" s="4">
        <f>'Hampshire Daily'!C30</f>
        <v>89</v>
      </c>
    </row>
    <row r="28" spans="1:26" x14ac:dyDescent="0.25">
      <c r="A28" s="3" t="s">
        <v>40</v>
      </c>
      <c r="B28" s="1">
        <f t="shared" si="0"/>
        <v>27</v>
      </c>
      <c r="C28" s="17">
        <v>10</v>
      </c>
      <c r="D28" s="1">
        <v>2021</v>
      </c>
      <c r="E28" s="4">
        <f>IF(('Hampshire Daily'!D31-'Hampshire Daily'!D30&lt;0),"0",('Hampshire Daily'!D31-'Hampshire Daily'!D30))</f>
        <v>2696</v>
      </c>
      <c r="F28" s="4">
        <f>IF(('Hampshire Daily'!F31-'Hampshire Daily'!F30&lt;0),"0",('Hampshire Daily'!F31-'Hampshire Daily'!F30))</f>
        <v>2106</v>
      </c>
      <c r="G28" s="4">
        <f>IF(('Hampshire Daily'!H31-'Hampshire Daily'!H30&lt;0),"0",('Hampshire Daily'!H31-'Hampshire Daily'!H30))</f>
        <v>0</v>
      </c>
      <c r="H28" s="4">
        <f>IF(('Hampshire Daily'!I31-'Hampshire Daily'!I30&lt;0),"0",('Hampshire Daily'!I31-'Hampshire Daily'!I30))</f>
        <v>2367.0967741934583</v>
      </c>
      <c r="I28" s="4">
        <f>IF(('Hampshire Daily'!J31-'Hampshire Daily'!J30&lt;0),"0",('Hampshire Daily'!J31-'Hampshire Daily'!J30))</f>
        <v>0.12903225806803675</v>
      </c>
      <c r="J28" s="4">
        <f>IF(('Hampshire Daily'!K31-'Hampshire Daily'!K30&lt;0),"0",('Hampshire Daily'!K31-'Hampshire Daily'!K30))</f>
        <v>69539.419354838319</v>
      </c>
      <c r="K28" s="4">
        <f>IF(('Hampshire Daily'!L31-'Hampshire Daily'!L30&lt;0),"0",('Hampshire Daily'!L31-'Hampshire Daily'!L30))</f>
        <v>1233</v>
      </c>
      <c r="L28" s="4">
        <f>IF(('Hampshire Daily'!M31-'Hampshire Daily'!M30&lt;0),"0",('Hampshire Daily'!M31-'Hampshire Daily'!M30))</f>
        <v>4</v>
      </c>
      <c r="M28" s="4">
        <f>IF(('Hampshire Daily'!N31-'Hampshire Daily'!N30&lt;0),"0",('Hampshire Daily'!N31-'Hampshire Daily'!N30))</f>
        <v>2730</v>
      </c>
      <c r="N28" s="4">
        <f>IF(('Hampshire Daily'!O31-'Hampshire Daily'!O30&lt;0),"0",('Hampshire Daily'!O31-'Hampshire Daily'!O30))</f>
        <v>186</v>
      </c>
      <c r="O28" s="4">
        <f>IF(('Hampshire Daily'!P31-'Hampshire Daily'!P30&lt;0),"0",('Hampshire Daily'!P31-'Hampshire Daily'!P30))</f>
        <v>3</v>
      </c>
      <c r="P28" s="4">
        <f>IF(('Hampshire Daily'!Q31-'Hampshire Daily'!Q30&lt;0),"0",('Hampshire Daily'!Q31-'Hampshire Daily'!Q30))</f>
        <v>0</v>
      </c>
      <c r="Q28" s="4">
        <f>IF(('Hampshire Daily'!R31-'Hampshire Daily'!R30&lt;0),"0",('Hampshire Daily'!R31-'Hampshire Daily'!R30))</f>
        <v>0</v>
      </c>
      <c r="R28" s="4">
        <f>IF(('Hampshire Daily'!U31-'Hampshire Daily'!U30&lt;0),"0",('Hampshire Daily'!U31-'Hampshire Daily'!U30))</f>
        <v>11</v>
      </c>
      <c r="S28" s="4">
        <f>IF(('Hampshire Daily'!V31-'Hampshire Daily'!V30&lt;0),"0",('Hampshire Daily'!V31-'Hampshire Daily'!V30))</f>
        <v>1</v>
      </c>
      <c r="T28" s="4" t="str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0.1550000000000864</v>
      </c>
      <c r="V28" s="4">
        <f>IF(('Hampshire Daily'!Y31-'Hampshire Daily'!Y30&lt;0),"0",('Hampshire Daily'!Y31-'Hampshire Daily'!Y30))</f>
        <v>9.0000000000145519E-3</v>
      </c>
      <c r="W28" s="4">
        <f>IF(('Hampshire Daily'!Z31-'Hampshire Daily'!Z30&lt;0),"0",('Hampshire Daily'!Z31-'Hampshire Daily'!Z30))</f>
        <v>0</v>
      </c>
      <c r="X28" s="4">
        <f>IF(('Hampshire Daily'!AA31-'Hampshire Daily'!AA30&lt;0),"0",('Hampshire Daily'!AA31-'Hampshire Daily'!AA30))</f>
        <v>5</v>
      </c>
      <c r="Y28" s="4">
        <f>'Hampshire Daily'!B31</f>
        <v>198</v>
      </c>
      <c r="Z28" s="4">
        <f>'Hampshire Daily'!C31</f>
        <v>75</v>
      </c>
    </row>
    <row r="29" spans="1:26" x14ac:dyDescent="0.25">
      <c r="A29" s="3" t="s">
        <v>40</v>
      </c>
      <c r="B29" s="1">
        <f t="shared" si="0"/>
        <v>28</v>
      </c>
      <c r="C29" s="17">
        <v>10</v>
      </c>
      <c r="D29" s="1">
        <v>2021</v>
      </c>
      <c r="E29" s="4">
        <f>IF(('Hampshire Daily'!D32-'Hampshire Daily'!D31&lt;0),"0",('Hampshire Daily'!D32-'Hampshire Daily'!D31))</f>
        <v>2158</v>
      </c>
      <c r="F29" s="4">
        <f>IF(('Hampshire Daily'!F32-'Hampshire Daily'!F31&lt;0),"0",('Hampshire Daily'!F32-'Hampshire Daily'!F31))</f>
        <v>3396</v>
      </c>
      <c r="G29" s="4">
        <f>IF(('Hampshire Daily'!H32-'Hampshire Daily'!H31&lt;0),"0",('Hampshire Daily'!H32-'Hampshire Daily'!H31))</f>
        <v>0</v>
      </c>
      <c r="H29" s="4">
        <f>IF(('Hampshire Daily'!I32-'Hampshire Daily'!I31&lt;0),"0",('Hampshire Daily'!I32-'Hampshire Daily'!I31))</f>
        <v>2367.0967741934583</v>
      </c>
      <c r="I29" s="4">
        <f>IF(('Hampshire Daily'!J32-'Hampshire Daily'!J31&lt;0),"0",('Hampshire Daily'!J32-'Hampshire Daily'!J31))</f>
        <v>0.12903225806803675</v>
      </c>
      <c r="J29" s="4">
        <f>IF(('Hampshire Daily'!K32-'Hampshire Daily'!K31&lt;0),"0",('Hampshire Daily'!K32-'Hampshire Daily'!K31))</f>
        <v>69539.419354838319</v>
      </c>
      <c r="K29" s="4">
        <f>IF(('Hampshire Daily'!L32-'Hampshire Daily'!L31&lt;0),"0",('Hampshire Daily'!L32-'Hampshire Daily'!L31))</f>
        <v>0.1290322580607608</v>
      </c>
      <c r="L29" s="4">
        <f>IF(('Hampshire Daily'!M32-'Hampshire Daily'!M31&lt;0),"0",('Hampshire Daily'!M32-'Hampshire Daily'!M31))</f>
        <v>5</v>
      </c>
      <c r="M29" s="4">
        <f>IF(('Hampshire Daily'!N32-'Hampshire Daily'!N31&lt;0),"0",('Hampshire Daily'!N32-'Hampshire Daily'!N31))</f>
        <v>2760</v>
      </c>
      <c r="N29" s="4">
        <f>IF(('Hampshire Daily'!O32-'Hampshire Daily'!O31&lt;0),"0",('Hampshire Daily'!O32-'Hampshire Daily'!O31))</f>
        <v>124</v>
      </c>
      <c r="O29" s="4">
        <f>IF(('Hampshire Daily'!P32-'Hampshire Daily'!P31&lt;0),"0",('Hampshire Daily'!P32-'Hampshire Daily'!P31))</f>
        <v>788</v>
      </c>
      <c r="P29" s="4">
        <f>IF(('Hampshire Daily'!Q32-'Hampshire Daily'!Q31&lt;0),"0",('Hampshire Daily'!Q32-'Hampshire Daily'!Q31))</f>
        <v>0</v>
      </c>
      <c r="Q29" s="4">
        <f>IF(('Hampshire Daily'!R32-'Hampshire Daily'!R31&lt;0),"0",('Hampshire Daily'!R32-'Hampshire Daily'!R31))</f>
        <v>0</v>
      </c>
      <c r="R29" s="4">
        <f>IF(('Hampshire Daily'!U32-'Hampshire Daily'!U31&lt;0),"0",('Hampshire Daily'!U32-'Hampshire Daily'!U31))</f>
        <v>13</v>
      </c>
      <c r="S29" s="4">
        <f>IF(('Hampshire Daily'!V32-'Hampshire Daily'!V31&lt;0),"0",('Hampshire Daily'!V32-'Hampshire Daily'!V31))</f>
        <v>1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0.14400000000000546</v>
      </c>
      <c r="V29" s="4">
        <f>IF(('Hampshire Daily'!Y32-'Hampshire Daily'!Y31&lt;0),"0",('Hampshire Daily'!Y32-'Hampshire Daily'!Y31))</f>
        <v>1.7000000000280124E-2</v>
      </c>
      <c r="W29" s="4">
        <f>IF(('Hampshire Daily'!Z32-'Hampshire Daily'!Z31&lt;0),"0",('Hampshire Daily'!Z32-'Hampshire Daily'!Z31))</f>
        <v>0</v>
      </c>
      <c r="X29" s="4">
        <f>IF(('Hampshire Daily'!AA32-'Hampshire Daily'!AA31&lt;0),"0",('Hampshire Daily'!AA32-'Hampshire Daily'!AA31))</f>
        <v>5</v>
      </c>
      <c r="Y29" s="4">
        <f>'Hampshire Daily'!B32</f>
        <v>206</v>
      </c>
      <c r="Z29" s="4">
        <f>'Hampshire Daily'!C32</f>
        <v>78</v>
      </c>
    </row>
    <row r="30" spans="1:26" x14ac:dyDescent="0.25">
      <c r="A30" s="3" t="s">
        <v>40</v>
      </c>
      <c r="B30" s="1">
        <f t="shared" si="0"/>
        <v>29</v>
      </c>
      <c r="C30" s="17">
        <v>10</v>
      </c>
      <c r="D30" s="1">
        <v>2021</v>
      </c>
      <c r="E30" s="4">
        <f>IF(('Hampshire Daily'!D33-'Hampshire Daily'!D32&lt;0),"0",('Hampshire Daily'!D33-'Hampshire Daily'!D32))</f>
        <v>2290</v>
      </c>
      <c r="F30" s="4">
        <f>IF(('Hampshire Daily'!F33-'Hampshire Daily'!F32&lt;0),"0",('Hampshire Daily'!F33-'Hampshire Daily'!F32))</f>
        <v>3284</v>
      </c>
      <c r="G30" s="4">
        <f>IF(('Hampshire Daily'!H33-'Hampshire Daily'!H32&lt;0),"0",('Hampshire Daily'!H33-'Hampshire Daily'!H32))</f>
        <v>0</v>
      </c>
      <c r="H30" s="4">
        <f>IF(('Hampshire Daily'!I33-'Hampshire Daily'!I32&lt;0),"0",('Hampshire Daily'!I33-'Hampshire Daily'!I32))</f>
        <v>2367.0967741934583</v>
      </c>
      <c r="I30" s="4">
        <f>IF(('Hampshire Daily'!J33-'Hampshire Daily'!J32&lt;0),"0",('Hampshire Daily'!J33-'Hampshire Daily'!J32))</f>
        <v>0.12903225806803675</v>
      </c>
      <c r="J30" s="4">
        <f>IF(('Hampshire Daily'!K33-'Hampshire Daily'!K32&lt;0),"0",('Hampshire Daily'!K33-'Hampshire Daily'!K32))</f>
        <v>69539.419354838319</v>
      </c>
      <c r="K30" s="4">
        <f>IF(('Hampshire Daily'!L33-'Hampshire Daily'!L32&lt;0),"0",('Hampshire Daily'!L33-'Hampshire Daily'!L32))</f>
        <v>0.1290322580607608</v>
      </c>
      <c r="L30" s="4">
        <f>IF(('Hampshire Daily'!M33-'Hampshire Daily'!M32&lt;0),"0",('Hampshire Daily'!M33-'Hampshire Daily'!M32))</f>
        <v>4</v>
      </c>
      <c r="M30" s="4">
        <f>IF(('Hampshire Daily'!N33-'Hampshire Daily'!N32&lt;0),"0",('Hampshire Daily'!N33-'Hampshire Daily'!N32))</f>
        <v>2850</v>
      </c>
      <c r="N30" s="4">
        <f>IF(('Hampshire Daily'!O33-'Hampshire Daily'!O32&lt;0),"0",('Hampshire Daily'!O33-'Hampshire Daily'!O32))</f>
        <v>112</v>
      </c>
      <c r="O30" s="4">
        <f>IF(('Hampshire Daily'!P33-'Hampshire Daily'!P32&lt;0),"0",('Hampshire Daily'!P33-'Hampshire Daily'!P32))</f>
        <v>750</v>
      </c>
      <c r="P30" s="4">
        <f>IF(('Hampshire Daily'!Q33-'Hampshire Daily'!Q32&lt;0),"0",('Hampshire Daily'!Q33-'Hampshire Daily'!Q32))</f>
        <v>0</v>
      </c>
      <c r="Q30" s="4">
        <f>IF(('Hampshire Daily'!R33-'Hampshire Daily'!R32&lt;0),"0",('Hampshire Daily'!R33-'Hampshire Daily'!R32))</f>
        <v>0</v>
      </c>
      <c r="R30" s="4">
        <f>IF(('Hampshire Daily'!U33-'Hampshire Daily'!U32&lt;0),"0",('Hampshire Daily'!U33-'Hampshire Daily'!U32))</f>
        <v>12</v>
      </c>
      <c r="S30" s="4">
        <f>IF(('Hampshire Daily'!V33-'Hampshire Daily'!V32&lt;0),"0",('Hampshire Daily'!V33-'Hampshire Daily'!V32))</f>
        <v>1</v>
      </c>
      <c r="T30" s="4">
        <f>IF(('Hampshire Daily'!W33-'Hampshire Daily'!W32&lt;0),"0",('Hampshire Daily'!W33-'Hampshire Daily'!W32))</f>
        <v>1.0000000000331966E-3</v>
      </c>
      <c r="U30" s="4">
        <f>IF(('Hampshire Daily'!X33-'Hampshire Daily'!X32&lt;0),"0",('Hampshire Daily'!X33-'Hampshire Daily'!X32))</f>
        <v>0.16999999999995907</v>
      </c>
      <c r="V30" s="4">
        <f>IF(('Hampshire Daily'!Y33-'Hampshire Daily'!Y32&lt;0),"0",('Hampshire Daily'!Y33-'Hampshire Daily'!Y32))</f>
        <v>1.2999999999919964E-2</v>
      </c>
      <c r="W30" s="4">
        <f>IF(('Hampshire Daily'!Z33-'Hampshire Daily'!Z32&lt;0),"0",('Hampshire Daily'!Z33-'Hampshire Daily'!Z32))</f>
        <v>0</v>
      </c>
      <c r="X30" s="4">
        <f>IF(('Hampshire Daily'!AA33-'Hampshire Daily'!AA32&lt;0),"0",('Hampshire Daily'!AA33-'Hampshire Daily'!AA32))</f>
        <v>5</v>
      </c>
      <c r="Y30" s="4">
        <f>'Hampshire Daily'!B33</f>
        <v>209</v>
      </c>
      <c r="Z30" s="4">
        <f>'Hampshire Daily'!C33</f>
        <v>75</v>
      </c>
    </row>
    <row r="31" spans="1:26" x14ac:dyDescent="0.25">
      <c r="A31" s="3" t="s">
        <v>40</v>
      </c>
      <c r="B31" s="1">
        <f t="shared" si="0"/>
        <v>30</v>
      </c>
      <c r="C31" s="17">
        <v>10</v>
      </c>
      <c r="D31" s="1">
        <v>2021</v>
      </c>
      <c r="E31" s="4">
        <f>IF(('Hampshire Daily'!D34-'Hampshire Daily'!D33&lt;0),"0",('Hampshire Daily'!D34-'Hampshire Daily'!D33))</f>
        <v>2169</v>
      </c>
      <c r="F31" s="4">
        <f>IF(('Hampshire Daily'!F34-'Hampshire Daily'!F33&lt;0),"0",('Hampshire Daily'!F34-'Hampshire Daily'!F33))</f>
        <v>3126</v>
      </c>
      <c r="G31" s="4">
        <f>IF(('Hampshire Daily'!H34-'Hampshire Daily'!H33&lt;0),"0",('Hampshire Daily'!H34-'Hampshire Daily'!H33))</f>
        <v>0</v>
      </c>
      <c r="H31" s="4">
        <f>IF(('Hampshire Daily'!I34-'Hampshire Daily'!I33&lt;0),"0",('Hampshire Daily'!I34-'Hampshire Daily'!I33))</f>
        <v>2367.0967741934583</v>
      </c>
      <c r="I31" s="4">
        <f>IF(('Hampshire Daily'!J34-'Hampshire Daily'!J33&lt;0),"0",('Hampshire Daily'!J34-'Hampshire Daily'!J33))</f>
        <v>0.12903225806803675</v>
      </c>
      <c r="J31" s="4">
        <f>IF(('Hampshire Daily'!K34-'Hampshire Daily'!K33&lt;0),"0",('Hampshire Daily'!K34-'Hampshire Daily'!K33))</f>
        <v>69539.419354838319</v>
      </c>
      <c r="K31" s="4">
        <f>IF(('Hampshire Daily'!L34-'Hampshire Daily'!L33&lt;0),"0",('Hampshire Daily'!L34-'Hampshire Daily'!L33))</f>
        <v>0.1290322580607608</v>
      </c>
      <c r="L31" s="4">
        <f>IF(('Hampshire Daily'!M34-'Hampshire Daily'!M33&lt;0),"0",('Hampshire Daily'!M34-'Hampshire Daily'!M33))</f>
        <v>3</v>
      </c>
      <c r="M31" s="4">
        <f>IF(('Hampshire Daily'!N34-'Hampshire Daily'!N33&lt;0),"0",('Hampshire Daily'!N34-'Hampshire Daily'!N33))</f>
        <v>2522</v>
      </c>
      <c r="N31" s="4">
        <f>IF(('Hampshire Daily'!O34-'Hampshire Daily'!O33&lt;0),"0",('Hampshire Daily'!O34-'Hampshire Daily'!O33))</f>
        <v>110</v>
      </c>
      <c r="O31" s="4">
        <f>IF(('Hampshire Daily'!P34-'Hampshire Daily'!P33&lt;0),"0",('Hampshire Daily'!P34-'Hampshire Daily'!P33))</f>
        <v>719</v>
      </c>
      <c r="P31" s="4">
        <f>IF(('Hampshire Daily'!Q34-'Hampshire Daily'!Q33&lt;0),"0",('Hampshire Daily'!Q34-'Hampshire Daily'!Q33))</f>
        <v>0</v>
      </c>
      <c r="Q31" s="4">
        <f>IF(('Hampshire Daily'!R34-'Hampshire Daily'!R33&lt;0),"0",('Hampshire Daily'!R34-'Hampshire Daily'!R33))</f>
        <v>0</v>
      </c>
      <c r="R31" s="4">
        <f>IF(('Hampshire Daily'!U34-'Hampshire Daily'!U33&lt;0),"0",('Hampshire Daily'!U34-'Hampshire Daily'!U33))</f>
        <v>11</v>
      </c>
      <c r="S31" s="4">
        <f>IF(('Hampshire Daily'!V34-'Hampshire Daily'!V33&lt;0),"0",('Hampshire Daily'!V34-'Hampshire Daily'!V33))</f>
        <v>1</v>
      </c>
      <c r="T31" s="4" t="str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9.1000000000008185E-2</v>
      </c>
      <c r="V31" s="4">
        <f>IF(('Hampshire Daily'!Y34-'Hampshire Daily'!Y33&lt;0),"0",('Hampshire Daily'!Y34-'Hampshire Daily'!Y33))</f>
        <v>1.2999999999919964E-2</v>
      </c>
      <c r="W31" s="4">
        <f>IF(('Hampshire Daily'!Z34-'Hampshire Daily'!Z33&lt;0),"0",('Hampshire Daily'!Z34-'Hampshire Daily'!Z33))</f>
        <v>0</v>
      </c>
      <c r="X31" s="4">
        <f>IF(('Hampshire Daily'!AA34-'Hampshire Daily'!AA33&lt;0),"0",('Hampshire Daily'!AA34-'Hampshire Daily'!AA33))</f>
        <v>5</v>
      </c>
      <c r="Y31" s="4">
        <f>'Hampshire Daily'!B34</f>
        <v>224</v>
      </c>
      <c r="Z31" s="4">
        <f>'Hampshire Daily'!C34</f>
        <v>80</v>
      </c>
    </row>
    <row r="32" spans="1:26" x14ac:dyDescent="0.25">
      <c r="A32" s="3" t="s">
        <v>40</v>
      </c>
      <c r="B32" s="1">
        <v>31</v>
      </c>
      <c r="C32" s="17">
        <v>10</v>
      </c>
      <c r="D32" s="1">
        <v>2022</v>
      </c>
      <c r="E32" s="4">
        <f>IF(('Hampshire Daily'!D35-'Hampshire Daily'!D34&lt;0),"0",('Hampshire Daily'!D35-'Hampshire Daily'!D34))</f>
        <v>2489</v>
      </c>
      <c r="F32" s="4">
        <f>IF(('Hampshire Daily'!F35-'Hampshire Daily'!F34&lt;0),"0",('Hampshire Daily'!F35-'Hampshire Daily'!F34))</f>
        <v>3217</v>
      </c>
      <c r="G32" s="4">
        <f>IF(('Hampshire Daily'!H35-'Hampshire Daily'!H34&lt;0),"0",('Hampshire Daily'!H35-'Hampshire Daily'!H34))</f>
        <v>966</v>
      </c>
      <c r="H32" s="4">
        <f>IF(('Hampshire Daily'!I35-'Hampshire Daily'!I34&lt;0),"0",('Hampshire Daily'!I35-'Hampshire Daily'!I34))</f>
        <v>2367.0967741962522</v>
      </c>
      <c r="I32" s="4">
        <f>IF(('Hampshire Daily'!J35-'Hampshire Daily'!J34&lt;0),"0",('Hampshire Daily'!J35-'Hampshire Daily'!J34))</f>
        <v>0.12903225795889739</v>
      </c>
      <c r="J32" s="4">
        <f>IF(('Hampshire Daily'!K35-'Hampshire Daily'!K34&lt;0),"0",('Hampshire Daily'!K35-'Hampshire Daily'!K34))</f>
        <v>69539.419354844838</v>
      </c>
      <c r="K32" s="4">
        <f>IF(('Hampshire Daily'!L35-'Hampshire Daily'!L34&lt;0),"0",('Hampshire Daily'!L35-'Hampshire Daily'!L34))</f>
        <v>0.1290322580607608</v>
      </c>
      <c r="L32" s="4">
        <f>IF(('Hampshire Daily'!M35-'Hampshire Daily'!M34&lt;0),"0",('Hampshire Daily'!M35-'Hampshire Daily'!M34))</f>
        <v>2</v>
      </c>
      <c r="M32" s="4">
        <f>IF(('Hampshire Daily'!N35-'Hampshire Daily'!N34&lt;0),"0",('Hampshire Daily'!N35-'Hampshire Daily'!N34))</f>
        <v>2575</v>
      </c>
      <c r="N32" s="4">
        <f>IF(('Hampshire Daily'!O35-'Hampshire Daily'!O34&lt;0),"0",('Hampshire Daily'!O35-'Hampshire Daily'!O34))</f>
        <v>131</v>
      </c>
      <c r="O32" s="4">
        <f>IF(('Hampshire Daily'!P35-'Hampshire Daily'!P34&lt;0),"0",('Hampshire Daily'!P35-'Hampshire Daily'!P34))</f>
        <v>751</v>
      </c>
      <c r="P32" s="4">
        <f>IF(('Hampshire Daily'!Q35-'Hampshire Daily'!Q34&lt;0),"0",('Hampshire Daily'!Q35-'Hampshire Daily'!Q34))</f>
        <v>0</v>
      </c>
      <c r="Q32" s="4">
        <f>IF(('Hampshire Daily'!R35-'Hampshire Daily'!R34&lt;0),"0",('Hampshire Daily'!R35-'Hampshire Daily'!R34))</f>
        <v>0</v>
      </c>
      <c r="R32" s="4">
        <f>IF(('Hampshire Daily'!U35-'Hampshire Daily'!U34&lt;0),"0",('Hampshire Daily'!U35-'Hampshire Daily'!U34))</f>
        <v>12</v>
      </c>
      <c r="S32" s="4">
        <f>IF(('Hampshire Daily'!V35-'Hampshire Daily'!V34&lt;0),"0",('Hampshire Daily'!V35-'Hampshire Daily'!V34))</f>
        <v>1</v>
      </c>
      <c r="T32" s="4">
        <f>IF(('Hampshire Daily'!W35-'Hampshire Daily'!W34&lt;0),"0",('Hampshire Daily'!W35-'Hampshire Daily'!W34))</f>
        <v>1.0000000000331966E-3</v>
      </c>
      <c r="U32" s="4">
        <f>IF(('Hampshire Daily'!X35-'Hampshire Daily'!X34&lt;0),"0",('Hampshire Daily'!X35-'Hampshire Daily'!X34))</f>
        <v>0.13400000000001455</v>
      </c>
      <c r="V32" s="4">
        <f>IF(('Hampshire Daily'!Y35-'Hampshire Daily'!Y34&lt;0),"0",('Hampshire Daily'!Y35-'Hampshire Daily'!Y34))</f>
        <v>1.4999999999872671E-2</v>
      </c>
      <c r="W32" s="4">
        <f>IF(('Hampshire Daily'!Z35-'Hampshire Daily'!Z34&lt;0),"0",('Hampshire Daily'!Z35-'Hampshire Daily'!Z34))</f>
        <v>0</v>
      </c>
      <c r="X32" s="4">
        <f>IF(('Hampshire Daily'!AA35-'Hampshire Daily'!AA34&lt;0),"0",('Hampshire Daily'!AA35-'Hampshire Daily'!AA34))</f>
        <v>5</v>
      </c>
      <c r="Y32" s="4">
        <f>'Hampshire Daily'!B35</f>
        <v>217</v>
      </c>
      <c r="Z32" s="4">
        <f>'Hampshire Daily'!C35</f>
        <v>77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6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8.7109375" style="16" customWidth="1"/>
    <col min="2" max="3" width="8.7109375" style="22" customWidth="1"/>
    <col min="10" max="11" width="9.140625" style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6"/>
      <c r="B1" s="21"/>
      <c r="C1" s="21"/>
      <c r="D1" s="39" t="s">
        <v>12</v>
      </c>
      <c r="E1" s="39"/>
      <c r="F1" s="39"/>
      <c r="G1" s="39"/>
      <c r="H1" s="39"/>
      <c r="I1" s="39"/>
      <c r="J1" s="39"/>
      <c r="K1" s="39"/>
      <c r="L1" s="39"/>
      <c r="M1" s="39"/>
      <c r="N1" s="45" t="s">
        <v>13</v>
      </c>
      <c r="O1" s="47" t="s">
        <v>14</v>
      </c>
      <c r="P1" s="23"/>
      <c r="Q1" s="23"/>
      <c r="R1" s="23"/>
      <c r="S1" s="47" t="s">
        <v>15</v>
      </c>
      <c r="T1" s="49"/>
      <c r="U1" s="47" t="s">
        <v>16</v>
      </c>
      <c r="V1" s="50" t="s">
        <v>17</v>
      </c>
      <c r="W1" s="47" t="s">
        <v>18</v>
      </c>
      <c r="X1" s="47" t="s">
        <v>19</v>
      </c>
      <c r="Y1" s="56" t="s">
        <v>20</v>
      </c>
      <c r="Z1" s="47" t="s">
        <v>54</v>
      </c>
      <c r="AA1" s="52" t="s">
        <v>55</v>
      </c>
      <c r="AB1" s="1">
        <v>42</v>
      </c>
      <c r="AC1" s="1">
        <v>41</v>
      </c>
    </row>
    <row r="2" spans="1:29" ht="15" customHeight="1" x14ac:dyDescent="0.25">
      <c r="A2" s="37"/>
      <c r="B2" s="42" t="s">
        <v>52</v>
      </c>
      <c r="C2" s="42" t="s">
        <v>53</v>
      </c>
      <c r="D2" s="40" t="s">
        <v>21</v>
      </c>
      <c r="E2" s="40" t="s">
        <v>22</v>
      </c>
      <c r="F2" s="40" t="s">
        <v>23</v>
      </c>
      <c r="G2" s="40" t="s">
        <v>24</v>
      </c>
      <c r="H2" s="40" t="s">
        <v>25</v>
      </c>
      <c r="I2" s="40" t="s">
        <v>26</v>
      </c>
      <c r="J2" s="40" t="s">
        <v>27</v>
      </c>
      <c r="K2" s="40" t="s">
        <v>28</v>
      </c>
      <c r="L2" s="40" t="s">
        <v>29</v>
      </c>
      <c r="M2" s="40" t="s">
        <v>30</v>
      </c>
      <c r="N2" s="46"/>
      <c r="O2" s="47"/>
      <c r="P2" s="23" t="s">
        <v>31</v>
      </c>
      <c r="Q2" s="23" t="s">
        <v>31</v>
      </c>
      <c r="R2" s="23" t="s">
        <v>31</v>
      </c>
      <c r="S2" s="47"/>
      <c r="T2" s="49"/>
      <c r="U2" s="47"/>
      <c r="V2" s="50"/>
      <c r="W2" s="47"/>
      <c r="X2" s="47"/>
      <c r="Y2" s="56"/>
      <c r="Z2" s="47"/>
      <c r="AA2" s="53"/>
      <c r="AB2" s="55" t="s">
        <v>57</v>
      </c>
      <c r="AC2" s="55" t="s">
        <v>58</v>
      </c>
    </row>
    <row r="3" spans="1:29" ht="27" customHeight="1" thickBot="1" x14ac:dyDescent="0.3">
      <c r="A3" s="38"/>
      <c r="B3" s="43"/>
      <c r="C3" s="43"/>
      <c r="D3" s="44"/>
      <c r="E3" s="44"/>
      <c r="F3" s="44"/>
      <c r="G3" s="44"/>
      <c r="H3" s="40"/>
      <c r="I3" s="40"/>
      <c r="J3" s="40"/>
      <c r="K3" s="40"/>
      <c r="L3" s="40"/>
      <c r="M3" s="41"/>
      <c r="N3" s="46"/>
      <c r="O3" s="48"/>
      <c r="P3" s="24">
        <v>2</v>
      </c>
      <c r="Q3" s="24">
        <v>3</v>
      </c>
      <c r="R3" s="24">
        <v>4</v>
      </c>
      <c r="S3" s="49"/>
      <c r="T3" s="49"/>
      <c r="U3" s="48"/>
      <c r="V3" s="51"/>
      <c r="W3" s="47"/>
      <c r="X3" s="47"/>
      <c r="Y3" s="56"/>
      <c r="Z3" s="47"/>
      <c r="AA3" s="54"/>
      <c r="AB3" s="55"/>
      <c r="AC3" s="55"/>
    </row>
    <row r="4" spans="1:29" s="18" customFormat="1" ht="19.899999999999999" customHeight="1" x14ac:dyDescent="0.25">
      <c r="A4" s="20">
        <v>44530</v>
      </c>
      <c r="B4" s="27">
        <v>27</v>
      </c>
      <c r="C4" s="26">
        <v>51</v>
      </c>
      <c r="D4" s="35">
        <v>1018006</v>
      </c>
      <c r="E4" s="29">
        <v>1019605</v>
      </c>
      <c r="F4" s="29">
        <v>1013981</v>
      </c>
      <c r="G4" s="29">
        <v>1012951</v>
      </c>
      <c r="H4" s="29">
        <v>275311</v>
      </c>
      <c r="I4" s="29">
        <v>7433637</v>
      </c>
      <c r="J4" s="32">
        <v>32803</v>
      </c>
      <c r="K4" s="32">
        <v>3427562</v>
      </c>
      <c r="L4" s="29">
        <v>892179</v>
      </c>
      <c r="M4" s="29">
        <v>2645134</v>
      </c>
      <c r="N4" s="29">
        <v>1385609</v>
      </c>
      <c r="O4" s="29">
        <v>378551</v>
      </c>
      <c r="P4" s="29">
        <v>686091</v>
      </c>
      <c r="Q4" s="29">
        <v>686091</v>
      </c>
      <c r="R4" s="29">
        <v>1163</v>
      </c>
      <c r="S4" s="29">
        <v>344317</v>
      </c>
      <c r="T4" s="29">
        <v>47170</v>
      </c>
      <c r="U4" s="29">
        <v>52568</v>
      </c>
      <c r="V4" s="29">
        <v>31012</v>
      </c>
      <c r="W4" s="29">
        <v>490.32900000000001</v>
      </c>
      <c r="X4" s="29">
        <v>954.81</v>
      </c>
      <c r="Y4" s="29">
        <v>3889.587</v>
      </c>
      <c r="Z4" s="29">
        <v>4398</v>
      </c>
      <c r="AA4" s="29">
        <v>2637</v>
      </c>
      <c r="AB4" s="25">
        <v>2915</v>
      </c>
      <c r="AC4" s="25">
        <v>0</v>
      </c>
    </row>
    <row r="5" spans="1:29" x14ac:dyDescent="0.25">
      <c r="A5" s="20">
        <v>44531</v>
      </c>
      <c r="B5" s="27">
        <v>57</v>
      </c>
      <c r="C5" s="32">
        <v>29</v>
      </c>
      <c r="D5" s="29">
        <v>1012097</v>
      </c>
      <c r="E5" s="29">
        <v>1022563</v>
      </c>
      <c r="F5" s="29">
        <v>1019116</v>
      </c>
      <c r="G5" s="29">
        <v>1018081</v>
      </c>
      <c r="H5" s="29">
        <v>276097</v>
      </c>
      <c r="I5" s="29">
        <f>(($I$35-$I$4)/31)+I4</f>
        <v>7436004.0967741935</v>
      </c>
      <c r="J5" s="33">
        <f>(($J$35-$J$4)/31)+J4</f>
        <v>32803.129032258068</v>
      </c>
      <c r="K5" s="33">
        <f>(($K$35-$K$4)/31)+K4</f>
        <v>3497101.4193548388</v>
      </c>
      <c r="L5" s="29">
        <v>892179</v>
      </c>
      <c r="M5" s="29">
        <v>2645150</v>
      </c>
      <c r="N5" s="29">
        <v>1387953</v>
      </c>
      <c r="O5" s="30">
        <f>((O7-378551)/3)+378551</f>
        <v>378630.33333333331</v>
      </c>
      <c r="P5" s="29">
        <v>1528822</v>
      </c>
      <c r="Q5" s="29">
        <v>1163</v>
      </c>
      <c r="R5" s="29">
        <v>68660</v>
      </c>
      <c r="S5" s="29">
        <v>344361</v>
      </c>
      <c r="T5" s="29">
        <v>47218</v>
      </c>
      <c r="U5" s="29">
        <v>52577</v>
      </c>
      <c r="V5" s="29">
        <v>31013</v>
      </c>
      <c r="W5" s="29">
        <v>490.32900000000001</v>
      </c>
      <c r="X5" s="29">
        <v>954.81</v>
      </c>
      <c r="Y5" s="29">
        <v>3889.5990000000002</v>
      </c>
      <c r="Z5" s="29">
        <v>4398</v>
      </c>
      <c r="AA5" s="29">
        <v>2641</v>
      </c>
      <c r="AB5" s="34">
        <v>1486</v>
      </c>
      <c r="AC5" s="34">
        <v>0</v>
      </c>
    </row>
    <row r="6" spans="1:29" x14ac:dyDescent="0.25">
      <c r="A6" s="20">
        <v>44532</v>
      </c>
      <c r="B6" s="27">
        <v>62</v>
      </c>
      <c r="C6" s="32">
        <v>37</v>
      </c>
      <c r="D6" s="29">
        <v>1024010</v>
      </c>
      <c r="E6" s="29">
        <v>1025618</v>
      </c>
      <c r="F6" s="29">
        <v>1024446</v>
      </c>
      <c r="G6" s="29">
        <v>1023406</v>
      </c>
      <c r="H6" s="29">
        <v>276928</v>
      </c>
      <c r="I6" s="29">
        <f t="shared" ref="I6:I34" si="0">(($I$35-$I$4)/31)+I5</f>
        <v>7438371.1935483869</v>
      </c>
      <c r="J6" s="33">
        <f t="shared" ref="J6:J34" si="1">(($J$35-$J$4)/31)+J5</f>
        <v>32803.258064516136</v>
      </c>
      <c r="K6" s="33">
        <f t="shared" ref="K6:K34" si="2">(($K$35-$K$4)/31)+K5</f>
        <v>3566640.8387096776</v>
      </c>
      <c r="L6" s="30">
        <f>(($J$9-892179)/5)+L5</f>
        <v>720303.92903225799</v>
      </c>
      <c r="M6" s="29">
        <v>2445153</v>
      </c>
      <c r="N6" s="29">
        <v>1390714</v>
      </c>
      <c r="O6" s="30">
        <f>((O7-O5)/2)+O5</f>
        <v>378709.66666666663</v>
      </c>
      <c r="P6" s="29">
        <v>1528822</v>
      </c>
      <c r="Q6" s="29">
        <v>1163</v>
      </c>
      <c r="R6" s="29">
        <v>68712</v>
      </c>
      <c r="S6" s="29">
        <v>344406</v>
      </c>
      <c r="T6" s="29">
        <v>47274</v>
      </c>
      <c r="U6" s="29">
        <v>52588</v>
      </c>
      <c r="V6" s="29">
        <v>31015</v>
      </c>
      <c r="W6" s="29">
        <v>490.32900000000001</v>
      </c>
      <c r="X6" s="29">
        <v>955.05399999999997</v>
      </c>
      <c r="Y6" s="29">
        <v>3889.6080000000002</v>
      </c>
      <c r="Z6" s="29">
        <v>4398</v>
      </c>
      <c r="AA6" s="29">
        <v>2645</v>
      </c>
      <c r="AB6" s="34">
        <v>0</v>
      </c>
      <c r="AC6" s="34">
        <v>0</v>
      </c>
    </row>
    <row r="7" spans="1:29" x14ac:dyDescent="0.25">
      <c r="A7" s="20">
        <v>44533</v>
      </c>
      <c r="B7" s="27">
        <v>196</v>
      </c>
      <c r="C7" s="32">
        <v>108</v>
      </c>
      <c r="D7" s="29">
        <v>1027039</v>
      </c>
      <c r="E7" s="29">
        <v>1028653</v>
      </c>
      <c r="F7" s="29">
        <v>1029574</v>
      </c>
      <c r="G7" s="29">
        <v>1028528</v>
      </c>
      <c r="H7" s="29">
        <v>277772</v>
      </c>
      <c r="I7" s="29">
        <f t="shared" si="0"/>
        <v>7440738.2903225804</v>
      </c>
      <c r="J7" s="33">
        <f t="shared" si="1"/>
        <v>32803.387096774204</v>
      </c>
      <c r="K7" s="33">
        <f t="shared" si="2"/>
        <v>3636180.2580645164</v>
      </c>
      <c r="L7" s="30">
        <f t="shared" ref="L7:L9" si="3">(($J$9-892179)/5)+L6</f>
        <v>548428.85806451598</v>
      </c>
      <c r="M7" s="29">
        <v>2645156</v>
      </c>
      <c r="N7" s="29">
        <v>1393561</v>
      </c>
      <c r="O7" s="29">
        <v>378789</v>
      </c>
      <c r="P7" s="29">
        <v>1528822</v>
      </c>
      <c r="Q7" s="29">
        <v>1163</v>
      </c>
      <c r="R7" s="29">
        <v>68760</v>
      </c>
      <c r="S7" s="29">
        <v>344454</v>
      </c>
      <c r="T7" s="29">
        <v>47327</v>
      </c>
      <c r="U7" s="29">
        <v>52599</v>
      </c>
      <c r="V7" s="29">
        <v>31016</v>
      </c>
      <c r="W7" s="29">
        <v>490.32900000000001</v>
      </c>
      <c r="X7" s="29">
        <v>955.59199999999998</v>
      </c>
      <c r="Y7" s="29">
        <v>3889.6190000000001</v>
      </c>
      <c r="Z7" s="29">
        <v>4398</v>
      </c>
      <c r="AA7" s="29">
        <v>2649</v>
      </c>
      <c r="AB7" s="34">
        <v>0</v>
      </c>
      <c r="AC7" s="34">
        <v>0</v>
      </c>
    </row>
    <row r="8" spans="1:29" x14ac:dyDescent="0.25">
      <c r="A8" s="20">
        <v>44534</v>
      </c>
      <c r="B8" s="27">
        <v>146</v>
      </c>
      <c r="C8" s="32">
        <v>63</v>
      </c>
      <c r="D8" s="29">
        <v>1030058</v>
      </c>
      <c r="E8" s="29">
        <v>1031677</v>
      </c>
      <c r="F8" s="29">
        <v>1034602</v>
      </c>
      <c r="G8" s="29">
        <v>1033550</v>
      </c>
      <c r="H8" s="29">
        <v>278583</v>
      </c>
      <c r="I8" s="29">
        <f t="shared" si="0"/>
        <v>7443105.3870967738</v>
      </c>
      <c r="J8" s="33">
        <f t="shared" si="1"/>
        <v>32803.516129032272</v>
      </c>
      <c r="K8" s="33">
        <f t="shared" si="2"/>
        <v>3705719.6774193551</v>
      </c>
      <c r="L8" s="30">
        <f t="shared" si="3"/>
        <v>376553.78709677403</v>
      </c>
      <c r="M8" s="29">
        <v>2645159</v>
      </c>
      <c r="N8" s="29">
        <v>1395926</v>
      </c>
      <c r="O8" s="29">
        <v>378894</v>
      </c>
      <c r="P8" s="29">
        <v>1528822</v>
      </c>
      <c r="Q8" s="29">
        <v>1163</v>
      </c>
      <c r="R8" s="29">
        <v>68816</v>
      </c>
      <c r="S8" s="29">
        <v>344524</v>
      </c>
      <c r="T8" s="29">
        <v>47402</v>
      </c>
      <c r="U8" s="29">
        <v>52609</v>
      </c>
      <c r="V8" s="29">
        <v>31017</v>
      </c>
      <c r="W8" s="29">
        <v>490.32900000000001</v>
      </c>
      <c r="X8" s="29">
        <v>955.82799999999997</v>
      </c>
      <c r="Y8" s="29">
        <v>3889.6289999999999</v>
      </c>
      <c r="Z8" s="29">
        <v>4398</v>
      </c>
      <c r="AA8" s="29">
        <v>2653</v>
      </c>
      <c r="AB8" s="34">
        <v>0</v>
      </c>
      <c r="AC8" s="34">
        <v>0</v>
      </c>
    </row>
    <row r="9" spans="1:29" x14ac:dyDescent="0.25">
      <c r="A9" s="20">
        <v>44535</v>
      </c>
      <c r="B9" s="27">
        <v>74</v>
      </c>
      <c r="C9" s="32">
        <v>29</v>
      </c>
      <c r="D9" s="29">
        <v>1032995</v>
      </c>
      <c r="E9" s="29">
        <v>1034619</v>
      </c>
      <c r="F9" s="29">
        <v>1040112</v>
      </c>
      <c r="G9" s="29">
        <v>1039056</v>
      </c>
      <c r="H9" s="29">
        <v>279353</v>
      </c>
      <c r="I9" s="29">
        <f t="shared" si="0"/>
        <v>7445472.4838709673</v>
      </c>
      <c r="J9" s="33">
        <f t="shared" si="1"/>
        <v>32803.64516129034</v>
      </c>
      <c r="K9" s="33">
        <f t="shared" si="2"/>
        <v>3775259.0967741939</v>
      </c>
      <c r="L9" s="30">
        <f t="shared" si="3"/>
        <v>204678.71612903208</v>
      </c>
      <c r="M9" s="29">
        <v>2645166</v>
      </c>
      <c r="N9" s="29">
        <v>1398725</v>
      </c>
      <c r="O9" s="29">
        <v>378991</v>
      </c>
      <c r="P9" s="29">
        <v>1528822</v>
      </c>
      <c r="Q9" s="29">
        <v>1163</v>
      </c>
      <c r="R9" s="29">
        <v>68871</v>
      </c>
      <c r="S9" s="29">
        <v>344590</v>
      </c>
      <c r="T9" s="29">
        <v>47477</v>
      </c>
      <c r="U9" s="29">
        <v>52619</v>
      </c>
      <c r="V9" s="29">
        <v>31018</v>
      </c>
      <c r="W9" s="29">
        <v>490.32900000000001</v>
      </c>
      <c r="X9" s="29">
        <v>955.99199999999996</v>
      </c>
      <c r="Y9" s="29">
        <v>3889.6379999999999</v>
      </c>
      <c r="Z9" s="29">
        <v>4398</v>
      </c>
      <c r="AA9" s="29">
        <v>2659</v>
      </c>
      <c r="AB9" s="34">
        <v>0</v>
      </c>
      <c r="AC9" s="34">
        <v>0</v>
      </c>
    </row>
    <row r="10" spans="1:29" x14ac:dyDescent="0.25">
      <c r="A10" s="20">
        <v>44536</v>
      </c>
      <c r="B10" s="27">
        <v>73</v>
      </c>
      <c r="C10" s="32">
        <v>35</v>
      </c>
      <c r="D10" s="29">
        <v>1035888</v>
      </c>
      <c r="E10" s="29">
        <v>1037517</v>
      </c>
      <c r="F10" s="29">
        <v>1045129</v>
      </c>
      <c r="G10" s="29">
        <v>1044067</v>
      </c>
      <c r="H10" s="29">
        <v>280163</v>
      </c>
      <c r="I10" s="29">
        <f t="shared" si="0"/>
        <v>7447839.5806451607</v>
      </c>
      <c r="J10" s="33">
        <f t="shared" si="1"/>
        <v>32803.774193548408</v>
      </c>
      <c r="K10" s="33">
        <f t="shared" si="2"/>
        <v>3844798.5161290327</v>
      </c>
      <c r="L10" s="29">
        <v>898908</v>
      </c>
      <c r="M10" s="29">
        <v>2645175</v>
      </c>
      <c r="N10" s="29">
        <v>1401403</v>
      </c>
      <c r="O10" s="29">
        <v>379094</v>
      </c>
      <c r="P10" s="29">
        <v>1528822</v>
      </c>
      <c r="Q10" s="29">
        <v>1163</v>
      </c>
      <c r="R10" s="29">
        <v>689204</v>
      </c>
      <c r="S10" s="29">
        <v>344696</v>
      </c>
      <c r="T10" s="29">
        <v>47539</v>
      </c>
      <c r="U10" s="29">
        <v>52628</v>
      </c>
      <c r="V10" s="29">
        <v>31024</v>
      </c>
      <c r="W10" s="29">
        <v>490.32900000000001</v>
      </c>
      <c r="X10" s="29">
        <v>956.01700000000005</v>
      </c>
      <c r="Y10" s="29">
        <v>3889.6489999999999</v>
      </c>
      <c r="Z10" s="29">
        <v>4398</v>
      </c>
      <c r="AA10" s="29">
        <v>2665</v>
      </c>
      <c r="AB10" s="34">
        <v>0</v>
      </c>
      <c r="AC10" s="34">
        <v>0</v>
      </c>
    </row>
    <row r="11" spans="1:29" x14ac:dyDescent="0.25">
      <c r="A11" s="20">
        <v>44537</v>
      </c>
      <c r="B11" s="27">
        <v>65</v>
      </c>
      <c r="C11" s="32">
        <v>31</v>
      </c>
      <c r="D11" s="29">
        <v>1038828</v>
      </c>
      <c r="E11" s="29">
        <v>1040463</v>
      </c>
      <c r="F11" s="29">
        <v>1050003</v>
      </c>
      <c r="G11" s="29">
        <v>1048936</v>
      </c>
      <c r="H11" s="29">
        <v>280957</v>
      </c>
      <c r="I11" s="29">
        <f t="shared" si="0"/>
        <v>7450206.6774193542</v>
      </c>
      <c r="J11" s="33">
        <f t="shared" si="1"/>
        <v>32803.903225806476</v>
      </c>
      <c r="K11" s="33">
        <f t="shared" si="2"/>
        <v>3914337.9354838715</v>
      </c>
      <c r="L11" s="29">
        <v>899847</v>
      </c>
      <c r="M11" s="29">
        <v>2645183</v>
      </c>
      <c r="N11" s="29">
        <v>1404094</v>
      </c>
      <c r="O11" s="29">
        <v>379182</v>
      </c>
      <c r="P11" s="29">
        <v>1528822</v>
      </c>
      <c r="Q11" s="29">
        <v>1163</v>
      </c>
      <c r="R11" s="29">
        <v>689693</v>
      </c>
      <c r="S11" s="29">
        <v>344698</v>
      </c>
      <c r="T11" s="29">
        <v>47601</v>
      </c>
      <c r="U11" s="29">
        <v>52637</v>
      </c>
      <c r="V11" s="29">
        <v>31025</v>
      </c>
      <c r="W11" s="29">
        <v>490.32900000000001</v>
      </c>
      <c r="X11" s="29">
        <v>956.27300000000002</v>
      </c>
      <c r="Y11" s="29">
        <v>3889.6590000000001</v>
      </c>
      <c r="Z11" s="29">
        <v>4398</v>
      </c>
      <c r="AA11" s="29">
        <v>2669</v>
      </c>
      <c r="AB11" s="34">
        <v>0</v>
      </c>
      <c r="AC11" s="34">
        <v>0</v>
      </c>
    </row>
    <row r="12" spans="1:29" x14ac:dyDescent="0.25">
      <c r="A12" s="20">
        <v>44538</v>
      </c>
      <c r="B12" s="27">
        <v>58</v>
      </c>
      <c r="C12" s="32">
        <v>24</v>
      </c>
      <c r="D12" s="29">
        <v>1044422</v>
      </c>
      <c r="E12" s="29">
        <v>1046066</v>
      </c>
      <c r="F12" s="29">
        <v>1055027</v>
      </c>
      <c r="G12" s="29">
        <v>1053956</v>
      </c>
      <c r="H12" s="29">
        <v>281854</v>
      </c>
      <c r="I12" s="29">
        <f t="shared" si="0"/>
        <v>7452573.7741935477</v>
      </c>
      <c r="J12" s="33">
        <f t="shared" si="1"/>
        <v>32804.032258064544</v>
      </c>
      <c r="K12" s="33">
        <f t="shared" si="2"/>
        <v>3983877.3548387103</v>
      </c>
      <c r="L12" s="31">
        <f>(($J$15-$J$10)/5)+L11</f>
        <v>899847.12903225806</v>
      </c>
      <c r="M12" s="29">
        <v>2646012</v>
      </c>
      <c r="N12" s="29">
        <v>1402690</v>
      </c>
      <c r="O12" s="29">
        <v>379262</v>
      </c>
      <c r="P12" s="29">
        <v>1528822</v>
      </c>
      <c r="Q12" s="29">
        <v>1163</v>
      </c>
      <c r="R12" s="29">
        <v>690154</v>
      </c>
      <c r="S12" s="29">
        <v>344751</v>
      </c>
      <c r="T12" s="29">
        <v>47660</v>
      </c>
      <c r="U12" s="29">
        <v>52646</v>
      </c>
      <c r="V12" s="29">
        <v>31025</v>
      </c>
      <c r="W12" s="29">
        <v>490.32900000000001</v>
      </c>
      <c r="X12" s="29">
        <v>956.46900000000005</v>
      </c>
      <c r="Y12" s="29">
        <v>3889.6729999999998</v>
      </c>
      <c r="Z12" s="29">
        <v>4398</v>
      </c>
      <c r="AA12" s="29">
        <v>2673</v>
      </c>
      <c r="AB12" s="34">
        <v>1702</v>
      </c>
      <c r="AC12" s="34">
        <v>163</v>
      </c>
    </row>
    <row r="13" spans="1:29" x14ac:dyDescent="0.25">
      <c r="A13" s="20">
        <v>44539</v>
      </c>
      <c r="B13" s="27">
        <v>80</v>
      </c>
      <c r="C13" s="32">
        <v>45</v>
      </c>
      <c r="D13" s="29">
        <v>1047736</v>
      </c>
      <c r="E13" s="29">
        <v>1049386</v>
      </c>
      <c r="F13" s="29">
        <v>1060007</v>
      </c>
      <c r="G13" s="29">
        <v>1058928</v>
      </c>
      <c r="H13" s="29">
        <v>282650</v>
      </c>
      <c r="I13" s="29">
        <f t="shared" si="0"/>
        <v>7454940.8709677411</v>
      </c>
      <c r="J13" s="33">
        <f t="shared" si="1"/>
        <v>32804.161290322612</v>
      </c>
      <c r="K13" s="33">
        <f t="shared" si="2"/>
        <v>4053416.7741935491</v>
      </c>
      <c r="L13" s="31">
        <f>(($J$15-$J$10)/5)+L12</f>
        <v>899847.25806451612</v>
      </c>
      <c r="M13" s="29">
        <v>2646109</v>
      </c>
      <c r="N13" s="29">
        <v>1409032</v>
      </c>
      <c r="O13" s="29">
        <v>379375</v>
      </c>
      <c r="P13" s="29">
        <v>1528822</v>
      </c>
      <c r="Q13" s="29">
        <v>1163</v>
      </c>
      <c r="R13" s="29">
        <v>690657</v>
      </c>
      <c r="S13" s="29">
        <v>344800</v>
      </c>
      <c r="T13" s="29">
        <v>47719</v>
      </c>
      <c r="U13" s="29">
        <v>52657</v>
      </c>
      <c r="V13" s="29">
        <v>31027</v>
      </c>
      <c r="W13" s="29">
        <v>490.32900000000001</v>
      </c>
      <c r="X13" s="29">
        <v>956.75800000000004</v>
      </c>
      <c r="Y13" s="29">
        <v>3889.6860000000001</v>
      </c>
      <c r="Z13" s="29">
        <v>4398</v>
      </c>
      <c r="AA13" s="29">
        <v>2677</v>
      </c>
      <c r="AB13" s="34">
        <v>2229</v>
      </c>
      <c r="AC13" s="34">
        <v>0</v>
      </c>
    </row>
    <row r="14" spans="1:29" x14ac:dyDescent="0.25">
      <c r="A14" s="20">
        <v>44540</v>
      </c>
      <c r="B14" s="27">
        <v>136</v>
      </c>
      <c r="C14" s="32">
        <v>54</v>
      </c>
      <c r="D14" s="29">
        <v>1052381</v>
      </c>
      <c r="E14" s="29">
        <v>1054039</v>
      </c>
      <c r="F14" s="29">
        <v>1065213</v>
      </c>
      <c r="G14" s="29">
        <v>1064130</v>
      </c>
      <c r="H14" s="29">
        <v>283488</v>
      </c>
      <c r="I14" s="29">
        <f t="shared" si="0"/>
        <v>7457307.9677419346</v>
      </c>
      <c r="J14" s="33">
        <f t="shared" si="1"/>
        <v>32804.29032258068</v>
      </c>
      <c r="K14" s="33">
        <f t="shared" si="2"/>
        <v>4122956.1935483878</v>
      </c>
      <c r="L14" s="31">
        <f>(($J$15-$J$10)/5)+L13</f>
        <v>899847.38709677418</v>
      </c>
      <c r="M14" s="29">
        <v>2646500</v>
      </c>
      <c r="N14" s="29">
        <v>1411464</v>
      </c>
      <c r="O14" s="29">
        <v>379460</v>
      </c>
      <c r="P14" s="29">
        <v>1528822</v>
      </c>
      <c r="Q14" s="29">
        <v>1163</v>
      </c>
      <c r="R14" s="29">
        <v>691184</v>
      </c>
      <c r="S14" s="29">
        <v>344865</v>
      </c>
      <c r="T14" s="29">
        <v>47785</v>
      </c>
      <c r="U14" s="29">
        <v>52670</v>
      </c>
      <c r="V14" s="29">
        <v>31028</v>
      </c>
      <c r="W14" s="29">
        <v>490.33</v>
      </c>
      <c r="X14" s="29">
        <v>956.81299999999999</v>
      </c>
      <c r="Y14" s="29">
        <v>3889.7</v>
      </c>
      <c r="Z14" s="29">
        <v>4398</v>
      </c>
      <c r="AA14" s="29">
        <v>2681</v>
      </c>
      <c r="AB14" s="34">
        <v>1176</v>
      </c>
      <c r="AC14" s="34">
        <v>1418</v>
      </c>
    </row>
    <row r="15" spans="1:29" x14ac:dyDescent="0.25">
      <c r="A15" s="20">
        <v>44541</v>
      </c>
      <c r="B15" s="27">
        <v>149</v>
      </c>
      <c r="C15" s="32">
        <v>58</v>
      </c>
      <c r="D15" s="29">
        <v>1056266</v>
      </c>
      <c r="E15" s="29">
        <v>1057930</v>
      </c>
      <c r="F15" s="29">
        <v>1068079</v>
      </c>
      <c r="G15" s="29">
        <v>1066992</v>
      </c>
      <c r="H15" s="29">
        <v>283691</v>
      </c>
      <c r="I15" s="29">
        <f t="shared" si="0"/>
        <v>7459675.064516128</v>
      </c>
      <c r="J15" s="33">
        <f t="shared" si="1"/>
        <v>32804.419354838748</v>
      </c>
      <c r="K15" s="33">
        <f t="shared" si="2"/>
        <v>4192495.6129032266</v>
      </c>
      <c r="L15" s="31">
        <f>(($J$15-$J$10)/5)+L14</f>
        <v>899847.51612903224</v>
      </c>
      <c r="M15" s="29">
        <v>2646756</v>
      </c>
      <c r="N15" s="29">
        <v>1056266</v>
      </c>
      <c r="O15" s="29">
        <v>379585</v>
      </c>
      <c r="P15" s="29">
        <v>1528822</v>
      </c>
      <c r="Q15" s="29">
        <v>1163</v>
      </c>
      <c r="R15" s="29">
        <v>691679</v>
      </c>
      <c r="S15" s="29">
        <v>344931</v>
      </c>
      <c r="T15" s="29">
        <v>47852</v>
      </c>
      <c r="U15" s="29">
        <v>56682</v>
      </c>
      <c r="V15" s="29">
        <v>31029</v>
      </c>
      <c r="W15" s="29">
        <v>490.33</v>
      </c>
      <c r="X15" s="29">
        <v>957.178</v>
      </c>
      <c r="Y15" s="29">
        <v>3889.7109999999998</v>
      </c>
      <c r="Z15" s="29">
        <v>4398</v>
      </c>
      <c r="AA15" s="29">
        <v>2688</v>
      </c>
      <c r="AB15" s="34">
        <v>2928</v>
      </c>
      <c r="AC15" s="34">
        <v>254</v>
      </c>
    </row>
    <row r="16" spans="1:29" x14ac:dyDescent="0.25">
      <c r="A16" s="20">
        <v>44542</v>
      </c>
      <c r="B16" s="27">
        <v>128</v>
      </c>
      <c r="C16" s="32">
        <v>50</v>
      </c>
      <c r="D16" s="29">
        <v>1058994</v>
      </c>
      <c r="E16" s="29">
        <v>1060663</v>
      </c>
      <c r="F16" s="29">
        <v>1069989</v>
      </c>
      <c r="G16" s="29">
        <v>1068901</v>
      </c>
      <c r="H16" s="29">
        <v>283691</v>
      </c>
      <c r="I16" s="29">
        <f t="shared" si="0"/>
        <v>7462042.1612903215</v>
      </c>
      <c r="J16" s="33">
        <f t="shared" si="1"/>
        <v>32804.548387096816</v>
      </c>
      <c r="K16" s="33">
        <f t="shared" si="2"/>
        <v>4262035.0322580654</v>
      </c>
      <c r="L16" s="29">
        <v>905336</v>
      </c>
      <c r="M16" s="29">
        <v>2646760</v>
      </c>
      <c r="N16" s="29">
        <v>1417082</v>
      </c>
      <c r="O16" s="29">
        <v>379683</v>
      </c>
      <c r="P16" s="29">
        <v>1528822</v>
      </c>
      <c r="Q16" s="29">
        <v>1163</v>
      </c>
      <c r="R16" s="29">
        <v>692234</v>
      </c>
      <c r="S16" s="29">
        <v>344999</v>
      </c>
      <c r="T16" s="29">
        <v>47929</v>
      </c>
      <c r="U16" s="29">
        <v>52693</v>
      </c>
      <c r="V16" s="29">
        <v>31030</v>
      </c>
      <c r="W16" s="29">
        <v>490.33</v>
      </c>
      <c r="X16" s="29">
        <v>957.26900000000001</v>
      </c>
      <c r="Y16" s="29">
        <v>3889.721</v>
      </c>
      <c r="Z16" s="29">
        <v>4398</v>
      </c>
      <c r="AA16" s="30">
        <f>((AA17-AA15)/2)+AA15</f>
        <v>2694.5</v>
      </c>
      <c r="AB16" s="34">
        <v>2927</v>
      </c>
      <c r="AC16" s="34">
        <v>0</v>
      </c>
    </row>
    <row r="17" spans="1:29" x14ac:dyDescent="0.25">
      <c r="A17" s="20">
        <v>44543</v>
      </c>
      <c r="B17" s="27">
        <v>110</v>
      </c>
      <c r="C17" s="32">
        <v>39</v>
      </c>
      <c r="D17" s="29">
        <v>1061771</v>
      </c>
      <c r="E17" s="29">
        <v>1063444</v>
      </c>
      <c r="F17" s="29">
        <v>1072250</v>
      </c>
      <c r="G17" s="29">
        <v>1071159</v>
      </c>
      <c r="H17" s="29">
        <v>283781</v>
      </c>
      <c r="I17" s="29">
        <f t="shared" si="0"/>
        <v>7464409.258064515</v>
      </c>
      <c r="J17" s="33">
        <f t="shared" si="1"/>
        <v>32804.677419354884</v>
      </c>
      <c r="K17" s="33">
        <f t="shared" si="2"/>
        <v>4331574.4516129037</v>
      </c>
      <c r="L17" s="29">
        <v>906302</v>
      </c>
      <c r="M17" s="29">
        <v>2646761</v>
      </c>
      <c r="N17" s="29">
        <v>1419594</v>
      </c>
      <c r="O17" s="29">
        <v>379782</v>
      </c>
      <c r="P17" s="29">
        <v>1528822</v>
      </c>
      <c r="Q17" s="29">
        <v>1163</v>
      </c>
      <c r="R17" s="29">
        <v>692908</v>
      </c>
      <c r="S17" s="29">
        <v>345072</v>
      </c>
      <c r="T17" s="29">
        <v>48003</v>
      </c>
      <c r="U17" s="29">
        <v>52705</v>
      </c>
      <c r="V17" s="29">
        <v>31037</v>
      </c>
      <c r="W17" s="29">
        <v>490.33</v>
      </c>
      <c r="X17" s="32">
        <v>957.37900000000002</v>
      </c>
      <c r="Y17" s="29">
        <v>3889.732</v>
      </c>
      <c r="Z17" s="29">
        <v>4398</v>
      </c>
      <c r="AA17" s="29">
        <v>2701</v>
      </c>
      <c r="AB17" s="34">
        <v>2920</v>
      </c>
      <c r="AC17" s="34">
        <v>0</v>
      </c>
    </row>
    <row r="18" spans="1:29" x14ac:dyDescent="0.25">
      <c r="A18" s="20">
        <v>44544</v>
      </c>
      <c r="B18" s="27">
        <v>131</v>
      </c>
      <c r="C18" s="32">
        <v>50</v>
      </c>
      <c r="D18" s="29">
        <v>1064599</v>
      </c>
      <c r="E18" s="29">
        <v>1066276</v>
      </c>
      <c r="F18" s="29">
        <v>1077673</v>
      </c>
      <c r="G18" s="29">
        <v>1076577</v>
      </c>
      <c r="H18" s="29">
        <v>284609</v>
      </c>
      <c r="I18" s="29">
        <f t="shared" si="0"/>
        <v>7466776.3548387084</v>
      </c>
      <c r="J18" s="33">
        <f t="shared" si="1"/>
        <v>32804.806451612953</v>
      </c>
      <c r="K18" s="33">
        <f t="shared" si="2"/>
        <v>4401113.8709677421</v>
      </c>
      <c r="L18" s="29">
        <v>907521</v>
      </c>
      <c r="M18" s="29">
        <v>2646464</v>
      </c>
      <c r="N18" s="29">
        <v>1421804</v>
      </c>
      <c r="O18" s="29">
        <v>379880</v>
      </c>
      <c r="P18" s="29">
        <v>1528822</v>
      </c>
      <c r="Q18" s="29">
        <v>1163</v>
      </c>
      <c r="R18" s="29">
        <v>693580</v>
      </c>
      <c r="S18" s="29">
        <v>345144</v>
      </c>
      <c r="T18" s="29">
        <v>48078</v>
      </c>
      <c r="U18" s="29">
        <v>52716</v>
      </c>
      <c r="V18" s="29">
        <v>31038</v>
      </c>
      <c r="W18" s="29">
        <v>490.33</v>
      </c>
      <c r="X18" s="32">
        <v>957.63300000000004</v>
      </c>
      <c r="Y18" s="29">
        <v>3889.7420000000002</v>
      </c>
      <c r="Z18" s="29">
        <v>4398</v>
      </c>
      <c r="AA18" s="29">
        <v>2707</v>
      </c>
      <c r="AB18" s="34">
        <v>2920</v>
      </c>
      <c r="AC18" s="34">
        <v>0</v>
      </c>
    </row>
    <row r="19" spans="1:29" x14ac:dyDescent="0.25">
      <c r="A19" s="20">
        <v>44545</v>
      </c>
      <c r="B19" s="27">
        <v>145</v>
      </c>
      <c r="C19" s="32">
        <v>52</v>
      </c>
      <c r="D19" s="29">
        <v>1067479</v>
      </c>
      <c r="E19" s="29">
        <v>1069162</v>
      </c>
      <c r="F19" s="29">
        <v>1083018</v>
      </c>
      <c r="G19" s="29">
        <v>1081916</v>
      </c>
      <c r="H19" s="29">
        <v>285453</v>
      </c>
      <c r="I19" s="29">
        <f t="shared" si="0"/>
        <v>7469143.4516129019</v>
      </c>
      <c r="J19" s="33">
        <f t="shared" si="1"/>
        <v>32804.935483871021</v>
      </c>
      <c r="K19" s="33">
        <f t="shared" si="2"/>
        <v>4470653.2903225804</v>
      </c>
      <c r="L19" s="29">
        <f t="shared" ref="L19:L25" si="4">(($J$25-$J$17)/8)+L18</f>
        <v>907521.12903225806</v>
      </c>
      <c r="M19" s="29">
        <v>2646767</v>
      </c>
      <c r="N19" s="29">
        <v>1423876</v>
      </c>
      <c r="O19" s="29">
        <v>379972</v>
      </c>
      <c r="P19" s="29">
        <v>1528822</v>
      </c>
      <c r="Q19" s="29">
        <v>1163</v>
      </c>
      <c r="R19" s="29">
        <v>694276</v>
      </c>
      <c r="S19" s="29">
        <v>345217</v>
      </c>
      <c r="T19" s="29">
        <v>48152</v>
      </c>
      <c r="U19" s="29">
        <v>52727</v>
      </c>
      <c r="V19" s="29">
        <v>31039</v>
      </c>
      <c r="W19" s="29">
        <v>490.33</v>
      </c>
      <c r="X19" s="32" t="s">
        <v>59</v>
      </c>
      <c r="Y19" s="29">
        <v>3889.76</v>
      </c>
      <c r="Z19" s="29">
        <v>4398</v>
      </c>
      <c r="AA19" s="29">
        <v>2712</v>
      </c>
      <c r="AB19" s="34">
        <v>2918</v>
      </c>
      <c r="AC19" s="34">
        <v>0</v>
      </c>
    </row>
    <row r="20" spans="1:29" x14ac:dyDescent="0.25">
      <c r="A20" s="20">
        <v>44546</v>
      </c>
      <c r="B20" s="27">
        <v>147</v>
      </c>
      <c r="C20" s="32">
        <v>58</v>
      </c>
      <c r="D20" s="29">
        <v>1070493</v>
      </c>
      <c r="E20" s="29">
        <v>1072179</v>
      </c>
      <c r="F20" s="29">
        <v>1088231</v>
      </c>
      <c r="G20" s="29">
        <v>1087125</v>
      </c>
      <c r="H20" s="29">
        <v>286251</v>
      </c>
      <c r="I20" s="29">
        <f t="shared" si="0"/>
        <v>7471510.5483870953</v>
      </c>
      <c r="J20" s="33">
        <f t="shared" si="1"/>
        <v>32805.064516129089</v>
      </c>
      <c r="K20" s="33">
        <f t="shared" si="2"/>
        <v>4540192.7096774187</v>
      </c>
      <c r="L20" s="29">
        <f t="shared" si="4"/>
        <v>907521.25806451612</v>
      </c>
      <c r="M20" s="29">
        <v>2646768</v>
      </c>
      <c r="N20" s="29">
        <v>1425946</v>
      </c>
      <c r="O20" s="29">
        <v>380079</v>
      </c>
      <c r="P20" s="29">
        <v>1528822</v>
      </c>
      <c r="Q20" s="29">
        <v>1163</v>
      </c>
      <c r="R20" s="29">
        <v>695053</v>
      </c>
      <c r="S20" s="29">
        <v>345283</v>
      </c>
      <c r="T20" s="29">
        <v>48228</v>
      </c>
      <c r="U20" s="29">
        <v>52738</v>
      </c>
      <c r="V20" s="29">
        <v>31040</v>
      </c>
      <c r="W20" s="29">
        <v>490.33</v>
      </c>
      <c r="X20" s="32">
        <v>958.10500000000002</v>
      </c>
      <c r="Y20" s="29">
        <v>3889.78</v>
      </c>
      <c r="Z20" s="29">
        <v>4398</v>
      </c>
      <c r="AA20" s="29">
        <v>2716</v>
      </c>
      <c r="AB20" s="34">
        <v>2924</v>
      </c>
      <c r="AC20" s="34">
        <v>0</v>
      </c>
    </row>
    <row r="21" spans="1:29" x14ac:dyDescent="0.25">
      <c r="A21" s="20">
        <v>44547</v>
      </c>
      <c r="B21" s="27">
        <v>161</v>
      </c>
      <c r="C21" s="32">
        <v>58</v>
      </c>
      <c r="D21" s="29">
        <v>1073626</v>
      </c>
      <c r="E21" s="29">
        <v>1075317</v>
      </c>
      <c r="F21" s="29">
        <v>1093761</v>
      </c>
      <c r="G21" s="29">
        <v>1092650</v>
      </c>
      <c r="H21" s="29">
        <v>287092</v>
      </c>
      <c r="I21" s="29">
        <f t="shared" si="0"/>
        <v>7473877.6451612888</v>
      </c>
      <c r="J21" s="33">
        <f t="shared" si="1"/>
        <v>32805.193548387157</v>
      </c>
      <c r="K21" s="33">
        <f t="shared" si="2"/>
        <v>4609732.129032257</v>
      </c>
      <c r="L21" s="29">
        <f t="shared" si="4"/>
        <v>907521.38709677418</v>
      </c>
      <c r="M21" s="29">
        <v>2646770</v>
      </c>
      <c r="N21" s="29">
        <v>1428204</v>
      </c>
      <c r="O21" s="29">
        <v>380182</v>
      </c>
      <c r="P21" s="29">
        <v>1528822</v>
      </c>
      <c r="Q21" s="29">
        <v>1163</v>
      </c>
      <c r="R21" s="29">
        <v>695826</v>
      </c>
      <c r="S21" s="29">
        <v>345356</v>
      </c>
      <c r="T21" s="29">
        <v>48309</v>
      </c>
      <c r="U21" s="29">
        <v>52749</v>
      </c>
      <c r="V21" s="29">
        <v>31041</v>
      </c>
      <c r="W21" s="29">
        <v>49033</v>
      </c>
      <c r="X21" s="32">
        <v>958.42600000000004</v>
      </c>
      <c r="Y21" s="29">
        <v>3889.7950000000001</v>
      </c>
      <c r="Z21" s="29">
        <v>4398</v>
      </c>
      <c r="AA21" s="29">
        <v>2720</v>
      </c>
      <c r="AB21" s="34">
        <v>2923</v>
      </c>
      <c r="AC21" s="34">
        <v>0</v>
      </c>
    </row>
    <row r="22" spans="1:29" x14ac:dyDescent="0.25">
      <c r="A22" s="20">
        <v>44548</v>
      </c>
      <c r="B22" s="27">
        <v>205</v>
      </c>
      <c r="C22" s="32">
        <v>72</v>
      </c>
      <c r="D22" s="29">
        <v>1076690</v>
      </c>
      <c r="E22" s="29">
        <v>1078387</v>
      </c>
      <c r="F22" s="29">
        <v>1099272</v>
      </c>
      <c r="G22" s="29">
        <v>1098154</v>
      </c>
      <c r="H22" s="29">
        <v>287852</v>
      </c>
      <c r="I22" s="29">
        <f t="shared" si="0"/>
        <v>7476244.7419354822</v>
      </c>
      <c r="J22" s="33">
        <f t="shared" si="1"/>
        <v>32805.322580645225</v>
      </c>
      <c r="K22" s="33">
        <f t="shared" si="2"/>
        <v>4679271.5483870953</v>
      </c>
      <c r="L22" s="29">
        <f t="shared" si="4"/>
        <v>907521.51612903224</v>
      </c>
      <c r="M22" s="29">
        <v>2646773</v>
      </c>
      <c r="N22" s="29">
        <v>1430581</v>
      </c>
      <c r="O22" s="29">
        <v>380308</v>
      </c>
      <c r="P22" s="29">
        <v>1528822</v>
      </c>
      <c r="Q22" s="29">
        <v>1163</v>
      </c>
      <c r="R22" s="29">
        <v>696519</v>
      </c>
      <c r="S22" s="29">
        <v>345431</v>
      </c>
      <c r="T22" s="29">
        <v>48390</v>
      </c>
      <c r="U22" s="29">
        <v>52760</v>
      </c>
      <c r="V22" s="29">
        <v>31042</v>
      </c>
      <c r="W22" s="29">
        <v>490.33100000000002</v>
      </c>
      <c r="X22" s="32">
        <v>958.73099999999999</v>
      </c>
      <c r="Y22" s="29">
        <v>3889.808</v>
      </c>
      <c r="Z22" s="29">
        <v>4398</v>
      </c>
      <c r="AA22" s="29">
        <v>2725</v>
      </c>
      <c r="AB22" s="34">
        <v>2928</v>
      </c>
      <c r="AC22" s="34">
        <v>0</v>
      </c>
    </row>
    <row r="23" spans="1:29" x14ac:dyDescent="0.25">
      <c r="A23" s="20">
        <v>44549</v>
      </c>
      <c r="B23" s="27">
        <v>195</v>
      </c>
      <c r="C23" s="32">
        <v>66</v>
      </c>
      <c r="D23" s="29">
        <v>1079348</v>
      </c>
      <c r="E23" s="29">
        <v>1081049</v>
      </c>
      <c r="F23" s="29">
        <v>1105528</v>
      </c>
      <c r="G23" s="29">
        <v>1104404</v>
      </c>
      <c r="H23" s="29">
        <v>288643</v>
      </c>
      <c r="I23" s="29">
        <f t="shared" si="0"/>
        <v>7478611.8387096757</v>
      </c>
      <c r="J23" s="33">
        <f t="shared" si="1"/>
        <v>32805.451612903293</v>
      </c>
      <c r="K23" s="33">
        <f t="shared" si="2"/>
        <v>4748810.9677419337</v>
      </c>
      <c r="L23" s="29">
        <f t="shared" si="4"/>
        <v>907521.6451612903</v>
      </c>
      <c r="M23" s="29">
        <v>2646777</v>
      </c>
      <c r="N23" s="29">
        <v>1433011</v>
      </c>
      <c r="O23" s="29">
        <v>380436</v>
      </c>
      <c r="P23" s="29">
        <v>1529257</v>
      </c>
      <c r="Q23" s="29">
        <v>1163</v>
      </c>
      <c r="R23" s="29">
        <v>696834</v>
      </c>
      <c r="S23" s="29">
        <v>345513</v>
      </c>
      <c r="T23" s="29">
        <v>48476</v>
      </c>
      <c r="U23" s="29">
        <v>52771</v>
      </c>
      <c r="V23" s="29">
        <v>31043</v>
      </c>
      <c r="W23" s="29">
        <v>490.33100000000002</v>
      </c>
      <c r="X23" s="32">
        <v>958.923</v>
      </c>
      <c r="Y23" s="29">
        <v>3889.8249999999998</v>
      </c>
      <c r="Z23" s="29">
        <v>4398</v>
      </c>
      <c r="AA23" s="29">
        <v>2731</v>
      </c>
      <c r="AB23" s="34">
        <v>2929</v>
      </c>
      <c r="AC23" s="34">
        <v>0</v>
      </c>
    </row>
    <row r="24" spans="1:29" x14ac:dyDescent="0.25">
      <c r="A24" s="20">
        <v>44550</v>
      </c>
      <c r="B24" s="27">
        <v>206</v>
      </c>
      <c r="C24" s="32">
        <v>69</v>
      </c>
      <c r="D24" s="29">
        <v>1082006</v>
      </c>
      <c r="E24" s="29">
        <v>1083712</v>
      </c>
      <c r="F24" s="29">
        <v>1111416</v>
      </c>
      <c r="G24" s="29">
        <v>1110286</v>
      </c>
      <c r="H24" s="29">
        <v>289461</v>
      </c>
      <c r="I24" s="29">
        <f t="shared" si="0"/>
        <v>7480978.9354838692</v>
      </c>
      <c r="J24" s="33">
        <f t="shared" si="1"/>
        <v>32805.580645161361</v>
      </c>
      <c r="K24" s="33">
        <f t="shared" si="2"/>
        <v>4818350.387096772</v>
      </c>
      <c r="L24" s="29">
        <f t="shared" si="4"/>
        <v>907521.77419354836</v>
      </c>
      <c r="M24" s="29">
        <v>2646781</v>
      </c>
      <c r="N24" s="29">
        <v>1435607</v>
      </c>
      <c r="O24" s="29">
        <v>380554</v>
      </c>
      <c r="P24" s="29">
        <v>1529512</v>
      </c>
      <c r="Q24" s="29">
        <v>1163</v>
      </c>
      <c r="R24" s="29">
        <v>697241</v>
      </c>
      <c r="S24" s="29">
        <v>345602</v>
      </c>
      <c r="T24" s="29">
        <v>48565</v>
      </c>
      <c r="U24" s="29">
        <v>52782</v>
      </c>
      <c r="V24" s="29">
        <v>31049</v>
      </c>
      <c r="W24" s="29">
        <v>490.33100000000002</v>
      </c>
      <c r="X24" s="32">
        <v>959.22799999999995</v>
      </c>
      <c r="Y24" s="29">
        <v>3889.8330000000001</v>
      </c>
      <c r="Z24" s="29">
        <v>4398</v>
      </c>
      <c r="AA24" s="29">
        <v>2737</v>
      </c>
      <c r="AB24" s="34">
        <v>2928</v>
      </c>
      <c r="AC24" s="34">
        <v>0</v>
      </c>
    </row>
    <row r="25" spans="1:29" x14ac:dyDescent="0.25">
      <c r="A25" s="20">
        <v>44551</v>
      </c>
      <c r="B25" s="27">
        <v>208</v>
      </c>
      <c r="C25" s="32">
        <v>70</v>
      </c>
      <c r="D25" s="29">
        <v>1085129</v>
      </c>
      <c r="E25" s="29">
        <v>1086840</v>
      </c>
      <c r="F25" s="29">
        <v>1117761</v>
      </c>
      <c r="G25" s="29">
        <v>1116624</v>
      </c>
      <c r="H25" s="29">
        <v>290302</v>
      </c>
      <c r="I25" s="29">
        <f t="shared" si="0"/>
        <v>7483346.0322580626</v>
      </c>
      <c r="J25" s="33">
        <f t="shared" si="1"/>
        <v>32805.709677419429</v>
      </c>
      <c r="K25" s="33">
        <f t="shared" si="2"/>
        <v>4887889.8064516103</v>
      </c>
      <c r="L25" s="29">
        <f t="shared" si="4"/>
        <v>907521.90322580643</v>
      </c>
      <c r="M25" s="29">
        <v>2646788</v>
      </c>
      <c r="N25" s="29">
        <v>1438323</v>
      </c>
      <c r="O25" s="30">
        <f>((O26-O24)/2)+O24</f>
        <v>380670.5</v>
      </c>
      <c r="P25" s="29">
        <v>152979</v>
      </c>
      <c r="Q25" s="29">
        <v>1163</v>
      </c>
      <c r="R25" s="29">
        <v>697643</v>
      </c>
      <c r="S25" s="29">
        <v>345693</v>
      </c>
      <c r="T25" s="29">
        <v>48658</v>
      </c>
      <c r="U25" s="29">
        <v>52796</v>
      </c>
      <c r="V25" s="29">
        <v>31049</v>
      </c>
      <c r="W25" s="29">
        <v>490.33100000000002</v>
      </c>
      <c r="X25" s="29">
        <v>959.28099999999995</v>
      </c>
      <c r="Y25" s="29">
        <v>3889.846</v>
      </c>
      <c r="Z25" s="29">
        <v>4398</v>
      </c>
      <c r="AA25" s="29">
        <v>2742</v>
      </c>
      <c r="AB25" s="34">
        <v>2928</v>
      </c>
      <c r="AC25" s="34">
        <v>0</v>
      </c>
    </row>
    <row r="26" spans="1:29" x14ac:dyDescent="0.25">
      <c r="A26" s="20">
        <v>44552</v>
      </c>
      <c r="B26" s="27">
        <v>185</v>
      </c>
      <c r="C26" s="32">
        <v>64</v>
      </c>
      <c r="D26" s="29">
        <v>1088066</v>
      </c>
      <c r="E26" s="29">
        <v>1089782</v>
      </c>
      <c r="F26" s="29">
        <v>1123075</v>
      </c>
      <c r="G26" s="29">
        <v>1121933</v>
      </c>
      <c r="H26" s="29">
        <v>291147</v>
      </c>
      <c r="I26" s="29">
        <f t="shared" si="0"/>
        <v>7485713.1290322561</v>
      </c>
      <c r="J26" s="33">
        <f t="shared" si="1"/>
        <v>32805.838709677497</v>
      </c>
      <c r="K26" s="33">
        <f t="shared" si="2"/>
        <v>4957429.2258064486</v>
      </c>
      <c r="L26" s="29">
        <v>917457</v>
      </c>
      <c r="M26" s="29">
        <v>2644794</v>
      </c>
      <c r="N26" s="29">
        <v>1441010</v>
      </c>
      <c r="O26" s="29">
        <v>380787</v>
      </c>
      <c r="P26" s="29">
        <v>1529797</v>
      </c>
      <c r="Q26" s="29">
        <v>1163</v>
      </c>
      <c r="R26" s="29">
        <v>698212</v>
      </c>
      <c r="S26" s="29">
        <v>345784</v>
      </c>
      <c r="T26" s="29">
        <v>48749</v>
      </c>
      <c r="U26" s="29">
        <v>52806</v>
      </c>
      <c r="V26" s="29">
        <v>31051</v>
      </c>
      <c r="W26" s="29">
        <v>490.33100000000002</v>
      </c>
      <c r="X26" s="29">
        <v>959.70799999999997</v>
      </c>
      <c r="Y26" s="29">
        <v>3889.8560000000002</v>
      </c>
      <c r="Z26" s="29">
        <v>4398</v>
      </c>
      <c r="AA26" s="29">
        <v>2748</v>
      </c>
      <c r="AB26" s="34">
        <v>2922</v>
      </c>
      <c r="AC26" s="34">
        <v>0</v>
      </c>
    </row>
    <row r="27" spans="1:29" x14ac:dyDescent="0.25">
      <c r="A27" s="20">
        <v>44553</v>
      </c>
      <c r="B27" s="27">
        <v>194</v>
      </c>
      <c r="C27" s="32">
        <v>77</v>
      </c>
      <c r="D27" s="29">
        <v>1091088</v>
      </c>
      <c r="E27" s="29">
        <v>1092809</v>
      </c>
      <c r="F27" s="29">
        <v>1128486</v>
      </c>
      <c r="G27" s="29">
        <v>1127338</v>
      </c>
      <c r="H27" s="29">
        <v>291960</v>
      </c>
      <c r="I27" s="29">
        <f t="shared" si="0"/>
        <v>7488080.2258064495</v>
      </c>
      <c r="J27" s="33">
        <f t="shared" si="1"/>
        <v>32805.967741935565</v>
      </c>
      <c r="K27" s="33">
        <f t="shared" si="2"/>
        <v>5026968.6451612869</v>
      </c>
      <c r="L27" s="29">
        <v>918754</v>
      </c>
      <c r="M27" s="29">
        <v>2646803</v>
      </c>
      <c r="N27" s="29">
        <v>1443713</v>
      </c>
      <c r="O27" s="29">
        <v>380911</v>
      </c>
      <c r="P27" s="29">
        <v>1529797</v>
      </c>
      <c r="Q27" s="29">
        <v>1163</v>
      </c>
      <c r="R27" s="29">
        <v>698817</v>
      </c>
      <c r="S27" s="29">
        <v>345875</v>
      </c>
      <c r="T27" s="29">
        <v>48841</v>
      </c>
      <c r="U27" s="29">
        <v>52816</v>
      </c>
      <c r="V27" s="29">
        <v>31052</v>
      </c>
      <c r="W27" s="29" t="s">
        <v>60</v>
      </c>
      <c r="X27" s="29">
        <v>959.94799999999998</v>
      </c>
      <c r="Y27" s="29">
        <v>3889.8890000000001</v>
      </c>
      <c r="Z27" s="29">
        <v>4398</v>
      </c>
      <c r="AA27" s="29">
        <v>2753</v>
      </c>
      <c r="AB27" s="34">
        <v>2928</v>
      </c>
      <c r="AC27" s="34">
        <v>2237</v>
      </c>
    </row>
    <row r="28" spans="1:29" x14ac:dyDescent="0.25">
      <c r="A28" s="20">
        <v>44554</v>
      </c>
      <c r="B28" s="27">
        <v>233</v>
      </c>
      <c r="C28" s="32">
        <v>96</v>
      </c>
      <c r="D28" s="29">
        <v>1094384</v>
      </c>
      <c r="E28" s="29">
        <v>1096111</v>
      </c>
      <c r="F28" s="29">
        <v>1130990</v>
      </c>
      <c r="G28" s="29">
        <v>1129839</v>
      </c>
      <c r="H28" s="29">
        <v>292042</v>
      </c>
      <c r="I28" s="29">
        <f t="shared" si="0"/>
        <v>7490447.322580643</v>
      </c>
      <c r="J28" s="33">
        <f t="shared" si="1"/>
        <v>32806.096774193633</v>
      </c>
      <c r="K28" s="33">
        <f t="shared" si="2"/>
        <v>5096508.0645161252</v>
      </c>
      <c r="L28" s="29">
        <v>920164</v>
      </c>
      <c r="M28" s="29">
        <v>2646806</v>
      </c>
      <c r="N28" s="29">
        <v>1446622</v>
      </c>
      <c r="O28" s="29">
        <v>381034</v>
      </c>
      <c r="P28" s="29">
        <v>1529797</v>
      </c>
      <c r="Q28" s="29">
        <v>1163</v>
      </c>
      <c r="R28" s="29">
        <v>699513</v>
      </c>
      <c r="S28" s="29">
        <v>345968</v>
      </c>
      <c r="T28" s="29">
        <v>48936</v>
      </c>
      <c r="U28" s="29">
        <v>52827</v>
      </c>
      <c r="V28" s="29">
        <v>31053</v>
      </c>
      <c r="W28" s="29">
        <v>490.33100000000002</v>
      </c>
      <c r="X28" s="29">
        <v>960.11300000000006</v>
      </c>
      <c r="Y28" s="29">
        <v>3889.8780000000002</v>
      </c>
      <c r="Z28" s="29">
        <v>4398</v>
      </c>
      <c r="AA28" s="29">
        <v>2758</v>
      </c>
      <c r="AB28" s="34">
        <v>2927</v>
      </c>
      <c r="AC28" s="34">
        <v>3503</v>
      </c>
    </row>
    <row r="29" spans="1:29" x14ac:dyDescent="0.25">
      <c r="A29" s="20">
        <v>44555</v>
      </c>
      <c r="B29" s="27">
        <v>233</v>
      </c>
      <c r="C29" s="32">
        <v>99</v>
      </c>
      <c r="D29" s="29">
        <v>1097524</v>
      </c>
      <c r="E29" s="29">
        <v>1099256</v>
      </c>
      <c r="F29" s="29">
        <v>1133185</v>
      </c>
      <c r="G29" s="29">
        <v>1132031</v>
      </c>
      <c r="H29" s="29">
        <v>292042</v>
      </c>
      <c r="I29" s="29">
        <f t="shared" si="0"/>
        <v>7492814.4193548365</v>
      </c>
      <c r="J29" s="33">
        <f t="shared" si="1"/>
        <v>32806.225806451701</v>
      </c>
      <c r="K29" s="33">
        <f t="shared" si="2"/>
        <v>5166047.4838709636</v>
      </c>
      <c r="L29" s="29">
        <v>921653</v>
      </c>
      <c r="M29" s="29">
        <v>2646809</v>
      </c>
      <c r="N29" s="29">
        <v>1449434</v>
      </c>
      <c r="O29" s="29">
        <v>381190</v>
      </c>
      <c r="P29" s="29">
        <v>1529797</v>
      </c>
      <c r="Q29" s="29">
        <v>1163</v>
      </c>
      <c r="R29" s="30">
        <f>((R30-R28)/2)+R28</f>
        <v>699689.5</v>
      </c>
      <c r="S29" s="29">
        <v>346071</v>
      </c>
      <c r="T29" s="29">
        <v>49040</v>
      </c>
      <c r="U29" s="29">
        <v>52839</v>
      </c>
      <c r="V29" s="29">
        <v>31054</v>
      </c>
      <c r="W29" s="29">
        <v>490.33100000000002</v>
      </c>
      <c r="X29" s="29">
        <v>960.30600000000004</v>
      </c>
      <c r="Y29" s="29">
        <v>3889.8890000000001</v>
      </c>
      <c r="Z29" s="29">
        <v>4398</v>
      </c>
      <c r="AA29" s="29">
        <v>2764</v>
      </c>
      <c r="AB29" s="34">
        <v>2924</v>
      </c>
      <c r="AC29" s="34">
        <v>3499</v>
      </c>
    </row>
    <row r="30" spans="1:29" x14ac:dyDescent="0.25">
      <c r="A30" s="20">
        <v>44556</v>
      </c>
      <c r="B30" s="27">
        <v>217</v>
      </c>
      <c r="C30" s="32">
        <v>89</v>
      </c>
      <c r="D30" s="29">
        <v>1100428</v>
      </c>
      <c r="E30" s="29">
        <v>1102164</v>
      </c>
      <c r="F30" s="29">
        <v>1135311</v>
      </c>
      <c r="G30" s="29">
        <v>1134155</v>
      </c>
      <c r="H30" s="29">
        <v>292042</v>
      </c>
      <c r="I30" s="29">
        <f t="shared" si="0"/>
        <v>7495181.5161290299</v>
      </c>
      <c r="J30" s="33">
        <f t="shared" si="1"/>
        <v>32806.354838709769</v>
      </c>
      <c r="K30" s="33">
        <f t="shared" si="2"/>
        <v>5235586.9032258019</v>
      </c>
      <c r="L30" s="29">
        <v>923087</v>
      </c>
      <c r="M30" s="29">
        <v>2646810</v>
      </c>
      <c r="N30" s="29">
        <v>1452291</v>
      </c>
      <c r="O30">
        <v>381300</v>
      </c>
      <c r="P30">
        <v>1529797</v>
      </c>
      <c r="Q30">
        <v>1163</v>
      </c>
      <c r="R30">
        <v>699866</v>
      </c>
      <c r="S30">
        <v>646173</v>
      </c>
      <c r="T30">
        <v>49144</v>
      </c>
      <c r="U30" s="29">
        <v>52850</v>
      </c>
      <c r="V30" s="29">
        <v>31055</v>
      </c>
      <c r="W30" s="29">
        <v>490.33100000000002</v>
      </c>
      <c r="X30" s="29">
        <v>960.53599999999994</v>
      </c>
      <c r="Y30" s="29">
        <v>3889.8989999999999</v>
      </c>
      <c r="Z30" s="29">
        <v>4398</v>
      </c>
      <c r="AA30" s="29">
        <v>2772</v>
      </c>
      <c r="AB30" s="34">
        <v>2927</v>
      </c>
      <c r="AC30" s="34">
        <v>3472</v>
      </c>
    </row>
    <row r="31" spans="1:29" x14ac:dyDescent="0.25">
      <c r="A31" s="20">
        <v>44557</v>
      </c>
      <c r="B31" s="27">
        <v>198</v>
      </c>
      <c r="C31" s="32">
        <v>75</v>
      </c>
      <c r="D31" s="29">
        <v>1103124</v>
      </c>
      <c r="E31" s="29">
        <v>1104864</v>
      </c>
      <c r="F31" s="29">
        <v>1137417</v>
      </c>
      <c r="G31" s="29">
        <v>1136259</v>
      </c>
      <c r="H31" s="29">
        <v>292042</v>
      </c>
      <c r="I31" s="29">
        <f t="shared" si="0"/>
        <v>7497548.6129032234</v>
      </c>
      <c r="J31" s="33">
        <f t="shared" si="1"/>
        <v>32806.483870967837</v>
      </c>
      <c r="K31" s="33">
        <f t="shared" si="2"/>
        <v>5305126.3225806402</v>
      </c>
      <c r="L31" s="29">
        <v>924320</v>
      </c>
      <c r="M31" s="29">
        <v>2646814</v>
      </c>
      <c r="N31" s="29">
        <v>1455021</v>
      </c>
      <c r="O31" s="29">
        <v>381486</v>
      </c>
      <c r="P31" s="29">
        <v>1529800</v>
      </c>
      <c r="Q31" s="29">
        <v>1163</v>
      </c>
      <c r="R31" s="30">
        <f>($P$29-$P$28)+R30</f>
        <v>699866</v>
      </c>
      <c r="S31" s="29">
        <v>346274</v>
      </c>
      <c r="T31" s="29">
        <v>49246</v>
      </c>
      <c r="U31" s="29">
        <v>52861</v>
      </c>
      <c r="V31" s="29">
        <v>31056</v>
      </c>
      <c r="W31" s="29">
        <v>490.33</v>
      </c>
      <c r="X31" s="29">
        <v>960.69100000000003</v>
      </c>
      <c r="Y31" s="29">
        <v>3889.9079999999999</v>
      </c>
      <c r="Z31" s="29">
        <v>4398</v>
      </c>
      <c r="AA31" s="29">
        <v>2777</v>
      </c>
      <c r="AB31" s="34">
        <v>2923</v>
      </c>
      <c r="AC31" s="34">
        <v>3453</v>
      </c>
    </row>
    <row r="32" spans="1:29" x14ac:dyDescent="0.25">
      <c r="A32" s="20">
        <v>44558</v>
      </c>
      <c r="B32" s="27">
        <v>206</v>
      </c>
      <c r="C32" s="32">
        <v>78</v>
      </c>
      <c r="D32" s="29">
        <v>1105282</v>
      </c>
      <c r="E32" s="29">
        <v>1107026</v>
      </c>
      <c r="F32" s="29">
        <v>1140813</v>
      </c>
      <c r="G32" s="29">
        <v>1134652</v>
      </c>
      <c r="H32" s="29">
        <v>292042</v>
      </c>
      <c r="I32" s="29">
        <f t="shared" si="0"/>
        <v>7499915.7096774168</v>
      </c>
      <c r="J32" s="33">
        <f t="shared" si="1"/>
        <v>32806.612903225905</v>
      </c>
      <c r="K32" s="33">
        <f t="shared" si="2"/>
        <v>5374665.7419354785</v>
      </c>
      <c r="L32" s="29">
        <f>($J$30-$J$29)+L31</f>
        <v>924320.12903225806</v>
      </c>
      <c r="M32" s="29">
        <v>2646819</v>
      </c>
      <c r="N32" s="29">
        <v>1457781</v>
      </c>
      <c r="O32" s="29">
        <v>381610</v>
      </c>
      <c r="P32" s="29">
        <v>1530588</v>
      </c>
      <c r="Q32" s="29">
        <v>1163</v>
      </c>
      <c r="R32" s="30">
        <f>($P$29-$P$28)+R31</f>
        <v>699866</v>
      </c>
      <c r="S32" s="29">
        <v>346368</v>
      </c>
      <c r="T32" s="29">
        <v>49342</v>
      </c>
      <c r="U32" s="29">
        <v>52874</v>
      </c>
      <c r="V32" s="29">
        <v>31057</v>
      </c>
      <c r="W32" s="29">
        <v>490.33</v>
      </c>
      <c r="X32" s="29">
        <v>960.83500000000004</v>
      </c>
      <c r="Y32" s="29">
        <v>3889.9250000000002</v>
      </c>
      <c r="Z32" s="29">
        <v>4398</v>
      </c>
      <c r="AA32" s="29">
        <v>2782</v>
      </c>
      <c r="AB32" s="34">
        <v>2916</v>
      </c>
      <c r="AC32" s="34">
        <v>3466</v>
      </c>
    </row>
    <row r="33" spans="1:29" x14ac:dyDescent="0.25">
      <c r="A33" s="20">
        <v>44559</v>
      </c>
      <c r="B33" s="27">
        <v>209</v>
      </c>
      <c r="C33" s="32">
        <v>75</v>
      </c>
      <c r="D33" s="29">
        <v>1107572</v>
      </c>
      <c r="E33" s="29">
        <v>1109319</v>
      </c>
      <c r="F33" s="29">
        <v>1144097</v>
      </c>
      <c r="G33" s="29">
        <v>1142932</v>
      </c>
      <c r="H33" s="29">
        <v>292042</v>
      </c>
      <c r="I33" s="29">
        <f t="shared" si="0"/>
        <v>7502282.8064516103</v>
      </c>
      <c r="J33" s="33">
        <f t="shared" si="1"/>
        <v>32806.741935483973</v>
      </c>
      <c r="K33" s="33">
        <f t="shared" si="2"/>
        <v>5444205.1612903168</v>
      </c>
      <c r="L33" s="29">
        <f>($J$30-$J$29)+L32</f>
        <v>924320.25806451612</v>
      </c>
      <c r="M33" s="29">
        <v>2646823</v>
      </c>
      <c r="N33" s="29">
        <v>1460631</v>
      </c>
      <c r="O33" s="29">
        <v>381722</v>
      </c>
      <c r="P33" s="29">
        <v>1531338</v>
      </c>
      <c r="Q33" s="29">
        <v>1163</v>
      </c>
      <c r="R33" s="30">
        <f t="shared" ref="R33:R35" si="5">($P$29-$P$28)+R32</f>
        <v>699866</v>
      </c>
      <c r="S33" s="29">
        <v>346462</v>
      </c>
      <c r="T33" s="29">
        <v>49444</v>
      </c>
      <c r="U33" s="29">
        <v>52886</v>
      </c>
      <c r="V33" s="29">
        <v>31058</v>
      </c>
      <c r="W33" s="29">
        <v>490.33100000000002</v>
      </c>
      <c r="X33" s="29">
        <v>961.005</v>
      </c>
      <c r="Y33" s="29">
        <v>3889.9380000000001</v>
      </c>
      <c r="Z33" s="29">
        <v>4398</v>
      </c>
      <c r="AA33" s="29">
        <v>2787</v>
      </c>
      <c r="AB33" s="34">
        <v>2924</v>
      </c>
      <c r="AC33" s="34">
        <v>3511</v>
      </c>
    </row>
    <row r="34" spans="1:29" x14ac:dyDescent="0.25">
      <c r="A34" s="20">
        <v>44560</v>
      </c>
      <c r="B34" s="27">
        <v>224</v>
      </c>
      <c r="C34" s="32">
        <v>80</v>
      </c>
      <c r="D34" s="29">
        <v>1109741</v>
      </c>
      <c r="E34" s="29">
        <v>1111492</v>
      </c>
      <c r="F34" s="29">
        <v>1147223</v>
      </c>
      <c r="G34" s="29">
        <v>1146055</v>
      </c>
      <c r="H34" s="29">
        <v>292042</v>
      </c>
      <c r="I34" s="29">
        <f t="shared" si="0"/>
        <v>7504649.9032258037</v>
      </c>
      <c r="J34" s="33">
        <f t="shared" si="1"/>
        <v>32806.870967742041</v>
      </c>
      <c r="K34" s="33">
        <f t="shared" si="2"/>
        <v>5513744.5806451552</v>
      </c>
      <c r="L34" s="29">
        <f>($J$30-$J$29)+L33</f>
        <v>924320.38709677418</v>
      </c>
      <c r="M34" s="29">
        <v>2646826</v>
      </c>
      <c r="N34" s="29">
        <v>1463153</v>
      </c>
      <c r="O34" s="29">
        <v>381832</v>
      </c>
      <c r="P34" s="29">
        <v>1532057</v>
      </c>
      <c r="Q34" s="29">
        <v>1163</v>
      </c>
      <c r="R34" s="30">
        <f t="shared" si="5"/>
        <v>699866</v>
      </c>
      <c r="S34" s="29">
        <v>346565</v>
      </c>
      <c r="T34" s="29">
        <v>49548</v>
      </c>
      <c r="U34" s="29">
        <v>52897</v>
      </c>
      <c r="V34" s="29">
        <v>31059</v>
      </c>
      <c r="W34" s="29">
        <v>490.33</v>
      </c>
      <c r="X34" s="29">
        <v>961.096</v>
      </c>
      <c r="Y34" s="29">
        <v>3889.951</v>
      </c>
      <c r="Z34" s="29">
        <v>4398</v>
      </c>
      <c r="AA34" s="29">
        <v>2792</v>
      </c>
      <c r="AB34" s="34">
        <v>2913</v>
      </c>
      <c r="AC34" s="34">
        <v>3544</v>
      </c>
    </row>
    <row r="35" spans="1:29" x14ac:dyDescent="0.25">
      <c r="A35" s="20">
        <v>44561</v>
      </c>
      <c r="B35" s="27">
        <v>217</v>
      </c>
      <c r="C35" s="32">
        <v>77</v>
      </c>
      <c r="D35" s="29">
        <v>1112230</v>
      </c>
      <c r="E35" s="29">
        <v>1113985</v>
      </c>
      <c r="F35" s="29">
        <v>1150440</v>
      </c>
      <c r="G35" s="29">
        <v>1149269</v>
      </c>
      <c r="H35" s="32">
        <v>293008</v>
      </c>
      <c r="I35" s="32">
        <v>7507017</v>
      </c>
      <c r="J35" s="32">
        <v>32807</v>
      </c>
      <c r="K35" s="32">
        <v>5583284</v>
      </c>
      <c r="L35" s="29">
        <f>($J$30-$J$29)+L34</f>
        <v>924320.51612903224</v>
      </c>
      <c r="M35" s="29">
        <v>2646828</v>
      </c>
      <c r="N35" s="29">
        <v>1465728</v>
      </c>
      <c r="O35" s="29">
        <v>381963</v>
      </c>
      <c r="P35" s="29">
        <v>1532808</v>
      </c>
      <c r="Q35" s="29">
        <v>1163</v>
      </c>
      <c r="R35" s="30">
        <f t="shared" si="5"/>
        <v>699866</v>
      </c>
      <c r="S35" s="29">
        <v>346669</v>
      </c>
      <c r="T35" s="29">
        <v>49652</v>
      </c>
      <c r="U35" s="29">
        <v>52909</v>
      </c>
      <c r="V35" s="29">
        <v>31060</v>
      </c>
      <c r="W35" s="29">
        <v>490.33100000000002</v>
      </c>
      <c r="X35" s="29">
        <v>961.23</v>
      </c>
      <c r="Y35" s="29">
        <v>3889.9659999999999</v>
      </c>
      <c r="Z35" s="29">
        <v>4398</v>
      </c>
      <c r="AA35" s="29">
        <v>2797</v>
      </c>
      <c r="AB35" s="34">
        <v>2920</v>
      </c>
      <c r="AC35" s="34">
        <v>3549</v>
      </c>
    </row>
    <row r="36" spans="1:29" x14ac:dyDescent="0.25">
      <c r="B36" s="16"/>
      <c r="C36" s="16"/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J. El Khoury</cp:lastModifiedBy>
  <cp:lastPrinted>2019-08-19T07:32:13Z</cp:lastPrinted>
  <dcterms:created xsi:type="dcterms:W3CDTF">2017-05-03T09:23:30Z</dcterms:created>
  <dcterms:modified xsi:type="dcterms:W3CDTF">2022-01-05T08:37:50Z</dcterms:modified>
</cp:coreProperties>
</file>